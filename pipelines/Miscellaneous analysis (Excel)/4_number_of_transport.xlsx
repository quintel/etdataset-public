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15309987034359353856/WOPIServiceId_TP_DROPBOX_PLUS/WOPIUserId_-/"/>
    </mc:Choice>
  </mc:AlternateContent>
  <xr:revisionPtr revIDLastSave="38" documentId="13_ncr:1_{F8A6788F-5DE1-3A4F-9759-615EE6C49235}" xr6:coauthVersionLast="47" xr6:coauthVersionMax="47" xr10:uidLastSave="{5ECC8D15-DC34-4E46-8B0A-C9B2B501D5CE}"/>
  <bookViews>
    <workbookView xWindow="0" yWindow="500" windowWidth="38400" windowHeight="21600" activeTab="1" xr2:uid="{00000000-000D-0000-FFFF-FFFF00000000}"/>
  </bookViews>
  <sheets>
    <sheet name="Data" sheetId="6" r:id="rId1"/>
    <sheet name="Calculation" sheetId="8" r:id="rId2"/>
    <sheet name="Source_wegvoertuigen_CBS" sheetId="7" r:id="rId3"/>
    <sheet name="Source_GM_code_CB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C3" i="6"/>
  <c r="D3" i="6"/>
  <c r="E3" i="6"/>
  <c r="B4" i="6"/>
  <c r="C4" i="6"/>
  <c r="D4" i="6"/>
  <c r="E4" i="6"/>
  <c r="B5" i="6"/>
  <c r="C5" i="6"/>
  <c r="D5" i="6"/>
  <c r="E5" i="6"/>
  <c r="B6" i="6"/>
  <c r="C6" i="6"/>
  <c r="D6" i="6"/>
  <c r="E6" i="6"/>
  <c r="B7" i="6"/>
  <c r="C7" i="6"/>
  <c r="D7" i="6"/>
  <c r="E7" i="6"/>
  <c r="B8" i="6"/>
  <c r="C8" i="6"/>
  <c r="D8" i="6"/>
  <c r="E8" i="6"/>
  <c r="B9" i="6"/>
  <c r="C9" i="6"/>
  <c r="D9" i="6"/>
  <c r="E9" i="6"/>
  <c r="B10" i="6"/>
  <c r="C10" i="6"/>
  <c r="D10" i="6"/>
  <c r="E10" i="6"/>
  <c r="B11" i="6"/>
  <c r="C11" i="6"/>
  <c r="D11" i="6"/>
  <c r="E11" i="6"/>
  <c r="B12" i="6"/>
  <c r="C12" i="6"/>
  <c r="D12" i="6"/>
  <c r="E12" i="6"/>
  <c r="B13" i="6"/>
  <c r="C13" i="6"/>
  <c r="D13" i="6"/>
  <c r="E13" i="6"/>
  <c r="B14" i="6"/>
  <c r="C14" i="6"/>
  <c r="D14" i="6"/>
  <c r="E14" i="6"/>
  <c r="B15" i="6"/>
  <c r="C15" i="6"/>
  <c r="D15" i="6"/>
  <c r="E15" i="6"/>
  <c r="B16" i="6"/>
  <c r="C16" i="6"/>
  <c r="D16" i="6"/>
  <c r="E16" i="6"/>
  <c r="B17" i="6"/>
  <c r="C17" i="6"/>
  <c r="D17" i="6"/>
  <c r="E17" i="6"/>
  <c r="B18" i="6"/>
  <c r="C18" i="6"/>
  <c r="D18" i="6"/>
  <c r="E18" i="6"/>
  <c r="B19" i="6"/>
  <c r="C19" i="6"/>
  <c r="D19" i="6"/>
  <c r="E19" i="6"/>
  <c r="B20" i="6"/>
  <c r="C20" i="6"/>
  <c r="D20" i="6"/>
  <c r="E20" i="6"/>
  <c r="B21" i="6"/>
  <c r="C21" i="6"/>
  <c r="D21" i="6"/>
  <c r="E21" i="6"/>
  <c r="B22" i="6"/>
  <c r="C22" i="6"/>
  <c r="D22" i="6"/>
  <c r="E22" i="6"/>
  <c r="B23" i="6"/>
  <c r="C23" i="6"/>
  <c r="D23" i="6"/>
  <c r="E23" i="6"/>
  <c r="B24" i="6"/>
  <c r="C24" i="6"/>
  <c r="D24" i="6"/>
  <c r="E24" i="6"/>
  <c r="B25" i="6"/>
  <c r="C25" i="6"/>
  <c r="D25" i="6"/>
  <c r="E25" i="6"/>
  <c r="B26" i="6"/>
  <c r="C26" i="6"/>
  <c r="D26" i="6"/>
  <c r="E26" i="6"/>
  <c r="B27" i="6"/>
  <c r="C27" i="6"/>
  <c r="D27" i="6"/>
  <c r="E27" i="6"/>
  <c r="B28" i="6"/>
  <c r="C28" i="6"/>
  <c r="D28" i="6"/>
  <c r="E28" i="6"/>
  <c r="B29" i="6"/>
  <c r="C29" i="6"/>
  <c r="D29" i="6"/>
  <c r="E29" i="6"/>
  <c r="B30" i="6"/>
  <c r="C30" i="6"/>
  <c r="D30" i="6"/>
  <c r="E30" i="6"/>
  <c r="B31" i="6"/>
  <c r="C31" i="6"/>
  <c r="D31" i="6"/>
  <c r="E31" i="6"/>
  <c r="B32" i="6"/>
  <c r="C32" i="6"/>
  <c r="D32" i="6"/>
  <c r="E32" i="6"/>
  <c r="B33" i="6"/>
  <c r="C33" i="6"/>
  <c r="D33" i="6"/>
  <c r="E33" i="6"/>
  <c r="B34" i="6"/>
  <c r="C34" i="6"/>
  <c r="D34" i="6"/>
  <c r="E34" i="6"/>
  <c r="B35" i="6"/>
  <c r="C35" i="6"/>
  <c r="D35" i="6"/>
  <c r="E35" i="6"/>
  <c r="B36" i="6"/>
  <c r="C36" i="6"/>
  <c r="D36" i="6"/>
  <c r="E36" i="6"/>
  <c r="B37" i="6"/>
  <c r="C37" i="6"/>
  <c r="D37" i="6"/>
  <c r="E37" i="6"/>
  <c r="B38" i="6"/>
  <c r="C38" i="6"/>
  <c r="D38" i="6"/>
  <c r="E38" i="6"/>
  <c r="B39" i="6"/>
  <c r="C39" i="6"/>
  <c r="D39" i="6"/>
  <c r="E39" i="6"/>
  <c r="B40" i="6"/>
  <c r="C40" i="6"/>
  <c r="D40" i="6"/>
  <c r="E40" i="6"/>
  <c r="B41" i="6"/>
  <c r="C41" i="6"/>
  <c r="D41" i="6"/>
  <c r="E41" i="6"/>
  <c r="B42" i="6"/>
  <c r="C42" i="6"/>
  <c r="D42" i="6"/>
  <c r="E42" i="6"/>
  <c r="B43" i="6"/>
  <c r="C43" i="6"/>
  <c r="D43" i="6"/>
  <c r="E43" i="6"/>
  <c r="B44" i="6"/>
  <c r="C44" i="6"/>
  <c r="D44" i="6"/>
  <c r="E44" i="6"/>
  <c r="B45" i="6"/>
  <c r="C45" i="6"/>
  <c r="D45" i="6"/>
  <c r="E45" i="6"/>
  <c r="B46" i="6"/>
  <c r="C46" i="6"/>
  <c r="D46" i="6"/>
  <c r="E46" i="6"/>
  <c r="B47" i="6"/>
  <c r="C47" i="6"/>
  <c r="D47" i="6"/>
  <c r="E47" i="6"/>
  <c r="B48" i="6"/>
  <c r="C48" i="6"/>
  <c r="D48" i="6"/>
  <c r="E48" i="6"/>
  <c r="B49" i="6"/>
  <c r="C49" i="6"/>
  <c r="D49" i="6"/>
  <c r="E49" i="6"/>
  <c r="B50" i="6"/>
  <c r="C50" i="6"/>
  <c r="D50" i="6"/>
  <c r="E50" i="6"/>
  <c r="B51" i="6"/>
  <c r="C51" i="6"/>
  <c r="D51" i="6"/>
  <c r="E51" i="6"/>
  <c r="B52" i="6"/>
  <c r="C52" i="6"/>
  <c r="D52" i="6"/>
  <c r="E52" i="6"/>
  <c r="B53" i="6"/>
  <c r="C53" i="6"/>
  <c r="D53" i="6"/>
  <c r="E53" i="6"/>
  <c r="B54" i="6"/>
  <c r="C54" i="6"/>
  <c r="D54" i="6"/>
  <c r="E54" i="6"/>
  <c r="B55" i="6"/>
  <c r="C55" i="6"/>
  <c r="D55" i="6"/>
  <c r="E55" i="6"/>
  <c r="B56" i="6"/>
  <c r="C56" i="6"/>
  <c r="D56" i="6"/>
  <c r="E56" i="6"/>
  <c r="B57" i="6"/>
  <c r="C57" i="6"/>
  <c r="D57" i="6"/>
  <c r="E57" i="6"/>
  <c r="B58" i="6"/>
  <c r="C58" i="6"/>
  <c r="D58" i="6"/>
  <c r="E58" i="6"/>
  <c r="B59" i="6"/>
  <c r="C59" i="6"/>
  <c r="D59" i="6"/>
  <c r="E59" i="6"/>
  <c r="B60" i="6"/>
  <c r="C60" i="6"/>
  <c r="D60" i="6"/>
  <c r="E60" i="6"/>
  <c r="B61" i="6"/>
  <c r="C61" i="6"/>
  <c r="D61" i="6"/>
  <c r="E61" i="6"/>
  <c r="B62" i="6"/>
  <c r="C62" i="6"/>
  <c r="D62" i="6"/>
  <c r="E62" i="6"/>
  <c r="B63" i="6"/>
  <c r="C63" i="6"/>
  <c r="D63" i="6"/>
  <c r="E63" i="6"/>
  <c r="B64" i="6"/>
  <c r="C64" i="6"/>
  <c r="D64" i="6"/>
  <c r="E64" i="6"/>
  <c r="B65" i="6"/>
  <c r="C65" i="6"/>
  <c r="D65" i="6"/>
  <c r="E65" i="6"/>
  <c r="B66" i="6"/>
  <c r="C66" i="6"/>
  <c r="D66" i="6"/>
  <c r="E66" i="6"/>
  <c r="B67" i="6"/>
  <c r="C67" i="6"/>
  <c r="D67" i="6"/>
  <c r="E67" i="6"/>
  <c r="B68" i="6"/>
  <c r="C68" i="6"/>
  <c r="D68" i="6"/>
  <c r="E68" i="6"/>
  <c r="B69" i="6"/>
  <c r="C69" i="6"/>
  <c r="D69" i="6"/>
  <c r="E69" i="6"/>
  <c r="B70" i="6"/>
  <c r="C70" i="6"/>
  <c r="D70" i="6"/>
  <c r="E70" i="6"/>
  <c r="B71" i="6"/>
  <c r="C71" i="6"/>
  <c r="D71" i="6"/>
  <c r="E71" i="6"/>
  <c r="B72" i="6"/>
  <c r="C72" i="6"/>
  <c r="D72" i="6"/>
  <c r="E72" i="6"/>
  <c r="B73" i="6"/>
  <c r="C73" i="6"/>
  <c r="D73" i="6"/>
  <c r="E73" i="6"/>
  <c r="B74" i="6"/>
  <c r="C74" i="6"/>
  <c r="D74" i="6"/>
  <c r="E74" i="6"/>
  <c r="B75" i="6"/>
  <c r="C75" i="6"/>
  <c r="D75" i="6"/>
  <c r="E75" i="6"/>
  <c r="B76" i="6"/>
  <c r="C76" i="6"/>
  <c r="D76" i="6"/>
  <c r="E76" i="6"/>
  <c r="B77" i="6"/>
  <c r="C77" i="6"/>
  <c r="D77" i="6"/>
  <c r="E77" i="6"/>
  <c r="B78" i="6"/>
  <c r="C78" i="6"/>
  <c r="D78" i="6"/>
  <c r="E78" i="6"/>
  <c r="B79" i="6"/>
  <c r="C79" i="6"/>
  <c r="D79" i="6"/>
  <c r="E79" i="6"/>
  <c r="B80" i="6"/>
  <c r="C80" i="6"/>
  <c r="D80" i="6"/>
  <c r="E80" i="6"/>
  <c r="B81" i="6"/>
  <c r="C81" i="6"/>
  <c r="D81" i="6"/>
  <c r="E81" i="6"/>
  <c r="B82" i="6"/>
  <c r="C82" i="6"/>
  <c r="D82" i="6"/>
  <c r="E82" i="6"/>
  <c r="B83" i="6"/>
  <c r="C83" i="6"/>
  <c r="D83" i="6"/>
  <c r="E83" i="6"/>
  <c r="B84" i="6"/>
  <c r="C84" i="6"/>
  <c r="D84" i="6"/>
  <c r="E84" i="6"/>
  <c r="B85" i="6"/>
  <c r="C85" i="6"/>
  <c r="D85" i="6"/>
  <c r="E85" i="6"/>
  <c r="B86" i="6"/>
  <c r="C86" i="6"/>
  <c r="D86" i="6"/>
  <c r="E86" i="6"/>
  <c r="B87" i="6"/>
  <c r="C87" i="6"/>
  <c r="D87" i="6"/>
  <c r="E87" i="6"/>
  <c r="B88" i="6"/>
  <c r="C88" i="6"/>
  <c r="D88" i="6"/>
  <c r="E88" i="6"/>
  <c r="B89" i="6"/>
  <c r="C89" i="6"/>
  <c r="D89" i="6"/>
  <c r="E89" i="6"/>
  <c r="B90" i="6"/>
  <c r="C90" i="6"/>
  <c r="D90" i="6"/>
  <c r="E90" i="6"/>
  <c r="B91" i="6"/>
  <c r="C91" i="6"/>
  <c r="D91" i="6"/>
  <c r="E91" i="6"/>
  <c r="B92" i="6"/>
  <c r="C92" i="6"/>
  <c r="D92" i="6"/>
  <c r="E92" i="6"/>
  <c r="B93" i="6"/>
  <c r="C93" i="6"/>
  <c r="D93" i="6"/>
  <c r="E93" i="6"/>
  <c r="B94" i="6"/>
  <c r="C94" i="6"/>
  <c r="D94" i="6"/>
  <c r="E94" i="6"/>
  <c r="B95" i="6"/>
  <c r="C95" i="6"/>
  <c r="D95" i="6"/>
  <c r="E95" i="6"/>
  <c r="B96" i="6"/>
  <c r="C96" i="6"/>
  <c r="D96" i="6"/>
  <c r="E96" i="6"/>
  <c r="B97" i="6"/>
  <c r="C97" i="6"/>
  <c r="D97" i="6"/>
  <c r="E97" i="6"/>
  <c r="B98" i="6"/>
  <c r="C98" i="6"/>
  <c r="D98" i="6"/>
  <c r="E98" i="6"/>
  <c r="B99" i="6"/>
  <c r="C99" i="6"/>
  <c r="D99" i="6"/>
  <c r="E99" i="6"/>
  <c r="B100" i="6"/>
  <c r="C100" i="6"/>
  <c r="D100" i="6"/>
  <c r="E100" i="6"/>
  <c r="B101" i="6"/>
  <c r="C101" i="6"/>
  <c r="D101" i="6"/>
  <c r="E101" i="6"/>
  <c r="B102" i="6"/>
  <c r="C102" i="6"/>
  <c r="D102" i="6"/>
  <c r="E102" i="6"/>
  <c r="B103" i="6"/>
  <c r="C103" i="6"/>
  <c r="D103" i="6"/>
  <c r="E103" i="6"/>
  <c r="B104" i="6"/>
  <c r="C104" i="6"/>
  <c r="D104" i="6"/>
  <c r="E104" i="6"/>
  <c r="B105" i="6"/>
  <c r="C105" i="6"/>
  <c r="D105" i="6"/>
  <c r="E105" i="6"/>
  <c r="B106" i="6"/>
  <c r="C106" i="6"/>
  <c r="D106" i="6"/>
  <c r="E106" i="6"/>
  <c r="B107" i="6"/>
  <c r="C107" i="6"/>
  <c r="D107" i="6"/>
  <c r="E107" i="6"/>
  <c r="B108" i="6"/>
  <c r="C108" i="6"/>
  <c r="D108" i="6"/>
  <c r="E108" i="6"/>
  <c r="B109" i="6"/>
  <c r="C109" i="6"/>
  <c r="D109" i="6"/>
  <c r="E109" i="6"/>
  <c r="B110" i="6"/>
  <c r="C110" i="6"/>
  <c r="D110" i="6"/>
  <c r="E110" i="6"/>
  <c r="B111" i="6"/>
  <c r="C111" i="6"/>
  <c r="D111" i="6"/>
  <c r="E111" i="6"/>
  <c r="B112" i="6"/>
  <c r="C112" i="6"/>
  <c r="D112" i="6"/>
  <c r="E112" i="6"/>
  <c r="B113" i="6"/>
  <c r="C113" i="6"/>
  <c r="D113" i="6"/>
  <c r="E113" i="6"/>
  <c r="B114" i="6"/>
  <c r="C114" i="6"/>
  <c r="D114" i="6"/>
  <c r="E114" i="6"/>
  <c r="B115" i="6"/>
  <c r="C115" i="6"/>
  <c r="D115" i="6"/>
  <c r="E115" i="6"/>
  <c r="B116" i="6"/>
  <c r="C116" i="6"/>
  <c r="D116" i="6"/>
  <c r="E116" i="6"/>
  <c r="B117" i="6"/>
  <c r="C117" i="6"/>
  <c r="D117" i="6"/>
  <c r="E117" i="6"/>
  <c r="B118" i="6"/>
  <c r="C118" i="6"/>
  <c r="D118" i="6"/>
  <c r="E118" i="6"/>
  <c r="B119" i="6"/>
  <c r="C119" i="6"/>
  <c r="D119" i="6"/>
  <c r="E119" i="6"/>
  <c r="B120" i="6"/>
  <c r="C120" i="6"/>
  <c r="D120" i="6"/>
  <c r="E120" i="6"/>
  <c r="B121" i="6"/>
  <c r="C121" i="6"/>
  <c r="D121" i="6"/>
  <c r="E121" i="6"/>
  <c r="B122" i="6"/>
  <c r="C122" i="6"/>
  <c r="D122" i="6"/>
  <c r="E122" i="6"/>
  <c r="B123" i="6"/>
  <c r="C123" i="6"/>
  <c r="D123" i="6"/>
  <c r="E123" i="6"/>
  <c r="B124" i="6"/>
  <c r="C124" i="6"/>
  <c r="D124" i="6"/>
  <c r="E124" i="6"/>
  <c r="B125" i="6"/>
  <c r="C125" i="6"/>
  <c r="D125" i="6"/>
  <c r="E125" i="6"/>
  <c r="B126" i="6"/>
  <c r="C126" i="6"/>
  <c r="D126" i="6"/>
  <c r="E126" i="6"/>
  <c r="B127" i="6"/>
  <c r="C127" i="6"/>
  <c r="D127" i="6"/>
  <c r="E127" i="6"/>
  <c r="B128" i="6"/>
  <c r="C128" i="6"/>
  <c r="D128" i="6"/>
  <c r="E128" i="6"/>
  <c r="B129" i="6"/>
  <c r="C129" i="6"/>
  <c r="D129" i="6"/>
  <c r="E129" i="6"/>
  <c r="B130" i="6"/>
  <c r="C130" i="6"/>
  <c r="D130" i="6"/>
  <c r="E130" i="6"/>
  <c r="B131" i="6"/>
  <c r="C131" i="6"/>
  <c r="D131" i="6"/>
  <c r="E131" i="6"/>
  <c r="B132" i="6"/>
  <c r="C132" i="6"/>
  <c r="D132" i="6"/>
  <c r="E132" i="6"/>
  <c r="B133" i="6"/>
  <c r="C133" i="6"/>
  <c r="D133" i="6"/>
  <c r="E133" i="6"/>
  <c r="B134" i="6"/>
  <c r="C134" i="6"/>
  <c r="D134" i="6"/>
  <c r="E134" i="6"/>
  <c r="B135" i="6"/>
  <c r="C135" i="6"/>
  <c r="D135" i="6"/>
  <c r="E135" i="6"/>
  <c r="B136" i="6"/>
  <c r="C136" i="6"/>
  <c r="D136" i="6"/>
  <c r="E136" i="6"/>
  <c r="B137" i="6"/>
  <c r="C137" i="6"/>
  <c r="D137" i="6"/>
  <c r="E137" i="6"/>
  <c r="B138" i="6"/>
  <c r="C138" i="6"/>
  <c r="D138" i="6"/>
  <c r="E138" i="6"/>
  <c r="B139" i="6"/>
  <c r="C139" i="6"/>
  <c r="D139" i="6"/>
  <c r="E139" i="6"/>
  <c r="B140" i="6"/>
  <c r="C140" i="6"/>
  <c r="D140" i="6"/>
  <c r="E140" i="6"/>
  <c r="B141" i="6"/>
  <c r="C141" i="6"/>
  <c r="D141" i="6"/>
  <c r="E141" i="6"/>
  <c r="B142" i="6"/>
  <c r="C142" i="6"/>
  <c r="D142" i="6"/>
  <c r="E142" i="6"/>
  <c r="B143" i="6"/>
  <c r="C143" i="6"/>
  <c r="D143" i="6"/>
  <c r="E143" i="6"/>
  <c r="B144" i="6"/>
  <c r="C144" i="6"/>
  <c r="D144" i="6"/>
  <c r="E144" i="6"/>
  <c r="B145" i="6"/>
  <c r="C145" i="6"/>
  <c r="D145" i="6"/>
  <c r="E145" i="6"/>
  <c r="B146" i="6"/>
  <c r="C146" i="6"/>
  <c r="D146" i="6"/>
  <c r="E146" i="6"/>
  <c r="B147" i="6"/>
  <c r="C147" i="6"/>
  <c r="D147" i="6"/>
  <c r="E147" i="6"/>
  <c r="B148" i="6"/>
  <c r="C148" i="6"/>
  <c r="D148" i="6"/>
  <c r="E148" i="6"/>
  <c r="B149" i="6"/>
  <c r="C149" i="6"/>
  <c r="D149" i="6"/>
  <c r="E149" i="6"/>
  <c r="B150" i="6"/>
  <c r="C150" i="6"/>
  <c r="D150" i="6"/>
  <c r="E150" i="6"/>
  <c r="B151" i="6"/>
  <c r="C151" i="6"/>
  <c r="D151" i="6"/>
  <c r="E151" i="6"/>
  <c r="B152" i="6"/>
  <c r="C152" i="6"/>
  <c r="D152" i="6"/>
  <c r="E152" i="6"/>
  <c r="B153" i="6"/>
  <c r="C153" i="6"/>
  <c r="D153" i="6"/>
  <c r="E153" i="6"/>
  <c r="B154" i="6"/>
  <c r="C154" i="6"/>
  <c r="D154" i="6"/>
  <c r="E154" i="6"/>
  <c r="B155" i="6"/>
  <c r="C155" i="6"/>
  <c r="D155" i="6"/>
  <c r="E155" i="6"/>
  <c r="B156" i="6"/>
  <c r="C156" i="6"/>
  <c r="D156" i="6"/>
  <c r="E156" i="6"/>
  <c r="B157" i="6"/>
  <c r="C157" i="6"/>
  <c r="D157" i="6"/>
  <c r="E157" i="6"/>
  <c r="B158" i="6"/>
  <c r="C158" i="6"/>
  <c r="D158" i="6"/>
  <c r="E158" i="6"/>
  <c r="B159" i="6"/>
  <c r="C159" i="6"/>
  <c r="D159" i="6"/>
  <c r="E159" i="6"/>
  <c r="B160" i="6"/>
  <c r="C160" i="6"/>
  <c r="D160" i="6"/>
  <c r="E160" i="6"/>
  <c r="B161" i="6"/>
  <c r="C161" i="6"/>
  <c r="D161" i="6"/>
  <c r="E161" i="6"/>
  <c r="B162" i="6"/>
  <c r="C162" i="6"/>
  <c r="D162" i="6"/>
  <c r="E162" i="6"/>
  <c r="B163" i="6"/>
  <c r="C163" i="6"/>
  <c r="D163" i="6"/>
  <c r="E163" i="6"/>
  <c r="B164" i="6"/>
  <c r="C164" i="6"/>
  <c r="D164" i="6"/>
  <c r="E164" i="6"/>
  <c r="B165" i="6"/>
  <c r="C165" i="6"/>
  <c r="D165" i="6"/>
  <c r="E165" i="6"/>
  <c r="B166" i="6"/>
  <c r="C166" i="6"/>
  <c r="D166" i="6"/>
  <c r="E166" i="6"/>
  <c r="B167" i="6"/>
  <c r="C167" i="6"/>
  <c r="D167" i="6"/>
  <c r="E167" i="6"/>
  <c r="B168" i="6"/>
  <c r="C168" i="6"/>
  <c r="D168" i="6"/>
  <c r="E168" i="6"/>
  <c r="B169" i="6"/>
  <c r="C169" i="6"/>
  <c r="D169" i="6"/>
  <c r="E169" i="6"/>
  <c r="B170" i="6"/>
  <c r="C170" i="6"/>
  <c r="D170" i="6"/>
  <c r="E170" i="6"/>
  <c r="B171" i="6"/>
  <c r="C171" i="6"/>
  <c r="D171" i="6"/>
  <c r="E171" i="6"/>
  <c r="B172" i="6"/>
  <c r="C172" i="6"/>
  <c r="D172" i="6"/>
  <c r="E172" i="6"/>
  <c r="B173" i="6"/>
  <c r="C173" i="6"/>
  <c r="D173" i="6"/>
  <c r="E173" i="6"/>
  <c r="B174" i="6"/>
  <c r="C174" i="6"/>
  <c r="D174" i="6"/>
  <c r="E174" i="6"/>
  <c r="B175" i="6"/>
  <c r="C175" i="6"/>
  <c r="D175" i="6"/>
  <c r="E175" i="6"/>
  <c r="B176" i="6"/>
  <c r="C176" i="6"/>
  <c r="D176" i="6"/>
  <c r="E176" i="6"/>
  <c r="B177" i="6"/>
  <c r="C177" i="6"/>
  <c r="D177" i="6"/>
  <c r="E177" i="6"/>
  <c r="B178" i="6"/>
  <c r="C178" i="6"/>
  <c r="D178" i="6"/>
  <c r="E178" i="6"/>
  <c r="B179" i="6"/>
  <c r="C179" i="6"/>
  <c r="D179" i="6"/>
  <c r="E179" i="6"/>
  <c r="B180" i="6"/>
  <c r="C180" i="6"/>
  <c r="D180" i="6"/>
  <c r="E180" i="6"/>
  <c r="B181" i="6"/>
  <c r="C181" i="6"/>
  <c r="D181" i="6"/>
  <c r="E181" i="6"/>
  <c r="B182" i="6"/>
  <c r="C182" i="6"/>
  <c r="D182" i="6"/>
  <c r="E182" i="6"/>
  <c r="B183" i="6"/>
  <c r="C183" i="6"/>
  <c r="D183" i="6"/>
  <c r="E183" i="6"/>
  <c r="B184" i="6"/>
  <c r="C184" i="6"/>
  <c r="D184" i="6"/>
  <c r="E184" i="6"/>
  <c r="B185" i="6"/>
  <c r="C185" i="6"/>
  <c r="D185" i="6"/>
  <c r="E185" i="6"/>
  <c r="B186" i="6"/>
  <c r="C186" i="6"/>
  <c r="D186" i="6"/>
  <c r="E186" i="6"/>
  <c r="B187" i="6"/>
  <c r="C187" i="6"/>
  <c r="D187" i="6"/>
  <c r="E187" i="6"/>
  <c r="B188" i="6"/>
  <c r="C188" i="6"/>
  <c r="D188" i="6"/>
  <c r="E188" i="6"/>
  <c r="B189" i="6"/>
  <c r="C189" i="6"/>
  <c r="D189" i="6"/>
  <c r="E189" i="6"/>
  <c r="B190" i="6"/>
  <c r="C190" i="6"/>
  <c r="D190" i="6"/>
  <c r="E190" i="6"/>
  <c r="B191" i="6"/>
  <c r="C191" i="6"/>
  <c r="D191" i="6"/>
  <c r="E191" i="6"/>
  <c r="B192" i="6"/>
  <c r="C192" i="6"/>
  <c r="D192" i="6"/>
  <c r="E192" i="6"/>
  <c r="B193" i="6"/>
  <c r="C193" i="6"/>
  <c r="D193" i="6"/>
  <c r="E193" i="6"/>
  <c r="B194" i="6"/>
  <c r="C194" i="6"/>
  <c r="D194" i="6"/>
  <c r="E194" i="6"/>
  <c r="B195" i="6"/>
  <c r="C195" i="6"/>
  <c r="D195" i="6"/>
  <c r="E195" i="6"/>
  <c r="B196" i="6"/>
  <c r="C196" i="6"/>
  <c r="D196" i="6"/>
  <c r="E196" i="6"/>
  <c r="B197" i="6"/>
  <c r="C197" i="6"/>
  <c r="D197" i="6"/>
  <c r="E197" i="6"/>
  <c r="B198" i="6"/>
  <c r="C198" i="6"/>
  <c r="D198" i="6"/>
  <c r="E198" i="6"/>
  <c r="B199" i="6"/>
  <c r="C199" i="6"/>
  <c r="D199" i="6"/>
  <c r="E199" i="6"/>
  <c r="B200" i="6"/>
  <c r="C200" i="6"/>
  <c r="D200" i="6"/>
  <c r="E200" i="6"/>
  <c r="B201" i="6"/>
  <c r="C201" i="6"/>
  <c r="D201" i="6"/>
  <c r="E201" i="6"/>
  <c r="B202" i="6"/>
  <c r="C202" i="6"/>
  <c r="D202" i="6"/>
  <c r="E202" i="6"/>
  <c r="B203" i="6"/>
  <c r="C203" i="6"/>
  <c r="D203" i="6"/>
  <c r="E203" i="6"/>
  <c r="B204" i="6"/>
  <c r="C204" i="6"/>
  <c r="D204" i="6"/>
  <c r="E204" i="6"/>
  <c r="B205" i="6"/>
  <c r="C205" i="6"/>
  <c r="D205" i="6"/>
  <c r="E205" i="6"/>
  <c r="B206" i="6"/>
  <c r="C206" i="6"/>
  <c r="D206" i="6"/>
  <c r="E206" i="6"/>
  <c r="B207" i="6"/>
  <c r="C207" i="6"/>
  <c r="D207" i="6"/>
  <c r="E207" i="6"/>
  <c r="B208" i="6"/>
  <c r="C208" i="6"/>
  <c r="D208" i="6"/>
  <c r="E208" i="6"/>
  <c r="B209" i="6"/>
  <c r="C209" i="6"/>
  <c r="D209" i="6"/>
  <c r="E209" i="6"/>
  <c r="B210" i="6"/>
  <c r="C210" i="6"/>
  <c r="D210" i="6"/>
  <c r="E210" i="6"/>
  <c r="B211" i="6"/>
  <c r="C211" i="6"/>
  <c r="D211" i="6"/>
  <c r="E211" i="6"/>
  <c r="B212" i="6"/>
  <c r="C212" i="6"/>
  <c r="D212" i="6"/>
  <c r="E212" i="6"/>
  <c r="B213" i="6"/>
  <c r="C213" i="6"/>
  <c r="D213" i="6"/>
  <c r="E213" i="6"/>
  <c r="B214" i="6"/>
  <c r="C214" i="6"/>
  <c r="D214" i="6"/>
  <c r="E214" i="6"/>
  <c r="B215" i="6"/>
  <c r="C215" i="6"/>
  <c r="D215" i="6"/>
  <c r="E215" i="6"/>
  <c r="B216" i="6"/>
  <c r="C216" i="6"/>
  <c r="D216" i="6"/>
  <c r="E216" i="6"/>
  <c r="B217" i="6"/>
  <c r="C217" i="6"/>
  <c r="D217" i="6"/>
  <c r="E217" i="6"/>
  <c r="B218" i="6"/>
  <c r="C218" i="6"/>
  <c r="D218" i="6"/>
  <c r="E218" i="6"/>
  <c r="B219" i="6"/>
  <c r="C219" i="6"/>
  <c r="D219" i="6"/>
  <c r="E219" i="6"/>
  <c r="B220" i="6"/>
  <c r="C220" i="6"/>
  <c r="D220" i="6"/>
  <c r="E220" i="6"/>
  <c r="B221" i="6"/>
  <c r="C221" i="6"/>
  <c r="D221" i="6"/>
  <c r="E221" i="6"/>
  <c r="B222" i="6"/>
  <c r="C222" i="6"/>
  <c r="D222" i="6"/>
  <c r="E222" i="6"/>
  <c r="B223" i="6"/>
  <c r="C223" i="6"/>
  <c r="D223" i="6"/>
  <c r="E223" i="6"/>
  <c r="B224" i="6"/>
  <c r="C224" i="6"/>
  <c r="D224" i="6"/>
  <c r="E224" i="6"/>
  <c r="B225" i="6"/>
  <c r="C225" i="6"/>
  <c r="D225" i="6"/>
  <c r="E225" i="6"/>
  <c r="B226" i="6"/>
  <c r="C226" i="6"/>
  <c r="D226" i="6"/>
  <c r="E226" i="6"/>
  <c r="B227" i="6"/>
  <c r="C227" i="6"/>
  <c r="D227" i="6"/>
  <c r="E227" i="6"/>
  <c r="B228" i="6"/>
  <c r="C228" i="6"/>
  <c r="D228" i="6"/>
  <c r="E228" i="6"/>
  <c r="B229" i="6"/>
  <c r="C229" i="6"/>
  <c r="D229" i="6"/>
  <c r="E229" i="6"/>
  <c r="B230" i="6"/>
  <c r="C230" i="6"/>
  <c r="D230" i="6"/>
  <c r="E230" i="6"/>
  <c r="B231" i="6"/>
  <c r="C231" i="6"/>
  <c r="D231" i="6"/>
  <c r="E231" i="6"/>
  <c r="B232" i="6"/>
  <c r="C232" i="6"/>
  <c r="D232" i="6"/>
  <c r="E232" i="6"/>
  <c r="B233" i="6"/>
  <c r="C233" i="6"/>
  <c r="D233" i="6"/>
  <c r="E233" i="6"/>
  <c r="B234" i="6"/>
  <c r="C234" i="6"/>
  <c r="D234" i="6"/>
  <c r="E234" i="6"/>
  <c r="B235" i="6"/>
  <c r="C235" i="6"/>
  <c r="D235" i="6"/>
  <c r="E235" i="6"/>
  <c r="B236" i="6"/>
  <c r="C236" i="6"/>
  <c r="D236" i="6"/>
  <c r="E236" i="6"/>
  <c r="B237" i="6"/>
  <c r="C237" i="6"/>
  <c r="D237" i="6"/>
  <c r="E237" i="6"/>
  <c r="B238" i="6"/>
  <c r="C238" i="6"/>
  <c r="D238" i="6"/>
  <c r="E238" i="6"/>
  <c r="B239" i="6"/>
  <c r="C239" i="6"/>
  <c r="D239" i="6"/>
  <c r="E239" i="6"/>
  <c r="B240" i="6"/>
  <c r="C240" i="6"/>
  <c r="D240" i="6"/>
  <c r="E240" i="6"/>
  <c r="B241" i="6"/>
  <c r="C241" i="6"/>
  <c r="D241" i="6"/>
  <c r="E241" i="6"/>
  <c r="B242" i="6"/>
  <c r="C242" i="6"/>
  <c r="D242" i="6"/>
  <c r="E242" i="6"/>
  <c r="B243" i="6"/>
  <c r="C243" i="6"/>
  <c r="D243" i="6"/>
  <c r="E243" i="6"/>
  <c r="B244" i="6"/>
  <c r="C244" i="6"/>
  <c r="D244" i="6"/>
  <c r="E244" i="6"/>
  <c r="B245" i="6"/>
  <c r="C245" i="6"/>
  <c r="D245" i="6"/>
  <c r="E245" i="6"/>
  <c r="B246" i="6"/>
  <c r="C246" i="6"/>
  <c r="D246" i="6"/>
  <c r="E246" i="6"/>
  <c r="B247" i="6"/>
  <c r="C247" i="6"/>
  <c r="D247" i="6"/>
  <c r="E247" i="6"/>
  <c r="B248" i="6"/>
  <c r="C248" i="6"/>
  <c r="D248" i="6"/>
  <c r="E248" i="6"/>
  <c r="B249" i="6"/>
  <c r="C249" i="6"/>
  <c r="D249" i="6"/>
  <c r="E249" i="6"/>
  <c r="B250" i="6"/>
  <c r="C250" i="6"/>
  <c r="D250" i="6"/>
  <c r="E250" i="6"/>
  <c r="B251" i="6"/>
  <c r="C251" i="6"/>
  <c r="D251" i="6"/>
  <c r="E251" i="6"/>
  <c r="B252" i="6"/>
  <c r="C252" i="6"/>
  <c r="D252" i="6"/>
  <c r="E252" i="6"/>
  <c r="B253" i="6"/>
  <c r="C253" i="6"/>
  <c r="D253" i="6"/>
  <c r="E253" i="6"/>
  <c r="B254" i="6"/>
  <c r="C254" i="6"/>
  <c r="D254" i="6"/>
  <c r="E254" i="6"/>
  <c r="B255" i="6"/>
  <c r="C255" i="6"/>
  <c r="D255" i="6"/>
  <c r="E255" i="6"/>
  <c r="B256" i="6"/>
  <c r="C256" i="6"/>
  <c r="D256" i="6"/>
  <c r="E256" i="6"/>
  <c r="B257" i="6"/>
  <c r="C257" i="6"/>
  <c r="D257" i="6"/>
  <c r="E257" i="6"/>
  <c r="B258" i="6"/>
  <c r="C258" i="6"/>
  <c r="D258" i="6"/>
  <c r="E258" i="6"/>
  <c r="B259" i="6"/>
  <c r="C259" i="6"/>
  <c r="D259" i="6"/>
  <c r="E259" i="6"/>
  <c r="B260" i="6"/>
  <c r="C260" i="6"/>
  <c r="D260" i="6"/>
  <c r="E260" i="6"/>
  <c r="B261" i="6"/>
  <c r="C261" i="6"/>
  <c r="D261" i="6"/>
  <c r="E261" i="6"/>
  <c r="B262" i="6"/>
  <c r="C262" i="6"/>
  <c r="D262" i="6"/>
  <c r="E262" i="6"/>
  <c r="B263" i="6"/>
  <c r="C263" i="6"/>
  <c r="D263" i="6"/>
  <c r="E263" i="6"/>
  <c r="B264" i="6"/>
  <c r="C264" i="6"/>
  <c r="D264" i="6"/>
  <c r="E264" i="6"/>
  <c r="B265" i="6"/>
  <c r="C265" i="6"/>
  <c r="D265" i="6"/>
  <c r="E265" i="6"/>
  <c r="B266" i="6"/>
  <c r="C266" i="6"/>
  <c r="D266" i="6"/>
  <c r="E266" i="6"/>
  <c r="B267" i="6"/>
  <c r="C267" i="6"/>
  <c r="D267" i="6"/>
  <c r="E267" i="6"/>
  <c r="C268" i="6"/>
  <c r="D268" i="6"/>
  <c r="E268" i="6"/>
  <c r="D269" i="6"/>
  <c r="E269" i="6"/>
  <c r="C270" i="6"/>
  <c r="D270" i="6"/>
  <c r="E270" i="6"/>
  <c r="D271" i="6"/>
  <c r="E271" i="6"/>
  <c r="C272" i="6"/>
  <c r="D272" i="6"/>
  <c r="E272" i="6"/>
  <c r="D273" i="6"/>
  <c r="E273" i="6"/>
  <c r="C274" i="6"/>
  <c r="D274" i="6"/>
  <c r="E274" i="6"/>
  <c r="D275" i="6"/>
  <c r="E275" i="6"/>
  <c r="C276" i="6"/>
  <c r="D276" i="6"/>
  <c r="E276" i="6"/>
  <c r="D277" i="6"/>
  <c r="E277" i="6"/>
  <c r="C278" i="6"/>
  <c r="D278" i="6"/>
  <c r="E278" i="6"/>
  <c r="D279" i="6"/>
  <c r="E279" i="6"/>
  <c r="C280" i="6"/>
  <c r="D280" i="6"/>
  <c r="E280" i="6"/>
  <c r="D281" i="6"/>
  <c r="E281" i="6"/>
  <c r="C282" i="6"/>
  <c r="D282" i="6"/>
  <c r="E282" i="6"/>
  <c r="D283" i="6"/>
  <c r="E283" i="6"/>
  <c r="C284" i="6"/>
  <c r="D284" i="6"/>
  <c r="E284" i="6"/>
  <c r="D285" i="6"/>
  <c r="E285" i="6"/>
  <c r="C286" i="6"/>
  <c r="D286" i="6"/>
  <c r="E286" i="6"/>
  <c r="D287" i="6"/>
  <c r="E287" i="6"/>
  <c r="C288" i="6"/>
  <c r="D288" i="6"/>
  <c r="E288" i="6"/>
  <c r="D289" i="6"/>
  <c r="E289" i="6"/>
  <c r="C290" i="6"/>
  <c r="D290" i="6"/>
  <c r="E290" i="6"/>
  <c r="D291" i="6"/>
  <c r="E291" i="6"/>
  <c r="C292" i="6"/>
  <c r="D292" i="6"/>
  <c r="E292" i="6"/>
  <c r="D293" i="6"/>
  <c r="E293" i="6"/>
  <c r="B294" i="6"/>
  <c r="C294" i="6"/>
  <c r="D294" i="6"/>
  <c r="E294" i="6"/>
  <c r="D295" i="6"/>
  <c r="E295" i="6"/>
  <c r="B296" i="6"/>
  <c r="C296" i="6"/>
  <c r="D296" i="6"/>
  <c r="E296" i="6"/>
  <c r="D297" i="6"/>
  <c r="E297" i="6"/>
  <c r="B298" i="6"/>
  <c r="C298" i="6"/>
  <c r="D298" i="6"/>
  <c r="E298" i="6"/>
  <c r="D299" i="6"/>
  <c r="E299" i="6"/>
  <c r="B300" i="6"/>
  <c r="C300" i="6"/>
  <c r="D300" i="6"/>
  <c r="E300" i="6"/>
  <c r="D301" i="6"/>
  <c r="E301" i="6"/>
  <c r="B302" i="6"/>
  <c r="C302" i="6"/>
  <c r="D302" i="6"/>
  <c r="E302" i="6"/>
  <c r="D303" i="6"/>
  <c r="E303" i="6"/>
  <c r="B304" i="6"/>
  <c r="C304" i="6"/>
  <c r="D304" i="6"/>
  <c r="E304" i="6"/>
  <c r="D305" i="6"/>
  <c r="E305" i="6"/>
  <c r="B306" i="6"/>
  <c r="C306" i="6"/>
  <c r="D306" i="6"/>
  <c r="E306" i="6"/>
  <c r="D307" i="6"/>
  <c r="E307" i="6"/>
  <c r="B308" i="6"/>
  <c r="C308" i="6"/>
  <c r="D308" i="6"/>
  <c r="E308" i="6"/>
  <c r="D309" i="6"/>
  <c r="E309" i="6"/>
  <c r="B310" i="6"/>
  <c r="C310" i="6"/>
  <c r="D310" i="6"/>
  <c r="E310" i="6"/>
  <c r="D311" i="6"/>
  <c r="E311" i="6"/>
  <c r="B312" i="6"/>
  <c r="C312" i="6"/>
  <c r="D312" i="6"/>
  <c r="E312" i="6"/>
  <c r="D313" i="6"/>
  <c r="E313" i="6"/>
  <c r="B314" i="6"/>
  <c r="C314" i="6"/>
  <c r="D314" i="6"/>
  <c r="E314" i="6"/>
  <c r="D315" i="6"/>
  <c r="E315" i="6"/>
  <c r="B316" i="6"/>
  <c r="C316" i="6"/>
  <c r="D316" i="6"/>
  <c r="E316" i="6"/>
  <c r="D317" i="6"/>
  <c r="E317" i="6"/>
  <c r="B318" i="6"/>
  <c r="C318" i="6"/>
  <c r="D318" i="6"/>
  <c r="E318" i="6"/>
  <c r="D319" i="6"/>
  <c r="E319" i="6"/>
  <c r="B320" i="6"/>
  <c r="C320" i="6"/>
  <c r="D320" i="6"/>
  <c r="E320" i="6"/>
  <c r="D321" i="6"/>
  <c r="E321" i="6"/>
  <c r="B322" i="6"/>
  <c r="C322" i="6"/>
  <c r="D322" i="6"/>
  <c r="E322" i="6"/>
  <c r="B323" i="6"/>
  <c r="D323" i="6"/>
  <c r="E323" i="6"/>
  <c r="B324" i="6"/>
  <c r="C324" i="6"/>
  <c r="D324" i="6"/>
  <c r="E324" i="6"/>
  <c r="B325" i="6"/>
  <c r="D325" i="6"/>
  <c r="E325" i="6"/>
  <c r="B326" i="6"/>
  <c r="C326" i="6"/>
  <c r="D326" i="6"/>
  <c r="E326" i="6"/>
  <c r="B327" i="6"/>
  <c r="D327" i="6"/>
  <c r="E327" i="6"/>
  <c r="B328" i="6"/>
  <c r="C328" i="6"/>
  <c r="D328" i="6"/>
  <c r="E328" i="6"/>
  <c r="B329" i="6"/>
  <c r="D329" i="6"/>
  <c r="E329" i="6"/>
  <c r="B330" i="6"/>
  <c r="C330" i="6"/>
  <c r="D330" i="6"/>
  <c r="E330" i="6"/>
  <c r="B331" i="6"/>
  <c r="D331" i="6"/>
  <c r="E331" i="6"/>
  <c r="B332" i="6"/>
  <c r="C332" i="6"/>
  <c r="D332" i="6"/>
  <c r="E332" i="6"/>
  <c r="B333" i="6"/>
  <c r="D333" i="6"/>
  <c r="E333" i="6"/>
  <c r="B334" i="6"/>
  <c r="C334" i="6"/>
  <c r="D334" i="6"/>
  <c r="E334" i="6"/>
  <c r="B335" i="6"/>
  <c r="D335" i="6"/>
  <c r="E335" i="6"/>
  <c r="B336" i="6"/>
  <c r="C336" i="6"/>
  <c r="D336" i="6"/>
  <c r="E336" i="6"/>
  <c r="B337" i="6"/>
  <c r="D337" i="6"/>
  <c r="E337" i="6"/>
  <c r="B338" i="6"/>
  <c r="C338" i="6"/>
  <c r="D338" i="6"/>
  <c r="E338" i="6"/>
  <c r="B339" i="6"/>
  <c r="D339" i="6"/>
  <c r="E339" i="6"/>
  <c r="B340" i="6"/>
  <c r="C340" i="6"/>
  <c r="D340" i="6"/>
  <c r="E340" i="6"/>
  <c r="B341" i="6"/>
  <c r="D341" i="6"/>
  <c r="E341" i="6"/>
  <c r="B342" i="6"/>
  <c r="C342" i="6"/>
  <c r="D342" i="6"/>
  <c r="E342" i="6"/>
  <c r="B343" i="6"/>
  <c r="D343" i="6"/>
  <c r="E343" i="6"/>
  <c r="C2" i="6"/>
  <c r="D2" i="6"/>
  <c r="E2" i="6"/>
  <c r="B2" i="6"/>
  <c r="B607" i="8"/>
  <c r="D41" i="8"/>
  <c r="E41" i="8"/>
  <c r="F41" i="8"/>
  <c r="D42" i="8"/>
  <c r="E42" i="8"/>
  <c r="F42" i="8"/>
  <c r="D43" i="8"/>
  <c r="E43" i="8"/>
  <c r="F43" i="8"/>
  <c r="D44" i="8"/>
  <c r="E44" i="8"/>
  <c r="F44" i="8"/>
  <c r="D45" i="8"/>
  <c r="E45" i="8"/>
  <c r="F45" i="8"/>
  <c r="D46" i="8"/>
  <c r="E46" i="8"/>
  <c r="F46" i="8"/>
  <c r="D47" i="8"/>
  <c r="E47" i="8"/>
  <c r="F47" i="8"/>
  <c r="D48" i="8"/>
  <c r="E48" i="8"/>
  <c r="F48" i="8"/>
  <c r="D49" i="8"/>
  <c r="E49" i="8"/>
  <c r="F49" i="8"/>
  <c r="D50" i="8"/>
  <c r="E50" i="8"/>
  <c r="F50" i="8"/>
  <c r="D51" i="8"/>
  <c r="E51" i="8"/>
  <c r="F51" i="8"/>
  <c r="D52" i="8"/>
  <c r="E52" i="8"/>
  <c r="F52" i="8"/>
  <c r="D53" i="8"/>
  <c r="E53" i="8"/>
  <c r="F53" i="8"/>
  <c r="D54" i="8"/>
  <c r="E54" i="8"/>
  <c r="F54" i="8"/>
  <c r="D55" i="8"/>
  <c r="E55" i="8"/>
  <c r="F55" i="8"/>
  <c r="D56" i="8"/>
  <c r="E56" i="8"/>
  <c r="F56" i="8"/>
  <c r="D57" i="8"/>
  <c r="E57" i="8"/>
  <c r="F57" i="8"/>
  <c r="D58" i="8"/>
  <c r="E58" i="8"/>
  <c r="F58" i="8"/>
  <c r="D59" i="8"/>
  <c r="E59" i="8"/>
  <c r="F59" i="8"/>
  <c r="D60" i="8"/>
  <c r="E60" i="8"/>
  <c r="F60" i="8"/>
  <c r="D61" i="8"/>
  <c r="E61" i="8"/>
  <c r="F61" i="8"/>
  <c r="D62" i="8"/>
  <c r="E62" i="8"/>
  <c r="F62" i="8"/>
  <c r="D63" i="8"/>
  <c r="E63" i="8"/>
  <c r="F63" i="8"/>
  <c r="D64" i="8"/>
  <c r="E64" i="8"/>
  <c r="F64" i="8"/>
  <c r="D65" i="8"/>
  <c r="E65" i="8"/>
  <c r="F65" i="8"/>
  <c r="D66" i="8"/>
  <c r="E66" i="8"/>
  <c r="F66" i="8"/>
  <c r="D67" i="8"/>
  <c r="E67" i="8"/>
  <c r="F67" i="8"/>
  <c r="D68" i="8"/>
  <c r="E68" i="8"/>
  <c r="F68" i="8"/>
  <c r="D69" i="8"/>
  <c r="E69" i="8"/>
  <c r="F69" i="8"/>
  <c r="D70" i="8"/>
  <c r="E70" i="8"/>
  <c r="F70" i="8"/>
  <c r="D71" i="8"/>
  <c r="E71" i="8"/>
  <c r="F71" i="8"/>
  <c r="D72" i="8"/>
  <c r="E72" i="8"/>
  <c r="F72" i="8"/>
  <c r="D73" i="8"/>
  <c r="E73" i="8"/>
  <c r="F73" i="8"/>
  <c r="D74" i="8"/>
  <c r="E74" i="8"/>
  <c r="F74" i="8"/>
  <c r="D75" i="8"/>
  <c r="E75" i="8"/>
  <c r="F75" i="8"/>
  <c r="D76" i="8"/>
  <c r="E76" i="8"/>
  <c r="F76" i="8"/>
  <c r="D77" i="8"/>
  <c r="E77" i="8"/>
  <c r="F77" i="8"/>
  <c r="D78" i="8"/>
  <c r="E78" i="8"/>
  <c r="F78" i="8"/>
  <c r="D79" i="8"/>
  <c r="E79" i="8"/>
  <c r="F79" i="8"/>
  <c r="D80" i="8"/>
  <c r="E80" i="8"/>
  <c r="F80" i="8"/>
  <c r="D81" i="8"/>
  <c r="E81" i="8"/>
  <c r="F81" i="8"/>
  <c r="D82" i="8"/>
  <c r="E82" i="8"/>
  <c r="F82" i="8"/>
  <c r="D83" i="8"/>
  <c r="E83" i="8"/>
  <c r="F83" i="8"/>
  <c r="D84" i="8"/>
  <c r="E84" i="8"/>
  <c r="F84" i="8"/>
  <c r="D85" i="8"/>
  <c r="E85" i="8"/>
  <c r="F85" i="8"/>
  <c r="D86" i="8"/>
  <c r="E86" i="8"/>
  <c r="F86" i="8"/>
  <c r="D87" i="8"/>
  <c r="E87" i="8"/>
  <c r="F87" i="8"/>
  <c r="D88" i="8"/>
  <c r="E88" i="8"/>
  <c r="F88" i="8"/>
  <c r="D89" i="8"/>
  <c r="E89" i="8"/>
  <c r="F89" i="8"/>
  <c r="D90" i="8"/>
  <c r="E90" i="8"/>
  <c r="F90" i="8"/>
  <c r="F607" i="8" s="1"/>
  <c r="D91" i="8"/>
  <c r="E91" i="8"/>
  <c r="F91" i="8"/>
  <c r="D92" i="8"/>
  <c r="E92" i="8"/>
  <c r="F92" i="8"/>
  <c r="D93" i="8"/>
  <c r="E93" i="8"/>
  <c r="F93" i="8"/>
  <c r="D94" i="8"/>
  <c r="E94" i="8"/>
  <c r="F94" i="8"/>
  <c r="D95" i="8"/>
  <c r="E95" i="8"/>
  <c r="F95" i="8"/>
  <c r="D96" i="8"/>
  <c r="E96" i="8"/>
  <c r="F96" i="8"/>
  <c r="D97" i="8"/>
  <c r="E97" i="8"/>
  <c r="F97" i="8"/>
  <c r="D98" i="8"/>
  <c r="E98" i="8"/>
  <c r="F98" i="8"/>
  <c r="D99" i="8"/>
  <c r="E99" i="8"/>
  <c r="F99" i="8"/>
  <c r="D100" i="8"/>
  <c r="E100" i="8"/>
  <c r="F100" i="8"/>
  <c r="D101" i="8"/>
  <c r="E101" i="8"/>
  <c r="F101" i="8"/>
  <c r="D102" i="8"/>
  <c r="E102" i="8"/>
  <c r="F102" i="8"/>
  <c r="D103" i="8"/>
  <c r="E103" i="8"/>
  <c r="F103" i="8"/>
  <c r="D104" i="8"/>
  <c r="E104" i="8"/>
  <c r="F104" i="8"/>
  <c r="D105" i="8"/>
  <c r="E105" i="8"/>
  <c r="F105" i="8"/>
  <c r="D106" i="8"/>
  <c r="E106" i="8"/>
  <c r="F106" i="8"/>
  <c r="D107" i="8"/>
  <c r="E107" i="8"/>
  <c r="F107" i="8"/>
  <c r="D108" i="8"/>
  <c r="E108" i="8"/>
  <c r="F108" i="8"/>
  <c r="D109" i="8"/>
  <c r="E109" i="8"/>
  <c r="F109" i="8"/>
  <c r="D110" i="8"/>
  <c r="E110" i="8"/>
  <c r="F110" i="8"/>
  <c r="D111" i="8"/>
  <c r="E111" i="8"/>
  <c r="F111" i="8"/>
  <c r="D112" i="8"/>
  <c r="E112" i="8"/>
  <c r="F112" i="8"/>
  <c r="D113" i="8"/>
  <c r="E113" i="8"/>
  <c r="F113" i="8"/>
  <c r="D114" i="8"/>
  <c r="E114" i="8"/>
  <c r="F114" i="8"/>
  <c r="D115" i="8"/>
  <c r="E115" i="8"/>
  <c r="F115" i="8"/>
  <c r="D116" i="8"/>
  <c r="E116" i="8"/>
  <c r="F116" i="8"/>
  <c r="D117" i="8"/>
  <c r="E117" i="8"/>
  <c r="F117" i="8"/>
  <c r="D118" i="8"/>
  <c r="E118" i="8"/>
  <c r="F118" i="8"/>
  <c r="D119" i="8"/>
  <c r="E119" i="8"/>
  <c r="F119" i="8"/>
  <c r="D120" i="8"/>
  <c r="E120" i="8"/>
  <c r="F120" i="8"/>
  <c r="D121" i="8"/>
  <c r="E121" i="8"/>
  <c r="F121" i="8"/>
  <c r="D122" i="8"/>
  <c r="E122" i="8"/>
  <c r="F122" i="8"/>
  <c r="D123" i="8"/>
  <c r="E123" i="8"/>
  <c r="F123" i="8"/>
  <c r="D124" i="8"/>
  <c r="E124" i="8"/>
  <c r="F124" i="8"/>
  <c r="D125" i="8"/>
  <c r="E125" i="8"/>
  <c r="F125" i="8"/>
  <c r="D126" i="8"/>
  <c r="E126" i="8"/>
  <c r="F126" i="8"/>
  <c r="D127" i="8"/>
  <c r="E127" i="8"/>
  <c r="F127" i="8"/>
  <c r="D128" i="8"/>
  <c r="E128" i="8"/>
  <c r="F128" i="8"/>
  <c r="D129" i="8"/>
  <c r="E129" i="8"/>
  <c r="F129" i="8"/>
  <c r="D130" i="8"/>
  <c r="E130" i="8"/>
  <c r="F130" i="8"/>
  <c r="D131" i="8"/>
  <c r="E131" i="8"/>
  <c r="F131" i="8"/>
  <c r="D132" i="8"/>
  <c r="E132" i="8"/>
  <c r="F132" i="8"/>
  <c r="D133" i="8"/>
  <c r="E133" i="8"/>
  <c r="F133" i="8"/>
  <c r="D134" i="8"/>
  <c r="E134" i="8"/>
  <c r="F134" i="8"/>
  <c r="D135" i="8"/>
  <c r="E135" i="8"/>
  <c r="F135" i="8"/>
  <c r="D136" i="8"/>
  <c r="E136" i="8"/>
  <c r="F136" i="8"/>
  <c r="D137" i="8"/>
  <c r="E137" i="8"/>
  <c r="F137" i="8"/>
  <c r="D138" i="8"/>
  <c r="E138" i="8"/>
  <c r="F138" i="8"/>
  <c r="D139" i="8"/>
  <c r="E139" i="8"/>
  <c r="F139" i="8"/>
  <c r="D140" i="8"/>
  <c r="E140" i="8"/>
  <c r="F140" i="8"/>
  <c r="D141" i="8"/>
  <c r="E141" i="8"/>
  <c r="F141" i="8"/>
  <c r="D142" i="8"/>
  <c r="E142" i="8"/>
  <c r="F142" i="8"/>
  <c r="D143" i="8"/>
  <c r="E143" i="8"/>
  <c r="F143" i="8"/>
  <c r="D144" i="8"/>
  <c r="E144" i="8"/>
  <c r="F144" i="8"/>
  <c r="D145" i="8"/>
  <c r="E145" i="8"/>
  <c r="F145" i="8"/>
  <c r="D146" i="8"/>
  <c r="E146" i="8"/>
  <c r="F146" i="8"/>
  <c r="D147" i="8"/>
  <c r="E147" i="8"/>
  <c r="F147" i="8"/>
  <c r="D148" i="8"/>
  <c r="E148" i="8"/>
  <c r="F148" i="8"/>
  <c r="D149" i="8"/>
  <c r="E149" i="8"/>
  <c r="F149" i="8"/>
  <c r="D150" i="8"/>
  <c r="E150" i="8"/>
  <c r="F150" i="8"/>
  <c r="D151" i="8"/>
  <c r="E151" i="8"/>
  <c r="F151" i="8"/>
  <c r="D152" i="8"/>
  <c r="E152" i="8"/>
  <c r="F152" i="8"/>
  <c r="D153" i="8"/>
  <c r="E153" i="8"/>
  <c r="F153" i="8"/>
  <c r="D154" i="8"/>
  <c r="E154" i="8"/>
  <c r="F154" i="8"/>
  <c r="D155" i="8"/>
  <c r="E155" i="8"/>
  <c r="F155" i="8"/>
  <c r="D156" i="8"/>
  <c r="E156" i="8"/>
  <c r="F156" i="8"/>
  <c r="D157" i="8"/>
  <c r="E157" i="8"/>
  <c r="F157" i="8"/>
  <c r="D158" i="8"/>
  <c r="E158" i="8"/>
  <c r="F158" i="8"/>
  <c r="D159" i="8"/>
  <c r="E159" i="8"/>
  <c r="F159" i="8"/>
  <c r="D160" i="8"/>
  <c r="E160" i="8"/>
  <c r="F160" i="8"/>
  <c r="D161" i="8"/>
  <c r="E161" i="8"/>
  <c r="F161" i="8"/>
  <c r="D162" i="8"/>
  <c r="E162" i="8"/>
  <c r="F162" i="8"/>
  <c r="D163" i="8"/>
  <c r="E163" i="8"/>
  <c r="F163" i="8"/>
  <c r="D164" i="8"/>
  <c r="E164" i="8"/>
  <c r="F164" i="8"/>
  <c r="D165" i="8"/>
  <c r="E165" i="8"/>
  <c r="F165" i="8"/>
  <c r="D166" i="8"/>
  <c r="E166" i="8"/>
  <c r="F166" i="8"/>
  <c r="D167" i="8"/>
  <c r="E167" i="8"/>
  <c r="F167" i="8"/>
  <c r="D168" i="8"/>
  <c r="E168" i="8"/>
  <c r="F168" i="8"/>
  <c r="D169" i="8"/>
  <c r="E169" i="8"/>
  <c r="F169" i="8"/>
  <c r="D170" i="8"/>
  <c r="E170" i="8"/>
  <c r="F170" i="8"/>
  <c r="D171" i="8"/>
  <c r="E171" i="8"/>
  <c r="F171" i="8"/>
  <c r="D172" i="8"/>
  <c r="E172" i="8"/>
  <c r="F172" i="8"/>
  <c r="D173" i="8"/>
  <c r="E173" i="8"/>
  <c r="F173" i="8"/>
  <c r="D174" i="8"/>
  <c r="E174" i="8"/>
  <c r="F174" i="8"/>
  <c r="D175" i="8"/>
  <c r="E175" i="8"/>
  <c r="F175" i="8"/>
  <c r="D176" i="8"/>
  <c r="E176" i="8"/>
  <c r="F176" i="8"/>
  <c r="D177" i="8"/>
  <c r="E177" i="8"/>
  <c r="F177" i="8"/>
  <c r="D178" i="8"/>
  <c r="E178" i="8"/>
  <c r="F178" i="8"/>
  <c r="D179" i="8"/>
  <c r="E179" i="8"/>
  <c r="F179" i="8"/>
  <c r="D180" i="8"/>
  <c r="E180" i="8"/>
  <c r="F180" i="8"/>
  <c r="D181" i="8"/>
  <c r="E181" i="8"/>
  <c r="F181" i="8"/>
  <c r="D182" i="8"/>
  <c r="E182" i="8"/>
  <c r="F182" i="8"/>
  <c r="D183" i="8"/>
  <c r="E183" i="8"/>
  <c r="F183" i="8"/>
  <c r="D184" i="8"/>
  <c r="E184" i="8"/>
  <c r="F184" i="8"/>
  <c r="D185" i="8"/>
  <c r="E185" i="8"/>
  <c r="F185" i="8"/>
  <c r="D186" i="8"/>
  <c r="E186" i="8"/>
  <c r="F186" i="8"/>
  <c r="D187" i="8"/>
  <c r="E187" i="8"/>
  <c r="F187" i="8"/>
  <c r="D188" i="8"/>
  <c r="E188" i="8"/>
  <c r="F188" i="8"/>
  <c r="D189" i="8"/>
  <c r="E189" i="8"/>
  <c r="F189" i="8"/>
  <c r="D190" i="8"/>
  <c r="E190" i="8"/>
  <c r="F190" i="8"/>
  <c r="D191" i="8"/>
  <c r="E191" i="8"/>
  <c r="F191" i="8"/>
  <c r="D192" i="8"/>
  <c r="E192" i="8"/>
  <c r="F192" i="8"/>
  <c r="D193" i="8"/>
  <c r="E193" i="8"/>
  <c r="F193" i="8"/>
  <c r="D194" i="8"/>
  <c r="E194" i="8"/>
  <c r="F194" i="8"/>
  <c r="D195" i="8"/>
  <c r="E195" i="8"/>
  <c r="F195" i="8"/>
  <c r="D196" i="8"/>
  <c r="E196" i="8"/>
  <c r="F196" i="8"/>
  <c r="D197" i="8"/>
  <c r="E197" i="8"/>
  <c r="F197" i="8"/>
  <c r="D198" i="8"/>
  <c r="E198" i="8"/>
  <c r="F198" i="8"/>
  <c r="D199" i="8"/>
  <c r="E199" i="8"/>
  <c r="F199" i="8"/>
  <c r="D200" i="8"/>
  <c r="E200" i="8"/>
  <c r="F200" i="8"/>
  <c r="D201" i="8"/>
  <c r="E201" i="8"/>
  <c r="F201" i="8"/>
  <c r="D202" i="8"/>
  <c r="E202" i="8"/>
  <c r="F202" i="8"/>
  <c r="D203" i="8"/>
  <c r="E203" i="8"/>
  <c r="F203" i="8"/>
  <c r="D204" i="8"/>
  <c r="E204" i="8"/>
  <c r="F204" i="8"/>
  <c r="D205" i="8"/>
  <c r="E205" i="8"/>
  <c r="F205" i="8"/>
  <c r="D206" i="8"/>
  <c r="E206" i="8"/>
  <c r="F206" i="8"/>
  <c r="D207" i="8"/>
  <c r="E207" i="8"/>
  <c r="F207" i="8"/>
  <c r="D208" i="8"/>
  <c r="E208" i="8"/>
  <c r="F208" i="8"/>
  <c r="D209" i="8"/>
  <c r="E209" i="8"/>
  <c r="F209" i="8"/>
  <c r="D210" i="8"/>
  <c r="E210" i="8"/>
  <c r="F210" i="8"/>
  <c r="D211" i="8"/>
  <c r="E211" i="8"/>
  <c r="F211" i="8"/>
  <c r="D212" i="8"/>
  <c r="E212" i="8"/>
  <c r="F212" i="8"/>
  <c r="D213" i="8"/>
  <c r="E213" i="8"/>
  <c r="F213" i="8"/>
  <c r="D214" i="8"/>
  <c r="E214" i="8"/>
  <c r="F214" i="8"/>
  <c r="D215" i="8"/>
  <c r="E215" i="8"/>
  <c r="F215" i="8"/>
  <c r="D216" i="8"/>
  <c r="E216" i="8"/>
  <c r="F216" i="8"/>
  <c r="D217" i="8"/>
  <c r="E217" i="8"/>
  <c r="F217" i="8"/>
  <c r="D218" i="8"/>
  <c r="E218" i="8"/>
  <c r="F218" i="8"/>
  <c r="D219" i="8"/>
  <c r="E219" i="8"/>
  <c r="F219" i="8"/>
  <c r="D220" i="8"/>
  <c r="E220" i="8"/>
  <c r="F220" i="8"/>
  <c r="D221" i="8"/>
  <c r="E221" i="8"/>
  <c r="F221" i="8"/>
  <c r="D222" i="8"/>
  <c r="E222" i="8"/>
  <c r="F222" i="8"/>
  <c r="D223" i="8"/>
  <c r="E223" i="8"/>
  <c r="F223" i="8"/>
  <c r="D224" i="8"/>
  <c r="E224" i="8"/>
  <c r="F224" i="8"/>
  <c r="D225" i="8"/>
  <c r="E225" i="8"/>
  <c r="F225" i="8"/>
  <c r="D226" i="8"/>
  <c r="E226" i="8"/>
  <c r="F226" i="8"/>
  <c r="D227" i="8"/>
  <c r="E227" i="8"/>
  <c r="F227" i="8"/>
  <c r="D228" i="8"/>
  <c r="E228" i="8"/>
  <c r="F228" i="8"/>
  <c r="D229" i="8"/>
  <c r="E229" i="8"/>
  <c r="F229" i="8"/>
  <c r="D230" i="8"/>
  <c r="E230" i="8"/>
  <c r="F230" i="8"/>
  <c r="D231" i="8"/>
  <c r="E231" i="8"/>
  <c r="F231" i="8"/>
  <c r="D232" i="8"/>
  <c r="E232" i="8"/>
  <c r="F232" i="8"/>
  <c r="D233" i="8"/>
  <c r="E233" i="8"/>
  <c r="F233" i="8"/>
  <c r="D234" i="8"/>
  <c r="E234" i="8"/>
  <c r="F234" i="8"/>
  <c r="D235" i="8"/>
  <c r="E235" i="8"/>
  <c r="F235" i="8"/>
  <c r="D236" i="8"/>
  <c r="E236" i="8"/>
  <c r="F236" i="8"/>
  <c r="D237" i="8"/>
  <c r="E237" i="8"/>
  <c r="F237" i="8"/>
  <c r="D238" i="8"/>
  <c r="E238" i="8"/>
  <c r="F238" i="8"/>
  <c r="D239" i="8"/>
  <c r="E239" i="8"/>
  <c r="F239" i="8"/>
  <c r="D240" i="8"/>
  <c r="E240" i="8"/>
  <c r="F240" i="8"/>
  <c r="D241" i="8"/>
  <c r="E241" i="8"/>
  <c r="F241" i="8"/>
  <c r="D242" i="8"/>
  <c r="E242" i="8"/>
  <c r="F242" i="8"/>
  <c r="D243" i="8"/>
  <c r="E243" i="8"/>
  <c r="F243" i="8"/>
  <c r="D244" i="8"/>
  <c r="E244" i="8"/>
  <c r="F244" i="8"/>
  <c r="D245" i="8"/>
  <c r="E245" i="8"/>
  <c r="F245" i="8"/>
  <c r="D246" i="8"/>
  <c r="E246" i="8"/>
  <c r="F246" i="8"/>
  <c r="D247" i="8"/>
  <c r="E247" i="8"/>
  <c r="F247" i="8"/>
  <c r="D248" i="8"/>
  <c r="E248" i="8"/>
  <c r="F248" i="8"/>
  <c r="D249" i="8"/>
  <c r="E249" i="8"/>
  <c r="F249" i="8"/>
  <c r="D250" i="8"/>
  <c r="E250" i="8"/>
  <c r="F250" i="8"/>
  <c r="D251" i="8"/>
  <c r="E251" i="8"/>
  <c r="F251" i="8"/>
  <c r="D252" i="8"/>
  <c r="E252" i="8"/>
  <c r="F252" i="8"/>
  <c r="D253" i="8"/>
  <c r="E253" i="8"/>
  <c r="F253" i="8"/>
  <c r="D254" i="8"/>
  <c r="E254" i="8"/>
  <c r="F254" i="8"/>
  <c r="D255" i="8"/>
  <c r="E255" i="8"/>
  <c r="F255" i="8"/>
  <c r="D256" i="8"/>
  <c r="E256" i="8"/>
  <c r="F256" i="8"/>
  <c r="D257" i="8"/>
  <c r="E257" i="8"/>
  <c r="F257" i="8"/>
  <c r="D258" i="8"/>
  <c r="E258" i="8"/>
  <c r="F258" i="8"/>
  <c r="D259" i="8"/>
  <c r="E259" i="8"/>
  <c r="F259" i="8"/>
  <c r="D260" i="8"/>
  <c r="E260" i="8"/>
  <c r="F260" i="8"/>
  <c r="D261" i="8"/>
  <c r="E261" i="8"/>
  <c r="F261" i="8"/>
  <c r="D262" i="8"/>
  <c r="E262" i="8"/>
  <c r="F262" i="8"/>
  <c r="D263" i="8"/>
  <c r="E263" i="8"/>
  <c r="F263" i="8"/>
  <c r="D264" i="8"/>
  <c r="E264" i="8"/>
  <c r="F264" i="8"/>
  <c r="D265" i="8"/>
  <c r="E265" i="8"/>
  <c r="F265" i="8"/>
  <c r="D266" i="8"/>
  <c r="E266" i="8"/>
  <c r="F266" i="8"/>
  <c r="D267" i="8"/>
  <c r="E267" i="8"/>
  <c r="F267" i="8"/>
  <c r="D268" i="8"/>
  <c r="E268" i="8"/>
  <c r="F268" i="8"/>
  <c r="D269" i="8"/>
  <c r="E269" i="8"/>
  <c r="F269" i="8"/>
  <c r="D270" i="8"/>
  <c r="E270" i="8"/>
  <c r="F270" i="8"/>
  <c r="D271" i="8"/>
  <c r="E271" i="8"/>
  <c r="F271" i="8"/>
  <c r="D272" i="8"/>
  <c r="E272" i="8"/>
  <c r="F272" i="8"/>
  <c r="D273" i="8"/>
  <c r="E273" i="8"/>
  <c r="F273" i="8"/>
  <c r="D274" i="8"/>
  <c r="E274" i="8"/>
  <c r="F274" i="8"/>
  <c r="D275" i="8"/>
  <c r="E275" i="8"/>
  <c r="F275" i="8"/>
  <c r="D276" i="8"/>
  <c r="E276" i="8"/>
  <c r="F276" i="8"/>
  <c r="D277" i="8"/>
  <c r="E277" i="8"/>
  <c r="F277" i="8"/>
  <c r="D278" i="8"/>
  <c r="E278" i="8"/>
  <c r="F278" i="8"/>
  <c r="D279" i="8"/>
  <c r="E279" i="8"/>
  <c r="F279" i="8"/>
  <c r="D280" i="8"/>
  <c r="E280" i="8"/>
  <c r="F280" i="8"/>
  <c r="D281" i="8"/>
  <c r="E281" i="8"/>
  <c r="F281" i="8"/>
  <c r="D282" i="8"/>
  <c r="E282" i="8"/>
  <c r="F282" i="8"/>
  <c r="D283" i="8"/>
  <c r="E283" i="8"/>
  <c r="F283" i="8"/>
  <c r="D284" i="8"/>
  <c r="E284" i="8"/>
  <c r="F284" i="8"/>
  <c r="D285" i="8"/>
  <c r="E285" i="8"/>
  <c r="F285" i="8"/>
  <c r="D286" i="8"/>
  <c r="E286" i="8"/>
  <c r="F286" i="8"/>
  <c r="D287" i="8"/>
  <c r="E287" i="8"/>
  <c r="F287" i="8"/>
  <c r="D288" i="8"/>
  <c r="E288" i="8"/>
  <c r="F288" i="8"/>
  <c r="D289" i="8"/>
  <c r="E289" i="8"/>
  <c r="F289" i="8"/>
  <c r="D290" i="8"/>
  <c r="E290" i="8"/>
  <c r="F290" i="8"/>
  <c r="D291" i="8"/>
  <c r="E291" i="8"/>
  <c r="F291" i="8"/>
  <c r="D292" i="8"/>
  <c r="E292" i="8"/>
  <c r="F292" i="8"/>
  <c r="D293" i="8"/>
  <c r="E293" i="8"/>
  <c r="F293" i="8"/>
  <c r="D294" i="8"/>
  <c r="E294" i="8"/>
  <c r="F294" i="8"/>
  <c r="D295" i="8"/>
  <c r="E295" i="8"/>
  <c r="F295" i="8"/>
  <c r="D296" i="8"/>
  <c r="E296" i="8"/>
  <c r="F296" i="8"/>
  <c r="D297" i="8"/>
  <c r="E297" i="8"/>
  <c r="F297" i="8"/>
  <c r="D298" i="8"/>
  <c r="E298" i="8"/>
  <c r="F298" i="8"/>
  <c r="D299" i="8"/>
  <c r="E299" i="8"/>
  <c r="F299" i="8"/>
  <c r="D300" i="8"/>
  <c r="E300" i="8"/>
  <c r="F300" i="8"/>
  <c r="D301" i="8"/>
  <c r="E301" i="8"/>
  <c r="F301" i="8"/>
  <c r="D302" i="8"/>
  <c r="E302" i="8"/>
  <c r="F302" i="8"/>
  <c r="D303" i="8"/>
  <c r="E303" i="8"/>
  <c r="F303" i="8"/>
  <c r="D304" i="8"/>
  <c r="E304" i="8"/>
  <c r="F304" i="8"/>
  <c r="D305" i="8"/>
  <c r="E305" i="8"/>
  <c r="F305" i="8"/>
  <c r="D306" i="8"/>
  <c r="E306" i="8"/>
  <c r="F306" i="8"/>
  <c r="D307" i="8"/>
  <c r="E307" i="8"/>
  <c r="F307" i="8"/>
  <c r="D308" i="8"/>
  <c r="E308" i="8"/>
  <c r="F308" i="8"/>
  <c r="D309" i="8"/>
  <c r="E309" i="8"/>
  <c r="F309" i="8"/>
  <c r="D310" i="8"/>
  <c r="E310" i="8"/>
  <c r="F310" i="8"/>
  <c r="D311" i="8"/>
  <c r="E311" i="8"/>
  <c r="F311" i="8"/>
  <c r="D312" i="8"/>
  <c r="E312" i="8"/>
  <c r="F312" i="8"/>
  <c r="D313" i="8"/>
  <c r="E313" i="8"/>
  <c r="F313" i="8"/>
  <c r="D314" i="8"/>
  <c r="E314" i="8"/>
  <c r="F314" i="8"/>
  <c r="D315" i="8"/>
  <c r="E315" i="8"/>
  <c r="F315" i="8"/>
  <c r="D316" i="8"/>
  <c r="E316" i="8"/>
  <c r="F316" i="8"/>
  <c r="D317" i="8"/>
  <c r="E317" i="8"/>
  <c r="F317" i="8"/>
  <c r="D318" i="8"/>
  <c r="E318" i="8"/>
  <c r="F318" i="8"/>
  <c r="D319" i="8"/>
  <c r="E319" i="8"/>
  <c r="F319" i="8"/>
  <c r="D320" i="8"/>
  <c r="E320" i="8"/>
  <c r="F320" i="8"/>
  <c r="D321" i="8"/>
  <c r="E321" i="8"/>
  <c r="F321" i="8"/>
  <c r="D322" i="8"/>
  <c r="E322" i="8"/>
  <c r="F322" i="8"/>
  <c r="D323" i="8"/>
  <c r="E323" i="8"/>
  <c r="F323" i="8"/>
  <c r="D324" i="8"/>
  <c r="E324" i="8"/>
  <c r="F324" i="8"/>
  <c r="D325" i="8"/>
  <c r="E325" i="8"/>
  <c r="F325" i="8"/>
  <c r="D326" i="8"/>
  <c r="E326" i="8"/>
  <c r="F326" i="8"/>
  <c r="D327" i="8"/>
  <c r="E327" i="8"/>
  <c r="F327" i="8"/>
  <c r="D328" i="8"/>
  <c r="E328" i="8"/>
  <c r="F328" i="8"/>
  <c r="D329" i="8"/>
  <c r="E329" i="8"/>
  <c r="F329" i="8"/>
  <c r="D330" i="8"/>
  <c r="E330" i="8"/>
  <c r="F330" i="8"/>
  <c r="D331" i="8"/>
  <c r="E331" i="8"/>
  <c r="F331" i="8"/>
  <c r="D332" i="8"/>
  <c r="E332" i="8"/>
  <c r="F332" i="8"/>
  <c r="D333" i="8"/>
  <c r="E333" i="8"/>
  <c r="F333" i="8"/>
  <c r="D334" i="8"/>
  <c r="E334" i="8"/>
  <c r="F334" i="8"/>
  <c r="D335" i="8"/>
  <c r="E335" i="8"/>
  <c r="F335" i="8"/>
  <c r="D336" i="8"/>
  <c r="E336" i="8"/>
  <c r="F336" i="8"/>
  <c r="D337" i="8"/>
  <c r="E337" i="8"/>
  <c r="F337" i="8"/>
  <c r="D338" i="8"/>
  <c r="E338" i="8"/>
  <c r="F338" i="8"/>
  <c r="D339" i="8"/>
  <c r="E339" i="8"/>
  <c r="F339" i="8"/>
  <c r="D340" i="8"/>
  <c r="E340" i="8"/>
  <c r="F340" i="8"/>
  <c r="D341" i="8"/>
  <c r="E341" i="8"/>
  <c r="F341" i="8"/>
  <c r="D342" i="8"/>
  <c r="E342" i="8"/>
  <c r="F342" i="8"/>
  <c r="D343" i="8"/>
  <c r="E343" i="8"/>
  <c r="F343" i="8"/>
  <c r="D344" i="8"/>
  <c r="E344" i="8"/>
  <c r="F344" i="8"/>
  <c r="D345" i="8"/>
  <c r="E345" i="8"/>
  <c r="F345" i="8"/>
  <c r="D346" i="8"/>
  <c r="E346" i="8"/>
  <c r="F346" i="8"/>
  <c r="D347" i="8"/>
  <c r="E347" i="8"/>
  <c r="F347" i="8"/>
  <c r="D348" i="8"/>
  <c r="E348" i="8"/>
  <c r="F348" i="8"/>
  <c r="D349" i="8"/>
  <c r="E349" i="8"/>
  <c r="F349" i="8"/>
  <c r="D350" i="8"/>
  <c r="E350" i="8"/>
  <c r="F350" i="8"/>
  <c r="D351" i="8"/>
  <c r="E351" i="8"/>
  <c r="F351" i="8"/>
  <c r="D352" i="8"/>
  <c r="E352" i="8"/>
  <c r="F352" i="8"/>
  <c r="D353" i="8"/>
  <c r="E353" i="8"/>
  <c r="F353" i="8"/>
  <c r="D354" i="8"/>
  <c r="E354" i="8"/>
  <c r="F354" i="8"/>
  <c r="D355" i="8"/>
  <c r="E355" i="8"/>
  <c r="F355" i="8"/>
  <c r="D356" i="8"/>
  <c r="E356" i="8"/>
  <c r="F356" i="8"/>
  <c r="D357" i="8"/>
  <c r="E357" i="8"/>
  <c r="F357" i="8"/>
  <c r="D358" i="8"/>
  <c r="E358" i="8"/>
  <c r="F358" i="8"/>
  <c r="D359" i="8"/>
  <c r="E359" i="8"/>
  <c r="F359" i="8"/>
  <c r="D360" i="8"/>
  <c r="E360" i="8"/>
  <c r="F360" i="8"/>
  <c r="D361" i="8"/>
  <c r="E361" i="8"/>
  <c r="F361" i="8"/>
  <c r="D362" i="8"/>
  <c r="E362" i="8"/>
  <c r="F362" i="8"/>
  <c r="D363" i="8"/>
  <c r="E363" i="8"/>
  <c r="F363" i="8"/>
  <c r="D364" i="8"/>
  <c r="E364" i="8"/>
  <c r="F364" i="8"/>
  <c r="D365" i="8"/>
  <c r="E365" i="8"/>
  <c r="F365" i="8"/>
  <c r="D366" i="8"/>
  <c r="E366" i="8"/>
  <c r="F366" i="8"/>
  <c r="D367" i="8"/>
  <c r="E367" i="8"/>
  <c r="F367" i="8"/>
  <c r="D368" i="8"/>
  <c r="E368" i="8"/>
  <c r="F368" i="8"/>
  <c r="D369" i="8"/>
  <c r="E369" i="8"/>
  <c r="F369" i="8"/>
  <c r="D370" i="8"/>
  <c r="E370" i="8"/>
  <c r="F370" i="8"/>
  <c r="D371" i="8"/>
  <c r="E371" i="8"/>
  <c r="F371" i="8"/>
  <c r="D372" i="8"/>
  <c r="E372" i="8"/>
  <c r="F372" i="8"/>
  <c r="D373" i="8"/>
  <c r="E373" i="8"/>
  <c r="F373" i="8"/>
  <c r="D374" i="8"/>
  <c r="E374" i="8"/>
  <c r="F374" i="8"/>
  <c r="D375" i="8"/>
  <c r="E375" i="8"/>
  <c r="F375" i="8"/>
  <c r="D376" i="8"/>
  <c r="E376" i="8"/>
  <c r="F376" i="8"/>
  <c r="D377" i="8"/>
  <c r="E377" i="8"/>
  <c r="F377" i="8"/>
  <c r="D378" i="8"/>
  <c r="E378" i="8"/>
  <c r="F378" i="8"/>
  <c r="D379" i="8"/>
  <c r="E379" i="8"/>
  <c r="F379" i="8"/>
  <c r="D380" i="8"/>
  <c r="E380" i="8"/>
  <c r="F380" i="8"/>
  <c r="D381" i="8"/>
  <c r="E381" i="8"/>
  <c r="F381" i="8"/>
  <c r="D382" i="8"/>
  <c r="E382" i="8"/>
  <c r="F382" i="8"/>
  <c r="D383" i="8"/>
  <c r="E383" i="8"/>
  <c r="F383" i="8"/>
  <c r="D384" i="8"/>
  <c r="E384" i="8"/>
  <c r="F384" i="8"/>
  <c r="D385" i="8"/>
  <c r="E385" i="8"/>
  <c r="F385" i="8"/>
  <c r="D386" i="8"/>
  <c r="E386" i="8"/>
  <c r="F386" i="8"/>
  <c r="D387" i="8"/>
  <c r="E387" i="8"/>
  <c r="F387" i="8"/>
  <c r="D388" i="8"/>
  <c r="E388" i="8"/>
  <c r="F388" i="8"/>
  <c r="D389" i="8"/>
  <c r="E389" i="8"/>
  <c r="F389" i="8"/>
  <c r="D390" i="8"/>
  <c r="E390" i="8"/>
  <c r="F390" i="8"/>
  <c r="D391" i="8"/>
  <c r="E391" i="8"/>
  <c r="F391" i="8"/>
  <c r="D392" i="8"/>
  <c r="E392" i="8"/>
  <c r="F392" i="8"/>
  <c r="D393" i="8"/>
  <c r="E393" i="8"/>
  <c r="F393" i="8"/>
  <c r="D394" i="8"/>
  <c r="E394" i="8"/>
  <c r="F394" i="8"/>
  <c r="D395" i="8"/>
  <c r="E395" i="8"/>
  <c r="F395" i="8"/>
  <c r="D396" i="8"/>
  <c r="E396" i="8"/>
  <c r="F396" i="8"/>
  <c r="D397" i="8"/>
  <c r="E397" i="8"/>
  <c r="F397" i="8"/>
  <c r="D398" i="8"/>
  <c r="E398" i="8"/>
  <c r="F398" i="8"/>
  <c r="D399" i="8"/>
  <c r="E399" i="8"/>
  <c r="F399" i="8"/>
  <c r="D400" i="8"/>
  <c r="E400" i="8"/>
  <c r="F400" i="8"/>
  <c r="D401" i="8"/>
  <c r="E401" i="8"/>
  <c r="F401" i="8"/>
  <c r="D402" i="8"/>
  <c r="E402" i="8"/>
  <c r="F402" i="8"/>
  <c r="D403" i="8"/>
  <c r="E403" i="8"/>
  <c r="F403" i="8"/>
  <c r="D404" i="8"/>
  <c r="E404" i="8"/>
  <c r="F404" i="8"/>
  <c r="D405" i="8"/>
  <c r="E405" i="8"/>
  <c r="F405" i="8"/>
  <c r="D406" i="8"/>
  <c r="E406" i="8"/>
  <c r="F406" i="8"/>
  <c r="D407" i="8"/>
  <c r="E407" i="8"/>
  <c r="F407" i="8"/>
  <c r="D408" i="8"/>
  <c r="E408" i="8"/>
  <c r="F408" i="8"/>
  <c r="D409" i="8"/>
  <c r="E409" i="8"/>
  <c r="F409" i="8"/>
  <c r="D410" i="8"/>
  <c r="E410" i="8"/>
  <c r="F410" i="8"/>
  <c r="D411" i="8"/>
  <c r="E411" i="8"/>
  <c r="F411" i="8"/>
  <c r="D412" i="8"/>
  <c r="E412" i="8"/>
  <c r="F412" i="8"/>
  <c r="D413" i="8"/>
  <c r="E413" i="8"/>
  <c r="F413" i="8"/>
  <c r="D414" i="8"/>
  <c r="E414" i="8"/>
  <c r="F414" i="8"/>
  <c r="D415" i="8"/>
  <c r="E415" i="8"/>
  <c r="F415" i="8"/>
  <c r="D416" i="8"/>
  <c r="E416" i="8"/>
  <c r="F416" i="8"/>
  <c r="D417" i="8"/>
  <c r="E417" i="8"/>
  <c r="F417" i="8"/>
  <c r="D418" i="8"/>
  <c r="E418" i="8"/>
  <c r="F418" i="8"/>
  <c r="D419" i="8"/>
  <c r="E419" i="8"/>
  <c r="F419" i="8"/>
  <c r="D420" i="8"/>
  <c r="E420" i="8"/>
  <c r="F420" i="8"/>
  <c r="D421" i="8"/>
  <c r="E421" i="8"/>
  <c r="F421" i="8"/>
  <c r="D422" i="8"/>
  <c r="E422" i="8"/>
  <c r="F422" i="8"/>
  <c r="D423" i="8"/>
  <c r="E423" i="8"/>
  <c r="F423" i="8"/>
  <c r="D424" i="8"/>
  <c r="E424" i="8"/>
  <c r="F424" i="8"/>
  <c r="D425" i="8"/>
  <c r="E425" i="8"/>
  <c r="F425" i="8"/>
  <c r="D426" i="8"/>
  <c r="E426" i="8"/>
  <c r="F426" i="8"/>
  <c r="D427" i="8"/>
  <c r="E427" i="8"/>
  <c r="F427" i="8"/>
  <c r="D428" i="8"/>
  <c r="E428" i="8"/>
  <c r="F428" i="8"/>
  <c r="D429" i="8"/>
  <c r="E429" i="8"/>
  <c r="F429" i="8"/>
  <c r="D430" i="8"/>
  <c r="E430" i="8"/>
  <c r="F430" i="8"/>
  <c r="D431" i="8"/>
  <c r="E431" i="8"/>
  <c r="F431" i="8"/>
  <c r="D432" i="8"/>
  <c r="E432" i="8"/>
  <c r="F432" i="8"/>
  <c r="D433" i="8"/>
  <c r="E433" i="8"/>
  <c r="F433" i="8"/>
  <c r="D434" i="8"/>
  <c r="E434" i="8"/>
  <c r="F434" i="8"/>
  <c r="D435" i="8"/>
  <c r="E435" i="8"/>
  <c r="F435" i="8"/>
  <c r="D436" i="8"/>
  <c r="E436" i="8"/>
  <c r="F436" i="8"/>
  <c r="D437" i="8"/>
  <c r="E437" i="8"/>
  <c r="F437" i="8"/>
  <c r="D438" i="8"/>
  <c r="E438" i="8"/>
  <c r="F438" i="8"/>
  <c r="D439" i="8"/>
  <c r="E439" i="8"/>
  <c r="F439" i="8"/>
  <c r="D440" i="8"/>
  <c r="E440" i="8"/>
  <c r="F440" i="8"/>
  <c r="D441" i="8"/>
  <c r="E441" i="8"/>
  <c r="F441" i="8"/>
  <c r="D442" i="8"/>
  <c r="E442" i="8"/>
  <c r="F442" i="8"/>
  <c r="D443" i="8"/>
  <c r="E443" i="8"/>
  <c r="F443" i="8"/>
  <c r="D444" i="8"/>
  <c r="E444" i="8"/>
  <c r="F444" i="8"/>
  <c r="D445" i="8"/>
  <c r="E445" i="8"/>
  <c r="F445" i="8"/>
  <c r="D446" i="8"/>
  <c r="E446" i="8"/>
  <c r="F446" i="8"/>
  <c r="D447" i="8"/>
  <c r="E447" i="8"/>
  <c r="F447" i="8"/>
  <c r="D448" i="8"/>
  <c r="E448" i="8"/>
  <c r="F448" i="8"/>
  <c r="D449" i="8"/>
  <c r="E449" i="8"/>
  <c r="F449" i="8"/>
  <c r="D450" i="8"/>
  <c r="E450" i="8"/>
  <c r="F450" i="8"/>
  <c r="D451" i="8"/>
  <c r="E451" i="8"/>
  <c r="F451" i="8"/>
  <c r="D452" i="8"/>
  <c r="E452" i="8"/>
  <c r="F452" i="8"/>
  <c r="D453" i="8"/>
  <c r="E453" i="8"/>
  <c r="F453" i="8"/>
  <c r="D454" i="8"/>
  <c r="E454" i="8"/>
  <c r="F454" i="8"/>
  <c r="D455" i="8"/>
  <c r="E455" i="8"/>
  <c r="F455" i="8"/>
  <c r="D456" i="8"/>
  <c r="E456" i="8"/>
  <c r="F456" i="8"/>
  <c r="D457" i="8"/>
  <c r="E457" i="8"/>
  <c r="F457" i="8"/>
  <c r="D458" i="8"/>
  <c r="E458" i="8"/>
  <c r="F458" i="8"/>
  <c r="D459" i="8"/>
  <c r="E459" i="8"/>
  <c r="F459" i="8"/>
  <c r="D460" i="8"/>
  <c r="E460" i="8"/>
  <c r="F460" i="8"/>
  <c r="D461" i="8"/>
  <c r="E461" i="8"/>
  <c r="F461" i="8"/>
  <c r="D462" i="8"/>
  <c r="E462" i="8"/>
  <c r="F462" i="8"/>
  <c r="D463" i="8"/>
  <c r="E463" i="8"/>
  <c r="F463" i="8"/>
  <c r="D464" i="8"/>
  <c r="E464" i="8"/>
  <c r="F464" i="8"/>
  <c r="D465" i="8"/>
  <c r="E465" i="8"/>
  <c r="F465" i="8"/>
  <c r="D466" i="8"/>
  <c r="E466" i="8"/>
  <c r="F466" i="8"/>
  <c r="D467" i="8"/>
  <c r="E467" i="8"/>
  <c r="F467" i="8"/>
  <c r="D468" i="8"/>
  <c r="E468" i="8"/>
  <c r="F468" i="8"/>
  <c r="D469" i="8"/>
  <c r="E469" i="8"/>
  <c r="F469" i="8"/>
  <c r="D470" i="8"/>
  <c r="E470" i="8"/>
  <c r="F470" i="8"/>
  <c r="D471" i="8"/>
  <c r="E471" i="8"/>
  <c r="F471" i="8"/>
  <c r="D472" i="8"/>
  <c r="E472" i="8"/>
  <c r="F472" i="8"/>
  <c r="D473" i="8"/>
  <c r="E473" i="8"/>
  <c r="F473" i="8"/>
  <c r="D474" i="8"/>
  <c r="E474" i="8"/>
  <c r="F474" i="8"/>
  <c r="D475" i="8"/>
  <c r="E475" i="8"/>
  <c r="F475" i="8"/>
  <c r="D476" i="8"/>
  <c r="E476" i="8"/>
  <c r="F476" i="8"/>
  <c r="D477" i="8"/>
  <c r="E477" i="8"/>
  <c r="F477" i="8"/>
  <c r="D478" i="8"/>
  <c r="E478" i="8"/>
  <c r="F478" i="8"/>
  <c r="D479" i="8"/>
  <c r="E479" i="8"/>
  <c r="F479" i="8"/>
  <c r="D480" i="8"/>
  <c r="E480" i="8"/>
  <c r="F480" i="8"/>
  <c r="D481" i="8"/>
  <c r="E481" i="8"/>
  <c r="F481" i="8"/>
  <c r="D482" i="8"/>
  <c r="E482" i="8"/>
  <c r="F482" i="8"/>
  <c r="D483" i="8"/>
  <c r="E483" i="8"/>
  <c r="F483" i="8"/>
  <c r="D484" i="8"/>
  <c r="E484" i="8"/>
  <c r="F484" i="8"/>
  <c r="D485" i="8"/>
  <c r="E485" i="8"/>
  <c r="F485" i="8"/>
  <c r="D486" i="8"/>
  <c r="E486" i="8"/>
  <c r="F486" i="8"/>
  <c r="D487" i="8"/>
  <c r="E487" i="8"/>
  <c r="F487" i="8"/>
  <c r="D488" i="8"/>
  <c r="E488" i="8"/>
  <c r="F488" i="8"/>
  <c r="D489" i="8"/>
  <c r="E489" i="8"/>
  <c r="F489" i="8"/>
  <c r="D490" i="8"/>
  <c r="E490" i="8"/>
  <c r="F490" i="8"/>
  <c r="D491" i="8"/>
  <c r="E491" i="8"/>
  <c r="F491" i="8"/>
  <c r="D492" i="8"/>
  <c r="E492" i="8"/>
  <c r="F492" i="8"/>
  <c r="D493" i="8"/>
  <c r="E493" i="8"/>
  <c r="F493" i="8"/>
  <c r="D494" i="8"/>
  <c r="E494" i="8"/>
  <c r="F494" i="8"/>
  <c r="D495" i="8"/>
  <c r="E495" i="8"/>
  <c r="F495" i="8"/>
  <c r="D496" i="8"/>
  <c r="E496" i="8"/>
  <c r="F496" i="8"/>
  <c r="D497" i="8"/>
  <c r="E497" i="8"/>
  <c r="F497" i="8"/>
  <c r="D498" i="8"/>
  <c r="E498" i="8"/>
  <c r="F498" i="8"/>
  <c r="D499" i="8"/>
  <c r="E499" i="8"/>
  <c r="F499" i="8"/>
  <c r="D500" i="8"/>
  <c r="E500" i="8"/>
  <c r="F500" i="8"/>
  <c r="D501" i="8"/>
  <c r="E501" i="8"/>
  <c r="F501" i="8"/>
  <c r="D502" i="8"/>
  <c r="E502" i="8"/>
  <c r="F502" i="8"/>
  <c r="D503" i="8"/>
  <c r="E503" i="8"/>
  <c r="F503" i="8"/>
  <c r="D504" i="8"/>
  <c r="E504" i="8"/>
  <c r="F504" i="8"/>
  <c r="D505" i="8"/>
  <c r="E505" i="8"/>
  <c r="F505" i="8"/>
  <c r="D506" i="8"/>
  <c r="E506" i="8"/>
  <c r="F506" i="8"/>
  <c r="D507" i="8"/>
  <c r="E507" i="8"/>
  <c r="F507" i="8"/>
  <c r="D508" i="8"/>
  <c r="E508" i="8"/>
  <c r="F508" i="8"/>
  <c r="D509" i="8"/>
  <c r="E509" i="8"/>
  <c r="F509" i="8"/>
  <c r="D510" i="8"/>
  <c r="E510" i="8"/>
  <c r="F510" i="8"/>
  <c r="D511" i="8"/>
  <c r="E511" i="8"/>
  <c r="F511" i="8"/>
  <c r="D512" i="8"/>
  <c r="E512" i="8"/>
  <c r="F512" i="8"/>
  <c r="D513" i="8"/>
  <c r="E513" i="8"/>
  <c r="F513" i="8"/>
  <c r="D514" i="8"/>
  <c r="E514" i="8"/>
  <c r="F514" i="8"/>
  <c r="D515" i="8"/>
  <c r="E515" i="8"/>
  <c r="F515" i="8"/>
  <c r="D516" i="8"/>
  <c r="E516" i="8"/>
  <c r="F516" i="8"/>
  <c r="D517" i="8"/>
  <c r="E517" i="8"/>
  <c r="F517" i="8"/>
  <c r="D518" i="8"/>
  <c r="E518" i="8"/>
  <c r="F518" i="8"/>
  <c r="D519" i="8"/>
  <c r="E519" i="8"/>
  <c r="F519" i="8"/>
  <c r="D520" i="8"/>
  <c r="E520" i="8"/>
  <c r="F520" i="8"/>
  <c r="D521" i="8"/>
  <c r="E521" i="8"/>
  <c r="F521" i="8"/>
  <c r="D522" i="8"/>
  <c r="E522" i="8"/>
  <c r="F522" i="8"/>
  <c r="D523" i="8"/>
  <c r="E523" i="8"/>
  <c r="F523" i="8"/>
  <c r="D524" i="8"/>
  <c r="E524" i="8"/>
  <c r="F524" i="8"/>
  <c r="D525" i="8"/>
  <c r="E525" i="8"/>
  <c r="F525" i="8"/>
  <c r="D526" i="8"/>
  <c r="E526" i="8"/>
  <c r="F526" i="8"/>
  <c r="D527" i="8"/>
  <c r="E527" i="8"/>
  <c r="F527" i="8"/>
  <c r="D528" i="8"/>
  <c r="E528" i="8"/>
  <c r="F528" i="8"/>
  <c r="D529" i="8"/>
  <c r="E529" i="8"/>
  <c r="F529" i="8"/>
  <c r="D530" i="8"/>
  <c r="E530" i="8"/>
  <c r="F530" i="8"/>
  <c r="D531" i="8"/>
  <c r="E531" i="8"/>
  <c r="F531" i="8"/>
  <c r="D532" i="8"/>
  <c r="E532" i="8"/>
  <c r="F532" i="8"/>
  <c r="D533" i="8"/>
  <c r="E533" i="8"/>
  <c r="F533" i="8"/>
  <c r="D534" i="8"/>
  <c r="E534" i="8"/>
  <c r="F534" i="8"/>
  <c r="D535" i="8"/>
  <c r="E535" i="8"/>
  <c r="F535" i="8"/>
  <c r="D536" i="8"/>
  <c r="E536" i="8"/>
  <c r="F536" i="8"/>
  <c r="D537" i="8"/>
  <c r="E537" i="8"/>
  <c r="F537" i="8"/>
  <c r="D538" i="8"/>
  <c r="E538" i="8"/>
  <c r="F538" i="8"/>
  <c r="D539" i="8"/>
  <c r="E539" i="8"/>
  <c r="F539" i="8"/>
  <c r="D540" i="8"/>
  <c r="E540" i="8"/>
  <c r="F540" i="8"/>
  <c r="D541" i="8"/>
  <c r="E541" i="8"/>
  <c r="F541" i="8"/>
  <c r="D542" i="8"/>
  <c r="E542" i="8"/>
  <c r="F542" i="8"/>
  <c r="D543" i="8"/>
  <c r="E543" i="8"/>
  <c r="F543" i="8"/>
  <c r="D544" i="8"/>
  <c r="E544" i="8"/>
  <c r="F544" i="8"/>
  <c r="D545" i="8"/>
  <c r="E545" i="8"/>
  <c r="F545" i="8"/>
  <c r="D546" i="8"/>
  <c r="E546" i="8"/>
  <c r="F546" i="8"/>
  <c r="D547" i="8"/>
  <c r="E547" i="8"/>
  <c r="F547" i="8"/>
  <c r="D548" i="8"/>
  <c r="E548" i="8"/>
  <c r="F548" i="8"/>
  <c r="D549" i="8"/>
  <c r="E549" i="8"/>
  <c r="F549" i="8"/>
  <c r="D550" i="8"/>
  <c r="E550" i="8"/>
  <c r="F550" i="8"/>
  <c r="D551" i="8"/>
  <c r="E551" i="8"/>
  <c r="F551" i="8"/>
  <c r="D552" i="8"/>
  <c r="E552" i="8"/>
  <c r="F552" i="8"/>
  <c r="D553" i="8"/>
  <c r="E553" i="8"/>
  <c r="F553" i="8"/>
  <c r="D554" i="8"/>
  <c r="E554" i="8"/>
  <c r="F554" i="8"/>
  <c r="D555" i="8"/>
  <c r="E555" i="8"/>
  <c r="F555" i="8"/>
  <c r="D556" i="8"/>
  <c r="E556" i="8"/>
  <c r="F556" i="8"/>
  <c r="D557" i="8"/>
  <c r="E557" i="8"/>
  <c r="F557" i="8"/>
  <c r="D558" i="8"/>
  <c r="E558" i="8"/>
  <c r="F558" i="8"/>
  <c r="D559" i="8"/>
  <c r="E559" i="8"/>
  <c r="F559" i="8"/>
  <c r="D560" i="8"/>
  <c r="E560" i="8"/>
  <c r="F560" i="8"/>
  <c r="D561" i="8"/>
  <c r="E561" i="8"/>
  <c r="F561" i="8"/>
  <c r="D562" i="8"/>
  <c r="E562" i="8"/>
  <c r="F562" i="8"/>
  <c r="D563" i="8"/>
  <c r="E563" i="8"/>
  <c r="F563" i="8"/>
  <c r="D564" i="8"/>
  <c r="E564" i="8"/>
  <c r="F564" i="8"/>
  <c r="D565" i="8"/>
  <c r="E565" i="8"/>
  <c r="F565" i="8"/>
  <c r="D566" i="8"/>
  <c r="E566" i="8"/>
  <c r="F566" i="8"/>
  <c r="D567" i="8"/>
  <c r="E567" i="8"/>
  <c r="F567" i="8"/>
  <c r="D568" i="8"/>
  <c r="E568" i="8"/>
  <c r="F568" i="8"/>
  <c r="D569" i="8"/>
  <c r="E569" i="8"/>
  <c r="F569" i="8"/>
  <c r="D570" i="8"/>
  <c r="E570" i="8"/>
  <c r="F570" i="8"/>
  <c r="D571" i="8"/>
  <c r="E571" i="8"/>
  <c r="F571" i="8"/>
  <c r="D572" i="8"/>
  <c r="E572" i="8"/>
  <c r="F572" i="8"/>
  <c r="D573" i="8"/>
  <c r="E573" i="8"/>
  <c r="F573" i="8"/>
  <c r="D574" i="8"/>
  <c r="E574" i="8"/>
  <c r="F574" i="8"/>
  <c r="D575" i="8"/>
  <c r="E575" i="8"/>
  <c r="F575" i="8"/>
  <c r="D576" i="8"/>
  <c r="E576" i="8"/>
  <c r="F576" i="8"/>
  <c r="D577" i="8"/>
  <c r="E577" i="8"/>
  <c r="F577" i="8"/>
  <c r="D578" i="8"/>
  <c r="E578" i="8"/>
  <c r="F578" i="8"/>
  <c r="D579" i="8"/>
  <c r="E579" i="8"/>
  <c r="F579" i="8"/>
  <c r="D580" i="8"/>
  <c r="E580" i="8"/>
  <c r="F580" i="8"/>
  <c r="D581" i="8"/>
  <c r="E581" i="8"/>
  <c r="F581" i="8"/>
  <c r="D582" i="8"/>
  <c r="E582" i="8"/>
  <c r="F582" i="8"/>
  <c r="D583" i="8"/>
  <c r="E583" i="8"/>
  <c r="F583" i="8"/>
  <c r="D584" i="8"/>
  <c r="E584" i="8"/>
  <c r="F584" i="8"/>
  <c r="D585" i="8"/>
  <c r="E585" i="8"/>
  <c r="F585" i="8"/>
  <c r="D586" i="8"/>
  <c r="E586" i="8"/>
  <c r="F586" i="8"/>
  <c r="D587" i="8"/>
  <c r="E587" i="8"/>
  <c r="F587" i="8"/>
  <c r="D588" i="8"/>
  <c r="E588" i="8"/>
  <c r="F588" i="8"/>
  <c r="D589" i="8"/>
  <c r="E589" i="8"/>
  <c r="F589" i="8"/>
  <c r="D590" i="8"/>
  <c r="E590" i="8"/>
  <c r="F590" i="8"/>
  <c r="D591" i="8"/>
  <c r="E591" i="8"/>
  <c r="F591" i="8"/>
  <c r="D592" i="8"/>
  <c r="E592" i="8"/>
  <c r="F592" i="8"/>
  <c r="D593" i="8"/>
  <c r="E593" i="8"/>
  <c r="F593" i="8"/>
  <c r="D594" i="8"/>
  <c r="E594" i="8"/>
  <c r="F594" i="8"/>
  <c r="D595" i="8"/>
  <c r="E595" i="8"/>
  <c r="F595" i="8"/>
  <c r="D596" i="8"/>
  <c r="E596" i="8"/>
  <c r="F596" i="8"/>
  <c r="D597" i="8"/>
  <c r="E597" i="8"/>
  <c r="F597" i="8"/>
  <c r="D598" i="8"/>
  <c r="E598" i="8"/>
  <c r="F598" i="8"/>
  <c r="D599" i="8"/>
  <c r="E599" i="8"/>
  <c r="F599" i="8"/>
  <c r="D600" i="8"/>
  <c r="E600" i="8"/>
  <c r="F600" i="8"/>
  <c r="D601" i="8"/>
  <c r="E601" i="8"/>
  <c r="F601" i="8"/>
  <c r="D602" i="8"/>
  <c r="E602" i="8"/>
  <c r="F602" i="8"/>
  <c r="D603" i="8"/>
  <c r="E603" i="8"/>
  <c r="F603" i="8"/>
  <c r="D604" i="8"/>
  <c r="E604" i="8"/>
  <c r="F604" i="8"/>
  <c r="D605" i="8"/>
  <c r="E605" i="8"/>
  <c r="F605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3" i="8"/>
  <c r="D3" i="8"/>
  <c r="E3" i="8"/>
  <c r="F3" i="8"/>
  <c r="C4" i="8"/>
  <c r="D4" i="8"/>
  <c r="E4" i="8"/>
  <c r="F4" i="8"/>
  <c r="C5" i="8"/>
  <c r="D5" i="8"/>
  <c r="E5" i="8"/>
  <c r="F5" i="8"/>
  <c r="C6" i="8"/>
  <c r="D6" i="8"/>
  <c r="E6" i="8"/>
  <c r="F6" i="8"/>
  <c r="C7" i="8"/>
  <c r="D7" i="8"/>
  <c r="E7" i="8"/>
  <c r="F7" i="8"/>
  <c r="C8" i="8"/>
  <c r="D8" i="8"/>
  <c r="E8" i="8"/>
  <c r="F8" i="8"/>
  <c r="C9" i="8"/>
  <c r="D9" i="8"/>
  <c r="E9" i="8"/>
  <c r="F9" i="8"/>
  <c r="C10" i="8"/>
  <c r="D10" i="8"/>
  <c r="E10" i="8"/>
  <c r="F10" i="8"/>
  <c r="C11" i="8"/>
  <c r="D11" i="8"/>
  <c r="E11" i="8"/>
  <c r="F11" i="8"/>
  <c r="C12" i="8"/>
  <c r="D12" i="8"/>
  <c r="E12" i="8"/>
  <c r="F12" i="8"/>
  <c r="C13" i="8"/>
  <c r="D13" i="8"/>
  <c r="E13" i="8"/>
  <c r="F13" i="8"/>
  <c r="C14" i="8"/>
  <c r="D14" i="8"/>
  <c r="E14" i="8"/>
  <c r="F14" i="8"/>
  <c r="C15" i="8"/>
  <c r="D15" i="8"/>
  <c r="E15" i="8"/>
  <c r="F15" i="8"/>
  <c r="C16" i="8"/>
  <c r="D16" i="8"/>
  <c r="E16" i="8"/>
  <c r="F16" i="8"/>
  <c r="C17" i="8"/>
  <c r="D17" i="8"/>
  <c r="E17" i="8"/>
  <c r="F17" i="8"/>
  <c r="C18" i="8"/>
  <c r="D18" i="8"/>
  <c r="E18" i="8"/>
  <c r="F18" i="8"/>
  <c r="C19" i="8"/>
  <c r="D19" i="8"/>
  <c r="E19" i="8"/>
  <c r="F19" i="8"/>
  <c r="C20" i="8"/>
  <c r="D20" i="8"/>
  <c r="E20" i="8"/>
  <c r="F20" i="8"/>
  <c r="C21" i="8"/>
  <c r="D21" i="8"/>
  <c r="E21" i="8"/>
  <c r="F21" i="8"/>
  <c r="C22" i="8"/>
  <c r="D22" i="8"/>
  <c r="E22" i="8"/>
  <c r="F22" i="8"/>
  <c r="C23" i="8"/>
  <c r="D23" i="8"/>
  <c r="E23" i="8"/>
  <c r="F23" i="8"/>
  <c r="C24" i="8"/>
  <c r="D24" i="8"/>
  <c r="E24" i="8"/>
  <c r="F24" i="8"/>
  <c r="C25" i="8"/>
  <c r="D25" i="8"/>
  <c r="E25" i="8"/>
  <c r="F25" i="8"/>
  <c r="C26" i="8"/>
  <c r="D26" i="8"/>
  <c r="E26" i="8"/>
  <c r="F26" i="8"/>
  <c r="C27" i="8"/>
  <c r="D27" i="8"/>
  <c r="E27" i="8"/>
  <c r="F27" i="8"/>
  <c r="C28" i="8"/>
  <c r="D28" i="8"/>
  <c r="E28" i="8"/>
  <c r="F28" i="8"/>
  <c r="C29" i="8"/>
  <c r="D29" i="8"/>
  <c r="E29" i="8"/>
  <c r="F29" i="8"/>
  <c r="C30" i="8"/>
  <c r="D30" i="8"/>
  <c r="E30" i="8"/>
  <c r="F30" i="8"/>
  <c r="C31" i="8"/>
  <c r="D31" i="8"/>
  <c r="E31" i="8"/>
  <c r="F31" i="8"/>
  <c r="C32" i="8"/>
  <c r="D32" i="8"/>
  <c r="E32" i="8"/>
  <c r="F32" i="8"/>
  <c r="C33" i="8"/>
  <c r="D33" i="8"/>
  <c r="E33" i="8"/>
  <c r="F33" i="8"/>
  <c r="C34" i="8"/>
  <c r="D34" i="8"/>
  <c r="E34" i="8"/>
  <c r="F34" i="8"/>
  <c r="C35" i="8"/>
  <c r="D35" i="8"/>
  <c r="E35" i="8"/>
  <c r="F35" i="8"/>
  <c r="C36" i="8"/>
  <c r="D36" i="8"/>
  <c r="E36" i="8"/>
  <c r="F36" i="8"/>
  <c r="C37" i="8"/>
  <c r="D37" i="8"/>
  <c r="E37" i="8"/>
  <c r="F37" i="8"/>
  <c r="C38" i="8"/>
  <c r="D38" i="8"/>
  <c r="E38" i="8"/>
  <c r="F38" i="8"/>
  <c r="C39" i="8"/>
  <c r="D39" i="8"/>
  <c r="E39" i="8"/>
  <c r="F39" i="8"/>
  <c r="C40" i="8"/>
  <c r="D40" i="8"/>
  <c r="E40" i="8"/>
  <c r="F40" i="8"/>
  <c r="E2" i="8"/>
  <c r="F2" i="8"/>
  <c r="D2" i="8"/>
  <c r="C2" i="8"/>
  <c r="A230" i="8"/>
  <c r="A2" i="8"/>
  <c r="B2" i="8" s="1"/>
  <c r="A3" i="8"/>
  <c r="B3" i="8" s="1"/>
  <c r="B43" i="8"/>
  <c r="B176" i="8"/>
  <c r="B188" i="8"/>
  <c r="B192" i="8"/>
  <c r="B230" i="8"/>
  <c r="B280" i="8"/>
  <c r="B336" i="8"/>
  <c r="B432" i="8"/>
  <c r="B483" i="8"/>
  <c r="B507" i="8"/>
  <c r="B231" i="8"/>
  <c r="A328" i="8"/>
  <c r="B328" i="8" s="1"/>
  <c r="A329" i="8"/>
  <c r="B329" i="8" s="1"/>
  <c r="A330" i="8"/>
  <c r="B330" i="8" s="1"/>
  <c r="A331" i="8"/>
  <c r="B331" i="8" s="1"/>
  <c r="A332" i="8"/>
  <c r="B332" i="8" s="1"/>
  <c r="A333" i="8"/>
  <c r="B333" i="8" s="1"/>
  <c r="A367" i="8"/>
  <c r="B367" i="8" s="1"/>
  <c r="A368" i="8"/>
  <c r="B368" i="8" s="1"/>
  <c r="A369" i="8"/>
  <c r="B369" i="8" s="1"/>
  <c r="A370" i="8"/>
  <c r="B370" i="8" s="1"/>
  <c r="A371" i="8"/>
  <c r="B371" i="8" s="1"/>
  <c r="A372" i="8"/>
  <c r="B372" i="8" s="1"/>
  <c r="A387" i="8"/>
  <c r="B387" i="8" s="1"/>
  <c r="A388" i="8"/>
  <c r="B388" i="8" s="1"/>
  <c r="A389" i="8"/>
  <c r="B389" i="8" s="1"/>
  <c r="A390" i="8"/>
  <c r="B390" i="8" s="1"/>
  <c r="A391" i="8"/>
  <c r="B391" i="8" s="1"/>
  <c r="A392" i="8"/>
  <c r="B392" i="8" s="1"/>
  <c r="A437" i="8"/>
  <c r="B437" i="8" s="1"/>
  <c r="A438" i="8"/>
  <c r="B438" i="8" s="1"/>
  <c r="A439" i="8"/>
  <c r="B439" i="8" s="1"/>
  <c r="A440" i="8"/>
  <c r="B440" i="8" s="1"/>
  <c r="A441" i="8"/>
  <c r="B441" i="8" s="1"/>
  <c r="A442" i="8"/>
  <c r="B442" i="8" s="1"/>
  <c r="A443" i="8"/>
  <c r="B443" i="8" s="1"/>
  <c r="A444" i="8"/>
  <c r="B444" i="8" s="1"/>
  <c r="A445" i="8"/>
  <c r="B445" i="8" s="1"/>
  <c r="A446" i="8"/>
  <c r="B446" i="8" s="1"/>
  <c r="A447" i="8"/>
  <c r="B447" i="8" s="1"/>
  <c r="A448" i="8"/>
  <c r="B448" i="8" s="1"/>
  <c r="A449" i="8"/>
  <c r="B449" i="8" s="1"/>
  <c r="A450" i="8"/>
  <c r="B450" i="8" s="1"/>
  <c r="A451" i="8"/>
  <c r="B451" i="8" s="1"/>
  <c r="A452" i="8"/>
  <c r="B452" i="8" s="1"/>
  <c r="A453" i="8"/>
  <c r="B453" i="8" s="1"/>
  <c r="A454" i="8"/>
  <c r="B454" i="8" s="1"/>
  <c r="A455" i="8"/>
  <c r="B455" i="8" s="1"/>
  <c r="A456" i="8"/>
  <c r="B456" i="8" s="1"/>
  <c r="A457" i="8"/>
  <c r="B457" i="8" s="1"/>
  <c r="A458" i="8"/>
  <c r="B458" i="8" s="1"/>
  <c r="A459" i="8"/>
  <c r="B459" i="8" s="1"/>
  <c r="A460" i="8"/>
  <c r="B460" i="8" s="1"/>
  <c r="A461" i="8"/>
  <c r="B461" i="8" s="1"/>
  <c r="A462" i="8"/>
  <c r="B462" i="8" s="1"/>
  <c r="A463" i="8"/>
  <c r="B463" i="8" s="1"/>
  <c r="A464" i="8"/>
  <c r="B464" i="8" s="1"/>
  <c r="A465" i="8"/>
  <c r="B465" i="8" s="1"/>
  <c r="A466" i="8"/>
  <c r="B466" i="8" s="1"/>
  <c r="A467" i="8"/>
  <c r="B467" i="8" s="1"/>
  <c r="A468" i="8"/>
  <c r="B468" i="8" s="1"/>
  <c r="A469" i="8"/>
  <c r="B469" i="8" s="1"/>
  <c r="A470" i="8"/>
  <c r="B470" i="8" s="1"/>
  <c r="A471" i="8"/>
  <c r="B471" i="8" s="1"/>
  <c r="A472" i="8"/>
  <c r="B472" i="8" s="1"/>
  <c r="A473" i="8"/>
  <c r="B473" i="8" s="1"/>
  <c r="A474" i="8"/>
  <c r="B474" i="8" s="1"/>
  <c r="A475" i="8"/>
  <c r="B475" i="8" s="1"/>
  <c r="A476" i="8"/>
  <c r="B476" i="8" s="1"/>
  <c r="A477" i="8"/>
  <c r="B477" i="8" s="1"/>
  <c r="A478" i="8"/>
  <c r="B478" i="8" s="1"/>
  <c r="A479" i="8"/>
  <c r="B479" i="8" s="1"/>
  <c r="A480" i="8"/>
  <c r="B480" i="8" s="1"/>
  <c r="A481" i="8"/>
  <c r="B481" i="8" s="1"/>
  <c r="A482" i="8"/>
  <c r="B482" i="8" s="1"/>
  <c r="A484" i="8"/>
  <c r="B484" i="8" s="1"/>
  <c r="A485" i="8"/>
  <c r="B485" i="8" s="1"/>
  <c r="B486" i="8"/>
  <c r="A487" i="8"/>
  <c r="B487" i="8" s="1"/>
  <c r="A488" i="8"/>
  <c r="B488" i="8" s="1"/>
  <c r="A489" i="8"/>
  <c r="B489" i="8" s="1"/>
  <c r="A490" i="8"/>
  <c r="B490" i="8" s="1"/>
  <c r="A491" i="8"/>
  <c r="B491" i="8" s="1"/>
  <c r="A492" i="8"/>
  <c r="B492" i="8" s="1"/>
  <c r="A493" i="8"/>
  <c r="B493" i="8" s="1"/>
  <c r="A494" i="8"/>
  <c r="B494" i="8" s="1"/>
  <c r="A495" i="8"/>
  <c r="B495" i="8" s="1"/>
  <c r="A496" i="8"/>
  <c r="B496" i="8" s="1"/>
  <c r="A497" i="8"/>
  <c r="B497" i="8" s="1"/>
  <c r="A498" i="8"/>
  <c r="B498" i="8" s="1"/>
  <c r="A499" i="8"/>
  <c r="B499" i="8" s="1"/>
  <c r="A500" i="8"/>
  <c r="B500" i="8" s="1"/>
  <c r="A501" i="8"/>
  <c r="B501" i="8" s="1"/>
  <c r="A502" i="8"/>
  <c r="B502" i="8" s="1"/>
  <c r="A503" i="8"/>
  <c r="B503" i="8" s="1"/>
  <c r="A504" i="8"/>
  <c r="B504" i="8" s="1"/>
  <c r="A505" i="8"/>
  <c r="B505" i="8" s="1"/>
  <c r="A506" i="8"/>
  <c r="B506" i="8" s="1"/>
  <c r="A508" i="8"/>
  <c r="B508" i="8" s="1"/>
  <c r="A509" i="8"/>
  <c r="B509" i="8" s="1"/>
  <c r="A510" i="8"/>
  <c r="B510" i="8" s="1"/>
  <c r="A511" i="8"/>
  <c r="B511" i="8" s="1"/>
  <c r="A512" i="8"/>
  <c r="B512" i="8" s="1"/>
  <c r="A513" i="8"/>
  <c r="B513" i="8" s="1"/>
  <c r="A514" i="8"/>
  <c r="B514" i="8" s="1"/>
  <c r="A515" i="8"/>
  <c r="B515" i="8" s="1"/>
  <c r="A516" i="8"/>
  <c r="B516" i="8" s="1"/>
  <c r="A517" i="8"/>
  <c r="B517" i="8" s="1"/>
  <c r="A518" i="8"/>
  <c r="B518" i="8" s="1"/>
  <c r="A519" i="8"/>
  <c r="B519" i="8" s="1"/>
  <c r="A520" i="8"/>
  <c r="B520" i="8" s="1"/>
  <c r="A521" i="8"/>
  <c r="B521" i="8" s="1"/>
  <c r="A522" i="8"/>
  <c r="B522" i="8" s="1"/>
  <c r="A523" i="8"/>
  <c r="B523" i="8" s="1"/>
  <c r="A524" i="8"/>
  <c r="B524" i="8" s="1"/>
  <c r="A525" i="8"/>
  <c r="B525" i="8" s="1"/>
  <c r="A526" i="8"/>
  <c r="B526" i="8" s="1"/>
  <c r="A527" i="8"/>
  <c r="B527" i="8" s="1"/>
  <c r="A528" i="8"/>
  <c r="B528" i="8" s="1"/>
  <c r="A529" i="8"/>
  <c r="B529" i="8" s="1"/>
  <c r="A530" i="8"/>
  <c r="B530" i="8" s="1"/>
  <c r="A531" i="8"/>
  <c r="B531" i="8" s="1"/>
  <c r="A532" i="8"/>
  <c r="B532" i="8" s="1"/>
  <c r="A533" i="8"/>
  <c r="B533" i="8" s="1"/>
  <c r="A534" i="8"/>
  <c r="B534" i="8" s="1"/>
  <c r="A535" i="8"/>
  <c r="B535" i="8" s="1"/>
  <c r="A536" i="8"/>
  <c r="B536" i="8" s="1"/>
  <c r="A537" i="8"/>
  <c r="B537" i="8" s="1"/>
  <c r="A538" i="8"/>
  <c r="B538" i="8" s="1"/>
  <c r="A539" i="8"/>
  <c r="B539" i="8" s="1"/>
  <c r="A540" i="8"/>
  <c r="B540" i="8" s="1"/>
  <c r="A541" i="8"/>
  <c r="B541" i="8" s="1"/>
  <c r="A542" i="8"/>
  <c r="B542" i="8" s="1"/>
  <c r="A543" i="8"/>
  <c r="B543" i="8" s="1"/>
  <c r="A544" i="8"/>
  <c r="B544" i="8" s="1"/>
  <c r="A545" i="8"/>
  <c r="B545" i="8" s="1"/>
  <c r="A546" i="8"/>
  <c r="B546" i="8" s="1"/>
  <c r="A547" i="8"/>
  <c r="B547" i="8" s="1"/>
  <c r="A548" i="8"/>
  <c r="B548" i="8" s="1"/>
  <c r="A549" i="8"/>
  <c r="B549" i="8" s="1"/>
  <c r="A550" i="8"/>
  <c r="B550" i="8" s="1"/>
  <c r="A551" i="8"/>
  <c r="B551" i="8" s="1"/>
  <c r="A552" i="8"/>
  <c r="B552" i="8" s="1"/>
  <c r="A553" i="8"/>
  <c r="B553" i="8" s="1"/>
  <c r="A554" i="8"/>
  <c r="B554" i="8" s="1"/>
  <c r="A555" i="8"/>
  <c r="B555" i="8" s="1"/>
  <c r="A556" i="8"/>
  <c r="B556" i="8" s="1"/>
  <c r="A557" i="8"/>
  <c r="B557" i="8" s="1"/>
  <c r="A558" i="8"/>
  <c r="B558" i="8" s="1"/>
  <c r="A559" i="8"/>
  <c r="B559" i="8" s="1"/>
  <c r="A560" i="8"/>
  <c r="B560" i="8" s="1"/>
  <c r="A561" i="8"/>
  <c r="B561" i="8" s="1"/>
  <c r="A562" i="8"/>
  <c r="B562" i="8" s="1"/>
  <c r="A563" i="8"/>
  <c r="B563" i="8" s="1"/>
  <c r="A564" i="8"/>
  <c r="B564" i="8" s="1"/>
  <c r="A565" i="8"/>
  <c r="B565" i="8" s="1"/>
  <c r="A566" i="8"/>
  <c r="B566" i="8" s="1"/>
  <c r="A567" i="8"/>
  <c r="B567" i="8" s="1"/>
  <c r="A568" i="8"/>
  <c r="B568" i="8" s="1"/>
  <c r="A569" i="8"/>
  <c r="B569" i="8" s="1"/>
  <c r="A570" i="8"/>
  <c r="B570" i="8" s="1"/>
  <c r="A571" i="8"/>
  <c r="B571" i="8" s="1"/>
  <c r="A572" i="8"/>
  <c r="B572" i="8" s="1"/>
  <c r="A573" i="8"/>
  <c r="B573" i="8" s="1"/>
  <c r="A574" i="8"/>
  <c r="B574" i="8" s="1"/>
  <c r="A575" i="8"/>
  <c r="B575" i="8" s="1"/>
  <c r="A576" i="8"/>
  <c r="B576" i="8" s="1"/>
  <c r="A577" i="8"/>
  <c r="B577" i="8" s="1"/>
  <c r="A578" i="8"/>
  <c r="B578" i="8" s="1"/>
  <c r="A579" i="8"/>
  <c r="B579" i="8" s="1"/>
  <c r="A580" i="8"/>
  <c r="B580" i="8" s="1"/>
  <c r="A581" i="8"/>
  <c r="B581" i="8" s="1"/>
  <c r="A582" i="8"/>
  <c r="B582" i="8" s="1"/>
  <c r="A583" i="8"/>
  <c r="B583" i="8" s="1"/>
  <c r="A584" i="8"/>
  <c r="B584" i="8" s="1"/>
  <c r="A585" i="8"/>
  <c r="B585" i="8" s="1"/>
  <c r="A586" i="8"/>
  <c r="B586" i="8" s="1"/>
  <c r="A587" i="8"/>
  <c r="B587" i="8" s="1"/>
  <c r="A588" i="8"/>
  <c r="B588" i="8" s="1"/>
  <c r="A589" i="8"/>
  <c r="B589" i="8" s="1"/>
  <c r="A590" i="8"/>
  <c r="B590" i="8" s="1"/>
  <c r="A591" i="8"/>
  <c r="B591" i="8" s="1"/>
  <c r="A592" i="8"/>
  <c r="B592" i="8" s="1"/>
  <c r="A593" i="8"/>
  <c r="B593" i="8" s="1"/>
  <c r="A594" i="8"/>
  <c r="B594" i="8" s="1"/>
  <c r="A595" i="8"/>
  <c r="B595" i="8" s="1"/>
  <c r="A596" i="8"/>
  <c r="B596" i="8" s="1"/>
  <c r="A597" i="8"/>
  <c r="B597" i="8" s="1"/>
  <c r="A598" i="8"/>
  <c r="B598" i="8" s="1"/>
  <c r="A599" i="8"/>
  <c r="B599" i="8" s="1"/>
  <c r="A600" i="8"/>
  <c r="B600" i="8" s="1"/>
  <c r="A601" i="8"/>
  <c r="B601" i="8" s="1"/>
  <c r="A602" i="8"/>
  <c r="B602" i="8" s="1"/>
  <c r="A603" i="8"/>
  <c r="B603" i="8" s="1"/>
  <c r="A604" i="8"/>
  <c r="B604" i="8" s="1"/>
  <c r="A605" i="8"/>
  <c r="B605" i="8" s="1"/>
  <c r="A407" i="8"/>
  <c r="B407" i="8" s="1"/>
  <c r="A408" i="8"/>
  <c r="B408" i="8" s="1"/>
  <c r="A409" i="8"/>
  <c r="B409" i="8" s="1"/>
  <c r="A410" i="8"/>
  <c r="B410" i="8" s="1"/>
  <c r="A411" i="8"/>
  <c r="B411" i="8" s="1"/>
  <c r="A412" i="8"/>
  <c r="B412" i="8" s="1"/>
  <c r="A413" i="8"/>
  <c r="B413" i="8" s="1"/>
  <c r="A414" i="8"/>
  <c r="B414" i="8" s="1"/>
  <c r="A415" i="8"/>
  <c r="B415" i="8" s="1"/>
  <c r="A416" i="8"/>
  <c r="B416" i="8" s="1"/>
  <c r="A417" i="8"/>
  <c r="B417" i="8" s="1"/>
  <c r="A418" i="8"/>
  <c r="B418" i="8" s="1"/>
  <c r="A419" i="8"/>
  <c r="B419" i="8" s="1"/>
  <c r="A420" i="8"/>
  <c r="B420" i="8" s="1"/>
  <c r="A421" i="8"/>
  <c r="B421" i="8" s="1"/>
  <c r="A422" i="8"/>
  <c r="B422" i="8" s="1"/>
  <c r="A423" i="8"/>
  <c r="B423" i="8" s="1"/>
  <c r="A424" i="8"/>
  <c r="B424" i="8" s="1"/>
  <c r="A425" i="8"/>
  <c r="B425" i="8" s="1"/>
  <c r="A426" i="8"/>
  <c r="B426" i="8" s="1"/>
  <c r="A427" i="8"/>
  <c r="B427" i="8" s="1"/>
  <c r="A428" i="8"/>
  <c r="B428" i="8" s="1"/>
  <c r="A429" i="8"/>
  <c r="B429" i="8" s="1"/>
  <c r="A430" i="8"/>
  <c r="B430" i="8" s="1"/>
  <c r="A431" i="8"/>
  <c r="B431" i="8" s="1"/>
  <c r="A433" i="8"/>
  <c r="B433" i="8" s="1"/>
  <c r="A434" i="8"/>
  <c r="B434" i="8" s="1"/>
  <c r="A435" i="8"/>
  <c r="B435" i="8" s="1"/>
  <c r="A436" i="8"/>
  <c r="B436" i="8" s="1"/>
  <c r="A393" i="8"/>
  <c r="B393" i="8" s="1"/>
  <c r="A394" i="8"/>
  <c r="B394" i="8" s="1"/>
  <c r="A395" i="8"/>
  <c r="B395" i="8" s="1"/>
  <c r="A396" i="8"/>
  <c r="B396" i="8" s="1"/>
  <c r="A397" i="8"/>
  <c r="B397" i="8" s="1"/>
  <c r="A398" i="8"/>
  <c r="B398" i="8" s="1"/>
  <c r="A399" i="8"/>
  <c r="B399" i="8" s="1"/>
  <c r="A400" i="8"/>
  <c r="B400" i="8" s="1"/>
  <c r="A401" i="8"/>
  <c r="B401" i="8" s="1"/>
  <c r="A402" i="8"/>
  <c r="B402" i="8" s="1"/>
  <c r="A403" i="8"/>
  <c r="B403" i="8" s="1"/>
  <c r="A404" i="8"/>
  <c r="B404" i="8" s="1"/>
  <c r="A405" i="8"/>
  <c r="B405" i="8" s="1"/>
  <c r="A406" i="8"/>
  <c r="B406" i="8" s="1"/>
  <c r="A286" i="8"/>
  <c r="B286" i="8" s="1"/>
  <c r="A287" i="8"/>
  <c r="B287" i="8" s="1"/>
  <c r="A288" i="8"/>
  <c r="B288" i="8" s="1"/>
  <c r="A289" i="8"/>
  <c r="B289" i="8" s="1"/>
  <c r="A380" i="8"/>
  <c r="B380" i="8" s="1"/>
  <c r="A381" i="8"/>
  <c r="B381" i="8" s="1"/>
  <c r="A382" i="8"/>
  <c r="B382" i="8" s="1"/>
  <c r="A383" i="8"/>
  <c r="B383" i="8" s="1"/>
  <c r="A384" i="8"/>
  <c r="B384" i="8" s="1"/>
  <c r="A385" i="8"/>
  <c r="B385" i="8" s="1"/>
  <c r="A386" i="8"/>
  <c r="B386" i="8" s="1"/>
  <c r="A373" i="8"/>
  <c r="B373" i="8" s="1"/>
  <c r="A374" i="8"/>
  <c r="B374" i="8" s="1"/>
  <c r="A375" i="8"/>
  <c r="B375" i="8" s="1"/>
  <c r="A376" i="8"/>
  <c r="B376" i="8" s="1"/>
  <c r="A377" i="8"/>
  <c r="B377" i="8" s="1"/>
  <c r="A378" i="8"/>
  <c r="B378" i="8" s="1"/>
  <c r="A379" i="8"/>
  <c r="B379" i="8" s="1"/>
  <c r="A343" i="8"/>
  <c r="B343" i="8" s="1"/>
  <c r="A344" i="8"/>
  <c r="B344" i="8" s="1"/>
  <c r="A345" i="8"/>
  <c r="B345" i="8" s="1"/>
  <c r="A346" i="8"/>
  <c r="B346" i="8" s="1"/>
  <c r="A347" i="8"/>
  <c r="B347" i="8" s="1"/>
  <c r="A348" i="8"/>
  <c r="B348" i="8" s="1"/>
  <c r="A349" i="8"/>
  <c r="B349" i="8" s="1"/>
  <c r="A350" i="8"/>
  <c r="B350" i="8" s="1"/>
  <c r="A351" i="8"/>
  <c r="B351" i="8" s="1"/>
  <c r="A352" i="8"/>
  <c r="B352" i="8" s="1"/>
  <c r="A353" i="8"/>
  <c r="B353" i="8" s="1"/>
  <c r="A354" i="8"/>
  <c r="B354" i="8" s="1"/>
  <c r="A355" i="8"/>
  <c r="B355" i="8" s="1"/>
  <c r="A356" i="8"/>
  <c r="B356" i="8" s="1"/>
  <c r="A357" i="8"/>
  <c r="B357" i="8" s="1"/>
  <c r="A358" i="8"/>
  <c r="B358" i="8" s="1"/>
  <c r="A359" i="8"/>
  <c r="B359" i="8" s="1"/>
  <c r="A360" i="8"/>
  <c r="B360" i="8" s="1"/>
  <c r="A361" i="8"/>
  <c r="B361" i="8" s="1"/>
  <c r="A362" i="8"/>
  <c r="B362" i="8" s="1"/>
  <c r="A363" i="8"/>
  <c r="B363" i="8" s="1"/>
  <c r="A364" i="8"/>
  <c r="B364" i="8" s="1"/>
  <c r="A365" i="8"/>
  <c r="B365" i="8" s="1"/>
  <c r="A366" i="8"/>
  <c r="B366" i="8" s="1"/>
  <c r="A252" i="8"/>
  <c r="B252" i="8" s="1"/>
  <c r="A253" i="8"/>
  <c r="B253" i="8" s="1"/>
  <c r="A254" i="8"/>
  <c r="B254" i="8" s="1"/>
  <c r="A255" i="8"/>
  <c r="B255" i="8" s="1"/>
  <c r="A256" i="8"/>
  <c r="B256" i="8" s="1"/>
  <c r="A257" i="8"/>
  <c r="B257" i="8" s="1"/>
  <c r="A258" i="8"/>
  <c r="B258" i="8" s="1"/>
  <c r="A259" i="8"/>
  <c r="B259" i="8" s="1"/>
  <c r="A334" i="8"/>
  <c r="B334" i="8" s="1"/>
  <c r="A335" i="8"/>
  <c r="B335" i="8" s="1"/>
  <c r="A337" i="8"/>
  <c r="B337" i="8" s="1"/>
  <c r="A338" i="8"/>
  <c r="B338" i="8" s="1"/>
  <c r="A339" i="8"/>
  <c r="B339" i="8" s="1"/>
  <c r="A340" i="8"/>
  <c r="B340" i="8" s="1"/>
  <c r="A341" i="8"/>
  <c r="B341" i="8" s="1"/>
  <c r="A342" i="8"/>
  <c r="B342" i="8" s="1"/>
  <c r="A327" i="8"/>
  <c r="B327" i="8" s="1"/>
  <c r="A316" i="8"/>
  <c r="B316" i="8" s="1"/>
  <c r="A317" i="8"/>
  <c r="B317" i="8" s="1"/>
  <c r="A318" i="8"/>
  <c r="B318" i="8" s="1"/>
  <c r="A319" i="8"/>
  <c r="B319" i="8" s="1"/>
  <c r="A320" i="8"/>
  <c r="B320" i="8" s="1"/>
  <c r="A321" i="8"/>
  <c r="B321" i="8" s="1"/>
  <c r="A322" i="8"/>
  <c r="B322" i="8" s="1"/>
  <c r="A323" i="8"/>
  <c r="B323" i="8" s="1"/>
  <c r="A324" i="8"/>
  <c r="B324" i="8" s="1"/>
  <c r="A325" i="8"/>
  <c r="B325" i="8" s="1"/>
  <c r="A326" i="8"/>
  <c r="B326" i="8" s="1"/>
  <c r="A290" i="8"/>
  <c r="B290" i="8" s="1"/>
  <c r="A291" i="8"/>
  <c r="B291" i="8" s="1"/>
  <c r="A292" i="8"/>
  <c r="B292" i="8" s="1"/>
  <c r="A293" i="8"/>
  <c r="B293" i="8" s="1"/>
  <c r="A294" i="8"/>
  <c r="B294" i="8" s="1"/>
  <c r="A295" i="8"/>
  <c r="B295" i="8" s="1"/>
  <c r="A296" i="8"/>
  <c r="B296" i="8" s="1"/>
  <c r="A297" i="8"/>
  <c r="B297" i="8" s="1"/>
  <c r="A298" i="8"/>
  <c r="B298" i="8" s="1"/>
  <c r="A299" i="8"/>
  <c r="B299" i="8" s="1"/>
  <c r="A300" i="8"/>
  <c r="B300" i="8" s="1"/>
  <c r="A301" i="8"/>
  <c r="B301" i="8" s="1"/>
  <c r="A302" i="8"/>
  <c r="B302" i="8" s="1"/>
  <c r="A303" i="8"/>
  <c r="B303" i="8" s="1"/>
  <c r="A304" i="8"/>
  <c r="B304" i="8" s="1"/>
  <c r="A305" i="8"/>
  <c r="B305" i="8" s="1"/>
  <c r="A306" i="8"/>
  <c r="B306" i="8" s="1"/>
  <c r="A307" i="8"/>
  <c r="B307" i="8" s="1"/>
  <c r="A308" i="8"/>
  <c r="B308" i="8" s="1"/>
  <c r="A309" i="8"/>
  <c r="B309" i="8" s="1"/>
  <c r="A310" i="8"/>
  <c r="B310" i="8" s="1"/>
  <c r="A311" i="8"/>
  <c r="B311" i="8" s="1"/>
  <c r="A312" i="8"/>
  <c r="B312" i="8" s="1"/>
  <c r="A313" i="8"/>
  <c r="B313" i="8" s="1"/>
  <c r="A314" i="8"/>
  <c r="B314" i="8" s="1"/>
  <c r="A315" i="8"/>
  <c r="B315" i="8" s="1"/>
  <c r="A210" i="8"/>
  <c r="B210" i="8" s="1"/>
  <c r="A211" i="8"/>
  <c r="B211" i="8" s="1"/>
  <c r="A212" i="8"/>
  <c r="B212" i="8" s="1"/>
  <c r="A213" i="8"/>
  <c r="B213" i="8" s="1"/>
  <c r="A214" i="8"/>
  <c r="B214" i="8" s="1"/>
  <c r="A215" i="8"/>
  <c r="B215" i="8" s="1"/>
  <c r="A216" i="8"/>
  <c r="B216" i="8" s="1"/>
  <c r="A217" i="8"/>
  <c r="B217" i="8" s="1"/>
  <c r="A218" i="8"/>
  <c r="B218" i="8" s="1"/>
  <c r="A260" i="8"/>
  <c r="B260" i="8" s="1"/>
  <c r="A261" i="8"/>
  <c r="B261" i="8" s="1"/>
  <c r="A262" i="8"/>
  <c r="B262" i="8" s="1"/>
  <c r="A263" i="8"/>
  <c r="B263" i="8" s="1"/>
  <c r="A264" i="8"/>
  <c r="B264" i="8" s="1"/>
  <c r="A265" i="8"/>
  <c r="B265" i="8" s="1"/>
  <c r="A266" i="8"/>
  <c r="B266" i="8" s="1"/>
  <c r="A267" i="8"/>
  <c r="B267" i="8" s="1"/>
  <c r="A268" i="8"/>
  <c r="B268" i="8" s="1"/>
  <c r="A269" i="8"/>
  <c r="B269" i="8" s="1"/>
  <c r="A270" i="8"/>
  <c r="B270" i="8" s="1"/>
  <c r="A271" i="8"/>
  <c r="B271" i="8" s="1"/>
  <c r="A272" i="8"/>
  <c r="B272" i="8" s="1"/>
  <c r="A273" i="8"/>
  <c r="B273" i="8" s="1"/>
  <c r="A274" i="8"/>
  <c r="B274" i="8" s="1"/>
  <c r="A275" i="8"/>
  <c r="B275" i="8" s="1"/>
  <c r="A276" i="8"/>
  <c r="B276" i="8" s="1"/>
  <c r="A277" i="8"/>
  <c r="B277" i="8" s="1"/>
  <c r="A278" i="8"/>
  <c r="B278" i="8" s="1"/>
  <c r="A279" i="8"/>
  <c r="B279" i="8" s="1"/>
  <c r="A281" i="8"/>
  <c r="B281" i="8" s="1"/>
  <c r="A282" i="8"/>
  <c r="B282" i="8" s="1"/>
  <c r="A283" i="8"/>
  <c r="B283" i="8" s="1"/>
  <c r="A284" i="8"/>
  <c r="B284" i="8" s="1"/>
  <c r="A285" i="8"/>
  <c r="B285" i="8" s="1"/>
  <c r="A239" i="8"/>
  <c r="B239" i="8" s="1"/>
  <c r="A240" i="8"/>
  <c r="B240" i="8" s="1"/>
  <c r="A241" i="8"/>
  <c r="B241" i="8" s="1"/>
  <c r="A242" i="8"/>
  <c r="B242" i="8" s="1"/>
  <c r="A243" i="8"/>
  <c r="B243" i="8" s="1"/>
  <c r="A244" i="8"/>
  <c r="B244" i="8" s="1"/>
  <c r="A245" i="8"/>
  <c r="B245" i="8" s="1"/>
  <c r="A246" i="8"/>
  <c r="B246" i="8" s="1"/>
  <c r="A247" i="8"/>
  <c r="B247" i="8" s="1"/>
  <c r="A248" i="8"/>
  <c r="B248" i="8" s="1"/>
  <c r="A249" i="8"/>
  <c r="B249" i="8" s="1"/>
  <c r="A250" i="8"/>
  <c r="B250" i="8" s="1"/>
  <c r="A251" i="8"/>
  <c r="B251" i="8" s="1"/>
  <c r="A234" i="8"/>
  <c r="B234" i="8" s="1"/>
  <c r="A235" i="8"/>
  <c r="B235" i="8" s="1"/>
  <c r="A236" i="8"/>
  <c r="B236" i="8" s="1"/>
  <c r="A237" i="8"/>
  <c r="B237" i="8" s="1"/>
  <c r="A238" i="8"/>
  <c r="B238" i="8" s="1"/>
  <c r="A219" i="8"/>
  <c r="B219" i="8" s="1"/>
  <c r="A220" i="8"/>
  <c r="B220" i="8" s="1"/>
  <c r="A221" i="8"/>
  <c r="B221" i="8" s="1"/>
  <c r="A222" i="8"/>
  <c r="B222" i="8" s="1"/>
  <c r="A223" i="8"/>
  <c r="B223" i="8" s="1"/>
  <c r="A224" i="8"/>
  <c r="B224" i="8" s="1"/>
  <c r="A225" i="8"/>
  <c r="B225" i="8" s="1"/>
  <c r="A226" i="8"/>
  <c r="B226" i="8" s="1"/>
  <c r="A227" i="8"/>
  <c r="B227" i="8" s="1"/>
  <c r="A228" i="8"/>
  <c r="B228" i="8" s="1"/>
  <c r="A229" i="8"/>
  <c r="B229" i="8" s="1"/>
  <c r="A232" i="8"/>
  <c r="B232" i="8" s="1"/>
  <c r="A233" i="8"/>
  <c r="B233" i="8" s="1"/>
  <c r="A194" i="8"/>
  <c r="B194" i="8" s="1"/>
  <c r="A195" i="8"/>
  <c r="B195" i="8" s="1"/>
  <c r="A196" i="8"/>
  <c r="B196" i="8" s="1"/>
  <c r="A197" i="8"/>
  <c r="B197" i="8" s="1"/>
  <c r="A198" i="8"/>
  <c r="B198" i="8" s="1"/>
  <c r="A199" i="8"/>
  <c r="B199" i="8" s="1"/>
  <c r="A200" i="8"/>
  <c r="B200" i="8" s="1"/>
  <c r="A201" i="8"/>
  <c r="B201" i="8" s="1"/>
  <c r="A202" i="8"/>
  <c r="B202" i="8" s="1"/>
  <c r="A203" i="8"/>
  <c r="B203" i="8" s="1"/>
  <c r="A204" i="8"/>
  <c r="B204" i="8" s="1"/>
  <c r="A205" i="8"/>
  <c r="B205" i="8" s="1"/>
  <c r="A206" i="8"/>
  <c r="B206" i="8" s="1"/>
  <c r="A207" i="8"/>
  <c r="B207" i="8" s="1"/>
  <c r="A208" i="8"/>
  <c r="B208" i="8" s="1"/>
  <c r="A209" i="8"/>
  <c r="B209" i="8" s="1"/>
  <c r="A193" i="8"/>
  <c r="B193" i="8" s="1"/>
  <c r="A143" i="8"/>
  <c r="B143" i="8" s="1"/>
  <c r="A144" i="8"/>
  <c r="B144" i="8" s="1"/>
  <c r="A145" i="8"/>
  <c r="B145" i="8" s="1"/>
  <c r="A146" i="8"/>
  <c r="B146" i="8" s="1"/>
  <c r="A147" i="8"/>
  <c r="B147" i="8" s="1"/>
  <c r="A148" i="8"/>
  <c r="B148" i="8" s="1"/>
  <c r="A149" i="8"/>
  <c r="B149" i="8" s="1"/>
  <c r="A150" i="8"/>
  <c r="B150" i="8" s="1"/>
  <c r="A151" i="8"/>
  <c r="B151" i="8" s="1"/>
  <c r="A152" i="8"/>
  <c r="B152" i="8" s="1"/>
  <c r="A153" i="8"/>
  <c r="B153" i="8" s="1"/>
  <c r="A154" i="8"/>
  <c r="B154" i="8" s="1"/>
  <c r="A178" i="8"/>
  <c r="B178" i="8" s="1"/>
  <c r="A179" i="8"/>
  <c r="B179" i="8" s="1"/>
  <c r="A180" i="8"/>
  <c r="B180" i="8" s="1"/>
  <c r="A181" i="8"/>
  <c r="B181" i="8" s="1"/>
  <c r="A182" i="8"/>
  <c r="B182" i="8" s="1"/>
  <c r="A183" i="8"/>
  <c r="B183" i="8" s="1"/>
  <c r="A184" i="8"/>
  <c r="B184" i="8" s="1"/>
  <c r="A185" i="8"/>
  <c r="B185" i="8" s="1"/>
  <c r="A186" i="8"/>
  <c r="B186" i="8" s="1"/>
  <c r="A187" i="8"/>
  <c r="B187" i="8" s="1"/>
  <c r="A189" i="8"/>
  <c r="B189" i="8" s="1"/>
  <c r="A190" i="8"/>
  <c r="B190" i="8" s="1"/>
  <c r="A191" i="8"/>
  <c r="B191" i="8" s="1"/>
  <c r="A177" i="8"/>
  <c r="B177" i="8" s="1"/>
  <c r="A155" i="8"/>
  <c r="B155" i="8" s="1"/>
  <c r="A156" i="8"/>
  <c r="B156" i="8" s="1"/>
  <c r="A157" i="8"/>
  <c r="B157" i="8" s="1"/>
  <c r="A158" i="8"/>
  <c r="B158" i="8" s="1"/>
  <c r="A159" i="8"/>
  <c r="B159" i="8" s="1"/>
  <c r="A160" i="8"/>
  <c r="B160" i="8" s="1"/>
  <c r="A161" i="8"/>
  <c r="B161" i="8" s="1"/>
  <c r="A162" i="8"/>
  <c r="B162" i="8" s="1"/>
  <c r="A163" i="8"/>
  <c r="B163" i="8" s="1"/>
  <c r="A164" i="8"/>
  <c r="B164" i="8" s="1"/>
  <c r="A165" i="8"/>
  <c r="B165" i="8" s="1"/>
  <c r="A166" i="8"/>
  <c r="B166" i="8" s="1"/>
  <c r="A167" i="8"/>
  <c r="B167" i="8" s="1"/>
  <c r="A168" i="8"/>
  <c r="B168" i="8" s="1"/>
  <c r="A169" i="8"/>
  <c r="B169" i="8" s="1"/>
  <c r="A170" i="8"/>
  <c r="B170" i="8" s="1"/>
  <c r="A171" i="8"/>
  <c r="B171" i="8" s="1"/>
  <c r="A172" i="8"/>
  <c r="B172" i="8" s="1"/>
  <c r="A173" i="8"/>
  <c r="B173" i="8" s="1"/>
  <c r="A174" i="8"/>
  <c r="B174" i="8" s="1"/>
  <c r="A175" i="8"/>
  <c r="B175" i="8" s="1"/>
  <c r="A99" i="8"/>
  <c r="B99" i="8" s="1"/>
  <c r="A100" i="8"/>
  <c r="B100" i="8" s="1"/>
  <c r="A101" i="8"/>
  <c r="B101" i="8" s="1"/>
  <c r="A102" i="8"/>
  <c r="B102" i="8" s="1"/>
  <c r="A103" i="8"/>
  <c r="B103" i="8" s="1"/>
  <c r="A104" i="8"/>
  <c r="B104" i="8" s="1"/>
  <c r="A105" i="8"/>
  <c r="B105" i="8" s="1"/>
  <c r="A106" i="8"/>
  <c r="B106" i="8" s="1"/>
  <c r="A107" i="8"/>
  <c r="B107" i="8" s="1"/>
  <c r="A108" i="8"/>
  <c r="B108" i="8" s="1"/>
  <c r="A109" i="8"/>
  <c r="B109" i="8" s="1"/>
  <c r="A110" i="8"/>
  <c r="B110" i="8" s="1"/>
  <c r="A111" i="8"/>
  <c r="B111" i="8" s="1"/>
  <c r="A112" i="8"/>
  <c r="B112" i="8" s="1"/>
  <c r="A113" i="8"/>
  <c r="B113" i="8" s="1"/>
  <c r="A114" i="8"/>
  <c r="B114" i="8" s="1"/>
  <c r="A115" i="8"/>
  <c r="B115" i="8" s="1"/>
  <c r="A116" i="8"/>
  <c r="B116" i="8" s="1"/>
  <c r="A117" i="8"/>
  <c r="B117" i="8" s="1"/>
  <c r="A118" i="8"/>
  <c r="B118" i="8" s="1"/>
  <c r="A119" i="8"/>
  <c r="B119" i="8" s="1"/>
  <c r="A120" i="8"/>
  <c r="B120" i="8" s="1"/>
  <c r="A121" i="8"/>
  <c r="B121" i="8" s="1"/>
  <c r="A122" i="8"/>
  <c r="B122" i="8" s="1"/>
  <c r="A123" i="8"/>
  <c r="B123" i="8" s="1"/>
  <c r="A124" i="8"/>
  <c r="B124" i="8" s="1"/>
  <c r="A125" i="8"/>
  <c r="B125" i="8" s="1"/>
  <c r="A126" i="8"/>
  <c r="B126" i="8" s="1"/>
  <c r="A127" i="8"/>
  <c r="B127" i="8" s="1"/>
  <c r="A128" i="8"/>
  <c r="B128" i="8" s="1"/>
  <c r="A129" i="8"/>
  <c r="B129" i="8" s="1"/>
  <c r="A130" i="8"/>
  <c r="B130" i="8" s="1"/>
  <c r="A131" i="8"/>
  <c r="B131" i="8" s="1"/>
  <c r="A132" i="8"/>
  <c r="B132" i="8" s="1"/>
  <c r="A133" i="8"/>
  <c r="B133" i="8" s="1"/>
  <c r="A134" i="8"/>
  <c r="B134" i="8" s="1"/>
  <c r="A135" i="8"/>
  <c r="B135" i="8" s="1"/>
  <c r="A136" i="8"/>
  <c r="B136" i="8" s="1"/>
  <c r="A137" i="8"/>
  <c r="B137" i="8" s="1"/>
  <c r="A138" i="8"/>
  <c r="B138" i="8" s="1"/>
  <c r="A139" i="8"/>
  <c r="B139" i="8" s="1"/>
  <c r="A140" i="8"/>
  <c r="B140" i="8" s="1"/>
  <c r="A141" i="8"/>
  <c r="B141" i="8" s="1"/>
  <c r="A142" i="8"/>
  <c r="B142" i="8" s="1"/>
  <c r="A69" i="8"/>
  <c r="B69" i="8" s="1"/>
  <c r="A70" i="8"/>
  <c r="B70" i="8" s="1"/>
  <c r="A71" i="8"/>
  <c r="B71" i="8" s="1"/>
  <c r="A72" i="8"/>
  <c r="B72" i="8" s="1"/>
  <c r="A73" i="8"/>
  <c r="B73" i="8" s="1"/>
  <c r="A74" i="8"/>
  <c r="B74" i="8" s="1"/>
  <c r="A75" i="8"/>
  <c r="B75" i="8" s="1"/>
  <c r="A76" i="8"/>
  <c r="B76" i="8" s="1"/>
  <c r="A77" i="8"/>
  <c r="B77" i="8" s="1"/>
  <c r="A78" i="8"/>
  <c r="B78" i="8" s="1"/>
  <c r="A79" i="8"/>
  <c r="B79" i="8" s="1"/>
  <c r="A80" i="8"/>
  <c r="B80" i="8" s="1"/>
  <c r="A81" i="8"/>
  <c r="B81" i="8" s="1"/>
  <c r="A82" i="8"/>
  <c r="B82" i="8" s="1"/>
  <c r="A83" i="8"/>
  <c r="B83" i="8" s="1"/>
  <c r="A84" i="8"/>
  <c r="B84" i="8" s="1"/>
  <c r="A85" i="8"/>
  <c r="B85" i="8" s="1"/>
  <c r="A86" i="8"/>
  <c r="B86" i="8" s="1"/>
  <c r="A87" i="8"/>
  <c r="B87" i="8" s="1"/>
  <c r="A88" i="8"/>
  <c r="B88" i="8" s="1"/>
  <c r="A89" i="8"/>
  <c r="B89" i="8" s="1"/>
  <c r="A90" i="8"/>
  <c r="B90" i="8" s="1"/>
  <c r="A91" i="8"/>
  <c r="B91" i="8" s="1"/>
  <c r="A92" i="8"/>
  <c r="B92" i="8" s="1"/>
  <c r="A93" i="8"/>
  <c r="B93" i="8" s="1"/>
  <c r="A94" i="8"/>
  <c r="B94" i="8" s="1"/>
  <c r="A95" i="8"/>
  <c r="B95" i="8" s="1"/>
  <c r="A96" i="8"/>
  <c r="B96" i="8" s="1"/>
  <c r="A97" i="8"/>
  <c r="B97" i="8" s="1"/>
  <c r="A98" i="8"/>
  <c r="B98" i="8" s="1"/>
  <c r="A33" i="8"/>
  <c r="B33" i="8" s="1"/>
  <c r="A34" i="8"/>
  <c r="B34" i="8" s="1"/>
  <c r="A35" i="8"/>
  <c r="B35" i="8" s="1"/>
  <c r="A36" i="8"/>
  <c r="B36" i="8" s="1"/>
  <c r="A37" i="8"/>
  <c r="B37" i="8" s="1"/>
  <c r="A38" i="8"/>
  <c r="B38" i="8" s="1"/>
  <c r="A39" i="8"/>
  <c r="B39" i="8" s="1"/>
  <c r="A40" i="8"/>
  <c r="B40" i="8" s="1"/>
  <c r="A41" i="8"/>
  <c r="B41" i="8" s="1"/>
  <c r="A42" i="8"/>
  <c r="B42" i="8" s="1"/>
  <c r="A44" i="8"/>
  <c r="B44" i="8" s="1"/>
  <c r="A45" i="8"/>
  <c r="B45" i="8" s="1"/>
  <c r="A46" i="8"/>
  <c r="B46" i="8" s="1"/>
  <c r="A47" i="8"/>
  <c r="B47" i="8" s="1"/>
  <c r="A48" i="8"/>
  <c r="B48" i="8" s="1"/>
  <c r="A49" i="8"/>
  <c r="B49" i="8" s="1"/>
  <c r="A50" i="8"/>
  <c r="B50" i="8" s="1"/>
  <c r="A51" i="8"/>
  <c r="B51" i="8" s="1"/>
  <c r="A52" i="8"/>
  <c r="B52" i="8" s="1"/>
  <c r="A53" i="8"/>
  <c r="B53" i="8" s="1"/>
  <c r="A54" i="8"/>
  <c r="B54" i="8" s="1"/>
  <c r="A55" i="8"/>
  <c r="B55" i="8" s="1"/>
  <c r="A56" i="8"/>
  <c r="B56" i="8" s="1"/>
  <c r="A57" i="8"/>
  <c r="B57" i="8" s="1"/>
  <c r="A58" i="8"/>
  <c r="B58" i="8" s="1"/>
  <c r="A59" i="8"/>
  <c r="B59" i="8" s="1"/>
  <c r="A60" i="8"/>
  <c r="B60" i="8" s="1"/>
  <c r="A61" i="8"/>
  <c r="B61" i="8" s="1"/>
  <c r="A62" i="8"/>
  <c r="B62" i="8" s="1"/>
  <c r="A63" i="8"/>
  <c r="B63" i="8" s="1"/>
  <c r="A64" i="8"/>
  <c r="B64" i="8" s="1"/>
  <c r="A65" i="8"/>
  <c r="B65" i="8" s="1"/>
  <c r="A66" i="8"/>
  <c r="B66" i="8" s="1"/>
  <c r="A67" i="8"/>
  <c r="B67" i="8" s="1"/>
  <c r="A68" i="8"/>
  <c r="B68" i="8" s="1"/>
  <c r="A5" i="8"/>
  <c r="B5" i="8" s="1"/>
  <c r="A6" i="8"/>
  <c r="B6" i="8" s="1"/>
  <c r="A7" i="8"/>
  <c r="B7" i="8" s="1"/>
  <c r="A8" i="8"/>
  <c r="B8" i="8" s="1"/>
  <c r="A9" i="8"/>
  <c r="B9" i="8" s="1"/>
  <c r="A10" i="8"/>
  <c r="B10" i="8" s="1"/>
  <c r="A11" i="8"/>
  <c r="B11" i="8" s="1"/>
  <c r="A12" i="8"/>
  <c r="B12" i="8" s="1"/>
  <c r="A13" i="8"/>
  <c r="B13" i="8" s="1"/>
  <c r="A14" i="8"/>
  <c r="B14" i="8" s="1"/>
  <c r="A15" i="8"/>
  <c r="B15" i="8" s="1"/>
  <c r="A16" i="8"/>
  <c r="B16" i="8" s="1"/>
  <c r="A17" i="8"/>
  <c r="B17" i="8" s="1"/>
  <c r="A18" i="8"/>
  <c r="B18" i="8" s="1"/>
  <c r="A19" i="8"/>
  <c r="B19" i="8" s="1"/>
  <c r="A20" i="8"/>
  <c r="B20" i="8" s="1"/>
  <c r="A21" i="8"/>
  <c r="B21" i="8" s="1"/>
  <c r="A22" i="8"/>
  <c r="B22" i="8" s="1"/>
  <c r="A23" i="8"/>
  <c r="B23" i="8" s="1"/>
  <c r="A24" i="8"/>
  <c r="B24" i="8" s="1"/>
  <c r="A25" i="8"/>
  <c r="B25" i="8" s="1"/>
  <c r="A26" i="8"/>
  <c r="B26" i="8" s="1"/>
  <c r="A27" i="8"/>
  <c r="B27" i="8" s="1"/>
  <c r="A28" i="8"/>
  <c r="B28" i="8" s="1"/>
  <c r="A29" i="8"/>
  <c r="B29" i="8" s="1"/>
  <c r="A30" i="8"/>
  <c r="B30" i="8" s="1"/>
  <c r="A31" i="8"/>
  <c r="B31" i="8" s="1"/>
  <c r="A32" i="8"/>
  <c r="B32" i="8" s="1"/>
  <c r="A4" i="8"/>
  <c r="B4" i="8" s="1"/>
  <c r="B292" i="6" l="1"/>
  <c r="B290" i="6"/>
  <c r="B288" i="6"/>
  <c r="B286" i="6"/>
  <c r="B284" i="6"/>
  <c r="B282" i="6"/>
  <c r="B280" i="6"/>
  <c r="B278" i="6"/>
  <c r="B276" i="6"/>
  <c r="B274" i="6"/>
  <c r="B272" i="6"/>
  <c r="B270" i="6"/>
  <c r="B268" i="6"/>
  <c r="C343" i="6"/>
  <c r="C341" i="6"/>
  <c r="C339" i="6"/>
  <c r="C337" i="6"/>
  <c r="C335" i="6"/>
  <c r="C333" i="6"/>
  <c r="C331" i="6"/>
  <c r="C329" i="6"/>
  <c r="C327" i="6"/>
  <c r="C325" i="6"/>
  <c r="C323" i="6"/>
  <c r="C321" i="6"/>
  <c r="C319" i="6"/>
  <c r="C317" i="6"/>
  <c r="C315" i="6"/>
  <c r="C313" i="6"/>
  <c r="C311" i="6"/>
  <c r="C309" i="6"/>
  <c r="C307" i="6"/>
  <c r="C305" i="6"/>
  <c r="C303" i="6"/>
  <c r="C301" i="6"/>
  <c r="C299" i="6"/>
  <c r="C297" i="6"/>
  <c r="C295" i="6"/>
  <c r="C293" i="6"/>
  <c r="C291" i="6"/>
  <c r="C289" i="6"/>
  <c r="C287" i="6"/>
  <c r="C285" i="6"/>
  <c r="C283" i="6"/>
  <c r="C281" i="6"/>
  <c r="C279" i="6"/>
  <c r="C277" i="6"/>
  <c r="C275" i="6"/>
  <c r="C273" i="6"/>
  <c r="C271" i="6"/>
  <c r="C269" i="6"/>
  <c r="B321" i="6"/>
  <c r="B319" i="6"/>
  <c r="B317" i="6"/>
  <c r="B315" i="6"/>
  <c r="B313" i="6"/>
  <c r="B311" i="6"/>
  <c r="B309" i="6"/>
  <c r="B307" i="6"/>
  <c r="B305" i="6"/>
  <c r="B303" i="6"/>
  <c r="B301" i="6"/>
  <c r="B299" i="6"/>
  <c r="B297" i="6"/>
  <c r="B295" i="6"/>
  <c r="B293" i="6"/>
  <c r="B291" i="6"/>
  <c r="B289" i="6"/>
  <c r="B287" i="6"/>
  <c r="B285" i="6"/>
  <c r="B283" i="6"/>
  <c r="B281" i="6"/>
  <c r="B279" i="6"/>
  <c r="B277" i="6"/>
  <c r="B275" i="6"/>
  <c r="B273" i="6"/>
  <c r="B271" i="6"/>
  <c r="B269" i="6"/>
  <c r="D607" i="8"/>
  <c r="C607" i="8"/>
  <c r="E607" i="8"/>
</calcChain>
</file>

<file path=xl/sharedStrings.xml><?xml version="1.0" encoding="utf-8"?>
<sst xmlns="http://schemas.openxmlformats.org/spreadsheetml/2006/main" count="3041" uniqueCount="1355">
  <si>
    <t>Aalten</t>
  </si>
  <si>
    <t>Abcoude</t>
  </si>
  <si>
    <t>Alkmaar</t>
  </si>
  <si>
    <t>Almelo</t>
  </si>
  <si>
    <t>Alphen aan den Rijn</t>
  </si>
  <si>
    <t>Amersfoort</t>
  </si>
  <si>
    <t>Amsterdam</t>
  </si>
  <si>
    <t>Anna Paulowna</t>
  </si>
  <si>
    <t>Apeldoorn</t>
  </si>
  <si>
    <t>Appingedam</t>
  </si>
  <si>
    <t>Arnhem</t>
  </si>
  <si>
    <t>Assen</t>
  </si>
  <si>
    <t>Baarn</t>
  </si>
  <si>
    <t>Barendrecht</t>
  </si>
  <si>
    <t>Barneveld</t>
  </si>
  <si>
    <t>Bedum</t>
  </si>
  <si>
    <t>Bergen op Zoom</t>
  </si>
  <si>
    <t>Best</t>
  </si>
  <si>
    <t>Beverwijk</t>
  </si>
  <si>
    <t>Bloemendaal</t>
  </si>
  <si>
    <t>Bodegraven</t>
  </si>
  <si>
    <t>Borne</t>
  </si>
  <si>
    <t>Boskoop</t>
  </si>
  <si>
    <t>Boxmeer</t>
  </si>
  <si>
    <t>Boxtel</t>
  </si>
  <si>
    <t>Breda</t>
  </si>
  <si>
    <t>Breukelen</t>
  </si>
  <si>
    <t>Brummen</t>
  </si>
  <si>
    <t>Bunnik</t>
  </si>
  <si>
    <t>Bussum</t>
  </si>
  <si>
    <t>Capelle aan den IJssel</t>
  </si>
  <si>
    <t>Castricum</t>
  </si>
  <si>
    <t>Kerkrade</t>
  </si>
  <si>
    <t>Coevorden</t>
  </si>
  <si>
    <t>Cuijk</t>
  </si>
  <si>
    <t>Culemborg</t>
  </si>
  <si>
    <t>Dalfsen</t>
  </si>
  <si>
    <t>Delft</t>
  </si>
  <si>
    <t>Delfzijl</t>
  </si>
  <si>
    <t>Den Helder</t>
  </si>
  <si>
    <t>Deurne</t>
  </si>
  <si>
    <t>Deventer</t>
  </si>
  <si>
    <t>Diemen</t>
  </si>
  <si>
    <t>Doetinchem</t>
  </si>
  <si>
    <t>Dordrecht</t>
  </si>
  <si>
    <t>Dronten</t>
  </si>
  <si>
    <t>Duiven</t>
  </si>
  <si>
    <t>Ede</t>
  </si>
  <si>
    <t>Eijsden</t>
  </si>
  <si>
    <t>Eindhoven</t>
  </si>
  <si>
    <t>Emmen</t>
  </si>
  <si>
    <t>Enkhuizen</t>
  </si>
  <si>
    <t>Enschede</t>
  </si>
  <si>
    <t>Ermelo</t>
  </si>
  <si>
    <t>Etten-Leur</t>
  </si>
  <si>
    <t>Geldermalsen</t>
  </si>
  <si>
    <t>Goes</t>
  </si>
  <si>
    <t>Gorinchem</t>
  </si>
  <si>
    <t>Gouda</t>
  </si>
  <si>
    <t>Groningen</t>
  </si>
  <si>
    <t>Haarlem</t>
  </si>
  <si>
    <t>Hardenberg</t>
  </si>
  <si>
    <t>Harderwijk</t>
  </si>
  <si>
    <t>Hardinxveld-Giessendam</t>
  </si>
  <si>
    <t>Haren</t>
  </si>
  <si>
    <t>Harlingen</t>
  </si>
  <si>
    <t>Heemskerk</t>
  </si>
  <si>
    <t>Heemstede</t>
  </si>
  <si>
    <t>Heerenveen</t>
  </si>
  <si>
    <t>Heerhugowaard</t>
  </si>
  <si>
    <t>Heerlen</t>
  </si>
  <si>
    <t>Heiloo</t>
  </si>
  <si>
    <t>Helmond</t>
  </si>
  <si>
    <t>Hengelo</t>
  </si>
  <si>
    <t>'s-Hertogenbosch</t>
  </si>
  <si>
    <t>Hillegom</t>
  </si>
  <si>
    <t>Hilversum</t>
  </si>
  <si>
    <t>Hoogeveen</t>
  </si>
  <si>
    <t>Hoogezand-Sappemeer</t>
  </si>
  <si>
    <t>Hoorn</t>
  </si>
  <si>
    <t>Houten</t>
  </si>
  <si>
    <t>Kampen</t>
  </si>
  <si>
    <t>Landgraaf</t>
  </si>
  <si>
    <t>Leerdam</t>
  </si>
  <si>
    <t>Leeuwarden</t>
  </si>
  <si>
    <t>Leiden</t>
  </si>
  <si>
    <t>Lelystad</t>
  </si>
  <si>
    <t>Lochem</t>
  </si>
  <si>
    <t>Loppersum</t>
  </si>
  <si>
    <t>Maarssen</t>
  </si>
  <si>
    <t>Maastricht</t>
  </si>
  <si>
    <t>Meerssen</t>
  </si>
  <si>
    <t>Meppel</t>
  </si>
  <si>
    <t>Middelburg</t>
  </si>
  <si>
    <t>Nijkerk</t>
  </si>
  <si>
    <t>Nijmegen</t>
  </si>
  <si>
    <t>Nunspeet</t>
  </si>
  <si>
    <t>Nuth</t>
  </si>
  <si>
    <t>Oisterwijk</t>
  </si>
  <si>
    <t>Oldenzaal</t>
  </si>
  <si>
    <t>Ommen</t>
  </si>
  <si>
    <t>Oss</t>
  </si>
  <si>
    <t>Purmerend</t>
  </si>
  <si>
    <t>Putten</t>
  </si>
  <si>
    <t>Raalte</t>
  </si>
  <si>
    <t>Rheden</t>
  </si>
  <si>
    <t>Rhenen</t>
  </si>
  <si>
    <t>Rijswijk</t>
  </si>
  <si>
    <t>Roermond</t>
  </si>
  <si>
    <t>Roosendaal</t>
  </si>
  <si>
    <t>Rotterdam</t>
  </si>
  <si>
    <t>Schagen</t>
  </si>
  <si>
    <t>Schiedam</t>
  </si>
  <si>
    <t>Schinnen</t>
  </si>
  <si>
    <t>Sliedrecht</t>
  </si>
  <si>
    <t>Sneek</t>
  </si>
  <si>
    <t>Soest</t>
  </si>
  <si>
    <t>Tiel</t>
  </si>
  <si>
    <t>Tilburg</t>
  </si>
  <si>
    <t>Uitgeest</t>
  </si>
  <si>
    <t>Utrecht</t>
  </si>
  <si>
    <t>Veendam</t>
  </si>
  <si>
    <t>Veenendaal</t>
  </si>
  <si>
    <t>Venlo</t>
  </si>
  <si>
    <t>Venray</t>
  </si>
  <si>
    <t>Vlissingen</t>
  </si>
  <si>
    <t>Voerendaal</t>
  </si>
  <si>
    <t>Voorschoten</t>
  </si>
  <si>
    <t>Vught</t>
  </si>
  <si>
    <t>Waddinxveen</t>
  </si>
  <si>
    <t>Weert</t>
  </si>
  <si>
    <t>Weesp</t>
  </si>
  <si>
    <t>Westervoort</t>
  </si>
  <si>
    <t>Wierden</t>
  </si>
  <si>
    <t>Wijchen</t>
  </si>
  <si>
    <t>Winsum</t>
  </si>
  <si>
    <t>Winterswijk</t>
  </si>
  <si>
    <t>Woerden</t>
  </si>
  <si>
    <t>Zaltbommel</t>
  </si>
  <si>
    <t>Zandvoort</t>
  </si>
  <si>
    <t>Zevenaar</t>
  </si>
  <si>
    <t>Zoetermeer</t>
  </si>
  <si>
    <t>Zuidhorn</t>
  </si>
  <si>
    <t>Zutphen</t>
  </si>
  <si>
    <t>Zwijndrecht</t>
  </si>
  <si>
    <t>Zwolle</t>
  </si>
  <si>
    <t>Gemeentecode</t>
  </si>
  <si>
    <t>GemeentecodeGM</t>
  </si>
  <si>
    <t>Gemeentenaam</t>
  </si>
  <si>
    <t>Provinciecode</t>
  </si>
  <si>
    <t>ProvinciecodePV</t>
  </si>
  <si>
    <t>Provincienaam</t>
  </si>
  <si>
    <t>1680</t>
  </si>
  <si>
    <t>GM1680</t>
  </si>
  <si>
    <t>Aa en Hunze</t>
  </si>
  <si>
    <t>22</t>
  </si>
  <si>
    <t>PV22</t>
  </si>
  <si>
    <t>Drenthe</t>
  </si>
  <si>
    <t>0358</t>
  </si>
  <si>
    <t>GM0358</t>
  </si>
  <si>
    <t>Aalsmeer</t>
  </si>
  <si>
    <t>27</t>
  </si>
  <si>
    <t>PV27</t>
  </si>
  <si>
    <t>Noord-Holland</t>
  </si>
  <si>
    <t>0197</t>
  </si>
  <si>
    <t>GM0197</t>
  </si>
  <si>
    <t>25</t>
  </si>
  <si>
    <t>PV25</t>
  </si>
  <si>
    <t>Gelderland</t>
  </si>
  <si>
    <t>0059</t>
  </si>
  <si>
    <t>GM0059</t>
  </si>
  <si>
    <t>Achtkarspelen</t>
  </si>
  <si>
    <t>21</t>
  </si>
  <si>
    <t>PV21</t>
  </si>
  <si>
    <t>Fryslân</t>
  </si>
  <si>
    <t>0482</t>
  </si>
  <si>
    <t>GM0482</t>
  </si>
  <si>
    <t>Alblasserdam</t>
  </si>
  <si>
    <t>28</t>
  </si>
  <si>
    <t>PV28</t>
  </si>
  <si>
    <t>Zuid-Holland</t>
  </si>
  <si>
    <t>0613</t>
  </si>
  <si>
    <t>GM0613</t>
  </si>
  <si>
    <t>Albrandswaard</t>
  </si>
  <si>
    <t>0361</t>
  </si>
  <si>
    <t>GM0361</t>
  </si>
  <si>
    <t>0141</t>
  </si>
  <si>
    <t>GM0141</t>
  </si>
  <si>
    <t>23</t>
  </si>
  <si>
    <t>PV23</t>
  </si>
  <si>
    <t>Overijssel</t>
  </si>
  <si>
    <t>0034</t>
  </si>
  <si>
    <t>GM0034</t>
  </si>
  <si>
    <t>Almere</t>
  </si>
  <si>
    <t>24</t>
  </si>
  <si>
    <t>PV24</t>
  </si>
  <si>
    <t>Flevoland</t>
  </si>
  <si>
    <t>0484</t>
  </si>
  <si>
    <t>GM0484</t>
  </si>
  <si>
    <t>1723</t>
  </si>
  <si>
    <t>GM1723</t>
  </si>
  <si>
    <t>Alphen-Chaam</t>
  </si>
  <si>
    <t>30</t>
  </si>
  <si>
    <t>PV30</t>
  </si>
  <si>
    <t>Noord-Brabant</t>
  </si>
  <si>
    <t>1959</t>
  </si>
  <si>
    <t>GM1959</t>
  </si>
  <si>
    <t>Altena</t>
  </si>
  <si>
    <t>0060</t>
  </si>
  <si>
    <t>GM0060</t>
  </si>
  <si>
    <t>Ameland</t>
  </si>
  <si>
    <t>0307</t>
  </si>
  <si>
    <t>GM0307</t>
  </si>
  <si>
    <t>26</t>
  </si>
  <si>
    <t>PV26</t>
  </si>
  <si>
    <t>0362</t>
  </si>
  <si>
    <t>GM0362</t>
  </si>
  <si>
    <t>Amstelveen</t>
  </si>
  <si>
    <t>0363</t>
  </si>
  <si>
    <t>GM0363</t>
  </si>
  <si>
    <t>0200</t>
  </si>
  <si>
    <t>GM0200</t>
  </si>
  <si>
    <t>0202</t>
  </si>
  <si>
    <t>GM0202</t>
  </si>
  <si>
    <t>0106</t>
  </si>
  <si>
    <t>GM0106</t>
  </si>
  <si>
    <t>0743</t>
  </si>
  <si>
    <t>GM0743</t>
  </si>
  <si>
    <t>Asten</t>
  </si>
  <si>
    <t>0744</t>
  </si>
  <si>
    <t>GM0744</t>
  </si>
  <si>
    <t>Baarle-Nassau</t>
  </si>
  <si>
    <t>0308</t>
  </si>
  <si>
    <t>GM0308</t>
  </si>
  <si>
    <t>0489</t>
  </si>
  <si>
    <t>GM0489</t>
  </si>
  <si>
    <t>0203</t>
  </si>
  <si>
    <t>GM0203</t>
  </si>
  <si>
    <t>0888</t>
  </si>
  <si>
    <t>GM0888</t>
  </si>
  <si>
    <t>Beek</t>
  </si>
  <si>
    <t>31</t>
  </si>
  <si>
    <t>PV31</t>
  </si>
  <si>
    <t>Limburg</t>
  </si>
  <si>
    <t>1954</t>
  </si>
  <si>
    <t>GM1954</t>
  </si>
  <si>
    <t>Beekdaelen</t>
  </si>
  <si>
    <t>0889</t>
  </si>
  <si>
    <t>GM0889</t>
  </si>
  <si>
    <t>Beesel</t>
  </si>
  <si>
    <t>1945</t>
  </si>
  <si>
    <t>GM1945</t>
  </si>
  <si>
    <t>Berg en Dal</t>
  </si>
  <si>
    <t>1724</t>
  </si>
  <si>
    <t>GM1724</t>
  </si>
  <si>
    <t>Bergeijk</t>
  </si>
  <si>
    <t>0893</t>
  </si>
  <si>
    <t>GM0893</t>
  </si>
  <si>
    <t>Bergen (L.)</t>
  </si>
  <si>
    <t>0373</t>
  </si>
  <si>
    <t>GM0373</t>
  </si>
  <si>
    <t>Bergen (NH.)</t>
  </si>
  <si>
    <t>0748</t>
  </si>
  <si>
    <t>GM0748</t>
  </si>
  <si>
    <t>1859</t>
  </si>
  <si>
    <t>GM1859</t>
  </si>
  <si>
    <t>Berkelland</t>
  </si>
  <si>
    <t>1721</t>
  </si>
  <si>
    <t>GM1721</t>
  </si>
  <si>
    <t>Bernheze</t>
  </si>
  <si>
    <t>0753</t>
  </si>
  <si>
    <t>GM0753</t>
  </si>
  <si>
    <t>0209</t>
  </si>
  <si>
    <t>GM0209</t>
  </si>
  <si>
    <t>Beuningen</t>
  </si>
  <si>
    <t>0375</t>
  </si>
  <si>
    <t>GM0375</t>
  </si>
  <si>
    <t>0310</t>
  </si>
  <si>
    <t>GM0310</t>
  </si>
  <si>
    <t>De Bilt</t>
  </si>
  <si>
    <t>1728</t>
  </si>
  <si>
    <t>GM1728</t>
  </si>
  <si>
    <t>Bladel</t>
  </si>
  <si>
    <t>0376</t>
  </si>
  <si>
    <t>GM0376</t>
  </si>
  <si>
    <t>Blaricum</t>
  </si>
  <si>
    <t>0377</t>
  </si>
  <si>
    <t>GM0377</t>
  </si>
  <si>
    <t>1901</t>
  </si>
  <si>
    <t>GM1901</t>
  </si>
  <si>
    <t>Bodegraven-Reeuwijk</t>
  </si>
  <si>
    <t>0755</t>
  </si>
  <si>
    <t>GM0755</t>
  </si>
  <si>
    <t>Boekel</t>
  </si>
  <si>
    <t>1681</t>
  </si>
  <si>
    <t>GM1681</t>
  </si>
  <si>
    <t>Borger-Odoorn</t>
  </si>
  <si>
    <t>0147</t>
  </si>
  <si>
    <t>GM0147</t>
  </si>
  <si>
    <t>0654</t>
  </si>
  <si>
    <t>GM0654</t>
  </si>
  <si>
    <t>Borsele</t>
  </si>
  <si>
    <t>29</t>
  </si>
  <si>
    <t>PV29</t>
  </si>
  <si>
    <t>Zeeland</t>
  </si>
  <si>
    <t>0757</t>
  </si>
  <si>
    <t>GM0757</t>
  </si>
  <si>
    <t>0758</t>
  </si>
  <si>
    <t>GM0758</t>
  </si>
  <si>
    <t>1876</t>
  </si>
  <si>
    <t>GM1876</t>
  </si>
  <si>
    <t>Bronckhorst</t>
  </si>
  <si>
    <t>0213</t>
  </si>
  <si>
    <t>GM0213</t>
  </si>
  <si>
    <t>0899</t>
  </si>
  <si>
    <t>GM0899</t>
  </si>
  <si>
    <t>Brunssum</t>
  </si>
  <si>
    <t>0312</t>
  </si>
  <si>
    <t>GM0312</t>
  </si>
  <si>
    <t>0313</t>
  </si>
  <si>
    <t>GM0313</t>
  </si>
  <si>
    <t>Bunschoten</t>
  </si>
  <si>
    <t>0214</t>
  </si>
  <si>
    <t>GM0214</t>
  </si>
  <si>
    <t>Buren</t>
  </si>
  <si>
    <t>0502</t>
  </si>
  <si>
    <t>GM0502</t>
  </si>
  <si>
    <t>0383</t>
  </si>
  <si>
    <t>GM0383</t>
  </si>
  <si>
    <t>0109</t>
  </si>
  <si>
    <t>GM0109</t>
  </si>
  <si>
    <t>1706</t>
  </si>
  <si>
    <t>GM1706</t>
  </si>
  <si>
    <t>Cranendonck</t>
  </si>
  <si>
    <t>0216</t>
  </si>
  <si>
    <t>GM0216</t>
  </si>
  <si>
    <t>0148</t>
  </si>
  <si>
    <t>GM0148</t>
  </si>
  <si>
    <t>1891</t>
  </si>
  <si>
    <t>GM1891</t>
  </si>
  <si>
    <t>Dantumadiel</t>
  </si>
  <si>
    <t>0503</t>
  </si>
  <si>
    <t>GM0503</t>
  </si>
  <si>
    <t>0762</t>
  </si>
  <si>
    <t>GM0762</t>
  </si>
  <si>
    <t>0150</t>
  </si>
  <si>
    <t>GM0150</t>
  </si>
  <si>
    <t>0384</t>
  </si>
  <si>
    <t>GM0384</t>
  </si>
  <si>
    <t>1980</t>
  </si>
  <si>
    <t>GM1980</t>
  </si>
  <si>
    <t>Dijk en Waard</t>
  </si>
  <si>
    <t>1774</t>
  </si>
  <si>
    <t>GM1774</t>
  </si>
  <si>
    <t>Dinkelland</t>
  </si>
  <si>
    <t>0221</t>
  </si>
  <si>
    <t>GM0221</t>
  </si>
  <si>
    <t>Doesburg</t>
  </si>
  <si>
    <t>0222</t>
  </si>
  <si>
    <t>GM0222</t>
  </si>
  <si>
    <t>0766</t>
  </si>
  <si>
    <t>GM0766</t>
  </si>
  <si>
    <t>Dongen</t>
  </si>
  <si>
    <t>0505</t>
  </si>
  <si>
    <t>GM0505</t>
  </si>
  <si>
    <t>0498</t>
  </si>
  <si>
    <t>GM0498</t>
  </si>
  <si>
    <t>Drechterland</t>
  </si>
  <si>
    <t>1719</t>
  </si>
  <si>
    <t>GM1719</t>
  </si>
  <si>
    <t>Drimmelen</t>
  </si>
  <si>
    <t>0303</t>
  </si>
  <si>
    <t>GM0303</t>
  </si>
  <si>
    <t>0225</t>
  </si>
  <si>
    <t>GM0225</t>
  </si>
  <si>
    <t>Druten</t>
  </si>
  <si>
    <t>0226</t>
  </si>
  <si>
    <t>GM0226</t>
  </si>
  <si>
    <t>1711</t>
  </si>
  <si>
    <t>GM1711</t>
  </si>
  <si>
    <t>Echt-Susteren</t>
  </si>
  <si>
    <t>0385</t>
  </si>
  <si>
    <t>GM0385</t>
  </si>
  <si>
    <t>Edam-Volendam</t>
  </si>
  <si>
    <t>0228</t>
  </si>
  <si>
    <t>GM0228</t>
  </si>
  <si>
    <t>0317</t>
  </si>
  <si>
    <t>GM0317</t>
  </si>
  <si>
    <t>Eemnes</t>
  </si>
  <si>
    <t>1979</t>
  </si>
  <si>
    <t>GM1979</t>
  </si>
  <si>
    <t>Eemsdelta</t>
  </si>
  <si>
    <t>20</t>
  </si>
  <si>
    <t>PV20</t>
  </si>
  <si>
    <t>0770</t>
  </si>
  <si>
    <t>GM0770</t>
  </si>
  <si>
    <t>Eersel</t>
  </si>
  <si>
    <t>1903</t>
  </si>
  <si>
    <t>GM1903</t>
  </si>
  <si>
    <t>Eijsden-Margraten</t>
  </si>
  <si>
    <t>0772</t>
  </si>
  <si>
    <t>GM0772</t>
  </si>
  <si>
    <t>0230</t>
  </si>
  <si>
    <t>GM0230</t>
  </si>
  <si>
    <t>Elburg</t>
  </si>
  <si>
    <t>0114</t>
  </si>
  <si>
    <t>GM0114</t>
  </si>
  <si>
    <t>0388</t>
  </si>
  <si>
    <t>GM0388</t>
  </si>
  <si>
    <t>0153</t>
  </si>
  <si>
    <t>GM0153</t>
  </si>
  <si>
    <t>0232</t>
  </si>
  <si>
    <t>GM0232</t>
  </si>
  <si>
    <t>Epe</t>
  </si>
  <si>
    <t>0233</t>
  </si>
  <si>
    <t>GM0233</t>
  </si>
  <si>
    <t>0777</t>
  </si>
  <si>
    <t>GM0777</t>
  </si>
  <si>
    <t>1940</t>
  </si>
  <si>
    <t>GM1940</t>
  </si>
  <si>
    <t>De Fryske Marren</t>
  </si>
  <si>
    <t>0779</t>
  </si>
  <si>
    <t>GM0779</t>
  </si>
  <si>
    <t>Geertruidenberg</t>
  </si>
  <si>
    <t>1771</t>
  </si>
  <si>
    <t>GM1771</t>
  </si>
  <si>
    <t>Geldrop-Mierlo</t>
  </si>
  <si>
    <t>1652</t>
  </si>
  <si>
    <t>GM1652</t>
  </si>
  <si>
    <t>Gemert-Bakel</t>
  </si>
  <si>
    <t>0907</t>
  </si>
  <si>
    <t>GM0907</t>
  </si>
  <si>
    <t>Gennep</t>
  </si>
  <si>
    <t>0784</t>
  </si>
  <si>
    <t>GM0784</t>
  </si>
  <si>
    <t>Gilze en Rijen</t>
  </si>
  <si>
    <t>1924</t>
  </si>
  <si>
    <t>GM1924</t>
  </si>
  <si>
    <t>Goeree-Overflakkee</t>
  </si>
  <si>
    <t>0664</t>
  </si>
  <si>
    <t>GM0664</t>
  </si>
  <si>
    <t>0785</t>
  </si>
  <si>
    <t>GM0785</t>
  </si>
  <si>
    <t>Goirle</t>
  </si>
  <si>
    <t>1942</t>
  </si>
  <si>
    <t>GM1942</t>
  </si>
  <si>
    <t>Gooise Meren</t>
  </si>
  <si>
    <t>0512</t>
  </si>
  <si>
    <t>GM0512</t>
  </si>
  <si>
    <t>0513</t>
  </si>
  <si>
    <t>GM0513</t>
  </si>
  <si>
    <t>0518</t>
  </si>
  <si>
    <t>GM0518</t>
  </si>
  <si>
    <t>'s-Gravenhage</t>
  </si>
  <si>
    <t>0014</t>
  </si>
  <si>
    <t>GM0014</t>
  </si>
  <si>
    <t>1729</t>
  </si>
  <si>
    <t>GM1729</t>
  </si>
  <si>
    <t>Gulpen-Wittem</t>
  </si>
  <si>
    <t>0158</t>
  </si>
  <si>
    <t>GM0158</t>
  </si>
  <si>
    <t>Haaksbergen</t>
  </si>
  <si>
    <t>0392</t>
  </si>
  <si>
    <t>GM0392</t>
  </si>
  <si>
    <t>0394</t>
  </si>
  <si>
    <t>GM0394</t>
  </si>
  <si>
    <t>Haarlemmermeer</t>
  </si>
  <si>
    <t>1655</t>
  </si>
  <si>
    <t>GM1655</t>
  </si>
  <si>
    <t>Halderberge</t>
  </si>
  <si>
    <t>0160</t>
  </si>
  <si>
    <t>GM0160</t>
  </si>
  <si>
    <t>0243</t>
  </si>
  <si>
    <t>GM0243</t>
  </si>
  <si>
    <t>0523</t>
  </si>
  <si>
    <t>GM0523</t>
  </si>
  <si>
    <t>0072</t>
  </si>
  <si>
    <t>GM0072</t>
  </si>
  <si>
    <t>0244</t>
  </si>
  <si>
    <t>GM0244</t>
  </si>
  <si>
    <t>Hattem</t>
  </si>
  <si>
    <t>0396</t>
  </si>
  <si>
    <t>GM0396</t>
  </si>
  <si>
    <t>0397</t>
  </si>
  <si>
    <t>GM0397</t>
  </si>
  <si>
    <t>0246</t>
  </si>
  <si>
    <t>GM0246</t>
  </si>
  <si>
    <t>Heerde</t>
  </si>
  <si>
    <t>0074</t>
  </si>
  <si>
    <t>GM0074</t>
  </si>
  <si>
    <t>0917</t>
  </si>
  <si>
    <t>GM0917</t>
  </si>
  <si>
    <t>1658</t>
  </si>
  <si>
    <t>GM1658</t>
  </si>
  <si>
    <t>Heeze-Leende</t>
  </si>
  <si>
    <t>0399</t>
  </si>
  <si>
    <t>GM0399</t>
  </si>
  <si>
    <t>0400</t>
  </si>
  <si>
    <t>GM0400</t>
  </si>
  <si>
    <t>0163</t>
  </si>
  <si>
    <t>GM0163</t>
  </si>
  <si>
    <t>Hellendoorn</t>
  </si>
  <si>
    <t>0794</t>
  </si>
  <si>
    <t>GM0794</t>
  </si>
  <si>
    <t>0531</t>
  </si>
  <si>
    <t>GM0531</t>
  </si>
  <si>
    <t>Hendrik-Ido-Ambacht</t>
  </si>
  <si>
    <t>0164</t>
  </si>
  <si>
    <t>GM0164</t>
  </si>
  <si>
    <t>0796</t>
  </si>
  <si>
    <t>GM0796</t>
  </si>
  <si>
    <t>0252</t>
  </si>
  <si>
    <t>GM0252</t>
  </si>
  <si>
    <t>Heumen</t>
  </si>
  <si>
    <t>0797</t>
  </si>
  <si>
    <t>GM0797</t>
  </si>
  <si>
    <t>Heusden</t>
  </si>
  <si>
    <t>0534</t>
  </si>
  <si>
    <t>GM0534</t>
  </si>
  <si>
    <t>0798</t>
  </si>
  <si>
    <t>GM0798</t>
  </si>
  <si>
    <t>Hilvarenbeek</t>
  </si>
  <si>
    <t>0402</t>
  </si>
  <si>
    <t>GM0402</t>
  </si>
  <si>
    <t>1963</t>
  </si>
  <si>
    <t>GM1963</t>
  </si>
  <si>
    <t>Hoeksche Waard</t>
  </si>
  <si>
    <t>1735</t>
  </si>
  <si>
    <t>GM1735</t>
  </si>
  <si>
    <t>Hof van Twente</t>
  </si>
  <si>
    <t>1966</t>
  </si>
  <si>
    <t>GM1966</t>
  </si>
  <si>
    <t>Het Hogeland</t>
  </si>
  <si>
    <t>1911</t>
  </si>
  <si>
    <t>GM1911</t>
  </si>
  <si>
    <t>Hollands Kroon</t>
  </si>
  <si>
    <t>0118</t>
  </si>
  <si>
    <t>GM0118</t>
  </si>
  <si>
    <t>0405</t>
  </si>
  <si>
    <t>GM0405</t>
  </si>
  <si>
    <t>1507</t>
  </si>
  <si>
    <t>GM1507</t>
  </si>
  <si>
    <t>Horst aan de Maas</t>
  </si>
  <si>
    <t>0321</t>
  </si>
  <si>
    <t>GM0321</t>
  </si>
  <si>
    <t>0406</t>
  </si>
  <si>
    <t>GM0406</t>
  </si>
  <si>
    <t>Huizen</t>
  </si>
  <si>
    <t>0677</t>
  </si>
  <si>
    <t>GM0677</t>
  </si>
  <si>
    <t>Hulst</t>
  </si>
  <si>
    <t>0353</t>
  </si>
  <si>
    <t>GM0353</t>
  </si>
  <si>
    <t>IJsselstein</t>
  </si>
  <si>
    <t>1884</t>
  </si>
  <si>
    <t>GM1884</t>
  </si>
  <si>
    <t>Kaag en Braassem</t>
  </si>
  <si>
    <t>0166</t>
  </si>
  <si>
    <t>GM0166</t>
  </si>
  <si>
    <t>0678</t>
  </si>
  <si>
    <t>GM0678</t>
  </si>
  <si>
    <t>Kapelle</t>
  </si>
  <si>
    <t>0537</t>
  </si>
  <si>
    <t>GM0537</t>
  </si>
  <si>
    <t>Katwijk</t>
  </si>
  <si>
    <t>0928</t>
  </si>
  <si>
    <t>GM0928</t>
  </si>
  <si>
    <t>1598</t>
  </si>
  <si>
    <t>GM1598</t>
  </si>
  <si>
    <t>Koggenland</t>
  </si>
  <si>
    <t>0542</t>
  </si>
  <si>
    <t>GM0542</t>
  </si>
  <si>
    <t>Krimpen aan den IJssel</t>
  </si>
  <si>
    <t>1931</t>
  </si>
  <si>
    <t>GM1931</t>
  </si>
  <si>
    <t>Krimpenerwaard</t>
  </si>
  <si>
    <t>1659</t>
  </si>
  <si>
    <t>GM1659</t>
  </si>
  <si>
    <t>Laarbeek</t>
  </si>
  <si>
    <t>1982</t>
  </si>
  <si>
    <t>GM1982</t>
  </si>
  <si>
    <t>Land van Cuijk</t>
  </si>
  <si>
    <t>0882</t>
  </si>
  <si>
    <t>GM0882</t>
  </si>
  <si>
    <t>0415</t>
  </si>
  <si>
    <t>GM0415</t>
  </si>
  <si>
    <t>Landsmeer</t>
  </si>
  <si>
    <t>1621</t>
  </si>
  <si>
    <t>GM1621</t>
  </si>
  <si>
    <t>Lansingerland</t>
  </si>
  <si>
    <t>0417</t>
  </si>
  <si>
    <t>GM0417</t>
  </si>
  <si>
    <t>Laren</t>
  </si>
  <si>
    <t>0080</t>
  </si>
  <si>
    <t>GM0080</t>
  </si>
  <si>
    <t>0546</t>
  </si>
  <si>
    <t>GM0546</t>
  </si>
  <si>
    <t>0547</t>
  </si>
  <si>
    <t>GM0547</t>
  </si>
  <si>
    <t>Leiderdorp</t>
  </si>
  <si>
    <t>1916</t>
  </si>
  <si>
    <t>GM1916</t>
  </si>
  <si>
    <t>Leidschendam-Voorburg</t>
  </si>
  <si>
    <t>0995</t>
  </si>
  <si>
    <t>GM0995</t>
  </si>
  <si>
    <t>1640</t>
  </si>
  <si>
    <t>GM1640</t>
  </si>
  <si>
    <t>Leudal</t>
  </si>
  <si>
    <t>0327</t>
  </si>
  <si>
    <t>GM0327</t>
  </si>
  <si>
    <t>Leusden</t>
  </si>
  <si>
    <t>1705</t>
  </si>
  <si>
    <t>GM1705</t>
  </si>
  <si>
    <t>Lingewaard</t>
  </si>
  <si>
    <t>0553</t>
  </si>
  <si>
    <t>GM0553</t>
  </si>
  <si>
    <t>Lisse</t>
  </si>
  <si>
    <t>0262</t>
  </si>
  <si>
    <t>GM0262</t>
  </si>
  <si>
    <t>0809</t>
  </si>
  <si>
    <t>GM0809</t>
  </si>
  <si>
    <t>Loon op Zand</t>
  </si>
  <si>
    <t>0331</t>
  </si>
  <si>
    <t>GM0331</t>
  </si>
  <si>
    <t>Lopik</t>
  </si>
  <si>
    <t>0168</t>
  </si>
  <si>
    <t>GM0168</t>
  </si>
  <si>
    <t>Losser</t>
  </si>
  <si>
    <t>0263</t>
  </si>
  <si>
    <t>GM0263</t>
  </si>
  <si>
    <t>Maasdriel</t>
  </si>
  <si>
    <t>1641</t>
  </si>
  <si>
    <t>GM1641</t>
  </si>
  <si>
    <t>Maasgouw</t>
  </si>
  <si>
    <t>1991</t>
  </si>
  <si>
    <t>GM1991</t>
  </si>
  <si>
    <t>Maashorst</t>
  </si>
  <si>
    <t>0556</t>
  </si>
  <si>
    <t>GM0556</t>
  </si>
  <si>
    <t>Maassluis</t>
  </si>
  <si>
    <t>0935</t>
  </si>
  <si>
    <t>GM0935</t>
  </si>
  <si>
    <t>0420</t>
  </si>
  <si>
    <t>GM0420</t>
  </si>
  <si>
    <t>Medemblik</t>
  </si>
  <si>
    <t>0938</t>
  </si>
  <si>
    <t>GM0938</t>
  </si>
  <si>
    <t>1948</t>
  </si>
  <si>
    <t>GM1948</t>
  </si>
  <si>
    <t>Meierijstad</t>
  </si>
  <si>
    <t>0119</t>
  </si>
  <si>
    <t>GM0119</t>
  </si>
  <si>
    <t>0687</t>
  </si>
  <si>
    <t>GM0687</t>
  </si>
  <si>
    <t>1842</t>
  </si>
  <si>
    <t>GM1842</t>
  </si>
  <si>
    <t>Midden-Delfland</t>
  </si>
  <si>
    <t>1731</t>
  </si>
  <si>
    <t>GM1731</t>
  </si>
  <si>
    <t>Midden-Drenthe</t>
  </si>
  <si>
    <t>1952</t>
  </si>
  <si>
    <t>GM1952</t>
  </si>
  <si>
    <t>Midden-Groningen</t>
  </si>
  <si>
    <t>1709</t>
  </si>
  <si>
    <t>GM1709</t>
  </si>
  <si>
    <t>Moerdijk</t>
  </si>
  <si>
    <t>1978</t>
  </si>
  <si>
    <t>GM1978</t>
  </si>
  <si>
    <t>Molenlanden</t>
  </si>
  <si>
    <t>1955</t>
  </si>
  <si>
    <t>GM1955</t>
  </si>
  <si>
    <t>Montferland</t>
  </si>
  <si>
    <t>0335</t>
  </si>
  <si>
    <t>GM0335</t>
  </si>
  <si>
    <t>Montfoort</t>
  </si>
  <si>
    <t>0944</t>
  </si>
  <si>
    <t>GM0944</t>
  </si>
  <si>
    <t>Mook en Middelaar</t>
  </si>
  <si>
    <t>1740</t>
  </si>
  <si>
    <t>GM1740</t>
  </si>
  <si>
    <t>Neder-Betuwe</t>
  </si>
  <si>
    <t>0946</t>
  </si>
  <si>
    <t>GM0946</t>
  </si>
  <si>
    <t>Nederweert</t>
  </si>
  <si>
    <t>0356</t>
  </si>
  <si>
    <t>GM0356</t>
  </si>
  <si>
    <t>Nieuwegein</t>
  </si>
  <si>
    <t>0569</t>
  </si>
  <si>
    <t>GM0569</t>
  </si>
  <si>
    <t>Nieuwkoop</t>
  </si>
  <si>
    <t>0267</t>
  </si>
  <si>
    <t>GM0267</t>
  </si>
  <si>
    <t>0268</t>
  </si>
  <si>
    <t>GM0268</t>
  </si>
  <si>
    <t>1930</t>
  </si>
  <si>
    <t>GM1930</t>
  </si>
  <si>
    <t>Nissewaard</t>
  </si>
  <si>
    <t>1970</t>
  </si>
  <si>
    <t>GM1970</t>
  </si>
  <si>
    <t>Noardeast-Fryslân</t>
  </si>
  <si>
    <t>1695</t>
  </si>
  <si>
    <t>GM1695</t>
  </si>
  <si>
    <t>Noord-Beveland</t>
  </si>
  <si>
    <t>1699</t>
  </si>
  <si>
    <t>GM1699</t>
  </si>
  <si>
    <t>Noordenveld</t>
  </si>
  <si>
    <t>0171</t>
  </si>
  <si>
    <t>GM0171</t>
  </si>
  <si>
    <t>Noordoostpolder</t>
  </si>
  <si>
    <t>0575</t>
  </si>
  <si>
    <t>GM0575</t>
  </si>
  <si>
    <t>Noordwijk</t>
  </si>
  <si>
    <t>0820</t>
  </si>
  <si>
    <t>GM0820</t>
  </si>
  <si>
    <t>Nuenen, Gerwen en Nederwetten</t>
  </si>
  <si>
    <t>0302</t>
  </si>
  <si>
    <t>GM0302</t>
  </si>
  <si>
    <t>0579</t>
  </si>
  <si>
    <t>GM0579</t>
  </si>
  <si>
    <t>Oegstgeest</t>
  </si>
  <si>
    <t>0823</t>
  </si>
  <si>
    <t>GM0823</t>
  </si>
  <si>
    <t>Oirschot</t>
  </si>
  <si>
    <t>0824</t>
  </si>
  <si>
    <t>GM0824</t>
  </si>
  <si>
    <t>1895</t>
  </si>
  <si>
    <t>GM1895</t>
  </si>
  <si>
    <t>Oldambt</t>
  </si>
  <si>
    <t>0269</t>
  </si>
  <si>
    <t>GM0269</t>
  </si>
  <si>
    <t>Oldebroek</t>
  </si>
  <si>
    <t>0173</t>
  </si>
  <si>
    <t>GM0173</t>
  </si>
  <si>
    <t>1773</t>
  </si>
  <si>
    <t>GM1773</t>
  </si>
  <si>
    <t>Olst-Wijhe</t>
  </si>
  <si>
    <t>0175</t>
  </si>
  <si>
    <t>GM0175</t>
  </si>
  <si>
    <t>1586</t>
  </si>
  <si>
    <t>GM1586</t>
  </si>
  <si>
    <t>Oost Gelre</t>
  </si>
  <si>
    <t>0826</t>
  </si>
  <si>
    <t>GM0826</t>
  </si>
  <si>
    <t>Oosterhout</t>
  </si>
  <si>
    <t>0085</t>
  </si>
  <si>
    <t>GM0085</t>
  </si>
  <si>
    <t>Ooststellingwerf</t>
  </si>
  <si>
    <t>0431</t>
  </si>
  <si>
    <t>GM0431</t>
  </si>
  <si>
    <t>Oostzaan</t>
  </si>
  <si>
    <t>0432</t>
  </si>
  <si>
    <t>GM0432</t>
  </si>
  <si>
    <t>Opmeer</t>
  </si>
  <si>
    <t>0086</t>
  </si>
  <si>
    <t>GM0086</t>
  </si>
  <si>
    <t>Opsterland</t>
  </si>
  <si>
    <t>0828</t>
  </si>
  <si>
    <t>GM0828</t>
  </si>
  <si>
    <t>1509</t>
  </si>
  <si>
    <t>GM1509</t>
  </si>
  <si>
    <t>Oude IJsselstreek</t>
  </si>
  <si>
    <t>0437</t>
  </si>
  <si>
    <t>GM0437</t>
  </si>
  <si>
    <t>Ouder-Amstel</t>
  </si>
  <si>
    <t>0589</t>
  </si>
  <si>
    <t>GM0589</t>
  </si>
  <si>
    <t>Oudewater</t>
  </si>
  <si>
    <t>1734</t>
  </si>
  <si>
    <t>GM1734</t>
  </si>
  <si>
    <t>Overbetuwe</t>
  </si>
  <si>
    <t>0590</t>
  </si>
  <si>
    <t>GM0590</t>
  </si>
  <si>
    <t>Papendrecht</t>
  </si>
  <si>
    <t>1894</t>
  </si>
  <si>
    <t>GM1894</t>
  </si>
  <si>
    <t>Peel en Maas</t>
  </si>
  <si>
    <t>0765</t>
  </si>
  <si>
    <t>GM0765</t>
  </si>
  <si>
    <t>Pekela</t>
  </si>
  <si>
    <t>1926</t>
  </si>
  <si>
    <t>GM1926</t>
  </si>
  <si>
    <t>Pijnacker-Nootdorp</t>
  </si>
  <si>
    <t>0439</t>
  </si>
  <si>
    <t>GM0439</t>
  </si>
  <si>
    <t>0273</t>
  </si>
  <si>
    <t>GM0273</t>
  </si>
  <si>
    <t>0177</t>
  </si>
  <si>
    <t>GM0177</t>
  </si>
  <si>
    <t>0703</t>
  </si>
  <si>
    <t>GM0703</t>
  </si>
  <si>
    <t>Reimerswaal</t>
  </si>
  <si>
    <t>0274</t>
  </si>
  <si>
    <t>GM0274</t>
  </si>
  <si>
    <t>Renkum</t>
  </si>
  <si>
    <t>0339</t>
  </si>
  <si>
    <t>GM0339</t>
  </si>
  <si>
    <t>Renswoude</t>
  </si>
  <si>
    <t>1667</t>
  </si>
  <si>
    <t>GM1667</t>
  </si>
  <si>
    <t>Reusel-De Mierden</t>
  </si>
  <si>
    <t>0275</t>
  </si>
  <si>
    <t>GM0275</t>
  </si>
  <si>
    <t>0340</t>
  </si>
  <si>
    <t>GM0340</t>
  </si>
  <si>
    <t>0597</t>
  </si>
  <si>
    <t>GM0597</t>
  </si>
  <si>
    <t>Ridderkerk</t>
  </si>
  <si>
    <t>1742</t>
  </si>
  <si>
    <t>GM1742</t>
  </si>
  <si>
    <t>Rijssen-Holten</t>
  </si>
  <si>
    <t>0603</t>
  </si>
  <si>
    <t>GM0603</t>
  </si>
  <si>
    <t>1669</t>
  </si>
  <si>
    <t>GM1669</t>
  </si>
  <si>
    <t>Roerdalen</t>
  </si>
  <si>
    <t>0957</t>
  </si>
  <si>
    <t>GM0957</t>
  </si>
  <si>
    <t>0736</t>
  </si>
  <si>
    <t>GM0736</t>
  </si>
  <si>
    <t>De Ronde Venen</t>
  </si>
  <si>
    <t>1674</t>
  </si>
  <si>
    <t>GM1674</t>
  </si>
  <si>
    <t>0599</t>
  </si>
  <si>
    <t>GM0599</t>
  </si>
  <si>
    <t>0277</t>
  </si>
  <si>
    <t>GM0277</t>
  </si>
  <si>
    <t>Rozendaal</t>
  </si>
  <si>
    <t>0840</t>
  </si>
  <si>
    <t>GM0840</t>
  </si>
  <si>
    <t>Rucphen</t>
  </si>
  <si>
    <t>0441</t>
  </si>
  <si>
    <t>GM0441</t>
  </si>
  <si>
    <t>0279</t>
  </si>
  <si>
    <t>GM0279</t>
  </si>
  <si>
    <t>Scherpenzeel</t>
  </si>
  <si>
    <t>0606</t>
  </si>
  <si>
    <t>GM0606</t>
  </si>
  <si>
    <t>0088</t>
  </si>
  <si>
    <t>GM0088</t>
  </si>
  <si>
    <t>Schiermonnikoog</t>
  </si>
  <si>
    <t>1676</t>
  </si>
  <si>
    <t>GM1676</t>
  </si>
  <si>
    <t>Schouwen-Duiveland</t>
  </si>
  <si>
    <t>0965</t>
  </si>
  <si>
    <t>GM0965</t>
  </si>
  <si>
    <t>Simpelveld</t>
  </si>
  <si>
    <t>0845</t>
  </si>
  <si>
    <t>GM0845</t>
  </si>
  <si>
    <t>Sint-Michielsgestel</t>
  </si>
  <si>
    <t>1883</t>
  </si>
  <si>
    <t>GM1883</t>
  </si>
  <si>
    <t>Sittard-Geleen</t>
  </si>
  <si>
    <t>0610</t>
  </si>
  <si>
    <t>GM0610</t>
  </si>
  <si>
    <t>1714</t>
  </si>
  <si>
    <t>GM1714</t>
  </si>
  <si>
    <t>Sluis</t>
  </si>
  <si>
    <t>0090</t>
  </si>
  <si>
    <t>GM0090</t>
  </si>
  <si>
    <t>Smallingerland</t>
  </si>
  <si>
    <t>0342</t>
  </si>
  <si>
    <t>GM0342</t>
  </si>
  <si>
    <t>0847</t>
  </si>
  <si>
    <t>GM0847</t>
  </si>
  <si>
    <t>Someren</t>
  </si>
  <si>
    <t>0848</t>
  </si>
  <si>
    <t>GM0848</t>
  </si>
  <si>
    <t>Son en Breugel</t>
  </si>
  <si>
    <t>0037</t>
  </si>
  <si>
    <t>GM0037</t>
  </si>
  <si>
    <t>Stadskanaal</t>
  </si>
  <si>
    <t>0180</t>
  </si>
  <si>
    <t>GM0180</t>
  </si>
  <si>
    <t>Staphorst</t>
  </si>
  <si>
    <t>0532</t>
  </si>
  <si>
    <t>GM0532</t>
  </si>
  <si>
    <t>Stede Broec</t>
  </si>
  <si>
    <t>0851</t>
  </si>
  <si>
    <t>GM0851</t>
  </si>
  <si>
    <t>Steenbergen</t>
  </si>
  <si>
    <t>1708</t>
  </si>
  <si>
    <t>GM1708</t>
  </si>
  <si>
    <t>Steenwijkerland</t>
  </si>
  <si>
    <t>0971</t>
  </si>
  <si>
    <t>GM0971</t>
  </si>
  <si>
    <t>Stein</t>
  </si>
  <si>
    <t>1904</t>
  </si>
  <si>
    <t>GM1904</t>
  </si>
  <si>
    <t>Stichtse Vecht</t>
  </si>
  <si>
    <t>1900</t>
  </si>
  <si>
    <t>GM1900</t>
  </si>
  <si>
    <t>Súdwest-Fryslân</t>
  </si>
  <si>
    <t>0715</t>
  </si>
  <si>
    <t>GM0715</t>
  </si>
  <si>
    <t>Terneuzen</t>
  </si>
  <si>
    <t>0093</t>
  </si>
  <si>
    <t>GM0093</t>
  </si>
  <si>
    <t>Terschelling</t>
  </si>
  <si>
    <t>0448</t>
  </si>
  <si>
    <t>GM0448</t>
  </si>
  <si>
    <t>Texel</t>
  </si>
  <si>
    <t>1525</t>
  </si>
  <si>
    <t>GM1525</t>
  </si>
  <si>
    <t>Teylingen</t>
  </si>
  <si>
    <t>0716</t>
  </si>
  <si>
    <t>GM0716</t>
  </si>
  <si>
    <t>Tholen</t>
  </si>
  <si>
    <t>0281</t>
  </si>
  <si>
    <t>GM0281</t>
  </si>
  <si>
    <t>0855</t>
  </si>
  <si>
    <t>GM0855</t>
  </si>
  <si>
    <t>0183</t>
  </si>
  <si>
    <t>GM0183</t>
  </si>
  <si>
    <t>Tubbergen</t>
  </si>
  <si>
    <t>1700</t>
  </si>
  <si>
    <t>GM1700</t>
  </si>
  <si>
    <t>Twenterand</t>
  </si>
  <si>
    <t>1730</t>
  </si>
  <si>
    <t>GM1730</t>
  </si>
  <si>
    <t>Tynaarlo</t>
  </si>
  <si>
    <t>0737</t>
  </si>
  <si>
    <t>GM0737</t>
  </si>
  <si>
    <t>Tytsjerksteradiel</t>
  </si>
  <si>
    <t>0450</t>
  </si>
  <si>
    <t>GM0450</t>
  </si>
  <si>
    <t>0451</t>
  </si>
  <si>
    <t>GM0451</t>
  </si>
  <si>
    <t>Uithoorn</t>
  </si>
  <si>
    <t>0184</t>
  </si>
  <si>
    <t>GM0184</t>
  </si>
  <si>
    <t>Urk</t>
  </si>
  <si>
    <t>0344</t>
  </si>
  <si>
    <t>GM0344</t>
  </si>
  <si>
    <t>1581</t>
  </si>
  <si>
    <t>GM1581</t>
  </si>
  <si>
    <t>Utrechtse Heuvelrug</t>
  </si>
  <si>
    <t>0981</t>
  </si>
  <si>
    <t>GM0981</t>
  </si>
  <si>
    <t>Vaals</t>
  </si>
  <si>
    <t>0994</t>
  </si>
  <si>
    <t>GM0994</t>
  </si>
  <si>
    <t>Valkenburg aan de Geul</t>
  </si>
  <si>
    <t>0858</t>
  </si>
  <si>
    <t>GM0858</t>
  </si>
  <si>
    <t>Valkenswaard</t>
  </si>
  <si>
    <t>0047</t>
  </si>
  <si>
    <t>GM0047</t>
  </si>
  <si>
    <t>0345</t>
  </si>
  <si>
    <t>GM0345</t>
  </si>
  <si>
    <t>0717</t>
  </si>
  <si>
    <t>GM0717</t>
  </si>
  <si>
    <t>Veere</t>
  </si>
  <si>
    <t>0861</t>
  </si>
  <si>
    <t>GM0861</t>
  </si>
  <si>
    <t>Veldhoven</t>
  </si>
  <si>
    <t>0453</t>
  </si>
  <si>
    <t>GM0453</t>
  </si>
  <si>
    <t>Velsen</t>
  </si>
  <si>
    <t>0983</t>
  </si>
  <si>
    <t>GM0983</t>
  </si>
  <si>
    <t>0984</t>
  </si>
  <si>
    <t>GM0984</t>
  </si>
  <si>
    <t>1961</t>
  </si>
  <si>
    <t>GM1961</t>
  </si>
  <si>
    <t>Vijfheerenlanden</t>
  </si>
  <si>
    <t>0622</t>
  </si>
  <si>
    <t>GM0622</t>
  </si>
  <si>
    <t>Vlaardingen</t>
  </si>
  <si>
    <t>0096</t>
  </si>
  <si>
    <t>GM0096</t>
  </si>
  <si>
    <t>Vlieland</t>
  </si>
  <si>
    <t>0718</t>
  </si>
  <si>
    <t>GM0718</t>
  </si>
  <si>
    <t>0986</t>
  </si>
  <si>
    <t>GM0986</t>
  </si>
  <si>
    <t>1992</t>
  </si>
  <si>
    <t>GM1992</t>
  </si>
  <si>
    <t>Voorne aan Zee</t>
  </si>
  <si>
    <t>0626</t>
  </si>
  <si>
    <t>GM0626</t>
  </si>
  <si>
    <t>0285</t>
  </si>
  <si>
    <t>GM0285</t>
  </si>
  <si>
    <t>Voorst</t>
  </si>
  <si>
    <t>0865</t>
  </si>
  <si>
    <t>GM0865</t>
  </si>
  <si>
    <t>1949</t>
  </si>
  <si>
    <t>GM1949</t>
  </si>
  <si>
    <t>Waadhoeke</t>
  </si>
  <si>
    <t>0866</t>
  </si>
  <si>
    <t>GM0866</t>
  </si>
  <si>
    <t>Waalre</t>
  </si>
  <si>
    <t>0867</t>
  </si>
  <si>
    <t>GM0867</t>
  </si>
  <si>
    <t>Waalwijk</t>
  </si>
  <si>
    <t>0627</t>
  </si>
  <si>
    <t>GM0627</t>
  </si>
  <si>
    <t>0289</t>
  </si>
  <si>
    <t>GM0289</t>
  </si>
  <si>
    <t>Wageningen</t>
  </si>
  <si>
    <t>0629</t>
  </si>
  <si>
    <t>GM0629</t>
  </si>
  <si>
    <t>Wassenaar</t>
  </si>
  <si>
    <t>0852</t>
  </si>
  <si>
    <t>GM0852</t>
  </si>
  <si>
    <t>Waterland</t>
  </si>
  <si>
    <t>0988</t>
  </si>
  <si>
    <t>GM0988</t>
  </si>
  <si>
    <t>1960</t>
  </si>
  <si>
    <t>GM1960</t>
  </si>
  <si>
    <t>West Betuwe</t>
  </si>
  <si>
    <t>0668</t>
  </si>
  <si>
    <t>GM0668</t>
  </si>
  <si>
    <t>West Maas en Waal</t>
  </si>
  <si>
    <t>1969</t>
  </si>
  <si>
    <t>GM1969</t>
  </si>
  <si>
    <t>Westerkwartier</t>
  </si>
  <si>
    <t>1701</t>
  </si>
  <si>
    <t>GM1701</t>
  </si>
  <si>
    <t>Westerveld</t>
  </si>
  <si>
    <t>0293</t>
  </si>
  <si>
    <t>GM0293</t>
  </si>
  <si>
    <t>1950</t>
  </si>
  <si>
    <t>GM1950</t>
  </si>
  <si>
    <t>Westerwolde</t>
  </si>
  <si>
    <t>1783</t>
  </si>
  <si>
    <t>GM1783</t>
  </si>
  <si>
    <t>Westland</t>
  </si>
  <si>
    <t>0098</t>
  </si>
  <si>
    <t>GM0098</t>
  </si>
  <si>
    <t>Weststellingwerf</t>
  </si>
  <si>
    <t>0189</t>
  </si>
  <si>
    <t>GM0189</t>
  </si>
  <si>
    <t>0296</t>
  </si>
  <si>
    <t>GM0296</t>
  </si>
  <si>
    <t>1696</t>
  </si>
  <si>
    <t>GM1696</t>
  </si>
  <si>
    <t>Wijdemeren</t>
  </si>
  <si>
    <t>0352</t>
  </si>
  <si>
    <t>GM0352</t>
  </si>
  <si>
    <t>Wijk bij Duurstede</t>
  </si>
  <si>
    <t>0294</t>
  </si>
  <si>
    <t>GM0294</t>
  </si>
  <si>
    <t>0873</t>
  </si>
  <si>
    <t>GM0873</t>
  </si>
  <si>
    <t>Woensdrecht</t>
  </si>
  <si>
    <t>0632</t>
  </si>
  <si>
    <t>GM0632</t>
  </si>
  <si>
    <t>1690</t>
  </si>
  <si>
    <t>GM1690</t>
  </si>
  <si>
    <t>De Wolden</t>
  </si>
  <si>
    <t>0880</t>
  </si>
  <si>
    <t>GM0880</t>
  </si>
  <si>
    <t>Wormerland</t>
  </si>
  <si>
    <t>0351</t>
  </si>
  <si>
    <t>GM0351</t>
  </si>
  <si>
    <t>Woudenberg</t>
  </si>
  <si>
    <t>0479</t>
  </si>
  <si>
    <t>GM0479</t>
  </si>
  <si>
    <t>Zaanstad</t>
  </si>
  <si>
    <t>0297</t>
  </si>
  <si>
    <t>GM0297</t>
  </si>
  <si>
    <t>0473</t>
  </si>
  <si>
    <t>GM0473</t>
  </si>
  <si>
    <t>0050</t>
  </si>
  <si>
    <t>GM0050</t>
  </si>
  <si>
    <t>Zeewolde</t>
  </si>
  <si>
    <t>0355</t>
  </si>
  <si>
    <t>GM0355</t>
  </si>
  <si>
    <t>Zeist</t>
  </si>
  <si>
    <t>0299</t>
  </si>
  <si>
    <t>GM0299</t>
  </si>
  <si>
    <t>0637</t>
  </si>
  <si>
    <t>GM0637</t>
  </si>
  <si>
    <t>0638</t>
  </si>
  <si>
    <t>GM0638</t>
  </si>
  <si>
    <t>Zoeterwoude</t>
  </si>
  <si>
    <t>1892</t>
  </si>
  <si>
    <t>GM1892</t>
  </si>
  <si>
    <t>Zuidplas</t>
  </si>
  <si>
    <t>0879</t>
  </si>
  <si>
    <t>GM0879</t>
  </si>
  <si>
    <t>Zundert</t>
  </si>
  <si>
    <t>0301</t>
  </si>
  <si>
    <t>GM0301</t>
  </si>
  <si>
    <t>1896</t>
  </si>
  <si>
    <t>GM1896</t>
  </si>
  <si>
    <t>Zwartewaterland</t>
  </si>
  <si>
    <t>0642</t>
  </si>
  <si>
    <t>GM0642</t>
  </si>
  <si>
    <t>0193</t>
  </si>
  <si>
    <t>GM0193</t>
  </si>
  <si>
    <t>GM_code</t>
  </si>
  <si>
    <t>Onderwerp</t>
  </si>
  <si>
    <t>Perioden</t>
  </si>
  <si>
    <t>Regio's</t>
  </si>
  <si>
    <t>aantal</t>
  </si>
  <si>
    <t>Aalburg</t>
  </si>
  <si>
    <t>Andijk</t>
  </si>
  <si>
    <t>Beek (L.)</t>
  </si>
  <si>
    <t>Beemster</t>
  </si>
  <si>
    <t>Bellingwedde</t>
  </si>
  <si>
    <t>Bergambacht</t>
  </si>
  <si>
    <t>Bernisse</t>
  </si>
  <si>
    <t>het Bildt</t>
  </si>
  <si>
    <t>Binnenmaas</t>
  </si>
  <si>
    <t>Boarnsterhim</t>
  </si>
  <si>
    <t>Ten Boer</t>
  </si>
  <si>
    <t>Bolsward</t>
  </si>
  <si>
    <t>Brielle</t>
  </si>
  <si>
    <t>Cromstrijen</t>
  </si>
  <si>
    <t>Dirksland</t>
  </si>
  <si>
    <t>Dongeradeel</t>
  </si>
  <si>
    <t>Eemsmond</t>
  </si>
  <si>
    <t>Ferwerderadiel</t>
  </si>
  <si>
    <t>Franekeradeel</t>
  </si>
  <si>
    <t>De Friese Meren</t>
  </si>
  <si>
    <t>Gaasterlân-Sleat</t>
  </si>
  <si>
    <t>Giessenlanden</t>
  </si>
  <si>
    <t>Goedereede</t>
  </si>
  <si>
    <t>Graafstroom</t>
  </si>
  <si>
    <t>Graft-De Rijp</t>
  </si>
  <si>
    <t>Grave</t>
  </si>
  <si>
    <t>'s-Gravenhage (gemeente)</t>
  </si>
  <si>
    <t>Groesbeek</t>
  </si>
  <si>
    <t>Groningen (gemeente)</t>
  </si>
  <si>
    <t>Grootegast</t>
  </si>
  <si>
    <t>Haaren</t>
  </si>
  <si>
    <t>Haarlemmerliede en Spaarnwoude</t>
  </si>
  <si>
    <t>Harenkarspel</t>
  </si>
  <si>
    <t>Hellevoetsluis</t>
  </si>
  <si>
    <t>Hengelo (O.)</t>
  </si>
  <si>
    <t>Kollumerland en Nieuwkruisland</t>
  </si>
  <si>
    <t>Korendijk</t>
  </si>
  <si>
    <t>Landerd</t>
  </si>
  <si>
    <t>Langedijk</t>
  </si>
  <si>
    <t>Laren (NH.)</t>
  </si>
  <si>
    <t>Leek</t>
  </si>
  <si>
    <t>Leeuwarderadeel</t>
  </si>
  <si>
    <t>Lemsterland</t>
  </si>
  <si>
    <t>Liesveld</t>
  </si>
  <si>
    <t>Lingewaal</t>
  </si>
  <si>
    <t>Lith</t>
  </si>
  <si>
    <t>Littenseradiel</t>
  </si>
  <si>
    <t>Loenen</t>
  </si>
  <si>
    <t>Maasdonk</t>
  </si>
  <si>
    <t>Margraten</t>
  </si>
  <si>
    <t>De Marne</t>
  </si>
  <si>
    <t>Marum</t>
  </si>
  <si>
    <t>Menaldumadeel</t>
  </si>
  <si>
    <t>Menameradiel</t>
  </si>
  <si>
    <t>Menterwolde</t>
  </si>
  <si>
    <t>Middelburg (Z.)</t>
  </si>
  <si>
    <t>Middelharnis</t>
  </si>
  <si>
    <t>Mill en Sint Hubert</t>
  </si>
  <si>
    <t>Millingen aan de Rijn</t>
  </si>
  <si>
    <t>Molenwaard</t>
  </si>
  <si>
    <t>Muiden</t>
  </si>
  <si>
    <t>Naarden</t>
  </si>
  <si>
    <t>Nederlek</t>
  </si>
  <si>
    <t>Neerijnen</t>
  </si>
  <si>
    <t>Niedorp</t>
  </si>
  <si>
    <t>Nieuw-Lekkerland</t>
  </si>
  <si>
    <t>Nijefurd</t>
  </si>
  <si>
    <t>Noordwijkerhout</t>
  </si>
  <si>
    <t>Onderbanken</t>
  </si>
  <si>
    <t>Oostflakkee</t>
  </si>
  <si>
    <t>Oud-Beijerland</t>
  </si>
  <si>
    <t>Ouderkerk</t>
  </si>
  <si>
    <t>Reeuwijk</t>
  </si>
  <si>
    <t>Rijnwaarden</t>
  </si>
  <si>
    <t>Rijnwoude</t>
  </si>
  <si>
    <t>Rijswijk (ZH.)</t>
  </si>
  <si>
    <t>Rozenburg</t>
  </si>
  <si>
    <t>Schermer</t>
  </si>
  <si>
    <t>Schijndel</t>
  </si>
  <si>
    <t>Schoonhoven</t>
  </si>
  <si>
    <t>Sint Anthonis</t>
  </si>
  <si>
    <t>Sint-Oedenrode</t>
  </si>
  <si>
    <t>Skarsterlân</t>
  </si>
  <si>
    <t>Slochteren</t>
  </si>
  <si>
    <t>Spijkenisse</t>
  </si>
  <si>
    <t>Stein (L.)</t>
  </si>
  <si>
    <t>Strijen</t>
  </si>
  <si>
    <t>Ubbergen</t>
  </si>
  <si>
    <t>Uden</t>
  </si>
  <si>
    <t>Utrecht (gemeente)</t>
  </si>
  <si>
    <t>Veghel</t>
  </si>
  <si>
    <t>Vianen</t>
  </si>
  <si>
    <t>Vlagtwedde</t>
  </si>
  <si>
    <t>Vlist</t>
  </si>
  <si>
    <t>Werkendam</t>
  </si>
  <si>
    <t>Wervershoof</t>
  </si>
  <si>
    <t>Westvoorne</t>
  </si>
  <si>
    <t>Wieringen</t>
  </si>
  <si>
    <t>Wieringermeer</t>
  </si>
  <si>
    <t>Woudrichem</t>
  </si>
  <si>
    <t>Wûnseradiel</t>
  </si>
  <si>
    <t>Wymbritseradiel</t>
  </si>
  <si>
    <t>Zederik</t>
  </si>
  <si>
    <t>Zeevang</t>
  </si>
  <si>
    <t>Zijpe</t>
  </si>
  <si>
    <t>Bron: RDW, CBS</t>
  </si>
  <si>
    <t>Motorvoertuigen</t>
  </si>
  <si>
    <t xml:space="preserve"> voertuigtype, postcode en regio's, 1 januari, 2000-2022</t>
  </si>
  <si>
    <t>Wegvoertuigen per 1 januari|Personenauto</t>
  </si>
  <si>
    <t>Ter Aar</t>
  </si>
  <si>
    <t>Akersloot</t>
  </si>
  <si>
    <t>Alkemade</t>
  </si>
  <si>
    <t>Ambt Delden</t>
  </si>
  <si>
    <t>Ambt Montfort</t>
  </si>
  <si>
    <t>Amerongen</t>
  </si>
  <si>
    <t>Angerlo</t>
  </si>
  <si>
    <t>Arcen en Velden</t>
  </si>
  <si>
    <t>Avereest</t>
  </si>
  <si>
    <t>Axel</t>
  </si>
  <si>
    <t>Bathmen</t>
  </si>
  <si>
    <t>Belfeld</t>
  </si>
  <si>
    <t>Bemmel</t>
  </si>
  <si>
    <t>Bennebroek</t>
  </si>
  <si>
    <t>Bergh</t>
  </si>
  <si>
    <t>Bergschenhoek</t>
  </si>
  <si>
    <t>Berkel en Rodenrijs</t>
  </si>
  <si>
    <t>Bleiswijk</t>
  </si>
  <si>
    <t>Borculo</t>
  </si>
  <si>
    <t>Born</t>
  </si>
  <si>
    <t>Brederwiede</t>
  </si>
  <si>
    <t>Broekhuizen</t>
  </si>
  <si>
    <t>Dantumadeel</t>
  </si>
  <si>
    <t>Denekamp</t>
  </si>
  <si>
    <t>Didam</t>
  </si>
  <si>
    <t>Diepenheim</t>
  </si>
  <si>
    <t>Dinxperlo</t>
  </si>
  <si>
    <t>Dodewaard</t>
  </si>
  <si>
    <t>Doorn</t>
  </si>
  <si>
    <t>Driebergen-Rijsenburg</t>
  </si>
  <si>
    <t>Echt</t>
  </si>
  <si>
    <t>Echteld</t>
  </si>
  <si>
    <t>Egmond</t>
  </si>
  <si>
    <t>Eibergen</t>
  </si>
  <si>
    <t>Elst</t>
  </si>
  <si>
    <t>Geldrop</t>
  </si>
  <si>
    <t>Geleen</t>
  </si>
  <si>
    <t>Gendringen</t>
  </si>
  <si>
    <t>Gendt</t>
  </si>
  <si>
    <t>Genemuiden</t>
  </si>
  <si>
    <t>Goor</t>
  </si>
  <si>
    <t>Gorssel</t>
  </si>
  <si>
    <t>Gramsbergen</t>
  </si>
  <si>
    <t>'s-Graveland</t>
  </si>
  <si>
    <t>'s-Gravendeel</t>
  </si>
  <si>
    <t>'s-Gravenzande</t>
  </si>
  <si>
    <t>Groenlo</t>
  </si>
  <si>
    <t>Grubbenvorst</t>
  </si>
  <si>
    <t>Haelen</t>
  </si>
  <si>
    <t>Den Ham</t>
  </si>
  <si>
    <t>Harmelen</t>
  </si>
  <si>
    <t>Hasselt</t>
  </si>
  <si>
    <t>Heel</t>
  </si>
  <si>
    <t>Heerjansdam</t>
  </si>
  <si>
    <t>Heino</t>
  </si>
  <si>
    <t>Helden</t>
  </si>
  <si>
    <t>Hengelo (Gld.)</t>
  </si>
  <si>
    <t>Heteren</t>
  </si>
  <si>
    <t>Heythuysen</t>
  </si>
  <si>
    <t>Holten</t>
  </si>
  <si>
    <t>Hontenisse</t>
  </si>
  <si>
    <t>Horst</t>
  </si>
  <si>
    <t>Huissen</t>
  </si>
  <si>
    <t>Hummelo en Keppel</t>
  </si>
  <si>
    <t>Hunsel</t>
  </si>
  <si>
    <t>IJsselham</t>
  </si>
  <si>
    <t>IJsselmuiden</t>
  </si>
  <si>
    <t>Jacobswoude</t>
  </si>
  <si>
    <t>Kessel</t>
  </si>
  <si>
    <t>Kesteren</t>
  </si>
  <si>
    <t>Leersum</t>
  </si>
  <si>
    <t>Leidschendam</t>
  </si>
  <si>
    <t>Lichtenvoorde</t>
  </si>
  <si>
    <t>Liemeer</t>
  </si>
  <si>
    <t>De Lier</t>
  </si>
  <si>
    <t>Limmen</t>
  </si>
  <si>
    <t>Loosdrecht</t>
  </si>
  <si>
    <t>Maarn</t>
  </si>
  <si>
    <t>Maartensdijk</t>
  </si>
  <si>
    <t>Maasbracht</t>
  </si>
  <si>
    <t>Maasbree</t>
  </si>
  <si>
    <t>Maasland</t>
  </si>
  <si>
    <t>Markelo</t>
  </si>
  <si>
    <t>Meerlo-Wanssum</t>
  </si>
  <si>
    <t>Meijel</t>
  </si>
  <si>
    <t>Mierlo</t>
  </si>
  <si>
    <t>Monster</t>
  </si>
  <si>
    <t>Moordrecht</t>
  </si>
  <si>
    <t>Naaldwijk</t>
  </si>
  <si>
    <t>Nederhorst den Berg</t>
  </si>
  <si>
    <t>Neede</t>
  </si>
  <si>
    <t>Nieuwerkerk aan den IJssel</t>
  </si>
  <si>
    <t>Nieuwleusen</t>
  </si>
  <si>
    <t>Noorder-Koggenland</t>
  </si>
  <si>
    <t>Nootdorp</t>
  </si>
  <si>
    <t>Obdam</t>
  </si>
  <si>
    <t>Olst</t>
  </si>
  <si>
    <t>Oostburg</t>
  </si>
  <si>
    <t>Ootmarsum</t>
  </si>
  <si>
    <t>Pijnacker</t>
  </si>
  <si>
    <t>Ravenstein</t>
  </si>
  <si>
    <t>Reiderland</t>
  </si>
  <si>
    <t>Rijnsburg</t>
  </si>
  <si>
    <t>Rijssen</t>
  </si>
  <si>
    <t>Roggel en Neer</t>
  </si>
  <si>
    <t>Ruurlo</t>
  </si>
  <si>
    <t>Sas van Gent</t>
  </si>
  <si>
    <t>Sassenheim</t>
  </si>
  <si>
    <t>Scheemda</t>
  </si>
  <si>
    <t>Schipluiden</t>
  </si>
  <si>
    <t>Schoorl</t>
  </si>
  <si>
    <t>Sevenum</t>
  </si>
  <si>
    <t>Sittard</t>
  </si>
  <si>
    <t>Sluis-Aardenburg</t>
  </si>
  <si>
    <t>Stad Delden</t>
  </si>
  <si>
    <t>Steenderen</t>
  </si>
  <si>
    <t>Steenwijk</t>
  </si>
  <si>
    <t>Súdwest Fryslân</t>
  </si>
  <si>
    <t>Susteren</t>
  </si>
  <si>
    <t>Swalmen</t>
  </si>
  <si>
    <t>Tegelen</t>
  </si>
  <si>
    <t>Thorn</t>
  </si>
  <si>
    <t>Valburg</t>
  </si>
  <si>
    <t>Valkenburg (ZH.)</t>
  </si>
  <si>
    <t>Venhuizen</t>
  </si>
  <si>
    <t>Vleuten-De Meern</t>
  </si>
  <si>
    <t>Voorburg</t>
  </si>
  <si>
    <t>Voorhout</t>
  </si>
  <si>
    <t>Vorden</t>
  </si>
  <si>
    <t>Vriezenveen</t>
  </si>
  <si>
    <t>Warmond</t>
  </si>
  <si>
    <t>Warnsveld</t>
  </si>
  <si>
    <t>Wateringen</t>
  </si>
  <si>
    <t>Weerselo</t>
  </si>
  <si>
    <t>Wehl</t>
  </si>
  <si>
    <t>Wester-Koggenland</t>
  </si>
  <si>
    <t>Wijhe</t>
  </si>
  <si>
    <t>Winschoten</t>
  </si>
  <si>
    <t>Wisch</t>
  </si>
  <si>
    <t>Wognum</t>
  </si>
  <si>
    <t>Zelhem</t>
  </si>
  <si>
    <t>Zevenhuizen-Moerkapelle</t>
  </si>
  <si>
    <t>Zwartsluis</t>
  </si>
  <si>
    <t>number_of_cars</t>
  </si>
  <si>
    <t>Wegvoertuigen per 1 januari|Bedrijfsvoertuigen|Bedrijfsmotorvoertuigen|Bestelauto</t>
  </si>
  <si>
    <t>Wegvoertuigen per 1 januari|Bedrijfsvoertuigen|Bedrijfsmotorvoertuigen|Vrachtauto (excl. trekker voor oplegger)</t>
  </si>
  <si>
    <t>Wegvoertuigen per 1 januari|Bedrijfsvoertuigen|Bedrijfsmotorvoertuigen|Bus</t>
  </si>
  <si>
    <t>number_of_vans</t>
  </si>
  <si>
    <t>number_of_buses</t>
  </si>
  <si>
    <t>number_of_trucks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</si>
</sst>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0" fontId="3" fillId="0" borderId="0" xfId="0" applyFont="1"/>
    <xf numFmtId="164" fontId="0" fillId="0" borderId="0" xfId="0" applyNumberFormat="1"/>
    <xf numFmtId="0" fontId="0" fillId="3" borderId="0" xfId="0" applyFill="1"/>
    <xf numFmtId="0" fontId="2" fillId="3" borderId="2" xfId="1" applyFont="1" applyFill="1" applyBorder="1" applyAlignment="1">
      <alignment wrapText="1"/>
    </xf>
    <xf numFmtId="0" fontId="0" fillId="4" borderId="0" xfId="0" applyFill="1"/>
  </cellXfs>
  <cellStyles count="2">
    <cellStyle name="Normal" xfId="0" builtinId="0"/>
    <cellStyle name="Standaard_Gemeenten_alfabetisch_2022" xfId="1" xr:uid="{7C59DCEE-E33F-5149-9A8B-9F5CC17CFF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12</xdr:col>
      <xdr:colOff>241300</xdr:colOff>
      <xdr:row>17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0C3729-54CF-664A-B0D9-ED64878354DB}"/>
            </a:ext>
          </a:extLst>
        </xdr:cNvPr>
        <xdr:cNvSpPr txBox="1"/>
      </xdr:nvSpPr>
      <xdr:spPr>
        <a:xfrm>
          <a:off x="9321800" y="1143000"/>
          <a:ext cx="3543300" cy="227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Gemeentenamen zijn handmatig aangepast (geel gearceerd) om de juiste gemeentecode te kunnen</a:t>
          </a:r>
          <a:r>
            <a:rPr lang="en-US" sz="1100" baseline="0"/>
            <a:t> matchen. </a:t>
          </a:r>
        </a:p>
        <a:p>
          <a:endParaRPr lang="en-US" sz="1100" baseline="0"/>
        </a:p>
        <a:p>
          <a:r>
            <a:rPr lang="en-US" sz="1100" baseline="0"/>
            <a:t>Oude gemeenten (die na 2022 niet meer bestonden) zijn niet aangepast aangezien deze niet meer relevant zijn (zie #N/A in sommige gevallen).</a:t>
          </a:r>
        </a:p>
        <a:p>
          <a:endParaRPr lang="en-US" sz="1100" baseline="0"/>
        </a:p>
        <a:p>
          <a:r>
            <a:rPr lang="en-US" sz="1100" baseline="0"/>
            <a:t>In 2023 is er 1 gemeente bijgekomen ten opzicht van 2022, Voorne aan Zee (bestaande uit Brielle, Hellevoetssluis en Westvoorne - oranje gearceerd), deze is onderaan apart uitgerekend.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812800</xdr:colOff>
      <xdr:row>7</xdr:row>
      <xdr:rowOff>127000</xdr:rowOff>
    </xdr:from>
    <xdr:to>
      <xdr:col>2</xdr:col>
      <xdr:colOff>825500</xdr:colOff>
      <xdr:row>19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29FD06-5854-ABFB-3D4B-0ECA34A814F6}"/>
            </a:ext>
          </a:extLst>
        </xdr:cNvPr>
        <xdr:cNvSpPr txBox="1"/>
      </xdr:nvSpPr>
      <xdr:spPr>
        <a:xfrm>
          <a:off x="2616200" y="1460500"/>
          <a:ext cx="3543300" cy="227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Voor</a:t>
          </a:r>
          <a:r>
            <a:rPr lang="en-US" sz="1100" baseline="0"/>
            <a:t> 2023 is er geen data beschikbaar over het aantal wegvoertuigen, voor 2022 is deze er wel via de oude weergave.</a:t>
          </a:r>
        </a:p>
        <a:p>
          <a:endParaRPr lang="en-US" sz="1100" baseline="0"/>
        </a:p>
        <a:p>
          <a:r>
            <a:rPr lang="en-US" sz="1100" baseline="0"/>
            <a:t>Zie: https://opendata.cbs.nl/statline/#/CBS/nl/dataset/37209hvv/table?ts=1752048250296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12</xdr:col>
      <xdr:colOff>63500</xdr:colOff>
      <xdr:row>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D04938-8F12-264B-BB4E-D95419A20C28}"/>
            </a:ext>
          </a:extLst>
        </xdr:cNvPr>
        <xdr:cNvSpPr txBox="1"/>
      </xdr:nvSpPr>
      <xdr:spPr>
        <a:xfrm>
          <a:off x="7327900" y="393700"/>
          <a:ext cx="4191000" cy="251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 codes en namen volgens</a:t>
          </a:r>
          <a:r>
            <a:rPr lang="en-US" sz="1100" baseline="0"/>
            <a:t> CBS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F9D5-3369-B74A-9F5A-3F1F0BC06335}">
  <sheetPr>
    <tabColor rgb="FF92D050"/>
  </sheetPr>
  <dimension ref="A1:E343"/>
  <sheetViews>
    <sheetView topLeftCell="A250" workbookViewId="0">
      <selection activeCell="B268" sqref="B268"/>
    </sheetView>
  </sheetViews>
  <sheetFormatPr baseColWidth="10" defaultRowHeight="15" x14ac:dyDescent="0.2"/>
  <cols>
    <col min="2" max="2" width="16.33203125" customWidth="1"/>
    <col min="3" max="3" width="13.83203125" bestFit="1" customWidth="1"/>
    <col min="4" max="4" width="15.1640625" bestFit="1" customWidth="1"/>
  </cols>
  <sheetData>
    <row r="1" spans="1:5" x14ac:dyDescent="0.2">
      <c r="A1" s="3" t="s">
        <v>1091</v>
      </c>
      <c r="B1" s="3" t="s">
        <v>1348</v>
      </c>
      <c r="C1" s="3" t="s">
        <v>1352</v>
      </c>
      <c r="D1" s="3" t="s">
        <v>1354</v>
      </c>
      <c r="E1" s="3" t="s">
        <v>1353</v>
      </c>
    </row>
    <row r="2" spans="1:5" ht="16" x14ac:dyDescent="0.2">
      <c r="A2" s="2" t="s">
        <v>153</v>
      </c>
      <c r="B2" s="4">
        <f>INDEX(Calculation!$A$1:$F$607,MATCH($A2,Calculation!$B:$B,0),MATCH(B$1,Calculation!$1:$1,0))</f>
        <v>15568</v>
      </c>
      <c r="C2" s="4">
        <f>INDEX(Calculation!$A$1:$F$607,MATCH($A2,Calculation!$B:$B,0),MATCH(C$1,Calculation!$1:$1,0))</f>
        <v>1826</v>
      </c>
      <c r="D2" s="4">
        <f>INDEX(Calculation!$A$1:$F$607,MATCH($A2,Calculation!$B:$B,0),MATCH(D$1,Calculation!$1:$1,0))</f>
        <v>101</v>
      </c>
      <c r="E2" s="4">
        <f>INDEX(Calculation!$A$1:$F$607,MATCH($A2,Calculation!$B:$B,0),MATCH(E$1,Calculation!$1:$1,0))</f>
        <v>3</v>
      </c>
    </row>
    <row r="3" spans="1:5" ht="16" x14ac:dyDescent="0.2">
      <c r="A3" s="2" t="s">
        <v>159</v>
      </c>
      <c r="B3" s="4">
        <f>INDEX(Calculation!$A$1:$F$607,MATCH($A3,Calculation!$B:$B,0),MATCH(B$1,Calculation!$1:$1,0))</f>
        <v>17396</v>
      </c>
      <c r="C3" s="4">
        <f>INDEX(Calculation!$A$1:$F$607,MATCH($A3,Calculation!$B:$B,0),MATCH(C$1,Calculation!$1:$1,0))</f>
        <v>1963</v>
      </c>
      <c r="D3" s="4">
        <f>INDEX(Calculation!$A$1:$F$607,MATCH($A3,Calculation!$B:$B,0),MATCH(D$1,Calculation!$1:$1,0))</f>
        <v>181</v>
      </c>
      <c r="E3" s="4">
        <f>INDEX(Calculation!$A$1:$F$607,MATCH($A3,Calculation!$B:$B,0),MATCH(E$1,Calculation!$1:$1,0))</f>
        <v>17</v>
      </c>
    </row>
    <row r="4" spans="1:5" ht="16" x14ac:dyDescent="0.2">
      <c r="A4" s="2" t="s">
        <v>165</v>
      </c>
      <c r="B4" s="4">
        <f>INDEX(Calculation!$A$1:$F$607,MATCH($A4,Calculation!$B:$B,0),MATCH(B$1,Calculation!$1:$1,0))</f>
        <v>14912</v>
      </c>
      <c r="C4" s="4">
        <f>INDEX(Calculation!$A$1:$F$607,MATCH($A4,Calculation!$B:$B,0),MATCH(C$1,Calculation!$1:$1,0))</f>
        <v>1763</v>
      </c>
      <c r="D4" s="4">
        <f>INDEX(Calculation!$A$1:$F$607,MATCH($A4,Calculation!$B:$B,0),MATCH(D$1,Calculation!$1:$1,0))</f>
        <v>91</v>
      </c>
      <c r="E4" s="4">
        <f>INDEX(Calculation!$A$1:$F$607,MATCH($A4,Calculation!$B:$B,0),MATCH(E$1,Calculation!$1:$1,0))</f>
        <v>2</v>
      </c>
    </row>
    <row r="5" spans="1:5" ht="16" x14ac:dyDescent="0.2">
      <c r="A5" s="2" t="s">
        <v>170</v>
      </c>
      <c r="B5" s="4">
        <f>INDEX(Calculation!$A$1:$F$607,MATCH($A5,Calculation!$B:$B,0),MATCH(B$1,Calculation!$1:$1,0))</f>
        <v>15604</v>
      </c>
      <c r="C5" s="4">
        <f>INDEX(Calculation!$A$1:$F$607,MATCH($A5,Calculation!$B:$B,0),MATCH(C$1,Calculation!$1:$1,0))</f>
        <v>2554</v>
      </c>
      <c r="D5" s="4">
        <f>INDEX(Calculation!$A$1:$F$607,MATCH($A5,Calculation!$B:$B,0),MATCH(D$1,Calculation!$1:$1,0))</f>
        <v>152</v>
      </c>
      <c r="E5" s="4">
        <f>INDEX(Calculation!$A$1:$F$607,MATCH($A5,Calculation!$B:$B,0),MATCH(E$1,Calculation!$1:$1,0))</f>
        <v>40</v>
      </c>
    </row>
    <row r="6" spans="1:5" ht="16" x14ac:dyDescent="0.2">
      <c r="A6" s="2" t="s">
        <v>176</v>
      </c>
      <c r="B6" s="4">
        <f>INDEX(Calculation!$A$1:$F$607,MATCH($A6,Calculation!$B:$B,0),MATCH(B$1,Calculation!$1:$1,0))</f>
        <v>9531</v>
      </c>
      <c r="C6" s="4">
        <f>INDEX(Calculation!$A$1:$F$607,MATCH($A6,Calculation!$B:$B,0),MATCH(C$1,Calculation!$1:$1,0))</f>
        <v>1210</v>
      </c>
      <c r="D6" s="4">
        <f>INDEX(Calculation!$A$1:$F$607,MATCH($A6,Calculation!$B:$B,0),MATCH(D$1,Calculation!$1:$1,0))</f>
        <v>83</v>
      </c>
      <c r="E6" s="4">
        <f>INDEX(Calculation!$A$1:$F$607,MATCH($A6,Calculation!$B:$B,0),MATCH(E$1,Calculation!$1:$1,0))</f>
        <v>28</v>
      </c>
    </row>
    <row r="7" spans="1:5" ht="16" x14ac:dyDescent="0.2">
      <c r="A7" s="2" t="s">
        <v>182</v>
      </c>
      <c r="B7" s="4">
        <f>INDEX(Calculation!$A$1:$F$607,MATCH($A7,Calculation!$B:$B,0),MATCH(B$1,Calculation!$1:$1,0))</f>
        <v>12936</v>
      </c>
      <c r="C7" s="4">
        <f>INDEX(Calculation!$A$1:$F$607,MATCH($A7,Calculation!$B:$B,0),MATCH(C$1,Calculation!$1:$1,0))</f>
        <v>908</v>
      </c>
      <c r="D7" s="4">
        <f>INDEX(Calculation!$A$1:$F$607,MATCH($A7,Calculation!$B:$B,0),MATCH(D$1,Calculation!$1:$1,0))</f>
        <v>49</v>
      </c>
      <c r="E7" s="4">
        <f>INDEX(Calculation!$A$1:$F$607,MATCH($A7,Calculation!$B:$B,0),MATCH(E$1,Calculation!$1:$1,0))</f>
        <v>4</v>
      </c>
    </row>
    <row r="8" spans="1:5" ht="16" x14ac:dyDescent="0.2">
      <c r="A8" s="2" t="s">
        <v>185</v>
      </c>
      <c r="B8" s="4">
        <f>INDEX(Calculation!$A$1:$F$607,MATCH($A8,Calculation!$B:$B,0),MATCH(B$1,Calculation!$1:$1,0))</f>
        <v>58882</v>
      </c>
      <c r="C8" s="4">
        <f>INDEX(Calculation!$A$1:$F$607,MATCH($A8,Calculation!$B:$B,0),MATCH(C$1,Calculation!$1:$1,0))</f>
        <v>6290</v>
      </c>
      <c r="D8" s="4">
        <f>INDEX(Calculation!$A$1:$F$607,MATCH($A8,Calculation!$B:$B,0),MATCH(D$1,Calculation!$1:$1,0))</f>
        <v>479</v>
      </c>
      <c r="E8" s="4">
        <f>INDEX(Calculation!$A$1:$F$607,MATCH($A8,Calculation!$B:$B,0),MATCH(E$1,Calculation!$1:$1,0))</f>
        <v>20</v>
      </c>
    </row>
    <row r="9" spans="1:5" ht="16" x14ac:dyDescent="0.2">
      <c r="A9" s="2" t="s">
        <v>187</v>
      </c>
      <c r="B9" s="4">
        <f>INDEX(Calculation!$A$1:$F$607,MATCH($A9,Calculation!$B:$B,0),MATCH(B$1,Calculation!$1:$1,0))</f>
        <v>36279</v>
      </c>
      <c r="C9" s="4">
        <f>INDEX(Calculation!$A$1:$F$607,MATCH($A9,Calculation!$B:$B,0),MATCH(C$1,Calculation!$1:$1,0))</f>
        <v>3787</v>
      </c>
      <c r="D9" s="4">
        <f>INDEX(Calculation!$A$1:$F$607,MATCH($A9,Calculation!$B:$B,0),MATCH(D$1,Calculation!$1:$1,0))</f>
        <v>201</v>
      </c>
      <c r="E9" s="4">
        <f>INDEX(Calculation!$A$1:$F$607,MATCH($A9,Calculation!$B:$B,0),MATCH(E$1,Calculation!$1:$1,0))</f>
        <v>5</v>
      </c>
    </row>
    <row r="10" spans="1:5" ht="16" x14ac:dyDescent="0.2">
      <c r="A10" s="2" t="s">
        <v>192</v>
      </c>
      <c r="B10" s="4">
        <f>INDEX(Calculation!$A$1:$F$607,MATCH($A10,Calculation!$B:$B,0),MATCH(B$1,Calculation!$1:$1,0))</f>
        <v>258677</v>
      </c>
      <c r="C10" s="4">
        <f>INDEX(Calculation!$A$1:$F$607,MATCH($A10,Calculation!$B:$B,0),MATCH(C$1,Calculation!$1:$1,0))</f>
        <v>31940</v>
      </c>
      <c r="D10" s="4">
        <f>INDEX(Calculation!$A$1:$F$607,MATCH($A10,Calculation!$B:$B,0),MATCH(D$1,Calculation!$1:$1,0))</f>
        <v>658</v>
      </c>
      <c r="E10" s="4">
        <f>INDEX(Calculation!$A$1:$F$607,MATCH($A10,Calculation!$B:$B,0),MATCH(E$1,Calculation!$1:$1,0))</f>
        <v>21</v>
      </c>
    </row>
    <row r="11" spans="1:5" ht="16" x14ac:dyDescent="0.2">
      <c r="A11" s="2" t="s">
        <v>198</v>
      </c>
      <c r="B11" s="4">
        <f>INDEX(Calculation!$A$1:$F$607,MATCH($A11,Calculation!$B:$B,0),MATCH(B$1,Calculation!$1:$1,0))</f>
        <v>55413</v>
      </c>
      <c r="C11" s="4">
        <f>INDEX(Calculation!$A$1:$F$607,MATCH($A11,Calculation!$B:$B,0),MATCH(C$1,Calculation!$1:$1,0))</f>
        <v>6214</v>
      </c>
      <c r="D11" s="4">
        <f>INDEX(Calculation!$A$1:$F$607,MATCH($A11,Calculation!$B:$B,0),MATCH(D$1,Calculation!$1:$1,0))</f>
        <v>557</v>
      </c>
      <c r="E11" s="4">
        <f>INDEX(Calculation!$A$1:$F$607,MATCH($A11,Calculation!$B:$B,0),MATCH(E$1,Calculation!$1:$1,0))</f>
        <v>33</v>
      </c>
    </row>
    <row r="12" spans="1:5" ht="16" x14ac:dyDescent="0.2">
      <c r="A12" s="2" t="s">
        <v>200</v>
      </c>
      <c r="B12" s="4">
        <f>INDEX(Calculation!$A$1:$F$607,MATCH($A12,Calculation!$B:$B,0),MATCH(B$1,Calculation!$1:$1,0))</f>
        <v>6532</v>
      </c>
      <c r="C12" s="4">
        <f>INDEX(Calculation!$A$1:$F$607,MATCH($A12,Calculation!$B:$B,0),MATCH(C$1,Calculation!$1:$1,0))</f>
        <v>966</v>
      </c>
      <c r="D12" s="4">
        <f>INDEX(Calculation!$A$1:$F$607,MATCH($A12,Calculation!$B:$B,0),MATCH(D$1,Calculation!$1:$1,0))</f>
        <v>56</v>
      </c>
      <c r="E12" s="4">
        <f>INDEX(Calculation!$A$1:$F$607,MATCH($A12,Calculation!$B:$B,0),MATCH(E$1,Calculation!$1:$1,0))</f>
        <v>0</v>
      </c>
    </row>
    <row r="13" spans="1:5" ht="16" x14ac:dyDescent="0.2">
      <c r="A13" s="2" t="s">
        <v>206</v>
      </c>
      <c r="B13" s="4">
        <f>INDEX(Calculation!$A$1:$F$607,MATCH($A13,Calculation!$B:$B,0),MATCH(B$1,Calculation!$1:$1,0))</f>
        <v>31112</v>
      </c>
      <c r="C13" s="4">
        <f>INDEX(Calculation!$A$1:$F$607,MATCH($A13,Calculation!$B:$B,0),MATCH(C$1,Calculation!$1:$1,0))</f>
        <v>4893</v>
      </c>
      <c r="D13" s="4">
        <f>INDEX(Calculation!$A$1:$F$607,MATCH($A13,Calculation!$B:$B,0),MATCH(D$1,Calculation!$1:$1,0))</f>
        <v>424</v>
      </c>
      <c r="E13" s="4">
        <f>INDEX(Calculation!$A$1:$F$607,MATCH($A13,Calculation!$B:$B,0),MATCH(E$1,Calculation!$1:$1,0))</f>
        <v>19</v>
      </c>
    </row>
    <row r="14" spans="1:5" ht="16" x14ac:dyDescent="0.2">
      <c r="A14" s="2" t="s">
        <v>209</v>
      </c>
      <c r="B14" s="4">
        <f>INDEX(Calculation!$A$1:$F$607,MATCH($A14,Calculation!$B:$B,0),MATCH(B$1,Calculation!$1:$1,0))</f>
        <v>2007</v>
      </c>
      <c r="C14" s="4">
        <f>INDEX(Calculation!$A$1:$F$607,MATCH($A14,Calculation!$B:$B,0),MATCH(C$1,Calculation!$1:$1,0))</f>
        <v>412</v>
      </c>
      <c r="D14" s="4">
        <f>INDEX(Calculation!$A$1:$F$607,MATCH($A14,Calculation!$B:$B,0),MATCH(D$1,Calculation!$1:$1,0))</f>
        <v>35</v>
      </c>
      <c r="E14" s="4">
        <f>INDEX(Calculation!$A$1:$F$607,MATCH($A14,Calculation!$B:$B,0),MATCH(E$1,Calculation!$1:$1,0))</f>
        <v>0</v>
      </c>
    </row>
    <row r="15" spans="1:5" ht="16" x14ac:dyDescent="0.2">
      <c r="A15" s="2" t="s">
        <v>212</v>
      </c>
      <c r="B15" s="4">
        <f>INDEX(Calculation!$A$1:$F$607,MATCH($A15,Calculation!$B:$B,0),MATCH(B$1,Calculation!$1:$1,0))</f>
        <v>124805</v>
      </c>
      <c r="C15" s="4">
        <f>INDEX(Calculation!$A$1:$F$607,MATCH($A15,Calculation!$B:$B,0),MATCH(C$1,Calculation!$1:$1,0))</f>
        <v>17202</v>
      </c>
      <c r="D15" s="4">
        <f>INDEX(Calculation!$A$1:$F$607,MATCH($A15,Calculation!$B:$B,0),MATCH(D$1,Calculation!$1:$1,0))</f>
        <v>343</v>
      </c>
      <c r="E15" s="4">
        <f>INDEX(Calculation!$A$1:$F$607,MATCH($A15,Calculation!$B:$B,0),MATCH(E$1,Calculation!$1:$1,0))</f>
        <v>613</v>
      </c>
    </row>
    <row r="16" spans="1:5" ht="16" x14ac:dyDescent="0.2">
      <c r="A16" s="2" t="s">
        <v>216</v>
      </c>
      <c r="B16" s="4">
        <f>INDEX(Calculation!$A$1:$F$607,MATCH($A16,Calculation!$B:$B,0),MATCH(B$1,Calculation!$1:$1,0))</f>
        <v>39013</v>
      </c>
      <c r="C16" s="4">
        <f>INDEX(Calculation!$A$1:$F$607,MATCH($A16,Calculation!$B:$B,0),MATCH(C$1,Calculation!$1:$1,0))</f>
        <v>2105</v>
      </c>
      <c r="D16" s="4">
        <f>INDEX(Calculation!$A$1:$F$607,MATCH($A16,Calculation!$B:$B,0),MATCH(D$1,Calculation!$1:$1,0))</f>
        <v>139</v>
      </c>
      <c r="E16" s="4">
        <f>INDEX(Calculation!$A$1:$F$607,MATCH($A16,Calculation!$B:$B,0),MATCH(E$1,Calculation!$1:$1,0))</f>
        <v>18</v>
      </c>
    </row>
    <row r="17" spans="1:5" ht="16" x14ac:dyDescent="0.2">
      <c r="A17" s="2" t="s">
        <v>219</v>
      </c>
      <c r="B17" s="4">
        <f>INDEX(Calculation!$A$1:$F$607,MATCH($A17,Calculation!$B:$B,0),MATCH(B$1,Calculation!$1:$1,0))</f>
        <v>249771</v>
      </c>
      <c r="C17" s="4">
        <f>INDEX(Calculation!$A$1:$F$607,MATCH($A17,Calculation!$B:$B,0),MATCH(C$1,Calculation!$1:$1,0))</f>
        <v>21249</v>
      </c>
      <c r="D17" s="4">
        <f>INDEX(Calculation!$A$1:$F$607,MATCH($A17,Calculation!$B:$B,0),MATCH(D$1,Calculation!$1:$1,0))</f>
        <v>978</v>
      </c>
      <c r="E17" s="4">
        <f>INDEX(Calculation!$A$1:$F$607,MATCH($A17,Calculation!$B:$B,0),MATCH(E$1,Calculation!$1:$1,0))</f>
        <v>301</v>
      </c>
    </row>
    <row r="18" spans="1:5" ht="16" x14ac:dyDescent="0.2">
      <c r="A18" s="2" t="s">
        <v>221</v>
      </c>
      <c r="B18" s="4">
        <f>INDEX(Calculation!$A$1:$F$607,MATCH($A18,Calculation!$B:$B,0),MATCH(B$1,Calculation!$1:$1,0))</f>
        <v>84942</v>
      </c>
      <c r="C18" s="4">
        <f>INDEX(Calculation!$A$1:$F$607,MATCH($A18,Calculation!$B:$B,0),MATCH(C$1,Calculation!$1:$1,0))</f>
        <v>8563</v>
      </c>
      <c r="D18" s="4">
        <f>INDEX(Calculation!$A$1:$F$607,MATCH($A18,Calculation!$B:$B,0),MATCH(D$1,Calculation!$1:$1,0))</f>
        <v>961</v>
      </c>
      <c r="E18" s="4">
        <f>INDEX(Calculation!$A$1:$F$607,MATCH($A18,Calculation!$B:$B,0),MATCH(E$1,Calculation!$1:$1,0))</f>
        <v>55</v>
      </c>
    </row>
    <row r="19" spans="1:5" ht="16" x14ac:dyDescent="0.2">
      <c r="A19" s="2" t="s">
        <v>223</v>
      </c>
      <c r="B19" s="4">
        <f>INDEX(Calculation!$A$1:$F$607,MATCH($A19,Calculation!$B:$B,0),MATCH(B$1,Calculation!$1:$1,0))</f>
        <v>69313</v>
      </c>
      <c r="C19" s="4">
        <f>INDEX(Calculation!$A$1:$F$607,MATCH($A19,Calculation!$B:$B,0),MATCH(C$1,Calculation!$1:$1,0))</f>
        <v>4725</v>
      </c>
      <c r="D19" s="4">
        <f>INDEX(Calculation!$A$1:$F$607,MATCH($A19,Calculation!$B:$B,0),MATCH(D$1,Calculation!$1:$1,0))</f>
        <v>607</v>
      </c>
      <c r="E19" s="4">
        <f>INDEX(Calculation!$A$1:$F$607,MATCH($A19,Calculation!$B:$B,0),MATCH(E$1,Calculation!$1:$1,0))</f>
        <v>4</v>
      </c>
    </row>
    <row r="20" spans="1:5" ht="16" x14ac:dyDescent="0.2">
      <c r="A20" s="2" t="s">
        <v>225</v>
      </c>
      <c r="B20" s="4">
        <f>INDEX(Calculation!$A$1:$F$607,MATCH($A20,Calculation!$B:$B,0),MATCH(B$1,Calculation!$1:$1,0))</f>
        <v>34450</v>
      </c>
      <c r="C20" s="4">
        <f>INDEX(Calculation!$A$1:$F$607,MATCH($A20,Calculation!$B:$B,0),MATCH(C$1,Calculation!$1:$1,0))</f>
        <v>2659</v>
      </c>
      <c r="D20" s="4">
        <f>INDEX(Calculation!$A$1:$F$607,MATCH($A20,Calculation!$B:$B,0),MATCH(D$1,Calculation!$1:$1,0))</f>
        <v>180</v>
      </c>
      <c r="E20" s="4">
        <f>INDEX(Calculation!$A$1:$F$607,MATCH($A20,Calculation!$B:$B,0),MATCH(E$1,Calculation!$1:$1,0))</f>
        <v>48</v>
      </c>
    </row>
    <row r="21" spans="1:5" ht="16" x14ac:dyDescent="0.2">
      <c r="A21" s="2" t="s">
        <v>227</v>
      </c>
      <c r="B21" s="4">
        <f>INDEX(Calculation!$A$1:$F$607,MATCH($A21,Calculation!$B:$B,0),MATCH(B$1,Calculation!$1:$1,0))</f>
        <v>9591</v>
      </c>
      <c r="C21" s="4">
        <f>INDEX(Calculation!$A$1:$F$607,MATCH($A21,Calculation!$B:$B,0),MATCH(C$1,Calculation!$1:$1,0))</f>
        <v>1488</v>
      </c>
      <c r="D21" s="4">
        <f>INDEX(Calculation!$A$1:$F$607,MATCH($A21,Calculation!$B:$B,0),MATCH(D$1,Calculation!$1:$1,0))</f>
        <v>103</v>
      </c>
      <c r="E21" s="4">
        <f>INDEX(Calculation!$A$1:$F$607,MATCH($A21,Calculation!$B:$B,0),MATCH(E$1,Calculation!$1:$1,0))</f>
        <v>2</v>
      </c>
    </row>
    <row r="22" spans="1:5" ht="16" x14ac:dyDescent="0.2">
      <c r="A22" s="2" t="s">
        <v>230</v>
      </c>
      <c r="B22" s="4">
        <f>INDEX(Calculation!$A$1:$F$607,MATCH($A22,Calculation!$B:$B,0),MATCH(B$1,Calculation!$1:$1,0))</f>
        <v>4372</v>
      </c>
      <c r="C22" s="4">
        <f>INDEX(Calculation!$A$1:$F$607,MATCH($A22,Calculation!$B:$B,0),MATCH(C$1,Calculation!$1:$1,0))</f>
        <v>694</v>
      </c>
      <c r="D22" s="4">
        <f>INDEX(Calculation!$A$1:$F$607,MATCH($A22,Calculation!$B:$B,0),MATCH(D$1,Calculation!$1:$1,0))</f>
        <v>41</v>
      </c>
      <c r="E22" s="4">
        <f>INDEX(Calculation!$A$1:$F$607,MATCH($A22,Calculation!$B:$B,0),MATCH(E$1,Calculation!$1:$1,0))</f>
        <v>4</v>
      </c>
    </row>
    <row r="23" spans="1:5" ht="16" x14ac:dyDescent="0.2">
      <c r="A23" s="2" t="s">
        <v>233</v>
      </c>
      <c r="B23" s="4">
        <f>INDEX(Calculation!$A$1:$F$607,MATCH($A23,Calculation!$B:$B,0),MATCH(B$1,Calculation!$1:$1,0))</f>
        <v>12562</v>
      </c>
      <c r="C23" s="4">
        <f>INDEX(Calculation!$A$1:$F$607,MATCH($A23,Calculation!$B:$B,0),MATCH(C$1,Calculation!$1:$1,0))</f>
        <v>935</v>
      </c>
      <c r="D23" s="4">
        <f>INDEX(Calculation!$A$1:$F$607,MATCH($A23,Calculation!$B:$B,0),MATCH(D$1,Calculation!$1:$1,0))</f>
        <v>24</v>
      </c>
      <c r="E23" s="4">
        <f>INDEX(Calculation!$A$1:$F$607,MATCH($A23,Calculation!$B:$B,0),MATCH(E$1,Calculation!$1:$1,0))</f>
        <v>8</v>
      </c>
    </row>
    <row r="24" spans="1:5" ht="16" x14ac:dyDescent="0.2">
      <c r="A24" s="2" t="s">
        <v>235</v>
      </c>
      <c r="B24" s="4">
        <f>INDEX(Calculation!$A$1:$F$607,MATCH($A24,Calculation!$B:$B,0),MATCH(B$1,Calculation!$1:$1,0))</f>
        <v>24077</v>
      </c>
      <c r="C24" s="4">
        <f>INDEX(Calculation!$A$1:$F$607,MATCH($A24,Calculation!$B:$B,0),MATCH(C$1,Calculation!$1:$1,0))</f>
        <v>2326</v>
      </c>
      <c r="D24" s="4">
        <f>INDEX(Calculation!$A$1:$F$607,MATCH($A24,Calculation!$B:$B,0),MATCH(D$1,Calculation!$1:$1,0))</f>
        <v>276</v>
      </c>
      <c r="E24" s="4">
        <f>INDEX(Calculation!$A$1:$F$607,MATCH($A24,Calculation!$B:$B,0),MATCH(E$1,Calculation!$1:$1,0))</f>
        <v>8</v>
      </c>
    </row>
    <row r="25" spans="1:5" ht="16" x14ac:dyDescent="0.2">
      <c r="A25" s="2" t="s">
        <v>237</v>
      </c>
      <c r="B25" s="4">
        <f>INDEX(Calculation!$A$1:$F$607,MATCH($A25,Calculation!$B:$B,0),MATCH(B$1,Calculation!$1:$1,0))</f>
        <v>30757</v>
      </c>
      <c r="C25" s="4">
        <f>INDEX(Calculation!$A$1:$F$607,MATCH($A25,Calculation!$B:$B,0),MATCH(C$1,Calculation!$1:$1,0))</f>
        <v>5966</v>
      </c>
      <c r="D25" s="4">
        <f>INDEX(Calculation!$A$1:$F$607,MATCH($A25,Calculation!$B:$B,0),MATCH(D$1,Calculation!$1:$1,0))</f>
        <v>396</v>
      </c>
      <c r="E25" s="4">
        <f>INDEX(Calculation!$A$1:$F$607,MATCH($A25,Calculation!$B:$B,0),MATCH(E$1,Calculation!$1:$1,0))</f>
        <v>46</v>
      </c>
    </row>
    <row r="26" spans="1:5" ht="16" x14ac:dyDescent="0.2">
      <c r="A26" s="2" t="s">
        <v>239</v>
      </c>
      <c r="B26" s="4">
        <f>INDEX(Calculation!$A$1:$F$607,MATCH($A26,Calculation!$B:$B,0),MATCH(B$1,Calculation!$1:$1,0))</f>
        <v>9695</v>
      </c>
      <c r="C26" s="4">
        <f>INDEX(Calculation!$A$1:$F$607,MATCH($A26,Calculation!$B:$B,0),MATCH(C$1,Calculation!$1:$1,0))</f>
        <v>811</v>
      </c>
      <c r="D26" s="4">
        <f>INDEX(Calculation!$A$1:$F$607,MATCH($A26,Calculation!$B:$B,0),MATCH(D$1,Calculation!$1:$1,0))</f>
        <v>61</v>
      </c>
      <c r="E26" s="4">
        <f>INDEX(Calculation!$A$1:$F$607,MATCH($A26,Calculation!$B:$B,0),MATCH(E$1,Calculation!$1:$1,0))</f>
        <v>1</v>
      </c>
    </row>
    <row r="27" spans="1:5" ht="16" x14ac:dyDescent="0.2">
      <c r="A27" s="2" t="s">
        <v>245</v>
      </c>
      <c r="B27" s="4">
        <f>INDEX(Calculation!$A$1:$F$607,MATCH($A27,Calculation!$B:$B,0),MATCH(B$1,Calculation!$1:$1,0))</f>
        <v>22365</v>
      </c>
      <c r="C27" s="4">
        <f>INDEX(Calculation!$A$1:$F$607,MATCH($A27,Calculation!$B:$B,0),MATCH(C$1,Calculation!$1:$1,0))</f>
        <v>2074</v>
      </c>
      <c r="D27" s="4">
        <f>INDEX(Calculation!$A$1:$F$607,MATCH($A27,Calculation!$B:$B,0),MATCH(D$1,Calculation!$1:$1,0))</f>
        <v>154</v>
      </c>
      <c r="E27" s="4">
        <f>INDEX(Calculation!$A$1:$F$607,MATCH($A27,Calculation!$B:$B,0),MATCH(E$1,Calculation!$1:$1,0))</f>
        <v>1</v>
      </c>
    </row>
    <row r="28" spans="1:5" ht="16" x14ac:dyDescent="0.2">
      <c r="A28" s="2" t="s">
        <v>248</v>
      </c>
      <c r="B28" s="4">
        <f>INDEX(Calculation!$A$1:$F$607,MATCH($A28,Calculation!$B:$B,0),MATCH(B$1,Calculation!$1:$1,0))</f>
        <v>7338</v>
      </c>
      <c r="C28" s="4">
        <f>INDEX(Calculation!$A$1:$F$607,MATCH($A28,Calculation!$B:$B,0),MATCH(C$1,Calculation!$1:$1,0))</f>
        <v>548</v>
      </c>
      <c r="D28" s="4">
        <f>INDEX(Calculation!$A$1:$F$607,MATCH($A28,Calculation!$B:$B,0),MATCH(D$1,Calculation!$1:$1,0))</f>
        <v>41</v>
      </c>
      <c r="E28" s="4">
        <f>INDEX(Calculation!$A$1:$F$607,MATCH($A28,Calculation!$B:$B,0),MATCH(E$1,Calculation!$1:$1,0))</f>
        <v>0</v>
      </c>
    </row>
    <row r="29" spans="1:5" ht="16" x14ac:dyDescent="0.2">
      <c r="A29" s="2" t="s">
        <v>251</v>
      </c>
      <c r="B29" s="4">
        <f>INDEX(Calculation!$A$1:$F$607,MATCH($A29,Calculation!$B:$B,0),MATCH(B$1,Calculation!$1:$1,0))</f>
        <v>19031</v>
      </c>
      <c r="C29" s="4">
        <f>INDEX(Calculation!$A$1:$F$607,MATCH($A29,Calculation!$B:$B,0),MATCH(C$1,Calculation!$1:$1,0))</f>
        <v>1763</v>
      </c>
      <c r="D29" s="4">
        <f>INDEX(Calculation!$A$1:$F$607,MATCH($A29,Calculation!$B:$B,0),MATCH(D$1,Calculation!$1:$1,0))</f>
        <v>69</v>
      </c>
      <c r="E29" s="4">
        <f>INDEX(Calculation!$A$1:$F$607,MATCH($A29,Calculation!$B:$B,0),MATCH(E$1,Calculation!$1:$1,0))</f>
        <v>10</v>
      </c>
    </row>
    <row r="30" spans="1:5" ht="16" x14ac:dyDescent="0.2">
      <c r="A30" s="2" t="s">
        <v>254</v>
      </c>
      <c r="B30" s="4">
        <f>INDEX(Calculation!$A$1:$F$607,MATCH($A30,Calculation!$B:$B,0),MATCH(B$1,Calculation!$1:$1,0))</f>
        <v>11303</v>
      </c>
      <c r="C30" s="4">
        <f>INDEX(Calculation!$A$1:$F$607,MATCH($A30,Calculation!$B:$B,0),MATCH(C$1,Calculation!$1:$1,0))</f>
        <v>1837</v>
      </c>
      <c r="D30" s="4">
        <f>INDEX(Calculation!$A$1:$F$607,MATCH($A30,Calculation!$B:$B,0),MATCH(D$1,Calculation!$1:$1,0))</f>
        <v>69</v>
      </c>
      <c r="E30" s="4">
        <f>INDEX(Calculation!$A$1:$F$607,MATCH($A30,Calculation!$B:$B,0),MATCH(E$1,Calculation!$1:$1,0))</f>
        <v>19</v>
      </c>
    </row>
    <row r="31" spans="1:5" ht="16" x14ac:dyDescent="0.2">
      <c r="A31" s="2" t="s">
        <v>257</v>
      </c>
      <c r="B31" s="4">
        <f>INDEX(Calculation!$A$1:$F$607,MATCH($A31,Calculation!$B:$B,0),MATCH(B$1,Calculation!$1:$1,0))</f>
        <v>8123</v>
      </c>
      <c r="C31" s="4">
        <f>INDEX(Calculation!$A$1:$F$607,MATCH($A31,Calculation!$B:$B,0),MATCH(C$1,Calculation!$1:$1,0))</f>
        <v>915</v>
      </c>
      <c r="D31" s="4">
        <f>INDEX(Calculation!$A$1:$F$607,MATCH($A31,Calculation!$B:$B,0),MATCH(D$1,Calculation!$1:$1,0))</f>
        <v>55</v>
      </c>
      <c r="E31" s="4">
        <f>INDEX(Calculation!$A$1:$F$607,MATCH($A31,Calculation!$B:$B,0),MATCH(E$1,Calculation!$1:$1,0))</f>
        <v>1</v>
      </c>
    </row>
    <row r="32" spans="1:5" ht="16" x14ac:dyDescent="0.2">
      <c r="A32" s="2" t="s">
        <v>260</v>
      </c>
      <c r="B32" s="4">
        <f>INDEX(Calculation!$A$1:$F$607,MATCH($A32,Calculation!$B:$B,0),MATCH(B$1,Calculation!$1:$1,0))</f>
        <v>16520</v>
      </c>
      <c r="C32" s="4">
        <f>INDEX(Calculation!$A$1:$F$607,MATCH($A32,Calculation!$B:$B,0),MATCH(C$1,Calculation!$1:$1,0))</f>
        <v>1395</v>
      </c>
      <c r="D32" s="4">
        <f>INDEX(Calculation!$A$1:$F$607,MATCH($A32,Calculation!$B:$B,0),MATCH(D$1,Calculation!$1:$1,0))</f>
        <v>66</v>
      </c>
      <c r="E32" s="4">
        <f>INDEX(Calculation!$A$1:$F$607,MATCH($A32,Calculation!$B:$B,0),MATCH(E$1,Calculation!$1:$1,0))</f>
        <v>2</v>
      </c>
    </row>
    <row r="33" spans="1:5" ht="16" x14ac:dyDescent="0.2">
      <c r="A33" s="2" t="s">
        <v>263</v>
      </c>
      <c r="B33" s="4">
        <f>INDEX(Calculation!$A$1:$F$607,MATCH($A33,Calculation!$B:$B,0),MATCH(B$1,Calculation!$1:$1,0))</f>
        <v>33852</v>
      </c>
      <c r="C33" s="4">
        <f>INDEX(Calculation!$A$1:$F$607,MATCH($A33,Calculation!$B:$B,0),MATCH(C$1,Calculation!$1:$1,0))</f>
        <v>2726</v>
      </c>
      <c r="D33" s="4">
        <f>INDEX(Calculation!$A$1:$F$607,MATCH($A33,Calculation!$B:$B,0),MATCH(D$1,Calculation!$1:$1,0))</f>
        <v>241</v>
      </c>
      <c r="E33" s="4">
        <f>INDEX(Calculation!$A$1:$F$607,MATCH($A33,Calculation!$B:$B,0),MATCH(E$1,Calculation!$1:$1,0))</f>
        <v>42</v>
      </c>
    </row>
    <row r="34" spans="1:5" ht="16" x14ac:dyDescent="0.2">
      <c r="A34" s="2" t="s">
        <v>265</v>
      </c>
      <c r="B34" s="4">
        <f>INDEX(Calculation!$A$1:$F$607,MATCH($A34,Calculation!$B:$B,0),MATCH(B$1,Calculation!$1:$1,0))</f>
        <v>25664</v>
      </c>
      <c r="C34" s="4">
        <f>INDEX(Calculation!$A$1:$F$607,MATCH($A34,Calculation!$B:$B,0),MATCH(C$1,Calculation!$1:$1,0))</f>
        <v>3014</v>
      </c>
      <c r="D34" s="4">
        <f>INDEX(Calculation!$A$1:$F$607,MATCH($A34,Calculation!$B:$B,0),MATCH(D$1,Calculation!$1:$1,0))</f>
        <v>195</v>
      </c>
      <c r="E34" s="4">
        <f>INDEX(Calculation!$A$1:$F$607,MATCH($A34,Calculation!$B:$B,0),MATCH(E$1,Calculation!$1:$1,0))</f>
        <v>7</v>
      </c>
    </row>
    <row r="35" spans="1:5" ht="16" x14ac:dyDescent="0.2">
      <c r="A35" s="2" t="s">
        <v>268</v>
      </c>
      <c r="B35" s="4">
        <f>INDEX(Calculation!$A$1:$F$607,MATCH($A35,Calculation!$B:$B,0),MATCH(B$1,Calculation!$1:$1,0))</f>
        <v>17768</v>
      </c>
      <c r="C35" s="4">
        <f>INDEX(Calculation!$A$1:$F$607,MATCH($A35,Calculation!$B:$B,0),MATCH(C$1,Calculation!$1:$1,0))</f>
        <v>2975</v>
      </c>
      <c r="D35" s="4">
        <f>INDEX(Calculation!$A$1:$F$607,MATCH($A35,Calculation!$B:$B,0),MATCH(D$1,Calculation!$1:$1,0))</f>
        <v>202</v>
      </c>
      <c r="E35" s="4">
        <f>INDEX(Calculation!$A$1:$F$607,MATCH($A35,Calculation!$B:$B,0),MATCH(E$1,Calculation!$1:$1,0))</f>
        <v>3</v>
      </c>
    </row>
    <row r="36" spans="1:5" ht="16" x14ac:dyDescent="0.2">
      <c r="A36" s="2" t="s">
        <v>271</v>
      </c>
      <c r="B36" s="4">
        <f>INDEX(Calculation!$A$1:$F$607,MATCH($A36,Calculation!$B:$B,0),MATCH(B$1,Calculation!$1:$1,0))</f>
        <v>16148</v>
      </c>
      <c r="C36" s="4">
        <f>INDEX(Calculation!$A$1:$F$607,MATCH($A36,Calculation!$B:$B,0),MATCH(C$1,Calculation!$1:$1,0))</f>
        <v>1436</v>
      </c>
      <c r="D36" s="4">
        <f>INDEX(Calculation!$A$1:$F$607,MATCH($A36,Calculation!$B:$B,0),MATCH(D$1,Calculation!$1:$1,0))</f>
        <v>102</v>
      </c>
      <c r="E36" s="4">
        <f>INDEX(Calculation!$A$1:$F$607,MATCH($A36,Calculation!$B:$B,0),MATCH(E$1,Calculation!$1:$1,0))</f>
        <v>2</v>
      </c>
    </row>
    <row r="37" spans="1:5" ht="16" x14ac:dyDescent="0.2">
      <c r="A37" s="2" t="s">
        <v>273</v>
      </c>
      <c r="B37" s="4">
        <f>INDEX(Calculation!$A$1:$F$607,MATCH($A37,Calculation!$B:$B,0),MATCH(B$1,Calculation!$1:$1,0))</f>
        <v>14289</v>
      </c>
      <c r="C37" s="4">
        <f>INDEX(Calculation!$A$1:$F$607,MATCH($A37,Calculation!$B:$B,0),MATCH(C$1,Calculation!$1:$1,0))</f>
        <v>1253</v>
      </c>
      <c r="D37" s="4">
        <f>INDEX(Calculation!$A$1:$F$607,MATCH($A37,Calculation!$B:$B,0),MATCH(D$1,Calculation!$1:$1,0))</f>
        <v>88</v>
      </c>
      <c r="E37" s="4">
        <f>INDEX(Calculation!$A$1:$F$607,MATCH($A37,Calculation!$B:$B,0),MATCH(E$1,Calculation!$1:$1,0))</f>
        <v>0</v>
      </c>
    </row>
    <row r="38" spans="1:5" ht="16" x14ac:dyDescent="0.2">
      <c r="A38" s="2" t="s">
        <v>276</v>
      </c>
      <c r="B38" s="4">
        <f>INDEX(Calculation!$A$1:$F$607,MATCH($A38,Calculation!$B:$B,0),MATCH(B$1,Calculation!$1:$1,0))</f>
        <v>20145</v>
      </c>
      <c r="C38" s="4">
        <f>INDEX(Calculation!$A$1:$F$607,MATCH($A38,Calculation!$B:$B,0),MATCH(C$1,Calculation!$1:$1,0))</f>
        <v>2195</v>
      </c>
      <c r="D38" s="4">
        <f>INDEX(Calculation!$A$1:$F$607,MATCH($A38,Calculation!$B:$B,0),MATCH(D$1,Calculation!$1:$1,0))</f>
        <v>270</v>
      </c>
      <c r="E38" s="4">
        <f>INDEX(Calculation!$A$1:$F$607,MATCH($A38,Calculation!$B:$B,0),MATCH(E$1,Calculation!$1:$1,0))</f>
        <v>1</v>
      </c>
    </row>
    <row r="39" spans="1:5" ht="16" x14ac:dyDescent="0.2">
      <c r="A39" s="2" t="s">
        <v>278</v>
      </c>
      <c r="B39" s="4">
        <f>INDEX(Calculation!$A$1:$F$607,MATCH($A39,Calculation!$B:$B,0),MATCH(B$1,Calculation!$1:$1,0))</f>
        <v>21742</v>
      </c>
      <c r="C39" s="4">
        <f>INDEX(Calculation!$A$1:$F$607,MATCH($A39,Calculation!$B:$B,0),MATCH(C$1,Calculation!$1:$1,0))</f>
        <v>1807</v>
      </c>
      <c r="D39" s="4">
        <f>INDEX(Calculation!$A$1:$F$607,MATCH($A39,Calculation!$B:$B,0),MATCH(D$1,Calculation!$1:$1,0))</f>
        <v>107</v>
      </c>
      <c r="E39" s="4">
        <f>INDEX(Calculation!$A$1:$F$607,MATCH($A39,Calculation!$B:$B,0),MATCH(E$1,Calculation!$1:$1,0))</f>
        <v>0</v>
      </c>
    </row>
    <row r="40" spans="1:5" ht="16" x14ac:dyDescent="0.2">
      <c r="A40" s="2" t="s">
        <v>281</v>
      </c>
      <c r="B40" s="4">
        <f>INDEX(Calculation!$A$1:$F$607,MATCH($A40,Calculation!$B:$B,0),MATCH(B$1,Calculation!$1:$1,0))</f>
        <v>12452</v>
      </c>
      <c r="C40" s="4">
        <f>INDEX(Calculation!$A$1:$F$607,MATCH($A40,Calculation!$B:$B,0),MATCH(C$1,Calculation!$1:$1,0))</f>
        <v>1926</v>
      </c>
      <c r="D40" s="4">
        <f>INDEX(Calculation!$A$1:$F$607,MATCH($A40,Calculation!$B:$B,0),MATCH(D$1,Calculation!$1:$1,0))</f>
        <v>141</v>
      </c>
      <c r="E40" s="4">
        <f>INDEX(Calculation!$A$1:$F$607,MATCH($A40,Calculation!$B:$B,0),MATCH(E$1,Calculation!$1:$1,0))</f>
        <v>2</v>
      </c>
    </row>
    <row r="41" spans="1:5" ht="16" x14ac:dyDescent="0.2">
      <c r="A41" s="2" t="s">
        <v>284</v>
      </c>
      <c r="B41" s="4">
        <f>INDEX(Calculation!$A$1:$F$607,MATCH($A41,Calculation!$B:$B,0),MATCH(B$1,Calculation!$1:$1,0))</f>
        <v>7177</v>
      </c>
      <c r="C41" s="4">
        <f>INDEX(Calculation!$A$1:$F$607,MATCH($A41,Calculation!$B:$B,0),MATCH(C$1,Calculation!$1:$1,0))</f>
        <v>388</v>
      </c>
      <c r="D41" s="4">
        <f>INDEX(Calculation!$A$1:$F$607,MATCH($A41,Calculation!$B:$B,0),MATCH(D$1,Calculation!$1:$1,0))</f>
        <v>27</v>
      </c>
      <c r="E41" s="4">
        <f>INDEX(Calculation!$A$1:$F$607,MATCH($A41,Calculation!$B:$B,0),MATCH(E$1,Calculation!$1:$1,0))</f>
        <v>0</v>
      </c>
    </row>
    <row r="42" spans="1:5" ht="16" x14ac:dyDescent="0.2">
      <c r="A42" s="2" t="s">
        <v>287</v>
      </c>
      <c r="B42" s="4">
        <f>INDEX(Calculation!$A$1:$F$607,MATCH($A42,Calculation!$B:$B,0),MATCH(B$1,Calculation!$1:$1,0))</f>
        <v>12488</v>
      </c>
      <c r="C42" s="4">
        <f>INDEX(Calculation!$A$1:$F$607,MATCH($A42,Calculation!$B:$B,0),MATCH(C$1,Calculation!$1:$1,0))</f>
        <v>478</v>
      </c>
      <c r="D42" s="4">
        <f>INDEX(Calculation!$A$1:$F$607,MATCH($A42,Calculation!$B:$B,0),MATCH(D$1,Calculation!$1:$1,0))</f>
        <v>6</v>
      </c>
      <c r="E42" s="4">
        <f>INDEX(Calculation!$A$1:$F$607,MATCH($A42,Calculation!$B:$B,0),MATCH(E$1,Calculation!$1:$1,0))</f>
        <v>0</v>
      </c>
    </row>
    <row r="43" spans="1:5" ht="16" x14ac:dyDescent="0.2">
      <c r="A43" s="2" t="s">
        <v>289</v>
      </c>
      <c r="B43" s="4">
        <f>INDEX(Calculation!$A$1:$F$607,MATCH($A43,Calculation!$B:$B,0),MATCH(B$1,Calculation!$1:$1,0))</f>
        <v>17882</v>
      </c>
      <c r="C43" s="4">
        <f>INDEX(Calculation!$A$1:$F$607,MATCH($A43,Calculation!$B:$B,0),MATCH(C$1,Calculation!$1:$1,0))</f>
        <v>2587</v>
      </c>
      <c r="D43" s="4">
        <f>INDEX(Calculation!$A$1:$F$607,MATCH($A43,Calculation!$B:$B,0),MATCH(D$1,Calculation!$1:$1,0))</f>
        <v>223</v>
      </c>
      <c r="E43" s="4">
        <f>INDEX(Calculation!$A$1:$F$607,MATCH($A43,Calculation!$B:$B,0),MATCH(E$1,Calculation!$1:$1,0))</f>
        <v>13</v>
      </c>
    </row>
    <row r="44" spans="1:5" ht="16" x14ac:dyDescent="0.2">
      <c r="A44" s="2" t="s">
        <v>292</v>
      </c>
      <c r="B44" s="4">
        <f>INDEX(Calculation!$A$1:$F$607,MATCH($A44,Calculation!$B:$B,0),MATCH(B$1,Calculation!$1:$1,0))</f>
        <v>6209</v>
      </c>
      <c r="C44" s="4">
        <f>INDEX(Calculation!$A$1:$F$607,MATCH($A44,Calculation!$B:$B,0),MATCH(C$1,Calculation!$1:$1,0))</f>
        <v>1165</v>
      </c>
      <c r="D44" s="4">
        <f>INDEX(Calculation!$A$1:$F$607,MATCH($A44,Calculation!$B:$B,0),MATCH(D$1,Calculation!$1:$1,0))</f>
        <v>56</v>
      </c>
      <c r="E44" s="4">
        <f>INDEX(Calculation!$A$1:$F$607,MATCH($A44,Calculation!$B:$B,0),MATCH(E$1,Calculation!$1:$1,0))</f>
        <v>1</v>
      </c>
    </row>
    <row r="45" spans="1:5" ht="16" x14ac:dyDescent="0.2">
      <c r="A45" s="2" t="s">
        <v>295</v>
      </c>
      <c r="B45" s="4">
        <f>INDEX(Calculation!$A$1:$F$607,MATCH($A45,Calculation!$B:$B,0),MATCH(B$1,Calculation!$1:$1,0))</f>
        <v>15982</v>
      </c>
      <c r="C45" s="4">
        <f>INDEX(Calculation!$A$1:$F$607,MATCH($A45,Calculation!$B:$B,0),MATCH(C$1,Calculation!$1:$1,0))</f>
        <v>2265</v>
      </c>
      <c r="D45" s="4">
        <f>INDEX(Calculation!$A$1:$F$607,MATCH($A45,Calculation!$B:$B,0),MATCH(D$1,Calculation!$1:$1,0))</f>
        <v>127</v>
      </c>
      <c r="E45" s="4">
        <f>INDEX(Calculation!$A$1:$F$607,MATCH($A45,Calculation!$B:$B,0),MATCH(E$1,Calculation!$1:$1,0))</f>
        <v>3</v>
      </c>
    </row>
    <row r="46" spans="1:5" ht="16" x14ac:dyDescent="0.2">
      <c r="A46" s="2" t="s">
        <v>298</v>
      </c>
      <c r="B46" s="4">
        <f>INDEX(Calculation!$A$1:$F$607,MATCH($A46,Calculation!$B:$B,0),MATCH(B$1,Calculation!$1:$1,0))</f>
        <v>12586</v>
      </c>
      <c r="C46" s="4">
        <f>INDEX(Calculation!$A$1:$F$607,MATCH($A46,Calculation!$B:$B,0),MATCH(C$1,Calculation!$1:$1,0))</f>
        <v>1225</v>
      </c>
      <c r="D46" s="4">
        <f>INDEX(Calculation!$A$1:$F$607,MATCH($A46,Calculation!$B:$B,0),MATCH(D$1,Calculation!$1:$1,0))</f>
        <v>77</v>
      </c>
      <c r="E46" s="4">
        <f>INDEX(Calculation!$A$1:$F$607,MATCH($A46,Calculation!$B:$B,0),MATCH(E$1,Calculation!$1:$1,0))</f>
        <v>7</v>
      </c>
    </row>
    <row r="47" spans="1:5" ht="16" x14ac:dyDescent="0.2">
      <c r="A47" s="2" t="s">
        <v>300</v>
      </c>
      <c r="B47" s="4">
        <f>INDEX(Calculation!$A$1:$F$607,MATCH($A47,Calculation!$B:$B,0),MATCH(B$1,Calculation!$1:$1,0))</f>
        <v>13512</v>
      </c>
      <c r="C47" s="4">
        <f>INDEX(Calculation!$A$1:$F$607,MATCH($A47,Calculation!$B:$B,0),MATCH(C$1,Calculation!$1:$1,0))</f>
        <v>2322</v>
      </c>
      <c r="D47" s="4">
        <f>INDEX(Calculation!$A$1:$F$607,MATCH($A47,Calculation!$B:$B,0),MATCH(D$1,Calculation!$1:$1,0))</f>
        <v>139</v>
      </c>
      <c r="E47" s="4">
        <f>INDEX(Calculation!$A$1:$F$607,MATCH($A47,Calculation!$B:$B,0),MATCH(E$1,Calculation!$1:$1,0))</f>
        <v>36</v>
      </c>
    </row>
    <row r="48" spans="1:5" ht="16" x14ac:dyDescent="0.2">
      <c r="A48" s="2" t="s">
        <v>306</v>
      </c>
      <c r="B48" s="4">
        <f>INDEX(Calculation!$A$1:$F$607,MATCH($A48,Calculation!$B:$B,0),MATCH(B$1,Calculation!$1:$1,0))</f>
        <v>16841</v>
      </c>
      <c r="C48" s="4">
        <f>INDEX(Calculation!$A$1:$F$607,MATCH($A48,Calculation!$B:$B,0),MATCH(C$1,Calculation!$1:$1,0))</f>
        <v>2116</v>
      </c>
      <c r="D48" s="4">
        <f>INDEX(Calculation!$A$1:$F$607,MATCH($A48,Calculation!$B:$B,0),MATCH(D$1,Calculation!$1:$1,0))</f>
        <v>142</v>
      </c>
      <c r="E48" s="4">
        <f>INDEX(Calculation!$A$1:$F$607,MATCH($A48,Calculation!$B:$B,0),MATCH(E$1,Calculation!$1:$1,0))</f>
        <v>5</v>
      </c>
    </row>
    <row r="49" spans="1:5" ht="16" x14ac:dyDescent="0.2">
      <c r="A49" s="2" t="s">
        <v>308</v>
      </c>
      <c r="B49" s="4">
        <f>INDEX(Calculation!$A$1:$F$607,MATCH($A49,Calculation!$B:$B,0),MATCH(B$1,Calculation!$1:$1,0))</f>
        <v>148119</v>
      </c>
      <c r="C49" s="4">
        <f>INDEX(Calculation!$A$1:$F$607,MATCH($A49,Calculation!$B:$B,0),MATCH(C$1,Calculation!$1:$1,0))</f>
        <v>15376</v>
      </c>
      <c r="D49" s="4">
        <f>INDEX(Calculation!$A$1:$F$607,MATCH($A49,Calculation!$B:$B,0),MATCH(D$1,Calculation!$1:$1,0))</f>
        <v>423</v>
      </c>
      <c r="E49" s="4">
        <f>INDEX(Calculation!$A$1:$F$607,MATCH($A49,Calculation!$B:$B,0),MATCH(E$1,Calculation!$1:$1,0))</f>
        <v>31</v>
      </c>
    </row>
    <row r="50" spans="1:5" ht="16" x14ac:dyDescent="0.2">
      <c r="A50" s="2" t="s">
        <v>310</v>
      </c>
      <c r="B50" s="4">
        <f>INDEX(Calculation!$A$1:$F$607,MATCH($A50,Calculation!$B:$B,0),MATCH(B$1,Calculation!$1:$1,0))</f>
        <v>22460</v>
      </c>
      <c r="C50" s="4">
        <f>INDEX(Calculation!$A$1:$F$607,MATCH($A50,Calculation!$B:$B,0),MATCH(C$1,Calculation!$1:$1,0))</f>
        <v>3402</v>
      </c>
      <c r="D50" s="4">
        <f>INDEX(Calculation!$A$1:$F$607,MATCH($A50,Calculation!$B:$B,0),MATCH(D$1,Calculation!$1:$1,0))</f>
        <v>153</v>
      </c>
      <c r="E50" s="4">
        <f>INDEX(Calculation!$A$1:$F$607,MATCH($A50,Calculation!$B:$B,0),MATCH(E$1,Calculation!$1:$1,0))</f>
        <v>1</v>
      </c>
    </row>
    <row r="51" spans="1:5" ht="16" x14ac:dyDescent="0.2">
      <c r="A51" s="2" t="s">
        <v>313</v>
      </c>
      <c r="B51" s="4">
        <f>INDEX(Calculation!$A$1:$F$607,MATCH($A51,Calculation!$B:$B,0),MATCH(B$1,Calculation!$1:$1,0))</f>
        <v>11886</v>
      </c>
      <c r="C51" s="4">
        <f>INDEX(Calculation!$A$1:$F$607,MATCH($A51,Calculation!$B:$B,0),MATCH(C$1,Calculation!$1:$1,0))</f>
        <v>1193</v>
      </c>
      <c r="D51" s="4">
        <f>INDEX(Calculation!$A$1:$F$607,MATCH($A51,Calculation!$B:$B,0),MATCH(D$1,Calculation!$1:$1,0))</f>
        <v>67</v>
      </c>
      <c r="E51" s="4">
        <f>INDEX(Calculation!$A$1:$F$607,MATCH($A51,Calculation!$B:$B,0),MATCH(E$1,Calculation!$1:$1,0))</f>
        <v>1</v>
      </c>
    </row>
    <row r="52" spans="1:5" ht="16" x14ac:dyDescent="0.2">
      <c r="A52" s="2" t="s">
        <v>315</v>
      </c>
      <c r="B52" s="4">
        <f>INDEX(Calculation!$A$1:$F$607,MATCH($A52,Calculation!$B:$B,0),MATCH(B$1,Calculation!$1:$1,0))</f>
        <v>15780</v>
      </c>
      <c r="C52" s="4">
        <f>INDEX(Calculation!$A$1:$F$607,MATCH($A52,Calculation!$B:$B,0),MATCH(C$1,Calculation!$1:$1,0))</f>
        <v>1042</v>
      </c>
      <c r="D52" s="4">
        <f>INDEX(Calculation!$A$1:$F$607,MATCH($A52,Calculation!$B:$B,0),MATCH(D$1,Calculation!$1:$1,0))</f>
        <v>49</v>
      </c>
      <c r="E52" s="4">
        <f>INDEX(Calculation!$A$1:$F$607,MATCH($A52,Calculation!$B:$B,0),MATCH(E$1,Calculation!$1:$1,0))</f>
        <v>9</v>
      </c>
    </row>
    <row r="53" spans="1:5" ht="16" x14ac:dyDescent="0.2">
      <c r="A53" s="2" t="s">
        <v>318</v>
      </c>
      <c r="B53" s="4">
        <f>INDEX(Calculation!$A$1:$F$607,MATCH($A53,Calculation!$B:$B,0),MATCH(B$1,Calculation!$1:$1,0))</f>
        <v>7576</v>
      </c>
      <c r="C53" s="4">
        <f>INDEX(Calculation!$A$1:$F$607,MATCH($A53,Calculation!$B:$B,0),MATCH(C$1,Calculation!$1:$1,0))</f>
        <v>882</v>
      </c>
      <c r="D53" s="4">
        <f>INDEX(Calculation!$A$1:$F$607,MATCH($A53,Calculation!$B:$B,0),MATCH(D$1,Calculation!$1:$1,0))</f>
        <v>40</v>
      </c>
      <c r="E53" s="4">
        <f>INDEX(Calculation!$A$1:$F$607,MATCH($A53,Calculation!$B:$B,0),MATCH(E$1,Calculation!$1:$1,0))</f>
        <v>15</v>
      </c>
    </row>
    <row r="54" spans="1:5" ht="16" x14ac:dyDescent="0.2">
      <c r="A54" s="2" t="s">
        <v>320</v>
      </c>
      <c r="B54" s="4">
        <f>INDEX(Calculation!$A$1:$F$607,MATCH($A54,Calculation!$B:$B,0),MATCH(B$1,Calculation!$1:$1,0))</f>
        <v>10167</v>
      </c>
      <c r="C54" s="4">
        <f>INDEX(Calculation!$A$1:$F$607,MATCH($A54,Calculation!$B:$B,0),MATCH(C$1,Calculation!$1:$1,0))</f>
        <v>1549</v>
      </c>
      <c r="D54" s="4">
        <f>INDEX(Calculation!$A$1:$F$607,MATCH($A54,Calculation!$B:$B,0),MATCH(D$1,Calculation!$1:$1,0))</f>
        <v>217</v>
      </c>
      <c r="E54" s="4">
        <f>INDEX(Calculation!$A$1:$F$607,MATCH($A54,Calculation!$B:$B,0),MATCH(E$1,Calculation!$1:$1,0))</f>
        <v>0</v>
      </c>
    </row>
    <row r="55" spans="1:5" ht="16" x14ac:dyDescent="0.2">
      <c r="A55" s="2" t="s">
        <v>323</v>
      </c>
      <c r="B55" s="4">
        <f>INDEX(Calculation!$A$1:$F$607,MATCH($A55,Calculation!$B:$B,0),MATCH(B$1,Calculation!$1:$1,0))</f>
        <v>16537</v>
      </c>
      <c r="C55" s="4">
        <f>INDEX(Calculation!$A$1:$F$607,MATCH($A55,Calculation!$B:$B,0),MATCH(C$1,Calculation!$1:$1,0))</f>
        <v>2672</v>
      </c>
      <c r="D55" s="4">
        <f>INDEX(Calculation!$A$1:$F$607,MATCH($A55,Calculation!$B:$B,0),MATCH(D$1,Calculation!$1:$1,0))</f>
        <v>284</v>
      </c>
      <c r="E55" s="4">
        <f>INDEX(Calculation!$A$1:$F$607,MATCH($A55,Calculation!$B:$B,0),MATCH(E$1,Calculation!$1:$1,0))</f>
        <v>0</v>
      </c>
    </row>
    <row r="56" spans="1:5" ht="16" x14ac:dyDescent="0.2">
      <c r="A56" s="2" t="s">
        <v>326</v>
      </c>
      <c r="B56" s="4">
        <f>INDEX(Calculation!$A$1:$F$607,MATCH($A56,Calculation!$B:$B,0),MATCH(B$1,Calculation!$1:$1,0))</f>
        <v>31332</v>
      </c>
      <c r="C56" s="4">
        <f>INDEX(Calculation!$A$1:$F$607,MATCH($A56,Calculation!$B:$B,0),MATCH(C$1,Calculation!$1:$1,0))</f>
        <v>2593</v>
      </c>
      <c r="D56" s="4">
        <f>INDEX(Calculation!$A$1:$F$607,MATCH($A56,Calculation!$B:$B,0),MATCH(D$1,Calculation!$1:$1,0))</f>
        <v>97</v>
      </c>
      <c r="E56" s="4">
        <f>INDEX(Calculation!$A$1:$F$607,MATCH($A56,Calculation!$B:$B,0),MATCH(E$1,Calculation!$1:$1,0))</f>
        <v>4</v>
      </c>
    </row>
    <row r="57" spans="1:5" ht="16" x14ac:dyDescent="0.2">
      <c r="A57" s="2" t="s">
        <v>328</v>
      </c>
      <c r="B57" s="4">
        <f>INDEX(Calculation!$A$1:$F$607,MATCH($A57,Calculation!$B:$B,0),MATCH(B$1,Calculation!$1:$1,0))</f>
        <v>18053</v>
      </c>
      <c r="C57" s="4">
        <f>INDEX(Calculation!$A$1:$F$607,MATCH($A57,Calculation!$B:$B,0),MATCH(C$1,Calculation!$1:$1,0))</f>
        <v>1548</v>
      </c>
      <c r="D57" s="4">
        <f>INDEX(Calculation!$A$1:$F$607,MATCH($A57,Calculation!$B:$B,0),MATCH(D$1,Calculation!$1:$1,0))</f>
        <v>129</v>
      </c>
      <c r="E57" s="4">
        <f>INDEX(Calculation!$A$1:$F$607,MATCH($A57,Calculation!$B:$B,0),MATCH(E$1,Calculation!$1:$1,0))</f>
        <v>0</v>
      </c>
    </row>
    <row r="58" spans="1:5" ht="16" x14ac:dyDescent="0.2">
      <c r="A58" s="2" t="s">
        <v>330</v>
      </c>
      <c r="B58" s="4">
        <f>INDEX(Calculation!$A$1:$F$607,MATCH($A58,Calculation!$B:$B,0),MATCH(B$1,Calculation!$1:$1,0))</f>
        <v>20478</v>
      </c>
      <c r="C58" s="4">
        <f>INDEX(Calculation!$A$1:$F$607,MATCH($A58,Calculation!$B:$B,0),MATCH(C$1,Calculation!$1:$1,0))</f>
        <v>2689</v>
      </c>
      <c r="D58" s="4">
        <f>INDEX(Calculation!$A$1:$F$607,MATCH($A58,Calculation!$B:$B,0),MATCH(D$1,Calculation!$1:$1,0))</f>
        <v>122</v>
      </c>
      <c r="E58" s="4">
        <f>INDEX(Calculation!$A$1:$F$607,MATCH($A58,Calculation!$B:$B,0),MATCH(E$1,Calculation!$1:$1,0))</f>
        <v>1</v>
      </c>
    </row>
    <row r="59" spans="1:5" ht="16" x14ac:dyDescent="0.2">
      <c r="A59" s="2" t="s">
        <v>332</v>
      </c>
      <c r="B59" s="4">
        <f>INDEX(Calculation!$A$1:$F$607,MATCH($A59,Calculation!$B:$B,0),MATCH(B$1,Calculation!$1:$1,0))</f>
        <v>12459</v>
      </c>
      <c r="C59" s="4">
        <f>INDEX(Calculation!$A$1:$F$607,MATCH($A59,Calculation!$B:$B,0),MATCH(C$1,Calculation!$1:$1,0))</f>
        <v>1689</v>
      </c>
      <c r="D59" s="4">
        <f>INDEX(Calculation!$A$1:$F$607,MATCH($A59,Calculation!$B:$B,0),MATCH(D$1,Calculation!$1:$1,0))</f>
        <v>87</v>
      </c>
      <c r="E59" s="4">
        <f>INDEX(Calculation!$A$1:$F$607,MATCH($A59,Calculation!$B:$B,0),MATCH(E$1,Calculation!$1:$1,0))</f>
        <v>0</v>
      </c>
    </row>
    <row r="60" spans="1:5" ht="16" x14ac:dyDescent="0.2">
      <c r="A60" s="2" t="s">
        <v>335</v>
      </c>
      <c r="B60" s="4">
        <f>INDEX(Calculation!$A$1:$F$607,MATCH($A60,Calculation!$B:$B,0),MATCH(B$1,Calculation!$1:$1,0))</f>
        <v>14009</v>
      </c>
      <c r="C60" s="4">
        <f>INDEX(Calculation!$A$1:$F$607,MATCH($A60,Calculation!$B:$B,0),MATCH(C$1,Calculation!$1:$1,0))</f>
        <v>1211</v>
      </c>
      <c r="D60" s="4">
        <f>INDEX(Calculation!$A$1:$F$607,MATCH($A60,Calculation!$B:$B,0),MATCH(D$1,Calculation!$1:$1,0))</f>
        <v>156</v>
      </c>
      <c r="E60" s="4">
        <f>INDEX(Calculation!$A$1:$F$607,MATCH($A60,Calculation!$B:$B,0),MATCH(E$1,Calculation!$1:$1,0))</f>
        <v>2</v>
      </c>
    </row>
    <row r="61" spans="1:5" ht="16" x14ac:dyDescent="0.2">
      <c r="A61" s="2" t="s">
        <v>337</v>
      </c>
      <c r="B61" s="4">
        <f>INDEX(Calculation!$A$1:$F$607,MATCH($A61,Calculation!$B:$B,0),MATCH(B$1,Calculation!$1:$1,0))</f>
        <v>17307</v>
      </c>
      <c r="C61" s="4">
        <f>INDEX(Calculation!$A$1:$F$607,MATCH($A61,Calculation!$B:$B,0),MATCH(C$1,Calculation!$1:$1,0))</f>
        <v>2612</v>
      </c>
      <c r="D61" s="4">
        <f>INDEX(Calculation!$A$1:$F$607,MATCH($A61,Calculation!$B:$B,0),MATCH(D$1,Calculation!$1:$1,0))</f>
        <v>233</v>
      </c>
      <c r="E61" s="4">
        <f>INDEX(Calculation!$A$1:$F$607,MATCH($A61,Calculation!$B:$B,0),MATCH(E$1,Calculation!$1:$1,0))</f>
        <v>127</v>
      </c>
    </row>
    <row r="62" spans="1:5" ht="16" x14ac:dyDescent="0.2">
      <c r="A62" s="2" t="s">
        <v>339</v>
      </c>
      <c r="B62" s="4">
        <f>INDEX(Calculation!$A$1:$F$607,MATCH($A62,Calculation!$B:$B,0),MATCH(B$1,Calculation!$1:$1,0))</f>
        <v>10509</v>
      </c>
      <c r="C62" s="4">
        <f>INDEX(Calculation!$A$1:$F$607,MATCH($A62,Calculation!$B:$B,0),MATCH(C$1,Calculation!$1:$1,0))</f>
        <v>1536</v>
      </c>
      <c r="D62" s="4">
        <f>INDEX(Calculation!$A$1:$F$607,MATCH($A62,Calculation!$B:$B,0),MATCH(D$1,Calculation!$1:$1,0))</f>
        <v>58</v>
      </c>
      <c r="E62" s="4">
        <f>INDEX(Calculation!$A$1:$F$607,MATCH($A62,Calculation!$B:$B,0),MATCH(E$1,Calculation!$1:$1,0))</f>
        <v>10</v>
      </c>
    </row>
    <row r="63" spans="1:5" ht="16" x14ac:dyDescent="0.2">
      <c r="A63" s="2" t="s">
        <v>342</v>
      </c>
      <c r="B63" s="4">
        <f>INDEX(Calculation!$A$1:$F$607,MATCH($A63,Calculation!$B:$B,0),MATCH(B$1,Calculation!$1:$1,0))</f>
        <v>34212</v>
      </c>
      <c r="C63" s="4">
        <f>INDEX(Calculation!$A$1:$F$607,MATCH($A63,Calculation!$B:$B,0),MATCH(C$1,Calculation!$1:$1,0))</f>
        <v>2529</v>
      </c>
      <c r="D63" s="4">
        <f>INDEX(Calculation!$A$1:$F$607,MATCH($A63,Calculation!$B:$B,0),MATCH(D$1,Calculation!$1:$1,0))</f>
        <v>106</v>
      </c>
      <c r="E63" s="4">
        <f>INDEX(Calculation!$A$1:$F$607,MATCH($A63,Calculation!$B:$B,0),MATCH(E$1,Calculation!$1:$1,0))</f>
        <v>1</v>
      </c>
    </row>
    <row r="64" spans="1:5" ht="16" x14ac:dyDescent="0.2">
      <c r="A64" s="2" t="s">
        <v>344</v>
      </c>
      <c r="B64" s="4">
        <f>INDEX(Calculation!$A$1:$F$607,MATCH($A64,Calculation!$B:$B,0),MATCH(B$1,Calculation!$1:$1,0))</f>
        <v>17766</v>
      </c>
      <c r="C64" s="4">
        <f>INDEX(Calculation!$A$1:$F$607,MATCH($A64,Calculation!$B:$B,0),MATCH(C$1,Calculation!$1:$1,0))</f>
        <v>2854</v>
      </c>
      <c r="D64" s="4">
        <f>INDEX(Calculation!$A$1:$F$607,MATCH($A64,Calculation!$B:$B,0),MATCH(D$1,Calculation!$1:$1,0))</f>
        <v>220</v>
      </c>
      <c r="E64" s="4">
        <f>INDEX(Calculation!$A$1:$F$607,MATCH($A64,Calculation!$B:$B,0),MATCH(E$1,Calculation!$1:$1,0))</f>
        <v>20</v>
      </c>
    </row>
    <row r="65" spans="1:5" ht="16" x14ac:dyDescent="0.2">
      <c r="A65" s="2" t="s">
        <v>346</v>
      </c>
      <c r="B65" s="4">
        <f>INDEX(Calculation!$A$1:$F$607,MATCH($A65,Calculation!$B:$B,0),MATCH(B$1,Calculation!$1:$1,0))</f>
        <v>47012</v>
      </c>
      <c r="C65" s="4">
        <f>INDEX(Calculation!$A$1:$F$607,MATCH($A65,Calculation!$B:$B,0),MATCH(C$1,Calculation!$1:$1,0))</f>
        <v>3583</v>
      </c>
      <c r="D65" s="4">
        <f>INDEX(Calculation!$A$1:$F$607,MATCH($A65,Calculation!$B:$B,0),MATCH(D$1,Calculation!$1:$1,0))</f>
        <v>171</v>
      </c>
      <c r="E65" s="4">
        <f>INDEX(Calculation!$A$1:$F$607,MATCH($A65,Calculation!$B:$B,0),MATCH(E$1,Calculation!$1:$1,0))</f>
        <v>748</v>
      </c>
    </row>
    <row r="66" spans="1:5" ht="16" x14ac:dyDescent="0.2">
      <c r="A66" s="2" t="s">
        <v>348</v>
      </c>
      <c r="B66" s="4">
        <f>INDEX(Calculation!$A$1:$F$607,MATCH($A66,Calculation!$B:$B,0),MATCH(B$1,Calculation!$1:$1,0))</f>
        <v>10737</v>
      </c>
      <c r="C66" s="4">
        <f>INDEX(Calculation!$A$1:$F$607,MATCH($A66,Calculation!$B:$B,0),MATCH(C$1,Calculation!$1:$1,0))</f>
        <v>951</v>
      </c>
      <c r="D66" s="4">
        <f>INDEX(Calculation!$A$1:$F$607,MATCH($A66,Calculation!$B:$B,0),MATCH(D$1,Calculation!$1:$1,0))</f>
        <v>73</v>
      </c>
      <c r="E66" s="4">
        <f>INDEX(Calculation!$A$1:$F$607,MATCH($A66,Calculation!$B:$B,0),MATCH(E$1,Calculation!$1:$1,0))</f>
        <v>43</v>
      </c>
    </row>
    <row r="67" spans="1:5" ht="16" x14ac:dyDescent="0.2">
      <c r="A67" s="2" t="s">
        <v>350</v>
      </c>
      <c r="B67" s="4">
        <f>INDEX(Calculation!$A$1:$F$607,MATCH($A67,Calculation!$B:$B,0),MATCH(B$1,Calculation!$1:$1,0))</f>
        <v>44840</v>
      </c>
      <c r="C67" s="4">
        <f>INDEX(Calculation!$A$1:$F$607,MATCH($A67,Calculation!$B:$B,0),MATCH(C$1,Calculation!$1:$1,0))</f>
        <v>4588</v>
      </c>
      <c r="D67" s="4">
        <f>INDEX(Calculation!$A$1:$F$607,MATCH($A67,Calculation!$B:$B,0),MATCH(D$1,Calculation!$1:$1,0))</f>
        <v>275</v>
      </c>
      <c r="E67" s="4">
        <f>INDEX(Calculation!$A$1:$F$607,MATCH($A67,Calculation!$B:$B,0),MATCH(E$1,Calculation!$1:$1,0))</f>
        <v>5</v>
      </c>
    </row>
    <row r="68" spans="1:5" ht="16" x14ac:dyDescent="0.2">
      <c r="A68" s="2" t="s">
        <v>353</v>
      </c>
      <c r="B68" s="4">
        <f>INDEX(Calculation!$A$1:$F$607,MATCH($A68,Calculation!$B:$B,0),MATCH(B$1,Calculation!$1:$1,0))</f>
        <v>15457</v>
      </c>
      <c r="C68" s="4">
        <f>INDEX(Calculation!$A$1:$F$607,MATCH($A68,Calculation!$B:$B,0),MATCH(C$1,Calculation!$1:$1,0))</f>
        <v>2617</v>
      </c>
      <c r="D68" s="4">
        <f>INDEX(Calculation!$A$1:$F$607,MATCH($A68,Calculation!$B:$B,0),MATCH(D$1,Calculation!$1:$1,0))</f>
        <v>197</v>
      </c>
      <c r="E68" s="4">
        <f>INDEX(Calculation!$A$1:$F$607,MATCH($A68,Calculation!$B:$B,0),MATCH(E$1,Calculation!$1:$1,0))</f>
        <v>24</v>
      </c>
    </row>
    <row r="69" spans="1:5" ht="16" x14ac:dyDescent="0.2">
      <c r="A69" s="2" t="s">
        <v>356</v>
      </c>
      <c r="B69" s="4">
        <f>INDEX(Calculation!$A$1:$F$607,MATCH($A69,Calculation!$B:$B,0),MATCH(B$1,Calculation!$1:$1,0))</f>
        <v>6066</v>
      </c>
      <c r="C69" s="4">
        <f>INDEX(Calculation!$A$1:$F$607,MATCH($A69,Calculation!$B:$B,0),MATCH(C$1,Calculation!$1:$1,0))</f>
        <v>416</v>
      </c>
      <c r="D69" s="4">
        <f>INDEX(Calculation!$A$1:$F$607,MATCH($A69,Calculation!$B:$B,0),MATCH(D$1,Calculation!$1:$1,0))</f>
        <v>28</v>
      </c>
      <c r="E69" s="4">
        <f>INDEX(Calculation!$A$1:$F$607,MATCH($A69,Calculation!$B:$B,0),MATCH(E$1,Calculation!$1:$1,0))</f>
        <v>1</v>
      </c>
    </row>
    <row r="70" spans="1:5" ht="16" x14ac:dyDescent="0.2">
      <c r="A70" s="2" t="s">
        <v>359</v>
      </c>
      <c r="B70" s="4">
        <f>INDEX(Calculation!$A$1:$F$607,MATCH($A70,Calculation!$B:$B,0),MATCH(B$1,Calculation!$1:$1,0))</f>
        <v>32465</v>
      </c>
      <c r="C70" s="4">
        <f>INDEX(Calculation!$A$1:$F$607,MATCH($A70,Calculation!$B:$B,0),MATCH(C$1,Calculation!$1:$1,0))</f>
        <v>3560</v>
      </c>
      <c r="D70" s="4">
        <f>INDEX(Calculation!$A$1:$F$607,MATCH($A70,Calculation!$B:$B,0),MATCH(D$1,Calculation!$1:$1,0))</f>
        <v>182</v>
      </c>
      <c r="E70" s="4">
        <f>INDEX(Calculation!$A$1:$F$607,MATCH($A70,Calculation!$B:$B,0),MATCH(E$1,Calculation!$1:$1,0))</f>
        <v>6</v>
      </c>
    </row>
    <row r="71" spans="1:5" ht="16" x14ac:dyDescent="0.2">
      <c r="A71" s="2" t="s">
        <v>361</v>
      </c>
      <c r="B71" s="4">
        <f>INDEX(Calculation!$A$1:$F$607,MATCH($A71,Calculation!$B:$B,0),MATCH(B$1,Calculation!$1:$1,0))</f>
        <v>14868</v>
      </c>
      <c r="C71" s="4">
        <f>INDEX(Calculation!$A$1:$F$607,MATCH($A71,Calculation!$B:$B,0),MATCH(C$1,Calculation!$1:$1,0))</f>
        <v>1331</v>
      </c>
      <c r="D71" s="4">
        <f>INDEX(Calculation!$A$1:$F$607,MATCH($A71,Calculation!$B:$B,0),MATCH(D$1,Calculation!$1:$1,0))</f>
        <v>125</v>
      </c>
      <c r="E71" s="4">
        <f>INDEX(Calculation!$A$1:$F$607,MATCH($A71,Calculation!$B:$B,0),MATCH(E$1,Calculation!$1:$1,0))</f>
        <v>25</v>
      </c>
    </row>
    <row r="72" spans="1:5" ht="16" x14ac:dyDescent="0.2">
      <c r="A72" s="2" t="s">
        <v>364</v>
      </c>
      <c r="B72" s="4">
        <f>INDEX(Calculation!$A$1:$F$607,MATCH($A72,Calculation!$B:$B,0),MATCH(B$1,Calculation!$1:$1,0))</f>
        <v>60837</v>
      </c>
      <c r="C72" s="4">
        <f>INDEX(Calculation!$A$1:$F$607,MATCH($A72,Calculation!$B:$B,0),MATCH(C$1,Calculation!$1:$1,0))</f>
        <v>6809</v>
      </c>
      <c r="D72" s="4">
        <f>INDEX(Calculation!$A$1:$F$607,MATCH($A72,Calculation!$B:$B,0),MATCH(D$1,Calculation!$1:$1,0))</f>
        <v>296</v>
      </c>
      <c r="E72" s="4">
        <f>INDEX(Calculation!$A$1:$F$607,MATCH($A72,Calculation!$B:$B,0),MATCH(E$1,Calculation!$1:$1,0))</f>
        <v>18</v>
      </c>
    </row>
    <row r="73" spans="1:5" ht="16" x14ac:dyDescent="0.2">
      <c r="A73" s="2" t="s">
        <v>366</v>
      </c>
      <c r="B73" s="4">
        <f>INDEX(Calculation!$A$1:$F$607,MATCH($A73,Calculation!$B:$B,0),MATCH(B$1,Calculation!$1:$1,0))</f>
        <v>10583</v>
      </c>
      <c r="C73" s="4">
        <f>INDEX(Calculation!$A$1:$F$607,MATCH($A73,Calculation!$B:$B,0),MATCH(C$1,Calculation!$1:$1,0))</f>
        <v>1571</v>
      </c>
      <c r="D73" s="4">
        <f>INDEX(Calculation!$A$1:$F$607,MATCH($A73,Calculation!$B:$B,0),MATCH(D$1,Calculation!$1:$1,0))</f>
        <v>101</v>
      </c>
      <c r="E73" s="4">
        <f>INDEX(Calculation!$A$1:$F$607,MATCH($A73,Calculation!$B:$B,0),MATCH(E$1,Calculation!$1:$1,0))</f>
        <v>4</v>
      </c>
    </row>
    <row r="74" spans="1:5" ht="16" x14ac:dyDescent="0.2">
      <c r="A74" s="2" t="s">
        <v>369</v>
      </c>
      <c r="B74" s="4">
        <f>INDEX(Calculation!$A$1:$F$607,MATCH($A74,Calculation!$B:$B,0),MATCH(B$1,Calculation!$1:$1,0))</f>
        <v>15610</v>
      </c>
      <c r="C74" s="4">
        <f>INDEX(Calculation!$A$1:$F$607,MATCH($A74,Calculation!$B:$B,0),MATCH(C$1,Calculation!$1:$1,0))</f>
        <v>2006</v>
      </c>
      <c r="D74" s="4">
        <f>INDEX(Calculation!$A$1:$F$607,MATCH($A74,Calculation!$B:$B,0),MATCH(D$1,Calculation!$1:$1,0))</f>
        <v>84</v>
      </c>
      <c r="E74" s="4">
        <f>INDEX(Calculation!$A$1:$F$607,MATCH($A74,Calculation!$B:$B,0),MATCH(E$1,Calculation!$1:$1,0))</f>
        <v>7</v>
      </c>
    </row>
    <row r="75" spans="1:5" ht="16" x14ac:dyDescent="0.2">
      <c r="A75" s="2" t="s">
        <v>372</v>
      </c>
      <c r="B75" s="4">
        <f>INDEX(Calculation!$A$1:$F$607,MATCH($A75,Calculation!$B:$B,0),MATCH(B$1,Calculation!$1:$1,0))</f>
        <v>22910</v>
      </c>
      <c r="C75" s="4">
        <f>INDEX(Calculation!$A$1:$F$607,MATCH($A75,Calculation!$B:$B,0),MATCH(C$1,Calculation!$1:$1,0))</f>
        <v>2593</v>
      </c>
      <c r="D75" s="4">
        <f>INDEX(Calculation!$A$1:$F$607,MATCH($A75,Calculation!$B:$B,0),MATCH(D$1,Calculation!$1:$1,0))</f>
        <v>154</v>
      </c>
      <c r="E75" s="4">
        <f>INDEX(Calculation!$A$1:$F$607,MATCH($A75,Calculation!$B:$B,0),MATCH(E$1,Calculation!$1:$1,0))</f>
        <v>11</v>
      </c>
    </row>
    <row r="76" spans="1:5" ht="16" x14ac:dyDescent="0.2">
      <c r="A76" s="2" t="s">
        <v>374</v>
      </c>
      <c r="B76" s="4">
        <f>INDEX(Calculation!$A$1:$F$607,MATCH($A76,Calculation!$B:$B,0),MATCH(B$1,Calculation!$1:$1,0))</f>
        <v>10649</v>
      </c>
      <c r="C76" s="4">
        <f>INDEX(Calculation!$A$1:$F$607,MATCH($A76,Calculation!$B:$B,0),MATCH(C$1,Calculation!$1:$1,0))</f>
        <v>1322</v>
      </c>
      <c r="D76" s="4">
        <f>INDEX(Calculation!$A$1:$F$607,MATCH($A76,Calculation!$B:$B,0),MATCH(D$1,Calculation!$1:$1,0))</f>
        <v>99</v>
      </c>
      <c r="E76" s="4">
        <f>INDEX(Calculation!$A$1:$F$607,MATCH($A76,Calculation!$B:$B,0),MATCH(E$1,Calculation!$1:$1,0))</f>
        <v>2</v>
      </c>
    </row>
    <row r="77" spans="1:5" ht="16" x14ac:dyDescent="0.2">
      <c r="A77" s="2" t="s">
        <v>377</v>
      </c>
      <c r="B77" s="4">
        <f>INDEX(Calculation!$A$1:$F$607,MATCH($A77,Calculation!$B:$B,0),MATCH(B$1,Calculation!$1:$1,0))</f>
        <v>13492</v>
      </c>
      <c r="C77" s="4">
        <f>INDEX(Calculation!$A$1:$F$607,MATCH($A77,Calculation!$B:$B,0),MATCH(C$1,Calculation!$1:$1,0))</f>
        <v>1113</v>
      </c>
      <c r="D77" s="4">
        <f>INDEX(Calculation!$A$1:$F$607,MATCH($A77,Calculation!$B:$B,0),MATCH(D$1,Calculation!$1:$1,0))</f>
        <v>159</v>
      </c>
      <c r="E77" s="4">
        <f>INDEX(Calculation!$A$1:$F$607,MATCH($A77,Calculation!$B:$B,0),MATCH(E$1,Calculation!$1:$1,0))</f>
        <v>0</v>
      </c>
    </row>
    <row r="78" spans="1:5" ht="16" x14ac:dyDescent="0.2">
      <c r="A78" s="2" t="s">
        <v>379</v>
      </c>
      <c r="B78" s="4">
        <f>INDEX(Calculation!$A$1:$F$607,MATCH($A78,Calculation!$B:$B,0),MATCH(B$1,Calculation!$1:$1,0))</f>
        <v>19395</v>
      </c>
      <c r="C78" s="4">
        <f>INDEX(Calculation!$A$1:$F$607,MATCH($A78,Calculation!$B:$B,0),MATCH(C$1,Calculation!$1:$1,0))</f>
        <v>1969</v>
      </c>
      <c r="D78" s="4">
        <f>INDEX(Calculation!$A$1:$F$607,MATCH($A78,Calculation!$B:$B,0),MATCH(D$1,Calculation!$1:$1,0))</f>
        <v>138</v>
      </c>
      <c r="E78" s="4">
        <f>INDEX(Calculation!$A$1:$F$607,MATCH($A78,Calculation!$B:$B,0),MATCH(E$1,Calculation!$1:$1,0))</f>
        <v>16</v>
      </c>
    </row>
    <row r="79" spans="1:5" ht="16" x14ac:dyDescent="0.2">
      <c r="A79" s="2" t="s">
        <v>382</v>
      </c>
      <c r="B79" s="4">
        <f>INDEX(Calculation!$A$1:$F$607,MATCH($A79,Calculation!$B:$B,0),MATCH(B$1,Calculation!$1:$1,0))</f>
        <v>15856</v>
      </c>
      <c r="C79" s="4">
        <f>INDEX(Calculation!$A$1:$F$607,MATCH($A79,Calculation!$B:$B,0),MATCH(C$1,Calculation!$1:$1,0))</f>
        <v>2973</v>
      </c>
      <c r="D79" s="4">
        <f>INDEX(Calculation!$A$1:$F$607,MATCH($A79,Calculation!$B:$B,0),MATCH(D$1,Calculation!$1:$1,0))</f>
        <v>118</v>
      </c>
      <c r="E79" s="4">
        <f>INDEX(Calculation!$A$1:$F$607,MATCH($A79,Calculation!$B:$B,0),MATCH(E$1,Calculation!$1:$1,0))</f>
        <v>21</v>
      </c>
    </row>
    <row r="80" spans="1:5" ht="16" x14ac:dyDescent="0.2">
      <c r="A80" s="2" t="s">
        <v>385</v>
      </c>
      <c r="B80" s="4">
        <f>INDEX(Calculation!$A$1:$F$607,MATCH($A80,Calculation!$B:$B,0),MATCH(B$1,Calculation!$1:$1,0))</f>
        <v>61460</v>
      </c>
      <c r="C80" s="4">
        <f>INDEX(Calculation!$A$1:$F$607,MATCH($A80,Calculation!$B:$B,0),MATCH(C$1,Calculation!$1:$1,0))</f>
        <v>8561</v>
      </c>
      <c r="D80" s="4">
        <f>INDEX(Calculation!$A$1:$F$607,MATCH($A80,Calculation!$B:$B,0),MATCH(D$1,Calculation!$1:$1,0))</f>
        <v>849</v>
      </c>
      <c r="E80" s="4">
        <f>INDEX(Calculation!$A$1:$F$607,MATCH($A80,Calculation!$B:$B,0),MATCH(E$1,Calculation!$1:$1,0))</f>
        <v>22</v>
      </c>
    </row>
    <row r="81" spans="1:5" ht="16" x14ac:dyDescent="0.2">
      <c r="A81" s="2" t="s">
        <v>387</v>
      </c>
      <c r="B81" s="4">
        <f>INDEX(Calculation!$A$1:$F$607,MATCH($A81,Calculation!$B:$B,0),MATCH(B$1,Calculation!$1:$1,0))</f>
        <v>5335</v>
      </c>
      <c r="C81" s="4">
        <f>INDEX(Calculation!$A$1:$F$607,MATCH($A81,Calculation!$B:$B,0),MATCH(C$1,Calculation!$1:$1,0))</f>
        <v>742</v>
      </c>
      <c r="D81" s="4">
        <f>INDEX(Calculation!$A$1:$F$607,MATCH($A81,Calculation!$B:$B,0),MATCH(D$1,Calculation!$1:$1,0))</f>
        <v>46</v>
      </c>
      <c r="E81" s="4">
        <f>INDEX(Calculation!$A$1:$F$607,MATCH($A81,Calculation!$B:$B,0),MATCH(E$1,Calculation!$1:$1,0))</f>
        <v>0</v>
      </c>
    </row>
    <row r="82" spans="1:5" ht="16" x14ac:dyDescent="0.2">
      <c r="A82" s="2" t="s">
        <v>390</v>
      </c>
      <c r="B82" s="4">
        <f>INDEX(Calculation!$A$1:$F$607,MATCH($A82,Calculation!$B:$B,0),MATCH(B$1,Calculation!$1:$1,0))</f>
        <v>24198</v>
      </c>
      <c r="C82" s="4">
        <f>INDEX(Calculation!$A$1:$F$607,MATCH($A82,Calculation!$B:$B,0),MATCH(C$1,Calculation!$1:$1,0))</f>
        <v>2504</v>
      </c>
      <c r="D82" s="4">
        <f>INDEX(Calculation!$A$1:$F$607,MATCH($A82,Calculation!$B:$B,0),MATCH(D$1,Calculation!$1:$1,0))</f>
        <v>77</v>
      </c>
      <c r="E82" s="4">
        <f>INDEX(Calculation!$A$1:$F$607,MATCH($A82,Calculation!$B:$B,0),MATCH(E$1,Calculation!$1:$1,0))</f>
        <v>1</v>
      </c>
    </row>
    <row r="83" spans="1:5" ht="16" x14ac:dyDescent="0.2">
      <c r="A83" s="2" t="s">
        <v>395</v>
      </c>
      <c r="B83" s="4">
        <f>INDEX(Calculation!$A$1:$F$607,MATCH($A83,Calculation!$B:$B,0),MATCH(B$1,Calculation!$1:$1,0))</f>
        <v>11707</v>
      </c>
      <c r="C83" s="4">
        <f>INDEX(Calculation!$A$1:$F$607,MATCH($A83,Calculation!$B:$B,0),MATCH(C$1,Calculation!$1:$1,0))</f>
        <v>1709</v>
      </c>
      <c r="D83" s="4">
        <f>INDEX(Calculation!$A$1:$F$607,MATCH($A83,Calculation!$B:$B,0),MATCH(D$1,Calculation!$1:$1,0))</f>
        <v>114</v>
      </c>
      <c r="E83" s="4">
        <f>INDEX(Calculation!$A$1:$F$607,MATCH($A83,Calculation!$B:$B,0),MATCH(E$1,Calculation!$1:$1,0))</f>
        <v>1</v>
      </c>
    </row>
    <row r="84" spans="1:5" ht="16" x14ac:dyDescent="0.2">
      <c r="A84" s="2" t="s">
        <v>398</v>
      </c>
      <c r="B84" s="4">
        <f>INDEX(Calculation!$A$1:$F$607,MATCH($A84,Calculation!$B:$B,0),MATCH(B$1,Calculation!$1:$1,0))</f>
        <v>15129</v>
      </c>
      <c r="C84" s="4">
        <f>INDEX(Calculation!$A$1:$F$607,MATCH($A84,Calculation!$B:$B,0),MATCH(C$1,Calculation!$1:$1,0))</f>
        <v>1386</v>
      </c>
      <c r="D84" s="4">
        <f>INDEX(Calculation!$A$1:$F$607,MATCH($A84,Calculation!$B:$B,0),MATCH(D$1,Calculation!$1:$1,0))</f>
        <v>130</v>
      </c>
      <c r="E84" s="4">
        <f>INDEX(Calculation!$A$1:$F$607,MATCH($A84,Calculation!$B:$B,0),MATCH(E$1,Calculation!$1:$1,0))</f>
        <v>2</v>
      </c>
    </row>
    <row r="85" spans="1:5" ht="16" x14ac:dyDescent="0.2">
      <c r="A85" s="2" t="s">
        <v>401</v>
      </c>
      <c r="B85" s="4">
        <f>INDEX(Calculation!$A$1:$F$607,MATCH($A85,Calculation!$B:$B,0),MATCH(B$1,Calculation!$1:$1,0))</f>
        <v>104234</v>
      </c>
      <c r="C85" s="4">
        <f>INDEX(Calculation!$A$1:$F$607,MATCH($A85,Calculation!$B:$B,0),MATCH(C$1,Calculation!$1:$1,0))</f>
        <v>8986</v>
      </c>
      <c r="D85" s="4">
        <f>INDEX(Calculation!$A$1:$F$607,MATCH($A85,Calculation!$B:$B,0),MATCH(D$1,Calculation!$1:$1,0))</f>
        <v>1533</v>
      </c>
      <c r="E85" s="4">
        <f>INDEX(Calculation!$A$1:$F$607,MATCH($A85,Calculation!$B:$B,0),MATCH(E$1,Calculation!$1:$1,0))</f>
        <v>22</v>
      </c>
    </row>
    <row r="86" spans="1:5" ht="16" x14ac:dyDescent="0.2">
      <c r="A86" s="2" t="s">
        <v>403</v>
      </c>
      <c r="B86" s="4">
        <f>INDEX(Calculation!$A$1:$F$607,MATCH($A86,Calculation!$B:$B,0),MATCH(B$1,Calculation!$1:$1,0))</f>
        <v>12668</v>
      </c>
      <c r="C86" s="4">
        <f>INDEX(Calculation!$A$1:$F$607,MATCH($A86,Calculation!$B:$B,0),MATCH(C$1,Calculation!$1:$1,0))</f>
        <v>1579</v>
      </c>
      <c r="D86" s="4">
        <f>INDEX(Calculation!$A$1:$F$607,MATCH($A86,Calculation!$B:$B,0),MATCH(D$1,Calculation!$1:$1,0))</f>
        <v>74</v>
      </c>
      <c r="E86" s="4">
        <f>INDEX(Calculation!$A$1:$F$607,MATCH($A86,Calculation!$B:$B,0),MATCH(E$1,Calculation!$1:$1,0))</f>
        <v>0</v>
      </c>
    </row>
    <row r="87" spans="1:5" ht="16" x14ac:dyDescent="0.2">
      <c r="A87" s="2" t="s">
        <v>406</v>
      </c>
      <c r="B87" s="4">
        <f>INDEX(Calculation!$A$1:$F$607,MATCH($A87,Calculation!$B:$B,0),MATCH(B$1,Calculation!$1:$1,0))</f>
        <v>58987</v>
      </c>
      <c r="C87" s="4">
        <f>INDEX(Calculation!$A$1:$F$607,MATCH($A87,Calculation!$B:$B,0),MATCH(C$1,Calculation!$1:$1,0))</f>
        <v>6749</v>
      </c>
      <c r="D87" s="4">
        <f>INDEX(Calculation!$A$1:$F$607,MATCH($A87,Calculation!$B:$B,0),MATCH(D$1,Calculation!$1:$1,0))</f>
        <v>397</v>
      </c>
      <c r="E87" s="4">
        <f>INDEX(Calculation!$A$1:$F$607,MATCH($A87,Calculation!$B:$B,0),MATCH(E$1,Calculation!$1:$1,0))</f>
        <v>5</v>
      </c>
    </row>
    <row r="88" spans="1:5" ht="16" x14ac:dyDescent="0.2">
      <c r="A88" s="2" t="s">
        <v>408</v>
      </c>
      <c r="B88" s="4">
        <f>INDEX(Calculation!$A$1:$F$607,MATCH($A88,Calculation!$B:$B,0),MATCH(B$1,Calculation!$1:$1,0))</f>
        <v>8436</v>
      </c>
      <c r="C88" s="4">
        <f>INDEX(Calculation!$A$1:$F$607,MATCH($A88,Calculation!$B:$B,0),MATCH(C$1,Calculation!$1:$1,0))</f>
        <v>908</v>
      </c>
      <c r="D88" s="4">
        <f>INDEX(Calculation!$A$1:$F$607,MATCH($A88,Calculation!$B:$B,0),MATCH(D$1,Calculation!$1:$1,0))</f>
        <v>25</v>
      </c>
      <c r="E88" s="4">
        <f>INDEX(Calculation!$A$1:$F$607,MATCH($A88,Calculation!$B:$B,0),MATCH(E$1,Calculation!$1:$1,0))</f>
        <v>0</v>
      </c>
    </row>
    <row r="89" spans="1:5" ht="16" x14ac:dyDescent="0.2">
      <c r="A89" s="2" t="s">
        <v>410</v>
      </c>
      <c r="B89" s="4">
        <f>INDEX(Calculation!$A$1:$F$607,MATCH($A89,Calculation!$B:$B,0),MATCH(B$1,Calculation!$1:$1,0))</f>
        <v>70551</v>
      </c>
      <c r="C89" s="4">
        <f>INDEX(Calculation!$A$1:$F$607,MATCH($A89,Calculation!$B:$B,0),MATCH(C$1,Calculation!$1:$1,0))</f>
        <v>5791</v>
      </c>
      <c r="D89" s="4">
        <f>INDEX(Calculation!$A$1:$F$607,MATCH($A89,Calculation!$B:$B,0),MATCH(D$1,Calculation!$1:$1,0))</f>
        <v>511</v>
      </c>
      <c r="E89" s="4">
        <f>INDEX(Calculation!$A$1:$F$607,MATCH($A89,Calculation!$B:$B,0),MATCH(E$1,Calculation!$1:$1,0))</f>
        <v>2</v>
      </c>
    </row>
    <row r="90" spans="1:5" ht="16" x14ac:dyDescent="0.2">
      <c r="A90" s="2" t="s">
        <v>412</v>
      </c>
      <c r="B90" s="4">
        <f>INDEX(Calculation!$A$1:$F$607,MATCH($A90,Calculation!$B:$B,0),MATCH(B$1,Calculation!$1:$1,0))</f>
        <v>19091</v>
      </c>
      <c r="C90" s="4">
        <f>INDEX(Calculation!$A$1:$F$607,MATCH($A90,Calculation!$B:$B,0),MATCH(C$1,Calculation!$1:$1,0))</f>
        <v>2358</v>
      </c>
      <c r="D90" s="4">
        <f>INDEX(Calculation!$A$1:$F$607,MATCH($A90,Calculation!$B:$B,0),MATCH(D$1,Calculation!$1:$1,0))</f>
        <v>136</v>
      </c>
      <c r="E90" s="4">
        <f>INDEX(Calculation!$A$1:$F$607,MATCH($A90,Calculation!$B:$B,0),MATCH(E$1,Calculation!$1:$1,0))</f>
        <v>0</v>
      </c>
    </row>
    <row r="91" spans="1:5" ht="16" x14ac:dyDescent="0.2">
      <c r="A91" s="2" t="s">
        <v>415</v>
      </c>
      <c r="B91" s="4">
        <f>INDEX(Calculation!$A$1:$F$607,MATCH($A91,Calculation!$B:$B,0),MATCH(B$1,Calculation!$1:$1,0))</f>
        <v>14211</v>
      </c>
      <c r="C91" s="4">
        <f>INDEX(Calculation!$A$1:$F$607,MATCH($A91,Calculation!$B:$B,0),MATCH(C$1,Calculation!$1:$1,0))</f>
        <v>1596</v>
      </c>
      <c r="D91" s="4">
        <f>INDEX(Calculation!$A$1:$F$607,MATCH($A91,Calculation!$B:$B,0),MATCH(D$1,Calculation!$1:$1,0))</f>
        <v>207</v>
      </c>
      <c r="E91" s="4">
        <f>INDEX(Calculation!$A$1:$F$607,MATCH($A91,Calculation!$B:$B,0),MATCH(E$1,Calculation!$1:$1,0))</f>
        <v>5</v>
      </c>
    </row>
    <row r="92" spans="1:5" ht="16" x14ac:dyDescent="0.2">
      <c r="A92" s="2" t="s">
        <v>417</v>
      </c>
      <c r="B92" s="4">
        <f>INDEX(Calculation!$A$1:$F$607,MATCH($A92,Calculation!$B:$B,0),MATCH(B$1,Calculation!$1:$1,0))</f>
        <v>22913</v>
      </c>
      <c r="C92" s="4">
        <f>INDEX(Calculation!$A$1:$F$607,MATCH($A92,Calculation!$B:$B,0),MATCH(C$1,Calculation!$1:$1,0))</f>
        <v>2084</v>
      </c>
      <c r="D92" s="4">
        <f>INDEX(Calculation!$A$1:$F$607,MATCH($A92,Calculation!$B:$B,0),MATCH(D$1,Calculation!$1:$1,0))</f>
        <v>217</v>
      </c>
      <c r="E92" s="4">
        <f>INDEX(Calculation!$A$1:$F$607,MATCH($A92,Calculation!$B:$B,0),MATCH(E$1,Calculation!$1:$1,0))</f>
        <v>4</v>
      </c>
    </row>
    <row r="93" spans="1:5" ht="16" x14ac:dyDescent="0.2">
      <c r="A93" s="2" t="s">
        <v>419</v>
      </c>
      <c r="B93" s="4">
        <f>INDEX(Calculation!$A$1:$F$607,MATCH($A93,Calculation!$B:$B,0),MATCH(B$1,Calculation!$1:$1,0))</f>
        <v>29481</v>
      </c>
      <c r="C93" s="4">
        <f>INDEX(Calculation!$A$1:$F$607,MATCH($A93,Calculation!$B:$B,0),MATCH(C$1,Calculation!$1:$1,0))</f>
        <v>4399</v>
      </c>
      <c r="D93" s="4">
        <f>INDEX(Calculation!$A$1:$F$607,MATCH($A93,Calculation!$B:$B,0),MATCH(D$1,Calculation!$1:$1,0))</f>
        <v>224</v>
      </c>
      <c r="E93" s="4">
        <f>INDEX(Calculation!$A$1:$F$607,MATCH($A93,Calculation!$B:$B,0),MATCH(E$1,Calculation!$1:$1,0))</f>
        <v>23</v>
      </c>
    </row>
    <row r="94" spans="1:5" ht="16" x14ac:dyDescent="0.2">
      <c r="A94" s="2" t="s">
        <v>422</v>
      </c>
      <c r="B94" s="4">
        <f>INDEX(Calculation!$A$1:$F$607,MATCH($A94,Calculation!$B:$B,0),MATCH(B$1,Calculation!$1:$1,0))</f>
        <v>11974</v>
      </c>
      <c r="C94" s="4">
        <f>INDEX(Calculation!$A$1:$F$607,MATCH($A94,Calculation!$B:$B,0),MATCH(C$1,Calculation!$1:$1,0))</f>
        <v>1245</v>
      </c>
      <c r="D94" s="4">
        <f>INDEX(Calculation!$A$1:$F$607,MATCH($A94,Calculation!$B:$B,0),MATCH(D$1,Calculation!$1:$1,0))</f>
        <v>59</v>
      </c>
      <c r="E94" s="4">
        <f>INDEX(Calculation!$A$1:$F$607,MATCH($A94,Calculation!$B:$B,0),MATCH(E$1,Calculation!$1:$1,0))</f>
        <v>4</v>
      </c>
    </row>
    <row r="95" spans="1:5" ht="16" x14ac:dyDescent="0.2">
      <c r="A95" s="2" t="s">
        <v>425</v>
      </c>
      <c r="B95" s="4">
        <f>INDEX(Calculation!$A$1:$F$607,MATCH($A95,Calculation!$B:$B,0),MATCH(B$1,Calculation!$1:$1,0))</f>
        <v>22240</v>
      </c>
      <c r="C95" s="4">
        <f>INDEX(Calculation!$A$1:$F$607,MATCH($A95,Calculation!$B:$B,0),MATCH(C$1,Calculation!$1:$1,0))</f>
        <v>2380</v>
      </c>
      <c r="D95" s="4">
        <f>INDEX(Calculation!$A$1:$F$607,MATCH($A95,Calculation!$B:$B,0),MATCH(D$1,Calculation!$1:$1,0))</f>
        <v>115</v>
      </c>
      <c r="E95" s="4">
        <f>INDEX(Calculation!$A$1:$F$607,MATCH($A95,Calculation!$B:$B,0),MATCH(E$1,Calculation!$1:$1,0))</f>
        <v>7</v>
      </c>
    </row>
    <row r="96" spans="1:5" ht="16" x14ac:dyDescent="0.2">
      <c r="A96" s="2" t="s">
        <v>428</v>
      </c>
      <c r="B96" s="4">
        <f>INDEX(Calculation!$A$1:$F$607,MATCH($A96,Calculation!$B:$B,0),MATCH(B$1,Calculation!$1:$1,0))</f>
        <v>17310</v>
      </c>
      <c r="C96" s="4">
        <f>INDEX(Calculation!$A$1:$F$607,MATCH($A96,Calculation!$B:$B,0),MATCH(C$1,Calculation!$1:$1,0))</f>
        <v>2712</v>
      </c>
      <c r="D96" s="4">
        <f>INDEX(Calculation!$A$1:$F$607,MATCH($A96,Calculation!$B:$B,0),MATCH(D$1,Calculation!$1:$1,0))</f>
        <v>208</v>
      </c>
      <c r="E96" s="4">
        <f>INDEX(Calculation!$A$1:$F$607,MATCH($A96,Calculation!$B:$B,0),MATCH(E$1,Calculation!$1:$1,0))</f>
        <v>4</v>
      </c>
    </row>
    <row r="97" spans="1:5" ht="16" x14ac:dyDescent="0.2">
      <c r="A97" s="2" t="s">
        <v>431</v>
      </c>
      <c r="B97" s="4">
        <f>INDEX(Calculation!$A$1:$F$607,MATCH($A97,Calculation!$B:$B,0),MATCH(B$1,Calculation!$1:$1,0))</f>
        <v>9799</v>
      </c>
      <c r="C97" s="4">
        <f>INDEX(Calculation!$A$1:$F$607,MATCH($A97,Calculation!$B:$B,0),MATCH(C$1,Calculation!$1:$1,0))</f>
        <v>972</v>
      </c>
      <c r="D97" s="4">
        <f>INDEX(Calculation!$A$1:$F$607,MATCH($A97,Calculation!$B:$B,0),MATCH(D$1,Calculation!$1:$1,0))</f>
        <v>117</v>
      </c>
      <c r="E97" s="4">
        <f>INDEX(Calculation!$A$1:$F$607,MATCH($A97,Calculation!$B:$B,0),MATCH(E$1,Calculation!$1:$1,0))</f>
        <v>0</v>
      </c>
    </row>
    <row r="98" spans="1:5" ht="16" x14ac:dyDescent="0.2">
      <c r="A98" s="2" t="s">
        <v>434</v>
      </c>
      <c r="B98" s="4">
        <f>INDEX(Calculation!$A$1:$F$607,MATCH($A98,Calculation!$B:$B,0),MATCH(B$1,Calculation!$1:$1,0))</f>
        <v>14443</v>
      </c>
      <c r="C98" s="4">
        <f>INDEX(Calculation!$A$1:$F$607,MATCH($A98,Calculation!$B:$B,0),MATCH(C$1,Calculation!$1:$1,0))</f>
        <v>1518</v>
      </c>
      <c r="D98" s="4">
        <f>INDEX(Calculation!$A$1:$F$607,MATCH($A98,Calculation!$B:$B,0),MATCH(D$1,Calculation!$1:$1,0))</f>
        <v>98</v>
      </c>
      <c r="E98" s="4">
        <f>INDEX(Calculation!$A$1:$F$607,MATCH($A98,Calculation!$B:$B,0),MATCH(E$1,Calculation!$1:$1,0))</f>
        <v>1</v>
      </c>
    </row>
    <row r="99" spans="1:5" ht="16" x14ac:dyDescent="0.2">
      <c r="A99" s="2" t="s">
        <v>437</v>
      </c>
      <c r="B99" s="4">
        <f>INDEX(Calculation!$A$1:$F$607,MATCH($A99,Calculation!$B:$B,0),MATCH(B$1,Calculation!$1:$1,0))</f>
        <v>28379</v>
      </c>
      <c r="C99" s="4">
        <f>INDEX(Calculation!$A$1:$F$607,MATCH($A99,Calculation!$B:$B,0),MATCH(C$1,Calculation!$1:$1,0))</f>
        <v>3716</v>
      </c>
      <c r="D99" s="4">
        <f>INDEX(Calculation!$A$1:$F$607,MATCH($A99,Calculation!$B:$B,0),MATCH(D$1,Calculation!$1:$1,0))</f>
        <v>197</v>
      </c>
      <c r="E99" s="4">
        <f>INDEX(Calculation!$A$1:$F$607,MATCH($A99,Calculation!$B:$B,0),MATCH(E$1,Calculation!$1:$1,0))</f>
        <v>79</v>
      </c>
    </row>
    <row r="100" spans="1:5" ht="16" x14ac:dyDescent="0.2">
      <c r="A100" s="2" t="s">
        <v>440</v>
      </c>
      <c r="B100" s="4">
        <f>INDEX(Calculation!$A$1:$F$607,MATCH($A100,Calculation!$B:$B,0),MATCH(B$1,Calculation!$1:$1,0))</f>
        <v>21617</v>
      </c>
      <c r="C100" s="4">
        <f>INDEX(Calculation!$A$1:$F$607,MATCH($A100,Calculation!$B:$B,0),MATCH(C$1,Calculation!$1:$1,0))</f>
        <v>2483</v>
      </c>
      <c r="D100" s="4">
        <f>INDEX(Calculation!$A$1:$F$607,MATCH($A100,Calculation!$B:$B,0),MATCH(D$1,Calculation!$1:$1,0))</f>
        <v>130</v>
      </c>
      <c r="E100" s="4">
        <f>INDEX(Calculation!$A$1:$F$607,MATCH($A100,Calculation!$B:$B,0),MATCH(E$1,Calculation!$1:$1,0))</f>
        <v>1</v>
      </c>
    </row>
    <row r="101" spans="1:5" ht="16" x14ac:dyDescent="0.2">
      <c r="A101" s="2" t="s">
        <v>442</v>
      </c>
      <c r="B101" s="4">
        <f>INDEX(Calculation!$A$1:$F$607,MATCH($A101,Calculation!$B:$B,0),MATCH(B$1,Calculation!$1:$1,0))</f>
        <v>12645</v>
      </c>
      <c r="C101" s="4">
        <f>INDEX(Calculation!$A$1:$F$607,MATCH($A101,Calculation!$B:$B,0),MATCH(C$1,Calculation!$1:$1,0))</f>
        <v>1146</v>
      </c>
      <c r="D101" s="4">
        <f>INDEX(Calculation!$A$1:$F$607,MATCH($A101,Calculation!$B:$B,0),MATCH(D$1,Calculation!$1:$1,0))</f>
        <v>85</v>
      </c>
      <c r="E101" s="4">
        <f>INDEX(Calculation!$A$1:$F$607,MATCH($A101,Calculation!$B:$B,0),MATCH(E$1,Calculation!$1:$1,0))</f>
        <v>2</v>
      </c>
    </row>
    <row r="102" spans="1:5" ht="16" x14ac:dyDescent="0.2">
      <c r="A102" s="2" t="s">
        <v>445</v>
      </c>
      <c r="B102" s="4">
        <f>INDEX(Calculation!$A$1:$F$607,MATCH($A102,Calculation!$B:$B,0),MATCH(B$1,Calculation!$1:$1,0))</f>
        <v>29412</v>
      </c>
      <c r="C102" s="4">
        <f>INDEX(Calculation!$A$1:$F$607,MATCH($A102,Calculation!$B:$B,0),MATCH(C$1,Calculation!$1:$1,0))</f>
        <v>1838</v>
      </c>
      <c r="D102" s="4">
        <f>INDEX(Calculation!$A$1:$F$607,MATCH($A102,Calculation!$B:$B,0),MATCH(D$1,Calculation!$1:$1,0))</f>
        <v>47</v>
      </c>
      <c r="E102" s="4">
        <f>INDEX(Calculation!$A$1:$F$607,MATCH($A102,Calculation!$B:$B,0),MATCH(E$1,Calculation!$1:$1,0))</f>
        <v>0</v>
      </c>
    </row>
    <row r="103" spans="1:5" ht="16" x14ac:dyDescent="0.2">
      <c r="A103" s="2" t="s">
        <v>448</v>
      </c>
      <c r="B103" s="4">
        <f>INDEX(Calculation!$A$1:$F$607,MATCH($A103,Calculation!$B:$B,0),MATCH(B$1,Calculation!$1:$1,0))</f>
        <v>17719</v>
      </c>
      <c r="C103" s="4">
        <f>INDEX(Calculation!$A$1:$F$607,MATCH($A103,Calculation!$B:$B,0),MATCH(C$1,Calculation!$1:$1,0))</f>
        <v>1901</v>
      </c>
      <c r="D103" s="4">
        <f>INDEX(Calculation!$A$1:$F$607,MATCH($A103,Calculation!$B:$B,0),MATCH(D$1,Calculation!$1:$1,0))</f>
        <v>97</v>
      </c>
      <c r="E103" s="4">
        <f>INDEX(Calculation!$A$1:$F$607,MATCH($A103,Calculation!$B:$B,0),MATCH(E$1,Calculation!$1:$1,0))</f>
        <v>5</v>
      </c>
    </row>
    <row r="104" spans="1:5" ht="16" x14ac:dyDescent="0.2">
      <c r="A104" s="2" t="s">
        <v>450</v>
      </c>
      <c r="B104" s="4">
        <f>INDEX(Calculation!$A$1:$F$607,MATCH($A104,Calculation!$B:$B,0),MATCH(B$1,Calculation!$1:$1,0))</f>
        <v>29676</v>
      </c>
      <c r="C104" s="4">
        <f>INDEX(Calculation!$A$1:$F$607,MATCH($A104,Calculation!$B:$B,0),MATCH(C$1,Calculation!$1:$1,0))</f>
        <v>2498</v>
      </c>
      <c r="D104" s="4">
        <f>INDEX(Calculation!$A$1:$F$607,MATCH($A104,Calculation!$B:$B,0),MATCH(D$1,Calculation!$1:$1,0))</f>
        <v>94</v>
      </c>
      <c r="E104" s="4">
        <f>INDEX(Calculation!$A$1:$F$607,MATCH($A104,Calculation!$B:$B,0),MATCH(E$1,Calculation!$1:$1,0))</f>
        <v>3</v>
      </c>
    </row>
    <row r="105" spans="1:5" ht="16" x14ac:dyDescent="0.2">
      <c r="A105" s="2" t="s">
        <v>452</v>
      </c>
      <c r="B105" s="4">
        <f>INDEX(Calculation!$A$1:$F$607,MATCH($A105,Calculation!$B:$B,0),MATCH(B$1,Calculation!$1:$1,0))</f>
        <v>203451</v>
      </c>
      <c r="C105" s="4">
        <f>INDEX(Calculation!$A$1:$F$607,MATCH($A105,Calculation!$B:$B,0),MATCH(C$1,Calculation!$1:$1,0))</f>
        <v>20724</v>
      </c>
      <c r="D105" s="4">
        <f>INDEX(Calculation!$A$1:$F$607,MATCH($A105,Calculation!$B:$B,0),MATCH(D$1,Calculation!$1:$1,0))</f>
        <v>486</v>
      </c>
      <c r="E105" s="4">
        <f>INDEX(Calculation!$A$1:$F$607,MATCH($A105,Calculation!$B:$B,0),MATCH(E$1,Calculation!$1:$1,0))</f>
        <v>156</v>
      </c>
    </row>
    <row r="106" spans="1:5" ht="16" x14ac:dyDescent="0.2">
      <c r="A106" s="2" t="s">
        <v>455</v>
      </c>
      <c r="B106" s="4">
        <f>INDEX(Calculation!$A$1:$F$607,MATCH($A106,Calculation!$B:$B,0),MATCH(B$1,Calculation!$1:$1,0))</f>
        <v>97287</v>
      </c>
      <c r="C106" s="4">
        <f>INDEX(Calculation!$A$1:$F$607,MATCH($A106,Calculation!$B:$B,0),MATCH(C$1,Calculation!$1:$1,0))</f>
        <v>11095</v>
      </c>
      <c r="D106" s="4">
        <f>INDEX(Calculation!$A$1:$F$607,MATCH($A106,Calculation!$B:$B,0),MATCH(D$1,Calculation!$1:$1,0))</f>
        <v>412</v>
      </c>
      <c r="E106" s="4">
        <f>INDEX(Calculation!$A$1:$F$607,MATCH($A106,Calculation!$B:$B,0),MATCH(E$1,Calculation!$1:$1,0))</f>
        <v>308</v>
      </c>
    </row>
    <row r="107" spans="1:5" ht="16" x14ac:dyDescent="0.2">
      <c r="A107" s="2" t="s">
        <v>457</v>
      </c>
      <c r="B107" s="4">
        <f>INDEX(Calculation!$A$1:$F$607,MATCH($A107,Calculation!$B:$B,0),MATCH(B$1,Calculation!$1:$1,0))</f>
        <v>8458</v>
      </c>
      <c r="C107" s="4">
        <f>INDEX(Calculation!$A$1:$F$607,MATCH($A107,Calculation!$B:$B,0),MATCH(C$1,Calculation!$1:$1,0))</f>
        <v>750</v>
      </c>
      <c r="D107" s="4">
        <f>INDEX(Calculation!$A$1:$F$607,MATCH($A107,Calculation!$B:$B,0),MATCH(D$1,Calculation!$1:$1,0))</f>
        <v>45</v>
      </c>
      <c r="E107" s="4">
        <f>INDEX(Calculation!$A$1:$F$607,MATCH($A107,Calculation!$B:$B,0),MATCH(E$1,Calculation!$1:$1,0))</f>
        <v>2</v>
      </c>
    </row>
    <row r="108" spans="1:5" ht="16" x14ac:dyDescent="0.2">
      <c r="A108" s="2" t="s">
        <v>460</v>
      </c>
      <c r="B108" s="4">
        <f>INDEX(Calculation!$A$1:$F$607,MATCH($A108,Calculation!$B:$B,0),MATCH(B$1,Calculation!$1:$1,0))</f>
        <v>13663</v>
      </c>
      <c r="C108" s="4">
        <f>INDEX(Calculation!$A$1:$F$607,MATCH($A108,Calculation!$B:$B,0),MATCH(C$1,Calculation!$1:$1,0))</f>
        <v>1631</v>
      </c>
      <c r="D108" s="4">
        <f>INDEX(Calculation!$A$1:$F$607,MATCH($A108,Calculation!$B:$B,0),MATCH(D$1,Calculation!$1:$1,0))</f>
        <v>86</v>
      </c>
      <c r="E108" s="4">
        <f>INDEX(Calculation!$A$1:$F$607,MATCH($A108,Calculation!$B:$B,0),MATCH(E$1,Calculation!$1:$1,0))</f>
        <v>0</v>
      </c>
    </row>
    <row r="109" spans="1:5" ht="16" x14ac:dyDescent="0.2">
      <c r="A109" s="2" t="s">
        <v>463</v>
      </c>
      <c r="B109" s="4">
        <f>INDEX(Calculation!$A$1:$F$607,MATCH($A109,Calculation!$B:$B,0),MATCH(B$1,Calculation!$1:$1,0))</f>
        <v>64102</v>
      </c>
      <c r="C109" s="4">
        <f>INDEX(Calculation!$A$1:$F$607,MATCH($A109,Calculation!$B:$B,0),MATCH(C$1,Calculation!$1:$1,0))</f>
        <v>5030</v>
      </c>
      <c r="D109" s="4">
        <f>INDEX(Calculation!$A$1:$F$607,MATCH($A109,Calculation!$B:$B,0),MATCH(D$1,Calculation!$1:$1,0))</f>
        <v>247</v>
      </c>
      <c r="E109" s="4">
        <f>INDEX(Calculation!$A$1:$F$607,MATCH($A109,Calculation!$B:$B,0),MATCH(E$1,Calculation!$1:$1,0))</f>
        <v>95</v>
      </c>
    </row>
    <row r="110" spans="1:5" ht="16" x14ac:dyDescent="0.2">
      <c r="A110" s="2" t="s">
        <v>465</v>
      </c>
      <c r="B110" s="4">
        <f>INDEX(Calculation!$A$1:$F$607,MATCH($A110,Calculation!$B:$B,0),MATCH(B$1,Calculation!$1:$1,0))</f>
        <v>126589</v>
      </c>
      <c r="C110" s="4">
        <f>INDEX(Calculation!$A$1:$F$607,MATCH($A110,Calculation!$B:$B,0),MATCH(C$1,Calculation!$1:$1,0))</f>
        <v>20457</v>
      </c>
      <c r="D110" s="4">
        <f>INDEX(Calculation!$A$1:$F$607,MATCH($A110,Calculation!$B:$B,0),MATCH(D$1,Calculation!$1:$1,0))</f>
        <v>1098</v>
      </c>
      <c r="E110" s="4">
        <f>INDEX(Calculation!$A$1:$F$607,MATCH($A110,Calculation!$B:$B,0),MATCH(E$1,Calculation!$1:$1,0))</f>
        <v>44</v>
      </c>
    </row>
    <row r="111" spans="1:5" ht="16" x14ac:dyDescent="0.2">
      <c r="A111" s="2" t="s">
        <v>468</v>
      </c>
      <c r="B111" s="4">
        <f>INDEX(Calculation!$A$1:$F$607,MATCH($A111,Calculation!$B:$B,0),MATCH(B$1,Calculation!$1:$1,0))</f>
        <v>17657</v>
      </c>
      <c r="C111" s="4">
        <f>INDEX(Calculation!$A$1:$F$607,MATCH($A111,Calculation!$B:$B,0),MATCH(C$1,Calculation!$1:$1,0))</f>
        <v>1955</v>
      </c>
      <c r="D111" s="4">
        <f>INDEX(Calculation!$A$1:$F$607,MATCH($A111,Calculation!$B:$B,0),MATCH(D$1,Calculation!$1:$1,0))</f>
        <v>135</v>
      </c>
      <c r="E111" s="4">
        <f>INDEX(Calculation!$A$1:$F$607,MATCH($A111,Calculation!$B:$B,0),MATCH(E$1,Calculation!$1:$1,0))</f>
        <v>8</v>
      </c>
    </row>
    <row r="112" spans="1:5" ht="16" x14ac:dyDescent="0.2">
      <c r="A112" s="2" t="s">
        <v>471</v>
      </c>
      <c r="B112" s="4">
        <f>INDEX(Calculation!$A$1:$F$607,MATCH($A112,Calculation!$B:$B,0),MATCH(B$1,Calculation!$1:$1,0))</f>
        <v>34363</v>
      </c>
      <c r="C112" s="4">
        <f>INDEX(Calculation!$A$1:$F$607,MATCH($A112,Calculation!$B:$B,0),MATCH(C$1,Calculation!$1:$1,0))</f>
        <v>4799</v>
      </c>
      <c r="D112" s="4">
        <f>INDEX(Calculation!$A$1:$F$607,MATCH($A112,Calculation!$B:$B,0),MATCH(D$1,Calculation!$1:$1,0))</f>
        <v>339</v>
      </c>
      <c r="E112" s="4">
        <f>INDEX(Calculation!$A$1:$F$607,MATCH($A112,Calculation!$B:$B,0),MATCH(E$1,Calculation!$1:$1,0))</f>
        <v>1</v>
      </c>
    </row>
    <row r="113" spans="1:5" ht="16" x14ac:dyDescent="0.2">
      <c r="A113" s="2" t="s">
        <v>473</v>
      </c>
      <c r="B113" s="4">
        <f>INDEX(Calculation!$A$1:$F$607,MATCH($A113,Calculation!$B:$B,0),MATCH(B$1,Calculation!$1:$1,0))</f>
        <v>23473</v>
      </c>
      <c r="C113" s="4">
        <f>INDEX(Calculation!$A$1:$F$607,MATCH($A113,Calculation!$B:$B,0),MATCH(C$1,Calculation!$1:$1,0))</f>
        <v>2459</v>
      </c>
      <c r="D113" s="4">
        <f>INDEX(Calculation!$A$1:$F$607,MATCH($A113,Calculation!$B:$B,0),MATCH(D$1,Calculation!$1:$1,0))</f>
        <v>124</v>
      </c>
      <c r="E113" s="4">
        <f>INDEX(Calculation!$A$1:$F$607,MATCH($A113,Calculation!$B:$B,0),MATCH(E$1,Calculation!$1:$1,0))</f>
        <v>1</v>
      </c>
    </row>
    <row r="114" spans="1:5" ht="16" x14ac:dyDescent="0.2">
      <c r="A114" s="2" t="s">
        <v>475</v>
      </c>
      <c r="B114" s="4">
        <f>INDEX(Calculation!$A$1:$F$607,MATCH($A114,Calculation!$B:$B,0),MATCH(B$1,Calculation!$1:$1,0))</f>
        <v>8979</v>
      </c>
      <c r="C114" s="4">
        <f>INDEX(Calculation!$A$1:$F$607,MATCH($A114,Calculation!$B:$B,0),MATCH(C$1,Calculation!$1:$1,0))</f>
        <v>1420</v>
      </c>
      <c r="D114" s="4">
        <f>INDEX(Calculation!$A$1:$F$607,MATCH($A114,Calculation!$B:$B,0),MATCH(D$1,Calculation!$1:$1,0))</f>
        <v>115</v>
      </c>
      <c r="E114" s="4">
        <f>INDEX(Calculation!$A$1:$F$607,MATCH($A114,Calculation!$B:$B,0),MATCH(E$1,Calculation!$1:$1,0))</f>
        <v>16</v>
      </c>
    </row>
    <row r="115" spans="1:5" ht="16" x14ac:dyDescent="0.2">
      <c r="A115" s="2" t="s">
        <v>477</v>
      </c>
      <c r="B115" s="4">
        <f>INDEX(Calculation!$A$1:$F$607,MATCH($A115,Calculation!$B:$B,0),MATCH(B$1,Calculation!$1:$1,0))</f>
        <v>7605</v>
      </c>
      <c r="C115" s="4">
        <f>INDEX(Calculation!$A$1:$F$607,MATCH($A115,Calculation!$B:$B,0),MATCH(C$1,Calculation!$1:$1,0))</f>
        <v>962</v>
      </c>
      <c r="D115" s="4">
        <f>INDEX(Calculation!$A$1:$F$607,MATCH($A115,Calculation!$B:$B,0),MATCH(D$1,Calculation!$1:$1,0))</f>
        <v>67</v>
      </c>
      <c r="E115" s="4">
        <f>INDEX(Calculation!$A$1:$F$607,MATCH($A115,Calculation!$B:$B,0),MATCH(E$1,Calculation!$1:$1,0))</f>
        <v>3</v>
      </c>
    </row>
    <row r="116" spans="1:5" ht="16" x14ac:dyDescent="0.2">
      <c r="A116" s="2" t="s">
        <v>479</v>
      </c>
      <c r="B116" s="4">
        <f>INDEX(Calculation!$A$1:$F$607,MATCH($A116,Calculation!$B:$B,0),MATCH(B$1,Calculation!$1:$1,0))</f>
        <v>6399</v>
      </c>
      <c r="C116" s="4">
        <f>INDEX(Calculation!$A$1:$F$607,MATCH($A116,Calculation!$B:$B,0),MATCH(C$1,Calculation!$1:$1,0))</f>
        <v>564</v>
      </c>
      <c r="D116" s="4">
        <f>INDEX(Calculation!$A$1:$F$607,MATCH($A116,Calculation!$B:$B,0),MATCH(D$1,Calculation!$1:$1,0))</f>
        <v>30</v>
      </c>
      <c r="E116" s="4">
        <f>INDEX(Calculation!$A$1:$F$607,MATCH($A116,Calculation!$B:$B,0),MATCH(E$1,Calculation!$1:$1,0))</f>
        <v>0</v>
      </c>
    </row>
    <row r="117" spans="1:5" ht="16" x14ac:dyDescent="0.2">
      <c r="A117" s="2" t="s">
        <v>482</v>
      </c>
      <c r="B117" s="4">
        <f>INDEX(Calculation!$A$1:$F$607,MATCH($A117,Calculation!$B:$B,0),MATCH(B$1,Calculation!$1:$1,0))</f>
        <v>19366</v>
      </c>
      <c r="C117" s="4">
        <f>INDEX(Calculation!$A$1:$F$607,MATCH($A117,Calculation!$B:$B,0),MATCH(C$1,Calculation!$1:$1,0))</f>
        <v>1559</v>
      </c>
      <c r="D117" s="4">
        <f>INDEX(Calculation!$A$1:$F$607,MATCH($A117,Calculation!$B:$B,0),MATCH(D$1,Calculation!$1:$1,0))</f>
        <v>49</v>
      </c>
      <c r="E117" s="4">
        <f>INDEX(Calculation!$A$1:$F$607,MATCH($A117,Calculation!$B:$B,0),MATCH(E$1,Calculation!$1:$1,0))</f>
        <v>1</v>
      </c>
    </row>
    <row r="118" spans="1:5" ht="16" x14ac:dyDescent="0.2">
      <c r="A118" s="2" t="s">
        <v>484</v>
      </c>
      <c r="B118" s="4">
        <f>INDEX(Calculation!$A$1:$F$607,MATCH($A118,Calculation!$B:$B,0),MATCH(B$1,Calculation!$1:$1,0))</f>
        <v>13628</v>
      </c>
      <c r="C118" s="4">
        <f>INDEX(Calculation!$A$1:$F$607,MATCH($A118,Calculation!$B:$B,0),MATCH(C$1,Calculation!$1:$1,0))</f>
        <v>523</v>
      </c>
      <c r="D118" s="4">
        <f>INDEX(Calculation!$A$1:$F$607,MATCH($A118,Calculation!$B:$B,0),MATCH(D$1,Calculation!$1:$1,0))</f>
        <v>52</v>
      </c>
      <c r="E118" s="4">
        <f>INDEX(Calculation!$A$1:$F$607,MATCH($A118,Calculation!$B:$B,0),MATCH(E$1,Calculation!$1:$1,0))</f>
        <v>0</v>
      </c>
    </row>
    <row r="119" spans="1:5" ht="16" x14ac:dyDescent="0.2">
      <c r="A119" s="2" t="s">
        <v>486</v>
      </c>
      <c r="B119" s="4">
        <f>INDEX(Calculation!$A$1:$F$607,MATCH($A119,Calculation!$B:$B,0),MATCH(B$1,Calculation!$1:$1,0))</f>
        <v>10621</v>
      </c>
      <c r="C119" s="4">
        <f>INDEX(Calculation!$A$1:$F$607,MATCH($A119,Calculation!$B:$B,0),MATCH(C$1,Calculation!$1:$1,0))</f>
        <v>1204</v>
      </c>
      <c r="D119" s="4">
        <f>INDEX(Calculation!$A$1:$F$607,MATCH($A119,Calculation!$B:$B,0),MATCH(D$1,Calculation!$1:$1,0))</f>
        <v>75</v>
      </c>
      <c r="E119" s="4">
        <f>INDEX(Calculation!$A$1:$F$607,MATCH($A119,Calculation!$B:$B,0),MATCH(E$1,Calculation!$1:$1,0))</f>
        <v>4</v>
      </c>
    </row>
    <row r="120" spans="1:5" ht="16" x14ac:dyDescent="0.2">
      <c r="A120" s="2" t="s">
        <v>489</v>
      </c>
      <c r="B120" s="4">
        <f>INDEX(Calculation!$A$1:$F$607,MATCH($A120,Calculation!$B:$B,0),MATCH(B$1,Calculation!$1:$1,0))</f>
        <v>27468</v>
      </c>
      <c r="C120" s="4">
        <f>INDEX(Calculation!$A$1:$F$607,MATCH($A120,Calculation!$B:$B,0),MATCH(C$1,Calculation!$1:$1,0))</f>
        <v>3258</v>
      </c>
      <c r="D120" s="4">
        <f>INDEX(Calculation!$A$1:$F$607,MATCH($A120,Calculation!$B:$B,0),MATCH(D$1,Calculation!$1:$1,0))</f>
        <v>321</v>
      </c>
      <c r="E120" s="4">
        <f>INDEX(Calculation!$A$1:$F$607,MATCH($A120,Calculation!$B:$B,0),MATCH(E$1,Calculation!$1:$1,0))</f>
        <v>1180</v>
      </c>
    </row>
    <row r="121" spans="1:5" ht="16" x14ac:dyDescent="0.2">
      <c r="A121" s="2" t="s">
        <v>491</v>
      </c>
      <c r="B121" s="4">
        <f>INDEX(Calculation!$A$1:$F$607,MATCH($A121,Calculation!$B:$B,0),MATCH(B$1,Calculation!$1:$1,0))</f>
        <v>45757</v>
      </c>
      <c r="C121" s="4">
        <f>INDEX(Calculation!$A$1:$F$607,MATCH($A121,Calculation!$B:$B,0),MATCH(C$1,Calculation!$1:$1,0))</f>
        <v>3225</v>
      </c>
      <c r="D121" s="4">
        <f>INDEX(Calculation!$A$1:$F$607,MATCH($A121,Calculation!$B:$B,0),MATCH(D$1,Calculation!$1:$1,0))</f>
        <v>248</v>
      </c>
      <c r="E121" s="4">
        <f>INDEX(Calculation!$A$1:$F$607,MATCH($A121,Calculation!$B:$B,0),MATCH(E$1,Calculation!$1:$1,0))</f>
        <v>8</v>
      </c>
    </row>
    <row r="122" spans="1:5" ht="16" x14ac:dyDescent="0.2">
      <c r="A122" s="2" t="s">
        <v>493</v>
      </c>
      <c r="B122" s="4">
        <f>INDEX(Calculation!$A$1:$F$607,MATCH($A122,Calculation!$B:$B,0),MATCH(B$1,Calculation!$1:$1,0))</f>
        <v>9702</v>
      </c>
      <c r="C122" s="4">
        <f>INDEX(Calculation!$A$1:$F$607,MATCH($A122,Calculation!$B:$B,0),MATCH(C$1,Calculation!$1:$1,0))</f>
        <v>1169</v>
      </c>
      <c r="D122" s="4">
        <f>INDEX(Calculation!$A$1:$F$607,MATCH($A122,Calculation!$B:$B,0),MATCH(D$1,Calculation!$1:$1,0))</f>
        <v>58</v>
      </c>
      <c r="E122" s="4">
        <f>INDEX(Calculation!$A$1:$F$607,MATCH($A122,Calculation!$B:$B,0),MATCH(E$1,Calculation!$1:$1,0))</f>
        <v>3</v>
      </c>
    </row>
    <row r="123" spans="1:5" ht="16" x14ac:dyDescent="0.2">
      <c r="A123" s="2" t="s">
        <v>496</v>
      </c>
      <c r="B123" s="4">
        <f>INDEX(Calculation!$A$1:$F$607,MATCH($A123,Calculation!$B:$B,0),MATCH(B$1,Calculation!$1:$1,0))</f>
        <v>12107</v>
      </c>
      <c r="C123" s="4">
        <f>INDEX(Calculation!$A$1:$F$607,MATCH($A123,Calculation!$B:$B,0),MATCH(C$1,Calculation!$1:$1,0))</f>
        <v>881</v>
      </c>
      <c r="D123" s="4">
        <f>INDEX(Calculation!$A$1:$F$607,MATCH($A123,Calculation!$B:$B,0),MATCH(D$1,Calculation!$1:$1,0))</f>
        <v>47</v>
      </c>
      <c r="E123" s="4">
        <f>INDEX(Calculation!$A$1:$F$607,MATCH($A123,Calculation!$B:$B,0),MATCH(E$1,Calculation!$1:$1,0))</f>
        <v>1</v>
      </c>
    </row>
    <row r="124" spans="1:5" ht="16" x14ac:dyDescent="0.2">
      <c r="A124" s="2" t="s">
        <v>498</v>
      </c>
      <c r="B124" s="4">
        <f>INDEX(Calculation!$A$1:$F$607,MATCH($A124,Calculation!$B:$B,0),MATCH(B$1,Calculation!$1:$1,0))</f>
        <v>26441</v>
      </c>
      <c r="C124" s="4">
        <f>INDEX(Calculation!$A$1:$F$607,MATCH($A124,Calculation!$B:$B,0),MATCH(C$1,Calculation!$1:$1,0))</f>
        <v>2107</v>
      </c>
      <c r="D124" s="4">
        <f>INDEX(Calculation!$A$1:$F$607,MATCH($A124,Calculation!$B:$B,0),MATCH(D$1,Calculation!$1:$1,0))</f>
        <v>67</v>
      </c>
      <c r="E124" s="4">
        <f>INDEX(Calculation!$A$1:$F$607,MATCH($A124,Calculation!$B:$B,0),MATCH(E$1,Calculation!$1:$1,0))</f>
        <v>10</v>
      </c>
    </row>
    <row r="125" spans="1:5" ht="16" x14ac:dyDescent="0.2">
      <c r="A125" s="2" t="s">
        <v>500</v>
      </c>
      <c r="B125" s="4">
        <f>INDEX(Calculation!$A$1:$F$607,MATCH($A125,Calculation!$B:$B,0),MATCH(B$1,Calculation!$1:$1,0))</f>
        <v>20609</v>
      </c>
      <c r="C125" s="4">
        <f>INDEX(Calculation!$A$1:$F$607,MATCH($A125,Calculation!$B:$B,0),MATCH(C$1,Calculation!$1:$1,0))</f>
        <v>2174</v>
      </c>
      <c r="D125" s="4">
        <f>INDEX(Calculation!$A$1:$F$607,MATCH($A125,Calculation!$B:$B,0),MATCH(D$1,Calculation!$1:$1,0))</f>
        <v>105</v>
      </c>
      <c r="E125" s="4">
        <f>INDEX(Calculation!$A$1:$F$607,MATCH($A125,Calculation!$B:$B,0),MATCH(E$1,Calculation!$1:$1,0))</f>
        <v>8</v>
      </c>
    </row>
    <row r="126" spans="1:5" ht="16" x14ac:dyDescent="0.2">
      <c r="A126" s="2" t="s">
        <v>503</v>
      </c>
      <c r="B126" s="4">
        <f>INDEX(Calculation!$A$1:$F$607,MATCH($A126,Calculation!$B:$B,0),MATCH(B$1,Calculation!$1:$1,0))</f>
        <v>46215</v>
      </c>
      <c r="C126" s="4">
        <f>INDEX(Calculation!$A$1:$F$607,MATCH($A126,Calculation!$B:$B,0),MATCH(C$1,Calculation!$1:$1,0))</f>
        <v>4308</v>
      </c>
      <c r="D126" s="4">
        <f>INDEX(Calculation!$A$1:$F$607,MATCH($A126,Calculation!$B:$B,0),MATCH(D$1,Calculation!$1:$1,0))</f>
        <v>215</v>
      </c>
      <c r="E126" s="4">
        <f>INDEX(Calculation!$A$1:$F$607,MATCH($A126,Calculation!$B:$B,0),MATCH(E$1,Calculation!$1:$1,0))</f>
        <v>13</v>
      </c>
    </row>
    <row r="127" spans="1:5" ht="16" x14ac:dyDescent="0.2">
      <c r="A127" s="2" t="s">
        <v>505</v>
      </c>
      <c r="B127" s="4">
        <f>INDEX(Calculation!$A$1:$F$607,MATCH($A127,Calculation!$B:$B,0),MATCH(B$1,Calculation!$1:$1,0))</f>
        <v>15048</v>
      </c>
      <c r="C127" s="4">
        <f>INDEX(Calculation!$A$1:$F$607,MATCH($A127,Calculation!$B:$B,0),MATCH(C$1,Calculation!$1:$1,0))</f>
        <v>1047</v>
      </c>
      <c r="D127" s="4">
        <f>INDEX(Calculation!$A$1:$F$607,MATCH($A127,Calculation!$B:$B,0),MATCH(D$1,Calculation!$1:$1,0))</f>
        <v>25</v>
      </c>
      <c r="E127" s="4">
        <f>INDEX(Calculation!$A$1:$F$607,MATCH($A127,Calculation!$B:$B,0),MATCH(E$1,Calculation!$1:$1,0))</f>
        <v>0</v>
      </c>
    </row>
    <row r="128" spans="1:5" ht="16" x14ac:dyDescent="0.2">
      <c r="A128" s="2" t="s">
        <v>508</v>
      </c>
      <c r="B128" s="4">
        <f>INDEX(Calculation!$A$1:$F$607,MATCH($A128,Calculation!$B:$B,0),MATCH(B$1,Calculation!$1:$1,0))</f>
        <v>49781</v>
      </c>
      <c r="C128" s="4">
        <f>INDEX(Calculation!$A$1:$F$607,MATCH($A128,Calculation!$B:$B,0),MATCH(C$1,Calculation!$1:$1,0))</f>
        <v>4390</v>
      </c>
      <c r="D128" s="4">
        <f>INDEX(Calculation!$A$1:$F$607,MATCH($A128,Calculation!$B:$B,0),MATCH(D$1,Calculation!$1:$1,0))</f>
        <v>267</v>
      </c>
      <c r="E128" s="4">
        <f>INDEX(Calculation!$A$1:$F$607,MATCH($A128,Calculation!$B:$B,0),MATCH(E$1,Calculation!$1:$1,0))</f>
        <v>9</v>
      </c>
    </row>
    <row r="129" spans="1:5" ht="16" x14ac:dyDescent="0.2">
      <c r="A129" s="2" t="s">
        <v>510</v>
      </c>
      <c r="B129" s="4">
        <f>INDEX(Calculation!$A$1:$F$607,MATCH($A129,Calculation!$B:$B,0),MATCH(B$1,Calculation!$1:$1,0))</f>
        <v>84703</v>
      </c>
      <c r="C129" s="4">
        <f>INDEX(Calculation!$A$1:$F$607,MATCH($A129,Calculation!$B:$B,0),MATCH(C$1,Calculation!$1:$1,0))</f>
        <v>8574</v>
      </c>
      <c r="D129" s="4">
        <f>INDEX(Calculation!$A$1:$F$607,MATCH($A129,Calculation!$B:$B,0),MATCH(D$1,Calculation!$1:$1,0))</f>
        <v>714</v>
      </c>
      <c r="E129" s="4">
        <f>INDEX(Calculation!$A$1:$F$607,MATCH($A129,Calculation!$B:$B,0),MATCH(E$1,Calculation!$1:$1,0))</f>
        <v>7</v>
      </c>
    </row>
    <row r="130" spans="1:5" ht="16" x14ac:dyDescent="0.2">
      <c r="A130" s="2" t="s">
        <v>512</v>
      </c>
      <c r="B130" s="4">
        <f>INDEX(Calculation!$A$1:$F$607,MATCH($A130,Calculation!$B:$B,0),MATCH(B$1,Calculation!$1:$1,0))</f>
        <v>8904</v>
      </c>
      <c r="C130" s="4">
        <f>INDEX(Calculation!$A$1:$F$607,MATCH($A130,Calculation!$B:$B,0),MATCH(C$1,Calculation!$1:$1,0))</f>
        <v>726</v>
      </c>
      <c r="D130" s="4">
        <f>INDEX(Calculation!$A$1:$F$607,MATCH($A130,Calculation!$B:$B,0),MATCH(D$1,Calculation!$1:$1,0))</f>
        <v>43</v>
      </c>
      <c r="E130" s="4">
        <f>INDEX(Calculation!$A$1:$F$607,MATCH($A130,Calculation!$B:$B,0),MATCH(E$1,Calculation!$1:$1,0))</f>
        <v>15</v>
      </c>
    </row>
    <row r="131" spans="1:5" ht="16" x14ac:dyDescent="0.2">
      <c r="A131" s="2" t="s">
        <v>515</v>
      </c>
      <c r="B131" s="4">
        <f>INDEX(Calculation!$A$1:$F$607,MATCH($A131,Calculation!$B:$B,0),MATCH(B$1,Calculation!$1:$1,0))</f>
        <v>25750</v>
      </c>
      <c r="C131" s="4">
        <f>INDEX(Calculation!$A$1:$F$607,MATCH($A131,Calculation!$B:$B,0),MATCH(C$1,Calculation!$1:$1,0))</f>
        <v>2861</v>
      </c>
      <c r="D131" s="4">
        <f>INDEX(Calculation!$A$1:$F$607,MATCH($A131,Calculation!$B:$B,0),MATCH(D$1,Calculation!$1:$1,0))</f>
        <v>175</v>
      </c>
      <c r="E131" s="4">
        <f>INDEX(Calculation!$A$1:$F$607,MATCH($A131,Calculation!$B:$B,0),MATCH(E$1,Calculation!$1:$1,0))</f>
        <v>3</v>
      </c>
    </row>
    <row r="132" spans="1:5" ht="16" x14ac:dyDescent="0.2">
      <c r="A132" s="2" t="s">
        <v>518</v>
      </c>
      <c r="B132" s="4">
        <f>INDEX(Calculation!$A$1:$F$607,MATCH($A132,Calculation!$B:$B,0),MATCH(B$1,Calculation!$1:$1,0))</f>
        <v>11957</v>
      </c>
      <c r="C132" s="4">
        <f>INDEX(Calculation!$A$1:$F$607,MATCH($A132,Calculation!$B:$B,0),MATCH(C$1,Calculation!$1:$1,0))</f>
        <v>1142</v>
      </c>
      <c r="D132" s="4">
        <f>INDEX(Calculation!$A$1:$F$607,MATCH($A132,Calculation!$B:$B,0),MATCH(D$1,Calculation!$1:$1,0))</f>
        <v>102</v>
      </c>
      <c r="E132" s="4">
        <f>INDEX(Calculation!$A$1:$F$607,MATCH($A132,Calculation!$B:$B,0),MATCH(E$1,Calculation!$1:$1,0))</f>
        <v>0</v>
      </c>
    </row>
    <row r="133" spans="1:5" ht="16" x14ac:dyDescent="0.2">
      <c r="A133" s="2" t="s">
        <v>520</v>
      </c>
      <c r="B133" s="4">
        <f>INDEX(Calculation!$A$1:$F$607,MATCH($A133,Calculation!$B:$B,0),MATCH(B$1,Calculation!$1:$1,0))</f>
        <v>9322</v>
      </c>
      <c r="C133" s="4">
        <f>INDEX(Calculation!$A$1:$F$607,MATCH($A133,Calculation!$B:$B,0),MATCH(C$1,Calculation!$1:$1,0))</f>
        <v>1450</v>
      </c>
      <c r="D133" s="4">
        <f>INDEX(Calculation!$A$1:$F$607,MATCH($A133,Calculation!$B:$B,0),MATCH(D$1,Calculation!$1:$1,0))</f>
        <v>129</v>
      </c>
      <c r="E133" s="4">
        <f>INDEX(Calculation!$A$1:$F$607,MATCH($A133,Calculation!$B:$B,0),MATCH(E$1,Calculation!$1:$1,0))</f>
        <v>1</v>
      </c>
    </row>
    <row r="134" spans="1:5" ht="16" x14ac:dyDescent="0.2">
      <c r="A134" s="2" t="s">
        <v>523</v>
      </c>
      <c r="B134" s="4">
        <f>INDEX(Calculation!$A$1:$F$607,MATCH($A134,Calculation!$B:$B,0),MATCH(B$1,Calculation!$1:$1,0))</f>
        <v>41060</v>
      </c>
      <c r="C134" s="4">
        <f>INDEX(Calculation!$A$1:$F$607,MATCH($A134,Calculation!$B:$B,0),MATCH(C$1,Calculation!$1:$1,0))</f>
        <v>3190</v>
      </c>
      <c r="D134" s="4">
        <f>INDEX(Calculation!$A$1:$F$607,MATCH($A134,Calculation!$B:$B,0),MATCH(D$1,Calculation!$1:$1,0))</f>
        <v>107</v>
      </c>
      <c r="E134" s="4">
        <f>INDEX(Calculation!$A$1:$F$607,MATCH($A134,Calculation!$B:$B,0),MATCH(E$1,Calculation!$1:$1,0))</f>
        <v>1414</v>
      </c>
    </row>
    <row r="135" spans="1:5" ht="16" x14ac:dyDescent="0.2">
      <c r="A135" s="2" t="s">
        <v>525</v>
      </c>
      <c r="B135" s="4">
        <f>INDEX(Calculation!$A$1:$F$607,MATCH($A135,Calculation!$B:$B,0),MATCH(B$1,Calculation!$1:$1,0))</f>
        <v>48613</v>
      </c>
      <c r="C135" s="4">
        <f>INDEX(Calculation!$A$1:$F$607,MATCH($A135,Calculation!$B:$B,0),MATCH(C$1,Calculation!$1:$1,0))</f>
        <v>5521</v>
      </c>
      <c r="D135" s="4">
        <f>INDEX(Calculation!$A$1:$F$607,MATCH($A135,Calculation!$B:$B,0),MATCH(D$1,Calculation!$1:$1,0))</f>
        <v>319</v>
      </c>
      <c r="E135" s="4">
        <f>INDEX(Calculation!$A$1:$F$607,MATCH($A135,Calculation!$B:$B,0),MATCH(E$1,Calculation!$1:$1,0))</f>
        <v>22</v>
      </c>
    </row>
    <row r="136" spans="1:5" ht="16" x14ac:dyDescent="0.2">
      <c r="A136" s="2" t="s">
        <v>528</v>
      </c>
      <c r="B136" s="4">
        <f>INDEX(Calculation!$A$1:$F$607,MATCH($A136,Calculation!$B:$B,0),MATCH(B$1,Calculation!$1:$1,0))</f>
        <v>20660</v>
      </c>
      <c r="C136" s="4">
        <f>INDEX(Calculation!$A$1:$F$607,MATCH($A136,Calculation!$B:$B,0),MATCH(C$1,Calculation!$1:$1,0))</f>
        <v>2569</v>
      </c>
      <c r="D136" s="4">
        <f>INDEX(Calculation!$A$1:$F$607,MATCH($A136,Calculation!$B:$B,0),MATCH(D$1,Calculation!$1:$1,0))</f>
        <v>107</v>
      </c>
      <c r="E136" s="4">
        <f>INDEX(Calculation!$A$1:$F$607,MATCH($A136,Calculation!$B:$B,0),MATCH(E$1,Calculation!$1:$1,0))</f>
        <v>18</v>
      </c>
    </row>
    <row r="137" spans="1:5" ht="16" x14ac:dyDescent="0.2">
      <c r="A137" s="2" t="s">
        <v>531</v>
      </c>
      <c r="B137" s="4">
        <f>INDEX(Calculation!$A$1:$F$607,MATCH($A137,Calculation!$B:$B,0),MATCH(B$1,Calculation!$1:$1,0))</f>
        <v>25586</v>
      </c>
      <c r="C137" s="4">
        <f>INDEX(Calculation!$A$1:$F$607,MATCH($A137,Calculation!$B:$B,0),MATCH(C$1,Calculation!$1:$1,0))</f>
        <v>3350</v>
      </c>
      <c r="D137" s="4">
        <f>INDEX(Calculation!$A$1:$F$607,MATCH($A137,Calculation!$B:$B,0),MATCH(D$1,Calculation!$1:$1,0))</f>
        <v>115</v>
      </c>
      <c r="E137" s="4">
        <f>INDEX(Calculation!$A$1:$F$607,MATCH($A137,Calculation!$B:$B,0),MATCH(E$1,Calculation!$1:$1,0))</f>
        <v>8</v>
      </c>
    </row>
    <row r="138" spans="1:5" ht="16" x14ac:dyDescent="0.2">
      <c r="A138" s="2" t="s">
        <v>534</v>
      </c>
      <c r="B138" s="4">
        <f>INDEX(Calculation!$A$1:$F$607,MATCH($A138,Calculation!$B:$B,0),MATCH(B$1,Calculation!$1:$1,0))</f>
        <v>27912</v>
      </c>
      <c r="C138" s="4">
        <f>INDEX(Calculation!$A$1:$F$607,MATCH($A138,Calculation!$B:$B,0),MATCH(C$1,Calculation!$1:$1,0))</f>
        <v>4574</v>
      </c>
      <c r="D138" s="4">
        <f>INDEX(Calculation!$A$1:$F$607,MATCH($A138,Calculation!$B:$B,0),MATCH(D$1,Calculation!$1:$1,0))</f>
        <v>443</v>
      </c>
      <c r="E138" s="4">
        <f>INDEX(Calculation!$A$1:$F$607,MATCH($A138,Calculation!$B:$B,0),MATCH(E$1,Calculation!$1:$1,0))</f>
        <v>21</v>
      </c>
    </row>
    <row r="139" spans="1:5" ht="16" x14ac:dyDescent="0.2">
      <c r="A139" s="2" t="s">
        <v>537</v>
      </c>
      <c r="B139" s="4">
        <f>INDEX(Calculation!$A$1:$F$607,MATCH($A139,Calculation!$B:$B,0),MATCH(B$1,Calculation!$1:$1,0))</f>
        <v>29044</v>
      </c>
      <c r="C139" s="4">
        <f>INDEX(Calculation!$A$1:$F$607,MATCH($A139,Calculation!$B:$B,0),MATCH(C$1,Calculation!$1:$1,0))</f>
        <v>3998</v>
      </c>
      <c r="D139" s="4">
        <f>INDEX(Calculation!$A$1:$F$607,MATCH($A139,Calculation!$B:$B,0),MATCH(D$1,Calculation!$1:$1,0))</f>
        <v>204</v>
      </c>
      <c r="E139" s="4">
        <f>INDEX(Calculation!$A$1:$F$607,MATCH($A139,Calculation!$B:$B,0),MATCH(E$1,Calculation!$1:$1,0))</f>
        <v>28</v>
      </c>
    </row>
    <row r="140" spans="1:5" ht="16" x14ac:dyDescent="0.2">
      <c r="A140" s="2" t="s">
        <v>539</v>
      </c>
      <c r="B140" s="4">
        <f>INDEX(Calculation!$A$1:$F$607,MATCH($A140,Calculation!$B:$B,0),MATCH(B$1,Calculation!$1:$1,0))</f>
        <v>34648</v>
      </c>
      <c r="C140" s="4">
        <f>INDEX(Calculation!$A$1:$F$607,MATCH($A140,Calculation!$B:$B,0),MATCH(C$1,Calculation!$1:$1,0))</f>
        <v>4814</v>
      </c>
      <c r="D140" s="4">
        <f>INDEX(Calculation!$A$1:$F$607,MATCH($A140,Calculation!$B:$B,0),MATCH(D$1,Calculation!$1:$1,0))</f>
        <v>183</v>
      </c>
      <c r="E140" s="4">
        <f>INDEX(Calculation!$A$1:$F$607,MATCH($A140,Calculation!$B:$B,0),MATCH(E$1,Calculation!$1:$1,0))</f>
        <v>0</v>
      </c>
    </row>
    <row r="141" spans="1:5" ht="16" x14ac:dyDescent="0.2">
      <c r="A141" s="2" t="s">
        <v>541</v>
      </c>
      <c r="B141" s="4">
        <f>INDEX(Calculation!$A$1:$F$607,MATCH($A141,Calculation!$B:$B,0),MATCH(B$1,Calculation!$1:$1,0))</f>
        <v>25862</v>
      </c>
      <c r="C141" s="4">
        <f>INDEX(Calculation!$A$1:$F$607,MATCH($A141,Calculation!$B:$B,0),MATCH(C$1,Calculation!$1:$1,0))</f>
        <v>2943</v>
      </c>
      <c r="D141" s="4">
        <f>INDEX(Calculation!$A$1:$F$607,MATCH($A141,Calculation!$B:$B,0),MATCH(D$1,Calculation!$1:$1,0))</f>
        <v>269</v>
      </c>
      <c r="E141" s="4">
        <f>INDEX(Calculation!$A$1:$F$607,MATCH($A141,Calculation!$B:$B,0),MATCH(E$1,Calculation!$1:$1,0))</f>
        <v>24</v>
      </c>
    </row>
    <row r="142" spans="1:5" ht="16" x14ac:dyDescent="0.2">
      <c r="A142" s="2" t="s">
        <v>544</v>
      </c>
      <c r="B142" s="4">
        <f>INDEX(Calculation!$A$1:$F$607,MATCH($A142,Calculation!$B:$B,0),MATCH(B$1,Calculation!$1:$1,0))</f>
        <v>73318</v>
      </c>
      <c r="C142" s="4">
        <f>INDEX(Calculation!$A$1:$F$607,MATCH($A142,Calculation!$B:$B,0),MATCH(C$1,Calculation!$1:$1,0))</f>
        <v>8749</v>
      </c>
      <c r="D142" s="4">
        <f>INDEX(Calculation!$A$1:$F$607,MATCH($A142,Calculation!$B:$B,0),MATCH(D$1,Calculation!$1:$1,0))</f>
        <v>163</v>
      </c>
      <c r="E142" s="4">
        <f>INDEX(Calculation!$A$1:$F$607,MATCH($A142,Calculation!$B:$B,0),MATCH(E$1,Calculation!$1:$1,0))</f>
        <v>1</v>
      </c>
    </row>
    <row r="143" spans="1:5" ht="16" x14ac:dyDescent="0.2">
      <c r="A143" s="2" t="s">
        <v>546</v>
      </c>
      <c r="B143" s="4">
        <f>INDEX(Calculation!$A$1:$F$607,MATCH($A143,Calculation!$B:$B,0),MATCH(B$1,Calculation!$1:$1,0))</f>
        <v>22066</v>
      </c>
      <c r="C143" s="4">
        <f>INDEX(Calculation!$A$1:$F$607,MATCH($A143,Calculation!$B:$B,0),MATCH(C$1,Calculation!$1:$1,0))</f>
        <v>1553</v>
      </c>
      <c r="D143" s="4">
        <f>INDEX(Calculation!$A$1:$F$607,MATCH($A143,Calculation!$B:$B,0),MATCH(D$1,Calculation!$1:$1,0))</f>
        <v>38</v>
      </c>
      <c r="E143" s="4">
        <f>INDEX(Calculation!$A$1:$F$607,MATCH($A143,Calculation!$B:$B,0),MATCH(E$1,Calculation!$1:$1,0))</f>
        <v>0</v>
      </c>
    </row>
    <row r="144" spans="1:5" ht="16" x14ac:dyDescent="0.2">
      <c r="A144" s="2" t="s">
        <v>549</v>
      </c>
      <c r="B144" s="4">
        <f>INDEX(Calculation!$A$1:$F$607,MATCH($A144,Calculation!$B:$B,0),MATCH(B$1,Calculation!$1:$1,0))</f>
        <v>16652</v>
      </c>
      <c r="C144" s="4">
        <f>INDEX(Calculation!$A$1:$F$607,MATCH($A144,Calculation!$B:$B,0),MATCH(C$1,Calculation!$1:$1,0))</f>
        <v>1539</v>
      </c>
      <c r="D144" s="4">
        <f>INDEX(Calculation!$A$1:$F$607,MATCH($A144,Calculation!$B:$B,0),MATCH(D$1,Calculation!$1:$1,0))</f>
        <v>102</v>
      </c>
      <c r="E144" s="4">
        <f>INDEX(Calculation!$A$1:$F$607,MATCH($A144,Calculation!$B:$B,0),MATCH(E$1,Calculation!$1:$1,0))</f>
        <v>1</v>
      </c>
    </row>
    <row r="145" spans="1:5" ht="16" x14ac:dyDescent="0.2">
      <c r="A145" s="2" t="s">
        <v>552</v>
      </c>
      <c r="B145" s="4">
        <f>INDEX(Calculation!$A$1:$F$607,MATCH($A145,Calculation!$B:$B,0),MATCH(B$1,Calculation!$1:$1,0))</f>
        <v>15587</v>
      </c>
      <c r="C145" s="4">
        <f>INDEX(Calculation!$A$1:$F$607,MATCH($A145,Calculation!$B:$B,0),MATCH(C$1,Calculation!$1:$1,0))</f>
        <v>1335</v>
      </c>
      <c r="D145" s="4">
        <f>INDEX(Calculation!$A$1:$F$607,MATCH($A145,Calculation!$B:$B,0),MATCH(D$1,Calculation!$1:$1,0))</f>
        <v>67</v>
      </c>
      <c r="E145" s="4">
        <f>INDEX(Calculation!$A$1:$F$607,MATCH($A145,Calculation!$B:$B,0),MATCH(E$1,Calculation!$1:$1,0))</f>
        <v>0</v>
      </c>
    </row>
    <row r="146" spans="1:5" ht="16" x14ac:dyDescent="0.2">
      <c r="A146" s="2" t="s">
        <v>555</v>
      </c>
      <c r="B146" s="4">
        <f>INDEX(Calculation!$A$1:$F$607,MATCH($A146,Calculation!$B:$B,0),MATCH(B$1,Calculation!$1:$1,0))</f>
        <v>15061</v>
      </c>
      <c r="C146" s="4">
        <f>INDEX(Calculation!$A$1:$F$607,MATCH($A146,Calculation!$B:$B,0),MATCH(C$1,Calculation!$1:$1,0))</f>
        <v>1888</v>
      </c>
      <c r="D146" s="4">
        <f>INDEX(Calculation!$A$1:$F$607,MATCH($A146,Calculation!$B:$B,0),MATCH(D$1,Calculation!$1:$1,0))</f>
        <v>183</v>
      </c>
      <c r="E146" s="4">
        <f>INDEX(Calculation!$A$1:$F$607,MATCH($A146,Calculation!$B:$B,0),MATCH(E$1,Calculation!$1:$1,0))</f>
        <v>0</v>
      </c>
    </row>
    <row r="147" spans="1:5" ht="16" x14ac:dyDescent="0.2">
      <c r="A147" s="2" t="s">
        <v>558</v>
      </c>
      <c r="B147" s="4">
        <f>INDEX(Calculation!$A$1:$F$607,MATCH($A147,Calculation!$B:$B,0),MATCH(B$1,Calculation!$1:$1,0))</f>
        <v>24565</v>
      </c>
      <c r="C147" s="4">
        <f>INDEX(Calculation!$A$1:$F$607,MATCH($A147,Calculation!$B:$B,0),MATCH(C$1,Calculation!$1:$1,0))</f>
        <v>3209</v>
      </c>
      <c r="D147" s="4">
        <f>INDEX(Calculation!$A$1:$F$607,MATCH($A147,Calculation!$B:$B,0),MATCH(D$1,Calculation!$1:$1,0))</f>
        <v>195</v>
      </c>
      <c r="E147" s="4">
        <f>INDEX(Calculation!$A$1:$F$607,MATCH($A147,Calculation!$B:$B,0),MATCH(E$1,Calculation!$1:$1,0))</f>
        <v>0</v>
      </c>
    </row>
    <row r="148" spans="1:5" ht="16" x14ac:dyDescent="0.2">
      <c r="A148" s="2" t="s">
        <v>560</v>
      </c>
      <c r="B148" s="4">
        <f>INDEX(Calculation!$A$1:$F$607,MATCH($A148,Calculation!$B:$B,0),MATCH(B$1,Calculation!$1:$1,0))</f>
        <v>7227</v>
      </c>
      <c r="C148" s="4">
        <f>INDEX(Calculation!$A$1:$F$607,MATCH($A148,Calculation!$B:$B,0),MATCH(C$1,Calculation!$1:$1,0))</f>
        <v>909</v>
      </c>
      <c r="D148" s="4">
        <f>INDEX(Calculation!$A$1:$F$607,MATCH($A148,Calculation!$B:$B,0),MATCH(D$1,Calculation!$1:$1,0))</f>
        <v>39</v>
      </c>
      <c r="E148" s="4">
        <f>INDEX(Calculation!$A$1:$F$607,MATCH($A148,Calculation!$B:$B,0),MATCH(E$1,Calculation!$1:$1,0))</f>
        <v>30</v>
      </c>
    </row>
    <row r="149" spans="1:5" ht="16" x14ac:dyDescent="0.2">
      <c r="A149" s="2" t="s">
        <v>563</v>
      </c>
      <c r="B149" s="4">
        <f>INDEX(Calculation!$A$1:$F$607,MATCH($A149,Calculation!$B:$B,0),MATCH(B$1,Calculation!$1:$1,0))</f>
        <v>27215</v>
      </c>
      <c r="C149" s="4">
        <f>INDEX(Calculation!$A$1:$F$607,MATCH($A149,Calculation!$B:$B,0),MATCH(C$1,Calculation!$1:$1,0))</f>
        <v>3027</v>
      </c>
      <c r="D149" s="4">
        <f>INDEX(Calculation!$A$1:$F$607,MATCH($A149,Calculation!$B:$B,0),MATCH(D$1,Calculation!$1:$1,0))</f>
        <v>486</v>
      </c>
      <c r="E149" s="4">
        <f>INDEX(Calculation!$A$1:$F$607,MATCH($A149,Calculation!$B:$B,0),MATCH(E$1,Calculation!$1:$1,0))</f>
        <v>19</v>
      </c>
    </row>
    <row r="150" spans="1:5" ht="16" x14ac:dyDescent="0.2">
      <c r="A150" s="2" t="s">
        <v>566</v>
      </c>
      <c r="B150" s="4">
        <f>INDEX(Calculation!$A$1:$F$607,MATCH($A150,Calculation!$B:$B,0),MATCH(B$1,Calculation!$1:$1,0))</f>
        <v>24608</v>
      </c>
      <c r="C150" s="4">
        <f>INDEX(Calculation!$A$1:$F$607,MATCH($A150,Calculation!$B:$B,0),MATCH(C$1,Calculation!$1:$1,0))</f>
        <v>1711</v>
      </c>
      <c r="D150" s="4">
        <f>INDEX(Calculation!$A$1:$F$607,MATCH($A150,Calculation!$B:$B,0),MATCH(D$1,Calculation!$1:$1,0))</f>
        <v>104</v>
      </c>
      <c r="E150" s="4">
        <f>INDEX(Calculation!$A$1:$F$607,MATCH($A150,Calculation!$B:$B,0),MATCH(E$1,Calculation!$1:$1,0))</f>
        <v>21</v>
      </c>
    </row>
    <row r="151" spans="1:5" ht="16" x14ac:dyDescent="0.2">
      <c r="A151" s="2" t="s">
        <v>568</v>
      </c>
      <c r="B151" s="4">
        <f>INDEX(Calculation!$A$1:$F$607,MATCH($A151,Calculation!$B:$B,0),MATCH(B$1,Calculation!$1:$1,0))</f>
        <v>12898</v>
      </c>
      <c r="C151" s="4">
        <f>INDEX(Calculation!$A$1:$F$607,MATCH($A151,Calculation!$B:$B,0),MATCH(C$1,Calculation!$1:$1,0))</f>
        <v>2220</v>
      </c>
      <c r="D151" s="4">
        <f>INDEX(Calculation!$A$1:$F$607,MATCH($A151,Calculation!$B:$B,0),MATCH(D$1,Calculation!$1:$1,0))</f>
        <v>168</v>
      </c>
      <c r="E151" s="4">
        <f>INDEX(Calculation!$A$1:$F$607,MATCH($A151,Calculation!$B:$B,0),MATCH(E$1,Calculation!$1:$1,0))</f>
        <v>3</v>
      </c>
    </row>
    <row r="152" spans="1:5" ht="16" x14ac:dyDescent="0.2">
      <c r="A152" s="2" t="s">
        <v>571</v>
      </c>
      <c r="B152" s="4">
        <f>INDEX(Calculation!$A$1:$F$607,MATCH($A152,Calculation!$B:$B,0),MATCH(B$1,Calculation!$1:$1,0))</f>
        <v>13987</v>
      </c>
      <c r="C152" s="4">
        <f>INDEX(Calculation!$A$1:$F$607,MATCH($A152,Calculation!$B:$B,0),MATCH(C$1,Calculation!$1:$1,0))</f>
        <v>1029</v>
      </c>
      <c r="D152" s="4">
        <f>INDEX(Calculation!$A$1:$F$607,MATCH($A152,Calculation!$B:$B,0),MATCH(D$1,Calculation!$1:$1,0))</f>
        <v>98</v>
      </c>
      <c r="E152" s="4">
        <f>INDEX(Calculation!$A$1:$F$607,MATCH($A152,Calculation!$B:$B,0),MATCH(E$1,Calculation!$1:$1,0))</f>
        <v>0</v>
      </c>
    </row>
    <row r="153" spans="1:5" ht="16" x14ac:dyDescent="0.2">
      <c r="A153" s="2" t="s">
        <v>574</v>
      </c>
      <c r="B153" s="4">
        <f>INDEX(Calculation!$A$1:$F$607,MATCH($A153,Calculation!$B:$B,0),MATCH(B$1,Calculation!$1:$1,0))</f>
        <v>28953</v>
      </c>
      <c r="C153" s="4">
        <f>INDEX(Calculation!$A$1:$F$607,MATCH($A153,Calculation!$B:$B,0),MATCH(C$1,Calculation!$1:$1,0))</f>
        <v>4194</v>
      </c>
      <c r="D153" s="4">
        <f>INDEX(Calculation!$A$1:$F$607,MATCH($A153,Calculation!$B:$B,0),MATCH(D$1,Calculation!$1:$1,0))</f>
        <v>288</v>
      </c>
      <c r="E153" s="4">
        <f>INDEX(Calculation!$A$1:$F$607,MATCH($A153,Calculation!$B:$B,0),MATCH(E$1,Calculation!$1:$1,0))</f>
        <v>0</v>
      </c>
    </row>
    <row r="154" spans="1:5" ht="16" x14ac:dyDescent="0.2">
      <c r="A154" s="2" t="s">
        <v>577</v>
      </c>
      <c r="B154" s="4">
        <f>INDEX(Calculation!$A$1:$F$607,MATCH($A154,Calculation!$B:$B,0),MATCH(B$1,Calculation!$1:$1,0))</f>
        <v>12970</v>
      </c>
      <c r="C154" s="4">
        <f>INDEX(Calculation!$A$1:$F$607,MATCH($A154,Calculation!$B:$B,0),MATCH(C$1,Calculation!$1:$1,0))</f>
        <v>1703</v>
      </c>
      <c r="D154" s="4">
        <f>INDEX(Calculation!$A$1:$F$607,MATCH($A154,Calculation!$B:$B,0),MATCH(D$1,Calculation!$1:$1,0))</f>
        <v>168</v>
      </c>
      <c r="E154" s="4">
        <f>INDEX(Calculation!$A$1:$F$607,MATCH($A154,Calculation!$B:$B,0),MATCH(E$1,Calculation!$1:$1,0))</f>
        <v>0</v>
      </c>
    </row>
    <row r="155" spans="1:5" ht="16" x14ac:dyDescent="0.2">
      <c r="A155" s="2" t="s">
        <v>580</v>
      </c>
      <c r="B155" s="4">
        <f>INDEX(Calculation!$A$1:$F$607,MATCH($A155,Calculation!$B:$B,0),MATCH(B$1,Calculation!$1:$1,0))</f>
        <v>52033</v>
      </c>
      <c r="C155" s="4">
        <f>INDEX(Calculation!$A$1:$F$607,MATCH($A155,Calculation!$B:$B,0),MATCH(C$1,Calculation!$1:$1,0))</f>
        <v>5881</v>
      </c>
      <c r="D155" s="4">
        <f>INDEX(Calculation!$A$1:$F$607,MATCH($A155,Calculation!$B:$B,0),MATCH(D$1,Calculation!$1:$1,0))</f>
        <v>614</v>
      </c>
      <c r="E155" s="4">
        <f>INDEX(Calculation!$A$1:$F$607,MATCH($A155,Calculation!$B:$B,0),MATCH(E$1,Calculation!$1:$1,0))</f>
        <v>13</v>
      </c>
    </row>
    <row r="156" spans="1:5" ht="16" x14ac:dyDescent="0.2">
      <c r="A156" s="2" t="s">
        <v>583</v>
      </c>
      <c r="B156" s="4">
        <f>INDEX(Calculation!$A$1:$F$607,MATCH($A156,Calculation!$B:$B,0),MATCH(B$1,Calculation!$1:$1,0))</f>
        <v>21428</v>
      </c>
      <c r="C156" s="4">
        <f>INDEX(Calculation!$A$1:$F$607,MATCH($A156,Calculation!$B:$B,0),MATCH(C$1,Calculation!$1:$1,0))</f>
        <v>1438</v>
      </c>
      <c r="D156" s="4">
        <f>INDEX(Calculation!$A$1:$F$607,MATCH($A156,Calculation!$B:$B,0),MATCH(D$1,Calculation!$1:$1,0))</f>
        <v>93</v>
      </c>
      <c r="E156" s="4">
        <f>INDEX(Calculation!$A$1:$F$607,MATCH($A156,Calculation!$B:$B,0),MATCH(E$1,Calculation!$1:$1,0))</f>
        <v>0</v>
      </c>
    </row>
    <row r="157" spans="1:5" ht="16" x14ac:dyDescent="0.2">
      <c r="A157" s="2" t="s">
        <v>585</v>
      </c>
      <c r="B157" s="4">
        <f>INDEX(Calculation!$A$1:$F$607,MATCH($A157,Calculation!$B:$B,0),MATCH(B$1,Calculation!$1:$1,0))</f>
        <v>5678</v>
      </c>
      <c r="C157" s="4">
        <f>INDEX(Calculation!$A$1:$F$607,MATCH($A157,Calculation!$B:$B,0),MATCH(C$1,Calculation!$1:$1,0))</f>
        <v>539</v>
      </c>
      <c r="D157" s="4">
        <f>INDEX(Calculation!$A$1:$F$607,MATCH($A157,Calculation!$B:$B,0),MATCH(D$1,Calculation!$1:$1,0))</f>
        <v>13</v>
      </c>
      <c r="E157" s="4">
        <f>INDEX(Calculation!$A$1:$F$607,MATCH($A157,Calculation!$B:$B,0),MATCH(E$1,Calculation!$1:$1,0))</f>
        <v>1</v>
      </c>
    </row>
    <row r="158" spans="1:5" ht="16" x14ac:dyDescent="0.2">
      <c r="A158" s="2" t="s">
        <v>588</v>
      </c>
      <c r="B158" s="4">
        <f>INDEX(Calculation!$A$1:$F$607,MATCH($A158,Calculation!$B:$B,0),MATCH(B$1,Calculation!$1:$1,0))</f>
        <v>32099</v>
      </c>
      <c r="C158" s="4">
        <f>INDEX(Calculation!$A$1:$F$607,MATCH($A158,Calculation!$B:$B,0),MATCH(C$1,Calculation!$1:$1,0))</f>
        <v>3557</v>
      </c>
      <c r="D158" s="4">
        <f>INDEX(Calculation!$A$1:$F$607,MATCH($A158,Calculation!$B:$B,0),MATCH(D$1,Calculation!$1:$1,0))</f>
        <v>340</v>
      </c>
      <c r="E158" s="4">
        <f>INDEX(Calculation!$A$1:$F$607,MATCH($A158,Calculation!$B:$B,0),MATCH(E$1,Calculation!$1:$1,0))</f>
        <v>6</v>
      </c>
    </row>
    <row r="159" spans="1:5" ht="16" x14ac:dyDescent="0.2">
      <c r="A159" s="2" t="s">
        <v>591</v>
      </c>
      <c r="B159" s="4">
        <f>INDEX(Calculation!$A$1:$F$607,MATCH($A159,Calculation!$B:$B,0),MATCH(B$1,Calculation!$1:$1,0))</f>
        <v>6932</v>
      </c>
      <c r="C159" s="4">
        <f>INDEX(Calculation!$A$1:$F$607,MATCH($A159,Calculation!$B:$B,0),MATCH(C$1,Calculation!$1:$1,0))</f>
        <v>396</v>
      </c>
      <c r="D159" s="4">
        <f>INDEX(Calculation!$A$1:$F$607,MATCH($A159,Calculation!$B:$B,0),MATCH(D$1,Calculation!$1:$1,0))</f>
        <v>12</v>
      </c>
      <c r="E159" s="4">
        <f>INDEX(Calculation!$A$1:$F$607,MATCH($A159,Calculation!$B:$B,0),MATCH(E$1,Calculation!$1:$1,0))</f>
        <v>0</v>
      </c>
    </row>
    <row r="160" spans="1:5" ht="16" x14ac:dyDescent="0.2">
      <c r="A160" s="2" t="s">
        <v>594</v>
      </c>
      <c r="B160" s="4">
        <f>INDEX(Calculation!$A$1:$F$607,MATCH($A160,Calculation!$B:$B,0),MATCH(B$1,Calculation!$1:$1,0))</f>
        <v>57846</v>
      </c>
      <c r="C160" s="4">
        <f>INDEX(Calculation!$A$1:$F$607,MATCH($A160,Calculation!$B:$B,0),MATCH(C$1,Calculation!$1:$1,0))</f>
        <v>6119</v>
      </c>
      <c r="D160" s="4">
        <f>INDEX(Calculation!$A$1:$F$607,MATCH($A160,Calculation!$B:$B,0),MATCH(D$1,Calculation!$1:$1,0))</f>
        <v>410</v>
      </c>
      <c r="E160" s="4">
        <f>INDEX(Calculation!$A$1:$F$607,MATCH($A160,Calculation!$B:$B,0),MATCH(E$1,Calculation!$1:$1,0))</f>
        <v>9</v>
      </c>
    </row>
    <row r="161" spans="1:5" ht="16" x14ac:dyDescent="0.2">
      <c r="A161" s="2" t="s">
        <v>596</v>
      </c>
      <c r="B161" s="4">
        <f>INDEX(Calculation!$A$1:$F$607,MATCH($A161,Calculation!$B:$B,0),MATCH(B$1,Calculation!$1:$1,0))</f>
        <v>40657</v>
      </c>
      <c r="C161" s="4">
        <f>INDEX(Calculation!$A$1:$F$607,MATCH($A161,Calculation!$B:$B,0),MATCH(C$1,Calculation!$1:$1,0))</f>
        <v>3195</v>
      </c>
      <c r="D161" s="4">
        <f>INDEX(Calculation!$A$1:$F$607,MATCH($A161,Calculation!$B:$B,0),MATCH(D$1,Calculation!$1:$1,0))</f>
        <v>129</v>
      </c>
      <c r="E161" s="4">
        <f>INDEX(Calculation!$A$1:$F$607,MATCH($A161,Calculation!$B:$B,0),MATCH(E$1,Calculation!$1:$1,0))</f>
        <v>0</v>
      </c>
    </row>
    <row r="162" spans="1:5" ht="16" x14ac:dyDescent="0.2">
      <c r="A162" s="2" t="s">
        <v>598</v>
      </c>
      <c r="B162" s="4">
        <f>INDEX(Calculation!$A$1:$F$607,MATCH($A162,Calculation!$B:$B,0),MATCH(B$1,Calculation!$1:$1,0))</f>
        <v>13131</v>
      </c>
      <c r="C162" s="4">
        <f>INDEX(Calculation!$A$1:$F$607,MATCH($A162,Calculation!$B:$B,0),MATCH(C$1,Calculation!$1:$1,0))</f>
        <v>1100</v>
      </c>
      <c r="D162" s="4">
        <f>INDEX(Calculation!$A$1:$F$607,MATCH($A162,Calculation!$B:$B,0),MATCH(D$1,Calculation!$1:$1,0))</f>
        <v>26</v>
      </c>
      <c r="E162" s="4">
        <f>INDEX(Calculation!$A$1:$F$607,MATCH($A162,Calculation!$B:$B,0),MATCH(E$1,Calculation!$1:$1,0))</f>
        <v>0</v>
      </c>
    </row>
    <row r="163" spans="1:5" ht="16" x14ac:dyDescent="0.2">
      <c r="A163" s="2" t="s">
        <v>601</v>
      </c>
      <c r="B163" s="4">
        <f>INDEX(Calculation!$A$1:$F$607,MATCH($A163,Calculation!$B:$B,0),MATCH(B$1,Calculation!$1:$1,0))</f>
        <v>36033</v>
      </c>
      <c r="C163" s="4">
        <f>INDEX(Calculation!$A$1:$F$607,MATCH($A163,Calculation!$B:$B,0),MATCH(C$1,Calculation!$1:$1,0))</f>
        <v>3136</v>
      </c>
      <c r="D163" s="4">
        <f>INDEX(Calculation!$A$1:$F$607,MATCH($A163,Calculation!$B:$B,0),MATCH(D$1,Calculation!$1:$1,0))</f>
        <v>90</v>
      </c>
      <c r="E163" s="4">
        <f>INDEX(Calculation!$A$1:$F$607,MATCH($A163,Calculation!$B:$B,0),MATCH(E$1,Calculation!$1:$1,0))</f>
        <v>1</v>
      </c>
    </row>
    <row r="164" spans="1:5" ht="16" x14ac:dyDescent="0.2">
      <c r="A164" s="2" t="s">
        <v>604</v>
      </c>
      <c r="B164" s="4">
        <f>INDEX(Calculation!$A$1:$F$607,MATCH($A164,Calculation!$B:$B,0),MATCH(B$1,Calculation!$1:$1,0))</f>
        <v>37988</v>
      </c>
      <c r="C164" s="4">
        <f>INDEX(Calculation!$A$1:$F$607,MATCH($A164,Calculation!$B:$B,0),MATCH(C$1,Calculation!$1:$1,0))</f>
        <v>3330</v>
      </c>
      <c r="D164" s="4">
        <f>INDEX(Calculation!$A$1:$F$607,MATCH($A164,Calculation!$B:$B,0),MATCH(D$1,Calculation!$1:$1,0))</f>
        <v>84</v>
      </c>
      <c r="E164" s="4">
        <f>INDEX(Calculation!$A$1:$F$607,MATCH($A164,Calculation!$B:$B,0),MATCH(E$1,Calculation!$1:$1,0))</f>
        <v>10</v>
      </c>
    </row>
    <row r="165" spans="1:5" ht="16" x14ac:dyDescent="0.2">
      <c r="A165" s="2" t="s">
        <v>606</v>
      </c>
      <c r="B165" s="4">
        <f>INDEX(Calculation!$A$1:$F$607,MATCH($A165,Calculation!$B:$B,0),MATCH(B$1,Calculation!$1:$1,0))</f>
        <v>21858</v>
      </c>
      <c r="C165" s="4">
        <f>INDEX(Calculation!$A$1:$F$607,MATCH($A165,Calculation!$B:$B,0),MATCH(C$1,Calculation!$1:$1,0))</f>
        <v>2638</v>
      </c>
      <c r="D165" s="4">
        <f>INDEX(Calculation!$A$1:$F$607,MATCH($A165,Calculation!$B:$B,0),MATCH(D$1,Calculation!$1:$1,0))</f>
        <v>237</v>
      </c>
      <c r="E165" s="4">
        <f>INDEX(Calculation!$A$1:$F$607,MATCH($A165,Calculation!$B:$B,0),MATCH(E$1,Calculation!$1:$1,0))</f>
        <v>26</v>
      </c>
    </row>
    <row r="166" spans="1:5" ht="16" x14ac:dyDescent="0.2">
      <c r="A166" s="2" t="s">
        <v>609</v>
      </c>
      <c r="B166" s="4">
        <f>INDEX(Calculation!$A$1:$F$607,MATCH($A166,Calculation!$B:$B,0),MATCH(B$1,Calculation!$1:$1,0))</f>
        <v>16235</v>
      </c>
      <c r="C166" s="4">
        <f>INDEX(Calculation!$A$1:$F$607,MATCH($A166,Calculation!$B:$B,0),MATCH(C$1,Calculation!$1:$1,0))</f>
        <v>1167</v>
      </c>
      <c r="D166" s="4">
        <f>INDEX(Calculation!$A$1:$F$607,MATCH($A166,Calculation!$B:$B,0),MATCH(D$1,Calculation!$1:$1,0))</f>
        <v>34</v>
      </c>
      <c r="E166" s="4">
        <f>INDEX(Calculation!$A$1:$F$607,MATCH($A166,Calculation!$B:$B,0),MATCH(E$1,Calculation!$1:$1,0))</f>
        <v>0</v>
      </c>
    </row>
    <row r="167" spans="1:5" ht="16" x14ac:dyDescent="0.2">
      <c r="A167" s="2" t="s">
        <v>612</v>
      </c>
      <c r="B167" s="4">
        <f>INDEX(Calculation!$A$1:$F$607,MATCH($A167,Calculation!$B:$B,0),MATCH(B$1,Calculation!$1:$1,0))</f>
        <v>24972</v>
      </c>
      <c r="C167" s="4">
        <f>INDEX(Calculation!$A$1:$F$607,MATCH($A167,Calculation!$B:$B,0),MATCH(C$1,Calculation!$1:$1,0))</f>
        <v>2217</v>
      </c>
      <c r="D167" s="4">
        <f>INDEX(Calculation!$A$1:$F$607,MATCH($A167,Calculation!$B:$B,0),MATCH(D$1,Calculation!$1:$1,0))</f>
        <v>203</v>
      </c>
      <c r="E167" s="4">
        <f>INDEX(Calculation!$A$1:$F$607,MATCH($A167,Calculation!$B:$B,0),MATCH(E$1,Calculation!$1:$1,0))</f>
        <v>0</v>
      </c>
    </row>
    <row r="168" spans="1:5" ht="16" x14ac:dyDescent="0.2">
      <c r="A168" s="2" t="s">
        <v>615</v>
      </c>
      <c r="B168" s="4">
        <f>INDEX(Calculation!$A$1:$F$607,MATCH($A168,Calculation!$B:$B,0),MATCH(B$1,Calculation!$1:$1,0))</f>
        <v>12078</v>
      </c>
      <c r="C168" s="4">
        <f>INDEX(Calculation!$A$1:$F$607,MATCH($A168,Calculation!$B:$B,0),MATCH(C$1,Calculation!$1:$1,0))</f>
        <v>1221</v>
      </c>
      <c r="D168" s="4">
        <f>INDEX(Calculation!$A$1:$F$607,MATCH($A168,Calculation!$B:$B,0),MATCH(D$1,Calculation!$1:$1,0))</f>
        <v>83</v>
      </c>
      <c r="E168" s="4">
        <f>INDEX(Calculation!$A$1:$F$607,MATCH($A168,Calculation!$B:$B,0),MATCH(E$1,Calculation!$1:$1,0))</f>
        <v>0</v>
      </c>
    </row>
    <row r="169" spans="1:5" ht="16" x14ac:dyDescent="0.2">
      <c r="A169" s="2" t="s">
        <v>618</v>
      </c>
      <c r="B169" s="4">
        <f>INDEX(Calculation!$A$1:$F$607,MATCH($A169,Calculation!$B:$B,0),MATCH(B$1,Calculation!$1:$1,0))</f>
        <v>20069</v>
      </c>
      <c r="C169" s="4">
        <f>INDEX(Calculation!$A$1:$F$607,MATCH($A169,Calculation!$B:$B,0),MATCH(C$1,Calculation!$1:$1,0))</f>
        <v>1858</v>
      </c>
      <c r="D169" s="4">
        <f>INDEX(Calculation!$A$1:$F$607,MATCH($A169,Calculation!$B:$B,0),MATCH(D$1,Calculation!$1:$1,0))</f>
        <v>110</v>
      </c>
      <c r="E169" s="4">
        <f>INDEX(Calculation!$A$1:$F$607,MATCH($A169,Calculation!$B:$B,0),MATCH(E$1,Calculation!$1:$1,0))</f>
        <v>0</v>
      </c>
    </row>
    <row r="170" spans="1:5" ht="16" x14ac:dyDescent="0.2">
      <c r="A170" s="2" t="s">
        <v>620</v>
      </c>
      <c r="B170" s="4">
        <f>INDEX(Calculation!$A$1:$F$607,MATCH($A170,Calculation!$B:$B,0),MATCH(B$1,Calculation!$1:$1,0))</f>
        <v>13392</v>
      </c>
      <c r="C170" s="4">
        <f>INDEX(Calculation!$A$1:$F$607,MATCH($A170,Calculation!$B:$B,0),MATCH(C$1,Calculation!$1:$1,0))</f>
        <v>1388</v>
      </c>
      <c r="D170" s="4">
        <f>INDEX(Calculation!$A$1:$F$607,MATCH($A170,Calculation!$B:$B,0),MATCH(D$1,Calculation!$1:$1,0))</f>
        <v>73</v>
      </c>
      <c r="E170" s="4">
        <f>INDEX(Calculation!$A$1:$F$607,MATCH($A170,Calculation!$B:$B,0),MATCH(E$1,Calculation!$1:$1,0))</f>
        <v>1</v>
      </c>
    </row>
    <row r="171" spans="1:5" ht="16" x14ac:dyDescent="0.2">
      <c r="A171" s="2" t="s">
        <v>623</v>
      </c>
      <c r="B171" s="4">
        <f>INDEX(Calculation!$A$1:$F$607,MATCH($A171,Calculation!$B:$B,0),MATCH(B$1,Calculation!$1:$1,0))</f>
        <v>7931</v>
      </c>
      <c r="C171" s="4">
        <f>INDEX(Calculation!$A$1:$F$607,MATCH($A171,Calculation!$B:$B,0),MATCH(C$1,Calculation!$1:$1,0))</f>
        <v>1637</v>
      </c>
      <c r="D171" s="4">
        <f>INDEX(Calculation!$A$1:$F$607,MATCH($A171,Calculation!$B:$B,0),MATCH(D$1,Calculation!$1:$1,0))</f>
        <v>169</v>
      </c>
      <c r="E171" s="4">
        <f>INDEX(Calculation!$A$1:$F$607,MATCH($A171,Calculation!$B:$B,0),MATCH(E$1,Calculation!$1:$1,0))</f>
        <v>1</v>
      </c>
    </row>
    <row r="172" spans="1:5" ht="16" x14ac:dyDescent="0.2">
      <c r="A172" s="2" t="s">
        <v>626</v>
      </c>
      <c r="B172" s="4">
        <f>INDEX(Calculation!$A$1:$F$607,MATCH($A172,Calculation!$B:$B,0),MATCH(B$1,Calculation!$1:$1,0))</f>
        <v>12734</v>
      </c>
      <c r="C172" s="4">
        <f>INDEX(Calculation!$A$1:$F$607,MATCH($A172,Calculation!$B:$B,0),MATCH(C$1,Calculation!$1:$1,0))</f>
        <v>1134</v>
      </c>
      <c r="D172" s="4">
        <f>INDEX(Calculation!$A$1:$F$607,MATCH($A172,Calculation!$B:$B,0),MATCH(D$1,Calculation!$1:$1,0))</f>
        <v>48</v>
      </c>
      <c r="E172" s="4">
        <f>INDEX(Calculation!$A$1:$F$607,MATCH($A172,Calculation!$B:$B,0),MATCH(E$1,Calculation!$1:$1,0))</f>
        <v>7</v>
      </c>
    </row>
    <row r="173" spans="1:5" ht="16" x14ac:dyDescent="0.2">
      <c r="A173" s="2" t="s">
        <v>629</v>
      </c>
      <c r="B173" s="4">
        <f>INDEX(Calculation!$A$1:$F$607,MATCH($A173,Calculation!$B:$B,0),MATCH(B$1,Calculation!$1:$1,0))</f>
        <v>15021</v>
      </c>
      <c r="C173" s="4">
        <f>INDEX(Calculation!$A$1:$F$607,MATCH($A173,Calculation!$B:$B,0),MATCH(C$1,Calculation!$1:$1,0))</f>
        <v>2622</v>
      </c>
      <c r="D173" s="4">
        <f>INDEX(Calculation!$A$1:$F$607,MATCH($A173,Calculation!$B:$B,0),MATCH(D$1,Calculation!$1:$1,0))</f>
        <v>239</v>
      </c>
      <c r="E173" s="4">
        <f>INDEX(Calculation!$A$1:$F$607,MATCH($A173,Calculation!$B:$B,0),MATCH(E$1,Calculation!$1:$1,0))</f>
        <v>81</v>
      </c>
    </row>
    <row r="174" spans="1:5" ht="16" x14ac:dyDescent="0.2">
      <c r="A174" s="2" t="s">
        <v>632</v>
      </c>
      <c r="B174" s="4">
        <f>INDEX(Calculation!$A$1:$F$607,MATCH($A174,Calculation!$B:$B,0),MATCH(B$1,Calculation!$1:$1,0))</f>
        <v>14577</v>
      </c>
      <c r="C174" s="4">
        <f>INDEX(Calculation!$A$1:$F$607,MATCH($A174,Calculation!$B:$B,0),MATCH(C$1,Calculation!$1:$1,0))</f>
        <v>1472</v>
      </c>
      <c r="D174" s="4">
        <f>INDEX(Calculation!$A$1:$F$607,MATCH($A174,Calculation!$B:$B,0),MATCH(D$1,Calculation!$1:$1,0))</f>
        <v>110</v>
      </c>
      <c r="E174" s="4">
        <f>INDEX(Calculation!$A$1:$F$607,MATCH($A174,Calculation!$B:$B,0),MATCH(E$1,Calculation!$1:$1,0))</f>
        <v>5</v>
      </c>
    </row>
    <row r="175" spans="1:5" ht="16" x14ac:dyDescent="0.2">
      <c r="A175" s="2" t="s">
        <v>635</v>
      </c>
      <c r="B175" s="4">
        <f>INDEX(Calculation!$A$1:$F$607,MATCH($A175,Calculation!$B:$B,0),MATCH(B$1,Calculation!$1:$1,0))</f>
        <v>35218</v>
      </c>
      <c r="C175" s="4">
        <f>INDEX(Calculation!$A$1:$F$607,MATCH($A175,Calculation!$B:$B,0),MATCH(C$1,Calculation!$1:$1,0))</f>
        <v>5610</v>
      </c>
      <c r="D175" s="4">
        <f>INDEX(Calculation!$A$1:$F$607,MATCH($A175,Calculation!$B:$B,0),MATCH(D$1,Calculation!$1:$1,0))</f>
        <v>502</v>
      </c>
      <c r="E175" s="4">
        <f>INDEX(Calculation!$A$1:$F$607,MATCH($A175,Calculation!$B:$B,0),MATCH(E$1,Calculation!$1:$1,0))</f>
        <v>9</v>
      </c>
    </row>
    <row r="176" spans="1:5" ht="16" x14ac:dyDescent="0.2">
      <c r="A176" s="2" t="s">
        <v>638</v>
      </c>
      <c r="B176" s="4">
        <f>INDEX(Calculation!$A$1:$F$607,MATCH($A176,Calculation!$B:$B,0),MATCH(B$1,Calculation!$1:$1,0))</f>
        <v>15676</v>
      </c>
      <c r="C176" s="4">
        <f>INDEX(Calculation!$A$1:$F$607,MATCH($A176,Calculation!$B:$B,0),MATCH(C$1,Calculation!$1:$1,0))</f>
        <v>1053</v>
      </c>
      <c r="D176" s="4">
        <f>INDEX(Calculation!$A$1:$F$607,MATCH($A176,Calculation!$B:$B,0),MATCH(D$1,Calculation!$1:$1,0))</f>
        <v>39</v>
      </c>
      <c r="E176" s="4">
        <f>INDEX(Calculation!$A$1:$F$607,MATCH($A176,Calculation!$B:$B,0),MATCH(E$1,Calculation!$1:$1,0))</f>
        <v>9</v>
      </c>
    </row>
    <row r="177" spans="1:5" ht="16" x14ac:dyDescent="0.2">
      <c r="A177" s="2" t="s">
        <v>641</v>
      </c>
      <c r="B177" s="4">
        <f>INDEX(Calculation!$A$1:$F$607,MATCH($A177,Calculation!$B:$B,0),MATCH(B$1,Calculation!$1:$1,0))</f>
        <v>46846</v>
      </c>
      <c r="C177" s="4">
        <f>INDEX(Calculation!$A$1:$F$607,MATCH($A177,Calculation!$B:$B,0),MATCH(C$1,Calculation!$1:$1,0))</f>
        <v>3355</v>
      </c>
      <c r="D177" s="4">
        <f>INDEX(Calculation!$A$1:$F$607,MATCH($A177,Calculation!$B:$B,0),MATCH(D$1,Calculation!$1:$1,0))</f>
        <v>222</v>
      </c>
      <c r="E177" s="4">
        <f>INDEX(Calculation!$A$1:$F$607,MATCH($A177,Calculation!$B:$B,0),MATCH(E$1,Calculation!$1:$1,0))</f>
        <v>10</v>
      </c>
    </row>
    <row r="178" spans="1:5" ht="16" x14ac:dyDescent="0.2">
      <c r="A178" s="2" t="s">
        <v>643</v>
      </c>
      <c r="B178" s="4">
        <f>INDEX(Calculation!$A$1:$F$607,MATCH($A178,Calculation!$B:$B,0),MATCH(B$1,Calculation!$1:$1,0))</f>
        <v>24869</v>
      </c>
      <c r="C178" s="4">
        <f>INDEX(Calculation!$A$1:$F$607,MATCH($A178,Calculation!$B:$B,0),MATCH(C$1,Calculation!$1:$1,0))</f>
        <v>3894</v>
      </c>
      <c r="D178" s="4">
        <f>INDEX(Calculation!$A$1:$F$607,MATCH($A178,Calculation!$B:$B,0),MATCH(D$1,Calculation!$1:$1,0))</f>
        <v>503</v>
      </c>
      <c r="E178" s="4">
        <f>INDEX(Calculation!$A$1:$F$607,MATCH($A178,Calculation!$B:$B,0),MATCH(E$1,Calculation!$1:$1,0))</f>
        <v>5</v>
      </c>
    </row>
    <row r="179" spans="1:5" ht="16" x14ac:dyDescent="0.2">
      <c r="A179" s="2" t="s">
        <v>646</v>
      </c>
      <c r="B179" s="4">
        <f>INDEX(Calculation!$A$1:$F$607,MATCH($A179,Calculation!$B:$B,0),MATCH(B$1,Calculation!$1:$1,0))</f>
        <v>10761</v>
      </c>
      <c r="C179" s="4">
        <f>INDEX(Calculation!$A$1:$F$607,MATCH($A179,Calculation!$B:$B,0),MATCH(C$1,Calculation!$1:$1,0))</f>
        <v>1225</v>
      </c>
      <c r="D179" s="4">
        <f>INDEX(Calculation!$A$1:$F$607,MATCH($A179,Calculation!$B:$B,0),MATCH(D$1,Calculation!$1:$1,0))</f>
        <v>141</v>
      </c>
      <c r="E179" s="4">
        <f>INDEX(Calculation!$A$1:$F$607,MATCH($A179,Calculation!$B:$B,0),MATCH(E$1,Calculation!$1:$1,0))</f>
        <v>1</v>
      </c>
    </row>
    <row r="180" spans="1:5" ht="16" x14ac:dyDescent="0.2">
      <c r="A180" s="2" t="s">
        <v>648</v>
      </c>
      <c r="B180" s="4">
        <f>INDEX(Calculation!$A$1:$F$607,MATCH($A180,Calculation!$B:$B,0),MATCH(B$1,Calculation!$1:$1,0))</f>
        <v>47192</v>
      </c>
      <c r="C180" s="4">
        <f>INDEX(Calculation!$A$1:$F$607,MATCH($A180,Calculation!$B:$B,0),MATCH(C$1,Calculation!$1:$1,0))</f>
        <v>7310</v>
      </c>
      <c r="D180" s="4">
        <f>INDEX(Calculation!$A$1:$F$607,MATCH($A180,Calculation!$B:$B,0),MATCH(D$1,Calculation!$1:$1,0))</f>
        <v>557</v>
      </c>
      <c r="E180" s="4">
        <f>INDEX(Calculation!$A$1:$F$607,MATCH($A180,Calculation!$B:$B,0),MATCH(E$1,Calculation!$1:$1,0))</f>
        <v>33</v>
      </c>
    </row>
    <row r="181" spans="1:5" ht="16" x14ac:dyDescent="0.2">
      <c r="A181" s="2" t="s">
        <v>651</v>
      </c>
      <c r="B181" s="4">
        <f>INDEX(Calculation!$A$1:$F$607,MATCH($A181,Calculation!$B:$B,0),MATCH(B$1,Calculation!$1:$1,0))</f>
        <v>17758</v>
      </c>
      <c r="C181" s="4">
        <f>INDEX(Calculation!$A$1:$F$607,MATCH($A181,Calculation!$B:$B,0),MATCH(C$1,Calculation!$1:$1,0))</f>
        <v>1684</v>
      </c>
      <c r="D181" s="4">
        <f>INDEX(Calculation!$A$1:$F$607,MATCH($A181,Calculation!$B:$B,0),MATCH(D$1,Calculation!$1:$1,0))</f>
        <v>116</v>
      </c>
      <c r="E181" s="4">
        <f>INDEX(Calculation!$A$1:$F$607,MATCH($A181,Calculation!$B:$B,0),MATCH(E$1,Calculation!$1:$1,0))</f>
        <v>7</v>
      </c>
    </row>
    <row r="182" spans="1:5" ht="16" x14ac:dyDescent="0.2">
      <c r="A182" s="2" t="s">
        <v>653</v>
      </c>
      <c r="B182" s="4">
        <f>INDEX(Calculation!$A$1:$F$607,MATCH($A182,Calculation!$B:$B,0),MATCH(B$1,Calculation!$1:$1,0))</f>
        <v>23385</v>
      </c>
      <c r="C182" s="4">
        <f>INDEX(Calculation!$A$1:$F$607,MATCH($A182,Calculation!$B:$B,0),MATCH(C$1,Calculation!$1:$1,0))</f>
        <v>2085</v>
      </c>
      <c r="D182" s="4">
        <f>INDEX(Calculation!$A$1:$F$607,MATCH($A182,Calculation!$B:$B,0),MATCH(D$1,Calculation!$1:$1,0))</f>
        <v>156</v>
      </c>
      <c r="E182" s="4">
        <f>INDEX(Calculation!$A$1:$F$607,MATCH($A182,Calculation!$B:$B,0),MATCH(E$1,Calculation!$1:$1,0))</f>
        <v>4</v>
      </c>
    </row>
    <row r="183" spans="1:5" ht="16" x14ac:dyDescent="0.2">
      <c r="A183" s="2" t="s">
        <v>655</v>
      </c>
      <c r="B183" s="4">
        <f>INDEX(Calculation!$A$1:$F$607,MATCH($A183,Calculation!$B:$B,0),MATCH(B$1,Calculation!$1:$1,0))</f>
        <v>9567</v>
      </c>
      <c r="C183" s="4">
        <f>INDEX(Calculation!$A$1:$F$607,MATCH($A183,Calculation!$B:$B,0),MATCH(C$1,Calculation!$1:$1,0))</f>
        <v>1383</v>
      </c>
      <c r="D183" s="4">
        <f>INDEX(Calculation!$A$1:$F$607,MATCH($A183,Calculation!$B:$B,0),MATCH(D$1,Calculation!$1:$1,0))</f>
        <v>137</v>
      </c>
      <c r="E183" s="4">
        <f>INDEX(Calculation!$A$1:$F$607,MATCH($A183,Calculation!$B:$B,0),MATCH(E$1,Calculation!$1:$1,0))</f>
        <v>2</v>
      </c>
    </row>
    <row r="184" spans="1:5" ht="16" x14ac:dyDescent="0.2">
      <c r="A184" s="2" t="s">
        <v>658</v>
      </c>
      <c r="B184" s="4">
        <f>INDEX(Calculation!$A$1:$F$607,MATCH($A184,Calculation!$B:$B,0),MATCH(B$1,Calculation!$1:$1,0))</f>
        <v>19624</v>
      </c>
      <c r="C184" s="4">
        <f>INDEX(Calculation!$A$1:$F$607,MATCH($A184,Calculation!$B:$B,0),MATCH(C$1,Calculation!$1:$1,0))</f>
        <v>3024</v>
      </c>
      <c r="D184" s="4">
        <f>INDEX(Calculation!$A$1:$F$607,MATCH($A184,Calculation!$B:$B,0),MATCH(D$1,Calculation!$1:$1,0))</f>
        <v>119</v>
      </c>
      <c r="E184" s="4">
        <f>INDEX(Calculation!$A$1:$F$607,MATCH($A184,Calculation!$B:$B,0),MATCH(E$1,Calculation!$1:$1,0))</f>
        <v>4</v>
      </c>
    </row>
    <row r="185" spans="1:5" ht="16" x14ac:dyDescent="0.2">
      <c r="A185" s="2" t="s">
        <v>661</v>
      </c>
      <c r="B185" s="4">
        <f>INDEX(Calculation!$A$1:$F$607,MATCH($A185,Calculation!$B:$B,0),MATCH(B$1,Calculation!$1:$1,0))</f>
        <v>34106</v>
      </c>
      <c r="C185" s="4">
        <f>INDEX(Calculation!$A$1:$F$607,MATCH($A185,Calculation!$B:$B,0),MATCH(C$1,Calculation!$1:$1,0))</f>
        <v>3649</v>
      </c>
      <c r="D185" s="4">
        <f>INDEX(Calculation!$A$1:$F$607,MATCH($A185,Calculation!$B:$B,0),MATCH(D$1,Calculation!$1:$1,0))</f>
        <v>238</v>
      </c>
      <c r="E185" s="4">
        <f>INDEX(Calculation!$A$1:$F$607,MATCH($A185,Calculation!$B:$B,0),MATCH(E$1,Calculation!$1:$1,0))</f>
        <v>18</v>
      </c>
    </row>
    <row r="186" spans="1:5" ht="16" x14ac:dyDescent="0.2">
      <c r="A186" s="2" t="s">
        <v>664</v>
      </c>
      <c r="B186" s="4">
        <f>INDEX(Calculation!$A$1:$F$607,MATCH($A186,Calculation!$B:$B,0),MATCH(B$1,Calculation!$1:$1,0))</f>
        <v>22291</v>
      </c>
      <c r="C186" s="4">
        <f>INDEX(Calculation!$A$1:$F$607,MATCH($A186,Calculation!$B:$B,0),MATCH(C$1,Calculation!$1:$1,0))</f>
        <v>2954</v>
      </c>
      <c r="D186" s="4">
        <f>INDEX(Calculation!$A$1:$F$607,MATCH($A186,Calculation!$B:$B,0),MATCH(D$1,Calculation!$1:$1,0))</f>
        <v>267</v>
      </c>
      <c r="E186" s="4">
        <f>INDEX(Calculation!$A$1:$F$607,MATCH($A186,Calculation!$B:$B,0),MATCH(E$1,Calculation!$1:$1,0))</f>
        <v>39</v>
      </c>
    </row>
    <row r="187" spans="1:5" ht="16" x14ac:dyDescent="0.2">
      <c r="A187" s="2" t="s">
        <v>667</v>
      </c>
      <c r="B187" s="4">
        <f>INDEX(Calculation!$A$1:$F$607,MATCH($A187,Calculation!$B:$B,0),MATCH(B$1,Calculation!$1:$1,0))</f>
        <v>24092</v>
      </c>
      <c r="C187" s="4">
        <f>INDEX(Calculation!$A$1:$F$607,MATCH($A187,Calculation!$B:$B,0),MATCH(C$1,Calculation!$1:$1,0))</f>
        <v>4031</v>
      </c>
      <c r="D187" s="4">
        <f>INDEX(Calculation!$A$1:$F$607,MATCH($A187,Calculation!$B:$B,0),MATCH(D$1,Calculation!$1:$1,0))</f>
        <v>358</v>
      </c>
      <c r="E187" s="4">
        <f>INDEX(Calculation!$A$1:$F$607,MATCH($A187,Calculation!$B:$B,0),MATCH(E$1,Calculation!$1:$1,0))</f>
        <v>12</v>
      </c>
    </row>
    <row r="188" spans="1:5" ht="16" x14ac:dyDescent="0.2">
      <c r="A188" s="2" t="s">
        <v>670</v>
      </c>
      <c r="B188" s="4">
        <f>INDEX(Calculation!$A$1:$F$607,MATCH($A188,Calculation!$B:$B,0),MATCH(B$1,Calculation!$1:$1,0))</f>
        <v>20732</v>
      </c>
      <c r="C188" s="4">
        <f>INDEX(Calculation!$A$1:$F$607,MATCH($A188,Calculation!$B:$B,0),MATCH(C$1,Calculation!$1:$1,0))</f>
        <v>2283</v>
      </c>
      <c r="D188" s="4">
        <f>INDEX(Calculation!$A$1:$F$607,MATCH($A188,Calculation!$B:$B,0),MATCH(D$1,Calculation!$1:$1,0))</f>
        <v>220</v>
      </c>
      <c r="E188" s="4">
        <f>INDEX(Calculation!$A$1:$F$607,MATCH($A188,Calculation!$B:$B,0),MATCH(E$1,Calculation!$1:$1,0))</f>
        <v>10</v>
      </c>
    </row>
    <row r="189" spans="1:5" ht="16" x14ac:dyDescent="0.2">
      <c r="A189" s="2" t="s">
        <v>673</v>
      </c>
      <c r="B189" s="4">
        <f>INDEX(Calculation!$A$1:$F$607,MATCH($A189,Calculation!$B:$B,0),MATCH(B$1,Calculation!$1:$1,0))</f>
        <v>7153</v>
      </c>
      <c r="C189" s="4">
        <f>INDEX(Calculation!$A$1:$F$607,MATCH($A189,Calculation!$B:$B,0),MATCH(C$1,Calculation!$1:$1,0))</f>
        <v>1193</v>
      </c>
      <c r="D189" s="4">
        <f>INDEX(Calculation!$A$1:$F$607,MATCH($A189,Calculation!$B:$B,0),MATCH(D$1,Calculation!$1:$1,0))</f>
        <v>116</v>
      </c>
      <c r="E189" s="4">
        <f>INDEX(Calculation!$A$1:$F$607,MATCH($A189,Calculation!$B:$B,0),MATCH(E$1,Calculation!$1:$1,0))</f>
        <v>0</v>
      </c>
    </row>
    <row r="190" spans="1:5" ht="16" x14ac:dyDescent="0.2">
      <c r="A190" s="2" t="s">
        <v>676</v>
      </c>
      <c r="B190" s="4">
        <f>INDEX(Calculation!$A$1:$F$607,MATCH($A190,Calculation!$B:$B,0),MATCH(B$1,Calculation!$1:$1,0))</f>
        <v>4799</v>
      </c>
      <c r="C190" s="4">
        <f>INDEX(Calculation!$A$1:$F$607,MATCH($A190,Calculation!$B:$B,0),MATCH(C$1,Calculation!$1:$1,0))</f>
        <v>451</v>
      </c>
      <c r="D190" s="4">
        <f>INDEX(Calculation!$A$1:$F$607,MATCH($A190,Calculation!$B:$B,0),MATCH(D$1,Calculation!$1:$1,0))</f>
        <v>18</v>
      </c>
      <c r="E190" s="4">
        <f>INDEX(Calculation!$A$1:$F$607,MATCH($A190,Calculation!$B:$B,0),MATCH(E$1,Calculation!$1:$1,0))</f>
        <v>1</v>
      </c>
    </row>
    <row r="191" spans="1:5" ht="16" x14ac:dyDescent="0.2">
      <c r="A191" s="2" t="s">
        <v>679</v>
      </c>
      <c r="B191" s="4">
        <f>INDEX(Calculation!$A$1:$F$607,MATCH($A191,Calculation!$B:$B,0),MATCH(B$1,Calculation!$1:$1,0))</f>
        <v>13251</v>
      </c>
      <c r="C191" s="4">
        <f>INDEX(Calculation!$A$1:$F$607,MATCH($A191,Calculation!$B:$B,0),MATCH(C$1,Calculation!$1:$1,0))</f>
        <v>2574</v>
      </c>
      <c r="D191" s="4">
        <f>INDEX(Calculation!$A$1:$F$607,MATCH($A191,Calculation!$B:$B,0),MATCH(D$1,Calculation!$1:$1,0))</f>
        <v>225</v>
      </c>
      <c r="E191" s="4">
        <f>INDEX(Calculation!$A$1:$F$607,MATCH($A191,Calculation!$B:$B,0),MATCH(E$1,Calculation!$1:$1,0))</f>
        <v>11</v>
      </c>
    </row>
    <row r="192" spans="1:5" ht="16" x14ac:dyDescent="0.2">
      <c r="A192" s="2" t="s">
        <v>682</v>
      </c>
      <c r="B192" s="4">
        <f>INDEX(Calculation!$A$1:$F$607,MATCH($A192,Calculation!$B:$B,0),MATCH(B$1,Calculation!$1:$1,0))</f>
        <v>10579</v>
      </c>
      <c r="C192" s="4">
        <f>INDEX(Calculation!$A$1:$F$607,MATCH($A192,Calculation!$B:$B,0),MATCH(C$1,Calculation!$1:$1,0))</f>
        <v>1506</v>
      </c>
      <c r="D192" s="4">
        <f>INDEX(Calculation!$A$1:$F$607,MATCH($A192,Calculation!$B:$B,0),MATCH(D$1,Calculation!$1:$1,0))</f>
        <v>105</v>
      </c>
      <c r="E192" s="4">
        <f>INDEX(Calculation!$A$1:$F$607,MATCH($A192,Calculation!$B:$B,0),MATCH(E$1,Calculation!$1:$1,0))</f>
        <v>2</v>
      </c>
    </row>
    <row r="193" spans="1:5" ht="16" x14ac:dyDescent="0.2">
      <c r="A193" s="2" t="s">
        <v>685</v>
      </c>
      <c r="B193" s="4">
        <f>INDEX(Calculation!$A$1:$F$607,MATCH($A193,Calculation!$B:$B,0),MATCH(B$1,Calculation!$1:$1,0))</f>
        <v>32187</v>
      </c>
      <c r="C193" s="4">
        <f>INDEX(Calculation!$A$1:$F$607,MATCH($A193,Calculation!$B:$B,0),MATCH(C$1,Calculation!$1:$1,0))</f>
        <v>3041</v>
      </c>
      <c r="D193" s="4">
        <f>INDEX(Calculation!$A$1:$F$607,MATCH($A193,Calculation!$B:$B,0),MATCH(D$1,Calculation!$1:$1,0))</f>
        <v>134</v>
      </c>
      <c r="E193" s="4">
        <f>INDEX(Calculation!$A$1:$F$607,MATCH($A193,Calculation!$B:$B,0),MATCH(E$1,Calculation!$1:$1,0))</f>
        <v>13</v>
      </c>
    </row>
    <row r="194" spans="1:5" ht="16" x14ac:dyDescent="0.2">
      <c r="A194" s="2" t="s">
        <v>688</v>
      </c>
      <c r="B194" s="4">
        <f>INDEX(Calculation!$A$1:$F$607,MATCH($A194,Calculation!$B:$B,0),MATCH(B$1,Calculation!$1:$1,0))</f>
        <v>16113</v>
      </c>
      <c r="C194" s="4">
        <f>INDEX(Calculation!$A$1:$F$607,MATCH($A194,Calculation!$B:$B,0),MATCH(C$1,Calculation!$1:$1,0))</f>
        <v>2398</v>
      </c>
      <c r="D194" s="4">
        <f>INDEX(Calculation!$A$1:$F$607,MATCH($A194,Calculation!$B:$B,0),MATCH(D$1,Calculation!$1:$1,0))</f>
        <v>264</v>
      </c>
      <c r="E194" s="4">
        <f>INDEX(Calculation!$A$1:$F$607,MATCH($A194,Calculation!$B:$B,0),MATCH(E$1,Calculation!$1:$1,0))</f>
        <v>19</v>
      </c>
    </row>
    <row r="195" spans="1:5" ht="16" x14ac:dyDescent="0.2">
      <c r="A195" s="2" t="s">
        <v>691</v>
      </c>
      <c r="B195" s="4">
        <f>INDEX(Calculation!$A$1:$F$607,MATCH($A195,Calculation!$B:$B,0),MATCH(B$1,Calculation!$1:$1,0))</f>
        <v>22898</v>
      </c>
      <c r="C195" s="4">
        <f>INDEX(Calculation!$A$1:$F$607,MATCH($A195,Calculation!$B:$B,0),MATCH(C$1,Calculation!$1:$1,0))</f>
        <v>3114</v>
      </c>
      <c r="D195" s="4">
        <f>INDEX(Calculation!$A$1:$F$607,MATCH($A195,Calculation!$B:$B,0),MATCH(D$1,Calculation!$1:$1,0))</f>
        <v>326</v>
      </c>
      <c r="E195" s="4">
        <f>INDEX(Calculation!$A$1:$F$607,MATCH($A195,Calculation!$B:$B,0),MATCH(E$1,Calculation!$1:$1,0))</f>
        <v>1</v>
      </c>
    </row>
    <row r="196" spans="1:5" ht="16" x14ac:dyDescent="0.2">
      <c r="A196" s="2" t="s">
        <v>693</v>
      </c>
      <c r="B196" s="4">
        <f>INDEX(Calculation!$A$1:$F$607,MATCH($A196,Calculation!$B:$B,0),MATCH(B$1,Calculation!$1:$1,0))</f>
        <v>71811</v>
      </c>
      <c r="C196" s="4">
        <f>INDEX(Calculation!$A$1:$F$607,MATCH($A196,Calculation!$B:$B,0),MATCH(C$1,Calculation!$1:$1,0))</f>
        <v>4974</v>
      </c>
      <c r="D196" s="4">
        <f>INDEX(Calculation!$A$1:$F$607,MATCH($A196,Calculation!$B:$B,0),MATCH(D$1,Calculation!$1:$1,0))</f>
        <v>454</v>
      </c>
      <c r="E196" s="4">
        <f>INDEX(Calculation!$A$1:$F$607,MATCH($A196,Calculation!$B:$B,0),MATCH(E$1,Calculation!$1:$1,0))</f>
        <v>10</v>
      </c>
    </row>
    <row r="197" spans="1:5" ht="16" x14ac:dyDescent="0.2">
      <c r="A197" s="2" t="s">
        <v>695</v>
      </c>
      <c r="B197" s="4">
        <f>INDEX(Calculation!$A$1:$F$607,MATCH($A197,Calculation!$B:$B,0),MATCH(B$1,Calculation!$1:$1,0))</f>
        <v>42601</v>
      </c>
      <c r="C197" s="4">
        <f>INDEX(Calculation!$A$1:$F$607,MATCH($A197,Calculation!$B:$B,0),MATCH(C$1,Calculation!$1:$1,0))</f>
        <v>3151</v>
      </c>
      <c r="D197" s="4">
        <f>INDEX(Calculation!$A$1:$F$607,MATCH($A197,Calculation!$B:$B,0),MATCH(D$1,Calculation!$1:$1,0))</f>
        <v>106</v>
      </c>
      <c r="E197" s="4">
        <f>INDEX(Calculation!$A$1:$F$607,MATCH($A197,Calculation!$B:$B,0),MATCH(E$1,Calculation!$1:$1,0))</f>
        <v>7</v>
      </c>
    </row>
    <row r="198" spans="1:5" ht="16" x14ac:dyDescent="0.2">
      <c r="A198" s="2" t="s">
        <v>698</v>
      </c>
      <c r="B198" s="4">
        <f>INDEX(Calculation!$A$1:$F$607,MATCH($A198,Calculation!$B:$B,0),MATCH(B$1,Calculation!$1:$1,0))</f>
        <v>24938</v>
      </c>
      <c r="C198" s="4">
        <f>INDEX(Calculation!$A$1:$F$607,MATCH($A198,Calculation!$B:$B,0),MATCH(C$1,Calculation!$1:$1,0))</f>
        <v>3836</v>
      </c>
      <c r="D198" s="4">
        <f>INDEX(Calculation!$A$1:$F$607,MATCH($A198,Calculation!$B:$B,0),MATCH(D$1,Calculation!$1:$1,0))</f>
        <v>233</v>
      </c>
      <c r="E198" s="4">
        <f>INDEX(Calculation!$A$1:$F$607,MATCH($A198,Calculation!$B:$B,0),MATCH(E$1,Calculation!$1:$1,0))</f>
        <v>0</v>
      </c>
    </row>
    <row r="199" spans="1:5" ht="16" x14ac:dyDescent="0.2">
      <c r="A199" s="2" t="s">
        <v>701</v>
      </c>
      <c r="B199" s="4">
        <f>INDEX(Calculation!$A$1:$F$607,MATCH($A199,Calculation!$B:$B,0),MATCH(B$1,Calculation!$1:$1,0))</f>
        <v>4810</v>
      </c>
      <c r="C199" s="4">
        <f>INDEX(Calculation!$A$1:$F$607,MATCH($A199,Calculation!$B:$B,0),MATCH(C$1,Calculation!$1:$1,0))</f>
        <v>731</v>
      </c>
      <c r="D199" s="4">
        <f>INDEX(Calculation!$A$1:$F$607,MATCH($A199,Calculation!$B:$B,0),MATCH(D$1,Calculation!$1:$1,0))</f>
        <v>15</v>
      </c>
      <c r="E199" s="4">
        <f>INDEX(Calculation!$A$1:$F$607,MATCH($A199,Calculation!$B:$B,0),MATCH(E$1,Calculation!$1:$1,0))</f>
        <v>1</v>
      </c>
    </row>
    <row r="200" spans="1:5" ht="16" x14ac:dyDescent="0.2">
      <c r="A200" s="2" t="s">
        <v>704</v>
      </c>
      <c r="B200" s="4">
        <f>INDEX(Calculation!$A$1:$F$607,MATCH($A200,Calculation!$B:$B,0),MATCH(B$1,Calculation!$1:$1,0))</f>
        <v>17968</v>
      </c>
      <c r="C200" s="4">
        <f>INDEX(Calculation!$A$1:$F$607,MATCH($A200,Calculation!$B:$B,0),MATCH(C$1,Calculation!$1:$1,0))</f>
        <v>1831</v>
      </c>
      <c r="D200" s="4">
        <f>INDEX(Calculation!$A$1:$F$607,MATCH($A200,Calculation!$B:$B,0),MATCH(D$1,Calculation!$1:$1,0))</f>
        <v>82</v>
      </c>
      <c r="E200" s="4">
        <f>INDEX(Calculation!$A$1:$F$607,MATCH($A200,Calculation!$B:$B,0),MATCH(E$1,Calculation!$1:$1,0))</f>
        <v>4</v>
      </c>
    </row>
    <row r="201" spans="1:5" ht="16" x14ac:dyDescent="0.2">
      <c r="A201" s="2" t="s">
        <v>707</v>
      </c>
      <c r="B201" s="4">
        <f>INDEX(Calculation!$A$1:$F$607,MATCH($A201,Calculation!$B:$B,0),MATCH(B$1,Calculation!$1:$1,0))</f>
        <v>25773</v>
      </c>
      <c r="C201" s="4">
        <f>INDEX(Calculation!$A$1:$F$607,MATCH($A201,Calculation!$B:$B,0),MATCH(C$1,Calculation!$1:$1,0))</f>
        <v>3814</v>
      </c>
      <c r="D201" s="4">
        <f>INDEX(Calculation!$A$1:$F$607,MATCH($A201,Calculation!$B:$B,0),MATCH(D$1,Calculation!$1:$1,0))</f>
        <v>144</v>
      </c>
      <c r="E201" s="4">
        <f>INDEX(Calculation!$A$1:$F$607,MATCH($A201,Calculation!$B:$B,0),MATCH(E$1,Calculation!$1:$1,0))</f>
        <v>18</v>
      </c>
    </row>
    <row r="202" spans="1:5" ht="16" x14ac:dyDescent="0.2">
      <c r="A202" s="2" t="s">
        <v>710</v>
      </c>
      <c r="B202" s="4">
        <f>INDEX(Calculation!$A$1:$F$607,MATCH($A202,Calculation!$B:$B,0),MATCH(B$1,Calculation!$1:$1,0))</f>
        <v>22980</v>
      </c>
      <c r="C202" s="4">
        <f>INDEX(Calculation!$A$1:$F$607,MATCH($A202,Calculation!$B:$B,0),MATCH(C$1,Calculation!$1:$1,0))</f>
        <v>2401</v>
      </c>
      <c r="D202" s="4">
        <f>INDEX(Calculation!$A$1:$F$607,MATCH($A202,Calculation!$B:$B,0),MATCH(D$1,Calculation!$1:$1,0))</f>
        <v>242</v>
      </c>
      <c r="E202" s="4">
        <f>INDEX(Calculation!$A$1:$F$607,MATCH($A202,Calculation!$B:$B,0),MATCH(E$1,Calculation!$1:$1,0))</f>
        <v>84</v>
      </c>
    </row>
    <row r="203" spans="1:5" ht="16" x14ac:dyDescent="0.2">
      <c r="A203" s="2" t="s">
        <v>713</v>
      </c>
      <c r="B203" s="4">
        <f>INDEX(Calculation!$A$1:$F$607,MATCH($A203,Calculation!$B:$B,0),MATCH(B$1,Calculation!$1:$1,0))</f>
        <v>13484</v>
      </c>
      <c r="C203" s="4">
        <f>INDEX(Calculation!$A$1:$F$607,MATCH($A203,Calculation!$B:$B,0),MATCH(C$1,Calculation!$1:$1,0))</f>
        <v>1139</v>
      </c>
      <c r="D203" s="4">
        <f>INDEX(Calculation!$A$1:$F$607,MATCH($A203,Calculation!$B:$B,0),MATCH(D$1,Calculation!$1:$1,0))</f>
        <v>46</v>
      </c>
      <c r="E203" s="4">
        <f>INDEX(Calculation!$A$1:$F$607,MATCH($A203,Calculation!$B:$B,0),MATCH(E$1,Calculation!$1:$1,0))</f>
        <v>0</v>
      </c>
    </row>
    <row r="204" spans="1:5" ht="16" x14ac:dyDescent="0.2">
      <c r="A204" s="2" t="s">
        <v>716</v>
      </c>
      <c r="B204" s="4">
        <f>INDEX(Calculation!$A$1:$F$607,MATCH($A204,Calculation!$B:$B,0),MATCH(B$1,Calculation!$1:$1,0))</f>
        <v>14617</v>
      </c>
      <c r="C204" s="4">
        <f>INDEX(Calculation!$A$1:$F$607,MATCH($A204,Calculation!$B:$B,0),MATCH(C$1,Calculation!$1:$1,0))</f>
        <v>2224</v>
      </c>
      <c r="D204" s="4">
        <f>INDEX(Calculation!$A$1:$F$607,MATCH($A204,Calculation!$B:$B,0),MATCH(D$1,Calculation!$1:$1,0))</f>
        <v>126</v>
      </c>
      <c r="E204" s="4">
        <f>INDEX(Calculation!$A$1:$F$607,MATCH($A204,Calculation!$B:$B,0),MATCH(E$1,Calculation!$1:$1,0))</f>
        <v>13</v>
      </c>
    </row>
    <row r="205" spans="1:5" ht="16" x14ac:dyDescent="0.2">
      <c r="A205" s="2" t="s">
        <v>718</v>
      </c>
      <c r="B205" s="4">
        <f>INDEX(Calculation!$A$1:$F$607,MATCH($A205,Calculation!$B:$B,0),MATCH(B$1,Calculation!$1:$1,0))</f>
        <v>11040</v>
      </c>
      <c r="C205" s="4">
        <f>INDEX(Calculation!$A$1:$F$607,MATCH($A205,Calculation!$B:$B,0),MATCH(C$1,Calculation!$1:$1,0))</f>
        <v>497</v>
      </c>
      <c r="D205" s="4">
        <f>INDEX(Calculation!$A$1:$F$607,MATCH($A205,Calculation!$B:$B,0),MATCH(D$1,Calculation!$1:$1,0))</f>
        <v>78</v>
      </c>
      <c r="E205" s="4">
        <f>INDEX(Calculation!$A$1:$F$607,MATCH($A205,Calculation!$B:$B,0),MATCH(E$1,Calculation!$1:$1,0))</f>
        <v>0</v>
      </c>
    </row>
    <row r="206" spans="1:5" ht="16" x14ac:dyDescent="0.2">
      <c r="A206" s="2" t="s">
        <v>721</v>
      </c>
      <c r="B206" s="4">
        <f>INDEX(Calculation!$A$1:$F$607,MATCH($A206,Calculation!$B:$B,0),MATCH(B$1,Calculation!$1:$1,0))</f>
        <v>11287</v>
      </c>
      <c r="C206" s="4">
        <f>INDEX(Calculation!$A$1:$F$607,MATCH($A206,Calculation!$B:$B,0),MATCH(C$1,Calculation!$1:$1,0))</f>
        <v>1557</v>
      </c>
      <c r="D206" s="4">
        <f>INDEX(Calculation!$A$1:$F$607,MATCH($A206,Calculation!$B:$B,0),MATCH(D$1,Calculation!$1:$1,0))</f>
        <v>121</v>
      </c>
      <c r="E206" s="4">
        <f>INDEX(Calculation!$A$1:$F$607,MATCH($A206,Calculation!$B:$B,0),MATCH(E$1,Calculation!$1:$1,0))</f>
        <v>7</v>
      </c>
    </row>
    <row r="207" spans="1:5" ht="16" x14ac:dyDescent="0.2">
      <c r="A207" s="2" t="s">
        <v>724</v>
      </c>
      <c r="B207" s="4">
        <f>INDEX(Calculation!$A$1:$F$607,MATCH($A207,Calculation!$B:$B,0),MATCH(B$1,Calculation!$1:$1,0))</f>
        <v>17927</v>
      </c>
      <c r="C207" s="4">
        <f>INDEX(Calculation!$A$1:$F$607,MATCH($A207,Calculation!$B:$B,0),MATCH(C$1,Calculation!$1:$1,0))</f>
        <v>2009</v>
      </c>
      <c r="D207" s="4">
        <f>INDEX(Calculation!$A$1:$F$607,MATCH($A207,Calculation!$B:$B,0),MATCH(D$1,Calculation!$1:$1,0))</f>
        <v>102</v>
      </c>
      <c r="E207" s="4">
        <f>INDEX(Calculation!$A$1:$F$607,MATCH($A207,Calculation!$B:$B,0),MATCH(E$1,Calculation!$1:$1,0))</f>
        <v>0</v>
      </c>
    </row>
    <row r="208" spans="1:5" ht="16" x14ac:dyDescent="0.2">
      <c r="A208" s="2" t="s">
        <v>726</v>
      </c>
      <c r="B208" s="4">
        <f>INDEX(Calculation!$A$1:$F$607,MATCH($A208,Calculation!$B:$B,0),MATCH(B$1,Calculation!$1:$1,0))</f>
        <v>21789</v>
      </c>
      <c r="C208" s="4">
        <f>INDEX(Calculation!$A$1:$F$607,MATCH($A208,Calculation!$B:$B,0),MATCH(C$1,Calculation!$1:$1,0))</f>
        <v>2214</v>
      </c>
      <c r="D208" s="4">
        <f>INDEX(Calculation!$A$1:$F$607,MATCH($A208,Calculation!$B:$B,0),MATCH(D$1,Calculation!$1:$1,0))</f>
        <v>151</v>
      </c>
      <c r="E208" s="4">
        <f>INDEX(Calculation!$A$1:$F$607,MATCH($A208,Calculation!$B:$B,0),MATCH(E$1,Calculation!$1:$1,0))</f>
        <v>6</v>
      </c>
    </row>
    <row r="209" spans="1:5" ht="16" x14ac:dyDescent="0.2">
      <c r="A209" s="2" t="s">
        <v>729</v>
      </c>
      <c r="B209" s="4">
        <f>INDEX(Calculation!$A$1:$F$607,MATCH($A209,Calculation!$B:$B,0),MATCH(B$1,Calculation!$1:$1,0))</f>
        <v>12329</v>
      </c>
      <c r="C209" s="4">
        <f>INDEX(Calculation!$A$1:$F$607,MATCH($A209,Calculation!$B:$B,0),MATCH(C$1,Calculation!$1:$1,0))</f>
        <v>1884</v>
      </c>
      <c r="D209" s="4">
        <f>INDEX(Calculation!$A$1:$F$607,MATCH($A209,Calculation!$B:$B,0),MATCH(D$1,Calculation!$1:$1,0))</f>
        <v>208</v>
      </c>
      <c r="E209" s="4">
        <f>INDEX(Calculation!$A$1:$F$607,MATCH($A209,Calculation!$B:$B,0),MATCH(E$1,Calculation!$1:$1,0))</f>
        <v>5</v>
      </c>
    </row>
    <row r="210" spans="1:5" ht="16" x14ac:dyDescent="0.2">
      <c r="A210" s="2" t="s">
        <v>732</v>
      </c>
      <c r="B210" s="4">
        <f>INDEX(Calculation!$A$1:$F$607,MATCH($A210,Calculation!$B:$B,0),MATCH(B$1,Calculation!$1:$1,0))</f>
        <v>16772</v>
      </c>
      <c r="C210" s="4">
        <f>INDEX(Calculation!$A$1:$F$607,MATCH($A210,Calculation!$B:$B,0),MATCH(C$1,Calculation!$1:$1,0))</f>
        <v>1787</v>
      </c>
      <c r="D210" s="4">
        <f>INDEX(Calculation!$A$1:$F$607,MATCH($A210,Calculation!$B:$B,0),MATCH(D$1,Calculation!$1:$1,0))</f>
        <v>109</v>
      </c>
      <c r="E210" s="4">
        <f>INDEX(Calculation!$A$1:$F$607,MATCH($A210,Calculation!$B:$B,0),MATCH(E$1,Calculation!$1:$1,0))</f>
        <v>29</v>
      </c>
    </row>
    <row r="211" spans="1:5" ht="16" x14ac:dyDescent="0.2">
      <c r="A211" s="2" t="s">
        <v>734</v>
      </c>
      <c r="B211" s="4">
        <f>INDEX(Calculation!$A$1:$F$607,MATCH($A211,Calculation!$B:$B,0),MATCH(B$1,Calculation!$1:$1,0))</f>
        <v>10182</v>
      </c>
      <c r="C211" s="4">
        <f>INDEX(Calculation!$A$1:$F$607,MATCH($A211,Calculation!$B:$B,0),MATCH(C$1,Calculation!$1:$1,0))</f>
        <v>1071</v>
      </c>
      <c r="D211" s="4">
        <f>INDEX(Calculation!$A$1:$F$607,MATCH($A211,Calculation!$B:$B,0),MATCH(D$1,Calculation!$1:$1,0))</f>
        <v>40</v>
      </c>
      <c r="E211" s="4">
        <f>INDEX(Calculation!$A$1:$F$607,MATCH($A211,Calculation!$B:$B,0),MATCH(E$1,Calculation!$1:$1,0))</f>
        <v>10</v>
      </c>
    </row>
    <row r="212" spans="1:5" ht="16" x14ac:dyDescent="0.2">
      <c r="A212" s="2" t="s">
        <v>737</v>
      </c>
      <c r="B212" s="4">
        <f>INDEX(Calculation!$A$1:$F$607,MATCH($A212,Calculation!$B:$B,0),MATCH(B$1,Calculation!$1:$1,0))</f>
        <v>10401</v>
      </c>
      <c r="C212" s="4">
        <f>INDEX(Calculation!$A$1:$F$607,MATCH($A212,Calculation!$B:$B,0),MATCH(C$1,Calculation!$1:$1,0))</f>
        <v>1393</v>
      </c>
      <c r="D212" s="4">
        <f>INDEX(Calculation!$A$1:$F$607,MATCH($A212,Calculation!$B:$B,0),MATCH(D$1,Calculation!$1:$1,0))</f>
        <v>75</v>
      </c>
      <c r="E212" s="4">
        <f>INDEX(Calculation!$A$1:$F$607,MATCH($A212,Calculation!$B:$B,0),MATCH(E$1,Calculation!$1:$1,0))</f>
        <v>2</v>
      </c>
    </row>
    <row r="213" spans="1:5" ht="16" x14ac:dyDescent="0.2">
      <c r="A213" s="2" t="s">
        <v>739</v>
      </c>
      <c r="B213" s="4">
        <f>INDEX(Calculation!$A$1:$F$607,MATCH($A213,Calculation!$B:$B,0),MATCH(B$1,Calculation!$1:$1,0))</f>
        <v>16764</v>
      </c>
      <c r="C213" s="4">
        <f>INDEX(Calculation!$A$1:$F$607,MATCH($A213,Calculation!$B:$B,0),MATCH(C$1,Calculation!$1:$1,0))</f>
        <v>2473</v>
      </c>
      <c r="D213" s="4">
        <f>INDEX(Calculation!$A$1:$F$607,MATCH($A213,Calculation!$B:$B,0),MATCH(D$1,Calculation!$1:$1,0))</f>
        <v>339</v>
      </c>
      <c r="E213" s="4">
        <f>INDEX(Calculation!$A$1:$F$607,MATCH($A213,Calculation!$B:$B,0),MATCH(E$1,Calculation!$1:$1,0))</f>
        <v>5</v>
      </c>
    </row>
    <row r="214" spans="1:5" ht="16" x14ac:dyDescent="0.2">
      <c r="A214" s="2" t="s">
        <v>742</v>
      </c>
      <c r="B214" s="4">
        <f>INDEX(Calculation!$A$1:$F$607,MATCH($A214,Calculation!$B:$B,0),MATCH(B$1,Calculation!$1:$1,0))</f>
        <v>31753</v>
      </c>
      <c r="C214" s="4">
        <f>INDEX(Calculation!$A$1:$F$607,MATCH($A214,Calculation!$B:$B,0),MATCH(C$1,Calculation!$1:$1,0))</f>
        <v>3425</v>
      </c>
      <c r="D214" s="4">
        <f>INDEX(Calculation!$A$1:$F$607,MATCH($A214,Calculation!$B:$B,0),MATCH(D$1,Calculation!$1:$1,0))</f>
        <v>299</v>
      </c>
      <c r="E214" s="4">
        <f>INDEX(Calculation!$A$1:$F$607,MATCH($A214,Calculation!$B:$B,0),MATCH(E$1,Calculation!$1:$1,0))</f>
        <v>15</v>
      </c>
    </row>
    <row r="215" spans="1:5" ht="16" x14ac:dyDescent="0.2">
      <c r="A215" s="2" t="s">
        <v>745</v>
      </c>
      <c r="B215" s="4">
        <f>INDEX(Calculation!$A$1:$F$607,MATCH($A215,Calculation!$B:$B,0),MATCH(B$1,Calculation!$1:$1,0))</f>
        <v>14961</v>
      </c>
      <c r="C215" s="4">
        <f>INDEX(Calculation!$A$1:$F$607,MATCH($A215,Calculation!$B:$B,0),MATCH(C$1,Calculation!$1:$1,0))</f>
        <v>2019</v>
      </c>
      <c r="D215" s="4">
        <f>INDEX(Calculation!$A$1:$F$607,MATCH($A215,Calculation!$B:$B,0),MATCH(D$1,Calculation!$1:$1,0))</f>
        <v>161</v>
      </c>
      <c r="E215" s="4">
        <f>INDEX(Calculation!$A$1:$F$607,MATCH($A215,Calculation!$B:$B,0),MATCH(E$1,Calculation!$1:$1,0))</f>
        <v>5</v>
      </c>
    </row>
    <row r="216" spans="1:5" ht="16" x14ac:dyDescent="0.2">
      <c r="A216" s="2" t="s">
        <v>748</v>
      </c>
      <c r="B216" s="4">
        <f>INDEX(Calculation!$A$1:$F$607,MATCH($A216,Calculation!$B:$B,0),MATCH(B$1,Calculation!$1:$1,0))</f>
        <v>5108</v>
      </c>
      <c r="C216" s="4">
        <f>INDEX(Calculation!$A$1:$F$607,MATCH($A216,Calculation!$B:$B,0),MATCH(C$1,Calculation!$1:$1,0))</f>
        <v>509</v>
      </c>
      <c r="D216" s="4">
        <f>INDEX(Calculation!$A$1:$F$607,MATCH($A216,Calculation!$B:$B,0),MATCH(D$1,Calculation!$1:$1,0))</f>
        <v>78</v>
      </c>
      <c r="E216" s="4">
        <f>INDEX(Calculation!$A$1:$F$607,MATCH($A216,Calculation!$B:$B,0),MATCH(E$1,Calculation!$1:$1,0))</f>
        <v>0</v>
      </c>
    </row>
    <row r="217" spans="1:5" ht="16" x14ac:dyDescent="0.2">
      <c r="A217" s="2" t="s">
        <v>751</v>
      </c>
      <c r="B217" s="4">
        <f>INDEX(Calculation!$A$1:$F$607,MATCH($A217,Calculation!$B:$B,0),MATCH(B$1,Calculation!$1:$1,0))</f>
        <v>6930</v>
      </c>
      <c r="C217" s="4">
        <f>INDEX(Calculation!$A$1:$F$607,MATCH($A217,Calculation!$B:$B,0),MATCH(C$1,Calculation!$1:$1,0))</f>
        <v>1036</v>
      </c>
      <c r="D217" s="4">
        <f>INDEX(Calculation!$A$1:$F$607,MATCH($A217,Calculation!$B:$B,0),MATCH(D$1,Calculation!$1:$1,0))</f>
        <v>69</v>
      </c>
      <c r="E217" s="4">
        <f>INDEX(Calculation!$A$1:$F$607,MATCH($A217,Calculation!$B:$B,0),MATCH(E$1,Calculation!$1:$1,0))</f>
        <v>1</v>
      </c>
    </row>
    <row r="218" spans="1:5" ht="16" x14ac:dyDescent="0.2">
      <c r="A218" s="2" t="s">
        <v>754</v>
      </c>
      <c r="B218" s="4">
        <f>INDEX(Calculation!$A$1:$F$607,MATCH($A218,Calculation!$B:$B,0),MATCH(B$1,Calculation!$1:$1,0))</f>
        <v>17163</v>
      </c>
      <c r="C218" s="4">
        <f>INDEX(Calculation!$A$1:$F$607,MATCH($A218,Calculation!$B:$B,0),MATCH(C$1,Calculation!$1:$1,0))</f>
        <v>2323</v>
      </c>
      <c r="D218" s="4">
        <f>INDEX(Calculation!$A$1:$F$607,MATCH($A218,Calculation!$B:$B,0),MATCH(D$1,Calculation!$1:$1,0))</f>
        <v>111</v>
      </c>
      <c r="E218" s="4">
        <f>INDEX(Calculation!$A$1:$F$607,MATCH($A218,Calculation!$B:$B,0),MATCH(E$1,Calculation!$1:$1,0))</f>
        <v>2</v>
      </c>
    </row>
    <row r="219" spans="1:5" ht="16" x14ac:dyDescent="0.2">
      <c r="A219" s="2" t="s">
        <v>757</v>
      </c>
      <c r="B219" s="4">
        <f>INDEX(Calculation!$A$1:$F$607,MATCH($A219,Calculation!$B:$B,0),MATCH(B$1,Calculation!$1:$1,0))</f>
        <v>50225</v>
      </c>
      <c r="C219" s="4">
        <f>INDEX(Calculation!$A$1:$F$607,MATCH($A219,Calculation!$B:$B,0),MATCH(C$1,Calculation!$1:$1,0))</f>
        <v>6548</v>
      </c>
      <c r="D219" s="4">
        <f>INDEX(Calculation!$A$1:$F$607,MATCH($A219,Calculation!$B:$B,0),MATCH(D$1,Calculation!$1:$1,0))</f>
        <v>437</v>
      </c>
      <c r="E219" s="4">
        <f>INDEX(Calculation!$A$1:$F$607,MATCH($A219,Calculation!$B:$B,0),MATCH(E$1,Calculation!$1:$1,0))</f>
        <v>64</v>
      </c>
    </row>
    <row r="220" spans="1:5" ht="16" x14ac:dyDescent="0.2">
      <c r="A220" s="2" t="s">
        <v>759</v>
      </c>
      <c r="B220" s="4">
        <f>INDEX(Calculation!$A$1:$F$607,MATCH($A220,Calculation!$B:$B,0),MATCH(B$1,Calculation!$1:$1,0))</f>
        <v>22394</v>
      </c>
      <c r="C220" s="4">
        <f>INDEX(Calculation!$A$1:$F$607,MATCH($A220,Calculation!$B:$B,0),MATCH(C$1,Calculation!$1:$1,0))</f>
        <v>2473</v>
      </c>
      <c r="D220" s="4">
        <f>INDEX(Calculation!$A$1:$F$607,MATCH($A220,Calculation!$B:$B,0),MATCH(D$1,Calculation!$1:$1,0))</f>
        <v>141</v>
      </c>
      <c r="E220" s="4">
        <f>INDEX(Calculation!$A$1:$F$607,MATCH($A220,Calculation!$B:$B,0),MATCH(E$1,Calculation!$1:$1,0))</f>
        <v>0</v>
      </c>
    </row>
    <row r="221" spans="1:5" ht="16" x14ac:dyDescent="0.2">
      <c r="A221" s="2" t="s">
        <v>762</v>
      </c>
      <c r="B221" s="4">
        <f>INDEX(Calculation!$A$1:$F$607,MATCH($A221,Calculation!$B:$B,0),MATCH(B$1,Calculation!$1:$1,0))</f>
        <v>7360</v>
      </c>
      <c r="C221" s="4">
        <f>INDEX(Calculation!$A$1:$F$607,MATCH($A221,Calculation!$B:$B,0),MATCH(C$1,Calculation!$1:$1,0))</f>
        <v>2242</v>
      </c>
      <c r="D221" s="4">
        <f>INDEX(Calculation!$A$1:$F$607,MATCH($A221,Calculation!$B:$B,0),MATCH(D$1,Calculation!$1:$1,0))</f>
        <v>85</v>
      </c>
      <c r="E221" s="4">
        <f>INDEX(Calculation!$A$1:$F$607,MATCH($A221,Calculation!$B:$B,0),MATCH(E$1,Calculation!$1:$1,0))</f>
        <v>31</v>
      </c>
    </row>
    <row r="222" spans="1:5" ht="16" x14ac:dyDescent="0.2">
      <c r="A222" s="2" t="s">
        <v>765</v>
      </c>
      <c r="B222" s="4">
        <f>INDEX(Calculation!$A$1:$F$607,MATCH($A222,Calculation!$B:$B,0),MATCH(B$1,Calculation!$1:$1,0))</f>
        <v>5253</v>
      </c>
      <c r="C222" s="4">
        <f>INDEX(Calculation!$A$1:$F$607,MATCH($A222,Calculation!$B:$B,0),MATCH(C$1,Calculation!$1:$1,0))</f>
        <v>993</v>
      </c>
      <c r="D222" s="4">
        <f>INDEX(Calculation!$A$1:$F$607,MATCH($A222,Calculation!$B:$B,0),MATCH(D$1,Calculation!$1:$1,0))</f>
        <v>173</v>
      </c>
      <c r="E222" s="4">
        <f>INDEX(Calculation!$A$1:$F$607,MATCH($A222,Calculation!$B:$B,0),MATCH(E$1,Calculation!$1:$1,0))</f>
        <v>0</v>
      </c>
    </row>
    <row r="223" spans="1:5" ht="16" x14ac:dyDescent="0.2">
      <c r="A223" s="2" t="s">
        <v>768</v>
      </c>
      <c r="B223" s="4">
        <f>INDEX(Calculation!$A$1:$F$607,MATCH($A223,Calculation!$B:$B,0),MATCH(B$1,Calculation!$1:$1,0))</f>
        <v>27552</v>
      </c>
      <c r="C223" s="4">
        <f>INDEX(Calculation!$A$1:$F$607,MATCH($A223,Calculation!$B:$B,0),MATCH(C$1,Calculation!$1:$1,0))</f>
        <v>3119</v>
      </c>
      <c r="D223" s="4">
        <f>INDEX(Calculation!$A$1:$F$607,MATCH($A223,Calculation!$B:$B,0),MATCH(D$1,Calculation!$1:$1,0))</f>
        <v>298</v>
      </c>
      <c r="E223" s="4">
        <f>INDEX(Calculation!$A$1:$F$607,MATCH($A223,Calculation!$B:$B,0),MATCH(E$1,Calculation!$1:$1,0))</f>
        <v>62</v>
      </c>
    </row>
    <row r="224" spans="1:5" ht="16" x14ac:dyDescent="0.2">
      <c r="A224" s="2" t="s">
        <v>771</v>
      </c>
      <c r="B224" s="4">
        <f>INDEX(Calculation!$A$1:$F$607,MATCH($A224,Calculation!$B:$B,0),MATCH(B$1,Calculation!$1:$1,0))</f>
        <v>15914</v>
      </c>
      <c r="C224" s="4">
        <f>INDEX(Calculation!$A$1:$F$607,MATCH($A224,Calculation!$B:$B,0),MATCH(C$1,Calculation!$1:$1,0))</f>
        <v>1072</v>
      </c>
      <c r="D224" s="4">
        <f>INDEX(Calculation!$A$1:$F$607,MATCH($A224,Calculation!$B:$B,0),MATCH(D$1,Calculation!$1:$1,0))</f>
        <v>141</v>
      </c>
      <c r="E224" s="4">
        <f>INDEX(Calculation!$A$1:$F$607,MATCH($A224,Calculation!$B:$B,0),MATCH(E$1,Calculation!$1:$1,0))</f>
        <v>1</v>
      </c>
    </row>
    <row r="225" spans="1:5" ht="16" x14ac:dyDescent="0.2">
      <c r="A225" s="2" t="s">
        <v>774</v>
      </c>
      <c r="B225" s="4">
        <f>INDEX(Calculation!$A$1:$F$607,MATCH($A225,Calculation!$B:$B,0),MATCH(B$1,Calculation!$1:$1,0))</f>
        <v>25383</v>
      </c>
      <c r="C225" s="4">
        <f>INDEX(Calculation!$A$1:$F$607,MATCH($A225,Calculation!$B:$B,0),MATCH(C$1,Calculation!$1:$1,0))</f>
        <v>3004</v>
      </c>
      <c r="D225" s="4">
        <f>INDEX(Calculation!$A$1:$F$607,MATCH($A225,Calculation!$B:$B,0),MATCH(D$1,Calculation!$1:$1,0))</f>
        <v>220</v>
      </c>
      <c r="E225" s="4">
        <f>INDEX(Calculation!$A$1:$F$607,MATCH($A225,Calculation!$B:$B,0),MATCH(E$1,Calculation!$1:$1,0))</f>
        <v>44</v>
      </c>
    </row>
    <row r="226" spans="1:5" ht="16" x14ac:dyDescent="0.2">
      <c r="A226" s="2" t="s">
        <v>777</v>
      </c>
      <c r="B226" s="4">
        <f>INDEX(Calculation!$A$1:$F$607,MATCH($A226,Calculation!$B:$B,0),MATCH(B$1,Calculation!$1:$1,0))</f>
        <v>7337</v>
      </c>
      <c r="C226" s="4">
        <f>INDEX(Calculation!$A$1:$F$607,MATCH($A226,Calculation!$B:$B,0),MATCH(C$1,Calculation!$1:$1,0))</f>
        <v>721</v>
      </c>
      <c r="D226" s="4">
        <f>INDEX(Calculation!$A$1:$F$607,MATCH($A226,Calculation!$B:$B,0),MATCH(D$1,Calculation!$1:$1,0))</f>
        <v>45</v>
      </c>
      <c r="E226" s="4">
        <f>INDEX(Calculation!$A$1:$F$607,MATCH($A226,Calculation!$B:$B,0),MATCH(E$1,Calculation!$1:$1,0))</f>
        <v>0</v>
      </c>
    </row>
    <row r="227" spans="1:5" ht="16" x14ac:dyDescent="0.2">
      <c r="A227" s="2" t="s">
        <v>780</v>
      </c>
      <c r="B227" s="4">
        <f>INDEX(Calculation!$A$1:$F$607,MATCH($A227,Calculation!$B:$B,0),MATCH(B$1,Calculation!$1:$1,0))</f>
        <v>25964</v>
      </c>
      <c r="C227" s="4">
        <f>INDEX(Calculation!$A$1:$F$607,MATCH($A227,Calculation!$B:$B,0),MATCH(C$1,Calculation!$1:$1,0))</f>
        <v>2543</v>
      </c>
      <c r="D227" s="4">
        <f>INDEX(Calculation!$A$1:$F$607,MATCH($A227,Calculation!$B:$B,0),MATCH(D$1,Calculation!$1:$1,0))</f>
        <v>183</v>
      </c>
      <c r="E227" s="4">
        <f>INDEX(Calculation!$A$1:$F$607,MATCH($A227,Calculation!$B:$B,0),MATCH(E$1,Calculation!$1:$1,0))</f>
        <v>22</v>
      </c>
    </row>
    <row r="228" spans="1:5" ht="16" x14ac:dyDescent="0.2">
      <c r="A228" s="2" t="s">
        <v>783</v>
      </c>
      <c r="B228" s="4">
        <f>INDEX(Calculation!$A$1:$F$607,MATCH($A228,Calculation!$B:$B,0),MATCH(B$1,Calculation!$1:$1,0))</f>
        <v>45153</v>
      </c>
      <c r="C228" s="4">
        <f>INDEX(Calculation!$A$1:$F$607,MATCH($A228,Calculation!$B:$B,0),MATCH(C$1,Calculation!$1:$1,0))</f>
        <v>4516</v>
      </c>
      <c r="D228" s="4">
        <f>INDEX(Calculation!$A$1:$F$607,MATCH($A228,Calculation!$B:$B,0),MATCH(D$1,Calculation!$1:$1,0))</f>
        <v>199</v>
      </c>
      <c r="E228" s="4">
        <f>INDEX(Calculation!$A$1:$F$607,MATCH($A228,Calculation!$B:$B,0),MATCH(E$1,Calculation!$1:$1,0))</f>
        <v>357</v>
      </c>
    </row>
    <row r="229" spans="1:5" ht="16" x14ac:dyDescent="0.2">
      <c r="A229" s="2" t="s">
        <v>785</v>
      </c>
      <c r="B229" s="4">
        <f>INDEX(Calculation!$A$1:$F$607,MATCH($A229,Calculation!$B:$B,0),MATCH(B$1,Calculation!$1:$1,0))</f>
        <v>12904</v>
      </c>
      <c r="C229" s="4">
        <f>INDEX(Calculation!$A$1:$F$607,MATCH($A229,Calculation!$B:$B,0),MATCH(C$1,Calculation!$1:$1,0))</f>
        <v>2180</v>
      </c>
      <c r="D229" s="4">
        <f>INDEX(Calculation!$A$1:$F$607,MATCH($A229,Calculation!$B:$B,0),MATCH(D$1,Calculation!$1:$1,0))</f>
        <v>164</v>
      </c>
      <c r="E229" s="4">
        <f>INDEX(Calculation!$A$1:$F$607,MATCH($A229,Calculation!$B:$B,0),MATCH(E$1,Calculation!$1:$1,0))</f>
        <v>2</v>
      </c>
    </row>
    <row r="230" spans="1:5" ht="16" x14ac:dyDescent="0.2">
      <c r="A230" s="2" t="s">
        <v>787</v>
      </c>
      <c r="B230" s="4">
        <f>INDEX(Calculation!$A$1:$F$607,MATCH($A230,Calculation!$B:$B,0),MATCH(B$1,Calculation!$1:$1,0))</f>
        <v>21267</v>
      </c>
      <c r="C230" s="4">
        <f>INDEX(Calculation!$A$1:$F$607,MATCH($A230,Calculation!$B:$B,0),MATCH(C$1,Calculation!$1:$1,0))</f>
        <v>2566</v>
      </c>
      <c r="D230" s="4">
        <f>INDEX(Calculation!$A$1:$F$607,MATCH($A230,Calculation!$B:$B,0),MATCH(D$1,Calculation!$1:$1,0))</f>
        <v>184</v>
      </c>
      <c r="E230" s="4">
        <f>INDEX(Calculation!$A$1:$F$607,MATCH($A230,Calculation!$B:$B,0),MATCH(E$1,Calculation!$1:$1,0))</f>
        <v>56</v>
      </c>
    </row>
    <row r="231" spans="1:5" ht="16" x14ac:dyDescent="0.2">
      <c r="A231" s="2" t="s">
        <v>789</v>
      </c>
      <c r="B231" s="4">
        <f>INDEX(Calculation!$A$1:$F$607,MATCH($A231,Calculation!$B:$B,0),MATCH(B$1,Calculation!$1:$1,0))</f>
        <v>11870</v>
      </c>
      <c r="C231" s="4">
        <f>INDEX(Calculation!$A$1:$F$607,MATCH($A231,Calculation!$B:$B,0),MATCH(C$1,Calculation!$1:$1,0))</f>
        <v>2120</v>
      </c>
      <c r="D231" s="4">
        <f>INDEX(Calculation!$A$1:$F$607,MATCH($A231,Calculation!$B:$B,0),MATCH(D$1,Calculation!$1:$1,0))</f>
        <v>98</v>
      </c>
      <c r="E231" s="4">
        <f>INDEX(Calculation!$A$1:$F$607,MATCH($A231,Calculation!$B:$B,0),MATCH(E$1,Calculation!$1:$1,0))</f>
        <v>0</v>
      </c>
    </row>
    <row r="232" spans="1:5" ht="16" x14ac:dyDescent="0.2">
      <c r="A232" s="2" t="s">
        <v>792</v>
      </c>
      <c r="B232" s="4">
        <f>INDEX(Calculation!$A$1:$F$607,MATCH($A232,Calculation!$B:$B,0),MATCH(B$1,Calculation!$1:$1,0))</f>
        <v>16972</v>
      </c>
      <c r="C232" s="4">
        <f>INDEX(Calculation!$A$1:$F$607,MATCH($A232,Calculation!$B:$B,0),MATCH(C$1,Calculation!$1:$1,0))</f>
        <v>1156</v>
      </c>
      <c r="D232" s="4">
        <f>INDEX(Calculation!$A$1:$F$607,MATCH($A232,Calculation!$B:$B,0),MATCH(D$1,Calculation!$1:$1,0))</f>
        <v>49</v>
      </c>
      <c r="E232" s="4">
        <f>INDEX(Calculation!$A$1:$F$607,MATCH($A232,Calculation!$B:$B,0),MATCH(E$1,Calculation!$1:$1,0))</f>
        <v>0</v>
      </c>
    </row>
    <row r="233" spans="1:5" ht="16" x14ac:dyDescent="0.2">
      <c r="A233" s="2" t="s">
        <v>795</v>
      </c>
      <c r="B233" s="4">
        <f>INDEX(Calculation!$A$1:$F$607,MATCH($A233,Calculation!$B:$B,0),MATCH(B$1,Calculation!$1:$1,0))</f>
        <v>3158</v>
      </c>
      <c r="C233" s="4">
        <f>INDEX(Calculation!$A$1:$F$607,MATCH($A233,Calculation!$B:$B,0),MATCH(C$1,Calculation!$1:$1,0))</f>
        <v>721</v>
      </c>
      <c r="D233" s="4">
        <f>INDEX(Calculation!$A$1:$F$607,MATCH($A233,Calculation!$B:$B,0),MATCH(D$1,Calculation!$1:$1,0))</f>
        <v>50</v>
      </c>
      <c r="E233" s="4">
        <f>INDEX(Calculation!$A$1:$F$607,MATCH($A233,Calculation!$B:$B,0),MATCH(E$1,Calculation!$1:$1,0))</f>
        <v>0</v>
      </c>
    </row>
    <row r="234" spans="1:5" ht="16" x14ac:dyDescent="0.2">
      <c r="A234" s="2" t="s">
        <v>798</v>
      </c>
      <c r="B234" s="4">
        <f>INDEX(Calculation!$A$1:$F$607,MATCH($A234,Calculation!$B:$B,0),MATCH(B$1,Calculation!$1:$1,0))</f>
        <v>7685</v>
      </c>
      <c r="C234" s="4">
        <f>INDEX(Calculation!$A$1:$F$607,MATCH($A234,Calculation!$B:$B,0),MATCH(C$1,Calculation!$1:$1,0))</f>
        <v>1237</v>
      </c>
      <c r="D234" s="4">
        <f>INDEX(Calculation!$A$1:$F$607,MATCH($A234,Calculation!$B:$B,0),MATCH(D$1,Calculation!$1:$1,0))</f>
        <v>62</v>
      </c>
      <c r="E234" s="4">
        <f>INDEX(Calculation!$A$1:$F$607,MATCH($A234,Calculation!$B:$B,0),MATCH(E$1,Calculation!$1:$1,0))</f>
        <v>1</v>
      </c>
    </row>
    <row r="235" spans="1:5" ht="16" x14ac:dyDescent="0.2">
      <c r="A235" s="2" t="s">
        <v>801</v>
      </c>
      <c r="B235" s="4">
        <f>INDEX(Calculation!$A$1:$F$607,MATCH($A235,Calculation!$B:$B,0),MATCH(B$1,Calculation!$1:$1,0))</f>
        <v>22516</v>
      </c>
      <c r="C235" s="4">
        <f>INDEX(Calculation!$A$1:$F$607,MATCH($A235,Calculation!$B:$B,0),MATCH(C$1,Calculation!$1:$1,0))</f>
        <v>1711</v>
      </c>
      <c r="D235" s="4">
        <f>INDEX(Calculation!$A$1:$F$607,MATCH($A235,Calculation!$B:$B,0),MATCH(D$1,Calculation!$1:$1,0))</f>
        <v>56</v>
      </c>
      <c r="E235" s="4">
        <f>INDEX(Calculation!$A$1:$F$607,MATCH($A235,Calculation!$B:$B,0),MATCH(E$1,Calculation!$1:$1,0))</f>
        <v>4</v>
      </c>
    </row>
    <row r="236" spans="1:5" ht="16" x14ac:dyDescent="0.2">
      <c r="A236" s="2" t="s">
        <v>803</v>
      </c>
      <c r="B236" s="4">
        <f>INDEX(Calculation!$A$1:$F$607,MATCH($A236,Calculation!$B:$B,0),MATCH(B$1,Calculation!$1:$1,0))</f>
        <v>10670</v>
      </c>
      <c r="C236" s="4">
        <f>INDEX(Calculation!$A$1:$F$607,MATCH($A236,Calculation!$B:$B,0),MATCH(C$1,Calculation!$1:$1,0))</f>
        <v>1313</v>
      </c>
      <c r="D236" s="4">
        <f>INDEX(Calculation!$A$1:$F$607,MATCH($A236,Calculation!$B:$B,0),MATCH(D$1,Calculation!$1:$1,0))</f>
        <v>66</v>
      </c>
      <c r="E236" s="4">
        <f>INDEX(Calculation!$A$1:$F$607,MATCH($A236,Calculation!$B:$B,0),MATCH(E$1,Calculation!$1:$1,0))</f>
        <v>0</v>
      </c>
    </row>
    <row r="237" spans="1:5" ht="16" x14ac:dyDescent="0.2">
      <c r="A237" s="2" t="s">
        <v>805</v>
      </c>
      <c r="B237" s="4">
        <f>INDEX(Calculation!$A$1:$F$607,MATCH($A237,Calculation!$B:$B,0),MATCH(B$1,Calculation!$1:$1,0))</f>
        <v>23698</v>
      </c>
      <c r="C237" s="4">
        <f>INDEX(Calculation!$A$1:$F$607,MATCH($A237,Calculation!$B:$B,0),MATCH(C$1,Calculation!$1:$1,0))</f>
        <v>2443</v>
      </c>
      <c r="D237" s="4">
        <f>INDEX(Calculation!$A$1:$F$607,MATCH($A237,Calculation!$B:$B,0),MATCH(D$1,Calculation!$1:$1,0))</f>
        <v>131</v>
      </c>
      <c r="E237" s="4">
        <f>INDEX(Calculation!$A$1:$F$607,MATCH($A237,Calculation!$B:$B,0),MATCH(E$1,Calculation!$1:$1,0))</f>
        <v>16</v>
      </c>
    </row>
    <row r="238" spans="1:5" ht="16" x14ac:dyDescent="0.2">
      <c r="A238" s="2" t="s">
        <v>808</v>
      </c>
      <c r="B238" s="4">
        <f>INDEX(Calculation!$A$1:$F$607,MATCH($A238,Calculation!$B:$B,0),MATCH(B$1,Calculation!$1:$1,0))</f>
        <v>20346</v>
      </c>
      <c r="C238" s="4">
        <f>INDEX(Calculation!$A$1:$F$607,MATCH($A238,Calculation!$B:$B,0),MATCH(C$1,Calculation!$1:$1,0))</f>
        <v>2728</v>
      </c>
      <c r="D238" s="4">
        <f>INDEX(Calculation!$A$1:$F$607,MATCH($A238,Calculation!$B:$B,0),MATCH(D$1,Calculation!$1:$1,0))</f>
        <v>337</v>
      </c>
      <c r="E238" s="4">
        <f>INDEX(Calculation!$A$1:$F$607,MATCH($A238,Calculation!$B:$B,0),MATCH(E$1,Calculation!$1:$1,0))</f>
        <v>1</v>
      </c>
    </row>
    <row r="239" spans="1:5" ht="16" x14ac:dyDescent="0.2">
      <c r="A239" s="2" t="s">
        <v>811</v>
      </c>
      <c r="B239" s="4">
        <f>INDEX(Calculation!$A$1:$F$607,MATCH($A239,Calculation!$B:$B,0),MATCH(B$1,Calculation!$1:$1,0))</f>
        <v>30895</v>
      </c>
      <c r="C239" s="4">
        <f>INDEX(Calculation!$A$1:$F$607,MATCH($A239,Calculation!$B:$B,0),MATCH(C$1,Calculation!$1:$1,0))</f>
        <v>2109</v>
      </c>
      <c r="D239" s="4">
        <f>INDEX(Calculation!$A$1:$F$607,MATCH($A239,Calculation!$B:$B,0),MATCH(D$1,Calculation!$1:$1,0))</f>
        <v>50</v>
      </c>
      <c r="E239" s="4">
        <f>INDEX(Calculation!$A$1:$F$607,MATCH($A239,Calculation!$B:$B,0),MATCH(E$1,Calculation!$1:$1,0))</f>
        <v>18</v>
      </c>
    </row>
    <row r="240" spans="1:5" ht="16" x14ac:dyDescent="0.2">
      <c r="A240" s="2" t="s">
        <v>813</v>
      </c>
      <c r="B240" s="4">
        <f>INDEX(Calculation!$A$1:$F$607,MATCH($A240,Calculation!$B:$B,0),MATCH(B$1,Calculation!$1:$1,0))</f>
        <v>12614</v>
      </c>
      <c r="C240" s="4">
        <f>INDEX(Calculation!$A$1:$F$607,MATCH($A240,Calculation!$B:$B,0),MATCH(C$1,Calculation!$1:$1,0))</f>
        <v>1126</v>
      </c>
      <c r="D240" s="4">
        <f>INDEX(Calculation!$A$1:$F$607,MATCH($A240,Calculation!$B:$B,0),MATCH(D$1,Calculation!$1:$1,0))</f>
        <v>56</v>
      </c>
      <c r="E240" s="4">
        <f>INDEX(Calculation!$A$1:$F$607,MATCH($A240,Calculation!$B:$B,0),MATCH(E$1,Calculation!$1:$1,0))</f>
        <v>4</v>
      </c>
    </row>
    <row r="241" spans="1:5" ht="16" x14ac:dyDescent="0.2">
      <c r="A241" s="2" t="s">
        <v>816</v>
      </c>
      <c r="B241" s="4">
        <f>INDEX(Calculation!$A$1:$F$607,MATCH($A241,Calculation!$B:$B,0),MATCH(B$1,Calculation!$1:$1,0))</f>
        <v>30470</v>
      </c>
      <c r="C241" s="4">
        <f>INDEX(Calculation!$A$1:$F$607,MATCH($A241,Calculation!$B:$B,0),MATCH(C$1,Calculation!$1:$1,0))</f>
        <v>2686</v>
      </c>
      <c r="D241" s="4">
        <f>INDEX(Calculation!$A$1:$F$607,MATCH($A241,Calculation!$B:$B,0),MATCH(D$1,Calculation!$1:$1,0))</f>
        <v>157</v>
      </c>
      <c r="E241" s="4">
        <f>INDEX(Calculation!$A$1:$F$607,MATCH($A241,Calculation!$B:$B,0),MATCH(E$1,Calculation!$1:$1,0))</f>
        <v>4</v>
      </c>
    </row>
    <row r="242" spans="1:5" ht="16" x14ac:dyDescent="0.2">
      <c r="A242" s="2" t="s">
        <v>818</v>
      </c>
      <c r="B242" s="4">
        <f>INDEX(Calculation!$A$1:$F$607,MATCH($A242,Calculation!$B:$B,0),MATCH(B$1,Calculation!$1:$1,0))</f>
        <v>24541</v>
      </c>
      <c r="C242" s="4">
        <f>INDEX(Calculation!$A$1:$F$607,MATCH($A242,Calculation!$B:$B,0),MATCH(C$1,Calculation!$1:$1,0))</f>
        <v>3107</v>
      </c>
      <c r="D242" s="4">
        <f>INDEX(Calculation!$A$1:$F$607,MATCH($A242,Calculation!$B:$B,0),MATCH(D$1,Calculation!$1:$1,0))</f>
        <v>312</v>
      </c>
      <c r="E242" s="4">
        <f>INDEX(Calculation!$A$1:$F$607,MATCH($A242,Calculation!$B:$B,0),MATCH(E$1,Calculation!$1:$1,0))</f>
        <v>7</v>
      </c>
    </row>
    <row r="243" spans="1:5" ht="16" x14ac:dyDescent="0.2">
      <c r="A243" s="2" t="s">
        <v>821</v>
      </c>
      <c r="B243" s="4">
        <f>INDEX(Calculation!$A$1:$F$607,MATCH($A243,Calculation!$B:$B,0),MATCH(B$1,Calculation!$1:$1,0))</f>
        <v>40572</v>
      </c>
      <c r="C243" s="4">
        <f>INDEX(Calculation!$A$1:$F$607,MATCH($A243,Calculation!$B:$B,0),MATCH(C$1,Calculation!$1:$1,0))</f>
        <v>4124</v>
      </c>
      <c r="D243" s="4">
        <f>INDEX(Calculation!$A$1:$F$607,MATCH($A243,Calculation!$B:$B,0),MATCH(D$1,Calculation!$1:$1,0))</f>
        <v>291</v>
      </c>
      <c r="E243" s="4">
        <f>INDEX(Calculation!$A$1:$F$607,MATCH($A243,Calculation!$B:$B,0),MATCH(E$1,Calculation!$1:$1,0))</f>
        <v>13</v>
      </c>
    </row>
    <row r="244" spans="1:5" ht="16" x14ac:dyDescent="0.2">
      <c r="A244" s="2" t="s">
        <v>823</v>
      </c>
      <c r="B244" s="4">
        <f>INDEX(Calculation!$A$1:$F$607,MATCH($A244,Calculation!$B:$B,0),MATCH(B$1,Calculation!$1:$1,0))</f>
        <v>244366</v>
      </c>
      <c r="C244" s="4">
        <f>INDEX(Calculation!$A$1:$F$607,MATCH($A244,Calculation!$B:$B,0),MATCH(C$1,Calculation!$1:$1,0))</f>
        <v>23553</v>
      </c>
      <c r="D244" s="4">
        <f>INDEX(Calculation!$A$1:$F$607,MATCH($A244,Calculation!$B:$B,0),MATCH(D$1,Calculation!$1:$1,0))</f>
        <v>1226</v>
      </c>
      <c r="E244" s="4">
        <f>INDEX(Calculation!$A$1:$F$607,MATCH($A244,Calculation!$B:$B,0),MATCH(E$1,Calculation!$1:$1,0))</f>
        <v>397</v>
      </c>
    </row>
    <row r="245" spans="1:5" ht="16" x14ac:dyDescent="0.2">
      <c r="A245" s="2" t="s">
        <v>825</v>
      </c>
      <c r="B245" s="4">
        <f>INDEX(Calculation!$A$1:$F$607,MATCH($A245,Calculation!$B:$B,0),MATCH(B$1,Calculation!$1:$1,0))</f>
        <v>1039</v>
      </c>
      <c r="C245" s="4">
        <f>INDEX(Calculation!$A$1:$F$607,MATCH($A245,Calculation!$B:$B,0),MATCH(C$1,Calculation!$1:$1,0))</f>
        <v>32</v>
      </c>
      <c r="D245" s="4">
        <f>INDEX(Calculation!$A$1:$F$607,MATCH($A245,Calculation!$B:$B,0),MATCH(D$1,Calculation!$1:$1,0))</f>
        <v>7</v>
      </c>
      <c r="E245" s="4">
        <f>INDEX(Calculation!$A$1:$F$607,MATCH($A245,Calculation!$B:$B,0),MATCH(E$1,Calculation!$1:$1,0))</f>
        <v>0</v>
      </c>
    </row>
    <row r="246" spans="1:5" ht="16" x14ac:dyDescent="0.2">
      <c r="A246" s="2" t="s">
        <v>828</v>
      </c>
      <c r="B246" s="4">
        <f>INDEX(Calculation!$A$1:$F$607,MATCH($A246,Calculation!$B:$B,0),MATCH(B$1,Calculation!$1:$1,0))</f>
        <v>13890</v>
      </c>
      <c r="C246" s="4">
        <f>INDEX(Calculation!$A$1:$F$607,MATCH($A246,Calculation!$B:$B,0),MATCH(C$1,Calculation!$1:$1,0))</f>
        <v>2131</v>
      </c>
      <c r="D246" s="4">
        <f>INDEX(Calculation!$A$1:$F$607,MATCH($A246,Calculation!$B:$B,0),MATCH(D$1,Calculation!$1:$1,0))</f>
        <v>157</v>
      </c>
      <c r="E246" s="4">
        <f>INDEX(Calculation!$A$1:$F$607,MATCH($A246,Calculation!$B:$B,0),MATCH(E$1,Calculation!$1:$1,0))</f>
        <v>15</v>
      </c>
    </row>
    <row r="247" spans="1:5" ht="16" x14ac:dyDescent="0.2">
      <c r="A247" s="2" t="s">
        <v>831</v>
      </c>
      <c r="B247" s="4">
        <f>INDEX(Calculation!$A$1:$F$607,MATCH($A247,Calculation!$B:$B,0),MATCH(B$1,Calculation!$1:$1,0))</f>
        <v>25888</v>
      </c>
      <c r="C247" s="4">
        <f>INDEX(Calculation!$A$1:$F$607,MATCH($A247,Calculation!$B:$B,0),MATCH(C$1,Calculation!$1:$1,0))</f>
        <v>3798</v>
      </c>
      <c r="D247" s="4">
        <f>INDEX(Calculation!$A$1:$F$607,MATCH($A247,Calculation!$B:$B,0),MATCH(D$1,Calculation!$1:$1,0))</f>
        <v>199</v>
      </c>
      <c r="E247" s="4">
        <f>INDEX(Calculation!$A$1:$F$607,MATCH($A247,Calculation!$B:$B,0),MATCH(E$1,Calculation!$1:$1,0))</f>
        <v>2</v>
      </c>
    </row>
    <row r="248" spans="1:5" ht="16" x14ac:dyDescent="0.2">
      <c r="A248" s="2" t="s">
        <v>833</v>
      </c>
      <c r="B248" s="4">
        <f>INDEX(Calculation!$A$1:$F$607,MATCH($A248,Calculation!$B:$B,0),MATCH(B$1,Calculation!$1:$1,0))</f>
        <v>5351</v>
      </c>
      <c r="C248" s="4">
        <f>INDEX(Calculation!$A$1:$F$607,MATCH($A248,Calculation!$B:$B,0),MATCH(C$1,Calculation!$1:$1,0))</f>
        <v>761</v>
      </c>
      <c r="D248" s="4">
        <f>INDEX(Calculation!$A$1:$F$607,MATCH($A248,Calculation!$B:$B,0),MATCH(D$1,Calculation!$1:$1,0))</f>
        <v>52</v>
      </c>
      <c r="E248" s="4">
        <f>INDEX(Calculation!$A$1:$F$607,MATCH($A248,Calculation!$B:$B,0),MATCH(E$1,Calculation!$1:$1,0))</f>
        <v>1</v>
      </c>
    </row>
    <row r="249" spans="1:5" ht="16" x14ac:dyDescent="0.2">
      <c r="A249" s="2" t="s">
        <v>836</v>
      </c>
      <c r="B249" s="4">
        <f>INDEX(Calculation!$A$1:$F$607,MATCH($A249,Calculation!$B:$B,0),MATCH(B$1,Calculation!$1:$1,0))</f>
        <v>32009</v>
      </c>
      <c r="C249" s="4">
        <f>INDEX(Calculation!$A$1:$F$607,MATCH($A249,Calculation!$B:$B,0),MATCH(C$1,Calculation!$1:$1,0))</f>
        <v>3171</v>
      </c>
      <c r="D249" s="4">
        <f>INDEX(Calculation!$A$1:$F$607,MATCH($A249,Calculation!$B:$B,0),MATCH(D$1,Calculation!$1:$1,0))</f>
        <v>141</v>
      </c>
      <c r="E249" s="4">
        <f>INDEX(Calculation!$A$1:$F$607,MATCH($A249,Calculation!$B:$B,0),MATCH(E$1,Calculation!$1:$1,0))</f>
        <v>1</v>
      </c>
    </row>
    <row r="250" spans="1:5" ht="16" x14ac:dyDescent="0.2">
      <c r="A250" s="2" t="s">
        <v>838</v>
      </c>
      <c r="B250" s="4">
        <f>INDEX(Calculation!$A$1:$F$607,MATCH($A250,Calculation!$B:$B,0),MATCH(B$1,Calculation!$1:$1,0))</f>
        <v>355</v>
      </c>
      <c r="C250" s="4">
        <f>INDEX(Calculation!$A$1:$F$607,MATCH($A250,Calculation!$B:$B,0),MATCH(C$1,Calculation!$1:$1,0))</f>
        <v>78</v>
      </c>
      <c r="D250" s="4">
        <f>INDEX(Calculation!$A$1:$F$607,MATCH($A250,Calculation!$B:$B,0),MATCH(D$1,Calculation!$1:$1,0))</f>
        <v>4</v>
      </c>
      <c r="E250" s="4">
        <f>INDEX(Calculation!$A$1:$F$607,MATCH($A250,Calculation!$B:$B,0),MATCH(E$1,Calculation!$1:$1,0))</f>
        <v>1</v>
      </c>
    </row>
    <row r="251" spans="1:5" ht="16" x14ac:dyDescent="0.2">
      <c r="A251" s="2" t="s">
        <v>841</v>
      </c>
      <c r="B251" s="4">
        <f>INDEX(Calculation!$A$1:$F$607,MATCH($A251,Calculation!$B:$B,0),MATCH(B$1,Calculation!$1:$1,0))</f>
        <v>19718</v>
      </c>
      <c r="C251" s="4">
        <f>INDEX(Calculation!$A$1:$F$607,MATCH($A251,Calculation!$B:$B,0),MATCH(C$1,Calculation!$1:$1,0))</f>
        <v>2851</v>
      </c>
      <c r="D251" s="4">
        <f>INDEX(Calculation!$A$1:$F$607,MATCH($A251,Calculation!$B:$B,0),MATCH(D$1,Calculation!$1:$1,0))</f>
        <v>125</v>
      </c>
      <c r="E251" s="4">
        <f>INDEX(Calculation!$A$1:$F$607,MATCH($A251,Calculation!$B:$B,0),MATCH(E$1,Calculation!$1:$1,0))</f>
        <v>28</v>
      </c>
    </row>
    <row r="252" spans="1:5" ht="16" x14ac:dyDescent="0.2">
      <c r="A252" s="2" t="s">
        <v>844</v>
      </c>
      <c r="B252" s="4">
        <f>INDEX(Calculation!$A$1:$F$607,MATCH($A252,Calculation!$B:$B,0),MATCH(B$1,Calculation!$1:$1,0))</f>
        <v>6260</v>
      </c>
      <c r="C252" s="4">
        <f>INDEX(Calculation!$A$1:$F$607,MATCH($A252,Calculation!$B:$B,0),MATCH(C$1,Calculation!$1:$1,0))</f>
        <v>418</v>
      </c>
      <c r="D252" s="4">
        <f>INDEX(Calculation!$A$1:$F$607,MATCH($A252,Calculation!$B:$B,0),MATCH(D$1,Calculation!$1:$1,0))</f>
        <v>22</v>
      </c>
      <c r="E252" s="4">
        <f>INDEX(Calculation!$A$1:$F$607,MATCH($A252,Calculation!$B:$B,0),MATCH(E$1,Calculation!$1:$1,0))</f>
        <v>12</v>
      </c>
    </row>
    <row r="253" spans="1:5" ht="16" x14ac:dyDescent="0.2">
      <c r="A253" s="2" t="s">
        <v>847</v>
      </c>
      <c r="B253" s="4">
        <f>INDEX(Calculation!$A$1:$F$607,MATCH($A253,Calculation!$B:$B,0),MATCH(B$1,Calculation!$1:$1,0))</f>
        <v>16400</v>
      </c>
      <c r="C253" s="4">
        <f>INDEX(Calculation!$A$1:$F$607,MATCH($A253,Calculation!$B:$B,0),MATCH(C$1,Calculation!$1:$1,0))</f>
        <v>2104</v>
      </c>
      <c r="D253" s="4">
        <f>INDEX(Calculation!$A$1:$F$607,MATCH($A253,Calculation!$B:$B,0),MATCH(D$1,Calculation!$1:$1,0))</f>
        <v>167</v>
      </c>
      <c r="E253" s="4">
        <f>INDEX(Calculation!$A$1:$F$607,MATCH($A253,Calculation!$B:$B,0),MATCH(E$1,Calculation!$1:$1,0))</f>
        <v>0</v>
      </c>
    </row>
    <row r="254" spans="1:5" ht="16" x14ac:dyDescent="0.2">
      <c r="A254" s="2" t="s">
        <v>850</v>
      </c>
      <c r="B254" s="4">
        <f>INDEX(Calculation!$A$1:$F$607,MATCH($A254,Calculation!$B:$B,0),MATCH(B$1,Calculation!$1:$1,0))</f>
        <v>53330</v>
      </c>
      <c r="C254" s="4">
        <f>INDEX(Calculation!$A$1:$F$607,MATCH($A254,Calculation!$B:$B,0),MATCH(C$1,Calculation!$1:$1,0))</f>
        <v>5212</v>
      </c>
      <c r="D254" s="4">
        <f>INDEX(Calculation!$A$1:$F$607,MATCH($A254,Calculation!$B:$B,0),MATCH(D$1,Calculation!$1:$1,0))</f>
        <v>309</v>
      </c>
      <c r="E254" s="4">
        <f>INDEX(Calculation!$A$1:$F$607,MATCH($A254,Calculation!$B:$B,0),MATCH(E$1,Calculation!$1:$1,0))</f>
        <v>2</v>
      </c>
    </row>
    <row r="255" spans="1:5" ht="16" x14ac:dyDescent="0.2">
      <c r="A255" s="2" t="s">
        <v>853</v>
      </c>
      <c r="B255" s="4">
        <f>INDEX(Calculation!$A$1:$F$607,MATCH($A255,Calculation!$B:$B,0),MATCH(B$1,Calculation!$1:$1,0))</f>
        <v>12361</v>
      </c>
      <c r="C255" s="4">
        <f>INDEX(Calculation!$A$1:$F$607,MATCH($A255,Calculation!$B:$B,0),MATCH(C$1,Calculation!$1:$1,0))</f>
        <v>1460</v>
      </c>
      <c r="D255" s="4">
        <f>INDEX(Calculation!$A$1:$F$607,MATCH($A255,Calculation!$B:$B,0),MATCH(D$1,Calculation!$1:$1,0))</f>
        <v>86</v>
      </c>
      <c r="E255" s="4">
        <f>INDEX(Calculation!$A$1:$F$607,MATCH($A255,Calculation!$B:$B,0),MATCH(E$1,Calculation!$1:$1,0))</f>
        <v>1</v>
      </c>
    </row>
    <row r="256" spans="1:5" ht="16" x14ac:dyDescent="0.2">
      <c r="A256" s="2" t="s">
        <v>855</v>
      </c>
      <c r="B256" s="4">
        <f>INDEX(Calculation!$A$1:$F$607,MATCH($A256,Calculation!$B:$B,0),MATCH(B$1,Calculation!$1:$1,0))</f>
        <v>13867</v>
      </c>
      <c r="C256" s="4">
        <f>INDEX(Calculation!$A$1:$F$607,MATCH($A256,Calculation!$B:$B,0),MATCH(C$1,Calculation!$1:$1,0))</f>
        <v>1865</v>
      </c>
      <c r="D256" s="4">
        <f>INDEX(Calculation!$A$1:$F$607,MATCH($A256,Calculation!$B:$B,0),MATCH(D$1,Calculation!$1:$1,0))</f>
        <v>114</v>
      </c>
      <c r="E256" s="4">
        <f>INDEX(Calculation!$A$1:$F$607,MATCH($A256,Calculation!$B:$B,0),MATCH(E$1,Calculation!$1:$1,0))</f>
        <v>7</v>
      </c>
    </row>
    <row r="257" spans="1:5" ht="16" x14ac:dyDescent="0.2">
      <c r="A257" s="2" t="s">
        <v>858</v>
      </c>
      <c r="B257" s="4">
        <f>INDEX(Calculation!$A$1:$F$607,MATCH($A257,Calculation!$B:$B,0),MATCH(B$1,Calculation!$1:$1,0))</f>
        <v>34558</v>
      </c>
      <c r="C257" s="4">
        <f>INDEX(Calculation!$A$1:$F$607,MATCH($A257,Calculation!$B:$B,0),MATCH(C$1,Calculation!$1:$1,0))</f>
        <v>5539</v>
      </c>
      <c r="D257" s="4">
        <f>INDEX(Calculation!$A$1:$F$607,MATCH($A257,Calculation!$B:$B,0),MATCH(D$1,Calculation!$1:$1,0))</f>
        <v>232</v>
      </c>
      <c r="E257" s="4">
        <f>INDEX(Calculation!$A$1:$F$607,MATCH($A257,Calculation!$B:$B,0),MATCH(E$1,Calculation!$1:$1,0))</f>
        <v>20</v>
      </c>
    </row>
    <row r="258" spans="1:5" ht="16" x14ac:dyDescent="0.2">
      <c r="A258" s="2" t="s">
        <v>861</v>
      </c>
      <c r="B258" s="4">
        <f>INDEX(Calculation!$A$1:$F$607,MATCH($A258,Calculation!$B:$B,0),MATCH(B$1,Calculation!$1:$1,0))</f>
        <v>25008</v>
      </c>
      <c r="C258" s="4">
        <f>INDEX(Calculation!$A$1:$F$607,MATCH($A258,Calculation!$B:$B,0),MATCH(C$1,Calculation!$1:$1,0))</f>
        <v>2176</v>
      </c>
      <c r="D258" s="4">
        <f>INDEX(Calculation!$A$1:$F$607,MATCH($A258,Calculation!$B:$B,0),MATCH(D$1,Calculation!$1:$1,0))</f>
        <v>169</v>
      </c>
      <c r="E258" s="4">
        <f>INDEX(Calculation!$A$1:$F$607,MATCH($A258,Calculation!$B:$B,0),MATCH(E$1,Calculation!$1:$1,0))</f>
        <v>1</v>
      </c>
    </row>
    <row r="259" spans="1:5" ht="16" x14ac:dyDescent="0.2">
      <c r="A259" s="2" t="s">
        <v>863</v>
      </c>
      <c r="B259" s="4">
        <f>INDEX(Calculation!$A$1:$F$607,MATCH($A259,Calculation!$B:$B,0),MATCH(B$1,Calculation!$1:$1,0))</f>
        <v>11140</v>
      </c>
      <c r="C259" s="4">
        <f>INDEX(Calculation!$A$1:$F$607,MATCH($A259,Calculation!$B:$B,0),MATCH(C$1,Calculation!$1:$1,0))</f>
        <v>2078</v>
      </c>
      <c r="D259" s="4">
        <f>INDEX(Calculation!$A$1:$F$607,MATCH($A259,Calculation!$B:$B,0),MATCH(D$1,Calculation!$1:$1,0))</f>
        <v>198</v>
      </c>
      <c r="E259" s="4">
        <f>INDEX(Calculation!$A$1:$F$607,MATCH($A259,Calculation!$B:$B,0),MATCH(E$1,Calculation!$1:$1,0))</f>
        <v>2</v>
      </c>
    </row>
    <row r="260" spans="1:5" ht="16" x14ac:dyDescent="0.2">
      <c r="A260" s="2" t="s">
        <v>866</v>
      </c>
      <c r="B260" s="4">
        <f>INDEX(Calculation!$A$1:$F$607,MATCH($A260,Calculation!$B:$B,0),MATCH(B$1,Calculation!$1:$1,0))</f>
        <v>10566</v>
      </c>
      <c r="C260" s="4">
        <f>INDEX(Calculation!$A$1:$F$607,MATCH($A260,Calculation!$B:$B,0),MATCH(C$1,Calculation!$1:$1,0))</f>
        <v>1006</v>
      </c>
      <c r="D260" s="4">
        <f>INDEX(Calculation!$A$1:$F$607,MATCH($A260,Calculation!$B:$B,0),MATCH(D$1,Calculation!$1:$1,0))</f>
        <v>335</v>
      </c>
      <c r="E260" s="4">
        <f>INDEX(Calculation!$A$1:$F$607,MATCH($A260,Calculation!$B:$B,0),MATCH(E$1,Calculation!$1:$1,0))</f>
        <v>0</v>
      </c>
    </row>
    <row r="261" spans="1:5" ht="16" x14ac:dyDescent="0.2">
      <c r="A261" s="2" t="s">
        <v>869</v>
      </c>
      <c r="B261" s="4">
        <f>INDEX(Calculation!$A$1:$F$607,MATCH($A261,Calculation!$B:$B,0),MATCH(B$1,Calculation!$1:$1,0))</f>
        <v>17836</v>
      </c>
      <c r="C261" s="4">
        <f>INDEX(Calculation!$A$1:$F$607,MATCH($A261,Calculation!$B:$B,0),MATCH(C$1,Calculation!$1:$1,0))</f>
        <v>2459</v>
      </c>
      <c r="D261" s="4">
        <f>INDEX(Calculation!$A$1:$F$607,MATCH($A261,Calculation!$B:$B,0),MATCH(D$1,Calculation!$1:$1,0))</f>
        <v>123</v>
      </c>
      <c r="E261" s="4">
        <f>INDEX(Calculation!$A$1:$F$607,MATCH($A261,Calculation!$B:$B,0),MATCH(E$1,Calculation!$1:$1,0))</f>
        <v>2</v>
      </c>
    </row>
    <row r="262" spans="1:5" ht="16" x14ac:dyDescent="0.2">
      <c r="A262" s="2" t="s">
        <v>872</v>
      </c>
      <c r="B262" s="4">
        <f>INDEX(Calculation!$A$1:$F$607,MATCH($A262,Calculation!$B:$B,0),MATCH(B$1,Calculation!$1:$1,0))</f>
        <v>9565</v>
      </c>
      <c r="C262" s="4">
        <f>INDEX(Calculation!$A$1:$F$607,MATCH($A262,Calculation!$B:$B,0),MATCH(C$1,Calculation!$1:$1,0))</f>
        <v>2037</v>
      </c>
      <c r="D262" s="4">
        <f>INDEX(Calculation!$A$1:$F$607,MATCH($A262,Calculation!$B:$B,0),MATCH(D$1,Calculation!$1:$1,0))</f>
        <v>174</v>
      </c>
      <c r="E262" s="4">
        <f>INDEX(Calculation!$A$1:$F$607,MATCH($A262,Calculation!$B:$B,0),MATCH(E$1,Calculation!$1:$1,0))</f>
        <v>1</v>
      </c>
    </row>
    <row r="263" spans="1:5" ht="16" x14ac:dyDescent="0.2">
      <c r="A263" s="2" t="s">
        <v>875</v>
      </c>
      <c r="B263" s="4">
        <f>INDEX(Calculation!$A$1:$F$607,MATCH($A263,Calculation!$B:$B,0),MATCH(B$1,Calculation!$1:$1,0))</f>
        <v>10320</v>
      </c>
      <c r="C263" s="4">
        <f>INDEX(Calculation!$A$1:$F$607,MATCH($A263,Calculation!$B:$B,0),MATCH(C$1,Calculation!$1:$1,0))</f>
        <v>986</v>
      </c>
      <c r="D263" s="4">
        <f>INDEX(Calculation!$A$1:$F$607,MATCH($A263,Calculation!$B:$B,0),MATCH(D$1,Calculation!$1:$1,0))</f>
        <v>63</v>
      </c>
      <c r="E263" s="4">
        <f>INDEX(Calculation!$A$1:$F$607,MATCH($A263,Calculation!$B:$B,0),MATCH(E$1,Calculation!$1:$1,0))</f>
        <v>1</v>
      </c>
    </row>
    <row r="264" spans="1:5" ht="16" x14ac:dyDescent="0.2">
      <c r="A264" s="2" t="s">
        <v>878</v>
      </c>
      <c r="B264" s="4">
        <f>INDEX(Calculation!$A$1:$F$607,MATCH($A264,Calculation!$B:$B,0),MATCH(B$1,Calculation!$1:$1,0))</f>
        <v>13892</v>
      </c>
      <c r="C264" s="4">
        <f>INDEX(Calculation!$A$1:$F$607,MATCH($A264,Calculation!$B:$B,0),MATCH(C$1,Calculation!$1:$1,0))</f>
        <v>1654</v>
      </c>
      <c r="D264" s="4">
        <f>INDEX(Calculation!$A$1:$F$607,MATCH($A264,Calculation!$B:$B,0),MATCH(D$1,Calculation!$1:$1,0))</f>
        <v>100</v>
      </c>
      <c r="E264" s="4">
        <f>INDEX(Calculation!$A$1:$F$607,MATCH($A264,Calculation!$B:$B,0),MATCH(E$1,Calculation!$1:$1,0))</f>
        <v>2</v>
      </c>
    </row>
    <row r="265" spans="1:5" ht="16" x14ac:dyDescent="0.2">
      <c r="A265" s="2" t="s">
        <v>881</v>
      </c>
      <c r="B265" s="4">
        <f>INDEX(Calculation!$A$1:$F$607,MATCH($A265,Calculation!$B:$B,0),MATCH(B$1,Calculation!$1:$1,0))</f>
        <v>24610</v>
      </c>
      <c r="C265" s="4">
        <f>INDEX(Calculation!$A$1:$F$607,MATCH($A265,Calculation!$B:$B,0),MATCH(C$1,Calculation!$1:$1,0))</f>
        <v>3369</v>
      </c>
      <c r="D265" s="4">
        <f>INDEX(Calculation!$A$1:$F$607,MATCH($A265,Calculation!$B:$B,0),MATCH(D$1,Calculation!$1:$1,0))</f>
        <v>150</v>
      </c>
      <c r="E265" s="4">
        <f>INDEX(Calculation!$A$1:$F$607,MATCH($A265,Calculation!$B:$B,0),MATCH(E$1,Calculation!$1:$1,0))</f>
        <v>10</v>
      </c>
    </row>
    <row r="266" spans="1:5" ht="16" x14ac:dyDescent="0.2">
      <c r="A266" s="2" t="s">
        <v>884</v>
      </c>
      <c r="B266" s="4">
        <f>INDEX(Calculation!$A$1:$F$607,MATCH($A266,Calculation!$B:$B,0),MATCH(B$1,Calculation!$1:$1,0))</f>
        <v>15105</v>
      </c>
      <c r="C266" s="4">
        <f>INDEX(Calculation!$A$1:$F$607,MATCH($A266,Calculation!$B:$B,0),MATCH(C$1,Calculation!$1:$1,0))</f>
        <v>1217</v>
      </c>
      <c r="D266" s="4">
        <f>INDEX(Calculation!$A$1:$F$607,MATCH($A266,Calculation!$B:$B,0),MATCH(D$1,Calculation!$1:$1,0))</f>
        <v>104</v>
      </c>
      <c r="E266" s="4">
        <f>INDEX(Calculation!$A$1:$F$607,MATCH($A266,Calculation!$B:$B,0),MATCH(E$1,Calculation!$1:$1,0))</f>
        <v>9</v>
      </c>
    </row>
    <row r="267" spans="1:5" ht="16" x14ac:dyDescent="0.2">
      <c r="A267" s="2" t="s">
        <v>887</v>
      </c>
      <c r="B267" s="4">
        <f>INDEX(Calculation!$A$1:$F$607,MATCH($A267,Calculation!$B:$B,0),MATCH(B$1,Calculation!$1:$1,0))</f>
        <v>33292</v>
      </c>
      <c r="C267" s="4">
        <f>INDEX(Calculation!$A$1:$F$607,MATCH($A267,Calculation!$B:$B,0),MATCH(C$1,Calculation!$1:$1,0))</f>
        <v>2946</v>
      </c>
      <c r="D267" s="4">
        <f>INDEX(Calculation!$A$1:$F$607,MATCH($A267,Calculation!$B:$B,0),MATCH(D$1,Calculation!$1:$1,0))</f>
        <v>178</v>
      </c>
      <c r="E267" s="4">
        <f>INDEX(Calculation!$A$1:$F$607,MATCH($A267,Calculation!$B:$B,0),MATCH(E$1,Calculation!$1:$1,0))</f>
        <v>3</v>
      </c>
    </row>
    <row r="268" spans="1:5" ht="16" x14ac:dyDescent="0.2">
      <c r="A268" s="2" t="s">
        <v>890</v>
      </c>
      <c r="B268" s="4">
        <f>INDEX(Calculation!$A$1:$F$607,MATCH($A268,Calculation!$B:$B,0),MATCH(B$1,Calculation!$1:$1,0))</f>
        <v>46531</v>
      </c>
      <c r="C268" s="4">
        <f>INDEX(Calculation!$A$1:$F$607,MATCH($A268,Calculation!$B:$B,0),MATCH(C$1,Calculation!$1:$1,0))</f>
        <v>7138</v>
      </c>
      <c r="D268" s="4">
        <f>INDEX(Calculation!$A$1:$F$607,MATCH($A268,Calculation!$B:$B,0),MATCH(D$1,Calculation!$1:$1,0))</f>
        <v>396</v>
      </c>
      <c r="E268" s="4">
        <f>INDEX(Calculation!$A$1:$F$607,MATCH($A268,Calculation!$B:$B,0),MATCH(E$1,Calculation!$1:$1,0))</f>
        <v>7</v>
      </c>
    </row>
    <row r="269" spans="1:5" ht="16" x14ac:dyDescent="0.2">
      <c r="A269" s="2" t="s">
        <v>893</v>
      </c>
      <c r="B269" s="4">
        <f>INDEX(Calculation!$A$1:$F$607,MATCH($A269,Calculation!$B:$B,0),MATCH(B$1,Calculation!$1:$1,0))</f>
        <v>31377</v>
      </c>
      <c r="C269" s="4">
        <f>INDEX(Calculation!$A$1:$F$607,MATCH($A269,Calculation!$B:$B,0),MATCH(C$1,Calculation!$1:$1,0))</f>
        <v>3119</v>
      </c>
      <c r="D269" s="4">
        <f>INDEX(Calculation!$A$1:$F$607,MATCH($A269,Calculation!$B:$B,0),MATCH(D$1,Calculation!$1:$1,0))</f>
        <v>220</v>
      </c>
      <c r="E269" s="4">
        <f>INDEX(Calculation!$A$1:$F$607,MATCH($A269,Calculation!$B:$B,0),MATCH(E$1,Calculation!$1:$1,0))</f>
        <v>3</v>
      </c>
    </row>
    <row r="270" spans="1:5" ht="16" x14ac:dyDescent="0.2">
      <c r="A270" s="2" t="s">
        <v>896</v>
      </c>
      <c r="B270" s="4">
        <f>INDEX(Calculation!$A$1:$F$607,MATCH($A270,Calculation!$B:$B,0),MATCH(B$1,Calculation!$1:$1,0))</f>
        <v>2547</v>
      </c>
      <c r="C270" s="4">
        <f>INDEX(Calculation!$A$1:$F$607,MATCH($A270,Calculation!$B:$B,0),MATCH(C$1,Calculation!$1:$1,0))</f>
        <v>666</v>
      </c>
      <c r="D270" s="4">
        <f>INDEX(Calculation!$A$1:$F$607,MATCH($A270,Calculation!$B:$B,0),MATCH(D$1,Calculation!$1:$1,0))</f>
        <v>34</v>
      </c>
      <c r="E270" s="4">
        <f>INDEX(Calculation!$A$1:$F$607,MATCH($A270,Calculation!$B:$B,0),MATCH(E$1,Calculation!$1:$1,0))</f>
        <v>4</v>
      </c>
    </row>
    <row r="271" spans="1:5" ht="16" x14ac:dyDescent="0.2">
      <c r="A271" s="2" t="s">
        <v>899</v>
      </c>
      <c r="B271" s="4">
        <f>INDEX(Calculation!$A$1:$F$607,MATCH($A271,Calculation!$B:$B,0),MATCH(B$1,Calculation!$1:$1,0))</f>
        <v>7566</v>
      </c>
      <c r="C271" s="4">
        <f>INDEX(Calculation!$A$1:$F$607,MATCH($A271,Calculation!$B:$B,0),MATCH(C$1,Calculation!$1:$1,0))</f>
        <v>1660</v>
      </c>
      <c r="D271" s="4">
        <f>INDEX(Calculation!$A$1:$F$607,MATCH($A271,Calculation!$B:$B,0),MATCH(D$1,Calculation!$1:$1,0))</f>
        <v>77</v>
      </c>
      <c r="E271" s="4">
        <f>INDEX(Calculation!$A$1:$F$607,MATCH($A271,Calculation!$B:$B,0),MATCH(E$1,Calculation!$1:$1,0))</f>
        <v>12</v>
      </c>
    </row>
    <row r="272" spans="1:5" ht="16" x14ac:dyDescent="0.2">
      <c r="A272" s="2" t="s">
        <v>902</v>
      </c>
      <c r="B272" s="4">
        <f>INDEX(Calculation!$A$1:$F$607,MATCH($A272,Calculation!$B:$B,0),MATCH(B$1,Calculation!$1:$1,0))</f>
        <v>20106</v>
      </c>
      <c r="C272" s="4">
        <f>INDEX(Calculation!$A$1:$F$607,MATCH($A272,Calculation!$B:$B,0),MATCH(C$1,Calculation!$1:$1,0))</f>
        <v>1940</v>
      </c>
      <c r="D272" s="4">
        <f>INDEX(Calculation!$A$1:$F$607,MATCH($A272,Calculation!$B:$B,0),MATCH(D$1,Calculation!$1:$1,0))</f>
        <v>165</v>
      </c>
      <c r="E272" s="4">
        <f>INDEX(Calculation!$A$1:$F$607,MATCH($A272,Calculation!$B:$B,0),MATCH(E$1,Calculation!$1:$1,0))</f>
        <v>1</v>
      </c>
    </row>
    <row r="273" spans="1:5" ht="16" x14ac:dyDescent="0.2">
      <c r="A273" s="2" t="s">
        <v>905</v>
      </c>
      <c r="B273" s="4">
        <f>INDEX(Calculation!$A$1:$F$607,MATCH($A273,Calculation!$B:$B,0),MATCH(B$1,Calculation!$1:$1,0))</f>
        <v>14329</v>
      </c>
      <c r="C273" s="4">
        <f>INDEX(Calculation!$A$1:$F$607,MATCH($A273,Calculation!$B:$B,0),MATCH(C$1,Calculation!$1:$1,0))</f>
        <v>2335</v>
      </c>
      <c r="D273" s="4">
        <f>INDEX(Calculation!$A$1:$F$607,MATCH($A273,Calculation!$B:$B,0),MATCH(D$1,Calculation!$1:$1,0))</f>
        <v>85</v>
      </c>
      <c r="E273" s="4">
        <f>INDEX(Calculation!$A$1:$F$607,MATCH($A273,Calculation!$B:$B,0),MATCH(E$1,Calculation!$1:$1,0))</f>
        <v>10</v>
      </c>
    </row>
    <row r="274" spans="1:5" ht="16" x14ac:dyDescent="0.2">
      <c r="A274" s="2" t="s">
        <v>908</v>
      </c>
      <c r="B274" s="4">
        <f>INDEX(Calculation!$A$1:$F$607,MATCH($A274,Calculation!$B:$B,0),MATCH(B$1,Calculation!$1:$1,0))</f>
        <v>24699</v>
      </c>
      <c r="C274" s="4">
        <f>INDEX(Calculation!$A$1:$F$607,MATCH($A274,Calculation!$B:$B,0),MATCH(C$1,Calculation!$1:$1,0))</f>
        <v>2874</v>
      </c>
      <c r="D274" s="4">
        <f>INDEX(Calculation!$A$1:$F$607,MATCH($A274,Calculation!$B:$B,0),MATCH(D$1,Calculation!$1:$1,0))</f>
        <v>220</v>
      </c>
      <c r="E274" s="4">
        <f>INDEX(Calculation!$A$1:$F$607,MATCH($A274,Calculation!$B:$B,0),MATCH(E$1,Calculation!$1:$1,0))</f>
        <v>16</v>
      </c>
    </row>
    <row r="275" spans="1:5" ht="16" x14ac:dyDescent="0.2">
      <c r="A275" s="2" t="s">
        <v>910</v>
      </c>
      <c r="B275" s="4">
        <f>INDEX(Calculation!$A$1:$F$607,MATCH($A275,Calculation!$B:$B,0),MATCH(B$1,Calculation!$1:$1,0))</f>
        <v>122310</v>
      </c>
      <c r="C275" s="4">
        <f>INDEX(Calculation!$A$1:$F$607,MATCH($A275,Calculation!$B:$B,0),MATCH(C$1,Calculation!$1:$1,0))</f>
        <v>13072</v>
      </c>
      <c r="D275" s="4">
        <f>INDEX(Calculation!$A$1:$F$607,MATCH($A275,Calculation!$B:$B,0),MATCH(D$1,Calculation!$1:$1,0))</f>
        <v>777</v>
      </c>
      <c r="E275" s="4">
        <f>INDEX(Calculation!$A$1:$F$607,MATCH($A275,Calculation!$B:$B,0),MATCH(E$1,Calculation!$1:$1,0))</f>
        <v>41</v>
      </c>
    </row>
    <row r="276" spans="1:5" ht="16" x14ac:dyDescent="0.2">
      <c r="A276" s="2" t="s">
        <v>912</v>
      </c>
      <c r="B276" s="4">
        <f>INDEX(Calculation!$A$1:$F$607,MATCH($A276,Calculation!$B:$B,0),MATCH(B$1,Calculation!$1:$1,0))</f>
        <v>13166</v>
      </c>
      <c r="C276" s="4">
        <f>INDEX(Calculation!$A$1:$F$607,MATCH($A276,Calculation!$B:$B,0),MATCH(C$1,Calculation!$1:$1,0))</f>
        <v>2733</v>
      </c>
      <c r="D276" s="4">
        <f>INDEX(Calculation!$A$1:$F$607,MATCH($A276,Calculation!$B:$B,0),MATCH(D$1,Calculation!$1:$1,0))</f>
        <v>137</v>
      </c>
      <c r="E276" s="4">
        <f>INDEX(Calculation!$A$1:$F$607,MATCH($A276,Calculation!$B:$B,0),MATCH(E$1,Calculation!$1:$1,0))</f>
        <v>23</v>
      </c>
    </row>
    <row r="277" spans="1:5" ht="16" x14ac:dyDescent="0.2">
      <c r="A277" s="2" t="s">
        <v>915</v>
      </c>
      <c r="B277" s="4">
        <f>INDEX(Calculation!$A$1:$F$607,MATCH($A277,Calculation!$B:$B,0),MATCH(B$1,Calculation!$1:$1,0))</f>
        <v>18736</v>
      </c>
      <c r="C277" s="4">
        <f>INDEX(Calculation!$A$1:$F$607,MATCH($A277,Calculation!$B:$B,0),MATCH(C$1,Calculation!$1:$1,0))</f>
        <v>2728</v>
      </c>
      <c r="D277" s="4">
        <f>INDEX(Calculation!$A$1:$F$607,MATCH($A277,Calculation!$B:$B,0),MATCH(D$1,Calculation!$1:$1,0))</f>
        <v>206</v>
      </c>
      <c r="E277" s="4">
        <f>INDEX(Calculation!$A$1:$F$607,MATCH($A277,Calculation!$B:$B,0),MATCH(E$1,Calculation!$1:$1,0))</f>
        <v>8</v>
      </c>
    </row>
    <row r="278" spans="1:5" ht="16" x14ac:dyDescent="0.2">
      <c r="A278" s="2" t="s">
        <v>918</v>
      </c>
      <c r="B278" s="4">
        <f>INDEX(Calculation!$A$1:$F$607,MATCH($A278,Calculation!$B:$B,0),MATCH(B$1,Calculation!$1:$1,0))</f>
        <v>24440</v>
      </c>
      <c r="C278" s="4">
        <f>INDEX(Calculation!$A$1:$F$607,MATCH($A278,Calculation!$B:$B,0),MATCH(C$1,Calculation!$1:$1,0))</f>
        <v>2140</v>
      </c>
      <c r="D278" s="4">
        <f>INDEX(Calculation!$A$1:$F$607,MATCH($A278,Calculation!$B:$B,0),MATCH(D$1,Calculation!$1:$1,0))</f>
        <v>80</v>
      </c>
      <c r="E278" s="4">
        <f>INDEX(Calculation!$A$1:$F$607,MATCH($A278,Calculation!$B:$B,0),MATCH(E$1,Calculation!$1:$1,0))</f>
        <v>0</v>
      </c>
    </row>
    <row r="279" spans="1:5" ht="16" x14ac:dyDescent="0.2">
      <c r="A279" s="2" t="s">
        <v>921</v>
      </c>
      <c r="B279" s="4">
        <f>INDEX(Calculation!$A$1:$F$607,MATCH($A279,Calculation!$B:$B,0),MATCH(B$1,Calculation!$1:$1,0))</f>
        <v>17785</v>
      </c>
      <c r="C279" s="4">
        <f>INDEX(Calculation!$A$1:$F$607,MATCH($A279,Calculation!$B:$B,0),MATCH(C$1,Calculation!$1:$1,0))</f>
        <v>2344</v>
      </c>
      <c r="D279" s="4">
        <f>INDEX(Calculation!$A$1:$F$607,MATCH($A279,Calculation!$B:$B,0),MATCH(D$1,Calculation!$1:$1,0))</f>
        <v>166</v>
      </c>
      <c r="E279" s="4">
        <f>INDEX(Calculation!$A$1:$F$607,MATCH($A279,Calculation!$B:$B,0),MATCH(E$1,Calculation!$1:$1,0))</f>
        <v>3</v>
      </c>
    </row>
    <row r="280" spans="1:5" ht="16" x14ac:dyDescent="0.2">
      <c r="A280" s="2" t="s">
        <v>924</v>
      </c>
      <c r="B280" s="4">
        <f>INDEX(Calculation!$A$1:$F$607,MATCH($A280,Calculation!$B:$B,0),MATCH(B$1,Calculation!$1:$1,0))</f>
        <v>6732</v>
      </c>
      <c r="C280" s="4">
        <f>INDEX(Calculation!$A$1:$F$607,MATCH($A280,Calculation!$B:$B,0),MATCH(C$1,Calculation!$1:$1,0))</f>
        <v>811</v>
      </c>
      <c r="D280" s="4">
        <f>INDEX(Calculation!$A$1:$F$607,MATCH($A280,Calculation!$B:$B,0),MATCH(D$1,Calculation!$1:$1,0))</f>
        <v>32</v>
      </c>
      <c r="E280" s="4">
        <f>INDEX(Calculation!$A$1:$F$607,MATCH($A280,Calculation!$B:$B,0),MATCH(E$1,Calculation!$1:$1,0))</f>
        <v>1</v>
      </c>
    </row>
    <row r="281" spans="1:5" ht="16" x14ac:dyDescent="0.2">
      <c r="A281" s="2" t="s">
        <v>926</v>
      </c>
      <c r="B281" s="4">
        <f>INDEX(Calculation!$A$1:$F$607,MATCH($A281,Calculation!$B:$B,0),MATCH(B$1,Calculation!$1:$1,0))</f>
        <v>15911</v>
      </c>
      <c r="C281" s="4">
        <f>INDEX(Calculation!$A$1:$F$607,MATCH($A281,Calculation!$B:$B,0),MATCH(C$1,Calculation!$1:$1,0))</f>
        <v>1372</v>
      </c>
      <c r="D281" s="4">
        <f>INDEX(Calculation!$A$1:$F$607,MATCH($A281,Calculation!$B:$B,0),MATCH(D$1,Calculation!$1:$1,0))</f>
        <v>109</v>
      </c>
      <c r="E281" s="4">
        <f>INDEX(Calculation!$A$1:$F$607,MATCH($A281,Calculation!$B:$B,0),MATCH(E$1,Calculation!$1:$1,0))</f>
        <v>1</v>
      </c>
    </row>
    <row r="282" spans="1:5" ht="16" x14ac:dyDescent="0.2">
      <c r="A282" s="2" t="s">
        <v>929</v>
      </c>
      <c r="B282" s="4">
        <f>INDEX(Calculation!$A$1:$F$607,MATCH($A282,Calculation!$B:$B,0),MATCH(B$1,Calculation!$1:$1,0))</f>
        <v>7875</v>
      </c>
      <c r="C282" s="4">
        <f>INDEX(Calculation!$A$1:$F$607,MATCH($A282,Calculation!$B:$B,0),MATCH(C$1,Calculation!$1:$1,0))</f>
        <v>1427</v>
      </c>
      <c r="D282" s="4">
        <f>INDEX(Calculation!$A$1:$F$607,MATCH($A282,Calculation!$B:$B,0),MATCH(D$1,Calculation!$1:$1,0))</f>
        <v>59</v>
      </c>
      <c r="E282" s="4">
        <f>INDEX(Calculation!$A$1:$F$607,MATCH($A282,Calculation!$B:$B,0),MATCH(E$1,Calculation!$1:$1,0))</f>
        <v>2</v>
      </c>
    </row>
    <row r="283" spans="1:5" ht="16" x14ac:dyDescent="0.2">
      <c r="A283" s="2" t="s">
        <v>932</v>
      </c>
      <c r="B283" s="4">
        <f>INDEX(Calculation!$A$1:$F$607,MATCH($A283,Calculation!$B:$B,0),MATCH(B$1,Calculation!$1:$1,0))</f>
        <v>135664</v>
      </c>
      <c r="C283" s="4">
        <f>INDEX(Calculation!$A$1:$F$607,MATCH($A283,Calculation!$B:$B,0),MATCH(C$1,Calculation!$1:$1,0))</f>
        <v>16260</v>
      </c>
      <c r="D283" s="4">
        <f>INDEX(Calculation!$A$1:$F$607,MATCH($A283,Calculation!$B:$B,0),MATCH(D$1,Calculation!$1:$1,0))</f>
        <v>1250</v>
      </c>
      <c r="E283" s="4">
        <f>INDEX(Calculation!$A$1:$F$607,MATCH($A283,Calculation!$B:$B,0),MATCH(E$1,Calculation!$1:$1,0))</f>
        <v>72</v>
      </c>
    </row>
    <row r="284" spans="1:5" ht="16" x14ac:dyDescent="0.2">
      <c r="A284" s="2" t="s">
        <v>934</v>
      </c>
      <c r="B284" s="4">
        <f>INDEX(Calculation!$A$1:$F$607,MATCH($A284,Calculation!$B:$B,0),MATCH(B$1,Calculation!$1:$1,0))</f>
        <v>26201</v>
      </c>
      <c r="C284" s="4">
        <f>INDEX(Calculation!$A$1:$F$607,MATCH($A284,Calculation!$B:$B,0),MATCH(C$1,Calculation!$1:$1,0))</f>
        <v>2295</v>
      </c>
      <c r="D284" s="4">
        <f>INDEX(Calculation!$A$1:$F$607,MATCH($A284,Calculation!$B:$B,0),MATCH(D$1,Calculation!$1:$1,0))</f>
        <v>109</v>
      </c>
      <c r="E284" s="4">
        <f>INDEX(Calculation!$A$1:$F$607,MATCH($A284,Calculation!$B:$B,0),MATCH(E$1,Calculation!$1:$1,0))</f>
        <v>0</v>
      </c>
    </row>
    <row r="285" spans="1:5" ht="16" x14ac:dyDescent="0.2">
      <c r="A285" s="2" t="s">
        <v>937</v>
      </c>
      <c r="B285" s="4">
        <f>INDEX(Calculation!$A$1:$F$607,MATCH($A285,Calculation!$B:$B,0),MATCH(B$1,Calculation!$1:$1,0))</f>
        <v>4943</v>
      </c>
      <c r="C285" s="4">
        <f>INDEX(Calculation!$A$1:$F$607,MATCH($A285,Calculation!$B:$B,0),MATCH(C$1,Calculation!$1:$1,0))</f>
        <v>289</v>
      </c>
      <c r="D285" s="4">
        <f>INDEX(Calculation!$A$1:$F$607,MATCH($A285,Calculation!$B:$B,0),MATCH(D$1,Calculation!$1:$1,0))</f>
        <v>21</v>
      </c>
      <c r="E285" s="4">
        <f>INDEX(Calculation!$A$1:$F$607,MATCH($A285,Calculation!$B:$B,0),MATCH(E$1,Calculation!$1:$1,0))</f>
        <v>4</v>
      </c>
    </row>
    <row r="286" spans="1:5" ht="16" x14ac:dyDescent="0.2">
      <c r="A286" s="2" t="s">
        <v>940</v>
      </c>
      <c r="B286" s="4">
        <f>INDEX(Calculation!$A$1:$F$607,MATCH($A286,Calculation!$B:$B,0),MATCH(B$1,Calculation!$1:$1,0))</f>
        <v>9224</v>
      </c>
      <c r="C286" s="4">
        <f>INDEX(Calculation!$A$1:$F$607,MATCH($A286,Calculation!$B:$B,0),MATCH(C$1,Calculation!$1:$1,0))</f>
        <v>814</v>
      </c>
      <c r="D286" s="4">
        <f>INDEX(Calculation!$A$1:$F$607,MATCH($A286,Calculation!$B:$B,0),MATCH(D$1,Calculation!$1:$1,0))</f>
        <v>49</v>
      </c>
      <c r="E286" s="4">
        <f>INDEX(Calculation!$A$1:$F$607,MATCH($A286,Calculation!$B:$B,0),MATCH(E$1,Calculation!$1:$1,0))</f>
        <v>39</v>
      </c>
    </row>
    <row r="287" spans="1:5" ht="16" x14ac:dyDescent="0.2">
      <c r="A287" s="2" t="s">
        <v>943</v>
      </c>
      <c r="B287" s="4">
        <f>INDEX(Calculation!$A$1:$F$607,MATCH($A287,Calculation!$B:$B,0),MATCH(B$1,Calculation!$1:$1,0))</f>
        <v>17582</v>
      </c>
      <c r="C287" s="4">
        <f>INDEX(Calculation!$A$1:$F$607,MATCH($A287,Calculation!$B:$B,0),MATCH(C$1,Calculation!$1:$1,0))</f>
        <v>1721</v>
      </c>
      <c r="D287" s="4">
        <f>INDEX(Calculation!$A$1:$F$607,MATCH($A287,Calculation!$B:$B,0),MATCH(D$1,Calculation!$1:$1,0))</f>
        <v>93</v>
      </c>
      <c r="E287" s="4">
        <f>INDEX(Calculation!$A$1:$F$607,MATCH($A287,Calculation!$B:$B,0),MATCH(E$1,Calculation!$1:$1,0))</f>
        <v>12</v>
      </c>
    </row>
    <row r="288" spans="1:5" ht="16" x14ac:dyDescent="0.2">
      <c r="A288" s="2" t="s">
        <v>946</v>
      </c>
      <c r="B288" s="4">
        <f>INDEX(Calculation!$A$1:$F$607,MATCH($A288,Calculation!$B:$B,0),MATCH(B$1,Calculation!$1:$1,0))</f>
        <v>15515</v>
      </c>
      <c r="C288" s="4">
        <f>INDEX(Calculation!$A$1:$F$607,MATCH($A288,Calculation!$B:$B,0),MATCH(C$1,Calculation!$1:$1,0))</f>
        <v>1539</v>
      </c>
      <c r="D288" s="4">
        <f>INDEX(Calculation!$A$1:$F$607,MATCH($A288,Calculation!$B:$B,0),MATCH(D$1,Calculation!$1:$1,0))</f>
        <v>72</v>
      </c>
      <c r="E288" s="4">
        <f>INDEX(Calculation!$A$1:$F$607,MATCH($A288,Calculation!$B:$B,0),MATCH(E$1,Calculation!$1:$1,0))</f>
        <v>0</v>
      </c>
    </row>
    <row r="289" spans="1:5" ht="16" x14ac:dyDescent="0.2">
      <c r="A289" s="2" t="s">
        <v>948</v>
      </c>
      <c r="B289" s="4">
        <f>INDEX(Calculation!$A$1:$F$607,MATCH($A289,Calculation!$B:$B,0),MATCH(B$1,Calculation!$1:$1,0))</f>
        <v>33139</v>
      </c>
      <c r="C289" s="4">
        <f>INDEX(Calculation!$A$1:$F$607,MATCH($A289,Calculation!$B:$B,0),MATCH(C$1,Calculation!$1:$1,0))</f>
        <v>3232</v>
      </c>
      <c r="D289" s="4">
        <f>INDEX(Calculation!$A$1:$F$607,MATCH($A289,Calculation!$B:$B,0),MATCH(D$1,Calculation!$1:$1,0))</f>
        <v>185</v>
      </c>
      <c r="E289" s="4">
        <f>INDEX(Calculation!$A$1:$F$607,MATCH($A289,Calculation!$B:$B,0),MATCH(E$1,Calculation!$1:$1,0))</f>
        <v>0</v>
      </c>
    </row>
    <row r="290" spans="1:5" ht="16" x14ac:dyDescent="0.2">
      <c r="A290" s="2" t="s">
        <v>950</v>
      </c>
      <c r="B290" s="4">
        <f>INDEX(Calculation!$A$1:$F$607,MATCH($A290,Calculation!$B:$B,0),MATCH(B$1,Calculation!$1:$1,0))</f>
        <v>12393</v>
      </c>
      <c r="C290" s="4">
        <f>INDEX(Calculation!$A$1:$F$607,MATCH($A290,Calculation!$B:$B,0),MATCH(C$1,Calculation!$1:$1,0))</f>
        <v>1862</v>
      </c>
      <c r="D290" s="4">
        <f>INDEX(Calculation!$A$1:$F$607,MATCH($A290,Calculation!$B:$B,0),MATCH(D$1,Calculation!$1:$1,0))</f>
        <v>79</v>
      </c>
      <c r="E290" s="4">
        <f>INDEX(Calculation!$A$1:$F$607,MATCH($A290,Calculation!$B:$B,0),MATCH(E$1,Calculation!$1:$1,0))</f>
        <v>0</v>
      </c>
    </row>
    <row r="291" spans="1:5" ht="16" x14ac:dyDescent="0.2">
      <c r="A291" s="2" t="s">
        <v>953</v>
      </c>
      <c r="B291" s="4">
        <f>INDEX(Calculation!$A$1:$F$607,MATCH($A291,Calculation!$B:$B,0),MATCH(B$1,Calculation!$1:$1,0))</f>
        <v>24215</v>
      </c>
      <c r="C291" s="4">
        <f>INDEX(Calculation!$A$1:$F$607,MATCH($A291,Calculation!$B:$B,0),MATCH(C$1,Calculation!$1:$1,0))</f>
        <v>2256</v>
      </c>
      <c r="D291" s="4">
        <f>INDEX(Calculation!$A$1:$F$607,MATCH($A291,Calculation!$B:$B,0),MATCH(D$1,Calculation!$1:$1,0))</f>
        <v>157</v>
      </c>
      <c r="E291" s="4">
        <f>INDEX(Calculation!$A$1:$F$607,MATCH($A291,Calculation!$B:$B,0),MATCH(E$1,Calculation!$1:$1,0))</f>
        <v>9</v>
      </c>
    </row>
    <row r="292" spans="1:5" ht="16" x14ac:dyDescent="0.2">
      <c r="A292" s="2" t="s">
        <v>956</v>
      </c>
      <c r="B292" s="4">
        <f>INDEX(Calculation!$A$1:$F$607,MATCH($A292,Calculation!$B:$B,0),MATCH(B$1,Calculation!$1:$1,0))</f>
        <v>33524</v>
      </c>
      <c r="C292" s="4">
        <f>INDEX(Calculation!$A$1:$F$607,MATCH($A292,Calculation!$B:$B,0),MATCH(C$1,Calculation!$1:$1,0))</f>
        <v>3298</v>
      </c>
      <c r="D292" s="4">
        <f>INDEX(Calculation!$A$1:$F$607,MATCH($A292,Calculation!$B:$B,0),MATCH(D$1,Calculation!$1:$1,0))</f>
        <v>142</v>
      </c>
      <c r="E292" s="4">
        <f>INDEX(Calculation!$A$1:$F$607,MATCH($A292,Calculation!$B:$B,0),MATCH(E$1,Calculation!$1:$1,0))</f>
        <v>7</v>
      </c>
    </row>
    <row r="293" spans="1:5" ht="16" x14ac:dyDescent="0.2">
      <c r="A293" s="2" t="s">
        <v>959</v>
      </c>
      <c r="B293" s="4">
        <f>INDEX(Calculation!$A$1:$F$607,MATCH($A293,Calculation!$B:$B,0),MATCH(B$1,Calculation!$1:$1,0))</f>
        <v>51000</v>
      </c>
      <c r="C293" s="4">
        <f>INDEX(Calculation!$A$1:$F$607,MATCH($A293,Calculation!$B:$B,0),MATCH(C$1,Calculation!$1:$1,0))</f>
        <v>3916</v>
      </c>
      <c r="D293" s="4">
        <f>INDEX(Calculation!$A$1:$F$607,MATCH($A293,Calculation!$B:$B,0),MATCH(D$1,Calculation!$1:$1,0))</f>
        <v>395</v>
      </c>
      <c r="E293" s="4">
        <f>INDEX(Calculation!$A$1:$F$607,MATCH($A293,Calculation!$B:$B,0),MATCH(E$1,Calculation!$1:$1,0))</f>
        <v>48</v>
      </c>
    </row>
    <row r="294" spans="1:5" ht="16" x14ac:dyDescent="0.2">
      <c r="A294" s="2" t="s">
        <v>961</v>
      </c>
      <c r="B294" s="4">
        <f>INDEX(Calculation!$A$1:$F$607,MATCH($A294,Calculation!$B:$B,0),MATCH(B$1,Calculation!$1:$1,0))</f>
        <v>24336</v>
      </c>
      <c r="C294" s="4">
        <f>INDEX(Calculation!$A$1:$F$607,MATCH($A294,Calculation!$B:$B,0),MATCH(C$1,Calculation!$1:$1,0))</f>
        <v>2724</v>
      </c>
      <c r="D294" s="4">
        <f>INDEX(Calculation!$A$1:$F$607,MATCH($A294,Calculation!$B:$B,0),MATCH(D$1,Calculation!$1:$1,0))</f>
        <v>178</v>
      </c>
      <c r="E294" s="4">
        <f>INDEX(Calculation!$A$1:$F$607,MATCH($A294,Calculation!$B:$B,0),MATCH(E$1,Calculation!$1:$1,0))</f>
        <v>2</v>
      </c>
    </row>
    <row r="295" spans="1:5" ht="16" x14ac:dyDescent="0.2">
      <c r="A295" s="2" t="s">
        <v>963</v>
      </c>
      <c r="B295" s="4">
        <f>INDEX(Calculation!$A$1:$F$607,MATCH($A295,Calculation!$B:$B,0),MATCH(B$1,Calculation!$1:$1,0))</f>
        <v>33235</v>
      </c>
      <c r="C295" s="4">
        <f>INDEX(Calculation!$A$1:$F$607,MATCH($A295,Calculation!$B:$B,0),MATCH(C$1,Calculation!$1:$1,0))</f>
        <v>4875</v>
      </c>
      <c r="D295" s="4">
        <f>INDEX(Calculation!$A$1:$F$607,MATCH($A295,Calculation!$B:$B,0),MATCH(D$1,Calculation!$1:$1,0))</f>
        <v>541</v>
      </c>
      <c r="E295" s="4">
        <f>INDEX(Calculation!$A$1:$F$607,MATCH($A295,Calculation!$B:$B,0),MATCH(E$1,Calculation!$1:$1,0))</f>
        <v>191</v>
      </c>
    </row>
    <row r="296" spans="1:5" ht="16" x14ac:dyDescent="0.2">
      <c r="A296" s="2" t="s">
        <v>966</v>
      </c>
      <c r="B296" s="4">
        <f>INDEX(Calculation!$A$1:$F$607,MATCH($A296,Calculation!$B:$B,0),MATCH(B$1,Calculation!$1:$1,0))</f>
        <v>32237</v>
      </c>
      <c r="C296" s="4">
        <f>INDEX(Calculation!$A$1:$F$607,MATCH($A296,Calculation!$B:$B,0),MATCH(C$1,Calculation!$1:$1,0))</f>
        <v>2878</v>
      </c>
      <c r="D296" s="4">
        <f>INDEX(Calculation!$A$1:$F$607,MATCH($A296,Calculation!$B:$B,0),MATCH(D$1,Calculation!$1:$1,0))</f>
        <v>119</v>
      </c>
      <c r="E296" s="4">
        <f>INDEX(Calculation!$A$1:$F$607,MATCH($A296,Calculation!$B:$B,0),MATCH(E$1,Calculation!$1:$1,0))</f>
        <v>7</v>
      </c>
    </row>
    <row r="297" spans="1:5" ht="16" x14ac:dyDescent="0.2">
      <c r="A297" s="2" t="s">
        <v>969</v>
      </c>
      <c r="B297" s="4">
        <f>INDEX(Calculation!$A$1:$F$607,MATCH($A297,Calculation!$B:$B,0),MATCH(B$1,Calculation!$1:$1,0))</f>
        <v>482</v>
      </c>
      <c r="C297" s="4">
        <f>INDEX(Calculation!$A$1:$F$607,MATCH($A297,Calculation!$B:$B,0),MATCH(C$1,Calculation!$1:$1,0))</f>
        <v>140</v>
      </c>
      <c r="D297" s="4">
        <f>INDEX(Calculation!$A$1:$F$607,MATCH($A297,Calculation!$B:$B,0),MATCH(D$1,Calculation!$1:$1,0))</f>
        <v>11</v>
      </c>
      <c r="E297" s="4">
        <f>INDEX(Calculation!$A$1:$F$607,MATCH($A297,Calculation!$B:$B,0),MATCH(E$1,Calculation!$1:$1,0))</f>
        <v>0</v>
      </c>
    </row>
    <row r="298" spans="1:5" ht="16" x14ac:dyDescent="0.2">
      <c r="A298" s="2" t="s">
        <v>972</v>
      </c>
      <c r="B298" s="4">
        <f>INDEX(Calculation!$A$1:$F$607,MATCH($A298,Calculation!$B:$B,0),MATCH(B$1,Calculation!$1:$1,0))</f>
        <v>21619</v>
      </c>
      <c r="C298" s="4">
        <f>INDEX(Calculation!$A$1:$F$607,MATCH($A298,Calculation!$B:$B,0),MATCH(C$1,Calculation!$1:$1,0))</f>
        <v>1617</v>
      </c>
      <c r="D298" s="4">
        <f>INDEX(Calculation!$A$1:$F$607,MATCH($A298,Calculation!$B:$B,0),MATCH(D$1,Calculation!$1:$1,0))</f>
        <v>75</v>
      </c>
      <c r="E298" s="4">
        <f>INDEX(Calculation!$A$1:$F$607,MATCH($A298,Calculation!$B:$B,0),MATCH(E$1,Calculation!$1:$1,0))</f>
        <v>2</v>
      </c>
    </row>
    <row r="299" spans="1:5" ht="16" x14ac:dyDescent="0.2">
      <c r="A299" s="2" t="s">
        <v>974</v>
      </c>
      <c r="B299" s="4">
        <f>INDEX(Calculation!$A$1:$F$607,MATCH($A299,Calculation!$B:$B,0),MATCH(B$1,Calculation!$1:$1,0))</f>
        <v>7447</v>
      </c>
      <c r="C299" s="4">
        <f>INDEX(Calculation!$A$1:$F$607,MATCH($A299,Calculation!$B:$B,0),MATCH(C$1,Calculation!$1:$1,0))</f>
        <v>649</v>
      </c>
      <c r="D299" s="4">
        <f>INDEX(Calculation!$A$1:$F$607,MATCH($A299,Calculation!$B:$B,0),MATCH(D$1,Calculation!$1:$1,0))</f>
        <v>31</v>
      </c>
      <c r="E299" s="4">
        <f>INDEX(Calculation!$A$1:$F$607,MATCH($A299,Calculation!$B:$B,0),MATCH(E$1,Calculation!$1:$1,0))</f>
        <v>1</v>
      </c>
    </row>
    <row r="300" spans="1:5" ht="16" x14ac:dyDescent="0.2">
      <c r="A300" s="2" t="s">
        <v>976</v>
      </c>
      <c r="B300" s="4">
        <f>INDEX(Calculation!$A$1:$F$607,MATCH($A300,Calculation!$B:$B,0),MATCH(B$1,Calculation!$1:$1,0))</f>
        <v>40724</v>
      </c>
      <c r="C300" s="4">
        <f>INDEX(Calculation!$A$1:$F$607,MATCH($A300,Calculation!$B:$B,0),MATCH(C$1,Calculation!$1:$1,0))</f>
        <v>3281</v>
      </c>
      <c r="D300" s="4">
        <f>INDEX(Calculation!$A$1:$F$607,MATCH($A300,Calculation!$B:$B,0),MATCH(D$1,Calculation!$1:$1,0))</f>
        <v>132</v>
      </c>
      <c r="E300" s="4">
        <f>INDEX(Calculation!$A$1:$F$607,MATCH($A300,Calculation!$B:$B,0),MATCH(E$1,Calculation!$1:$1,0))</f>
        <v>2</v>
      </c>
    </row>
    <row r="301" spans="1:5" ht="16" x14ac:dyDescent="0.2">
      <c r="A301" s="2" t="s">
        <v>979</v>
      </c>
      <c r="B301" s="4">
        <f>INDEX(Calculation!$A$1:$F$607,MATCH($A301,Calculation!$B:$B,0),MATCH(B$1,Calculation!$1:$1,0))</f>
        <v>11695</v>
      </c>
      <c r="C301" s="4">
        <f>INDEX(Calculation!$A$1:$F$607,MATCH($A301,Calculation!$B:$B,0),MATCH(C$1,Calculation!$1:$1,0))</f>
        <v>724</v>
      </c>
      <c r="D301" s="4">
        <f>INDEX(Calculation!$A$1:$F$607,MATCH($A301,Calculation!$B:$B,0),MATCH(D$1,Calculation!$1:$1,0))</f>
        <v>43</v>
      </c>
      <c r="E301" s="4">
        <f>INDEX(Calculation!$A$1:$F$607,MATCH($A301,Calculation!$B:$B,0),MATCH(E$1,Calculation!$1:$1,0))</f>
        <v>0</v>
      </c>
    </row>
    <row r="302" spans="1:5" ht="16" x14ac:dyDescent="0.2">
      <c r="A302" s="2" t="s">
        <v>981</v>
      </c>
      <c r="B302" s="4">
        <f>INDEX(Calculation!$A$1:$F$607,MATCH($A302,Calculation!$B:$B,0),MATCH(B$1,Calculation!$1:$1,0))</f>
        <v>13585</v>
      </c>
      <c r="C302" s="4">
        <f>INDEX(Calculation!$A$1:$F$607,MATCH($A302,Calculation!$B:$B,0),MATCH(C$1,Calculation!$1:$1,0))</f>
        <v>1648</v>
      </c>
      <c r="D302" s="4">
        <f>INDEX(Calculation!$A$1:$F$607,MATCH($A302,Calculation!$B:$B,0),MATCH(D$1,Calculation!$1:$1,0))</f>
        <v>149</v>
      </c>
      <c r="E302" s="4">
        <f>INDEX(Calculation!$A$1:$F$607,MATCH($A302,Calculation!$B:$B,0),MATCH(E$1,Calculation!$1:$1,0))</f>
        <v>0</v>
      </c>
    </row>
    <row r="303" spans="1:5" ht="16" x14ac:dyDescent="0.2">
      <c r="A303" s="2" t="s">
        <v>984</v>
      </c>
      <c r="B303" s="4">
        <f>INDEX(Calculation!$A$1:$F$607,MATCH($A303,Calculation!$B:$B,0),MATCH(B$1,Calculation!$1:$1,0))</f>
        <v>16286</v>
      </c>
      <c r="C303" s="4">
        <f>INDEX(Calculation!$A$1:$F$607,MATCH($A303,Calculation!$B:$B,0),MATCH(C$1,Calculation!$1:$1,0))</f>
        <v>1370</v>
      </c>
      <c r="D303" s="4">
        <f>INDEX(Calculation!$A$1:$F$607,MATCH($A303,Calculation!$B:$B,0),MATCH(D$1,Calculation!$1:$1,0))</f>
        <v>102</v>
      </c>
      <c r="E303" s="4">
        <f>INDEX(Calculation!$A$1:$F$607,MATCH($A303,Calculation!$B:$B,0),MATCH(E$1,Calculation!$1:$1,0))</f>
        <v>3</v>
      </c>
    </row>
    <row r="304" spans="1:5" ht="16" x14ac:dyDescent="0.2">
      <c r="A304" s="2" t="s">
        <v>986</v>
      </c>
      <c r="B304" s="4">
        <f>INDEX(Calculation!$A$1:$F$607,MATCH($A304,Calculation!$B:$B,0),MATCH(B$1,Calculation!$1:$1,0))</f>
        <v>25114</v>
      </c>
      <c r="C304" s="4">
        <f>INDEX(Calculation!$A$1:$F$607,MATCH($A304,Calculation!$B:$B,0),MATCH(C$1,Calculation!$1:$1,0))</f>
        <v>3729</v>
      </c>
      <c r="D304" s="4">
        <f>INDEX(Calculation!$A$1:$F$607,MATCH($A304,Calculation!$B:$B,0),MATCH(D$1,Calculation!$1:$1,0))</f>
        <v>217</v>
      </c>
      <c r="E304" s="4">
        <f>INDEX(Calculation!$A$1:$F$607,MATCH($A304,Calculation!$B:$B,0),MATCH(E$1,Calculation!$1:$1,0))</f>
        <v>10</v>
      </c>
    </row>
    <row r="305" spans="1:5" ht="16" x14ac:dyDescent="0.2">
      <c r="A305" s="2" t="s">
        <v>989</v>
      </c>
      <c r="B305" s="4">
        <f>INDEX(Calculation!$A$1:$F$607,MATCH($A305,Calculation!$B:$B,0),MATCH(B$1,Calculation!$1:$1,0))</f>
        <v>9708</v>
      </c>
      <c r="C305" s="4">
        <f>INDEX(Calculation!$A$1:$F$607,MATCH($A305,Calculation!$B:$B,0),MATCH(C$1,Calculation!$1:$1,0))</f>
        <v>548</v>
      </c>
      <c r="D305" s="4">
        <f>INDEX(Calculation!$A$1:$F$607,MATCH($A305,Calculation!$B:$B,0),MATCH(D$1,Calculation!$1:$1,0))</f>
        <v>21</v>
      </c>
      <c r="E305" s="4">
        <f>INDEX(Calculation!$A$1:$F$607,MATCH($A305,Calculation!$B:$B,0),MATCH(E$1,Calculation!$1:$1,0))</f>
        <v>1</v>
      </c>
    </row>
    <row r="306" spans="1:5" ht="16" x14ac:dyDescent="0.2">
      <c r="A306" s="2" t="s">
        <v>992</v>
      </c>
      <c r="B306" s="4">
        <f>INDEX(Calculation!$A$1:$F$607,MATCH($A306,Calculation!$B:$B,0),MATCH(B$1,Calculation!$1:$1,0))</f>
        <v>27607</v>
      </c>
      <c r="C306" s="4">
        <f>INDEX(Calculation!$A$1:$F$607,MATCH($A306,Calculation!$B:$B,0),MATCH(C$1,Calculation!$1:$1,0))</f>
        <v>3049</v>
      </c>
      <c r="D306" s="4">
        <f>INDEX(Calculation!$A$1:$F$607,MATCH($A306,Calculation!$B:$B,0),MATCH(D$1,Calculation!$1:$1,0))</f>
        <v>244</v>
      </c>
      <c r="E306" s="4">
        <f>INDEX(Calculation!$A$1:$F$607,MATCH($A306,Calculation!$B:$B,0),MATCH(E$1,Calculation!$1:$1,0))</f>
        <v>0</v>
      </c>
    </row>
    <row r="307" spans="1:5" ht="16" x14ac:dyDescent="0.2">
      <c r="A307" s="2" t="s">
        <v>995</v>
      </c>
      <c r="B307" s="4">
        <f>INDEX(Calculation!$A$1:$F$607,MATCH($A307,Calculation!$B:$B,0),MATCH(B$1,Calculation!$1:$1,0))</f>
        <v>15867</v>
      </c>
      <c r="C307" s="4">
        <f>INDEX(Calculation!$A$1:$F$607,MATCH($A307,Calculation!$B:$B,0),MATCH(C$1,Calculation!$1:$1,0))</f>
        <v>1670</v>
      </c>
      <c r="D307" s="4">
        <f>INDEX(Calculation!$A$1:$F$607,MATCH($A307,Calculation!$B:$B,0),MATCH(D$1,Calculation!$1:$1,0))</f>
        <v>102</v>
      </c>
      <c r="E307" s="4">
        <f>INDEX(Calculation!$A$1:$F$607,MATCH($A307,Calculation!$B:$B,0),MATCH(E$1,Calculation!$1:$1,0))</f>
        <v>24</v>
      </c>
    </row>
    <row r="308" spans="1:5" ht="16" x14ac:dyDescent="0.2">
      <c r="A308" s="2" t="s">
        <v>997</v>
      </c>
      <c r="B308" s="4">
        <f>INDEX(Calculation!$A$1:$F$607,MATCH($A308,Calculation!$B:$B,0),MATCH(B$1,Calculation!$1:$1,0))</f>
        <v>14110</v>
      </c>
      <c r="C308" s="4">
        <f>INDEX(Calculation!$A$1:$F$607,MATCH($A308,Calculation!$B:$B,0),MATCH(C$1,Calculation!$1:$1,0))</f>
        <v>960</v>
      </c>
      <c r="D308" s="4">
        <f>INDEX(Calculation!$A$1:$F$607,MATCH($A308,Calculation!$B:$B,0),MATCH(D$1,Calculation!$1:$1,0))</f>
        <v>44</v>
      </c>
      <c r="E308" s="4">
        <f>INDEX(Calculation!$A$1:$F$607,MATCH($A308,Calculation!$B:$B,0),MATCH(E$1,Calculation!$1:$1,0))</f>
        <v>0</v>
      </c>
    </row>
    <row r="309" spans="1:5" ht="16" x14ac:dyDescent="0.2">
      <c r="A309" s="2" t="s">
        <v>1000</v>
      </c>
      <c r="B309" s="4">
        <f>INDEX(Calculation!$A$1:$F$607,MATCH($A309,Calculation!$B:$B,0),MATCH(B$1,Calculation!$1:$1,0))</f>
        <v>13870</v>
      </c>
      <c r="C309" s="4">
        <f>INDEX(Calculation!$A$1:$F$607,MATCH($A309,Calculation!$B:$B,0),MATCH(C$1,Calculation!$1:$1,0))</f>
        <v>856</v>
      </c>
      <c r="D309" s="4">
        <f>INDEX(Calculation!$A$1:$F$607,MATCH($A309,Calculation!$B:$B,0),MATCH(D$1,Calculation!$1:$1,0))</f>
        <v>71</v>
      </c>
      <c r="E309" s="4">
        <f>INDEX(Calculation!$A$1:$F$607,MATCH($A309,Calculation!$B:$B,0),MATCH(E$1,Calculation!$1:$1,0))</f>
        <v>0</v>
      </c>
    </row>
    <row r="310" spans="1:5" ht="16" x14ac:dyDescent="0.2">
      <c r="A310" s="2" t="s">
        <v>1003</v>
      </c>
      <c r="B310" s="4">
        <f>INDEX(Calculation!$A$1:$F$607,MATCH($A310,Calculation!$B:$B,0),MATCH(B$1,Calculation!$1:$1,0))</f>
        <v>8289</v>
      </c>
      <c r="C310" s="4">
        <f>INDEX(Calculation!$A$1:$F$607,MATCH($A310,Calculation!$B:$B,0),MATCH(C$1,Calculation!$1:$1,0))</f>
        <v>865</v>
      </c>
      <c r="D310" s="4">
        <f>INDEX(Calculation!$A$1:$F$607,MATCH($A310,Calculation!$B:$B,0),MATCH(D$1,Calculation!$1:$1,0))</f>
        <v>47</v>
      </c>
      <c r="E310" s="4">
        <f>INDEX(Calculation!$A$1:$F$607,MATCH($A310,Calculation!$B:$B,0),MATCH(E$1,Calculation!$1:$1,0))</f>
        <v>0</v>
      </c>
    </row>
    <row r="311" spans="1:5" ht="16" x14ac:dyDescent="0.2">
      <c r="A311" s="2" t="s">
        <v>1006</v>
      </c>
      <c r="B311" s="4">
        <f>INDEX(Calculation!$A$1:$F$607,MATCH($A311,Calculation!$B:$B,0),MATCH(B$1,Calculation!$1:$1,0))</f>
        <v>26277</v>
      </c>
      <c r="C311" s="4">
        <f>INDEX(Calculation!$A$1:$F$607,MATCH($A311,Calculation!$B:$B,0),MATCH(C$1,Calculation!$1:$1,0))</f>
        <v>2492</v>
      </c>
      <c r="D311" s="4">
        <f>INDEX(Calculation!$A$1:$F$607,MATCH($A311,Calculation!$B:$B,0),MATCH(D$1,Calculation!$1:$1,0))</f>
        <v>201</v>
      </c>
      <c r="E311" s="4">
        <f>INDEX(Calculation!$A$1:$F$607,MATCH($A311,Calculation!$B:$B,0),MATCH(E$1,Calculation!$1:$1,0))</f>
        <v>75</v>
      </c>
    </row>
    <row r="312" spans="1:5" ht="16" x14ac:dyDescent="0.2">
      <c r="A312" s="2" t="s">
        <v>1008</v>
      </c>
      <c r="B312" s="4">
        <f>INDEX(Calculation!$A$1:$F$607,MATCH($A312,Calculation!$B:$B,0),MATCH(B$1,Calculation!$1:$1,0))</f>
        <v>29803</v>
      </c>
      <c r="C312" s="4">
        <f>INDEX(Calculation!$A$1:$F$607,MATCH($A312,Calculation!$B:$B,0),MATCH(C$1,Calculation!$1:$1,0))</f>
        <v>5165</v>
      </c>
      <c r="D312" s="4">
        <f>INDEX(Calculation!$A$1:$F$607,MATCH($A312,Calculation!$B:$B,0),MATCH(D$1,Calculation!$1:$1,0))</f>
        <v>546</v>
      </c>
      <c r="E312" s="4">
        <f>INDEX(Calculation!$A$1:$F$607,MATCH($A312,Calculation!$B:$B,0),MATCH(E$1,Calculation!$1:$1,0))</f>
        <v>14</v>
      </c>
    </row>
    <row r="313" spans="1:5" ht="16" x14ac:dyDescent="0.2">
      <c r="A313" s="2" t="s">
        <v>1011</v>
      </c>
      <c r="B313" s="4">
        <f>INDEX(Calculation!$A$1:$F$607,MATCH($A313,Calculation!$B:$B,0),MATCH(B$1,Calculation!$1:$1,0))</f>
        <v>11939</v>
      </c>
      <c r="C313" s="4">
        <f>INDEX(Calculation!$A$1:$F$607,MATCH($A313,Calculation!$B:$B,0),MATCH(C$1,Calculation!$1:$1,0))</f>
        <v>1769</v>
      </c>
      <c r="D313" s="4">
        <f>INDEX(Calculation!$A$1:$F$607,MATCH($A313,Calculation!$B:$B,0),MATCH(D$1,Calculation!$1:$1,0))</f>
        <v>115</v>
      </c>
      <c r="E313" s="4">
        <f>INDEX(Calculation!$A$1:$F$607,MATCH($A313,Calculation!$B:$B,0),MATCH(E$1,Calculation!$1:$1,0))</f>
        <v>4</v>
      </c>
    </row>
    <row r="314" spans="1:5" ht="16" x14ac:dyDescent="0.2">
      <c r="A314" s="2" t="s">
        <v>1014</v>
      </c>
      <c r="B314" s="4">
        <f>INDEX(Calculation!$A$1:$F$607,MATCH($A314,Calculation!$B:$B,0),MATCH(B$1,Calculation!$1:$1,0))</f>
        <v>35948</v>
      </c>
      <c r="C314" s="4">
        <f>INDEX(Calculation!$A$1:$F$607,MATCH($A314,Calculation!$B:$B,0),MATCH(C$1,Calculation!$1:$1,0))</f>
        <v>5157</v>
      </c>
      <c r="D314" s="4">
        <f>INDEX(Calculation!$A$1:$F$607,MATCH($A314,Calculation!$B:$B,0),MATCH(D$1,Calculation!$1:$1,0))</f>
        <v>391</v>
      </c>
      <c r="E314" s="4">
        <f>INDEX(Calculation!$A$1:$F$607,MATCH($A314,Calculation!$B:$B,0),MATCH(E$1,Calculation!$1:$1,0))</f>
        <v>9</v>
      </c>
    </row>
    <row r="315" spans="1:5" ht="16" x14ac:dyDescent="0.2">
      <c r="A315" s="2" t="s">
        <v>1017</v>
      </c>
      <c r="B315" s="4">
        <f>INDEX(Calculation!$A$1:$F$607,MATCH($A315,Calculation!$B:$B,0),MATCH(B$1,Calculation!$1:$1,0))</f>
        <v>12001</v>
      </c>
      <c r="C315" s="4">
        <f>INDEX(Calculation!$A$1:$F$607,MATCH($A315,Calculation!$B:$B,0),MATCH(C$1,Calculation!$1:$1,0))</f>
        <v>1730</v>
      </c>
      <c r="D315" s="4">
        <f>INDEX(Calculation!$A$1:$F$607,MATCH($A315,Calculation!$B:$B,0),MATCH(D$1,Calculation!$1:$1,0))</f>
        <v>65</v>
      </c>
      <c r="E315" s="4">
        <f>INDEX(Calculation!$A$1:$F$607,MATCH($A315,Calculation!$B:$B,0),MATCH(E$1,Calculation!$1:$1,0))</f>
        <v>3</v>
      </c>
    </row>
    <row r="316" spans="1:5" ht="16" x14ac:dyDescent="0.2">
      <c r="A316" s="2" t="s">
        <v>1020</v>
      </c>
      <c r="B316" s="4">
        <f>INDEX(Calculation!$A$1:$F$607,MATCH($A316,Calculation!$B:$B,0),MATCH(B$1,Calculation!$1:$1,0))</f>
        <v>7632</v>
      </c>
      <c r="C316" s="4">
        <f>INDEX(Calculation!$A$1:$F$607,MATCH($A316,Calculation!$B:$B,0),MATCH(C$1,Calculation!$1:$1,0))</f>
        <v>545</v>
      </c>
      <c r="D316" s="4">
        <f>INDEX(Calculation!$A$1:$F$607,MATCH($A316,Calculation!$B:$B,0),MATCH(D$1,Calculation!$1:$1,0))</f>
        <v>19</v>
      </c>
      <c r="E316" s="4">
        <f>INDEX(Calculation!$A$1:$F$607,MATCH($A316,Calculation!$B:$B,0),MATCH(E$1,Calculation!$1:$1,0))</f>
        <v>0</v>
      </c>
    </row>
    <row r="317" spans="1:5" ht="16" x14ac:dyDescent="0.2">
      <c r="A317" s="2" t="s">
        <v>1022</v>
      </c>
      <c r="B317" s="4">
        <f>INDEX(Calculation!$A$1:$F$607,MATCH($A317,Calculation!$B:$B,0),MATCH(B$1,Calculation!$1:$1,0))</f>
        <v>15515</v>
      </c>
      <c r="C317" s="4">
        <f>INDEX(Calculation!$A$1:$F$607,MATCH($A317,Calculation!$B:$B,0),MATCH(C$1,Calculation!$1:$1,0))</f>
        <v>2154</v>
      </c>
      <c r="D317" s="4">
        <f>INDEX(Calculation!$A$1:$F$607,MATCH($A317,Calculation!$B:$B,0),MATCH(D$1,Calculation!$1:$1,0))</f>
        <v>79</v>
      </c>
      <c r="E317" s="4">
        <f>INDEX(Calculation!$A$1:$F$607,MATCH($A317,Calculation!$B:$B,0),MATCH(E$1,Calculation!$1:$1,0))</f>
        <v>12</v>
      </c>
    </row>
    <row r="318" spans="1:5" ht="16" x14ac:dyDescent="0.2">
      <c r="A318" s="2" t="s">
        <v>1025</v>
      </c>
      <c r="B318" s="4">
        <f>INDEX(Calculation!$A$1:$F$607,MATCH($A318,Calculation!$B:$B,0),MATCH(B$1,Calculation!$1:$1,0))</f>
        <v>58286</v>
      </c>
      <c r="C318" s="4">
        <f>INDEX(Calculation!$A$1:$F$607,MATCH($A318,Calculation!$B:$B,0),MATCH(C$1,Calculation!$1:$1,0))</f>
        <v>9395</v>
      </c>
      <c r="D318" s="4">
        <f>INDEX(Calculation!$A$1:$F$607,MATCH($A318,Calculation!$B:$B,0),MATCH(D$1,Calculation!$1:$1,0))</f>
        <v>1031</v>
      </c>
      <c r="E318" s="4">
        <f>INDEX(Calculation!$A$1:$F$607,MATCH($A318,Calculation!$B:$B,0),MATCH(E$1,Calculation!$1:$1,0))</f>
        <v>39</v>
      </c>
    </row>
    <row r="319" spans="1:5" ht="16" x14ac:dyDescent="0.2">
      <c r="A319" s="2" t="s">
        <v>1028</v>
      </c>
      <c r="B319" s="4">
        <f>INDEX(Calculation!$A$1:$F$607,MATCH($A319,Calculation!$B:$B,0),MATCH(B$1,Calculation!$1:$1,0))</f>
        <v>14856</v>
      </c>
      <c r="C319" s="4">
        <f>INDEX(Calculation!$A$1:$F$607,MATCH($A319,Calculation!$B:$B,0),MATCH(C$1,Calculation!$1:$1,0))</f>
        <v>2146</v>
      </c>
      <c r="D319" s="4">
        <f>INDEX(Calculation!$A$1:$F$607,MATCH($A319,Calculation!$B:$B,0),MATCH(D$1,Calculation!$1:$1,0))</f>
        <v>93</v>
      </c>
      <c r="E319" s="4">
        <f>INDEX(Calculation!$A$1:$F$607,MATCH($A319,Calculation!$B:$B,0),MATCH(E$1,Calculation!$1:$1,0))</f>
        <v>24</v>
      </c>
    </row>
    <row r="320" spans="1:5" ht="16" x14ac:dyDescent="0.2">
      <c r="A320" s="2" t="s">
        <v>1031</v>
      </c>
      <c r="B320" s="4">
        <f>INDEX(Calculation!$A$1:$F$607,MATCH($A320,Calculation!$B:$B,0),MATCH(B$1,Calculation!$1:$1,0))</f>
        <v>19795</v>
      </c>
      <c r="C320" s="4">
        <f>INDEX(Calculation!$A$1:$F$607,MATCH($A320,Calculation!$B:$B,0),MATCH(C$1,Calculation!$1:$1,0))</f>
        <v>3945</v>
      </c>
      <c r="D320" s="4">
        <f>INDEX(Calculation!$A$1:$F$607,MATCH($A320,Calculation!$B:$B,0),MATCH(D$1,Calculation!$1:$1,0))</f>
        <v>98</v>
      </c>
      <c r="E320" s="4">
        <f>INDEX(Calculation!$A$1:$F$607,MATCH($A320,Calculation!$B:$B,0),MATCH(E$1,Calculation!$1:$1,0))</f>
        <v>15</v>
      </c>
    </row>
    <row r="321" spans="1:5" ht="16" x14ac:dyDescent="0.2">
      <c r="A321" s="2" t="s">
        <v>1033</v>
      </c>
      <c r="B321" s="4">
        <f>INDEX(Calculation!$A$1:$F$607,MATCH($A321,Calculation!$B:$B,0),MATCH(B$1,Calculation!$1:$1,0))</f>
        <v>22302</v>
      </c>
      <c r="C321" s="4">
        <f>INDEX(Calculation!$A$1:$F$607,MATCH($A321,Calculation!$B:$B,0),MATCH(C$1,Calculation!$1:$1,0))</f>
        <v>2365</v>
      </c>
      <c r="D321" s="4">
        <f>INDEX(Calculation!$A$1:$F$607,MATCH($A321,Calculation!$B:$B,0),MATCH(D$1,Calculation!$1:$1,0))</f>
        <v>190</v>
      </c>
      <c r="E321" s="4">
        <f>INDEX(Calculation!$A$1:$F$607,MATCH($A321,Calculation!$B:$B,0),MATCH(E$1,Calculation!$1:$1,0))</f>
        <v>1</v>
      </c>
    </row>
    <row r="322" spans="1:5" ht="16" x14ac:dyDescent="0.2">
      <c r="A322" s="2" t="s">
        <v>1035</v>
      </c>
      <c r="B322" s="4">
        <f>INDEX(Calculation!$A$1:$F$607,MATCH($A322,Calculation!$B:$B,0),MATCH(B$1,Calculation!$1:$1,0))</f>
        <v>14695</v>
      </c>
      <c r="C322" s="4">
        <f>INDEX(Calculation!$A$1:$F$607,MATCH($A322,Calculation!$B:$B,0),MATCH(C$1,Calculation!$1:$1,0))</f>
        <v>1794</v>
      </c>
      <c r="D322" s="4">
        <f>INDEX(Calculation!$A$1:$F$607,MATCH($A322,Calculation!$B:$B,0),MATCH(D$1,Calculation!$1:$1,0))</f>
        <v>155</v>
      </c>
      <c r="E322" s="4">
        <f>INDEX(Calculation!$A$1:$F$607,MATCH($A322,Calculation!$B:$B,0),MATCH(E$1,Calculation!$1:$1,0))</f>
        <v>11</v>
      </c>
    </row>
    <row r="323" spans="1:5" ht="16" x14ac:dyDescent="0.2">
      <c r="A323" s="2" t="s">
        <v>1038</v>
      </c>
      <c r="B323" s="4">
        <f>INDEX(Calculation!$A$1:$F$607,MATCH($A323,Calculation!$B:$B,0),MATCH(B$1,Calculation!$1:$1,0))</f>
        <v>12719</v>
      </c>
      <c r="C323" s="4">
        <f>INDEX(Calculation!$A$1:$F$607,MATCH($A323,Calculation!$B:$B,0),MATCH(C$1,Calculation!$1:$1,0))</f>
        <v>1183</v>
      </c>
      <c r="D323" s="4">
        <f>INDEX(Calculation!$A$1:$F$607,MATCH($A323,Calculation!$B:$B,0),MATCH(D$1,Calculation!$1:$1,0))</f>
        <v>41</v>
      </c>
      <c r="E323" s="4">
        <f>INDEX(Calculation!$A$1:$F$607,MATCH($A323,Calculation!$B:$B,0),MATCH(E$1,Calculation!$1:$1,0))</f>
        <v>8</v>
      </c>
    </row>
    <row r="324" spans="1:5" ht="16" x14ac:dyDescent="0.2">
      <c r="A324" s="2" t="s">
        <v>1041</v>
      </c>
      <c r="B324" s="4">
        <f>INDEX(Calculation!$A$1:$F$607,MATCH($A324,Calculation!$B:$B,0),MATCH(B$1,Calculation!$1:$1,0))</f>
        <v>14943</v>
      </c>
      <c r="C324" s="4">
        <f>INDEX(Calculation!$A$1:$F$607,MATCH($A324,Calculation!$B:$B,0),MATCH(C$1,Calculation!$1:$1,0))</f>
        <v>1576</v>
      </c>
      <c r="D324" s="4">
        <f>INDEX(Calculation!$A$1:$F$607,MATCH($A324,Calculation!$B:$B,0),MATCH(D$1,Calculation!$1:$1,0))</f>
        <v>121</v>
      </c>
      <c r="E324" s="4">
        <f>INDEX(Calculation!$A$1:$F$607,MATCH($A324,Calculation!$B:$B,0),MATCH(E$1,Calculation!$1:$1,0))</f>
        <v>10</v>
      </c>
    </row>
    <row r="325" spans="1:5" ht="16" x14ac:dyDescent="0.2">
      <c r="A325" s="2" t="s">
        <v>1043</v>
      </c>
      <c r="B325" s="4">
        <f>INDEX(Calculation!$A$1:$F$607,MATCH($A325,Calculation!$B:$B,0),MATCH(B$1,Calculation!$1:$1,0))</f>
        <v>12788</v>
      </c>
      <c r="C325" s="4">
        <f>INDEX(Calculation!$A$1:$F$607,MATCH($A325,Calculation!$B:$B,0),MATCH(C$1,Calculation!$1:$1,0))</f>
        <v>1270</v>
      </c>
      <c r="D325" s="4">
        <f>INDEX(Calculation!$A$1:$F$607,MATCH($A325,Calculation!$B:$B,0),MATCH(D$1,Calculation!$1:$1,0))</f>
        <v>54</v>
      </c>
      <c r="E325" s="4">
        <f>INDEX(Calculation!$A$1:$F$607,MATCH($A325,Calculation!$B:$B,0),MATCH(E$1,Calculation!$1:$1,0))</f>
        <v>2</v>
      </c>
    </row>
    <row r="326" spans="1:5" ht="16" x14ac:dyDescent="0.2">
      <c r="A326" s="2" t="s">
        <v>1046</v>
      </c>
      <c r="B326" s="4">
        <f>INDEX(Calculation!$A$1:$F$607,MATCH($A326,Calculation!$B:$B,0),MATCH(B$1,Calculation!$1:$1,0))</f>
        <v>25779</v>
      </c>
      <c r="C326" s="4">
        <f>INDEX(Calculation!$A$1:$F$607,MATCH($A326,Calculation!$B:$B,0),MATCH(C$1,Calculation!$1:$1,0))</f>
        <v>3238</v>
      </c>
      <c r="D326" s="4">
        <f>INDEX(Calculation!$A$1:$F$607,MATCH($A326,Calculation!$B:$B,0),MATCH(D$1,Calculation!$1:$1,0))</f>
        <v>306</v>
      </c>
      <c r="E326" s="4">
        <f>INDEX(Calculation!$A$1:$F$607,MATCH($A326,Calculation!$B:$B,0),MATCH(E$1,Calculation!$1:$1,0))</f>
        <v>10</v>
      </c>
    </row>
    <row r="327" spans="1:5" ht="16" x14ac:dyDescent="0.2">
      <c r="A327" s="2" t="s">
        <v>1048</v>
      </c>
      <c r="B327" s="4">
        <f>INDEX(Calculation!$A$1:$F$607,MATCH($A327,Calculation!$B:$B,0),MATCH(B$1,Calculation!$1:$1,0))</f>
        <v>14855</v>
      </c>
      <c r="C327" s="4">
        <f>INDEX(Calculation!$A$1:$F$607,MATCH($A327,Calculation!$B:$B,0),MATCH(C$1,Calculation!$1:$1,0))</f>
        <v>2239</v>
      </c>
      <c r="D327" s="4">
        <f>INDEX(Calculation!$A$1:$F$607,MATCH($A327,Calculation!$B:$B,0),MATCH(D$1,Calculation!$1:$1,0))</f>
        <v>125</v>
      </c>
      <c r="E327" s="4">
        <f>INDEX(Calculation!$A$1:$F$607,MATCH($A327,Calculation!$B:$B,0),MATCH(E$1,Calculation!$1:$1,0))</f>
        <v>5</v>
      </c>
    </row>
    <row r="328" spans="1:5" ht="16" x14ac:dyDescent="0.2">
      <c r="A328" s="2" t="s">
        <v>1051</v>
      </c>
      <c r="B328" s="4">
        <f>INDEX(Calculation!$A$1:$F$607,MATCH($A328,Calculation!$B:$B,0),MATCH(B$1,Calculation!$1:$1,0))</f>
        <v>8230</v>
      </c>
      <c r="C328" s="4">
        <f>INDEX(Calculation!$A$1:$F$607,MATCH($A328,Calculation!$B:$B,0),MATCH(C$1,Calculation!$1:$1,0))</f>
        <v>951</v>
      </c>
      <c r="D328" s="4">
        <f>INDEX(Calculation!$A$1:$F$607,MATCH($A328,Calculation!$B:$B,0),MATCH(D$1,Calculation!$1:$1,0))</f>
        <v>30</v>
      </c>
      <c r="E328" s="4">
        <f>INDEX(Calculation!$A$1:$F$607,MATCH($A328,Calculation!$B:$B,0),MATCH(E$1,Calculation!$1:$1,0))</f>
        <v>1</v>
      </c>
    </row>
    <row r="329" spans="1:5" ht="16" x14ac:dyDescent="0.2">
      <c r="A329" s="2" t="s">
        <v>1054</v>
      </c>
      <c r="B329" s="4">
        <f>INDEX(Calculation!$A$1:$F$607,MATCH($A329,Calculation!$B:$B,0),MATCH(B$1,Calculation!$1:$1,0))</f>
        <v>7079</v>
      </c>
      <c r="C329" s="4">
        <f>INDEX(Calculation!$A$1:$F$607,MATCH($A329,Calculation!$B:$B,0),MATCH(C$1,Calculation!$1:$1,0))</f>
        <v>1156</v>
      </c>
      <c r="D329" s="4">
        <f>INDEX(Calculation!$A$1:$F$607,MATCH($A329,Calculation!$B:$B,0),MATCH(D$1,Calculation!$1:$1,0))</f>
        <v>56</v>
      </c>
      <c r="E329" s="4">
        <f>INDEX(Calculation!$A$1:$F$607,MATCH($A329,Calculation!$B:$B,0),MATCH(E$1,Calculation!$1:$1,0))</f>
        <v>7</v>
      </c>
    </row>
    <row r="330" spans="1:5" ht="16" x14ac:dyDescent="0.2">
      <c r="A330" s="2" t="s">
        <v>1057</v>
      </c>
      <c r="B330" s="4">
        <f>INDEX(Calculation!$A$1:$F$607,MATCH($A330,Calculation!$B:$B,0),MATCH(B$1,Calculation!$1:$1,0))</f>
        <v>68201</v>
      </c>
      <c r="C330" s="4">
        <f>INDEX(Calculation!$A$1:$F$607,MATCH($A330,Calculation!$B:$B,0),MATCH(C$1,Calculation!$1:$1,0))</f>
        <v>6995</v>
      </c>
      <c r="D330" s="4">
        <f>INDEX(Calculation!$A$1:$F$607,MATCH($A330,Calculation!$B:$B,0),MATCH(D$1,Calculation!$1:$1,0))</f>
        <v>263</v>
      </c>
      <c r="E330" s="4">
        <f>INDEX(Calculation!$A$1:$F$607,MATCH($A330,Calculation!$B:$B,0),MATCH(E$1,Calculation!$1:$1,0))</f>
        <v>67</v>
      </c>
    </row>
    <row r="331" spans="1:5" ht="16" x14ac:dyDescent="0.2">
      <c r="A331" s="2" t="s">
        <v>1060</v>
      </c>
      <c r="B331" s="4">
        <f>INDEX(Calculation!$A$1:$F$607,MATCH($A331,Calculation!$B:$B,0),MATCH(B$1,Calculation!$1:$1,0))</f>
        <v>15940</v>
      </c>
      <c r="C331" s="4">
        <f>INDEX(Calculation!$A$1:$F$607,MATCH($A331,Calculation!$B:$B,0),MATCH(C$1,Calculation!$1:$1,0))</f>
        <v>2498</v>
      </c>
      <c r="D331" s="4">
        <f>INDEX(Calculation!$A$1:$F$607,MATCH($A331,Calculation!$B:$B,0),MATCH(D$1,Calculation!$1:$1,0))</f>
        <v>252</v>
      </c>
      <c r="E331" s="4">
        <f>INDEX(Calculation!$A$1:$F$607,MATCH($A331,Calculation!$B:$B,0),MATCH(E$1,Calculation!$1:$1,0))</f>
        <v>2</v>
      </c>
    </row>
    <row r="332" spans="1:5" ht="16" x14ac:dyDescent="0.2">
      <c r="A332" s="2" t="s">
        <v>1062</v>
      </c>
      <c r="B332" s="4">
        <f>INDEX(Calculation!$A$1:$F$607,MATCH($A332,Calculation!$B:$B,0),MATCH(B$1,Calculation!$1:$1,0))</f>
        <v>8059</v>
      </c>
      <c r="C332" s="4">
        <f>INDEX(Calculation!$A$1:$F$607,MATCH($A332,Calculation!$B:$B,0),MATCH(C$1,Calculation!$1:$1,0))</f>
        <v>667</v>
      </c>
      <c r="D332" s="4">
        <f>INDEX(Calculation!$A$1:$F$607,MATCH($A332,Calculation!$B:$B,0),MATCH(D$1,Calculation!$1:$1,0))</f>
        <v>14</v>
      </c>
      <c r="E332" s="4">
        <f>INDEX(Calculation!$A$1:$F$607,MATCH($A332,Calculation!$B:$B,0),MATCH(E$1,Calculation!$1:$1,0))</f>
        <v>1</v>
      </c>
    </row>
    <row r="333" spans="1:5" ht="16" x14ac:dyDescent="0.2">
      <c r="A333" s="2" t="s">
        <v>1064</v>
      </c>
      <c r="B333" s="4">
        <f>INDEX(Calculation!$A$1:$F$607,MATCH($A333,Calculation!$B:$B,0),MATCH(B$1,Calculation!$1:$1,0))</f>
        <v>12579</v>
      </c>
      <c r="C333" s="4">
        <f>INDEX(Calculation!$A$1:$F$607,MATCH($A333,Calculation!$B:$B,0),MATCH(C$1,Calculation!$1:$1,0))</f>
        <v>1430</v>
      </c>
      <c r="D333" s="4">
        <f>INDEX(Calculation!$A$1:$F$607,MATCH($A333,Calculation!$B:$B,0),MATCH(D$1,Calculation!$1:$1,0))</f>
        <v>98</v>
      </c>
      <c r="E333" s="4">
        <f>INDEX(Calculation!$A$1:$F$607,MATCH($A333,Calculation!$B:$B,0),MATCH(E$1,Calculation!$1:$1,0))</f>
        <v>0</v>
      </c>
    </row>
    <row r="334" spans="1:5" ht="16" x14ac:dyDescent="0.2">
      <c r="A334" s="2" t="s">
        <v>1067</v>
      </c>
      <c r="B334" s="4">
        <f>INDEX(Calculation!$A$1:$F$607,MATCH($A334,Calculation!$B:$B,0),MATCH(B$1,Calculation!$1:$1,0))</f>
        <v>32370</v>
      </c>
      <c r="C334" s="4">
        <f>INDEX(Calculation!$A$1:$F$607,MATCH($A334,Calculation!$B:$B,0),MATCH(C$1,Calculation!$1:$1,0))</f>
        <v>2351</v>
      </c>
      <c r="D334" s="4">
        <f>INDEX(Calculation!$A$1:$F$607,MATCH($A334,Calculation!$B:$B,0),MATCH(D$1,Calculation!$1:$1,0))</f>
        <v>47</v>
      </c>
      <c r="E334" s="4">
        <f>INDEX(Calculation!$A$1:$F$607,MATCH($A334,Calculation!$B:$B,0),MATCH(E$1,Calculation!$1:$1,0))</f>
        <v>1</v>
      </c>
    </row>
    <row r="335" spans="1:5" ht="16" x14ac:dyDescent="0.2">
      <c r="A335" s="2" t="s">
        <v>1070</v>
      </c>
      <c r="B335" s="4">
        <f>INDEX(Calculation!$A$1:$F$607,MATCH($A335,Calculation!$B:$B,0),MATCH(B$1,Calculation!$1:$1,0))</f>
        <v>24878</v>
      </c>
      <c r="C335" s="4">
        <f>INDEX(Calculation!$A$1:$F$607,MATCH($A335,Calculation!$B:$B,0),MATCH(C$1,Calculation!$1:$1,0))</f>
        <v>2309</v>
      </c>
      <c r="D335" s="4">
        <f>INDEX(Calculation!$A$1:$F$607,MATCH($A335,Calculation!$B:$B,0),MATCH(D$1,Calculation!$1:$1,0))</f>
        <v>106</v>
      </c>
      <c r="E335" s="4">
        <f>INDEX(Calculation!$A$1:$F$607,MATCH($A335,Calculation!$B:$B,0),MATCH(E$1,Calculation!$1:$1,0))</f>
        <v>2</v>
      </c>
    </row>
    <row r="336" spans="1:5" ht="16" x14ac:dyDescent="0.2">
      <c r="A336" s="2" t="s">
        <v>1072</v>
      </c>
      <c r="B336" s="4">
        <f>INDEX(Calculation!$A$1:$F$607,MATCH($A336,Calculation!$B:$B,0),MATCH(B$1,Calculation!$1:$1,0))</f>
        <v>58492</v>
      </c>
      <c r="C336" s="4">
        <f>INDEX(Calculation!$A$1:$F$607,MATCH($A336,Calculation!$B:$B,0),MATCH(C$1,Calculation!$1:$1,0))</f>
        <v>3648</v>
      </c>
      <c r="D336" s="4">
        <f>INDEX(Calculation!$A$1:$F$607,MATCH($A336,Calculation!$B:$B,0),MATCH(D$1,Calculation!$1:$1,0))</f>
        <v>184</v>
      </c>
      <c r="E336" s="4">
        <f>INDEX(Calculation!$A$1:$F$607,MATCH($A336,Calculation!$B:$B,0),MATCH(E$1,Calculation!$1:$1,0))</f>
        <v>16</v>
      </c>
    </row>
    <row r="337" spans="1:5" ht="16" x14ac:dyDescent="0.2">
      <c r="A337" s="2" t="s">
        <v>1074</v>
      </c>
      <c r="B337" s="4">
        <f>INDEX(Calculation!$A$1:$F$607,MATCH($A337,Calculation!$B:$B,0),MATCH(B$1,Calculation!$1:$1,0))</f>
        <v>4490</v>
      </c>
      <c r="C337" s="4">
        <f>INDEX(Calculation!$A$1:$F$607,MATCH($A337,Calculation!$B:$B,0),MATCH(C$1,Calculation!$1:$1,0))</f>
        <v>670</v>
      </c>
      <c r="D337" s="4">
        <f>INDEX(Calculation!$A$1:$F$607,MATCH($A337,Calculation!$B:$B,0),MATCH(D$1,Calculation!$1:$1,0))</f>
        <v>62</v>
      </c>
      <c r="E337" s="4">
        <f>INDEX(Calculation!$A$1:$F$607,MATCH($A337,Calculation!$B:$B,0),MATCH(E$1,Calculation!$1:$1,0))</f>
        <v>0</v>
      </c>
    </row>
    <row r="338" spans="1:5" ht="16" x14ac:dyDescent="0.2">
      <c r="A338" s="2" t="s">
        <v>1077</v>
      </c>
      <c r="B338" s="4">
        <f>INDEX(Calculation!$A$1:$F$607,MATCH($A338,Calculation!$B:$B,0),MATCH(B$1,Calculation!$1:$1,0))</f>
        <v>23432</v>
      </c>
      <c r="C338" s="4">
        <f>INDEX(Calculation!$A$1:$F$607,MATCH($A338,Calculation!$B:$B,0),MATCH(C$1,Calculation!$1:$1,0))</f>
        <v>2877</v>
      </c>
      <c r="D338" s="4">
        <f>INDEX(Calculation!$A$1:$F$607,MATCH($A338,Calculation!$B:$B,0),MATCH(D$1,Calculation!$1:$1,0))</f>
        <v>172</v>
      </c>
      <c r="E338" s="4">
        <f>INDEX(Calculation!$A$1:$F$607,MATCH($A338,Calculation!$B:$B,0),MATCH(E$1,Calculation!$1:$1,0))</f>
        <v>4</v>
      </c>
    </row>
    <row r="339" spans="1:5" ht="16" x14ac:dyDescent="0.2">
      <c r="A339" s="2" t="s">
        <v>1080</v>
      </c>
      <c r="B339" s="4">
        <f>INDEX(Calculation!$A$1:$F$607,MATCH($A339,Calculation!$B:$B,0),MATCH(B$1,Calculation!$1:$1,0))</f>
        <v>13157</v>
      </c>
      <c r="C339" s="4">
        <f>INDEX(Calculation!$A$1:$F$607,MATCH($A339,Calculation!$B:$B,0),MATCH(C$1,Calculation!$1:$1,0))</f>
        <v>1902</v>
      </c>
      <c r="D339" s="4">
        <f>INDEX(Calculation!$A$1:$F$607,MATCH($A339,Calculation!$B:$B,0),MATCH(D$1,Calculation!$1:$1,0))</f>
        <v>135</v>
      </c>
      <c r="E339" s="4">
        <f>INDEX(Calculation!$A$1:$F$607,MATCH($A339,Calculation!$B:$B,0),MATCH(E$1,Calculation!$1:$1,0))</f>
        <v>2</v>
      </c>
    </row>
    <row r="340" spans="1:5" ht="16" x14ac:dyDescent="0.2">
      <c r="A340" s="2" t="s">
        <v>1083</v>
      </c>
      <c r="B340" s="4">
        <f>INDEX(Calculation!$A$1:$F$607,MATCH($A340,Calculation!$B:$B,0),MATCH(B$1,Calculation!$1:$1,0))</f>
        <v>22824</v>
      </c>
      <c r="C340" s="4">
        <f>INDEX(Calculation!$A$1:$F$607,MATCH($A340,Calculation!$B:$B,0),MATCH(C$1,Calculation!$1:$1,0))</f>
        <v>1704</v>
      </c>
      <c r="D340" s="4">
        <f>INDEX(Calculation!$A$1:$F$607,MATCH($A340,Calculation!$B:$B,0),MATCH(D$1,Calculation!$1:$1,0))</f>
        <v>141</v>
      </c>
      <c r="E340" s="4">
        <f>INDEX(Calculation!$A$1:$F$607,MATCH($A340,Calculation!$B:$B,0),MATCH(E$1,Calculation!$1:$1,0))</f>
        <v>4</v>
      </c>
    </row>
    <row r="341" spans="1:5" ht="16" x14ac:dyDescent="0.2">
      <c r="A341" s="2" t="s">
        <v>1085</v>
      </c>
      <c r="B341" s="4">
        <f>INDEX(Calculation!$A$1:$F$607,MATCH($A341,Calculation!$B:$B,0),MATCH(B$1,Calculation!$1:$1,0))</f>
        <v>11741</v>
      </c>
      <c r="C341" s="4">
        <f>INDEX(Calculation!$A$1:$F$607,MATCH($A341,Calculation!$B:$B,0),MATCH(C$1,Calculation!$1:$1,0))</f>
        <v>2621</v>
      </c>
      <c r="D341" s="4">
        <f>INDEX(Calculation!$A$1:$F$607,MATCH($A341,Calculation!$B:$B,0),MATCH(D$1,Calculation!$1:$1,0))</f>
        <v>190</v>
      </c>
      <c r="E341" s="4">
        <f>INDEX(Calculation!$A$1:$F$607,MATCH($A341,Calculation!$B:$B,0),MATCH(E$1,Calculation!$1:$1,0))</f>
        <v>0</v>
      </c>
    </row>
    <row r="342" spans="1:5" ht="16" x14ac:dyDescent="0.2">
      <c r="A342" s="2" t="s">
        <v>1088</v>
      </c>
      <c r="B342" s="4">
        <f>INDEX(Calculation!$A$1:$F$607,MATCH($A342,Calculation!$B:$B,0),MATCH(B$1,Calculation!$1:$1,0))</f>
        <v>22118</v>
      </c>
      <c r="C342" s="4">
        <f>INDEX(Calculation!$A$1:$F$607,MATCH($A342,Calculation!$B:$B,0),MATCH(C$1,Calculation!$1:$1,0))</f>
        <v>2019</v>
      </c>
      <c r="D342" s="4">
        <f>INDEX(Calculation!$A$1:$F$607,MATCH($A342,Calculation!$B:$B,0),MATCH(D$1,Calculation!$1:$1,0))</f>
        <v>105</v>
      </c>
      <c r="E342" s="4">
        <f>INDEX(Calculation!$A$1:$F$607,MATCH($A342,Calculation!$B:$B,0),MATCH(E$1,Calculation!$1:$1,0))</f>
        <v>0</v>
      </c>
    </row>
    <row r="343" spans="1:5" ht="16" x14ac:dyDescent="0.2">
      <c r="A343" s="2" t="s">
        <v>1090</v>
      </c>
      <c r="B343" s="4">
        <f>INDEX(Calculation!$A$1:$F$607,MATCH($A343,Calculation!$B:$B,0),MATCH(B$1,Calculation!$1:$1,0))</f>
        <v>58042</v>
      </c>
      <c r="C343" s="4">
        <f>INDEX(Calculation!$A$1:$F$607,MATCH($A343,Calculation!$B:$B,0),MATCH(C$1,Calculation!$1:$1,0))</f>
        <v>5862</v>
      </c>
      <c r="D343" s="4">
        <f>INDEX(Calculation!$A$1:$F$607,MATCH($A343,Calculation!$B:$B,0),MATCH(D$1,Calculation!$1:$1,0))</f>
        <v>211</v>
      </c>
      <c r="E343" s="4">
        <f>INDEX(Calculation!$A$1:$F$607,MATCH($A343,Calculation!$B:$B,0),MATCH(E$1,Calculation!$1:$1,0))</f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6E54-5690-2C45-9DE3-E263730F5B1D}">
  <sheetPr>
    <tabColor theme="9" tint="0.39997558519241921"/>
  </sheetPr>
  <dimension ref="A1:F607"/>
  <sheetViews>
    <sheetView tabSelected="1" topLeftCell="A465" workbookViewId="0">
      <selection activeCell="D488" sqref="D488"/>
    </sheetView>
  </sheetViews>
  <sheetFormatPr baseColWidth="10" defaultRowHeight="15" x14ac:dyDescent="0.2"/>
  <cols>
    <col min="1" max="1" width="27.5" bestFit="1" customWidth="1"/>
    <col min="3" max="3" width="29.83203125" customWidth="1"/>
  </cols>
  <sheetData>
    <row r="1" spans="1:6" s="3" customFormat="1" x14ac:dyDescent="0.2">
      <c r="A1" s="3" t="s">
        <v>148</v>
      </c>
      <c r="B1" s="3" t="s">
        <v>1091</v>
      </c>
      <c r="C1" s="3" t="s">
        <v>1348</v>
      </c>
      <c r="D1" s="3" t="s">
        <v>1352</v>
      </c>
      <c r="E1" s="3" t="s">
        <v>1354</v>
      </c>
      <c r="F1" s="3" t="s">
        <v>1353</v>
      </c>
    </row>
    <row r="2" spans="1:6" s="3" customFormat="1" x14ac:dyDescent="0.2">
      <c r="A2" t="str">
        <f>Source_wegvoertuigen_CBS!A6</f>
        <v>Aa en Hunze</v>
      </c>
      <c r="B2" t="str">
        <f>INDEX(Source_GM_code_CBS!$B:$B,MATCH($A2,Source_GM_code_CBS!$C:$C,0))</f>
        <v>GM1680</v>
      </c>
      <c r="C2">
        <f>Source_wegvoertuigen_CBS!C6</f>
        <v>15568</v>
      </c>
      <c r="D2">
        <f>Source_wegvoertuigen_CBS!D6</f>
        <v>1826</v>
      </c>
      <c r="E2">
        <f>Source_wegvoertuigen_CBS!E6</f>
        <v>101</v>
      </c>
      <c r="F2">
        <f>Source_wegvoertuigen_CBS!F6</f>
        <v>3</v>
      </c>
    </row>
    <row r="3" spans="1:6" s="3" customFormat="1" x14ac:dyDescent="0.2">
      <c r="A3" t="str">
        <f>Source_wegvoertuigen_CBS!A7</f>
        <v>Aalburg</v>
      </c>
      <c r="B3" t="e">
        <f>INDEX(Source_GM_code_CBS!$B:$B,MATCH($A3,Source_GM_code_CBS!$C:$C,0))</f>
        <v>#N/A</v>
      </c>
      <c r="C3">
        <f>Source_wegvoertuigen_CBS!C7</f>
        <v>0</v>
      </c>
      <c r="D3">
        <f>Source_wegvoertuigen_CBS!D7</f>
        <v>0</v>
      </c>
      <c r="E3">
        <f>Source_wegvoertuigen_CBS!E7</f>
        <v>0</v>
      </c>
      <c r="F3">
        <f>Source_wegvoertuigen_CBS!F7</f>
        <v>0</v>
      </c>
    </row>
    <row r="4" spans="1:6" x14ac:dyDescent="0.2">
      <c r="A4" t="str">
        <f>Source_wegvoertuigen_CBS!A8</f>
        <v>Aalsmeer</v>
      </c>
      <c r="B4" t="str">
        <f>INDEX(Source_GM_code_CBS!$B:$B,MATCH($A4,Source_GM_code_CBS!$C:$C,0))</f>
        <v>GM0358</v>
      </c>
      <c r="C4">
        <f>Source_wegvoertuigen_CBS!C8</f>
        <v>17396</v>
      </c>
      <c r="D4">
        <f>Source_wegvoertuigen_CBS!D8</f>
        <v>1963</v>
      </c>
      <c r="E4">
        <f>Source_wegvoertuigen_CBS!E8</f>
        <v>181</v>
      </c>
      <c r="F4">
        <f>Source_wegvoertuigen_CBS!F8</f>
        <v>17</v>
      </c>
    </row>
    <row r="5" spans="1:6" x14ac:dyDescent="0.2">
      <c r="A5" t="str">
        <f>Source_wegvoertuigen_CBS!A9</f>
        <v>Aalten</v>
      </c>
      <c r="B5" t="str">
        <f>INDEX(Source_GM_code_CBS!$B:$B,MATCH($A5,Source_GM_code_CBS!$C:$C,0))</f>
        <v>GM0197</v>
      </c>
      <c r="C5">
        <f>Source_wegvoertuigen_CBS!C9</f>
        <v>14912</v>
      </c>
      <c r="D5">
        <f>Source_wegvoertuigen_CBS!D9</f>
        <v>1763</v>
      </c>
      <c r="E5">
        <f>Source_wegvoertuigen_CBS!E9</f>
        <v>91</v>
      </c>
      <c r="F5">
        <f>Source_wegvoertuigen_CBS!F9</f>
        <v>2</v>
      </c>
    </row>
    <row r="6" spans="1:6" x14ac:dyDescent="0.2">
      <c r="A6" t="str">
        <f>Source_wegvoertuigen_CBS!A10</f>
        <v>Ter Aar</v>
      </c>
      <c r="B6" t="e">
        <f>INDEX(Source_GM_code_CBS!$B:$B,MATCH($A6,Source_GM_code_CBS!$C:$C,0))</f>
        <v>#N/A</v>
      </c>
      <c r="C6">
        <f>Source_wegvoertuigen_CBS!C10</f>
        <v>0</v>
      </c>
      <c r="D6">
        <f>Source_wegvoertuigen_CBS!D10</f>
        <v>0</v>
      </c>
      <c r="E6">
        <f>Source_wegvoertuigen_CBS!E10</f>
        <v>0</v>
      </c>
      <c r="F6">
        <f>Source_wegvoertuigen_CBS!F10</f>
        <v>0</v>
      </c>
    </row>
    <row r="7" spans="1:6" x14ac:dyDescent="0.2">
      <c r="A7" t="str">
        <f>Source_wegvoertuigen_CBS!A11</f>
        <v>Abcoude</v>
      </c>
      <c r="B7" t="e">
        <f>INDEX(Source_GM_code_CBS!$B:$B,MATCH($A7,Source_GM_code_CBS!$C:$C,0))</f>
        <v>#N/A</v>
      </c>
      <c r="C7">
        <f>Source_wegvoertuigen_CBS!C11</f>
        <v>0</v>
      </c>
      <c r="D7">
        <f>Source_wegvoertuigen_CBS!D11</f>
        <v>0</v>
      </c>
      <c r="E7">
        <f>Source_wegvoertuigen_CBS!E11</f>
        <v>0</v>
      </c>
      <c r="F7">
        <f>Source_wegvoertuigen_CBS!F11</f>
        <v>0</v>
      </c>
    </row>
    <row r="8" spans="1:6" x14ac:dyDescent="0.2">
      <c r="A8" t="str">
        <f>Source_wegvoertuigen_CBS!A12</f>
        <v>Achtkarspelen</v>
      </c>
      <c r="B8" t="str">
        <f>INDEX(Source_GM_code_CBS!$B:$B,MATCH($A8,Source_GM_code_CBS!$C:$C,0))</f>
        <v>GM0059</v>
      </c>
      <c r="C8">
        <f>Source_wegvoertuigen_CBS!C12</f>
        <v>15604</v>
      </c>
      <c r="D8">
        <f>Source_wegvoertuigen_CBS!D12</f>
        <v>2554</v>
      </c>
      <c r="E8">
        <f>Source_wegvoertuigen_CBS!E12</f>
        <v>152</v>
      </c>
      <c r="F8">
        <f>Source_wegvoertuigen_CBS!F12</f>
        <v>40</v>
      </c>
    </row>
    <row r="9" spans="1:6" x14ac:dyDescent="0.2">
      <c r="A9" t="str">
        <f>Source_wegvoertuigen_CBS!A13</f>
        <v>Akersloot</v>
      </c>
      <c r="B9" t="e">
        <f>INDEX(Source_GM_code_CBS!$B:$B,MATCH($A9,Source_GM_code_CBS!$C:$C,0))</f>
        <v>#N/A</v>
      </c>
      <c r="C9">
        <f>Source_wegvoertuigen_CBS!C13</f>
        <v>0</v>
      </c>
      <c r="D9">
        <f>Source_wegvoertuigen_CBS!D13</f>
        <v>0</v>
      </c>
      <c r="E9">
        <f>Source_wegvoertuigen_CBS!E13</f>
        <v>0</v>
      </c>
      <c r="F9">
        <f>Source_wegvoertuigen_CBS!F13</f>
        <v>0</v>
      </c>
    </row>
    <row r="10" spans="1:6" x14ac:dyDescent="0.2">
      <c r="A10" t="str">
        <f>Source_wegvoertuigen_CBS!A14</f>
        <v>Alblasserdam</v>
      </c>
      <c r="B10" t="str">
        <f>INDEX(Source_GM_code_CBS!$B:$B,MATCH($A10,Source_GM_code_CBS!$C:$C,0))</f>
        <v>GM0482</v>
      </c>
      <c r="C10">
        <f>Source_wegvoertuigen_CBS!C14</f>
        <v>9531</v>
      </c>
      <c r="D10">
        <f>Source_wegvoertuigen_CBS!D14</f>
        <v>1210</v>
      </c>
      <c r="E10">
        <f>Source_wegvoertuigen_CBS!E14</f>
        <v>83</v>
      </c>
      <c r="F10">
        <f>Source_wegvoertuigen_CBS!F14</f>
        <v>28</v>
      </c>
    </row>
    <row r="11" spans="1:6" x14ac:dyDescent="0.2">
      <c r="A11" t="str">
        <f>Source_wegvoertuigen_CBS!A15</f>
        <v>Albrandswaard</v>
      </c>
      <c r="B11" t="str">
        <f>INDEX(Source_GM_code_CBS!$B:$B,MATCH($A11,Source_GM_code_CBS!$C:$C,0))</f>
        <v>GM0613</v>
      </c>
      <c r="C11">
        <f>Source_wegvoertuigen_CBS!C15</f>
        <v>12936</v>
      </c>
      <c r="D11">
        <f>Source_wegvoertuigen_CBS!D15</f>
        <v>908</v>
      </c>
      <c r="E11">
        <f>Source_wegvoertuigen_CBS!E15</f>
        <v>49</v>
      </c>
      <c r="F11">
        <f>Source_wegvoertuigen_CBS!F15</f>
        <v>4</v>
      </c>
    </row>
    <row r="12" spans="1:6" x14ac:dyDescent="0.2">
      <c r="A12" t="str">
        <f>Source_wegvoertuigen_CBS!A16</f>
        <v>Alkemade</v>
      </c>
      <c r="B12" t="e">
        <f>INDEX(Source_GM_code_CBS!$B:$B,MATCH($A12,Source_GM_code_CBS!$C:$C,0))</f>
        <v>#N/A</v>
      </c>
      <c r="C12">
        <f>Source_wegvoertuigen_CBS!C16</f>
        <v>0</v>
      </c>
      <c r="D12">
        <f>Source_wegvoertuigen_CBS!D16</f>
        <v>0</v>
      </c>
      <c r="E12">
        <f>Source_wegvoertuigen_CBS!E16</f>
        <v>0</v>
      </c>
      <c r="F12">
        <f>Source_wegvoertuigen_CBS!F16</f>
        <v>0</v>
      </c>
    </row>
    <row r="13" spans="1:6" x14ac:dyDescent="0.2">
      <c r="A13" t="str">
        <f>Source_wegvoertuigen_CBS!A17</f>
        <v>Alkmaar</v>
      </c>
      <c r="B13" t="str">
        <f>INDEX(Source_GM_code_CBS!$B:$B,MATCH($A13,Source_GM_code_CBS!$C:$C,0))</f>
        <v>GM0361</v>
      </c>
      <c r="C13">
        <f>Source_wegvoertuigen_CBS!C17</f>
        <v>58882</v>
      </c>
      <c r="D13">
        <f>Source_wegvoertuigen_CBS!D17</f>
        <v>6290</v>
      </c>
      <c r="E13">
        <f>Source_wegvoertuigen_CBS!E17</f>
        <v>479</v>
      </c>
      <c r="F13">
        <f>Source_wegvoertuigen_CBS!F17</f>
        <v>20</v>
      </c>
    </row>
    <row r="14" spans="1:6" x14ac:dyDescent="0.2">
      <c r="A14" t="str">
        <f>Source_wegvoertuigen_CBS!A18</f>
        <v>Almelo</v>
      </c>
      <c r="B14" t="str">
        <f>INDEX(Source_GM_code_CBS!$B:$B,MATCH($A14,Source_GM_code_CBS!$C:$C,0))</f>
        <v>GM0141</v>
      </c>
      <c r="C14">
        <f>Source_wegvoertuigen_CBS!C18</f>
        <v>36279</v>
      </c>
      <c r="D14">
        <f>Source_wegvoertuigen_CBS!D18</f>
        <v>3787</v>
      </c>
      <c r="E14">
        <f>Source_wegvoertuigen_CBS!E18</f>
        <v>201</v>
      </c>
      <c r="F14">
        <f>Source_wegvoertuigen_CBS!F18</f>
        <v>5</v>
      </c>
    </row>
    <row r="15" spans="1:6" x14ac:dyDescent="0.2">
      <c r="A15" t="str">
        <f>Source_wegvoertuigen_CBS!A19</f>
        <v>Almere</v>
      </c>
      <c r="B15" t="str">
        <f>INDEX(Source_GM_code_CBS!$B:$B,MATCH($A15,Source_GM_code_CBS!$C:$C,0))</f>
        <v>GM0034</v>
      </c>
      <c r="C15">
        <f>Source_wegvoertuigen_CBS!C19</f>
        <v>258677</v>
      </c>
      <c r="D15">
        <f>Source_wegvoertuigen_CBS!D19</f>
        <v>31940</v>
      </c>
      <c r="E15">
        <f>Source_wegvoertuigen_CBS!E19</f>
        <v>658</v>
      </c>
      <c r="F15">
        <f>Source_wegvoertuigen_CBS!F19</f>
        <v>21</v>
      </c>
    </row>
    <row r="16" spans="1:6" x14ac:dyDescent="0.2">
      <c r="A16" t="str">
        <f>Source_wegvoertuigen_CBS!A20</f>
        <v>Alphen aan den Rijn</v>
      </c>
      <c r="B16" t="str">
        <f>INDEX(Source_GM_code_CBS!$B:$B,MATCH($A16,Source_GM_code_CBS!$C:$C,0))</f>
        <v>GM0484</v>
      </c>
      <c r="C16">
        <f>Source_wegvoertuigen_CBS!C20</f>
        <v>55413</v>
      </c>
      <c r="D16">
        <f>Source_wegvoertuigen_CBS!D20</f>
        <v>6214</v>
      </c>
      <c r="E16">
        <f>Source_wegvoertuigen_CBS!E20</f>
        <v>557</v>
      </c>
      <c r="F16">
        <f>Source_wegvoertuigen_CBS!F20</f>
        <v>33</v>
      </c>
    </row>
    <row r="17" spans="1:6" x14ac:dyDescent="0.2">
      <c r="A17" t="str">
        <f>Source_wegvoertuigen_CBS!A21</f>
        <v>Alphen-Chaam</v>
      </c>
      <c r="B17" t="str">
        <f>INDEX(Source_GM_code_CBS!$B:$B,MATCH($A17,Source_GM_code_CBS!$C:$C,0))</f>
        <v>GM1723</v>
      </c>
      <c r="C17">
        <f>Source_wegvoertuigen_CBS!C21</f>
        <v>6532</v>
      </c>
      <c r="D17">
        <f>Source_wegvoertuigen_CBS!D21</f>
        <v>966</v>
      </c>
      <c r="E17">
        <f>Source_wegvoertuigen_CBS!E21</f>
        <v>56</v>
      </c>
      <c r="F17">
        <f>Source_wegvoertuigen_CBS!F21</f>
        <v>0</v>
      </c>
    </row>
    <row r="18" spans="1:6" x14ac:dyDescent="0.2">
      <c r="A18" t="str">
        <f>Source_wegvoertuigen_CBS!A22</f>
        <v>Altena</v>
      </c>
      <c r="B18" t="str">
        <f>INDEX(Source_GM_code_CBS!$B:$B,MATCH($A18,Source_GM_code_CBS!$C:$C,0))</f>
        <v>GM1959</v>
      </c>
      <c r="C18">
        <f>Source_wegvoertuigen_CBS!C22</f>
        <v>31112</v>
      </c>
      <c r="D18">
        <f>Source_wegvoertuigen_CBS!D22</f>
        <v>4893</v>
      </c>
      <c r="E18">
        <f>Source_wegvoertuigen_CBS!E22</f>
        <v>424</v>
      </c>
      <c r="F18">
        <f>Source_wegvoertuigen_CBS!F22</f>
        <v>19</v>
      </c>
    </row>
    <row r="19" spans="1:6" x14ac:dyDescent="0.2">
      <c r="A19" t="str">
        <f>Source_wegvoertuigen_CBS!A23</f>
        <v>Ambt Delden</v>
      </c>
      <c r="B19" t="e">
        <f>INDEX(Source_GM_code_CBS!$B:$B,MATCH($A19,Source_GM_code_CBS!$C:$C,0))</f>
        <v>#N/A</v>
      </c>
      <c r="C19">
        <f>Source_wegvoertuigen_CBS!C23</f>
        <v>0</v>
      </c>
      <c r="D19">
        <f>Source_wegvoertuigen_CBS!D23</f>
        <v>0</v>
      </c>
      <c r="E19">
        <f>Source_wegvoertuigen_CBS!E23</f>
        <v>0</v>
      </c>
      <c r="F19">
        <f>Source_wegvoertuigen_CBS!F23</f>
        <v>0</v>
      </c>
    </row>
    <row r="20" spans="1:6" x14ac:dyDescent="0.2">
      <c r="A20" t="str">
        <f>Source_wegvoertuigen_CBS!A24</f>
        <v>Ambt Montfort</v>
      </c>
      <c r="B20" t="e">
        <f>INDEX(Source_GM_code_CBS!$B:$B,MATCH($A20,Source_GM_code_CBS!$C:$C,0))</f>
        <v>#N/A</v>
      </c>
      <c r="C20">
        <f>Source_wegvoertuigen_CBS!C24</f>
        <v>0</v>
      </c>
      <c r="D20">
        <f>Source_wegvoertuigen_CBS!D24</f>
        <v>0</v>
      </c>
      <c r="E20">
        <f>Source_wegvoertuigen_CBS!E24</f>
        <v>0</v>
      </c>
      <c r="F20">
        <f>Source_wegvoertuigen_CBS!F24</f>
        <v>0</v>
      </c>
    </row>
    <row r="21" spans="1:6" x14ac:dyDescent="0.2">
      <c r="A21" t="str">
        <f>Source_wegvoertuigen_CBS!A25</f>
        <v>Ameland</v>
      </c>
      <c r="B21" t="str">
        <f>INDEX(Source_GM_code_CBS!$B:$B,MATCH($A21,Source_GM_code_CBS!$C:$C,0))</f>
        <v>GM0060</v>
      </c>
      <c r="C21">
        <f>Source_wegvoertuigen_CBS!C25</f>
        <v>2007</v>
      </c>
      <c r="D21">
        <f>Source_wegvoertuigen_CBS!D25</f>
        <v>412</v>
      </c>
      <c r="E21">
        <f>Source_wegvoertuigen_CBS!E25</f>
        <v>35</v>
      </c>
      <c r="F21">
        <f>Source_wegvoertuigen_CBS!F25</f>
        <v>0</v>
      </c>
    </row>
    <row r="22" spans="1:6" x14ac:dyDescent="0.2">
      <c r="A22" t="str">
        <f>Source_wegvoertuigen_CBS!A26</f>
        <v>Amerongen</v>
      </c>
      <c r="B22" t="e">
        <f>INDEX(Source_GM_code_CBS!$B:$B,MATCH($A22,Source_GM_code_CBS!$C:$C,0))</f>
        <v>#N/A</v>
      </c>
      <c r="C22">
        <f>Source_wegvoertuigen_CBS!C26</f>
        <v>0</v>
      </c>
      <c r="D22">
        <f>Source_wegvoertuigen_CBS!D26</f>
        <v>0</v>
      </c>
      <c r="E22">
        <f>Source_wegvoertuigen_CBS!E26</f>
        <v>0</v>
      </c>
      <c r="F22">
        <f>Source_wegvoertuigen_CBS!F26</f>
        <v>0</v>
      </c>
    </row>
    <row r="23" spans="1:6" x14ac:dyDescent="0.2">
      <c r="A23" t="str">
        <f>Source_wegvoertuigen_CBS!A27</f>
        <v>Amersfoort</v>
      </c>
      <c r="B23" t="str">
        <f>INDEX(Source_GM_code_CBS!$B:$B,MATCH($A23,Source_GM_code_CBS!$C:$C,0))</f>
        <v>GM0307</v>
      </c>
      <c r="C23">
        <f>Source_wegvoertuigen_CBS!C27</f>
        <v>124805</v>
      </c>
      <c r="D23">
        <f>Source_wegvoertuigen_CBS!D27</f>
        <v>17202</v>
      </c>
      <c r="E23">
        <f>Source_wegvoertuigen_CBS!E27</f>
        <v>343</v>
      </c>
      <c r="F23">
        <f>Source_wegvoertuigen_CBS!F27</f>
        <v>613</v>
      </c>
    </row>
    <row r="24" spans="1:6" x14ac:dyDescent="0.2">
      <c r="A24" t="str">
        <f>Source_wegvoertuigen_CBS!A28</f>
        <v>Amstelveen</v>
      </c>
      <c r="B24" t="str">
        <f>INDEX(Source_GM_code_CBS!$B:$B,MATCH($A24,Source_GM_code_CBS!$C:$C,0))</f>
        <v>GM0362</v>
      </c>
      <c r="C24">
        <f>Source_wegvoertuigen_CBS!C28</f>
        <v>39013</v>
      </c>
      <c r="D24">
        <f>Source_wegvoertuigen_CBS!D28</f>
        <v>2105</v>
      </c>
      <c r="E24">
        <f>Source_wegvoertuigen_CBS!E28</f>
        <v>139</v>
      </c>
      <c r="F24">
        <f>Source_wegvoertuigen_CBS!F28</f>
        <v>18</v>
      </c>
    </row>
    <row r="25" spans="1:6" x14ac:dyDescent="0.2">
      <c r="A25" t="str">
        <f>Source_wegvoertuigen_CBS!A29</f>
        <v>Amsterdam</v>
      </c>
      <c r="B25" t="str">
        <f>INDEX(Source_GM_code_CBS!$B:$B,MATCH($A25,Source_GM_code_CBS!$C:$C,0))</f>
        <v>GM0363</v>
      </c>
      <c r="C25">
        <f>Source_wegvoertuigen_CBS!C29</f>
        <v>249771</v>
      </c>
      <c r="D25">
        <f>Source_wegvoertuigen_CBS!D29</f>
        <v>21249</v>
      </c>
      <c r="E25">
        <f>Source_wegvoertuigen_CBS!E29</f>
        <v>978</v>
      </c>
      <c r="F25">
        <f>Source_wegvoertuigen_CBS!F29</f>
        <v>301</v>
      </c>
    </row>
    <row r="26" spans="1:6" x14ac:dyDescent="0.2">
      <c r="A26" t="str">
        <f>Source_wegvoertuigen_CBS!A30</f>
        <v>Andijk</v>
      </c>
      <c r="B26" t="e">
        <f>INDEX(Source_GM_code_CBS!$B:$B,MATCH($A26,Source_GM_code_CBS!$C:$C,0))</f>
        <v>#N/A</v>
      </c>
      <c r="C26">
        <f>Source_wegvoertuigen_CBS!C30</f>
        <v>0</v>
      </c>
      <c r="D26">
        <f>Source_wegvoertuigen_CBS!D30</f>
        <v>0</v>
      </c>
      <c r="E26">
        <f>Source_wegvoertuigen_CBS!E30</f>
        <v>0</v>
      </c>
      <c r="F26">
        <f>Source_wegvoertuigen_CBS!F30</f>
        <v>0</v>
      </c>
    </row>
    <row r="27" spans="1:6" x14ac:dyDescent="0.2">
      <c r="A27" t="str">
        <f>Source_wegvoertuigen_CBS!A31</f>
        <v>Angerlo</v>
      </c>
      <c r="B27" t="e">
        <f>INDEX(Source_GM_code_CBS!$B:$B,MATCH($A27,Source_GM_code_CBS!$C:$C,0))</f>
        <v>#N/A</v>
      </c>
      <c r="C27">
        <f>Source_wegvoertuigen_CBS!C31</f>
        <v>0</v>
      </c>
      <c r="D27">
        <f>Source_wegvoertuigen_CBS!D31</f>
        <v>0</v>
      </c>
      <c r="E27">
        <f>Source_wegvoertuigen_CBS!E31</f>
        <v>0</v>
      </c>
      <c r="F27">
        <f>Source_wegvoertuigen_CBS!F31</f>
        <v>0</v>
      </c>
    </row>
    <row r="28" spans="1:6" x14ac:dyDescent="0.2">
      <c r="A28" t="str">
        <f>Source_wegvoertuigen_CBS!A32</f>
        <v>Anna Paulowna</v>
      </c>
      <c r="B28" t="e">
        <f>INDEX(Source_GM_code_CBS!$B:$B,MATCH($A28,Source_GM_code_CBS!$C:$C,0))</f>
        <v>#N/A</v>
      </c>
      <c r="C28">
        <f>Source_wegvoertuigen_CBS!C32</f>
        <v>0</v>
      </c>
      <c r="D28">
        <f>Source_wegvoertuigen_CBS!D32</f>
        <v>0</v>
      </c>
      <c r="E28">
        <f>Source_wegvoertuigen_CBS!E32</f>
        <v>0</v>
      </c>
      <c r="F28">
        <f>Source_wegvoertuigen_CBS!F32</f>
        <v>0</v>
      </c>
    </row>
    <row r="29" spans="1:6" x14ac:dyDescent="0.2">
      <c r="A29" t="str">
        <f>Source_wegvoertuigen_CBS!A33</f>
        <v>Apeldoorn</v>
      </c>
      <c r="B29" t="str">
        <f>INDEX(Source_GM_code_CBS!$B:$B,MATCH($A29,Source_GM_code_CBS!$C:$C,0))</f>
        <v>GM0200</v>
      </c>
      <c r="C29">
        <f>Source_wegvoertuigen_CBS!C33</f>
        <v>84942</v>
      </c>
      <c r="D29">
        <f>Source_wegvoertuigen_CBS!D33</f>
        <v>8563</v>
      </c>
      <c r="E29">
        <f>Source_wegvoertuigen_CBS!E33</f>
        <v>961</v>
      </c>
      <c r="F29">
        <f>Source_wegvoertuigen_CBS!F33</f>
        <v>55</v>
      </c>
    </row>
    <row r="30" spans="1:6" x14ac:dyDescent="0.2">
      <c r="A30" t="str">
        <f>Source_wegvoertuigen_CBS!A34</f>
        <v>Appingedam</v>
      </c>
      <c r="B30" t="e">
        <f>INDEX(Source_GM_code_CBS!$B:$B,MATCH($A30,Source_GM_code_CBS!$C:$C,0))</f>
        <v>#N/A</v>
      </c>
      <c r="C30">
        <f>Source_wegvoertuigen_CBS!C34</f>
        <v>0</v>
      </c>
      <c r="D30">
        <f>Source_wegvoertuigen_CBS!D34</f>
        <v>0</v>
      </c>
      <c r="E30">
        <f>Source_wegvoertuigen_CBS!E34</f>
        <v>0</v>
      </c>
      <c r="F30">
        <f>Source_wegvoertuigen_CBS!F34</f>
        <v>0</v>
      </c>
    </row>
    <row r="31" spans="1:6" x14ac:dyDescent="0.2">
      <c r="A31" t="str">
        <f>Source_wegvoertuigen_CBS!A35</f>
        <v>Arcen en Velden</v>
      </c>
      <c r="B31" t="e">
        <f>INDEX(Source_GM_code_CBS!$B:$B,MATCH($A31,Source_GM_code_CBS!$C:$C,0))</f>
        <v>#N/A</v>
      </c>
      <c r="C31">
        <f>Source_wegvoertuigen_CBS!C35</f>
        <v>0</v>
      </c>
      <c r="D31">
        <f>Source_wegvoertuigen_CBS!D35</f>
        <v>0</v>
      </c>
      <c r="E31">
        <f>Source_wegvoertuigen_CBS!E35</f>
        <v>0</v>
      </c>
      <c r="F31">
        <f>Source_wegvoertuigen_CBS!F35</f>
        <v>0</v>
      </c>
    </row>
    <row r="32" spans="1:6" x14ac:dyDescent="0.2">
      <c r="A32" t="str">
        <f>Source_wegvoertuigen_CBS!A36</f>
        <v>Arnhem</v>
      </c>
      <c r="B32" t="str">
        <f>INDEX(Source_GM_code_CBS!$B:$B,MATCH($A32,Source_GM_code_CBS!$C:$C,0))</f>
        <v>GM0202</v>
      </c>
      <c r="C32">
        <f>Source_wegvoertuigen_CBS!C36</f>
        <v>69313</v>
      </c>
      <c r="D32">
        <f>Source_wegvoertuigen_CBS!D36</f>
        <v>4725</v>
      </c>
      <c r="E32">
        <f>Source_wegvoertuigen_CBS!E36</f>
        <v>607</v>
      </c>
      <c r="F32">
        <f>Source_wegvoertuigen_CBS!F36</f>
        <v>4</v>
      </c>
    </row>
    <row r="33" spans="1:6" x14ac:dyDescent="0.2">
      <c r="A33" t="str">
        <f>Source_wegvoertuigen_CBS!A37</f>
        <v>Assen</v>
      </c>
      <c r="B33" t="str">
        <f>INDEX(Source_GM_code_CBS!$B:$B,MATCH($A33,Source_GM_code_CBS!$C:$C,0))</f>
        <v>GM0106</v>
      </c>
      <c r="C33">
        <f>Source_wegvoertuigen_CBS!C37</f>
        <v>34450</v>
      </c>
      <c r="D33">
        <f>Source_wegvoertuigen_CBS!D37</f>
        <v>2659</v>
      </c>
      <c r="E33">
        <f>Source_wegvoertuigen_CBS!E37</f>
        <v>180</v>
      </c>
      <c r="F33">
        <f>Source_wegvoertuigen_CBS!F37</f>
        <v>48</v>
      </c>
    </row>
    <row r="34" spans="1:6" x14ac:dyDescent="0.2">
      <c r="A34" t="str">
        <f>Source_wegvoertuigen_CBS!A38</f>
        <v>Asten</v>
      </c>
      <c r="B34" t="str">
        <f>INDEX(Source_GM_code_CBS!$B:$B,MATCH($A34,Source_GM_code_CBS!$C:$C,0))</f>
        <v>GM0743</v>
      </c>
      <c r="C34">
        <f>Source_wegvoertuigen_CBS!C38</f>
        <v>9591</v>
      </c>
      <c r="D34">
        <f>Source_wegvoertuigen_CBS!D38</f>
        <v>1488</v>
      </c>
      <c r="E34">
        <f>Source_wegvoertuigen_CBS!E38</f>
        <v>103</v>
      </c>
      <c r="F34">
        <f>Source_wegvoertuigen_CBS!F38</f>
        <v>2</v>
      </c>
    </row>
    <row r="35" spans="1:6" x14ac:dyDescent="0.2">
      <c r="A35" t="str">
        <f>Source_wegvoertuigen_CBS!A39</f>
        <v>Avereest</v>
      </c>
      <c r="B35" t="e">
        <f>INDEX(Source_GM_code_CBS!$B:$B,MATCH($A35,Source_GM_code_CBS!$C:$C,0))</f>
        <v>#N/A</v>
      </c>
      <c r="C35">
        <f>Source_wegvoertuigen_CBS!C39</f>
        <v>0</v>
      </c>
      <c r="D35">
        <f>Source_wegvoertuigen_CBS!D39</f>
        <v>0</v>
      </c>
      <c r="E35">
        <f>Source_wegvoertuigen_CBS!E39</f>
        <v>0</v>
      </c>
      <c r="F35">
        <f>Source_wegvoertuigen_CBS!F39</f>
        <v>0</v>
      </c>
    </row>
    <row r="36" spans="1:6" x14ac:dyDescent="0.2">
      <c r="A36" t="str">
        <f>Source_wegvoertuigen_CBS!A40</f>
        <v>Axel</v>
      </c>
      <c r="B36" t="e">
        <f>INDEX(Source_GM_code_CBS!$B:$B,MATCH($A36,Source_GM_code_CBS!$C:$C,0))</f>
        <v>#N/A</v>
      </c>
      <c r="C36">
        <f>Source_wegvoertuigen_CBS!C40</f>
        <v>0</v>
      </c>
      <c r="D36">
        <f>Source_wegvoertuigen_CBS!D40</f>
        <v>0</v>
      </c>
      <c r="E36">
        <f>Source_wegvoertuigen_CBS!E40</f>
        <v>0</v>
      </c>
      <c r="F36">
        <f>Source_wegvoertuigen_CBS!F40</f>
        <v>0</v>
      </c>
    </row>
    <row r="37" spans="1:6" x14ac:dyDescent="0.2">
      <c r="A37" t="str">
        <f>Source_wegvoertuigen_CBS!A41</f>
        <v>Baarle-Nassau</v>
      </c>
      <c r="B37" t="str">
        <f>INDEX(Source_GM_code_CBS!$B:$B,MATCH($A37,Source_GM_code_CBS!$C:$C,0))</f>
        <v>GM0744</v>
      </c>
      <c r="C37">
        <f>Source_wegvoertuigen_CBS!C41</f>
        <v>4372</v>
      </c>
      <c r="D37">
        <f>Source_wegvoertuigen_CBS!D41</f>
        <v>694</v>
      </c>
      <c r="E37">
        <f>Source_wegvoertuigen_CBS!E41</f>
        <v>41</v>
      </c>
      <c r="F37">
        <f>Source_wegvoertuigen_CBS!F41</f>
        <v>4</v>
      </c>
    </row>
    <row r="38" spans="1:6" x14ac:dyDescent="0.2">
      <c r="A38" t="str">
        <f>Source_wegvoertuigen_CBS!A42</f>
        <v>Baarn</v>
      </c>
      <c r="B38" t="str">
        <f>INDEX(Source_GM_code_CBS!$B:$B,MATCH($A38,Source_GM_code_CBS!$C:$C,0))</f>
        <v>GM0308</v>
      </c>
      <c r="C38">
        <f>Source_wegvoertuigen_CBS!C42</f>
        <v>12562</v>
      </c>
      <c r="D38">
        <f>Source_wegvoertuigen_CBS!D42</f>
        <v>935</v>
      </c>
      <c r="E38">
        <f>Source_wegvoertuigen_CBS!E42</f>
        <v>24</v>
      </c>
      <c r="F38">
        <f>Source_wegvoertuigen_CBS!F42</f>
        <v>8</v>
      </c>
    </row>
    <row r="39" spans="1:6" x14ac:dyDescent="0.2">
      <c r="A39" t="str">
        <f>Source_wegvoertuigen_CBS!A43</f>
        <v>Barendrecht</v>
      </c>
      <c r="B39" t="str">
        <f>INDEX(Source_GM_code_CBS!$B:$B,MATCH($A39,Source_GM_code_CBS!$C:$C,0))</f>
        <v>GM0489</v>
      </c>
      <c r="C39">
        <f>Source_wegvoertuigen_CBS!C43</f>
        <v>24077</v>
      </c>
      <c r="D39">
        <f>Source_wegvoertuigen_CBS!D43</f>
        <v>2326</v>
      </c>
      <c r="E39">
        <f>Source_wegvoertuigen_CBS!E43</f>
        <v>276</v>
      </c>
      <c r="F39">
        <f>Source_wegvoertuigen_CBS!F43</f>
        <v>8</v>
      </c>
    </row>
    <row r="40" spans="1:6" x14ac:dyDescent="0.2">
      <c r="A40" t="str">
        <f>Source_wegvoertuigen_CBS!A44</f>
        <v>Barneveld</v>
      </c>
      <c r="B40" t="str">
        <f>INDEX(Source_GM_code_CBS!$B:$B,MATCH($A40,Source_GM_code_CBS!$C:$C,0))</f>
        <v>GM0203</v>
      </c>
      <c r="C40">
        <f>Source_wegvoertuigen_CBS!C44</f>
        <v>30757</v>
      </c>
      <c r="D40">
        <f>Source_wegvoertuigen_CBS!D44</f>
        <v>5966</v>
      </c>
      <c r="E40">
        <f>Source_wegvoertuigen_CBS!E44</f>
        <v>396</v>
      </c>
      <c r="F40">
        <f>Source_wegvoertuigen_CBS!F44</f>
        <v>46</v>
      </c>
    </row>
    <row r="41" spans="1:6" x14ac:dyDescent="0.2">
      <c r="A41" t="str">
        <f>Source_wegvoertuigen_CBS!A45</f>
        <v>Bathmen</v>
      </c>
      <c r="B41" t="e">
        <f>INDEX(Source_GM_code_CBS!$B:$B,MATCH($A41,Source_GM_code_CBS!$C:$C,0))</f>
        <v>#N/A</v>
      </c>
      <c r="C41">
        <f>Source_wegvoertuigen_CBS!C45</f>
        <v>0</v>
      </c>
      <c r="D41">
        <f>Source_wegvoertuigen_CBS!D45</f>
        <v>0</v>
      </c>
      <c r="E41">
        <f>Source_wegvoertuigen_CBS!E45</f>
        <v>0</v>
      </c>
      <c r="F41">
        <f>Source_wegvoertuigen_CBS!F45</f>
        <v>0</v>
      </c>
    </row>
    <row r="42" spans="1:6" x14ac:dyDescent="0.2">
      <c r="A42" t="str">
        <f>Source_wegvoertuigen_CBS!A46</f>
        <v>Bedum</v>
      </c>
      <c r="B42" t="e">
        <f>INDEX(Source_GM_code_CBS!$B:$B,MATCH($A42,Source_GM_code_CBS!$C:$C,0))</f>
        <v>#N/A</v>
      </c>
      <c r="C42">
        <f>Source_wegvoertuigen_CBS!C46</f>
        <v>0</v>
      </c>
      <c r="D42">
        <f>Source_wegvoertuigen_CBS!D46</f>
        <v>0</v>
      </c>
      <c r="E42">
        <f>Source_wegvoertuigen_CBS!E46</f>
        <v>0</v>
      </c>
      <c r="F42">
        <f>Source_wegvoertuigen_CBS!F46</f>
        <v>0</v>
      </c>
    </row>
    <row r="43" spans="1:6" x14ac:dyDescent="0.2">
      <c r="A43" s="5" t="s">
        <v>240</v>
      </c>
      <c r="B43" t="str">
        <f>INDEX(Source_GM_code_CBS!$B:$B,MATCH($A43,Source_GM_code_CBS!$C:$C,0))</f>
        <v>GM0888</v>
      </c>
      <c r="C43">
        <f>Source_wegvoertuigen_CBS!C47</f>
        <v>9695</v>
      </c>
      <c r="D43">
        <f>Source_wegvoertuigen_CBS!D47</f>
        <v>811</v>
      </c>
      <c r="E43">
        <f>Source_wegvoertuigen_CBS!E47</f>
        <v>61</v>
      </c>
      <c r="F43">
        <f>Source_wegvoertuigen_CBS!F47</f>
        <v>1</v>
      </c>
    </row>
    <row r="44" spans="1:6" x14ac:dyDescent="0.2">
      <c r="A44" t="str">
        <f>Source_wegvoertuigen_CBS!A48</f>
        <v>Beekdaelen</v>
      </c>
      <c r="B44" t="str">
        <f>INDEX(Source_GM_code_CBS!$B:$B,MATCH($A44,Source_GM_code_CBS!$C:$C,0))</f>
        <v>GM1954</v>
      </c>
      <c r="C44">
        <f>Source_wegvoertuigen_CBS!C48</f>
        <v>22365</v>
      </c>
      <c r="D44">
        <f>Source_wegvoertuigen_CBS!D48</f>
        <v>2074</v>
      </c>
      <c r="E44">
        <f>Source_wegvoertuigen_CBS!E48</f>
        <v>154</v>
      </c>
      <c r="F44">
        <f>Source_wegvoertuigen_CBS!F48</f>
        <v>1</v>
      </c>
    </row>
    <row r="45" spans="1:6" x14ac:dyDescent="0.2">
      <c r="A45" t="str">
        <f>Source_wegvoertuigen_CBS!A49</f>
        <v>Beemster</v>
      </c>
      <c r="B45" t="e">
        <f>INDEX(Source_GM_code_CBS!$B:$B,MATCH($A45,Source_GM_code_CBS!$C:$C,0))</f>
        <v>#N/A</v>
      </c>
      <c r="C45">
        <f>Source_wegvoertuigen_CBS!C49</f>
        <v>0</v>
      </c>
      <c r="D45">
        <f>Source_wegvoertuigen_CBS!D49</f>
        <v>0</v>
      </c>
      <c r="E45">
        <f>Source_wegvoertuigen_CBS!E49</f>
        <v>0</v>
      </c>
      <c r="F45">
        <f>Source_wegvoertuigen_CBS!F49</f>
        <v>0</v>
      </c>
    </row>
    <row r="46" spans="1:6" x14ac:dyDescent="0.2">
      <c r="A46" t="str">
        <f>Source_wegvoertuigen_CBS!A50</f>
        <v>Beesel</v>
      </c>
      <c r="B46" t="str">
        <f>INDEX(Source_GM_code_CBS!$B:$B,MATCH($A46,Source_GM_code_CBS!$C:$C,0))</f>
        <v>GM0889</v>
      </c>
      <c r="C46">
        <f>Source_wegvoertuigen_CBS!C50</f>
        <v>7338</v>
      </c>
      <c r="D46">
        <f>Source_wegvoertuigen_CBS!D50</f>
        <v>548</v>
      </c>
      <c r="E46">
        <f>Source_wegvoertuigen_CBS!E50</f>
        <v>41</v>
      </c>
      <c r="F46">
        <f>Source_wegvoertuigen_CBS!F50</f>
        <v>0</v>
      </c>
    </row>
    <row r="47" spans="1:6" x14ac:dyDescent="0.2">
      <c r="A47" t="str">
        <f>Source_wegvoertuigen_CBS!A51</f>
        <v>Belfeld</v>
      </c>
      <c r="B47" t="e">
        <f>INDEX(Source_GM_code_CBS!$B:$B,MATCH($A47,Source_GM_code_CBS!$C:$C,0))</f>
        <v>#N/A</v>
      </c>
      <c r="C47">
        <f>Source_wegvoertuigen_CBS!C51</f>
        <v>0</v>
      </c>
      <c r="D47">
        <f>Source_wegvoertuigen_CBS!D51</f>
        <v>0</v>
      </c>
      <c r="E47">
        <f>Source_wegvoertuigen_CBS!E51</f>
        <v>0</v>
      </c>
      <c r="F47">
        <f>Source_wegvoertuigen_CBS!F51</f>
        <v>0</v>
      </c>
    </row>
    <row r="48" spans="1:6" x14ac:dyDescent="0.2">
      <c r="A48" t="str">
        <f>Source_wegvoertuigen_CBS!A52</f>
        <v>Bellingwedde</v>
      </c>
      <c r="B48" t="e">
        <f>INDEX(Source_GM_code_CBS!$B:$B,MATCH($A48,Source_GM_code_CBS!$C:$C,0))</f>
        <v>#N/A</v>
      </c>
      <c r="C48">
        <f>Source_wegvoertuigen_CBS!C52</f>
        <v>0</v>
      </c>
      <c r="D48">
        <f>Source_wegvoertuigen_CBS!D52</f>
        <v>0</v>
      </c>
      <c r="E48">
        <f>Source_wegvoertuigen_CBS!E52</f>
        <v>0</v>
      </c>
      <c r="F48">
        <f>Source_wegvoertuigen_CBS!F52</f>
        <v>0</v>
      </c>
    </row>
    <row r="49" spans="1:6" x14ac:dyDescent="0.2">
      <c r="A49" t="str">
        <f>Source_wegvoertuigen_CBS!A53</f>
        <v>Berg en Dal</v>
      </c>
      <c r="B49" t="str">
        <f>INDEX(Source_GM_code_CBS!$B:$B,MATCH($A49,Source_GM_code_CBS!$C:$C,0))</f>
        <v>GM1945</v>
      </c>
      <c r="C49">
        <f>Source_wegvoertuigen_CBS!C53</f>
        <v>19031</v>
      </c>
      <c r="D49">
        <f>Source_wegvoertuigen_CBS!D53</f>
        <v>1763</v>
      </c>
      <c r="E49">
        <f>Source_wegvoertuigen_CBS!E53</f>
        <v>69</v>
      </c>
      <c r="F49">
        <f>Source_wegvoertuigen_CBS!F53</f>
        <v>10</v>
      </c>
    </row>
    <row r="50" spans="1:6" x14ac:dyDescent="0.2">
      <c r="A50" t="str">
        <f>Source_wegvoertuigen_CBS!A54</f>
        <v>Bemmel</v>
      </c>
      <c r="B50" t="e">
        <f>INDEX(Source_GM_code_CBS!$B:$B,MATCH($A50,Source_GM_code_CBS!$C:$C,0))</f>
        <v>#N/A</v>
      </c>
      <c r="C50">
        <f>Source_wegvoertuigen_CBS!C54</f>
        <v>0</v>
      </c>
      <c r="D50">
        <f>Source_wegvoertuigen_CBS!D54</f>
        <v>0</v>
      </c>
      <c r="E50">
        <f>Source_wegvoertuigen_CBS!E54</f>
        <v>0</v>
      </c>
      <c r="F50">
        <f>Source_wegvoertuigen_CBS!F54</f>
        <v>0</v>
      </c>
    </row>
    <row r="51" spans="1:6" x14ac:dyDescent="0.2">
      <c r="A51" t="str">
        <f>Source_wegvoertuigen_CBS!A55</f>
        <v>Bennebroek</v>
      </c>
      <c r="B51" t="e">
        <f>INDEX(Source_GM_code_CBS!$B:$B,MATCH($A51,Source_GM_code_CBS!$C:$C,0))</f>
        <v>#N/A</v>
      </c>
      <c r="C51">
        <f>Source_wegvoertuigen_CBS!C55</f>
        <v>0</v>
      </c>
      <c r="D51">
        <f>Source_wegvoertuigen_CBS!D55</f>
        <v>0</v>
      </c>
      <c r="E51">
        <f>Source_wegvoertuigen_CBS!E55</f>
        <v>0</v>
      </c>
      <c r="F51">
        <f>Source_wegvoertuigen_CBS!F55</f>
        <v>0</v>
      </c>
    </row>
    <row r="52" spans="1:6" x14ac:dyDescent="0.2">
      <c r="A52" t="str">
        <f>Source_wegvoertuigen_CBS!A56</f>
        <v>Bergambacht</v>
      </c>
      <c r="B52" t="e">
        <f>INDEX(Source_GM_code_CBS!$B:$B,MATCH($A52,Source_GM_code_CBS!$C:$C,0))</f>
        <v>#N/A</v>
      </c>
      <c r="C52">
        <f>Source_wegvoertuigen_CBS!C56</f>
        <v>0</v>
      </c>
      <c r="D52">
        <f>Source_wegvoertuigen_CBS!D56</f>
        <v>0</v>
      </c>
      <c r="E52">
        <f>Source_wegvoertuigen_CBS!E56</f>
        <v>0</v>
      </c>
      <c r="F52">
        <f>Source_wegvoertuigen_CBS!F56</f>
        <v>0</v>
      </c>
    </row>
    <row r="53" spans="1:6" x14ac:dyDescent="0.2">
      <c r="A53" t="str">
        <f>Source_wegvoertuigen_CBS!A57</f>
        <v>Bergeijk</v>
      </c>
      <c r="B53" t="str">
        <f>INDEX(Source_GM_code_CBS!$B:$B,MATCH($A53,Source_GM_code_CBS!$C:$C,0))</f>
        <v>GM1724</v>
      </c>
      <c r="C53">
        <f>Source_wegvoertuigen_CBS!C57</f>
        <v>11303</v>
      </c>
      <c r="D53">
        <f>Source_wegvoertuigen_CBS!D57</f>
        <v>1837</v>
      </c>
      <c r="E53">
        <f>Source_wegvoertuigen_CBS!E57</f>
        <v>69</v>
      </c>
      <c r="F53">
        <f>Source_wegvoertuigen_CBS!F57</f>
        <v>19</v>
      </c>
    </row>
    <row r="54" spans="1:6" x14ac:dyDescent="0.2">
      <c r="A54" t="str">
        <f>Source_wegvoertuigen_CBS!A58</f>
        <v>Bergen (L.)</v>
      </c>
      <c r="B54" t="str">
        <f>INDEX(Source_GM_code_CBS!$B:$B,MATCH($A54,Source_GM_code_CBS!$C:$C,0))</f>
        <v>GM0893</v>
      </c>
      <c r="C54">
        <f>Source_wegvoertuigen_CBS!C58</f>
        <v>8123</v>
      </c>
      <c r="D54">
        <f>Source_wegvoertuigen_CBS!D58</f>
        <v>915</v>
      </c>
      <c r="E54">
        <f>Source_wegvoertuigen_CBS!E58</f>
        <v>55</v>
      </c>
      <c r="F54">
        <f>Source_wegvoertuigen_CBS!F58</f>
        <v>1</v>
      </c>
    </row>
    <row r="55" spans="1:6" x14ac:dyDescent="0.2">
      <c r="A55" t="str">
        <f>Source_wegvoertuigen_CBS!A59</f>
        <v>Bergen (NH.)</v>
      </c>
      <c r="B55" t="str">
        <f>INDEX(Source_GM_code_CBS!$B:$B,MATCH($A55,Source_GM_code_CBS!$C:$C,0))</f>
        <v>GM0373</v>
      </c>
      <c r="C55">
        <f>Source_wegvoertuigen_CBS!C59</f>
        <v>16520</v>
      </c>
      <c r="D55">
        <f>Source_wegvoertuigen_CBS!D59</f>
        <v>1395</v>
      </c>
      <c r="E55">
        <f>Source_wegvoertuigen_CBS!E59</f>
        <v>66</v>
      </c>
      <c r="F55">
        <f>Source_wegvoertuigen_CBS!F59</f>
        <v>2</v>
      </c>
    </row>
    <row r="56" spans="1:6" x14ac:dyDescent="0.2">
      <c r="A56" t="str">
        <f>Source_wegvoertuigen_CBS!A60</f>
        <v>Bergen op Zoom</v>
      </c>
      <c r="B56" t="str">
        <f>INDEX(Source_GM_code_CBS!$B:$B,MATCH($A56,Source_GM_code_CBS!$C:$C,0))</f>
        <v>GM0748</v>
      </c>
      <c r="C56">
        <f>Source_wegvoertuigen_CBS!C60</f>
        <v>33852</v>
      </c>
      <c r="D56">
        <f>Source_wegvoertuigen_CBS!D60</f>
        <v>2726</v>
      </c>
      <c r="E56">
        <f>Source_wegvoertuigen_CBS!E60</f>
        <v>241</v>
      </c>
      <c r="F56">
        <f>Source_wegvoertuigen_CBS!F60</f>
        <v>42</v>
      </c>
    </row>
    <row r="57" spans="1:6" x14ac:dyDescent="0.2">
      <c r="A57" t="str">
        <f>Source_wegvoertuigen_CBS!A61</f>
        <v>Bergh</v>
      </c>
      <c r="B57" t="e">
        <f>INDEX(Source_GM_code_CBS!$B:$B,MATCH($A57,Source_GM_code_CBS!$C:$C,0))</f>
        <v>#N/A</v>
      </c>
      <c r="C57">
        <f>Source_wegvoertuigen_CBS!C61</f>
        <v>0</v>
      </c>
      <c r="D57">
        <f>Source_wegvoertuigen_CBS!D61</f>
        <v>0</v>
      </c>
      <c r="E57">
        <f>Source_wegvoertuigen_CBS!E61</f>
        <v>0</v>
      </c>
      <c r="F57">
        <f>Source_wegvoertuigen_CBS!F61</f>
        <v>0</v>
      </c>
    </row>
    <row r="58" spans="1:6" x14ac:dyDescent="0.2">
      <c r="A58" t="str">
        <f>Source_wegvoertuigen_CBS!A62</f>
        <v>Bergschenhoek</v>
      </c>
      <c r="B58" t="e">
        <f>INDEX(Source_GM_code_CBS!$B:$B,MATCH($A58,Source_GM_code_CBS!$C:$C,0))</f>
        <v>#N/A</v>
      </c>
      <c r="C58">
        <f>Source_wegvoertuigen_CBS!C62</f>
        <v>0</v>
      </c>
      <c r="D58">
        <f>Source_wegvoertuigen_CBS!D62</f>
        <v>0</v>
      </c>
      <c r="E58">
        <f>Source_wegvoertuigen_CBS!E62</f>
        <v>0</v>
      </c>
      <c r="F58">
        <f>Source_wegvoertuigen_CBS!F62</f>
        <v>0</v>
      </c>
    </row>
    <row r="59" spans="1:6" x14ac:dyDescent="0.2">
      <c r="A59" t="str">
        <f>Source_wegvoertuigen_CBS!A63</f>
        <v>Berkel en Rodenrijs</v>
      </c>
      <c r="B59" t="e">
        <f>INDEX(Source_GM_code_CBS!$B:$B,MATCH($A59,Source_GM_code_CBS!$C:$C,0))</f>
        <v>#N/A</v>
      </c>
      <c r="C59">
        <f>Source_wegvoertuigen_CBS!C63</f>
        <v>0</v>
      </c>
      <c r="D59">
        <f>Source_wegvoertuigen_CBS!D63</f>
        <v>0</v>
      </c>
      <c r="E59">
        <f>Source_wegvoertuigen_CBS!E63</f>
        <v>0</v>
      </c>
      <c r="F59">
        <f>Source_wegvoertuigen_CBS!F63</f>
        <v>0</v>
      </c>
    </row>
    <row r="60" spans="1:6" x14ac:dyDescent="0.2">
      <c r="A60" t="str">
        <f>Source_wegvoertuigen_CBS!A64</f>
        <v>Berkelland</v>
      </c>
      <c r="B60" t="str">
        <f>INDEX(Source_GM_code_CBS!$B:$B,MATCH($A60,Source_GM_code_CBS!$C:$C,0))</f>
        <v>GM1859</v>
      </c>
      <c r="C60">
        <f>Source_wegvoertuigen_CBS!C64</f>
        <v>25664</v>
      </c>
      <c r="D60">
        <f>Source_wegvoertuigen_CBS!D64</f>
        <v>3014</v>
      </c>
      <c r="E60">
        <f>Source_wegvoertuigen_CBS!E64</f>
        <v>195</v>
      </c>
      <c r="F60">
        <f>Source_wegvoertuigen_CBS!F64</f>
        <v>7</v>
      </c>
    </row>
    <row r="61" spans="1:6" x14ac:dyDescent="0.2">
      <c r="A61" t="str">
        <f>Source_wegvoertuigen_CBS!A65</f>
        <v>Bernheze</v>
      </c>
      <c r="B61" t="str">
        <f>INDEX(Source_GM_code_CBS!$B:$B,MATCH($A61,Source_GM_code_CBS!$C:$C,0))</f>
        <v>GM1721</v>
      </c>
      <c r="C61">
        <f>Source_wegvoertuigen_CBS!C65</f>
        <v>17768</v>
      </c>
      <c r="D61">
        <f>Source_wegvoertuigen_CBS!D65</f>
        <v>2975</v>
      </c>
      <c r="E61">
        <f>Source_wegvoertuigen_CBS!E65</f>
        <v>202</v>
      </c>
      <c r="F61">
        <f>Source_wegvoertuigen_CBS!F65</f>
        <v>3</v>
      </c>
    </row>
    <row r="62" spans="1:6" x14ac:dyDescent="0.2">
      <c r="A62" t="str">
        <f>Source_wegvoertuigen_CBS!A66</f>
        <v>Bernisse</v>
      </c>
      <c r="B62" t="e">
        <f>INDEX(Source_GM_code_CBS!$B:$B,MATCH($A62,Source_GM_code_CBS!$C:$C,0))</f>
        <v>#N/A</v>
      </c>
      <c r="C62">
        <f>Source_wegvoertuigen_CBS!C66</f>
        <v>0</v>
      </c>
      <c r="D62">
        <f>Source_wegvoertuigen_CBS!D66</f>
        <v>0</v>
      </c>
      <c r="E62">
        <f>Source_wegvoertuigen_CBS!E66</f>
        <v>0</v>
      </c>
      <c r="F62">
        <f>Source_wegvoertuigen_CBS!F66</f>
        <v>0</v>
      </c>
    </row>
    <row r="63" spans="1:6" x14ac:dyDescent="0.2">
      <c r="A63" t="str">
        <f>Source_wegvoertuigen_CBS!A67</f>
        <v>Best</v>
      </c>
      <c r="B63" t="str">
        <f>INDEX(Source_GM_code_CBS!$B:$B,MATCH($A63,Source_GM_code_CBS!$C:$C,0))</f>
        <v>GM0753</v>
      </c>
      <c r="C63">
        <f>Source_wegvoertuigen_CBS!C67</f>
        <v>16148</v>
      </c>
      <c r="D63">
        <f>Source_wegvoertuigen_CBS!D67</f>
        <v>1436</v>
      </c>
      <c r="E63">
        <f>Source_wegvoertuigen_CBS!E67</f>
        <v>102</v>
      </c>
      <c r="F63">
        <f>Source_wegvoertuigen_CBS!F67</f>
        <v>2</v>
      </c>
    </row>
    <row r="64" spans="1:6" x14ac:dyDescent="0.2">
      <c r="A64" t="str">
        <f>Source_wegvoertuigen_CBS!A68</f>
        <v>Beuningen</v>
      </c>
      <c r="B64" t="str">
        <f>INDEX(Source_GM_code_CBS!$B:$B,MATCH($A64,Source_GM_code_CBS!$C:$C,0))</f>
        <v>GM0209</v>
      </c>
      <c r="C64">
        <f>Source_wegvoertuigen_CBS!C68</f>
        <v>14289</v>
      </c>
      <c r="D64">
        <f>Source_wegvoertuigen_CBS!D68</f>
        <v>1253</v>
      </c>
      <c r="E64">
        <f>Source_wegvoertuigen_CBS!E68</f>
        <v>88</v>
      </c>
      <c r="F64">
        <f>Source_wegvoertuigen_CBS!F68</f>
        <v>0</v>
      </c>
    </row>
    <row r="65" spans="1:6" x14ac:dyDescent="0.2">
      <c r="A65" t="str">
        <f>Source_wegvoertuigen_CBS!A69</f>
        <v>Beverwijk</v>
      </c>
      <c r="B65" t="str">
        <f>INDEX(Source_GM_code_CBS!$B:$B,MATCH($A65,Source_GM_code_CBS!$C:$C,0))</f>
        <v>GM0375</v>
      </c>
      <c r="C65">
        <f>Source_wegvoertuigen_CBS!C69</f>
        <v>20145</v>
      </c>
      <c r="D65">
        <f>Source_wegvoertuigen_CBS!D69</f>
        <v>2195</v>
      </c>
      <c r="E65">
        <f>Source_wegvoertuigen_CBS!E69</f>
        <v>270</v>
      </c>
      <c r="F65">
        <f>Source_wegvoertuigen_CBS!F69</f>
        <v>1</v>
      </c>
    </row>
    <row r="66" spans="1:6" x14ac:dyDescent="0.2">
      <c r="A66" t="str">
        <f>Source_wegvoertuigen_CBS!A70</f>
        <v>het Bildt</v>
      </c>
      <c r="B66" t="e">
        <f>INDEX(Source_GM_code_CBS!$B:$B,MATCH($A66,Source_GM_code_CBS!$C:$C,0))</f>
        <v>#N/A</v>
      </c>
      <c r="C66">
        <f>Source_wegvoertuigen_CBS!C70</f>
        <v>0</v>
      </c>
      <c r="D66">
        <f>Source_wegvoertuigen_CBS!D70</f>
        <v>0</v>
      </c>
      <c r="E66">
        <f>Source_wegvoertuigen_CBS!E70</f>
        <v>0</v>
      </c>
      <c r="F66">
        <f>Source_wegvoertuigen_CBS!F70</f>
        <v>0</v>
      </c>
    </row>
    <row r="67" spans="1:6" x14ac:dyDescent="0.2">
      <c r="A67" t="str">
        <f>Source_wegvoertuigen_CBS!A71</f>
        <v>De Bilt</v>
      </c>
      <c r="B67" t="str">
        <f>INDEX(Source_GM_code_CBS!$B:$B,MATCH($A67,Source_GM_code_CBS!$C:$C,0))</f>
        <v>GM0310</v>
      </c>
      <c r="C67">
        <f>Source_wegvoertuigen_CBS!C71</f>
        <v>21742</v>
      </c>
      <c r="D67">
        <f>Source_wegvoertuigen_CBS!D71</f>
        <v>1807</v>
      </c>
      <c r="E67">
        <f>Source_wegvoertuigen_CBS!E71</f>
        <v>107</v>
      </c>
      <c r="F67">
        <f>Source_wegvoertuigen_CBS!F71</f>
        <v>0</v>
      </c>
    </row>
    <row r="68" spans="1:6" x14ac:dyDescent="0.2">
      <c r="A68" t="str">
        <f>Source_wegvoertuigen_CBS!A72</f>
        <v>Binnenmaas</v>
      </c>
      <c r="B68" t="e">
        <f>INDEX(Source_GM_code_CBS!$B:$B,MATCH($A68,Source_GM_code_CBS!$C:$C,0))</f>
        <v>#N/A</v>
      </c>
      <c r="C68">
        <f>Source_wegvoertuigen_CBS!C72</f>
        <v>0</v>
      </c>
      <c r="D68">
        <f>Source_wegvoertuigen_CBS!D72</f>
        <v>0</v>
      </c>
      <c r="E68">
        <f>Source_wegvoertuigen_CBS!E72</f>
        <v>0</v>
      </c>
      <c r="F68">
        <f>Source_wegvoertuigen_CBS!F72</f>
        <v>0</v>
      </c>
    </row>
    <row r="69" spans="1:6" x14ac:dyDescent="0.2">
      <c r="A69" t="str">
        <f>Source_wegvoertuigen_CBS!A73</f>
        <v>Bladel</v>
      </c>
      <c r="B69" t="str">
        <f>INDEX(Source_GM_code_CBS!$B:$B,MATCH($A69,Source_GM_code_CBS!$C:$C,0))</f>
        <v>GM1728</v>
      </c>
      <c r="C69">
        <f>Source_wegvoertuigen_CBS!C73</f>
        <v>12452</v>
      </c>
      <c r="D69">
        <f>Source_wegvoertuigen_CBS!D73</f>
        <v>1926</v>
      </c>
      <c r="E69">
        <f>Source_wegvoertuigen_CBS!E73</f>
        <v>141</v>
      </c>
      <c r="F69">
        <f>Source_wegvoertuigen_CBS!F73</f>
        <v>2</v>
      </c>
    </row>
    <row r="70" spans="1:6" x14ac:dyDescent="0.2">
      <c r="A70" t="str">
        <f>Source_wegvoertuigen_CBS!A74</f>
        <v>Blaricum</v>
      </c>
      <c r="B70" t="str">
        <f>INDEX(Source_GM_code_CBS!$B:$B,MATCH($A70,Source_GM_code_CBS!$C:$C,0))</f>
        <v>GM0376</v>
      </c>
      <c r="C70">
        <f>Source_wegvoertuigen_CBS!C74</f>
        <v>7177</v>
      </c>
      <c r="D70">
        <f>Source_wegvoertuigen_CBS!D74</f>
        <v>388</v>
      </c>
      <c r="E70">
        <f>Source_wegvoertuigen_CBS!E74</f>
        <v>27</v>
      </c>
      <c r="F70">
        <f>Source_wegvoertuigen_CBS!F74</f>
        <v>0</v>
      </c>
    </row>
    <row r="71" spans="1:6" x14ac:dyDescent="0.2">
      <c r="A71" t="str">
        <f>Source_wegvoertuigen_CBS!A75</f>
        <v>Bleiswijk</v>
      </c>
      <c r="B71" t="e">
        <f>INDEX(Source_GM_code_CBS!$B:$B,MATCH($A71,Source_GM_code_CBS!$C:$C,0))</f>
        <v>#N/A</v>
      </c>
      <c r="C71">
        <f>Source_wegvoertuigen_CBS!C75</f>
        <v>0</v>
      </c>
      <c r="D71">
        <f>Source_wegvoertuigen_CBS!D75</f>
        <v>0</v>
      </c>
      <c r="E71">
        <f>Source_wegvoertuigen_CBS!E75</f>
        <v>0</v>
      </c>
      <c r="F71">
        <f>Source_wegvoertuigen_CBS!F75</f>
        <v>0</v>
      </c>
    </row>
    <row r="72" spans="1:6" x14ac:dyDescent="0.2">
      <c r="A72" t="str">
        <f>Source_wegvoertuigen_CBS!A76</f>
        <v>Bloemendaal</v>
      </c>
      <c r="B72" t="str">
        <f>INDEX(Source_GM_code_CBS!$B:$B,MATCH($A72,Source_GM_code_CBS!$C:$C,0))</f>
        <v>GM0377</v>
      </c>
      <c r="C72">
        <f>Source_wegvoertuigen_CBS!C76</f>
        <v>12488</v>
      </c>
      <c r="D72">
        <f>Source_wegvoertuigen_CBS!D76</f>
        <v>478</v>
      </c>
      <c r="E72">
        <f>Source_wegvoertuigen_CBS!E76</f>
        <v>6</v>
      </c>
      <c r="F72">
        <f>Source_wegvoertuigen_CBS!F76</f>
        <v>0</v>
      </c>
    </row>
    <row r="73" spans="1:6" x14ac:dyDescent="0.2">
      <c r="A73" t="str">
        <f>Source_wegvoertuigen_CBS!A77</f>
        <v>Boarnsterhim</v>
      </c>
      <c r="B73" t="e">
        <f>INDEX(Source_GM_code_CBS!$B:$B,MATCH($A73,Source_GM_code_CBS!$C:$C,0))</f>
        <v>#N/A</v>
      </c>
      <c r="C73">
        <f>Source_wegvoertuigen_CBS!C77</f>
        <v>0</v>
      </c>
      <c r="D73">
        <f>Source_wegvoertuigen_CBS!D77</f>
        <v>0</v>
      </c>
      <c r="E73">
        <f>Source_wegvoertuigen_CBS!E77</f>
        <v>0</v>
      </c>
      <c r="F73">
        <f>Source_wegvoertuigen_CBS!F77</f>
        <v>0</v>
      </c>
    </row>
    <row r="74" spans="1:6" x14ac:dyDescent="0.2">
      <c r="A74" t="str">
        <f>Source_wegvoertuigen_CBS!A78</f>
        <v>Bodegraven</v>
      </c>
      <c r="B74" t="e">
        <f>INDEX(Source_GM_code_CBS!$B:$B,MATCH($A74,Source_GM_code_CBS!$C:$C,0))</f>
        <v>#N/A</v>
      </c>
      <c r="C74">
        <f>Source_wegvoertuigen_CBS!C78</f>
        <v>0</v>
      </c>
      <c r="D74">
        <f>Source_wegvoertuigen_CBS!D78</f>
        <v>0</v>
      </c>
      <c r="E74">
        <f>Source_wegvoertuigen_CBS!E78</f>
        <v>0</v>
      </c>
      <c r="F74">
        <f>Source_wegvoertuigen_CBS!F78</f>
        <v>0</v>
      </c>
    </row>
    <row r="75" spans="1:6" x14ac:dyDescent="0.2">
      <c r="A75" t="str">
        <f>Source_wegvoertuigen_CBS!A79</f>
        <v>Bodegraven-Reeuwijk</v>
      </c>
      <c r="B75" t="str">
        <f>INDEX(Source_GM_code_CBS!$B:$B,MATCH($A75,Source_GM_code_CBS!$C:$C,0))</f>
        <v>GM1901</v>
      </c>
      <c r="C75">
        <f>Source_wegvoertuigen_CBS!C79</f>
        <v>17882</v>
      </c>
      <c r="D75">
        <f>Source_wegvoertuigen_CBS!D79</f>
        <v>2587</v>
      </c>
      <c r="E75">
        <f>Source_wegvoertuigen_CBS!E79</f>
        <v>223</v>
      </c>
      <c r="F75">
        <f>Source_wegvoertuigen_CBS!F79</f>
        <v>13</v>
      </c>
    </row>
    <row r="76" spans="1:6" x14ac:dyDescent="0.2">
      <c r="A76" t="str">
        <f>Source_wegvoertuigen_CBS!A80</f>
        <v>Boekel</v>
      </c>
      <c r="B76" t="str">
        <f>INDEX(Source_GM_code_CBS!$B:$B,MATCH($A76,Source_GM_code_CBS!$C:$C,0))</f>
        <v>GM0755</v>
      </c>
      <c r="C76">
        <f>Source_wegvoertuigen_CBS!C80</f>
        <v>6209</v>
      </c>
      <c r="D76">
        <f>Source_wegvoertuigen_CBS!D80</f>
        <v>1165</v>
      </c>
      <c r="E76">
        <f>Source_wegvoertuigen_CBS!E80</f>
        <v>56</v>
      </c>
      <c r="F76">
        <f>Source_wegvoertuigen_CBS!F80</f>
        <v>1</v>
      </c>
    </row>
    <row r="77" spans="1:6" x14ac:dyDescent="0.2">
      <c r="A77" t="str">
        <f>Source_wegvoertuigen_CBS!A81</f>
        <v>Ten Boer</v>
      </c>
      <c r="B77" t="e">
        <f>INDEX(Source_GM_code_CBS!$B:$B,MATCH($A77,Source_GM_code_CBS!$C:$C,0))</f>
        <v>#N/A</v>
      </c>
      <c r="C77">
        <f>Source_wegvoertuigen_CBS!C81</f>
        <v>0</v>
      </c>
      <c r="D77">
        <f>Source_wegvoertuigen_CBS!D81</f>
        <v>0</v>
      </c>
      <c r="E77">
        <f>Source_wegvoertuigen_CBS!E81</f>
        <v>0</v>
      </c>
      <c r="F77">
        <f>Source_wegvoertuigen_CBS!F81</f>
        <v>0</v>
      </c>
    </row>
    <row r="78" spans="1:6" x14ac:dyDescent="0.2">
      <c r="A78" t="str">
        <f>Source_wegvoertuigen_CBS!A82</f>
        <v>Bolsward</v>
      </c>
      <c r="B78" t="e">
        <f>INDEX(Source_GM_code_CBS!$B:$B,MATCH($A78,Source_GM_code_CBS!$C:$C,0))</f>
        <v>#N/A</v>
      </c>
      <c r="C78">
        <f>Source_wegvoertuigen_CBS!C82</f>
        <v>0</v>
      </c>
      <c r="D78">
        <f>Source_wegvoertuigen_CBS!D82</f>
        <v>0</v>
      </c>
      <c r="E78">
        <f>Source_wegvoertuigen_CBS!E82</f>
        <v>0</v>
      </c>
      <c r="F78">
        <f>Source_wegvoertuigen_CBS!F82</f>
        <v>0</v>
      </c>
    </row>
    <row r="79" spans="1:6" x14ac:dyDescent="0.2">
      <c r="A79" t="str">
        <f>Source_wegvoertuigen_CBS!A83</f>
        <v>Borculo</v>
      </c>
      <c r="B79" t="e">
        <f>INDEX(Source_GM_code_CBS!$B:$B,MATCH($A79,Source_GM_code_CBS!$C:$C,0))</f>
        <v>#N/A</v>
      </c>
      <c r="C79">
        <f>Source_wegvoertuigen_CBS!C83</f>
        <v>0</v>
      </c>
      <c r="D79">
        <f>Source_wegvoertuigen_CBS!D83</f>
        <v>0</v>
      </c>
      <c r="E79">
        <f>Source_wegvoertuigen_CBS!E83</f>
        <v>0</v>
      </c>
      <c r="F79">
        <f>Source_wegvoertuigen_CBS!F83</f>
        <v>0</v>
      </c>
    </row>
    <row r="80" spans="1:6" x14ac:dyDescent="0.2">
      <c r="A80" t="str">
        <f>Source_wegvoertuigen_CBS!A84</f>
        <v>Borger-Odoorn</v>
      </c>
      <c r="B80" t="str">
        <f>INDEX(Source_GM_code_CBS!$B:$B,MATCH($A80,Source_GM_code_CBS!$C:$C,0))</f>
        <v>GM1681</v>
      </c>
      <c r="C80">
        <f>Source_wegvoertuigen_CBS!C84</f>
        <v>15982</v>
      </c>
      <c r="D80">
        <f>Source_wegvoertuigen_CBS!D84</f>
        <v>2265</v>
      </c>
      <c r="E80">
        <f>Source_wegvoertuigen_CBS!E84</f>
        <v>127</v>
      </c>
      <c r="F80">
        <f>Source_wegvoertuigen_CBS!F84</f>
        <v>3</v>
      </c>
    </row>
    <row r="81" spans="1:6" x14ac:dyDescent="0.2">
      <c r="A81" t="str">
        <f>Source_wegvoertuigen_CBS!A85</f>
        <v>Born</v>
      </c>
      <c r="B81" t="e">
        <f>INDEX(Source_GM_code_CBS!$B:$B,MATCH($A81,Source_GM_code_CBS!$C:$C,0))</f>
        <v>#N/A</v>
      </c>
      <c r="C81">
        <f>Source_wegvoertuigen_CBS!C85</f>
        <v>0</v>
      </c>
      <c r="D81">
        <f>Source_wegvoertuigen_CBS!D85</f>
        <v>0</v>
      </c>
      <c r="E81">
        <f>Source_wegvoertuigen_CBS!E85</f>
        <v>0</v>
      </c>
      <c r="F81">
        <f>Source_wegvoertuigen_CBS!F85</f>
        <v>0</v>
      </c>
    </row>
    <row r="82" spans="1:6" x14ac:dyDescent="0.2">
      <c r="A82" t="str">
        <f>Source_wegvoertuigen_CBS!A86</f>
        <v>Borne</v>
      </c>
      <c r="B82" t="str">
        <f>INDEX(Source_GM_code_CBS!$B:$B,MATCH($A82,Source_GM_code_CBS!$C:$C,0))</f>
        <v>GM0147</v>
      </c>
      <c r="C82">
        <f>Source_wegvoertuigen_CBS!C86</f>
        <v>12586</v>
      </c>
      <c r="D82">
        <f>Source_wegvoertuigen_CBS!D86</f>
        <v>1225</v>
      </c>
      <c r="E82">
        <f>Source_wegvoertuigen_CBS!E86</f>
        <v>77</v>
      </c>
      <c r="F82">
        <f>Source_wegvoertuigen_CBS!F86</f>
        <v>7</v>
      </c>
    </row>
    <row r="83" spans="1:6" x14ac:dyDescent="0.2">
      <c r="A83" t="str">
        <f>Source_wegvoertuigen_CBS!A87</f>
        <v>Borsele</v>
      </c>
      <c r="B83" t="str">
        <f>INDEX(Source_GM_code_CBS!$B:$B,MATCH($A83,Source_GM_code_CBS!$C:$C,0))</f>
        <v>GM0654</v>
      </c>
      <c r="C83">
        <f>Source_wegvoertuigen_CBS!C87</f>
        <v>13512</v>
      </c>
      <c r="D83">
        <f>Source_wegvoertuigen_CBS!D87</f>
        <v>2322</v>
      </c>
      <c r="E83">
        <f>Source_wegvoertuigen_CBS!E87</f>
        <v>139</v>
      </c>
      <c r="F83">
        <f>Source_wegvoertuigen_CBS!F87</f>
        <v>36</v>
      </c>
    </row>
    <row r="84" spans="1:6" x14ac:dyDescent="0.2">
      <c r="A84" t="str">
        <f>Source_wegvoertuigen_CBS!A88</f>
        <v>Boskoop</v>
      </c>
      <c r="B84" t="e">
        <f>INDEX(Source_GM_code_CBS!$B:$B,MATCH($A84,Source_GM_code_CBS!$C:$C,0))</f>
        <v>#N/A</v>
      </c>
      <c r="C84">
        <f>Source_wegvoertuigen_CBS!C88</f>
        <v>0</v>
      </c>
      <c r="D84">
        <f>Source_wegvoertuigen_CBS!D88</f>
        <v>0</v>
      </c>
      <c r="E84">
        <f>Source_wegvoertuigen_CBS!E88</f>
        <v>0</v>
      </c>
      <c r="F84">
        <f>Source_wegvoertuigen_CBS!F88</f>
        <v>0</v>
      </c>
    </row>
    <row r="85" spans="1:6" x14ac:dyDescent="0.2">
      <c r="A85" t="str">
        <f>Source_wegvoertuigen_CBS!A89</f>
        <v>Boxmeer</v>
      </c>
      <c r="B85" t="e">
        <f>INDEX(Source_GM_code_CBS!$B:$B,MATCH($A85,Source_GM_code_CBS!$C:$C,0))</f>
        <v>#N/A</v>
      </c>
      <c r="C85">
        <f>Source_wegvoertuigen_CBS!C89</f>
        <v>0</v>
      </c>
      <c r="D85">
        <f>Source_wegvoertuigen_CBS!D89</f>
        <v>0</v>
      </c>
      <c r="E85">
        <f>Source_wegvoertuigen_CBS!E89</f>
        <v>0</v>
      </c>
      <c r="F85">
        <f>Source_wegvoertuigen_CBS!F89</f>
        <v>0</v>
      </c>
    </row>
    <row r="86" spans="1:6" x14ac:dyDescent="0.2">
      <c r="A86" t="str">
        <f>Source_wegvoertuigen_CBS!A90</f>
        <v>Boxtel</v>
      </c>
      <c r="B86" t="str">
        <f>INDEX(Source_GM_code_CBS!$B:$B,MATCH($A86,Source_GM_code_CBS!$C:$C,0))</f>
        <v>GM0757</v>
      </c>
      <c r="C86">
        <f>Source_wegvoertuigen_CBS!C90</f>
        <v>16841</v>
      </c>
      <c r="D86">
        <f>Source_wegvoertuigen_CBS!D90</f>
        <v>2116</v>
      </c>
      <c r="E86">
        <f>Source_wegvoertuigen_CBS!E90</f>
        <v>142</v>
      </c>
      <c r="F86">
        <f>Source_wegvoertuigen_CBS!F90</f>
        <v>5</v>
      </c>
    </row>
    <row r="87" spans="1:6" x14ac:dyDescent="0.2">
      <c r="A87" t="str">
        <f>Source_wegvoertuigen_CBS!A91</f>
        <v>Breda</v>
      </c>
      <c r="B87" t="str">
        <f>INDEX(Source_GM_code_CBS!$B:$B,MATCH($A87,Source_GM_code_CBS!$C:$C,0))</f>
        <v>GM0758</v>
      </c>
      <c r="C87">
        <f>Source_wegvoertuigen_CBS!C91</f>
        <v>148119</v>
      </c>
      <c r="D87">
        <f>Source_wegvoertuigen_CBS!D91</f>
        <v>15376</v>
      </c>
      <c r="E87">
        <f>Source_wegvoertuigen_CBS!E91</f>
        <v>423</v>
      </c>
      <c r="F87">
        <f>Source_wegvoertuigen_CBS!F91</f>
        <v>31</v>
      </c>
    </row>
    <row r="88" spans="1:6" x14ac:dyDescent="0.2">
      <c r="A88" t="str">
        <f>Source_wegvoertuigen_CBS!A92</f>
        <v>Brederwiede</v>
      </c>
      <c r="B88" t="e">
        <f>INDEX(Source_GM_code_CBS!$B:$B,MATCH($A88,Source_GM_code_CBS!$C:$C,0))</f>
        <v>#N/A</v>
      </c>
      <c r="C88">
        <f>Source_wegvoertuigen_CBS!C92</f>
        <v>0</v>
      </c>
      <c r="D88">
        <f>Source_wegvoertuigen_CBS!D92</f>
        <v>0</v>
      </c>
      <c r="E88">
        <f>Source_wegvoertuigen_CBS!E92</f>
        <v>0</v>
      </c>
      <c r="F88">
        <f>Source_wegvoertuigen_CBS!F92</f>
        <v>0</v>
      </c>
    </row>
    <row r="89" spans="1:6" x14ac:dyDescent="0.2">
      <c r="A89" t="str">
        <f>Source_wegvoertuigen_CBS!A93</f>
        <v>Breukelen</v>
      </c>
      <c r="B89" t="e">
        <f>INDEX(Source_GM_code_CBS!$B:$B,MATCH($A89,Source_GM_code_CBS!$C:$C,0))</f>
        <v>#N/A</v>
      </c>
      <c r="C89">
        <f>Source_wegvoertuigen_CBS!C93</f>
        <v>0</v>
      </c>
      <c r="D89">
        <f>Source_wegvoertuigen_CBS!D93</f>
        <v>0</v>
      </c>
      <c r="E89">
        <f>Source_wegvoertuigen_CBS!E93</f>
        <v>0</v>
      </c>
      <c r="F89">
        <f>Source_wegvoertuigen_CBS!F93</f>
        <v>0</v>
      </c>
    </row>
    <row r="90" spans="1:6" x14ac:dyDescent="0.2">
      <c r="A90" s="7" t="str">
        <f>Source_wegvoertuigen_CBS!A94</f>
        <v>Brielle</v>
      </c>
      <c r="B90" t="e">
        <f>INDEX(Source_GM_code_CBS!$B:$B,MATCH($A90,Source_GM_code_CBS!$C:$C,0))</f>
        <v>#N/A</v>
      </c>
      <c r="C90">
        <f>Source_wegvoertuigen_CBS!C94</f>
        <v>10091</v>
      </c>
      <c r="D90">
        <f>Source_wegvoertuigen_CBS!D94</f>
        <v>972</v>
      </c>
      <c r="E90">
        <f>Source_wegvoertuigen_CBS!E94</f>
        <v>45</v>
      </c>
      <c r="F90">
        <f>Source_wegvoertuigen_CBS!F94</f>
        <v>1</v>
      </c>
    </row>
    <row r="91" spans="1:6" x14ac:dyDescent="0.2">
      <c r="A91" t="str">
        <f>Source_wegvoertuigen_CBS!A95</f>
        <v>Broekhuizen</v>
      </c>
      <c r="B91" t="e">
        <f>INDEX(Source_GM_code_CBS!$B:$B,MATCH($A91,Source_GM_code_CBS!$C:$C,0))</f>
        <v>#N/A</v>
      </c>
      <c r="C91">
        <f>Source_wegvoertuigen_CBS!C95</f>
        <v>0</v>
      </c>
      <c r="D91">
        <f>Source_wegvoertuigen_CBS!D95</f>
        <v>0</v>
      </c>
      <c r="E91">
        <f>Source_wegvoertuigen_CBS!E95</f>
        <v>0</v>
      </c>
      <c r="F91">
        <f>Source_wegvoertuigen_CBS!F95</f>
        <v>0</v>
      </c>
    </row>
    <row r="92" spans="1:6" x14ac:dyDescent="0.2">
      <c r="A92" t="str">
        <f>Source_wegvoertuigen_CBS!A96</f>
        <v>Bronckhorst</v>
      </c>
      <c r="B92" t="str">
        <f>INDEX(Source_GM_code_CBS!$B:$B,MATCH($A92,Source_GM_code_CBS!$C:$C,0))</f>
        <v>GM1876</v>
      </c>
      <c r="C92">
        <f>Source_wegvoertuigen_CBS!C96</f>
        <v>22460</v>
      </c>
      <c r="D92">
        <f>Source_wegvoertuigen_CBS!D96</f>
        <v>3402</v>
      </c>
      <c r="E92">
        <f>Source_wegvoertuigen_CBS!E96</f>
        <v>153</v>
      </c>
      <c r="F92">
        <f>Source_wegvoertuigen_CBS!F96</f>
        <v>1</v>
      </c>
    </row>
    <row r="93" spans="1:6" x14ac:dyDescent="0.2">
      <c r="A93" t="str">
        <f>Source_wegvoertuigen_CBS!A97</f>
        <v>Brummen</v>
      </c>
      <c r="B93" t="str">
        <f>INDEX(Source_GM_code_CBS!$B:$B,MATCH($A93,Source_GM_code_CBS!$C:$C,0))</f>
        <v>GM0213</v>
      </c>
      <c r="C93">
        <f>Source_wegvoertuigen_CBS!C97</f>
        <v>11886</v>
      </c>
      <c r="D93">
        <f>Source_wegvoertuigen_CBS!D97</f>
        <v>1193</v>
      </c>
      <c r="E93">
        <f>Source_wegvoertuigen_CBS!E97</f>
        <v>67</v>
      </c>
      <c r="F93">
        <f>Source_wegvoertuigen_CBS!F97</f>
        <v>1</v>
      </c>
    </row>
    <row r="94" spans="1:6" x14ac:dyDescent="0.2">
      <c r="A94" t="str">
        <f>Source_wegvoertuigen_CBS!A98</f>
        <v>Brunssum</v>
      </c>
      <c r="B94" t="str">
        <f>INDEX(Source_GM_code_CBS!$B:$B,MATCH($A94,Source_GM_code_CBS!$C:$C,0))</f>
        <v>GM0899</v>
      </c>
      <c r="C94">
        <f>Source_wegvoertuigen_CBS!C98</f>
        <v>15780</v>
      </c>
      <c r="D94">
        <f>Source_wegvoertuigen_CBS!D98</f>
        <v>1042</v>
      </c>
      <c r="E94">
        <f>Source_wegvoertuigen_CBS!E98</f>
        <v>49</v>
      </c>
      <c r="F94">
        <f>Source_wegvoertuigen_CBS!F98</f>
        <v>9</v>
      </c>
    </row>
    <row r="95" spans="1:6" x14ac:dyDescent="0.2">
      <c r="A95" t="str">
        <f>Source_wegvoertuigen_CBS!A99</f>
        <v>Bunnik</v>
      </c>
      <c r="B95" t="str">
        <f>INDEX(Source_GM_code_CBS!$B:$B,MATCH($A95,Source_GM_code_CBS!$C:$C,0))</f>
        <v>GM0312</v>
      </c>
      <c r="C95">
        <f>Source_wegvoertuigen_CBS!C99</f>
        <v>7576</v>
      </c>
      <c r="D95">
        <f>Source_wegvoertuigen_CBS!D99</f>
        <v>882</v>
      </c>
      <c r="E95">
        <f>Source_wegvoertuigen_CBS!E99</f>
        <v>40</v>
      </c>
      <c r="F95">
        <f>Source_wegvoertuigen_CBS!F99</f>
        <v>15</v>
      </c>
    </row>
    <row r="96" spans="1:6" x14ac:dyDescent="0.2">
      <c r="A96" t="str">
        <f>Source_wegvoertuigen_CBS!A100</f>
        <v>Bunschoten</v>
      </c>
      <c r="B96" t="str">
        <f>INDEX(Source_GM_code_CBS!$B:$B,MATCH($A96,Source_GM_code_CBS!$C:$C,0))</f>
        <v>GM0313</v>
      </c>
      <c r="C96">
        <f>Source_wegvoertuigen_CBS!C100</f>
        <v>10167</v>
      </c>
      <c r="D96">
        <f>Source_wegvoertuigen_CBS!D100</f>
        <v>1549</v>
      </c>
      <c r="E96">
        <f>Source_wegvoertuigen_CBS!E100</f>
        <v>217</v>
      </c>
      <c r="F96">
        <f>Source_wegvoertuigen_CBS!F100</f>
        <v>0</v>
      </c>
    </row>
    <row r="97" spans="1:6" x14ac:dyDescent="0.2">
      <c r="A97" t="str">
        <f>Source_wegvoertuigen_CBS!A101</f>
        <v>Buren</v>
      </c>
      <c r="B97" t="str">
        <f>INDEX(Source_GM_code_CBS!$B:$B,MATCH($A97,Source_GM_code_CBS!$C:$C,0))</f>
        <v>GM0214</v>
      </c>
      <c r="C97">
        <f>Source_wegvoertuigen_CBS!C101</f>
        <v>16537</v>
      </c>
      <c r="D97">
        <f>Source_wegvoertuigen_CBS!D101</f>
        <v>2672</v>
      </c>
      <c r="E97">
        <f>Source_wegvoertuigen_CBS!E101</f>
        <v>284</v>
      </c>
      <c r="F97">
        <f>Source_wegvoertuigen_CBS!F101</f>
        <v>0</v>
      </c>
    </row>
    <row r="98" spans="1:6" x14ac:dyDescent="0.2">
      <c r="A98" t="str">
        <f>Source_wegvoertuigen_CBS!A102</f>
        <v>Bussum</v>
      </c>
      <c r="B98" t="e">
        <f>INDEX(Source_GM_code_CBS!$B:$B,MATCH($A98,Source_GM_code_CBS!$C:$C,0))</f>
        <v>#N/A</v>
      </c>
      <c r="C98">
        <f>Source_wegvoertuigen_CBS!C102</f>
        <v>0</v>
      </c>
      <c r="D98">
        <f>Source_wegvoertuigen_CBS!D102</f>
        <v>0</v>
      </c>
      <c r="E98">
        <f>Source_wegvoertuigen_CBS!E102</f>
        <v>0</v>
      </c>
      <c r="F98">
        <f>Source_wegvoertuigen_CBS!F102</f>
        <v>0</v>
      </c>
    </row>
    <row r="99" spans="1:6" x14ac:dyDescent="0.2">
      <c r="A99" t="str">
        <f>Source_wegvoertuigen_CBS!A103</f>
        <v>Capelle aan den IJssel</v>
      </c>
      <c r="B99" t="str">
        <f>INDEX(Source_GM_code_CBS!$B:$B,MATCH($A99,Source_GM_code_CBS!$C:$C,0))</f>
        <v>GM0502</v>
      </c>
      <c r="C99">
        <f>Source_wegvoertuigen_CBS!C103</f>
        <v>31332</v>
      </c>
      <c r="D99">
        <f>Source_wegvoertuigen_CBS!D103</f>
        <v>2593</v>
      </c>
      <c r="E99">
        <f>Source_wegvoertuigen_CBS!E103</f>
        <v>97</v>
      </c>
      <c r="F99">
        <f>Source_wegvoertuigen_CBS!F103</f>
        <v>4</v>
      </c>
    </row>
    <row r="100" spans="1:6" x14ac:dyDescent="0.2">
      <c r="A100" t="str">
        <f>Source_wegvoertuigen_CBS!A104</f>
        <v>Castricum</v>
      </c>
      <c r="B100" t="str">
        <f>INDEX(Source_GM_code_CBS!$B:$B,MATCH($A100,Source_GM_code_CBS!$C:$C,0))</f>
        <v>GM0383</v>
      </c>
      <c r="C100">
        <f>Source_wegvoertuigen_CBS!C104</f>
        <v>18053</v>
      </c>
      <c r="D100">
        <f>Source_wegvoertuigen_CBS!D104</f>
        <v>1548</v>
      </c>
      <c r="E100">
        <f>Source_wegvoertuigen_CBS!E104</f>
        <v>129</v>
      </c>
      <c r="F100">
        <f>Source_wegvoertuigen_CBS!F104</f>
        <v>0</v>
      </c>
    </row>
    <row r="101" spans="1:6" x14ac:dyDescent="0.2">
      <c r="A101" t="str">
        <f>Source_wegvoertuigen_CBS!A105</f>
        <v>Coevorden</v>
      </c>
      <c r="B101" t="str">
        <f>INDEX(Source_GM_code_CBS!$B:$B,MATCH($A101,Source_GM_code_CBS!$C:$C,0))</f>
        <v>GM0109</v>
      </c>
      <c r="C101">
        <f>Source_wegvoertuigen_CBS!C105</f>
        <v>20478</v>
      </c>
      <c r="D101">
        <f>Source_wegvoertuigen_CBS!D105</f>
        <v>2689</v>
      </c>
      <c r="E101">
        <f>Source_wegvoertuigen_CBS!E105</f>
        <v>122</v>
      </c>
      <c r="F101">
        <f>Source_wegvoertuigen_CBS!F105</f>
        <v>1</v>
      </c>
    </row>
    <row r="102" spans="1:6" x14ac:dyDescent="0.2">
      <c r="A102" t="str">
        <f>Source_wegvoertuigen_CBS!A106</f>
        <v>Cranendonck</v>
      </c>
      <c r="B102" t="str">
        <f>INDEX(Source_GM_code_CBS!$B:$B,MATCH($A102,Source_GM_code_CBS!$C:$C,0))</f>
        <v>GM1706</v>
      </c>
      <c r="C102">
        <f>Source_wegvoertuigen_CBS!C106</f>
        <v>12459</v>
      </c>
      <c r="D102">
        <f>Source_wegvoertuigen_CBS!D106</f>
        <v>1689</v>
      </c>
      <c r="E102">
        <f>Source_wegvoertuigen_CBS!E106</f>
        <v>87</v>
      </c>
      <c r="F102">
        <f>Source_wegvoertuigen_CBS!F106</f>
        <v>0</v>
      </c>
    </row>
    <row r="103" spans="1:6" x14ac:dyDescent="0.2">
      <c r="A103" t="str">
        <f>Source_wegvoertuigen_CBS!A107</f>
        <v>Cromstrijen</v>
      </c>
      <c r="B103" t="e">
        <f>INDEX(Source_GM_code_CBS!$B:$B,MATCH($A103,Source_GM_code_CBS!$C:$C,0))</f>
        <v>#N/A</v>
      </c>
      <c r="C103">
        <f>Source_wegvoertuigen_CBS!C107</f>
        <v>0</v>
      </c>
      <c r="D103">
        <f>Source_wegvoertuigen_CBS!D107</f>
        <v>0</v>
      </c>
      <c r="E103">
        <f>Source_wegvoertuigen_CBS!E107</f>
        <v>0</v>
      </c>
      <c r="F103">
        <f>Source_wegvoertuigen_CBS!F107</f>
        <v>0</v>
      </c>
    </row>
    <row r="104" spans="1:6" x14ac:dyDescent="0.2">
      <c r="A104" t="str">
        <f>Source_wegvoertuigen_CBS!A108</f>
        <v>Cuijk</v>
      </c>
      <c r="B104" t="e">
        <f>INDEX(Source_GM_code_CBS!$B:$B,MATCH($A104,Source_GM_code_CBS!$C:$C,0))</f>
        <v>#N/A</v>
      </c>
      <c r="C104">
        <f>Source_wegvoertuigen_CBS!C108</f>
        <v>0</v>
      </c>
      <c r="D104">
        <f>Source_wegvoertuigen_CBS!D108</f>
        <v>0</v>
      </c>
      <c r="E104">
        <f>Source_wegvoertuigen_CBS!E108</f>
        <v>0</v>
      </c>
      <c r="F104">
        <f>Source_wegvoertuigen_CBS!F108</f>
        <v>0</v>
      </c>
    </row>
    <row r="105" spans="1:6" x14ac:dyDescent="0.2">
      <c r="A105" t="str">
        <f>Source_wegvoertuigen_CBS!A109</f>
        <v>Culemborg</v>
      </c>
      <c r="B105" t="str">
        <f>INDEX(Source_GM_code_CBS!$B:$B,MATCH($A105,Source_GM_code_CBS!$C:$C,0))</f>
        <v>GM0216</v>
      </c>
      <c r="C105">
        <f>Source_wegvoertuigen_CBS!C109</f>
        <v>14009</v>
      </c>
      <c r="D105">
        <f>Source_wegvoertuigen_CBS!D109</f>
        <v>1211</v>
      </c>
      <c r="E105">
        <f>Source_wegvoertuigen_CBS!E109</f>
        <v>156</v>
      </c>
      <c r="F105">
        <f>Source_wegvoertuigen_CBS!F109</f>
        <v>2</v>
      </c>
    </row>
    <row r="106" spans="1:6" x14ac:dyDescent="0.2">
      <c r="A106" t="str">
        <f>Source_wegvoertuigen_CBS!A110</f>
        <v>Dalfsen</v>
      </c>
      <c r="B106" t="str">
        <f>INDEX(Source_GM_code_CBS!$B:$B,MATCH($A106,Source_GM_code_CBS!$C:$C,0))</f>
        <v>GM0148</v>
      </c>
      <c r="C106">
        <f>Source_wegvoertuigen_CBS!C110</f>
        <v>17307</v>
      </c>
      <c r="D106">
        <f>Source_wegvoertuigen_CBS!D110</f>
        <v>2612</v>
      </c>
      <c r="E106">
        <f>Source_wegvoertuigen_CBS!E110</f>
        <v>233</v>
      </c>
      <c r="F106">
        <f>Source_wegvoertuigen_CBS!F110</f>
        <v>127</v>
      </c>
    </row>
    <row r="107" spans="1:6" x14ac:dyDescent="0.2">
      <c r="A107" t="str">
        <f>Source_wegvoertuigen_CBS!A111</f>
        <v>Dantumadeel</v>
      </c>
      <c r="B107" t="e">
        <f>INDEX(Source_GM_code_CBS!$B:$B,MATCH($A107,Source_GM_code_CBS!$C:$C,0))</f>
        <v>#N/A</v>
      </c>
      <c r="C107">
        <f>Source_wegvoertuigen_CBS!C111</f>
        <v>0</v>
      </c>
      <c r="D107">
        <f>Source_wegvoertuigen_CBS!D111</f>
        <v>0</v>
      </c>
      <c r="E107">
        <f>Source_wegvoertuigen_CBS!E111</f>
        <v>0</v>
      </c>
      <c r="F107">
        <f>Source_wegvoertuigen_CBS!F111</f>
        <v>0</v>
      </c>
    </row>
    <row r="108" spans="1:6" x14ac:dyDescent="0.2">
      <c r="A108" t="str">
        <f>Source_wegvoertuigen_CBS!A112</f>
        <v>Dantumadiel</v>
      </c>
      <c r="B108" t="str">
        <f>INDEX(Source_GM_code_CBS!$B:$B,MATCH($A108,Source_GM_code_CBS!$C:$C,0))</f>
        <v>GM1891</v>
      </c>
      <c r="C108">
        <f>Source_wegvoertuigen_CBS!C112</f>
        <v>10509</v>
      </c>
      <c r="D108">
        <f>Source_wegvoertuigen_CBS!D112</f>
        <v>1536</v>
      </c>
      <c r="E108">
        <f>Source_wegvoertuigen_CBS!E112</f>
        <v>58</v>
      </c>
      <c r="F108">
        <f>Source_wegvoertuigen_CBS!F112</f>
        <v>10</v>
      </c>
    </row>
    <row r="109" spans="1:6" x14ac:dyDescent="0.2">
      <c r="A109" t="str">
        <f>Source_wegvoertuigen_CBS!A113</f>
        <v>Delft</v>
      </c>
      <c r="B109" t="str">
        <f>INDEX(Source_GM_code_CBS!$B:$B,MATCH($A109,Source_GM_code_CBS!$C:$C,0))</f>
        <v>GM0503</v>
      </c>
      <c r="C109">
        <f>Source_wegvoertuigen_CBS!C113</f>
        <v>34212</v>
      </c>
      <c r="D109">
        <f>Source_wegvoertuigen_CBS!D113</f>
        <v>2529</v>
      </c>
      <c r="E109">
        <f>Source_wegvoertuigen_CBS!E113</f>
        <v>106</v>
      </c>
      <c r="F109">
        <f>Source_wegvoertuigen_CBS!F113</f>
        <v>1</v>
      </c>
    </row>
    <row r="110" spans="1:6" x14ac:dyDescent="0.2">
      <c r="A110" t="str">
        <f>Source_wegvoertuigen_CBS!A114</f>
        <v>Delfzijl</v>
      </c>
      <c r="B110" t="e">
        <f>INDEX(Source_GM_code_CBS!$B:$B,MATCH($A110,Source_GM_code_CBS!$C:$C,0))</f>
        <v>#N/A</v>
      </c>
      <c r="C110">
        <f>Source_wegvoertuigen_CBS!C114</f>
        <v>0</v>
      </c>
      <c r="D110">
        <f>Source_wegvoertuigen_CBS!D114</f>
        <v>0</v>
      </c>
      <c r="E110">
        <f>Source_wegvoertuigen_CBS!E114</f>
        <v>0</v>
      </c>
      <c r="F110">
        <f>Source_wegvoertuigen_CBS!F114</f>
        <v>0</v>
      </c>
    </row>
    <row r="111" spans="1:6" x14ac:dyDescent="0.2">
      <c r="A111" t="str">
        <f>Source_wegvoertuigen_CBS!A115</f>
        <v>Denekamp</v>
      </c>
      <c r="B111" t="e">
        <f>INDEX(Source_GM_code_CBS!$B:$B,MATCH($A111,Source_GM_code_CBS!$C:$C,0))</f>
        <v>#N/A</v>
      </c>
      <c r="C111">
        <f>Source_wegvoertuigen_CBS!C115</f>
        <v>0</v>
      </c>
      <c r="D111">
        <f>Source_wegvoertuigen_CBS!D115</f>
        <v>0</v>
      </c>
      <c r="E111">
        <f>Source_wegvoertuigen_CBS!E115</f>
        <v>0</v>
      </c>
      <c r="F111">
        <f>Source_wegvoertuigen_CBS!F115</f>
        <v>0</v>
      </c>
    </row>
    <row r="112" spans="1:6" x14ac:dyDescent="0.2">
      <c r="A112" t="str">
        <f>Source_wegvoertuigen_CBS!A116</f>
        <v>Deurne</v>
      </c>
      <c r="B112" t="str">
        <f>INDEX(Source_GM_code_CBS!$B:$B,MATCH($A112,Source_GM_code_CBS!$C:$C,0))</f>
        <v>GM0762</v>
      </c>
      <c r="C112">
        <f>Source_wegvoertuigen_CBS!C116</f>
        <v>17766</v>
      </c>
      <c r="D112">
        <f>Source_wegvoertuigen_CBS!D116</f>
        <v>2854</v>
      </c>
      <c r="E112">
        <f>Source_wegvoertuigen_CBS!E116</f>
        <v>220</v>
      </c>
      <c r="F112">
        <f>Source_wegvoertuigen_CBS!F116</f>
        <v>20</v>
      </c>
    </row>
    <row r="113" spans="1:6" x14ac:dyDescent="0.2">
      <c r="A113" t="str">
        <f>Source_wegvoertuigen_CBS!A117</f>
        <v>Deventer</v>
      </c>
      <c r="B113" t="str">
        <f>INDEX(Source_GM_code_CBS!$B:$B,MATCH($A113,Source_GM_code_CBS!$C:$C,0))</f>
        <v>GM0150</v>
      </c>
      <c r="C113">
        <f>Source_wegvoertuigen_CBS!C117</f>
        <v>47012</v>
      </c>
      <c r="D113">
        <f>Source_wegvoertuigen_CBS!D117</f>
        <v>3583</v>
      </c>
      <c r="E113">
        <f>Source_wegvoertuigen_CBS!E117</f>
        <v>171</v>
      </c>
      <c r="F113">
        <f>Source_wegvoertuigen_CBS!F117</f>
        <v>748</v>
      </c>
    </row>
    <row r="114" spans="1:6" x14ac:dyDescent="0.2">
      <c r="A114" t="str">
        <f>Source_wegvoertuigen_CBS!A118</f>
        <v>Didam</v>
      </c>
      <c r="B114" t="e">
        <f>INDEX(Source_GM_code_CBS!$B:$B,MATCH($A114,Source_GM_code_CBS!$C:$C,0))</f>
        <v>#N/A</v>
      </c>
      <c r="C114">
        <f>Source_wegvoertuigen_CBS!C118</f>
        <v>0</v>
      </c>
      <c r="D114">
        <f>Source_wegvoertuigen_CBS!D118</f>
        <v>0</v>
      </c>
      <c r="E114">
        <f>Source_wegvoertuigen_CBS!E118</f>
        <v>0</v>
      </c>
      <c r="F114">
        <f>Source_wegvoertuigen_CBS!F118</f>
        <v>0</v>
      </c>
    </row>
    <row r="115" spans="1:6" x14ac:dyDescent="0.2">
      <c r="A115" t="str">
        <f>Source_wegvoertuigen_CBS!A119</f>
        <v>Diemen</v>
      </c>
      <c r="B115" t="str">
        <f>INDEX(Source_GM_code_CBS!$B:$B,MATCH($A115,Source_GM_code_CBS!$C:$C,0))</f>
        <v>GM0384</v>
      </c>
      <c r="C115">
        <f>Source_wegvoertuigen_CBS!C119</f>
        <v>10737</v>
      </c>
      <c r="D115">
        <f>Source_wegvoertuigen_CBS!D119</f>
        <v>951</v>
      </c>
      <c r="E115">
        <f>Source_wegvoertuigen_CBS!E119</f>
        <v>73</v>
      </c>
      <c r="F115">
        <f>Source_wegvoertuigen_CBS!F119</f>
        <v>43</v>
      </c>
    </row>
    <row r="116" spans="1:6" x14ac:dyDescent="0.2">
      <c r="A116" t="str">
        <f>Source_wegvoertuigen_CBS!A120</f>
        <v>Diepenheim</v>
      </c>
      <c r="B116" t="e">
        <f>INDEX(Source_GM_code_CBS!$B:$B,MATCH($A116,Source_GM_code_CBS!$C:$C,0))</f>
        <v>#N/A</v>
      </c>
      <c r="C116">
        <f>Source_wegvoertuigen_CBS!C120</f>
        <v>0</v>
      </c>
      <c r="D116">
        <f>Source_wegvoertuigen_CBS!D120</f>
        <v>0</v>
      </c>
      <c r="E116">
        <f>Source_wegvoertuigen_CBS!E120</f>
        <v>0</v>
      </c>
      <c r="F116">
        <f>Source_wegvoertuigen_CBS!F120</f>
        <v>0</v>
      </c>
    </row>
    <row r="117" spans="1:6" x14ac:dyDescent="0.2">
      <c r="A117" t="str">
        <f>Source_wegvoertuigen_CBS!A121</f>
        <v>Dinkelland</v>
      </c>
      <c r="B117" t="str">
        <f>INDEX(Source_GM_code_CBS!$B:$B,MATCH($A117,Source_GM_code_CBS!$C:$C,0))</f>
        <v>GM1774</v>
      </c>
      <c r="C117">
        <f>Source_wegvoertuigen_CBS!C121</f>
        <v>15457</v>
      </c>
      <c r="D117">
        <f>Source_wegvoertuigen_CBS!D121</f>
        <v>2617</v>
      </c>
      <c r="E117">
        <f>Source_wegvoertuigen_CBS!E121</f>
        <v>197</v>
      </c>
      <c r="F117">
        <f>Source_wegvoertuigen_CBS!F121</f>
        <v>24</v>
      </c>
    </row>
    <row r="118" spans="1:6" x14ac:dyDescent="0.2">
      <c r="A118" t="str">
        <f>Source_wegvoertuigen_CBS!A122</f>
        <v>Dijk en Waard</v>
      </c>
      <c r="B118" t="str">
        <f>INDEX(Source_GM_code_CBS!$B:$B,MATCH($A118,Source_GM_code_CBS!$C:$C,0))</f>
        <v>GM1980</v>
      </c>
      <c r="C118">
        <f>Source_wegvoertuigen_CBS!C122</f>
        <v>44840</v>
      </c>
      <c r="D118">
        <f>Source_wegvoertuigen_CBS!D122</f>
        <v>4588</v>
      </c>
      <c r="E118">
        <f>Source_wegvoertuigen_CBS!E122</f>
        <v>275</v>
      </c>
      <c r="F118">
        <f>Source_wegvoertuigen_CBS!F122</f>
        <v>5</v>
      </c>
    </row>
    <row r="119" spans="1:6" x14ac:dyDescent="0.2">
      <c r="A119" t="str">
        <f>Source_wegvoertuigen_CBS!A123</f>
        <v>Dinxperlo</v>
      </c>
      <c r="B119" t="e">
        <f>INDEX(Source_GM_code_CBS!$B:$B,MATCH($A119,Source_GM_code_CBS!$C:$C,0))</f>
        <v>#N/A</v>
      </c>
      <c r="C119">
        <f>Source_wegvoertuigen_CBS!C123</f>
        <v>0</v>
      </c>
      <c r="D119">
        <f>Source_wegvoertuigen_CBS!D123</f>
        <v>0</v>
      </c>
      <c r="E119">
        <f>Source_wegvoertuigen_CBS!E123</f>
        <v>0</v>
      </c>
      <c r="F119">
        <f>Source_wegvoertuigen_CBS!F123</f>
        <v>0</v>
      </c>
    </row>
    <row r="120" spans="1:6" x14ac:dyDescent="0.2">
      <c r="A120" t="str">
        <f>Source_wegvoertuigen_CBS!A124</f>
        <v>Dirksland</v>
      </c>
      <c r="B120" t="e">
        <f>INDEX(Source_GM_code_CBS!$B:$B,MATCH($A120,Source_GM_code_CBS!$C:$C,0))</f>
        <v>#N/A</v>
      </c>
      <c r="C120">
        <f>Source_wegvoertuigen_CBS!C124</f>
        <v>0</v>
      </c>
      <c r="D120">
        <f>Source_wegvoertuigen_CBS!D124</f>
        <v>0</v>
      </c>
      <c r="E120">
        <f>Source_wegvoertuigen_CBS!E124</f>
        <v>0</v>
      </c>
      <c r="F120">
        <f>Source_wegvoertuigen_CBS!F124</f>
        <v>0</v>
      </c>
    </row>
    <row r="121" spans="1:6" x14ac:dyDescent="0.2">
      <c r="A121" t="str">
        <f>Source_wegvoertuigen_CBS!A125</f>
        <v>Dodewaard</v>
      </c>
      <c r="B121" t="e">
        <f>INDEX(Source_GM_code_CBS!$B:$B,MATCH($A121,Source_GM_code_CBS!$C:$C,0))</f>
        <v>#N/A</v>
      </c>
      <c r="C121">
        <f>Source_wegvoertuigen_CBS!C125</f>
        <v>0</v>
      </c>
      <c r="D121">
        <f>Source_wegvoertuigen_CBS!D125</f>
        <v>0</v>
      </c>
      <c r="E121">
        <f>Source_wegvoertuigen_CBS!E125</f>
        <v>0</v>
      </c>
      <c r="F121">
        <f>Source_wegvoertuigen_CBS!F125</f>
        <v>0</v>
      </c>
    </row>
    <row r="122" spans="1:6" x14ac:dyDescent="0.2">
      <c r="A122" t="str">
        <f>Source_wegvoertuigen_CBS!A126</f>
        <v>Doesburg</v>
      </c>
      <c r="B122" t="str">
        <f>INDEX(Source_GM_code_CBS!$B:$B,MATCH($A122,Source_GM_code_CBS!$C:$C,0))</f>
        <v>GM0221</v>
      </c>
      <c r="C122">
        <f>Source_wegvoertuigen_CBS!C126</f>
        <v>6066</v>
      </c>
      <c r="D122">
        <f>Source_wegvoertuigen_CBS!D126</f>
        <v>416</v>
      </c>
      <c r="E122">
        <f>Source_wegvoertuigen_CBS!E126</f>
        <v>28</v>
      </c>
      <c r="F122">
        <f>Source_wegvoertuigen_CBS!F126</f>
        <v>1</v>
      </c>
    </row>
    <row r="123" spans="1:6" x14ac:dyDescent="0.2">
      <c r="A123" t="str">
        <f>Source_wegvoertuigen_CBS!A127</f>
        <v>Doetinchem</v>
      </c>
      <c r="B123" t="str">
        <f>INDEX(Source_GM_code_CBS!$B:$B,MATCH($A123,Source_GM_code_CBS!$C:$C,0))</f>
        <v>GM0222</v>
      </c>
      <c r="C123">
        <f>Source_wegvoertuigen_CBS!C127</f>
        <v>32465</v>
      </c>
      <c r="D123">
        <f>Source_wegvoertuigen_CBS!D127</f>
        <v>3560</v>
      </c>
      <c r="E123">
        <f>Source_wegvoertuigen_CBS!E127</f>
        <v>182</v>
      </c>
      <c r="F123">
        <f>Source_wegvoertuigen_CBS!F127</f>
        <v>6</v>
      </c>
    </row>
    <row r="124" spans="1:6" x14ac:dyDescent="0.2">
      <c r="A124" t="str">
        <f>Source_wegvoertuigen_CBS!A128</f>
        <v>Dongen</v>
      </c>
      <c r="B124" t="str">
        <f>INDEX(Source_GM_code_CBS!$B:$B,MATCH($A124,Source_GM_code_CBS!$C:$C,0))</f>
        <v>GM0766</v>
      </c>
      <c r="C124">
        <f>Source_wegvoertuigen_CBS!C128</f>
        <v>14868</v>
      </c>
      <c r="D124">
        <f>Source_wegvoertuigen_CBS!D128</f>
        <v>1331</v>
      </c>
      <c r="E124">
        <f>Source_wegvoertuigen_CBS!E128</f>
        <v>125</v>
      </c>
      <c r="F124">
        <f>Source_wegvoertuigen_CBS!F128</f>
        <v>25</v>
      </c>
    </row>
    <row r="125" spans="1:6" x14ac:dyDescent="0.2">
      <c r="A125" t="str">
        <f>Source_wegvoertuigen_CBS!A129</f>
        <v>Dongeradeel</v>
      </c>
      <c r="B125" t="e">
        <f>INDEX(Source_GM_code_CBS!$B:$B,MATCH($A125,Source_GM_code_CBS!$C:$C,0))</f>
        <v>#N/A</v>
      </c>
      <c r="C125">
        <f>Source_wegvoertuigen_CBS!C129</f>
        <v>0</v>
      </c>
      <c r="D125">
        <f>Source_wegvoertuigen_CBS!D129</f>
        <v>0</v>
      </c>
      <c r="E125">
        <f>Source_wegvoertuigen_CBS!E129</f>
        <v>0</v>
      </c>
      <c r="F125">
        <f>Source_wegvoertuigen_CBS!F129</f>
        <v>0</v>
      </c>
    </row>
    <row r="126" spans="1:6" x14ac:dyDescent="0.2">
      <c r="A126" t="str">
        <f>Source_wegvoertuigen_CBS!A130</f>
        <v>Doorn</v>
      </c>
      <c r="B126" t="e">
        <f>INDEX(Source_GM_code_CBS!$B:$B,MATCH($A126,Source_GM_code_CBS!$C:$C,0))</f>
        <v>#N/A</v>
      </c>
      <c r="C126">
        <f>Source_wegvoertuigen_CBS!C130</f>
        <v>0</v>
      </c>
      <c r="D126">
        <f>Source_wegvoertuigen_CBS!D130</f>
        <v>0</v>
      </c>
      <c r="E126">
        <f>Source_wegvoertuigen_CBS!E130</f>
        <v>0</v>
      </c>
      <c r="F126">
        <f>Source_wegvoertuigen_CBS!F130</f>
        <v>0</v>
      </c>
    </row>
    <row r="127" spans="1:6" x14ac:dyDescent="0.2">
      <c r="A127" t="str">
        <f>Source_wegvoertuigen_CBS!A131</f>
        <v>Dordrecht</v>
      </c>
      <c r="B127" t="str">
        <f>INDEX(Source_GM_code_CBS!$B:$B,MATCH($A127,Source_GM_code_CBS!$C:$C,0))</f>
        <v>GM0505</v>
      </c>
      <c r="C127">
        <f>Source_wegvoertuigen_CBS!C131</f>
        <v>60837</v>
      </c>
      <c r="D127">
        <f>Source_wegvoertuigen_CBS!D131</f>
        <v>6809</v>
      </c>
      <c r="E127">
        <f>Source_wegvoertuigen_CBS!E131</f>
        <v>296</v>
      </c>
      <c r="F127">
        <f>Source_wegvoertuigen_CBS!F131</f>
        <v>18</v>
      </c>
    </row>
    <row r="128" spans="1:6" x14ac:dyDescent="0.2">
      <c r="A128" t="str">
        <f>Source_wegvoertuigen_CBS!A132</f>
        <v>Drechterland</v>
      </c>
      <c r="B128" t="str">
        <f>INDEX(Source_GM_code_CBS!$B:$B,MATCH($A128,Source_GM_code_CBS!$C:$C,0))</f>
        <v>GM0498</v>
      </c>
      <c r="C128">
        <f>Source_wegvoertuigen_CBS!C132</f>
        <v>10583</v>
      </c>
      <c r="D128">
        <f>Source_wegvoertuigen_CBS!D132</f>
        <v>1571</v>
      </c>
      <c r="E128">
        <f>Source_wegvoertuigen_CBS!E132</f>
        <v>101</v>
      </c>
      <c r="F128">
        <f>Source_wegvoertuigen_CBS!F132</f>
        <v>4</v>
      </c>
    </row>
    <row r="129" spans="1:6" x14ac:dyDescent="0.2">
      <c r="A129" t="str">
        <f>Source_wegvoertuigen_CBS!A133</f>
        <v>Driebergen-Rijsenburg</v>
      </c>
      <c r="B129" t="e">
        <f>INDEX(Source_GM_code_CBS!$B:$B,MATCH($A129,Source_GM_code_CBS!$C:$C,0))</f>
        <v>#N/A</v>
      </c>
      <c r="C129">
        <f>Source_wegvoertuigen_CBS!C133</f>
        <v>0</v>
      </c>
      <c r="D129">
        <f>Source_wegvoertuigen_CBS!D133</f>
        <v>0</v>
      </c>
      <c r="E129">
        <f>Source_wegvoertuigen_CBS!E133</f>
        <v>0</v>
      </c>
      <c r="F129">
        <f>Source_wegvoertuigen_CBS!F133</f>
        <v>0</v>
      </c>
    </row>
    <row r="130" spans="1:6" x14ac:dyDescent="0.2">
      <c r="A130" t="str">
        <f>Source_wegvoertuigen_CBS!A134</f>
        <v>Drimmelen</v>
      </c>
      <c r="B130" t="str">
        <f>INDEX(Source_GM_code_CBS!$B:$B,MATCH($A130,Source_GM_code_CBS!$C:$C,0))</f>
        <v>GM1719</v>
      </c>
      <c r="C130">
        <f>Source_wegvoertuigen_CBS!C134</f>
        <v>15610</v>
      </c>
      <c r="D130">
        <f>Source_wegvoertuigen_CBS!D134</f>
        <v>2006</v>
      </c>
      <c r="E130">
        <f>Source_wegvoertuigen_CBS!E134</f>
        <v>84</v>
      </c>
      <c r="F130">
        <f>Source_wegvoertuigen_CBS!F134</f>
        <v>7</v>
      </c>
    </row>
    <row r="131" spans="1:6" x14ac:dyDescent="0.2">
      <c r="A131" t="str">
        <f>Source_wegvoertuigen_CBS!A135</f>
        <v>Dronten</v>
      </c>
      <c r="B131" t="str">
        <f>INDEX(Source_GM_code_CBS!$B:$B,MATCH($A131,Source_GM_code_CBS!$C:$C,0))</f>
        <v>GM0303</v>
      </c>
      <c r="C131">
        <f>Source_wegvoertuigen_CBS!C135</f>
        <v>22910</v>
      </c>
      <c r="D131">
        <f>Source_wegvoertuigen_CBS!D135</f>
        <v>2593</v>
      </c>
      <c r="E131">
        <f>Source_wegvoertuigen_CBS!E135</f>
        <v>154</v>
      </c>
      <c r="F131">
        <f>Source_wegvoertuigen_CBS!F135</f>
        <v>11</v>
      </c>
    </row>
    <row r="132" spans="1:6" x14ac:dyDescent="0.2">
      <c r="A132" t="str">
        <f>Source_wegvoertuigen_CBS!A136</f>
        <v>Druten</v>
      </c>
      <c r="B132" t="str">
        <f>INDEX(Source_GM_code_CBS!$B:$B,MATCH($A132,Source_GM_code_CBS!$C:$C,0))</f>
        <v>GM0225</v>
      </c>
      <c r="C132">
        <f>Source_wegvoertuigen_CBS!C136</f>
        <v>10649</v>
      </c>
      <c r="D132">
        <f>Source_wegvoertuigen_CBS!D136</f>
        <v>1322</v>
      </c>
      <c r="E132">
        <f>Source_wegvoertuigen_CBS!E136</f>
        <v>99</v>
      </c>
      <c r="F132">
        <f>Source_wegvoertuigen_CBS!F136</f>
        <v>2</v>
      </c>
    </row>
    <row r="133" spans="1:6" x14ac:dyDescent="0.2">
      <c r="A133" t="str">
        <f>Source_wegvoertuigen_CBS!A137</f>
        <v>Duiven</v>
      </c>
      <c r="B133" t="str">
        <f>INDEX(Source_GM_code_CBS!$B:$B,MATCH($A133,Source_GM_code_CBS!$C:$C,0))</f>
        <v>GM0226</v>
      </c>
      <c r="C133">
        <f>Source_wegvoertuigen_CBS!C137</f>
        <v>13492</v>
      </c>
      <c r="D133">
        <f>Source_wegvoertuigen_CBS!D137</f>
        <v>1113</v>
      </c>
      <c r="E133">
        <f>Source_wegvoertuigen_CBS!E137</f>
        <v>159</v>
      </c>
      <c r="F133">
        <f>Source_wegvoertuigen_CBS!F137</f>
        <v>0</v>
      </c>
    </row>
    <row r="134" spans="1:6" x14ac:dyDescent="0.2">
      <c r="A134" t="str">
        <f>Source_wegvoertuigen_CBS!A138</f>
        <v>Echt</v>
      </c>
      <c r="B134" t="e">
        <f>INDEX(Source_GM_code_CBS!$B:$B,MATCH($A134,Source_GM_code_CBS!$C:$C,0))</f>
        <v>#N/A</v>
      </c>
      <c r="C134">
        <f>Source_wegvoertuigen_CBS!C138</f>
        <v>0</v>
      </c>
      <c r="D134">
        <f>Source_wegvoertuigen_CBS!D138</f>
        <v>0</v>
      </c>
      <c r="E134">
        <f>Source_wegvoertuigen_CBS!E138</f>
        <v>0</v>
      </c>
      <c r="F134">
        <f>Source_wegvoertuigen_CBS!F138</f>
        <v>0</v>
      </c>
    </row>
    <row r="135" spans="1:6" x14ac:dyDescent="0.2">
      <c r="A135" t="str">
        <f>Source_wegvoertuigen_CBS!A139</f>
        <v>Echteld</v>
      </c>
      <c r="B135" t="e">
        <f>INDEX(Source_GM_code_CBS!$B:$B,MATCH($A135,Source_GM_code_CBS!$C:$C,0))</f>
        <v>#N/A</v>
      </c>
      <c r="C135">
        <f>Source_wegvoertuigen_CBS!C139</f>
        <v>0</v>
      </c>
      <c r="D135">
        <f>Source_wegvoertuigen_CBS!D139</f>
        <v>0</v>
      </c>
      <c r="E135">
        <f>Source_wegvoertuigen_CBS!E139</f>
        <v>0</v>
      </c>
      <c r="F135">
        <f>Source_wegvoertuigen_CBS!F139</f>
        <v>0</v>
      </c>
    </row>
    <row r="136" spans="1:6" x14ac:dyDescent="0.2">
      <c r="A136" t="str">
        <f>Source_wegvoertuigen_CBS!A140</f>
        <v>Echt-Susteren</v>
      </c>
      <c r="B136" t="str">
        <f>INDEX(Source_GM_code_CBS!$B:$B,MATCH($A136,Source_GM_code_CBS!$C:$C,0))</f>
        <v>GM1711</v>
      </c>
      <c r="C136">
        <f>Source_wegvoertuigen_CBS!C140</f>
        <v>19395</v>
      </c>
      <c r="D136">
        <f>Source_wegvoertuigen_CBS!D140</f>
        <v>1969</v>
      </c>
      <c r="E136">
        <f>Source_wegvoertuigen_CBS!E140</f>
        <v>138</v>
      </c>
      <c r="F136">
        <f>Source_wegvoertuigen_CBS!F140</f>
        <v>16</v>
      </c>
    </row>
    <row r="137" spans="1:6" x14ac:dyDescent="0.2">
      <c r="A137" t="str">
        <f>Source_wegvoertuigen_CBS!A141</f>
        <v>Edam-Volendam</v>
      </c>
      <c r="B137" t="str">
        <f>INDEX(Source_GM_code_CBS!$B:$B,MATCH($A137,Source_GM_code_CBS!$C:$C,0))</f>
        <v>GM0385</v>
      </c>
      <c r="C137">
        <f>Source_wegvoertuigen_CBS!C141</f>
        <v>15856</v>
      </c>
      <c r="D137">
        <f>Source_wegvoertuigen_CBS!D141</f>
        <v>2973</v>
      </c>
      <c r="E137">
        <f>Source_wegvoertuigen_CBS!E141</f>
        <v>118</v>
      </c>
      <c r="F137">
        <f>Source_wegvoertuigen_CBS!F141</f>
        <v>21</v>
      </c>
    </row>
    <row r="138" spans="1:6" x14ac:dyDescent="0.2">
      <c r="A138" t="str">
        <f>Source_wegvoertuigen_CBS!A142</f>
        <v>Ede</v>
      </c>
      <c r="B138" t="str">
        <f>INDEX(Source_GM_code_CBS!$B:$B,MATCH($A138,Source_GM_code_CBS!$C:$C,0))</f>
        <v>GM0228</v>
      </c>
      <c r="C138">
        <f>Source_wegvoertuigen_CBS!C142</f>
        <v>61460</v>
      </c>
      <c r="D138">
        <f>Source_wegvoertuigen_CBS!D142</f>
        <v>8561</v>
      </c>
      <c r="E138">
        <f>Source_wegvoertuigen_CBS!E142</f>
        <v>849</v>
      </c>
      <c r="F138">
        <f>Source_wegvoertuigen_CBS!F142</f>
        <v>22</v>
      </c>
    </row>
    <row r="139" spans="1:6" x14ac:dyDescent="0.2">
      <c r="A139" t="str">
        <f>Source_wegvoertuigen_CBS!A143</f>
        <v>Eemnes</v>
      </c>
      <c r="B139" t="str">
        <f>INDEX(Source_GM_code_CBS!$B:$B,MATCH($A139,Source_GM_code_CBS!$C:$C,0))</f>
        <v>GM0317</v>
      </c>
      <c r="C139">
        <f>Source_wegvoertuigen_CBS!C143</f>
        <v>5335</v>
      </c>
      <c r="D139">
        <f>Source_wegvoertuigen_CBS!D143</f>
        <v>742</v>
      </c>
      <c r="E139">
        <f>Source_wegvoertuigen_CBS!E143</f>
        <v>46</v>
      </c>
      <c r="F139">
        <f>Source_wegvoertuigen_CBS!F143</f>
        <v>0</v>
      </c>
    </row>
    <row r="140" spans="1:6" x14ac:dyDescent="0.2">
      <c r="A140" t="str">
        <f>Source_wegvoertuigen_CBS!A144</f>
        <v>Eemsdelta</v>
      </c>
      <c r="B140" t="str">
        <f>INDEX(Source_GM_code_CBS!$B:$B,MATCH($A140,Source_GM_code_CBS!$C:$C,0))</f>
        <v>GM1979</v>
      </c>
      <c r="C140">
        <f>Source_wegvoertuigen_CBS!C144</f>
        <v>24198</v>
      </c>
      <c r="D140">
        <f>Source_wegvoertuigen_CBS!D144</f>
        <v>2504</v>
      </c>
      <c r="E140">
        <f>Source_wegvoertuigen_CBS!E144</f>
        <v>77</v>
      </c>
      <c r="F140">
        <f>Source_wegvoertuigen_CBS!F144</f>
        <v>1</v>
      </c>
    </row>
    <row r="141" spans="1:6" x14ac:dyDescent="0.2">
      <c r="A141" t="str">
        <f>Source_wegvoertuigen_CBS!A145</f>
        <v>Eemsmond</v>
      </c>
      <c r="B141" t="e">
        <f>INDEX(Source_GM_code_CBS!$B:$B,MATCH($A141,Source_GM_code_CBS!$C:$C,0))</f>
        <v>#N/A</v>
      </c>
      <c r="C141">
        <f>Source_wegvoertuigen_CBS!C145</f>
        <v>0</v>
      </c>
      <c r="D141">
        <f>Source_wegvoertuigen_CBS!D145</f>
        <v>0</v>
      </c>
      <c r="E141">
        <f>Source_wegvoertuigen_CBS!E145</f>
        <v>0</v>
      </c>
      <c r="F141">
        <f>Source_wegvoertuigen_CBS!F145</f>
        <v>0</v>
      </c>
    </row>
    <row r="142" spans="1:6" x14ac:dyDescent="0.2">
      <c r="A142" t="str">
        <f>Source_wegvoertuigen_CBS!A146</f>
        <v>Eersel</v>
      </c>
      <c r="B142" t="str">
        <f>INDEX(Source_GM_code_CBS!$B:$B,MATCH($A142,Source_GM_code_CBS!$C:$C,0))</f>
        <v>GM0770</v>
      </c>
      <c r="C142">
        <f>Source_wegvoertuigen_CBS!C146</f>
        <v>11707</v>
      </c>
      <c r="D142">
        <f>Source_wegvoertuigen_CBS!D146</f>
        <v>1709</v>
      </c>
      <c r="E142">
        <f>Source_wegvoertuigen_CBS!E146</f>
        <v>114</v>
      </c>
      <c r="F142">
        <f>Source_wegvoertuigen_CBS!F146</f>
        <v>1</v>
      </c>
    </row>
    <row r="143" spans="1:6" x14ac:dyDescent="0.2">
      <c r="A143" t="str">
        <f>Source_wegvoertuigen_CBS!A147</f>
        <v>Egmond</v>
      </c>
      <c r="B143" t="e">
        <f>INDEX(Source_GM_code_CBS!$B:$B,MATCH($A143,Source_GM_code_CBS!$C:$C,0))</f>
        <v>#N/A</v>
      </c>
      <c r="C143">
        <f>Source_wegvoertuigen_CBS!C147</f>
        <v>0</v>
      </c>
      <c r="D143">
        <f>Source_wegvoertuigen_CBS!D147</f>
        <v>0</v>
      </c>
      <c r="E143">
        <f>Source_wegvoertuigen_CBS!E147</f>
        <v>0</v>
      </c>
      <c r="F143">
        <f>Source_wegvoertuigen_CBS!F147</f>
        <v>0</v>
      </c>
    </row>
    <row r="144" spans="1:6" x14ac:dyDescent="0.2">
      <c r="A144" t="str">
        <f>Source_wegvoertuigen_CBS!A148</f>
        <v>Eibergen</v>
      </c>
      <c r="B144" t="e">
        <f>INDEX(Source_GM_code_CBS!$B:$B,MATCH($A144,Source_GM_code_CBS!$C:$C,0))</f>
        <v>#N/A</v>
      </c>
      <c r="C144">
        <f>Source_wegvoertuigen_CBS!C148</f>
        <v>0</v>
      </c>
      <c r="D144">
        <f>Source_wegvoertuigen_CBS!D148</f>
        <v>0</v>
      </c>
      <c r="E144">
        <f>Source_wegvoertuigen_CBS!E148</f>
        <v>0</v>
      </c>
      <c r="F144">
        <f>Source_wegvoertuigen_CBS!F148</f>
        <v>0</v>
      </c>
    </row>
    <row r="145" spans="1:6" x14ac:dyDescent="0.2">
      <c r="A145" t="str">
        <f>Source_wegvoertuigen_CBS!A149</f>
        <v>Eijsden</v>
      </c>
      <c r="B145" t="e">
        <f>INDEX(Source_GM_code_CBS!$B:$B,MATCH($A145,Source_GM_code_CBS!$C:$C,0))</f>
        <v>#N/A</v>
      </c>
      <c r="C145">
        <f>Source_wegvoertuigen_CBS!C149</f>
        <v>0</v>
      </c>
      <c r="D145">
        <f>Source_wegvoertuigen_CBS!D149</f>
        <v>0</v>
      </c>
      <c r="E145">
        <f>Source_wegvoertuigen_CBS!E149</f>
        <v>0</v>
      </c>
      <c r="F145">
        <f>Source_wegvoertuigen_CBS!F149</f>
        <v>0</v>
      </c>
    </row>
    <row r="146" spans="1:6" x14ac:dyDescent="0.2">
      <c r="A146" t="str">
        <f>Source_wegvoertuigen_CBS!A150</f>
        <v>Eijsden-Margraten</v>
      </c>
      <c r="B146" t="str">
        <f>INDEX(Source_GM_code_CBS!$B:$B,MATCH($A146,Source_GM_code_CBS!$C:$C,0))</f>
        <v>GM1903</v>
      </c>
      <c r="C146">
        <f>Source_wegvoertuigen_CBS!C150</f>
        <v>15129</v>
      </c>
      <c r="D146">
        <f>Source_wegvoertuigen_CBS!D150</f>
        <v>1386</v>
      </c>
      <c r="E146">
        <f>Source_wegvoertuigen_CBS!E150</f>
        <v>130</v>
      </c>
      <c r="F146">
        <f>Source_wegvoertuigen_CBS!F150</f>
        <v>2</v>
      </c>
    </row>
    <row r="147" spans="1:6" x14ac:dyDescent="0.2">
      <c r="A147" t="str">
        <f>Source_wegvoertuigen_CBS!A151</f>
        <v>Eindhoven</v>
      </c>
      <c r="B147" t="str">
        <f>INDEX(Source_GM_code_CBS!$B:$B,MATCH($A147,Source_GM_code_CBS!$C:$C,0))</f>
        <v>GM0772</v>
      </c>
      <c r="C147">
        <f>Source_wegvoertuigen_CBS!C151</f>
        <v>104234</v>
      </c>
      <c r="D147">
        <f>Source_wegvoertuigen_CBS!D151</f>
        <v>8986</v>
      </c>
      <c r="E147">
        <f>Source_wegvoertuigen_CBS!E151</f>
        <v>1533</v>
      </c>
      <c r="F147">
        <f>Source_wegvoertuigen_CBS!F151</f>
        <v>22</v>
      </c>
    </row>
    <row r="148" spans="1:6" x14ac:dyDescent="0.2">
      <c r="A148" t="str">
        <f>Source_wegvoertuigen_CBS!A152</f>
        <v>Elburg</v>
      </c>
      <c r="B148" t="str">
        <f>INDEX(Source_GM_code_CBS!$B:$B,MATCH($A148,Source_GM_code_CBS!$C:$C,0))</f>
        <v>GM0230</v>
      </c>
      <c r="C148">
        <f>Source_wegvoertuigen_CBS!C152</f>
        <v>12668</v>
      </c>
      <c r="D148">
        <f>Source_wegvoertuigen_CBS!D152</f>
        <v>1579</v>
      </c>
      <c r="E148">
        <f>Source_wegvoertuigen_CBS!E152</f>
        <v>74</v>
      </c>
      <c r="F148">
        <f>Source_wegvoertuigen_CBS!F152</f>
        <v>0</v>
      </c>
    </row>
    <row r="149" spans="1:6" x14ac:dyDescent="0.2">
      <c r="A149" t="str">
        <f>Source_wegvoertuigen_CBS!A153</f>
        <v>Elst</v>
      </c>
      <c r="B149" t="e">
        <f>INDEX(Source_GM_code_CBS!$B:$B,MATCH($A149,Source_GM_code_CBS!$C:$C,0))</f>
        <v>#N/A</v>
      </c>
      <c r="C149">
        <f>Source_wegvoertuigen_CBS!C153</f>
        <v>0</v>
      </c>
      <c r="D149">
        <f>Source_wegvoertuigen_CBS!D153</f>
        <v>0</v>
      </c>
      <c r="E149">
        <f>Source_wegvoertuigen_CBS!E153</f>
        <v>0</v>
      </c>
      <c r="F149">
        <f>Source_wegvoertuigen_CBS!F153</f>
        <v>0</v>
      </c>
    </row>
    <row r="150" spans="1:6" x14ac:dyDescent="0.2">
      <c r="A150" t="str">
        <f>Source_wegvoertuigen_CBS!A154</f>
        <v>Emmen</v>
      </c>
      <c r="B150" t="str">
        <f>INDEX(Source_GM_code_CBS!$B:$B,MATCH($A150,Source_GM_code_CBS!$C:$C,0))</f>
        <v>GM0114</v>
      </c>
      <c r="C150">
        <f>Source_wegvoertuigen_CBS!C154</f>
        <v>58987</v>
      </c>
      <c r="D150">
        <f>Source_wegvoertuigen_CBS!D154</f>
        <v>6749</v>
      </c>
      <c r="E150">
        <f>Source_wegvoertuigen_CBS!E154</f>
        <v>397</v>
      </c>
      <c r="F150">
        <f>Source_wegvoertuigen_CBS!F154</f>
        <v>5</v>
      </c>
    </row>
    <row r="151" spans="1:6" x14ac:dyDescent="0.2">
      <c r="A151" t="str">
        <f>Source_wegvoertuigen_CBS!A155</f>
        <v>Enkhuizen</v>
      </c>
      <c r="B151" t="str">
        <f>INDEX(Source_GM_code_CBS!$B:$B,MATCH($A151,Source_GM_code_CBS!$C:$C,0))</f>
        <v>GM0388</v>
      </c>
      <c r="C151">
        <f>Source_wegvoertuigen_CBS!C155</f>
        <v>8436</v>
      </c>
      <c r="D151">
        <f>Source_wegvoertuigen_CBS!D155</f>
        <v>908</v>
      </c>
      <c r="E151">
        <f>Source_wegvoertuigen_CBS!E155</f>
        <v>25</v>
      </c>
      <c r="F151">
        <f>Source_wegvoertuigen_CBS!F155</f>
        <v>0</v>
      </c>
    </row>
    <row r="152" spans="1:6" x14ac:dyDescent="0.2">
      <c r="A152" t="str">
        <f>Source_wegvoertuigen_CBS!A156</f>
        <v>Enschede</v>
      </c>
      <c r="B152" t="str">
        <f>INDEX(Source_GM_code_CBS!$B:$B,MATCH($A152,Source_GM_code_CBS!$C:$C,0))</f>
        <v>GM0153</v>
      </c>
      <c r="C152">
        <f>Source_wegvoertuigen_CBS!C156</f>
        <v>70551</v>
      </c>
      <c r="D152">
        <f>Source_wegvoertuigen_CBS!D156</f>
        <v>5791</v>
      </c>
      <c r="E152">
        <f>Source_wegvoertuigen_CBS!E156</f>
        <v>511</v>
      </c>
      <c r="F152">
        <f>Source_wegvoertuigen_CBS!F156</f>
        <v>2</v>
      </c>
    </row>
    <row r="153" spans="1:6" x14ac:dyDescent="0.2">
      <c r="A153" t="str">
        <f>Source_wegvoertuigen_CBS!A157</f>
        <v>Epe</v>
      </c>
      <c r="B153" t="str">
        <f>INDEX(Source_GM_code_CBS!$B:$B,MATCH($A153,Source_GM_code_CBS!$C:$C,0))</f>
        <v>GM0232</v>
      </c>
      <c r="C153">
        <f>Source_wegvoertuigen_CBS!C157</f>
        <v>19091</v>
      </c>
      <c r="D153">
        <f>Source_wegvoertuigen_CBS!D157</f>
        <v>2358</v>
      </c>
      <c r="E153">
        <f>Source_wegvoertuigen_CBS!E157</f>
        <v>136</v>
      </c>
      <c r="F153">
        <f>Source_wegvoertuigen_CBS!F157</f>
        <v>0</v>
      </c>
    </row>
    <row r="154" spans="1:6" x14ac:dyDescent="0.2">
      <c r="A154" t="str">
        <f>Source_wegvoertuigen_CBS!A158</f>
        <v>Ermelo</v>
      </c>
      <c r="B154" t="str">
        <f>INDEX(Source_GM_code_CBS!$B:$B,MATCH($A154,Source_GM_code_CBS!$C:$C,0))</f>
        <v>GM0233</v>
      </c>
      <c r="C154">
        <f>Source_wegvoertuigen_CBS!C158</f>
        <v>14211</v>
      </c>
      <c r="D154">
        <f>Source_wegvoertuigen_CBS!D158</f>
        <v>1596</v>
      </c>
      <c r="E154">
        <f>Source_wegvoertuigen_CBS!E158</f>
        <v>207</v>
      </c>
      <c r="F154">
        <f>Source_wegvoertuigen_CBS!F158</f>
        <v>5</v>
      </c>
    </row>
    <row r="155" spans="1:6" x14ac:dyDescent="0.2">
      <c r="A155" t="str">
        <f>Source_wegvoertuigen_CBS!A159</f>
        <v>Etten-Leur</v>
      </c>
      <c r="B155" t="str">
        <f>INDEX(Source_GM_code_CBS!$B:$B,MATCH($A155,Source_GM_code_CBS!$C:$C,0))</f>
        <v>GM0777</v>
      </c>
      <c r="C155">
        <f>Source_wegvoertuigen_CBS!C159</f>
        <v>22913</v>
      </c>
      <c r="D155">
        <f>Source_wegvoertuigen_CBS!D159</f>
        <v>2084</v>
      </c>
      <c r="E155">
        <f>Source_wegvoertuigen_CBS!E159</f>
        <v>217</v>
      </c>
      <c r="F155">
        <f>Source_wegvoertuigen_CBS!F159</f>
        <v>4</v>
      </c>
    </row>
    <row r="156" spans="1:6" x14ac:dyDescent="0.2">
      <c r="A156" t="str">
        <f>Source_wegvoertuigen_CBS!A160</f>
        <v>Ferwerderadiel</v>
      </c>
      <c r="B156" t="e">
        <f>INDEX(Source_GM_code_CBS!$B:$B,MATCH($A156,Source_GM_code_CBS!$C:$C,0))</f>
        <v>#N/A</v>
      </c>
      <c r="C156">
        <f>Source_wegvoertuigen_CBS!C160</f>
        <v>0</v>
      </c>
      <c r="D156">
        <f>Source_wegvoertuigen_CBS!D160</f>
        <v>0</v>
      </c>
      <c r="E156">
        <f>Source_wegvoertuigen_CBS!E160</f>
        <v>0</v>
      </c>
      <c r="F156">
        <f>Source_wegvoertuigen_CBS!F160</f>
        <v>0</v>
      </c>
    </row>
    <row r="157" spans="1:6" x14ac:dyDescent="0.2">
      <c r="A157" t="str">
        <f>Source_wegvoertuigen_CBS!A161</f>
        <v>Franekeradeel</v>
      </c>
      <c r="B157" t="e">
        <f>INDEX(Source_GM_code_CBS!$B:$B,MATCH($A157,Source_GM_code_CBS!$C:$C,0))</f>
        <v>#N/A</v>
      </c>
      <c r="C157">
        <f>Source_wegvoertuigen_CBS!C161</f>
        <v>0</v>
      </c>
      <c r="D157">
        <f>Source_wegvoertuigen_CBS!D161</f>
        <v>0</v>
      </c>
      <c r="E157">
        <f>Source_wegvoertuigen_CBS!E161</f>
        <v>0</v>
      </c>
      <c r="F157">
        <f>Source_wegvoertuigen_CBS!F161</f>
        <v>0</v>
      </c>
    </row>
    <row r="158" spans="1:6" x14ac:dyDescent="0.2">
      <c r="A158" t="str">
        <f>Source_wegvoertuigen_CBS!A162</f>
        <v>De Friese Meren</v>
      </c>
      <c r="B158" t="e">
        <f>INDEX(Source_GM_code_CBS!$B:$B,MATCH($A158,Source_GM_code_CBS!$C:$C,0))</f>
        <v>#N/A</v>
      </c>
      <c r="C158">
        <f>Source_wegvoertuigen_CBS!C162</f>
        <v>0</v>
      </c>
      <c r="D158">
        <f>Source_wegvoertuigen_CBS!D162</f>
        <v>0</v>
      </c>
      <c r="E158">
        <f>Source_wegvoertuigen_CBS!E162</f>
        <v>0</v>
      </c>
      <c r="F158">
        <f>Source_wegvoertuigen_CBS!F162</f>
        <v>0</v>
      </c>
    </row>
    <row r="159" spans="1:6" x14ac:dyDescent="0.2">
      <c r="A159" t="str">
        <f>Source_wegvoertuigen_CBS!A163</f>
        <v>De Fryske Marren</v>
      </c>
      <c r="B159" t="str">
        <f>INDEX(Source_GM_code_CBS!$B:$B,MATCH($A159,Source_GM_code_CBS!$C:$C,0))</f>
        <v>GM1940</v>
      </c>
      <c r="C159">
        <f>Source_wegvoertuigen_CBS!C163</f>
        <v>29481</v>
      </c>
      <c r="D159">
        <f>Source_wegvoertuigen_CBS!D163</f>
        <v>4399</v>
      </c>
      <c r="E159">
        <f>Source_wegvoertuigen_CBS!E163</f>
        <v>224</v>
      </c>
      <c r="F159">
        <f>Source_wegvoertuigen_CBS!F163</f>
        <v>23</v>
      </c>
    </row>
    <row r="160" spans="1:6" x14ac:dyDescent="0.2">
      <c r="A160" t="str">
        <f>Source_wegvoertuigen_CBS!A164</f>
        <v>Gaasterlân-Sleat</v>
      </c>
      <c r="B160" t="e">
        <f>INDEX(Source_GM_code_CBS!$B:$B,MATCH($A160,Source_GM_code_CBS!$C:$C,0))</f>
        <v>#N/A</v>
      </c>
      <c r="C160">
        <f>Source_wegvoertuigen_CBS!C164</f>
        <v>0</v>
      </c>
      <c r="D160">
        <f>Source_wegvoertuigen_CBS!D164</f>
        <v>0</v>
      </c>
      <c r="E160">
        <f>Source_wegvoertuigen_CBS!E164</f>
        <v>0</v>
      </c>
      <c r="F160">
        <f>Source_wegvoertuigen_CBS!F164</f>
        <v>0</v>
      </c>
    </row>
    <row r="161" spans="1:6" x14ac:dyDescent="0.2">
      <c r="A161" t="str">
        <f>Source_wegvoertuigen_CBS!A165</f>
        <v>Geertruidenberg</v>
      </c>
      <c r="B161" t="str">
        <f>INDEX(Source_GM_code_CBS!$B:$B,MATCH($A161,Source_GM_code_CBS!$C:$C,0))</f>
        <v>GM0779</v>
      </c>
      <c r="C161">
        <f>Source_wegvoertuigen_CBS!C165</f>
        <v>11974</v>
      </c>
      <c r="D161">
        <f>Source_wegvoertuigen_CBS!D165</f>
        <v>1245</v>
      </c>
      <c r="E161">
        <f>Source_wegvoertuigen_CBS!E165</f>
        <v>59</v>
      </c>
      <c r="F161">
        <f>Source_wegvoertuigen_CBS!F165</f>
        <v>4</v>
      </c>
    </row>
    <row r="162" spans="1:6" x14ac:dyDescent="0.2">
      <c r="A162" t="str">
        <f>Source_wegvoertuigen_CBS!A166</f>
        <v>Geldermalsen</v>
      </c>
      <c r="B162" t="e">
        <f>INDEX(Source_GM_code_CBS!$B:$B,MATCH($A162,Source_GM_code_CBS!$C:$C,0))</f>
        <v>#N/A</v>
      </c>
      <c r="C162">
        <f>Source_wegvoertuigen_CBS!C166</f>
        <v>0</v>
      </c>
      <c r="D162">
        <f>Source_wegvoertuigen_CBS!D166</f>
        <v>0</v>
      </c>
      <c r="E162">
        <f>Source_wegvoertuigen_CBS!E166</f>
        <v>0</v>
      </c>
      <c r="F162">
        <f>Source_wegvoertuigen_CBS!F166</f>
        <v>0</v>
      </c>
    </row>
    <row r="163" spans="1:6" x14ac:dyDescent="0.2">
      <c r="A163" t="str">
        <f>Source_wegvoertuigen_CBS!A167</f>
        <v>Geldrop</v>
      </c>
      <c r="B163" t="e">
        <f>INDEX(Source_GM_code_CBS!$B:$B,MATCH($A163,Source_GM_code_CBS!$C:$C,0))</f>
        <v>#N/A</v>
      </c>
      <c r="C163">
        <f>Source_wegvoertuigen_CBS!C167</f>
        <v>0</v>
      </c>
      <c r="D163">
        <f>Source_wegvoertuigen_CBS!D167</f>
        <v>0</v>
      </c>
      <c r="E163">
        <f>Source_wegvoertuigen_CBS!E167</f>
        <v>0</v>
      </c>
      <c r="F163">
        <f>Source_wegvoertuigen_CBS!F167</f>
        <v>0</v>
      </c>
    </row>
    <row r="164" spans="1:6" x14ac:dyDescent="0.2">
      <c r="A164" t="str">
        <f>Source_wegvoertuigen_CBS!A168</f>
        <v>Geldrop-Mierlo</v>
      </c>
      <c r="B164" t="str">
        <f>INDEX(Source_GM_code_CBS!$B:$B,MATCH($A164,Source_GM_code_CBS!$C:$C,0))</f>
        <v>GM1771</v>
      </c>
      <c r="C164">
        <f>Source_wegvoertuigen_CBS!C168</f>
        <v>22240</v>
      </c>
      <c r="D164">
        <f>Source_wegvoertuigen_CBS!D168</f>
        <v>2380</v>
      </c>
      <c r="E164">
        <f>Source_wegvoertuigen_CBS!E168</f>
        <v>115</v>
      </c>
      <c r="F164">
        <f>Source_wegvoertuigen_CBS!F168</f>
        <v>7</v>
      </c>
    </row>
    <row r="165" spans="1:6" x14ac:dyDescent="0.2">
      <c r="A165" t="str">
        <f>Source_wegvoertuigen_CBS!A169</f>
        <v>Geleen</v>
      </c>
      <c r="B165" t="e">
        <f>INDEX(Source_GM_code_CBS!$B:$B,MATCH($A165,Source_GM_code_CBS!$C:$C,0))</f>
        <v>#N/A</v>
      </c>
      <c r="C165">
        <f>Source_wegvoertuigen_CBS!C169</f>
        <v>0</v>
      </c>
      <c r="D165">
        <f>Source_wegvoertuigen_CBS!D169</f>
        <v>0</v>
      </c>
      <c r="E165">
        <f>Source_wegvoertuigen_CBS!E169</f>
        <v>0</v>
      </c>
      <c r="F165">
        <f>Source_wegvoertuigen_CBS!F169</f>
        <v>0</v>
      </c>
    </row>
    <row r="166" spans="1:6" x14ac:dyDescent="0.2">
      <c r="A166" t="str">
        <f>Source_wegvoertuigen_CBS!A170</f>
        <v>Gemert-Bakel</v>
      </c>
      <c r="B166" t="str">
        <f>INDEX(Source_GM_code_CBS!$B:$B,MATCH($A166,Source_GM_code_CBS!$C:$C,0))</f>
        <v>GM1652</v>
      </c>
      <c r="C166">
        <f>Source_wegvoertuigen_CBS!C170</f>
        <v>17310</v>
      </c>
      <c r="D166">
        <f>Source_wegvoertuigen_CBS!D170</f>
        <v>2712</v>
      </c>
      <c r="E166">
        <f>Source_wegvoertuigen_CBS!E170</f>
        <v>208</v>
      </c>
      <c r="F166">
        <f>Source_wegvoertuigen_CBS!F170</f>
        <v>4</v>
      </c>
    </row>
    <row r="167" spans="1:6" x14ac:dyDescent="0.2">
      <c r="A167" t="str">
        <f>Source_wegvoertuigen_CBS!A171</f>
        <v>Gendringen</v>
      </c>
      <c r="B167" t="e">
        <f>INDEX(Source_GM_code_CBS!$B:$B,MATCH($A167,Source_GM_code_CBS!$C:$C,0))</f>
        <v>#N/A</v>
      </c>
      <c r="C167">
        <f>Source_wegvoertuigen_CBS!C171</f>
        <v>0</v>
      </c>
      <c r="D167">
        <f>Source_wegvoertuigen_CBS!D171</f>
        <v>0</v>
      </c>
      <c r="E167">
        <f>Source_wegvoertuigen_CBS!E171</f>
        <v>0</v>
      </c>
      <c r="F167">
        <f>Source_wegvoertuigen_CBS!F171</f>
        <v>0</v>
      </c>
    </row>
    <row r="168" spans="1:6" x14ac:dyDescent="0.2">
      <c r="A168" t="str">
        <f>Source_wegvoertuigen_CBS!A172</f>
        <v>Gendt</v>
      </c>
      <c r="B168" t="e">
        <f>INDEX(Source_GM_code_CBS!$B:$B,MATCH($A168,Source_GM_code_CBS!$C:$C,0))</f>
        <v>#N/A</v>
      </c>
      <c r="C168">
        <f>Source_wegvoertuigen_CBS!C172</f>
        <v>0</v>
      </c>
      <c r="D168">
        <f>Source_wegvoertuigen_CBS!D172</f>
        <v>0</v>
      </c>
      <c r="E168">
        <f>Source_wegvoertuigen_CBS!E172</f>
        <v>0</v>
      </c>
      <c r="F168">
        <f>Source_wegvoertuigen_CBS!F172</f>
        <v>0</v>
      </c>
    </row>
    <row r="169" spans="1:6" x14ac:dyDescent="0.2">
      <c r="A169" t="str">
        <f>Source_wegvoertuigen_CBS!A173</f>
        <v>Genemuiden</v>
      </c>
      <c r="B169" t="e">
        <f>INDEX(Source_GM_code_CBS!$B:$B,MATCH($A169,Source_GM_code_CBS!$C:$C,0))</f>
        <v>#N/A</v>
      </c>
      <c r="C169">
        <f>Source_wegvoertuigen_CBS!C173</f>
        <v>0</v>
      </c>
      <c r="D169">
        <f>Source_wegvoertuigen_CBS!D173</f>
        <v>0</v>
      </c>
      <c r="E169">
        <f>Source_wegvoertuigen_CBS!E173</f>
        <v>0</v>
      </c>
      <c r="F169">
        <f>Source_wegvoertuigen_CBS!F173</f>
        <v>0</v>
      </c>
    </row>
    <row r="170" spans="1:6" x14ac:dyDescent="0.2">
      <c r="A170" t="str">
        <f>Source_wegvoertuigen_CBS!A174</f>
        <v>Gennep</v>
      </c>
      <c r="B170" t="str">
        <f>INDEX(Source_GM_code_CBS!$B:$B,MATCH($A170,Source_GM_code_CBS!$C:$C,0))</f>
        <v>GM0907</v>
      </c>
      <c r="C170">
        <f>Source_wegvoertuigen_CBS!C174</f>
        <v>9799</v>
      </c>
      <c r="D170">
        <f>Source_wegvoertuigen_CBS!D174</f>
        <v>972</v>
      </c>
      <c r="E170">
        <f>Source_wegvoertuigen_CBS!E174</f>
        <v>117</v>
      </c>
      <c r="F170">
        <f>Source_wegvoertuigen_CBS!F174</f>
        <v>0</v>
      </c>
    </row>
    <row r="171" spans="1:6" x14ac:dyDescent="0.2">
      <c r="A171" t="str">
        <f>Source_wegvoertuigen_CBS!A175</f>
        <v>Giessenlanden</v>
      </c>
      <c r="B171" t="e">
        <f>INDEX(Source_GM_code_CBS!$B:$B,MATCH($A171,Source_GM_code_CBS!$C:$C,0))</f>
        <v>#N/A</v>
      </c>
      <c r="C171">
        <f>Source_wegvoertuigen_CBS!C175</f>
        <v>0</v>
      </c>
      <c r="D171">
        <f>Source_wegvoertuigen_CBS!D175</f>
        <v>0</v>
      </c>
      <c r="E171">
        <f>Source_wegvoertuigen_CBS!E175</f>
        <v>0</v>
      </c>
      <c r="F171">
        <f>Source_wegvoertuigen_CBS!F175</f>
        <v>0</v>
      </c>
    </row>
    <row r="172" spans="1:6" x14ac:dyDescent="0.2">
      <c r="A172" t="str">
        <f>Source_wegvoertuigen_CBS!A176</f>
        <v>Gilze en Rijen</v>
      </c>
      <c r="B172" t="str">
        <f>INDEX(Source_GM_code_CBS!$B:$B,MATCH($A172,Source_GM_code_CBS!$C:$C,0))</f>
        <v>GM0784</v>
      </c>
      <c r="C172">
        <f>Source_wegvoertuigen_CBS!C176</f>
        <v>14443</v>
      </c>
      <c r="D172">
        <f>Source_wegvoertuigen_CBS!D176</f>
        <v>1518</v>
      </c>
      <c r="E172">
        <f>Source_wegvoertuigen_CBS!E176</f>
        <v>98</v>
      </c>
      <c r="F172">
        <f>Source_wegvoertuigen_CBS!F176</f>
        <v>1</v>
      </c>
    </row>
    <row r="173" spans="1:6" x14ac:dyDescent="0.2">
      <c r="A173" t="str">
        <f>Source_wegvoertuigen_CBS!A177</f>
        <v>Goedereede</v>
      </c>
      <c r="B173" t="e">
        <f>INDEX(Source_GM_code_CBS!$B:$B,MATCH($A173,Source_GM_code_CBS!$C:$C,0))</f>
        <v>#N/A</v>
      </c>
      <c r="C173">
        <f>Source_wegvoertuigen_CBS!C177</f>
        <v>0</v>
      </c>
      <c r="D173">
        <f>Source_wegvoertuigen_CBS!D177</f>
        <v>0</v>
      </c>
      <c r="E173">
        <f>Source_wegvoertuigen_CBS!E177</f>
        <v>0</v>
      </c>
      <c r="F173">
        <f>Source_wegvoertuigen_CBS!F177</f>
        <v>0</v>
      </c>
    </row>
    <row r="174" spans="1:6" x14ac:dyDescent="0.2">
      <c r="A174" t="str">
        <f>Source_wegvoertuigen_CBS!A178</f>
        <v>Goeree-Overflakkee</v>
      </c>
      <c r="B174" t="str">
        <f>INDEX(Source_GM_code_CBS!$B:$B,MATCH($A174,Source_GM_code_CBS!$C:$C,0))</f>
        <v>GM1924</v>
      </c>
      <c r="C174">
        <f>Source_wegvoertuigen_CBS!C178</f>
        <v>28379</v>
      </c>
      <c r="D174">
        <f>Source_wegvoertuigen_CBS!D178</f>
        <v>3716</v>
      </c>
      <c r="E174">
        <f>Source_wegvoertuigen_CBS!E178</f>
        <v>197</v>
      </c>
      <c r="F174">
        <f>Source_wegvoertuigen_CBS!F178</f>
        <v>79</v>
      </c>
    </row>
    <row r="175" spans="1:6" x14ac:dyDescent="0.2">
      <c r="A175" t="str">
        <f>Source_wegvoertuigen_CBS!A179</f>
        <v>Goes</v>
      </c>
      <c r="B175" t="str">
        <f>INDEX(Source_GM_code_CBS!$B:$B,MATCH($A175,Source_GM_code_CBS!$C:$C,0))</f>
        <v>GM0664</v>
      </c>
      <c r="C175">
        <f>Source_wegvoertuigen_CBS!C179</f>
        <v>21617</v>
      </c>
      <c r="D175">
        <f>Source_wegvoertuigen_CBS!D179</f>
        <v>2483</v>
      </c>
      <c r="E175">
        <f>Source_wegvoertuigen_CBS!E179</f>
        <v>130</v>
      </c>
      <c r="F175">
        <f>Source_wegvoertuigen_CBS!F179</f>
        <v>1</v>
      </c>
    </row>
    <row r="176" spans="1:6" x14ac:dyDescent="0.2">
      <c r="A176" t="s">
        <v>443</v>
      </c>
      <c r="B176" t="str">
        <f>INDEX(Source_GM_code_CBS!$B:$B,MATCH($A176,Source_GM_code_CBS!$C:$C,0))</f>
        <v>GM0785</v>
      </c>
      <c r="C176">
        <f>Source_wegvoertuigen_CBS!C180</f>
        <v>12645</v>
      </c>
      <c r="D176">
        <f>Source_wegvoertuigen_CBS!D180</f>
        <v>1146</v>
      </c>
      <c r="E176">
        <f>Source_wegvoertuigen_CBS!E180</f>
        <v>85</v>
      </c>
      <c r="F176">
        <f>Source_wegvoertuigen_CBS!F180</f>
        <v>2</v>
      </c>
    </row>
    <row r="177" spans="1:6" x14ac:dyDescent="0.2">
      <c r="A177" t="str">
        <f>Source_wegvoertuigen_CBS!A181</f>
        <v>Gooise Meren</v>
      </c>
      <c r="B177" t="str">
        <f>INDEX(Source_GM_code_CBS!$B:$B,MATCH($A177,Source_GM_code_CBS!$C:$C,0))</f>
        <v>GM1942</v>
      </c>
      <c r="C177">
        <f>Source_wegvoertuigen_CBS!C181</f>
        <v>29412</v>
      </c>
      <c r="D177">
        <f>Source_wegvoertuigen_CBS!D181</f>
        <v>1838</v>
      </c>
      <c r="E177">
        <f>Source_wegvoertuigen_CBS!E181</f>
        <v>47</v>
      </c>
      <c r="F177">
        <f>Source_wegvoertuigen_CBS!F181</f>
        <v>0</v>
      </c>
    </row>
    <row r="178" spans="1:6" x14ac:dyDescent="0.2">
      <c r="A178" t="str">
        <f>Source_wegvoertuigen_CBS!A182</f>
        <v>Goor</v>
      </c>
      <c r="B178" t="e">
        <f>INDEX(Source_GM_code_CBS!$B:$B,MATCH($A178,Source_GM_code_CBS!$C:$C,0))</f>
        <v>#N/A</v>
      </c>
      <c r="C178">
        <f>Source_wegvoertuigen_CBS!C182</f>
        <v>0</v>
      </c>
      <c r="D178">
        <f>Source_wegvoertuigen_CBS!D182</f>
        <v>0</v>
      </c>
      <c r="E178">
        <f>Source_wegvoertuigen_CBS!E182</f>
        <v>0</v>
      </c>
      <c r="F178">
        <f>Source_wegvoertuigen_CBS!F182</f>
        <v>0</v>
      </c>
    </row>
    <row r="179" spans="1:6" x14ac:dyDescent="0.2">
      <c r="A179" t="str">
        <f>Source_wegvoertuigen_CBS!A183</f>
        <v>Gorinchem</v>
      </c>
      <c r="B179" t="str">
        <f>INDEX(Source_GM_code_CBS!$B:$B,MATCH($A179,Source_GM_code_CBS!$C:$C,0))</f>
        <v>GM0512</v>
      </c>
      <c r="C179">
        <f>Source_wegvoertuigen_CBS!C183</f>
        <v>17719</v>
      </c>
      <c r="D179">
        <f>Source_wegvoertuigen_CBS!D183</f>
        <v>1901</v>
      </c>
      <c r="E179">
        <f>Source_wegvoertuigen_CBS!E183</f>
        <v>97</v>
      </c>
      <c r="F179">
        <f>Source_wegvoertuigen_CBS!F183</f>
        <v>5</v>
      </c>
    </row>
    <row r="180" spans="1:6" x14ac:dyDescent="0.2">
      <c r="A180" t="str">
        <f>Source_wegvoertuigen_CBS!A184</f>
        <v>Gorssel</v>
      </c>
      <c r="B180" t="e">
        <f>INDEX(Source_GM_code_CBS!$B:$B,MATCH($A180,Source_GM_code_CBS!$C:$C,0))</f>
        <v>#N/A</v>
      </c>
      <c r="C180">
        <f>Source_wegvoertuigen_CBS!C184</f>
        <v>0</v>
      </c>
      <c r="D180">
        <f>Source_wegvoertuigen_CBS!D184</f>
        <v>0</v>
      </c>
      <c r="E180">
        <f>Source_wegvoertuigen_CBS!E184</f>
        <v>0</v>
      </c>
      <c r="F180">
        <f>Source_wegvoertuigen_CBS!F184</f>
        <v>0</v>
      </c>
    </row>
    <row r="181" spans="1:6" x14ac:dyDescent="0.2">
      <c r="A181" t="str">
        <f>Source_wegvoertuigen_CBS!A185</f>
        <v>Gouda</v>
      </c>
      <c r="B181" t="str">
        <f>INDEX(Source_GM_code_CBS!$B:$B,MATCH($A181,Source_GM_code_CBS!$C:$C,0))</f>
        <v>GM0513</v>
      </c>
      <c r="C181">
        <f>Source_wegvoertuigen_CBS!C185</f>
        <v>29676</v>
      </c>
      <c r="D181">
        <f>Source_wegvoertuigen_CBS!D185</f>
        <v>2498</v>
      </c>
      <c r="E181">
        <f>Source_wegvoertuigen_CBS!E185</f>
        <v>94</v>
      </c>
      <c r="F181">
        <f>Source_wegvoertuigen_CBS!F185</f>
        <v>3</v>
      </c>
    </row>
    <row r="182" spans="1:6" x14ac:dyDescent="0.2">
      <c r="A182" t="str">
        <f>Source_wegvoertuigen_CBS!A186</f>
        <v>Graafstroom</v>
      </c>
      <c r="B182" t="e">
        <f>INDEX(Source_GM_code_CBS!$B:$B,MATCH($A182,Source_GM_code_CBS!$C:$C,0))</f>
        <v>#N/A</v>
      </c>
      <c r="C182">
        <f>Source_wegvoertuigen_CBS!C186</f>
        <v>0</v>
      </c>
      <c r="D182">
        <f>Source_wegvoertuigen_CBS!D186</f>
        <v>0</v>
      </c>
      <c r="E182">
        <f>Source_wegvoertuigen_CBS!E186</f>
        <v>0</v>
      </c>
      <c r="F182">
        <f>Source_wegvoertuigen_CBS!F186</f>
        <v>0</v>
      </c>
    </row>
    <row r="183" spans="1:6" x14ac:dyDescent="0.2">
      <c r="A183" t="str">
        <f>Source_wegvoertuigen_CBS!A187</f>
        <v>Graft-De Rijp</v>
      </c>
      <c r="B183" t="e">
        <f>INDEX(Source_GM_code_CBS!$B:$B,MATCH($A183,Source_GM_code_CBS!$C:$C,0))</f>
        <v>#N/A</v>
      </c>
      <c r="C183">
        <f>Source_wegvoertuigen_CBS!C187</f>
        <v>0</v>
      </c>
      <c r="D183">
        <f>Source_wegvoertuigen_CBS!D187</f>
        <v>0</v>
      </c>
      <c r="E183">
        <f>Source_wegvoertuigen_CBS!E187</f>
        <v>0</v>
      </c>
      <c r="F183">
        <f>Source_wegvoertuigen_CBS!F187</f>
        <v>0</v>
      </c>
    </row>
    <row r="184" spans="1:6" x14ac:dyDescent="0.2">
      <c r="A184" t="str">
        <f>Source_wegvoertuigen_CBS!A188</f>
        <v>Gramsbergen</v>
      </c>
      <c r="B184" t="e">
        <f>INDEX(Source_GM_code_CBS!$B:$B,MATCH($A184,Source_GM_code_CBS!$C:$C,0))</f>
        <v>#N/A</v>
      </c>
      <c r="C184">
        <f>Source_wegvoertuigen_CBS!C188</f>
        <v>0</v>
      </c>
      <c r="D184">
        <f>Source_wegvoertuigen_CBS!D188</f>
        <v>0</v>
      </c>
      <c r="E184">
        <f>Source_wegvoertuigen_CBS!E188</f>
        <v>0</v>
      </c>
      <c r="F184">
        <f>Source_wegvoertuigen_CBS!F188</f>
        <v>0</v>
      </c>
    </row>
    <row r="185" spans="1:6" x14ac:dyDescent="0.2">
      <c r="A185" t="str">
        <f>Source_wegvoertuigen_CBS!A189</f>
        <v>Grave</v>
      </c>
      <c r="B185" t="e">
        <f>INDEX(Source_GM_code_CBS!$B:$B,MATCH($A185,Source_GM_code_CBS!$C:$C,0))</f>
        <v>#N/A</v>
      </c>
      <c r="C185">
        <f>Source_wegvoertuigen_CBS!C189</f>
        <v>0</v>
      </c>
      <c r="D185">
        <f>Source_wegvoertuigen_CBS!D189</f>
        <v>0</v>
      </c>
      <c r="E185">
        <f>Source_wegvoertuigen_CBS!E189</f>
        <v>0</v>
      </c>
      <c r="F185">
        <f>Source_wegvoertuigen_CBS!F189</f>
        <v>0</v>
      </c>
    </row>
    <row r="186" spans="1:6" x14ac:dyDescent="0.2">
      <c r="A186" t="str">
        <f>Source_wegvoertuigen_CBS!A190</f>
        <v>'s-Graveland</v>
      </c>
      <c r="B186" t="e">
        <f>INDEX(Source_GM_code_CBS!$B:$B,MATCH($A186,Source_GM_code_CBS!$C:$C,0))</f>
        <v>#N/A</v>
      </c>
      <c r="C186">
        <f>Source_wegvoertuigen_CBS!C190</f>
        <v>0</v>
      </c>
      <c r="D186">
        <f>Source_wegvoertuigen_CBS!D190</f>
        <v>0</v>
      </c>
      <c r="E186">
        <f>Source_wegvoertuigen_CBS!E190</f>
        <v>0</v>
      </c>
      <c r="F186">
        <f>Source_wegvoertuigen_CBS!F190</f>
        <v>0</v>
      </c>
    </row>
    <row r="187" spans="1:6" x14ac:dyDescent="0.2">
      <c r="A187" t="str">
        <f>Source_wegvoertuigen_CBS!A191</f>
        <v>'s-Gravendeel</v>
      </c>
      <c r="B187" t="e">
        <f>INDEX(Source_GM_code_CBS!$B:$B,MATCH($A187,Source_GM_code_CBS!$C:$C,0))</f>
        <v>#N/A</v>
      </c>
      <c r="C187">
        <f>Source_wegvoertuigen_CBS!C191</f>
        <v>0</v>
      </c>
      <c r="D187">
        <f>Source_wegvoertuigen_CBS!D191</f>
        <v>0</v>
      </c>
      <c r="E187">
        <f>Source_wegvoertuigen_CBS!E191</f>
        <v>0</v>
      </c>
      <c r="F187">
        <f>Source_wegvoertuigen_CBS!F191</f>
        <v>0</v>
      </c>
    </row>
    <row r="188" spans="1:6" ht="16" x14ac:dyDescent="0.2">
      <c r="A188" s="6" t="s">
        <v>453</v>
      </c>
      <c r="B188" t="str">
        <f>INDEX(Source_GM_code_CBS!$B:$B,MATCH($A188,Source_GM_code_CBS!$C:$C,0))</f>
        <v>GM0518</v>
      </c>
      <c r="C188">
        <f>Source_wegvoertuigen_CBS!C192</f>
        <v>203451</v>
      </c>
      <c r="D188">
        <f>Source_wegvoertuigen_CBS!D192</f>
        <v>20724</v>
      </c>
      <c r="E188">
        <f>Source_wegvoertuigen_CBS!E192</f>
        <v>486</v>
      </c>
      <c r="F188">
        <f>Source_wegvoertuigen_CBS!F192</f>
        <v>156</v>
      </c>
    </row>
    <row r="189" spans="1:6" x14ac:dyDescent="0.2">
      <c r="A189" t="str">
        <f>Source_wegvoertuigen_CBS!A193</f>
        <v>'s-Gravenzande</v>
      </c>
      <c r="B189" t="e">
        <f>INDEX(Source_GM_code_CBS!$B:$B,MATCH($A189,Source_GM_code_CBS!$C:$C,0))</f>
        <v>#N/A</v>
      </c>
      <c r="C189">
        <f>Source_wegvoertuigen_CBS!C193</f>
        <v>0</v>
      </c>
      <c r="D189">
        <f>Source_wegvoertuigen_CBS!D193</f>
        <v>0</v>
      </c>
      <c r="E189">
        <f>Source_wegvoertuigen_CBS!E193</f>
        <v>0</v>
      </c>
      <c r="F189">
        <f>Source_wegvoertuigen_CBS!F193</f>
        <v>0</v>
      </c>
    </row>
    <row r="190" spans="1:6" x14ac:dyDescent="0.2">
      <c r="A190" t="str">
        <f>Source_wegvoertuigen_CBS!A194</f>
        <v>Groenlo</v>
      </c>
      <c r="B190" t="e">
        <f>INDEX(Source_GM_code_CBS!$B:$B,MATCH($A190,Source_GM_code_CBS!$C:$C,0))</f>
        <v>#N/A</v>
      </c>
      <c r="C190">
        <f>Source_wegvoertuigen_CBS!C194</f>
        <v>0</v>
      </c>
      <c r="D190">
        <f>Source_wegvoertuigen_CBS!D194</f>
        <v>0</v>
      </c>
      <c r="E190">
        <f>Source_wegvoertuigen_CBS!E194</f>
        <v>0</v>
      </c>
      <c r="F190">
        <f>Source_wegvoertuigen_CBS!F194</f>
        <v>0</v>
      </c>
    </row>
    <row r="191" spans="1:6" x14ac:dyDescent="0.2">
      <c r="A191" t="str">
        <f>Source_wegvoertuigen_CBS!A195</f>
        <v>Groesbeek</v>
      </c>
      <c r="B191" t="e">
        <f>INDEX(Source_GM_code_CBS!$B:$B,MATCH($A191,Source_GM_code_CBS!$C:$C,0))</f>
        <v>#N/A</v>
      </c>
      <c r="C191">
        <f>Source_wegvoertuigen_CBS!C195</f>
        <v>0</v>
      </c>
      <c r="D191">
        <f>Source_wegvoertuigen_CBS!D195</f>
        <v>0</v>
      </c>
      <c r="E191">
        <f>Source_wegvoertuigen_CBS!E195</f>
        <v>0</v>
      </c>
      <c r="F191">
        <f>Source_wegvoertuigen_CBS!F195</f>
        <v>0</v>
      </c>
    </row>
    <row r="192" spans="1:6" x14ac:dyDescent="0.2">
      <c r="A192" s="5" t="s">
        <v>59</v>
      </c>
      <c r="B192" t="str">
        <f>INDEX(Source_GM_code_CBS!$B:$B,MATCH($A192,Source_GM_code_CBS!$C:$C,0))</f>
        <v>GM0014</v>
      </c>
      <c r="C192">
        <f>Source_wegvoertuigen_CBS!C196</f>
        <v>97287</v>
      </c>
      <c r="D192">
        <f>Source_wegvoertuigen_CBS!D196</f>
        <v>11095</v>
      </c>
      <c r="E192">
        <f>Source_wegvoertuigen_CBS!E196</f>
        <v>412</v>
      </c>
      <c r="F192">
        <f>Source_wegvoertuigen_CBS!F196</f>
        <v>308</v>
      </c>
    </row>
    <row r="193" spans="1:6" x14ac:dyDescent="0.2">
      <c r="A193" t="str">
        <f>Source_wegvoertuigen_CBS!A197</f>
        <v>Grootegast</v>
      </c>
      <c r="B193" t="e">
        <f>INDEX(Source_GM_code_CBS!$B:$B,MATCH($A193,Source_GM_code_CBS!$C:$C,0))</f>
        <v>#N/A</v>
      </c>
      <c r="C193">
        <f>Source_wegvoertuigen_CBS!C197</f>
        <v>0</v>
      </c>
      <c r="D193">
        <f>Source_wegvoertuigen_CBS!D197</f>
        <v>0</v>
      </c>
      <c r="E193">
        <f>Source_wegvoertuigen_CBS!E197</f>
        <v>0</v>
      </c>
      <c r="F193">
        <f>Source_wegvoertuigen_CBS!F197</f>
        <v>0</v>
      </c>
    </row>
    <row r="194" spans="1:6" x14ac:dyDescent="0.2">
      <c r="A194" t="str">
        <f>Source_wegvoertuigen_CBS!A198</f>
        <v>Grubbenvorst</v>
      </c>
      <c r="B194" t="e">
        <f>INDEX(Source_GM_code_CBS!$B:$B,MATCH($A194,Source_GM_code_CBS!$C:$C,0))</f>
        <v>#N/A</v>
      </c>
      <c r="C194">
        <f>Source_wegvoertuigen_CBS!C198</f>
        <v>0</v>
      </c>
      <c r="D194">
        <f>Source_wegvoertuigen_CBS!D198</f>
        <v>0</v>
      </c>
      <c r="E194">
        <f>Source_wegvoertuigen_CBS!E198</f>
        <v>0</v>
      </c>
      <c r="F194">
        <f>Source_wegvoertuigen_CBS!F198</f>
        <v>0</v>
      </c>
    </row>
    <row r="195" spans="1:6" x14ac:dyDescent="0.2">
      <c r="A195" t="str">
        <f>Source_wegvoertuigen_CBS!A199</f>
        <v>Gulpen-Wittem</v>
      </c>
      <c r="B195" t="str">
        <f>INDEX(Source_GM_code_CBS!$B:$B,MATCH($A195,Source_GM_code_CBS!$C:$C,0))</f>
        <v>GM1729</v>
      </c>
      <c r="C195">
        <f>Source_wegvoertuigen_CBS!C199</f>
        <v>8458</v>
      </c>
      <c r="D195">
        <f>Source_wegvoertuigen_CBS!D199</f>
        <v>750</v>
      </c>
      <c r="E195">
        <f>Source_wegvoertuigen_CBS!E199</f>
        <v>45</v>
      </c>
      <c r="F195">
        <f>Source_wegvoertuigen_CBS!F199</f>
        <v>2</v>
      </c>
    </row>
    <row r="196" spans="1:6" x14ac:dyDescent="0.2">
      <c r="A196" t="str">
        <f>Source_wegvoertuigen_CBS!A200</f>
        <v>Haaksbergen</v>
      </c>
      <c r="B196" t="str">
        <f>INDEX(Source_GM_code_CBS!$B:$B,MATCH($A196,Source_GM_code_CBS!$C:$C,0))</f>
        <v>GM0158</v>
      </c>
      <c r="C196">
        <f>Source_wegvoertuigen_CBS!C200</f>
        <v>13663</v>
      </c>
      <c r="D196">
        <f>Source_wegvoertuigen_CBS!D200</f>
        <v>1631</v>
      </c>
      <c r="E196">
        <f>Source_wegvoertuigen_CBS!E200</f>
        <v>86</v>
      </c>
      <c r="F196">
        <f>Source_wegvoertuigen_CBS!F200</f>
        <v>0</v>
      </c>
    </row>
    <row r="197" spans="1:6" x14ac:dyDescent="0.2">
      <c r="A197" t="str">
        <f>Source_wegvoertuigen_CBS!A201</f>
        <v>Haaren</v>
      </c>
      <c r="B197" t="e">
        <f>INDEX(Source_GM_code_CBS!$B:$B,MATCH($A197,Source_GM_code_CBS!$C:$C,0))</f>
        <v>#N/A</v>
      </c>
      <c r="C197">
        <f>Source_wegvoertuigen_CBS!C201</f>
        <v>0</v>
      </c>
      <c r="D197">
        <f>Source_wegvoertuigen_CBS!D201</f>
        <v>0</v>
      </c>
      <c r="E197">
        <f>Source_wegvoertuigen_CBS!E201</f>
        <v>0</v>
      </c>
      <c r="F197">
        <f>Source_wegvoertuigen_CBS!F201</f>
        <v>0</v>
      </c>
    </row>
    <row r="198" spans="1:6" x14ac:dyDescent="0.2">
      <c r="A198" t="str">
        <f>Source_wegvoertuigen_CBS!A202</f>
        <v>Haarlem</v>
      </c>
      <c r="B198" t="str">
        <f>INDEX(Source_GM_code_CBS!$B:$B,MATCH($A198,Source_GM_code_CBS!$C:$C,0))</f>
        <v>GM0392</v>
      </c>
      <c r="C198">
        <f>Source_wegvoertuigen_CBS!C202</f>
        <v>64102</v>
      </c>
      <c r="D198">
        <f>Source_wegvoertuigen_CBS!D202</f>
        <v>5030</v>
      </c>
      <c r="E198">
        <f>Source_wegvoertuigen_CBS!E202</f>
        <v>247</v>
      </c>
      <c r="F198">
        <f>Source_wegvoertuigen_CBS!F202</f>
        <v>95</v>
      </c>
    </row>
    <row r="199" spans="1:6" x14ac:dyDescent="0.2">
      <c r="A199" t="str">
        <f>Source_wegvoertuigen_CBS!A203</f>
        <v>Haarlemmerliede en Spaarnwoude</v>
      </c>
      <c r="B199" t="e">
        <f>INDEX(Source_GM_code_CBS!$B:$B,MATCH($A199,Source_GM_code_CBS!$C:$C,0))</f>
        <v>#N/A</v>
      </c>
      <c r="C199">
        <f>Source_wegvoertuigen_CBS!C203</f>
        <v>0</v>
      </c>
      <c r="D199">
        <f>Source_wegvoertuigen_CBS!D203</f>
        <v>0</v>
      </c>
      <c r="E199">
        <f>Source_wegvoertuigen_CBS!E203</f>
        <v>0</v>
      </c>
      <c r="F199">
        <f>Source_wegvoertuigen_CBS!F203</f>
        <v>0</v>
      </c>
    </row>
    <row r="200" spans="1:6" x14ac:dyDescent="0.2">
      <c r="A200" t="str">
        <f>Source_wegvoertuigen_CBS!A204</f>
        <v>Haarlemmermeer</v>
      </c>
      <c r="B200" t="str">
        <f>INDEX(Source_GM_code_CBS!$B:$B,MATCH($A200,Source_GM_code_CBS!$C:$C,0))</f>
        <v>GM0394</v>
      </c>
      <c r="C200">
        <f>Source_wegvoertuigen_CBS!C204</f>
        <v>126589</v>
      </c>
      <c r="D200">
        <f>Source_wegvoertuigen_CBS!D204</f>
        <v>20457</v>
      </c>
      <c r="E200">
        <f>Source_wegvoertuigen_CBS!E204</f>
        <v>1098</v>
      </c>
      <c r="F200">
        <f>Source_wegvoertuigen_CBS!F204</f>
        <v>44</v>
      </c>
    </row>
    <row r="201" spans="1:6" x14ac:dyDescent="0.2">
      <c r="A201" t="str">
        <f>Source_wegvoertuigen_CBS!A205</f>
        <v>Haelen</v>
      </c>
      <c r="B201" t="e">
        <f>INDEX(Source_GM_code_CBS!$B:$B,MATCH($A201,Source_GM_code_CBS!$C:$C,0))</f>
        <v>#N/A</v>
      </c>
      <c r="C201">
        <f>Source_wegvoertuigen_CBS!C205</f>
        <v>0</v>
      </c>
      <c r="D201">
        <f>Source_wegvoertuigen_CBS!D205</f>
        <v>0</v>
      </c>
      <c r="E201">
        <f>Source_wegvoertuigen_CBS!E205</f>
        <v>0</v>
      </c>
      <c r="F201">
        <f>Source_wegvoertuigen_CBS!F205</f>
        <v>0</v>
      </c>
    </row>
    <row r="202" spans="1:6" x14ac:dyDescent="0.2">
      <c r="A202" t="str">
        <f>Source_wegvoertuigen_CBS!A206</f>
        <v>Halderberge</v>
      </c>
      <c r="B202" t="str">
        <f>INDEX(Source_GM_code_CBS!$B:$B,MATCH($A202,Source_GM_code_CBS!$C:$C,0))</f>
        <v>GM1655</v>
      </c>
      <c r="C202">
        <f>Source_wegvoertuigen_CBS!C206</f>
        <v>17657</v>
      </c>
      <c r="D202">
        <f>Source_wegvoertuigen_CBS!D206</f>
        <v>1955</v>
      </c>
      <c r="E202">
        <f>Source_wegvoertuigen_CBS!E206</f>
        <v>135</v>
      </c>
      <c r="F202">
        <f>Source_wegvoertuigen_CBS!F206</f>
        <v>8</v>
      </c>
    </row>
    <row r="203" spans="1:6" x14ac:dyDescent="0.2">
      <c r="A203" t="str">
        <f>Source_wegvoertuigen_CBS!A207</f>
        <v>Den Ham</v>
      </c>
      <c r="B203" t="e">
        <f>INDEX(Source_GM_code_CBS!$B:$B,MATCH($A203,Source_GM_code_CBS!$C:$C,0))</f>
        <v>#N/A</v>
      </c>
      <c r="C203">
        <f>Source_wegvoertuigen_CBS!C207</f>
        <v>0</v>
      </c>
      <c r="D203">
        <f>Source_wegvoertuigen_CBS!D207</f>
        <v>0</v>
      </c>
      <c r="E203">
        <f>Source_wegvoertuigen_CBS!E207</f>
        <v>0</v>
      </c>
      <c r="F203">
        <f>Source_wegvoertuigen_CBS!F207</f>
        <v>0</v>
      </c>
    </row>
    <row r="204" spans="1:6" x14ac:dyDescent="0.2">
      <c r="A204" t="str">
        <f>Source_wegvoertuigen_CBS!A208</f>
        <v>Hardenberg</v>
      </c>
      <c r="B204" t="str">
        <f>INDEX(Source_GM_code_CBS!$B:$B,MATCH($A204,Source_GM_code_CBS!$C:$C,0))</f>
        <v>GM0160</v>
      </c>
      <c r="C204">
        <f>Source_wegvoertuigen_CBS!C208</f>
        <v>34363</v>
      </c>
      <c r="D204">
        <f>Source_wegvoertuigen_CBS!D208</f>
        <v>4799</v>
      </c>
      <c r="E204">
        <f>Source_wegvoertuigen_CBS!E208</f>
        <v>339</v>
      </c>
      <c r="F204">
        <f>Source_wegvoertuigen_CBS!F208</f>
        <v>1</v>
      </c>
    </row>
    <row r="205" spans="1:6" x14ac:dyDescent="0.2">
      <c r="A205" t="str">
        <f>Source_wegvoertuigen_CBS!A209</f>
        <v>Harderwijk</v>
      </c>
      <c r="B205" t="str">
        <f>INDEX(Source_GM_code_CBS!$B:$B,MATCH($A205,Source_GM_code_CBS!$C:$C,0))</f>
        <v>GM0243</v>
      </c>
      <c r="C205">
        <f>Source_wegvoertuigen_CBS!C209</f>
        <v>23473</v>
      </c>
      <c r="D205">
        <f>Source_wegvoertuigen_CBS!D209</f>
        <v>2459</v>
      </c>
      <c r="E205">
        <f>Source_wegvoertuigen_CBS!E209</f>
        <v>124</v>
      </c>
      <c r="F205">
        <f>Source_wegvoertuigen_CBS!F209</f>
        <v>1</v>
      </c>
    </row>
    <row r="206" spans="1:6" x14ac:dyDescent="0.2">
      <c r="A206" t="str">
        <f>Source_wegvoertuigen_CBS!A210</f>
        <v>Hardinxveld-Giessendam</v>
      </c>
      <c r="B206" t="str">
        <f>INDEX(Source_GM_code_CBS!$B:$B,MATCH($A206,Source_GM_code_CBS!$C:$C,0))</f>
        <v>GM0523</v>
      </c>
      <c r="C206">
        <f>Source_wegvoertuigen_CBS!C210</f>
        <v>8979</v>
      </c>
      <c r="D206">
        <f>Source_wegvoertuigen_CBS!D210</f>
        <v>1420</v>
      </c>
      <c r="E206">
        <f>Source_wegvoertuigen_CBS!E210</f>
        <v>115</v>
      </c>
      <c r="F206">
        <f>Source_wegvoertuigen_CBS!F210</f>
        <v>16</v>
      </c>
    </row>
    <row r="207" spans="1:6" x14ac:dyDescent="0.2">
      <c r="A207" t="str">
        <f>Source_wegvoertuigen_CBS!A211</f>
        <v>Haren</v>
      </c>
      <c r="B207" t="e">
        <f>INDEX(Source_GM_code_CBS!$B:$B,MATCH($A207,Source_GM_code_CBS!$C:$C,0))</f>
        <v>#N/A</v>
      </c>
      <c r="C207">
        <f>Source_wegvoertuigen_CBS!C211</f>
        <v>0</v>
      </c>
      <c r="D207">
        <f>Source_wegvoertuigen_CBS!D211</f>
        <v>0</v>
      </c>
      <c r="E207">
        <f>Source_wegvoertuigen_CBS!E211</f>
        <v>0</v>
      </c>
      <c r="F207">
        <f>Source_wegvoertuigen_CBS!F211</f>
        <v>0</v>
      </c>
    </row>
    <row r="208" spans="1:6" x14ac:dyDescent="0.2">
      <c r="A208" t="str">
        <f>Source_wegvoertuigen_CBS!A212</f>
        <v>Harenkarspel</v>
      </c>
      <c r="B208" t="e">
        <f>INDEX(Source_GM_code_CBS!$B:$B,MATCH($A208,Source_GM_code_CBS!$C:$C,0))</f>
        <v>#N/A</v>
      </c>
      <c r="C208">
        <f>Source_wegvoertuigen_CBS!C212</f>
        <v>0</v>
      </c>
      <c r="D208">
        <f>Source_wegvoertuigen_CBS!D212</f>
        <v>0</v>
      </c>
      <c r="E208">
        <f>Source_wegvoertuigen_CBS!E212</f>
        <v>0</v>
      </c>
      <c r="F208">
        <f>Source_wegvoertuigen_CBS!F212</f>
        <v>0</v>
      </c>
    </row>
    <row r="209" spans="1:6" x14ac:dyDescent="0.2">
      <c r="A209" t="str">
        <f>Source_wegvoertuigen_CBS!A213</f>
        <v>Harlingen</v>
      </c>
      <c r="B209" t="str">
        <f>INDEX(Source_GM_code_CBS!$B:$B,MATCH($A209,Source_GM_code_CBS!$C:$C,0))</f>
        <v>GM0072</v>
      </c>
      <c r="C209">
        <f>Source_wegvoertuigen_CBS!C213</f>
        <v>7605</v>
      </c>
      <c r="D209">
        <f>Source_wegvoertuigen_CBS!D213</f>
        <v>962</v>
      </c>
      <c r="E209">
        <f>Source_wegvoertuigen_CBS!E213</f>
        <v>67</v>
      </c>
      <c r="F209">
        <f>Source_wegvoertuigen_CBS!F213</f>
        <v>3</v>
      </c>
    </row>
    <row r="210" spans="1:6" x14ac:dyDescent="0.2">
      <c r="A210" t="str">
        <f>Source_wegvoertuigen_CBS!A214</f>
        <v>Harmelen</v>
      </c>
      <c r="B210" t="e">
        <f>INDEX(Source_GM_code_CBS!$B:$B,MATCH($A210,Source_GM_code_CBS!$C:$C,0))</f>
        <v>#N/A</v>
      </c>
      <c r="C210">
        <f>Source_wegvoertuigen_CBS!C214</f>
        <v>0</v>
      </c>
      <c r="D210">
        <f>Source_wegvoertuigen_CBS!D214</f>
        <v>0</v>
      </c>
      <c r="E210">
        <f>Source_wegvoertuigen_CBS!E214</f>
        <v>0</v>
      </c>
      <c r="F210">
        <f>Source_wegvoertuigen_CBS!F214</f>
        <v>0</v>
      </c>
    </row>
    <row r="211" spans="1:6" x14ac:dyDescent="0.2">
      <c r="A211" t="str">
        <f>Source_wegvoertuigen_CBS!A215</f>
        <v>Hasselt</v>
      </c>
      <c r="B211" t="e">
        <f>INDEX(Source_GM_code_CBS!$B:$B,MATCH($A211,Source_GM_code_CBS!$C:$C,0))</f>
        <v>#N/A</v>
      </c>
      <c r="C211">
        <f>Source_wegvoertuigen_CBS!C215</f>
        <v>0</v>
      </c>
      <c r="D211">
        <f>Source_wegvoertuigen_CBS!D215</f>
        <v>0</v>
      </c>
      <c r="E211">
        <f>Source_wegvoertuigen_CBS!E215</f>
        <v>0</v>
      </c>
      <c r="F211">
        <f>Source_wegvoertuigen_CBS!F215</f>
        <v>0</v>
      </c>
    </row>
    <row r="212" spans="1:6" x14ac:dyDescent="0.2">
      <c r="A212" t="str">
        <f>Source_wegvoertuigen_CBS!A216</f>
        <v>Hattem</v>
      </c>
      <c r="B212" t="str">
        <f>INDEX(Source_GM_code_CBS!$B:$B,MATCH($A212,Source_GM_code_CBS!$C:$C,0))</f>
        <v>GM0244</v>
      </c>
      <c r="C212">
        <f>Source_wegvoertuigen_CBS!C216</f>
        <v>6399</v>
      </c>
      <c r="D212">
        <f>Source_wegvoertuigen_CBS!D216</f>
        <v>564</v>
      </c>
      <c r="E212">
        <f>Source_wegvoertuigen_CBS!E216</f>
        <v>30</v>
      </c>
      <c r="F212">
        <f>Source_wegvoertuigen_CBS!F216</f>
        <v>0</v>
      </c>
    </row>
    <row r="213" spans="1:6" x14ac:dyDescent="0.2">
      <c r="A213" t="str">
        <f>Source_wegvoertuigen_CBS!A217</f>
        <v>Heel</v>
      </c>
      <c r="B213" t="e">
        <f>INDEX(Source_GM_code_CBS!$B:$B,MATCH($A213,Source_GM_code_CBS!$C:$C,0))</f>
        <v>#N/A</v>
      </c>
      <c r="C213">
        <f>Source_wegvoertuigen_CBS!C217</f>
        <v>0</v>
      </c>
      <c r="D213">
        <f>Source_wegvoertuigen_CBS!D217</f>
        <v>0</v>
      </c>
      <c r="E213">
        <f>Source_wegvoertuigen_CBS!E217</f>
        <v>0</v>
      </c>
      <c r="F213">
        <f>Source_wegvoertuigen_CBS!F217</f>
        <v>0</v>
      </c>
    </row>
    <row r="214" spans="1:6" x14ac:dyDescent="0.2">
      <c r="A214" t="str">
        <f>Source_wegvoertuigen_CBS!A218</f>
        <v>Heemskerk</v>
      </c>
      <c r="B214" t="str">
        <f>INDEX(Source_GM_code_CBS!$B:$B,MATCH($A214,Source_GM_code_CBS!$C:$C,0))</f>
        <v>GM0396</v>
      </c>
      <c r="C214">
        <f>Source_wegvoertuigen_CBS!C218</f>
        <v>19366</v>
      </c>
      <c r="D214">
        <f>Source_wegvoertuigen_CBS!D218</f>
        <v>1559</v>
      </c>
      <c r="E214">
        <f>Source_wegvoertuigen_CBS!E218</f>
        <v>49</v>
      </c>
      <c r="F214">
        <f>Source_wegvoertuigen_CBS!F218</f>
        <v>1</v>
      </c>
    </row>
    <row r="215" spans="1:6" x14ac:dyDescent="0.2">
      <c r="A215" t="str">
        <f>Source_wegvoertuigen_CBS!A219</f>
        <v>Heemstede</v>
      </c>
      <c r="B215" t="str">
        <f>INDEX(Source_GM_code_CBS!$B:$B,MATCH($A215,Source_GM_code_CBS!$C:$C,0))</f>
        <v>GM0397</v>
      </c>
      <c r="C215">
        <f>Source_wegvoertuigen_CBS!C219</f>
        <v>13628</v>
      </c>
      <c r="D215">
        <f>Source_wegvoertuigen_CBS!D219</f>
        <v>523</v>
      </c>
      <c r="E215">
        <f>Source_wegvoertuigen_CBS!E219</f>
        <v>52</v>
      </c>
      <c r="F215">
        <f>Source_wegvoertuigen_CBS!F219</f>
        <v>0</v>
      </c>
    </row>
    <row r="216" spans="1:6" x14ac:dyDescent="0.2">
      <c r="A216" t="str">
        <f>Source_wegvoertuigen_CBS!A220</f>
        <v>Heerde</v>
      </c>
      <c r="B216" t="str">
        <f>INDEX(Source_GM_code_CBS!$B:$B,MATCH($A216,Source_GM_code_CBS!$C:$C,0))</f>
        <v>GM0246</v>
      </c>
      <c r="C216">
        <f>Source_wegvoertuigen_CBS!C220</f>
        <v>10621</v>
      </c>
      <c r="D216">
        <f>Source_wegvoertuigen_CBS!D220</f>
        <v>1204</v>
      </c>
      <c r="E216">
        <f>Source_wegvoertuigen_CBS!E220</f>
        <v>75</v>
      </c>
      <c r="F216">
        <f>Source_wegvoertuigen_CBS!F220</f>
        <v>4</v>
      </c>
    </row>
    <row r="217" spans="1:6" x14ac:dyDescent="0.2">
      <c r="A217" t="str">
        <f>Source_wegvoertuigen_CBS!A221</f>
        <v>Heerenveen</v>
      </c>
      <c r="B217" t="str">
        <f>INDEX(Source_GM_code_CBS!$B:$B,MATCH($A217,Source_GM_code_CBS!$C:$C,0))</f>
        <v>GM0074</v>
      </c>
      <c r="C217">
        <f>Source_wegvoertuigen_CBS!C221</f>
        <v>27468</v>
      </c>
      <c r="D217">
        <f>Source_wegvoertuigen_CBS!D221</f>
        <v>3258</v>
      </c>
      <c r="E217">
        <f>Source_wegvoertuigen_CBS!E221</f>
        <v>321</v>
      </c>
      <c r="F217">
        <f>Source_wegvoertuigen_CBS!F221</f>
        <v>1180</v>
      </c>
    </row>
    <row r="218" spans="1:6" x14ac:dyDescent="0.2">
      <c r="A218" t="str">
        <f>Source_wegvoertuigen_CBS!A222</f>
        <v>Heerhugowaard</v>
      </c>
      <c r="B218" t="e">
        <f>INDEX(Source_GM_code_CBS!$B:$B,MATCH($A218,Source_GM_code_CBS!$C:$C,0))</f>
        <v>#N/A</v>
      </c>
      <c r="C218">
        <f>Source_wegvoertuigen_CBS!C222</f>
        <v>0</v>
      </c>
      <c r="D218">
        <f>Source_wegvoertuigen_CBS!D222</f>
        <v>0</v>
      </c>
      <c r="E218">
        <f>Source_wegvoertuigen_CBS!E222</f>
        <v>0</v>
      </c>
      <c r="F218">
        <f>Source_wegvoertuigen_CBS!F222</f>
        <v>0</v>
      </c>
    </row>
    <row r="219" spans="1:6" x14ac:dyDescent="0.2">
      <c r="A219" t="str">
        <f>Source_wegvoertuigen_CBS!A223</f>
        <v>Heerjansdam</v>
      </c>
      <c r="B219" t="e">
        <f>INDEX(Source_GM_code_CBS!$B:$B,MATCH($A219,Source_GM_code_CBS!$C:$C,0))</f>
        <v>#N/A</v>
      </c>
      <c r="C219">
        <f>Source_wegvoertuigen_CBS!C223</f>
        <v>0</v>
      </c>
      <c r="D219">
        <f>Source_wegvoertuigen_CBS!D223</f>
        <v>0</v>
      </c>
      <c r="E219">
        <f>Source_wegvoertuigen_CBS!E223</f>
        <v>0</v>
      </c>
      <c r="F219">
        <f>Source_wegvoertuigen_CBS!F223</f>
        <v>0</v>
      </c>
    </row>
    <row r="220" spans="1:6" x14ac:dyDescent="0.2">
      <c r="A220" t="str">
        <f>Source_wegvoertuigen_CBS!A224</f>
        <v>Heerlen</v>
      </c>
      <c r="B220" t="str">
        <f>INDEX(Source_GM_code_CBS!$B:$B,MATCH($A220,Source_GM_code_CBS!$C:$C,0))</f>
        <v>GM0917</v>
      </c>
      <c r="C220">
        <f>Source_wegvoertuigen_CBS!C224</f>
        <v>45757</v>
      </c>
      <c r="D220">
        <f>Source_wegvoertuigen_CBS!D224</f>
        <v>3225</v>
      </c>
      <c r="E220">
        <f>Source_wegvoertuigen_CBS!E224</f>
        <v>248</v>
      </c>
      <c r="F220">
        <f>Source_wegvoertuigen_CBS!F224</f>
        <v>8</v>
      </c>
    </row>
    <row r="221" spans="1:6" x14ac:dyDescent="0.2">
      <c r="A221" t="str">
        <f>Source_wegvoertuigen_CBS!A225</f>
        <v>Heeze-Leende</v>
      </c>
      <c r="B221" t="str">
        <f>INDEX(Source_GM_code_CBS!$B:$B,MATCH($A221,Source_GM_code_CBS!$C:$C,0))</f>
        <v>GM1658</v>
      </c>
      <c r="C221">
        <f>Source_wegvoertuigen_CBS!C225</f>
        <v>9702</v>
      </c>
      <c r="D221">
        <f>Source_wegvoertuigen_CBS!D225</f>
        <v>1169</v>
      </c>
      <c r="E221">
        <f>Source_wegvoertuigen_CBS!E225</f>
        <v>58</v>
      </c>
      <c r="F221">
        <f>Source_wegvoertuigen_CBS!F225</f>
        <v>3</v>
      </c>
    </row>
    <row r="222" spans="1:6" x14ac:dyDescent="0.2">
      <c r="A222" t="str">
        <f>Source_wegvoertuigen_CBS!A226</f>
        <v>Heiloo</v>
      </c>
      <c r="B222" t="str">
        <f>INDEX(Source_GM_code_CBS!$B:$B,MATCH($A222,Source_GM_code_CBS!$C:$C,0))</f>
        <v>GM0399</v>
      </c>
      <c r="C222">
        <f>Source_wegvoertuigen_CBS!C226</f>
        <v>12107</v>
      </c>
      <c r="D222">
        <f>Source_wegvoertuigen_CBS!D226</f>
        <v>881</v>
      </c>
      <c r="E222">
        <f>Source_wegvoertuigen_CBS!E226</f>
        <v>47</v>
      </c>
      <c r="F222">
        <f>Source_wegvoertuigen_CBS!F226</f>
        <v>1</v>
      </c>
    </row>
    <row r="223" spans="1:6" x14ac:dyDescent="0.2">
      <c r="A223" t="str">
        <f>Source_wegvoertuigen_CBS!A227</f>
        <v>Heino</v>
      </c>
      <c r="B223" t="e">
        <f>INDEX(Source_GM_code_CBS!$B:$B,MATCH($A223,Source_GM_code_CBS!$C:$C,0))</f>
        <v>#N/A</v>
      </c>
      <c r="C223">
        <f>Source_wegvoertuigen_CBS!C227</f>
        <v>0</v>
      </c>
      <c r="D223">
        <f>Source_wegvoertuigen_CBS!D227</f>
        <v>0</v>
      </c>
      <c r="E223">
        <f>Source_wegvoertuigen_CBS!E227</f>
        <v>0</v>
      </c>
      <c r="F223">
        <f>Source_wegvoertuigen_CBS!F227</f>
        <v>0</v>
      </c>
    </row>
    <row r="224" spans="1:6" x14ac:dyDescent="0.2">
      <c r="A224" t="str">
        <f>Source_wegvoertuigen_CBS!A228</f>
        <v>Helden</v>
      </c>
      <c r="B224" t="e">
        <f>INDEX(Source_GM_code_CBS!$B:$B,MATCH($A224,Source_GM_code_CBS!$C:$C,0))</f>
        <v>#N/A</v>
      </c>
      <c r="C224">
        <f>Source_wegvoertuigen_CBS!C228</f>
        <v>0</v>
      </c>
      <c r="D224">
        <f>Source_wegvoertuigen_CBS!D228</f>
        <v>0</v>
      </c>
      <c r="E224">
        <f>Source_wegvoertuigen_CBS!E228</f>
        <v>0</v>
      </c>
      <c r="F224">
        <f>Source_wegvoertuigen_CBS!F228</f>
        <v>0</v>
      </c>
    </row>
    <row r="225" spans="1:6" x14ac:dyDescent="0.2">
      <c r="A225" t="str">
        <f>Source_wegvoertuigen_CBS!A229</f>
        <v>Den Helder</v>
      </c>
      <c r="B225" t="str">
        <f>INDEX(Source_GM_code_CBS!$B:$B,MATCH($A225,Source_GM_code_CBS!$C:$C,0))</f>
        <v>GM0400</v>
      </c>
      <c r="C225">
        <f>Source_wegvoertuigen_CBS!C229</f>
        <v>26441</v>
      </c>
      <c r="D225">
        <f>Source_wegvoertuigen_CBS!D229</f>
        <v>2107</v>
      </c>
      <c r="E225">
        <f>Source_wegvoertuigen_CBS!E229</f>
        <v>67</v>
      </c>
      <c r="F225">
        <f>Source_wegvoertuigen_CBS!F229</f>
        <v>10</v>
      </c>
    </row>
    <row r="226" spans="1:6" x14ac:dyDescent="0.2">
      <c r="A226" t="str">
        <f>Source_wegvoertuigen_CBS!A230</f>
        <v>Hellendoorn</v>
      </c>
      <c r="B226" t="str">
        <f>INDEX(Source_GM_code_CBS!$B:$B,MATCH($A226,Source_GM_code_CBS!$C:$C,0))</f>
        <v>GM0163</v>
      </c>
      <c r="C226">
        <f>Source_wegvoertuigen_CBS!C230</f>
        <v>20609</v>
      </c>
      <c r="D226">
        <f>Source_wegvoertuigen_CBS!D230</f>
        <v>2174</v>
      </c>
      <c r="E226">
        <f>Source_wegvoertuigen_CBS!E230</f>
        <v>105</v>
      </c>
      <c r="F226">
        <f>Source_wegvoertuigen_CBS!F230</f>
        <v>8</v>
      </c>
    </row>
    <row r="227" spans="1:6" x14ac:dyDescent="0.2">
      <c r="A227" s="7" t="str">
        <f>Source_wegvoertuigen_CBS!A231</f>
        <v>Hellevoetsluis</v>
      </c>
      <c r="B227" t="e">
        <f>INDEX(Source_GM_code_CBS!$B:$B,MATCH($A227,Source_GM_code_CBS!$C:$C,0))</f>
        <v>#N/A</v>
      </c>
      <c r="C227">
        <f>Source_wegvoertuigen_CBS!C231</f>
        <v>21396</v>
      </c>
      <c r="D227">
        <f>Source_wegvoertuigen_CBS!D231</f>
        <v>1401</v>
      </c>
      <c r="E227">
        <f>Source_wegvoertuigen_CBS!E231</f>
        <v>41</v>
      </c>
      <c r="F227">
        <f>Source_wegvoertuigen_CBS!F231</f>
        <v>0</v>
      </c>
    </row>
    <row r="228" spans="1:6" x14ac:dyDescent="0.2">
      <c r="A228" t="str">
        <f>Source_wegvoertuigen_CBS!A232</f>
        <v>Helmond</v>
      </c>
      <c r="B228" t="str">
        <f>INDEX(Source_GM_code_CBS!$B:$B,MATCH($A228,Source_GM_code_CBS!$C:$C,0))</f>
        <v>GM0794</v>
      </c>
      <c r="C228">
        <f>Source_wegvoertuigen_CBS!C232</f>
        <v>46215</v>
      </c>
      <c r="D228">
        <f>Source_wegvoertuigen_CBS!D232</f>
        <v>4308</v>
      </c>
      <c r="E228">
        <f>Source_wegvoertuigen_CBS!E232</f>
        <v>215</v>
      </c>
      <c r="F228">
        <f>Source_wegvoertuigen_CBS!F232</f>
        <v>13</v>
      </c>
    </row>
    <row r="229" spans="1:6" x14ac:dyDescent="0.2">
      <c r="A229" t="str">
        <f>Source_wegvoertuigen_CBS!A233</f>
        <v>Hendrik-Ido-Ambacht</v>
      </c>
      <c r="B229" t="str">
        <f>INDEX(Source_GM_code_CBS!$B:$B,MATCH($A229,Source_GM_code_CBS!$C:$C,0))</f>
        <v>GM0531</v>
      </c>
      <c r="C229">
        <f>Source_wegvoertuigen_CBS!C233</f>
        <v>15048</v>
      </c>
      <c r="D229">
        <f>Source_wegvoertuigen_CBS!D233</f>
        <v>1047</v>
      </c>
      <c r="E229">
        <f>Source_wegvoertuigen_CBS!E233</f>
        <v>25</v>
      </c>
      <c r="F229">
        <f>Source_wegvoertuigen_CBS!F233</f>
        <v>0</v>
      </c>
    </row>
    <row r="230" spans="1:6" x14ac:dyDescent="0.2">
      <c r="A230" t="str">
        <f>Source_wegvoertuigen_CBS!A234</f>
        <v>Hengelo (Gld.)</v>
      </c>
      <c r="B230" t="e">
        <f>INDEX(Source_GM_code_CBS!$B:$B,MATCH($A230,Source_GM_code_CBS!$C:$C,0))</f>
        <v>#N/A</v>
      </c>
      <c r="C230">
        <f>Source_wegvoertuigen_CBS!C234</f>
        <v>0</v>
      </c>
      <c r="D230">
        <f>Source_wegvoertuigen_CBS!D234</f>
        <v>0</v>
      </c>
      <c r="E230">
        <f>Source_wegvoertuigen_CBS!E234</f>
        <v>0</v>
      </c>
      <c r="F230">
        <f>Source_wegvoertuigen_CBS!F234</f>
        <v>0</v>
      </c>
    </row>
    <row r="231" spans="1:6" x14ac:dyDescent="0.2">
      <c r="A231" s="5" t="s">
        <v>73</v>
      </c>
      <c r="B231" t="str">
        <f>INDEX(Source_GM_code_CBS!$B:$B,MATCH($A231,Source_GM_code_CBS!$C:$C,0))</f>
        <v>GM0164</v>
      </c>
      <c r="C231">
        <f>Source_wegvoertuigen_CBS!C235</f>
        <v>49781</v>
      </c>
      <c r="D231">
        <f>Source_wegvoertuigen_CBS!D235</f>
        <v>4390</v>
      </c>
      <c r="E231">
        <f>Source_wegvoertuigen_CBS!E235</f>
        <v>267</v>
      </c>
      <c r="F231">
        <f>Source_wegvoertuigen_CBS!F235</f>
        <v>9</v>
      </c>
    </row>
    <row r="232" spans="1:6" x14ac:dyDescent="0.2">
      <c r="A232" t="str">
        <f>Source_wegvoertuigen_CBS!A236</f>
        <v>'s-Hertogenbosch</v>
      </c>
      <c r="B232" t="str">
        <f>INDEX(Source_GM_code_CBS!$B:$B,MATCH($A232,Source_GM_code_CBS!$C:$C,0))</f>
        <v>GM0796</v>
      </c>
      <c r="C232">
        <f>Source_wegvoertuigen_CBS!C236</f>
        <v>84703</v>
      </c>
      <c r="D232">
        <f>Source_wegvoertuigen_CBS!D236</f>
        <v>8574</v>
      </c>
      <c r="E232">
        <f>Source_wegvoertuigen_CBS!E236</f>
        <v>714</v>
      </c>
      <c r="F232">
        <f>Source_wegvoertuigen_CBS!F236</f>
        <v>7</v>
      </c>
    </row>
    <row r="233" spans="1:6" x14ac:dyDescent="0.2">
      <c r="A233" t="str">
        <f>Source_wegvoertuigen_CBS!A237</f>
        <v>Heteren</v>
      </c>
      <c r="B233" t="e">
        <f>INDEX(Source_GM_code_CBS!$B:$B,MATCH($A233,Source_GM_code_CBS!$C:$C,0))</f>
        <v>#N/A</v>
      </c>
      <c r="C233">
        <f>Source_wegvoertuigen_CBS!C237</f>
        <v>0</v>
      </c>
      <c r="D233">
        <f>Source_wegvoertuigen_CBS!D237</f>
        <v>0</v>
      </c>
      <c r="E233">
        <f>Source_wegvoertuigen_CBS!E237</f>
        <v>0</v>
      </c>
      <c r="F233">
        <f>Source_wegvoertuigen_CBS!F237</f>
        <v>0</v>
      </c>
    </row>
    <row r="234" spans="1:6" x14ac:dyDescent="0.2">
      <c r="A234" t="str">
        <f>Source_wegvoertuigen_CBS!A238</f>
        <v>Heumen</v>
      </c>
      <c r="B234" t="str">
        <f>INDEX(Source_GM_code_CBS!$B:$B,MATCH($A234,Source_GM_code_CBS!$C:$C,0))</f>
        <v>GM0252</v>
      </c>
      <c r="C234">
        <f>Source_wegvoertuigen_CBS!C238</f>
        <v>8904</v>
      </c>
      <c r="D234">
        <f>Source_wegvoertuigen_CBS!D238</f>
        <v>726</v>
      </c>
      <c r="E234">
        <f>Source_wegvoertuigen_CBS!E238</f>
        <v>43</v>
      </c>
      <c r="F234">
        <f>Source_wegvoertuigen_CBS!F238</f>
        <v>15</v>
      </c>
    </row>
    <row r="235" spans="1:6" x14ac:dyDescent="0.2">
      <c r="A235" t="str">
        <f>Source_wegvoertuigen_CBS!A239</f>
        <v>Heusden</v>
      </c>
      <c r="B235" t="str">
        <f>INDEX(Source_GM_code_CBS!$B:$B,MATCH($A235,Source_GM_code_CBS!$C:$C,0))</f>
        <v>GM0797</v>
      </c>
      <c r="C235">
        <f>Source_wegvoertuigen_CBS!C239</f>
        <v>25750</v>
      </c>
      <c r="D235">
        <f>Source_wegvoertuigen_CBS!D239</f>
        <v>2861</v>
      </c>
      <c r="E235">
        <f>Source_wegvoertuigen_CBS!E239</f>
        <v>175</v>
      </c>
      <c r="F235">
        <f>Source_wegvoertuigen_CBS!F239</f>
        <v>3</v>
      </c>
    </row>
    <row r="236" spans="1:6" x14ac:dyDescent="0.2">
      <c r="A236" t="str">
        <f>Source_wegvoertuigen_CBS!A240</f>
        <v>Heythuysen</v>
      </c>
      <c r="B236" t="e">
        <f>INDEX(Source_GM_code_CBS!$B:$B,MATCH($A236,Source_GM_code_CBS!$C:$C,0))</f>
        <v>#N/A</v>
      </c>
      <c r="C236">
        <f>Source_wegvoertuigen_CBS!C240</f>
        <v>0</v>
      </c>
      <c r="D236">
        <f>Source_wegvoertuigen_CBS!D240</f>
        <v>0</v>
      </c>
      <c r="E236">
        <f>Source_wegvoertuigen_CBS!E240</f>
        <v>0</v>
      </c>
      <c r="F236">
        <f>Source_wegvoertuigen_CBS!F240</f>
        <v>0</v>
      </c>
    </row>
    <row r="237" spans="1:6" x14ac:dyDescent="0.2">
      <c r="A237" t="str">
        <f>Source_wegvoertuigen_CBS!A241</f>
        <v>Hillegom</v>
      </c>
      <c r="B237" t="str">
        <f>INDEX(Source_GM_code_CBS!$B:$B,MATCH($A237,Source_GM_code_CBS!$C:$C,0))</f>
        <v>GM0534</v>
      </c>
      <c r="C237">
        <f>Source_wegvoertuigen_CBS!C241</f>
        <v>11957</v>
      </c>
      <c r="D237">
        <f>Source_wegvoertuigen_CBS!D241</f>
        <v>1142</v>
      </c>
      <c r="E237">
        <f>Source_wegvoertuigen_CBS!E241</f>
        <v>102</v>
      </c>
      <c r="F237">
        <f>Source_wegvoertuigen_CBS!F241</f>
        <v>0</v>
      </c>
    </row>
    <row r="238" spans="1:6" x14ac:dyDescent="0.2">
      <c r="A238" t="str">
        <f>Source_wegvoertuigen_CBS!A242</f>
        <v>Hilvarenbeek</v>
      </c>
      <c r="B238" t="str">
        <f>INDEX(Source_GM_code_CBS!$B:$B,MATCH($A238,Source_GM_code_CBS!$C:$C,0))</f>
        <v>GM0798</v>
      </c>
      <c r="C238">
        <f>Source_wegvoertuigen_CBS!C242</f>
        <v>9322</v>
      </c>
      <c r="D238">
        <f>Source_wegvoertuigen_CBS!D242</f>
        <v>1450</v>
      </c>
      <c r="E238">
        <f>Source_wegvoertuigen_CBS!E242</f>
        <v>129</v>
      </c>
      <c r="F238">
        <f>Source_wegvoertuigen_CBS!F242</f>
        <v>1</v>
      </c>
    </row>
    <row r="239" spans="1:6" x14ac:dyDescent="0.2">
      <c r="A239" t="str">
        <f>Source_wegvoertuigen_CBS!A243</f>
        <v>Hilversum</v>
      </c>
      <c r="B239" t="str">
        <f>INDEX(Source_GM_code_CBS!$B:$B,MATCH($A239,Source_GM_code_CBS!$C:$C,0))</f>
        <v>GM0402</v>
      </c>
      <c r="C239">
        <f>Source_wegvoertuigen_CBS!C243</f>
        <v>41060</v>
      </c>
      <c r="D239">
        <f>Source_wegvoertuigen_CBS!D243</f>
        <v>3190</v>
      </c>
      <c r="E239">
        <f>Source_wegvoertuigen_CBS!E243</f>
        <v>107</v>
      </c>
      <c r="F239">
        <f>Source_wegvoertuigen_CBS!F243</f>
        <v>1414</v>
      </c>
    </row>
    <row r="240" spans="1:6" x14ac:dyDescent="0.2">
      <c r="A240" t="str">
        <f>Source_wegvoertuigen_CBS!A244</f>
        <v>Hoeksche Waard</v>
      </c>
      <c r="B240" t="str">
        <f>INDEX(Source_GM_code_CBS!$B:$B,MATCH($A240,Source_GM_code_CBS!$C:$C,0))</f>
        <v>GM1963</v>
      </c>
      <c r="C240">
        <f>Source_wegvoertuigen_CBS!C244</f>
        <v>48613</v>
      </c>
      <c r="D240">
        <f>Source_wegvoertuigen_CBS!D244</f>
        <v>5521</v>
      </c>
      <c r="E240">
        <f>Source_wegvoertuigen_CBS!E244</f>
        <v>319</v>
      </c>
      <c r="F240">
        <f>Source_wegvoertuigen_CBS!F244</f>
        <v>22</v>
      </c>
    </row>
    <row r="241" spans="1:6" x14ac:dyDescent="0.2">
      <c r="A241" t="str">
        <f>Source_wegvoertuigen_CBS!A245</f>
        <v>Hof van Twente</v>
      </c>
      <c r="B241" t="str">
        <f>INDEX(Source_GM_code_CBS!$B:$B,MATCH($A241,Source_GM_code_CBS!$C:$C,0))</f>
        <v>GM1735</v>
      </c>
      <c r="C241">
        <f>Source_wegvoertuigen_CBS!C245</f>
        <v>20660</v>
      </c>
      <c r="D241">
        <f>Source_wegvoertuigen_CBS!D245</f>
        <v>2569</v>
      </c>
      <c r="E241">
        <f>Source_wegvoertuigen_CBS!E245</f>
        <v>107</v>
      </c>
      <c r="F241">
        <f>Source_wegvoertuigen_CBS!F245</f>
        <v>18</v>
      </c>
    </row>
    <row r="242" spans="1:6" x14ac:dyDescent="0.2">
      <c r="A242" t="str">
        <f>Source_wegvoertuigen_CBS!A246</f>
        <v>Het Hogeland</v>
      </c>
      <c r="B242" t="str">
        <f>INDEX(Source_GM_code_CBS!$B:$B,MATCH($A242,Source_GM_code_CBS!$C:$C,0))</f>
        <v>GM1966</v>
      </c>
      <c r="C242">
        <f>Source_wegvoertuigen_CBS!C246</f>
        <v>25586</v>
      </c>
      <c r="D242">
        <f>Source_wegvoertuigen_CBS!D246</f>
        <v>3350</v>
      </c>
      <c r="E242">
        <f>Source_wegvoertuigen_CBS!E246</f>
        <v>115</v>
      </c>
      <c r="F242">
        <f>Source_wegvoertuigen_CBS!F246</f>
        <v>8</v>
      </c>
    </row>
    <row r="243" spans="1:6" x14ac:dyDescent="0.2">
      <c r="A243" t="str">
        <f>Source_wegvoertuigen_CBS!A247</f>
        <v>Hollands Kroon</v>
      </c>
      <c r="B243" t="str">
        <f>INDEX(Source_GM_code_CBS!$B:$B,MATCH($A243,Source_GM_code_CBS!$C:$C,0))</f>
        <v>GM1911</v>
      </c>
      <c r="C243">
        <f>Source_wegvoertuigen_CBS!C247</f>
        <v>27912</v>
      </c>
      <c r="D243">
        <f>Source_wegvoertuigen_CBS!D247</f>
        <v>4574</v>
      </c>
      <c r="E243">
        <f>Source_wegvoertuigen_CBS!E247</f>
        <v>443</v>
      </c>
      <c r="F243">
        <f>Source_wegvoertuigen_CBS!F247</f>
        <v>21</v>
      </c>
    </row>
    <row r="244" spans="1:6" x14ac:dyDescent="0.2">
      <c r="A244" t="str">
        <f>Source_wegvoertuigen_CBS!A248</f>
        <v>Holten</v>
      </c>
      <c r="B244" t="e">
        <f>INDEX(Source_GM_code_CBS!$B:$B,MATCH($A244,Source_GM_code_CBS!$C:$C,0))</f>
        <v>#N/A</v>
      </c>
      <c r="C244">
        <f>Source_wegvoertuigen_CBS!C248</f>
        <v>0</v>
      </c>
      <c r="D244">
        <f>Source_wegvoertuigen_CBS!D248</f>
        <v>0</v>
      </c>
      <c r="E244">
        <f>Source_wegvoertuigen_CBS!E248</f>
        <v>0</v>
      </c>
      <c r="F244">
        <f>Source_wegvoertuigen_CBS!F248</f>
        <v>0</v>
      </c>
    </row>
    <row r="245" spans="1:6" x14ac:dyDescent="0.2">
      <c r="A245" t="str">
        <f>Source_wegvoertuigen_CBS!A249</f>
        <v>Hontenisse</v>
      </c>
      <c r="B245" t="e">
        <f>INDEX(Source_GM_code_CBS!$B:$B,MATCH($A245,Source_GM_code_CBS!$C:$C,0))</f>
        <v>#N/A</v>
      </c>
      <c r="C245">
        <f>Source_wegvoertuigen_CBS!C249</f>
        <v>0</v>
      </c>
      <c r="D245">
        <f>Source_wegvoertuigen_CBS!D249</f>
        <v>0</v>
      </c>
      <c r="E245">
        <f>Source_wegvoertuigen_CBS!E249</f>
        <v>0</v>
      </c>
      <c r="F245">
        <f>Source_wegvoertuigen_CBS!F249</f>
        <v>0</v>
      </c>
    </row>
    <row r="246" spans="1:6" x14ac:dyDescent="0.2">
      <c r="A246" t="str">
        <f>Source_wegvoertuigen_CBS!A250</f>
        <v>Hoogeveen</v>
      </c>
      <c r="B246" t="str">
        <f>INDEX(Source_GM_code_CBS!$B:$B,MATCH($A246,Source_GM_code_CBS!$C:$C,0))</f>
        <v>GM0118</v>
      </c>
      <c r="C246">
        <f>Source_wegvoertuigen_CBS!C250</f>
        <v>29044</v>
      </c>
      <c r="D246">
        <f>Source_wegvoertuigen_CBS!D250</f>
        <v>3998</v>
      </c>
      <c r="E246">
        <f>Source_wegvoertuigen_CBS!E250</f>
        <v>204</v>
      </c>
      <c r="F246">
        <f>Source_wegvoertuigen_CBS!F250</f>
        <v>28</v>
      </c>
    </row>
    <row r="247" spans="1:6" x14ac:dyDescent="0.2">
      <c r="A247" t="str">
        <f>Source_wegvoertuigen_CBS!A251</f>
        <v>Hoogezand-Sappemeer</v>
      </c>
      <c r="B247" t="e">
        <f>INDEX(Source_GM_code_CBS!$B:$B,MATCH($A247,Source_GM_code_CBS!$C:$C,0))</f>
        <v>#N/A</v>
      </c>
      <c r="C247">
        <f>Source_wegvoertuigen_CBS!C251</f>
        <v>0</v>
      </c>
      <c r="D247">
        <f>Source_wegvoertuigen_CBS!D251</f>
        <v>0</v>
      </c>
      <c r="E247">
        <f>Source_wegvoertuigen_CBS!E251</f>
        <v>0</v>
      </c>
      <c r="F247">
        <f>Source_wegvoertuigen_CBS!F251</f>
        <v>0</v>
      </c>
    </row>
    <row r="248" spans="1:6" x14ac:dyDescent="0.2">
      <c r="A248" t="str">
        <f>Source_wegvoertuigen_CBS!A252</f>
        <v>Hoorn</v>
      </c>
      <c r="B248" t="str">
        <f>INDEX(Source_GM_code_CBS!$B:$B,MATCH($A248,Source_GM_code_CBS!$C:$C,0))</f>
        <v>GM0405</v>
      </c>
      <c r="C248">
        <f>Source_wegvoertuigen_CBS!C252</f>
        <v>34648</v>
      </c>
      <c r="D248">
        <f>Source_wegvoertuigen_CBS!D252</f>
        <v>4814</v>
      </c>
      <c r="E248">
        <f>Source_wegvoertuigen_CBS!E252</f>
        <v>183</v>
      </c>
      <c r="F248">
        <f>Source_wegvoertuigen_CBS!F252</f>
        <v>0</v>
      </c>
    </row>
    <row r="249" spans="1:6" x14ac:dyDescent="0.2">
      <c r="A249" t="str">
        <f>Source_wegvoertuigen_CBS!A253</f>
        <v>Horst</v>
      </c>
      <c r="B249" t="e">
        <f>INDEX(Source_GM_code_CBS!$B:$B,MATCH($A249,Source_GM_code_CBS!$C:$C,0))</f>
        <v>#N/A</v>
      </c>
      <c r="C249">
        <f>Source_wegvoertuigen_CBS!C253</f>
        <v>0</v>
      </c>
      <c r="D249">
        <f>Source_wegvoertuigen_CBS!D253</f>
        <v>0</v>
      </c>
      <c r="E249">
        <f>Source_wegvoertuigen_CBS!E253</f>
        <v>0</v>
      </c>
      <c r="F249">
        <f>Source_wegvoertuigen_CBS!F253</f>
        <v>0</v>
      </c>
    </row>
    <row r="250" spans="1:6" x14ac:dyDescent="0.2">
      <c r="A250" t="str">
        <f>Source_wegvoertuigen_CBS!A254</f>
        <v>Horst aan de Maas</v>
      </c>
      <c r="B250" t="str">
        <f>INDEX(Source_GM_code_CBS!$B:$B,MATCH($A250,Source_GM_code_CBS!$C:$C,0))</f>
        <v>GM1507</v>
      </c>
      <c r="C250">
        <f>Source_wegvoertuigen_CBS!C254</f>
        <v>25862</v>
      </c>
      <c r="D250">
        <f>Source_wegvoertuigen_CBS!D254</f>
        <v>2943</v>
      </c>
      <c r="E250">
        <f>Source_wegvoertuigen_CBS!E254</f>
        <v>269</v>
      </c>
      <c r="F250">
        <f>Source_wegvoertuigen_CBS!F254</f>
        <v>24</v>
      </c>
    </row>
    <row r="251" spans="1:6" x14ac:dyDescent="0.2">
      <c r="A251" t="str">
        <f>Source_wegvoertuigen_CBS!A255</f>
        <v>Houten</v>
      </c>
      <c r="B251" t="str">
        <f>INDEX(Source_GM_code_CBS!$B:$B,MATCH($A251,Source_GM_code_CBS!$C:$C,0))</f>
        <v>GM0321</v>
      </c>
      <c r="C251">
        <f>Source_wegvoertuigen_CBS!C255</f>
        <v>73318</v>
      </c>
      <c r="D251">
        <f>Source_wegvoertuigen_CBS!D255</f>
        <v>8749</v>
      </c>
      <c r="E251">
        <f>Source_wegvoertuigen_CBS!E255</f>
        <v>163</v>
      </c>
      <c r="F251">
        <f>Source_wegvoertuigen_CBS!F255</f>
        <v>1</v>
      </c>
    </row>
    <row r="252" spans="1:6" x14ac:dyDescent="0.2">
      <c r="A252" t="str">
        <f>Source_wegvoertuigen_CBS!A256</f>
        <v>Huissen</v>
      </c>
      <c r="B252" t="e">
        <f>INDEX(Source_GM_code_CBS!$B:$B,MATCH($A252,Source_GM_code_CBS!$C:$C,0))</f>
        <v>#N/A</v>
      </c>
      <c r="C252">
        <f>Source_wegvoertuigen_CBS!C256</f>
        <v>0</v>
      </c>
      <c r="D252">
        <f>Source_wegvoertuigen_CBS!D256</f>
        <v>0</v>
      </c>
      <c r="E252">
        <f>Source_wegvoertuigen_CBS!E256</f>
        <v>0</v>
      </c>
      <c r="F252">
        <f>Source_wegvoertuigen_CBS!F256</f>
        <v>0</v>
      </c>
    </row>
    <row r="253" spans="1:6" x14ac:dyDescent="0.2">
      <c r="A253" t="str">
        <f>Source_wegvoertuigen_CBS!A257</f>
        <v>Huizen</v>
      </c>
      <c r="B253" t="str">
        <f>INDEX(Source_GM_code_CBS!$B:$B,MATCH($A253,Source_GM_code_CBS!$C:$C,0))</f>
        <v>GM0406</v>
      </c>
      <c r="C253">
        <f>Source_wegvoertuigen_CBS!C257</f>
        <v>22066</v>
      </c>
      <c r="D253">
        <f>Source_wegvoertuigen_CBS!D257</f>
        <v>1553</v>
      </c>
      <c r="E253">
        <f>Source_wegvoertuigen_CBS!E257</f>
        <v>38</v>
      </c>
      <c r="F253">
        <f>Source_wegvoertuigen_CBS!F257</f>
        <v>0</v>
      </c>
    </row>
    <row r="254" spans="1:6" x14ac:dyDescent="0.2">
      <c r="A254" t="str">
        <f>Source_wegvoertuigen_CBS!A258</f>
        <v>Hulst</v>
      </c>
      <c r="B254" t="str">
        <f>INDEX(Source_GM_code_CBS!$B:$B,MATCH($A254,Source_GM_code_CBS!$C:$C,0))</f>
        <v>GM0677</v>
      </c>
      <c r="C254">
        <f>Source_wegvoertuigen_CBS!C258</f>
        <v>16652</v>
      </c>
      <c r="D254">
        <f>Source_wegvoertuigen_CBS!D258</f>
        <v>1539</v>
      </c>
      <c r="E254">
        <f>Source_wegvoertuigen_CBS!E258</f>
        <v>102</v>
      </c>
      <c r="F254">
        <f>Source_wegvoertuigen_CBS!F258</f>
        <v>1</v>
      </c>
    </row>
    <row r="255" spans="1:6" x14ac:dyDescent="0.2">
      <c r="A255" t="str">
        <f>Source_wegvoertuigen_CBS!A259</f>
        <v>Hummelo en Keppel</v>
      </c>
      <c r="B255" t="e">
        <f>INDEX(Source_GM_code_CBS!$B:$B,MATCH($A255,Source_GM_code_CBS!$C:$C,0))</f>
        <v>#N/A</v>
      </c>
      <c r="C255">
        <f>Source_wegvoertuigen_CBS!C259</f>
        <v>0</v>
      </c>
      <c r="D255">
        <f>Source_wegvoertuigen_CBS!D259</f>
        <v>0</v>
      </c>
      <c r="E255">
        <f>Source_wegvoertuigen_CBS!E259</f>
        <v>0</v>
      </c>
      <c r="F255">
        <f>Source_wegvoertuigen_CBS!F259</f>
        <v>0</v>
      </c>
    </row>
    <row r="256" spans="1:6" x14ac:dyDescent="0.2">
      <c r="A256" t="str">
        <f>Source_wegvoertuigen_CBS!A260</f>
        <v>Hunsel</v>
      </c>
      <c r="B256" t="e">
        <f>INDEX(Source_GM_code_CBS!$B:$B,MATCH($A256,Source_GM_code_CBS!$C:$C,0))</f>
        <v>#N/A</v>
      </c>
      <c r="C256">
        <f>Source_wegvoertuigen_CBS!C260</f>
        <v>0</v>
      </c>
      <c r="D256">
        <f>Source_wegvoertuigen_CBS!D260</f>
        <v>0</v>
      </c>
      <c r="E256">
        <f>Source_wegvoertuigen_CBS!E260</f>
        <v>0</v>
      </c>
      <c r="F256">
        <f>Source_wegvoertuigen_CBS!F260</f>
        <v>0</v>
      </c>
    </row>
    <row r="257" spans="1:6" x14ac:dyDescent="0.2">
      <c r="A257" t="str">
        <f>Source_wegvoertuigen_CBS!A261</f>
        <v>IJsselham</v>
      </c>
      <c r="B257" t="e">
        <f>INDEX(Source_GM_code_CBS!$B:$B,MATCH($A257,Source_GM_code_CBS!$C:$C,0))</f>
        <v>#N/A</v>
      </c>
      <c r="C257">
        <f>Source_wegvoertuigen_CBS!C261</f>
        <v>0</v>
      </c>
      <c r="D257">
        <f>Source_wegvoertuigen_CBS!D261</f>
        <v>0</v>
      </c>
      <c r="E257">
        <f>Source_wegvoertuigen_CBS!E261</f>
        <v>0</v>
      </c>
      <c r="F257">
        <f>Source_wegvoertuigen_CBS!F261</f>
        <v>0</v>
      </c>
    </row>
    <row r="258" spans="1:6" x14ac:dyDescent="0.2">
      <c r="A258" t="str">
        <f>Source_wegvoertuigen_CBS!A262</f>
        <v>IJsselmuiden</v>
      </c>
      <c r="B258" t="e">
        <f>INDEX(Source_GM_code_CBS!$B:$B,MATCH($A258,Source_GM_code_CBS!$C:$C,0))</f>
        <v>#N/A</v>
      </c>
      <c r="C258">
        <f>Source_wegvoertuigen_CBS!C262</f>
        <v>0</v>
      </c>
      <c r="D258">
        <f>Source_wegvoertuigen_CBS!D262</f>
        <v>0</v>
      </c>
      <c r="E258">
        <f>Source_wegvoertuigen_CBS!E262</f>
        <v>0</v>
      </c>
      <c r="F258">
        <f>Source_wegvoertuigen_CBS!F262</f>
        <v>0</v>
      </c>
    </row>
    <row r="259" spans="1:6" x14ac:dyDescent="0.2">
      <c r="A259" t="str">
        <f>Source_wegvoertuigen_CBS!A263</f>
        <v>IJsselstein</v>
      </c>
      <c r="B259" t="str">
        <f>INDEX(Source_GM_code_CBS!$B:$B,MATCH($A259,Source_GM_code_CBS!$C:$C,0))</f>
        <v>GM0353</v>
      </c>
      <c r="C259">
        <f>Source_wegvoertuigen_CBS!C263</f>
        <v>15587</v>
      </c>
      <c r="D259">
        <f>Source_wegvoertuigen_CBS!D263</f>
        <v>1335</v>
      </c>
      <c r="E259">
        <f>Source_wegvoertuigen_CBS!E263</f>
        <v>67</v>
      </c>
      <c r="F259">
        <f>Source_wegvoertuigen_CBS!F263</f>
        <v>0</v>
      </c>
    </row>
    <row r="260" spans="1:6" x14ac:dyDescent="0.2">
      <c r="A260" t="str">
        <f>Source_wegvoertuigen_CBS!A264</f>
        <v>Jacobswoude</v>
      </c>
      <c r="B260" t="e">
        <f>INDEX(Source_GM_code_CBS!$B:$B,MATCH($A260,Source_GM_code_CBS!$C:$C,0))</f>
        <v>#N/A</v>
      </c>
      <c r="C260">
        <f>Source_wegvoertuigen_CBS!C264</f>
        <v>0</v>
      </c>
      <c r="D260">
        <f>Source_wegvoertuigen_CBS!D264</f>
        <v>0</v>
      </c>
      <c r="E260">
        <f>Source_wegvoertuigen_CBS!E264</f>
        <v>0</v>
      </c>
      <c r="F260">
        <f>Source_wegvoertuigen_CBS!F264</f>
        <v>0</v>
      </c>
    </row>
    <row r="261" spans="1:6" x14ac:dyDescent="0.2">
      <c r="A261" t="str">
        <f>Source_wegvoertuigen_CBS!A265</f>
        <v>Kaag en Braassem</v>
      </c>
      <c r="B261" t="str">
        <f>INDEX(Source_GM_code_CBS!$B:$B,MATCH($A261,Source_GM_code_CBS!$C:$C,0))</f>
        <v>GM1884</v>
      </c>
      <c r="C261">
        <f>Source_wegvoertuigen_CBS!C265</f>
        <v>15061</v>
      </c>
      <c r="D261">
        <f>Source_wegvoertuigen_CBS!D265</f>
        <v>1888</v>
      </c>
      <c r="E261">
        <f>Source_wegvoertuigen_CBS!E265</f>
        <v>183</v>
      </c>
      <c r="F261">
        <f>Source_wegvoertuigen_CBS!F265</f>
        <v>0</v>
      </c>
    </row>
    <row r="262" spans="1:6" x14ac:dyDescent="0.2">
      <c r="A262" t="str">
        <f>Source_wegvoertuigen_CBS!A266</f>
        <v>Kampen</v>
      </c>
      <c r="B262" t="str">
        <f>INDEX(Source_GM_code_CBS!$B:$B,MATCH($A262,Source_GM_code_CBS!$C:$C,0))</f>
        <v>GM0166</v>
      </c>
      <c r="C262">
        <f>Source_wegvoertuigen_CBS!C266</f>
        <v>24565</v>
      </c>
      <c r="D262">
        <f>Source_wegvoertuigen_CBS!D266</f>
        <v>3209</v>
      </c>
      <c r="E262">
        <f>Source_wegvoertuigen_CBS!E266</f>
        <v>195</v>
      </c>
      <c r="F262">
        <f>Source_wegvoertuigen_CBS!F266</f>
        <v>0</v>
      </c>
    </row>
    <row r="263" spans="1:6" x14ac:dyDescent="0.2">
      <c r="A263" t="str">
        <f>Source_wegvoertuigen_CBS!A267</f>
        <v>Kapelle</v>
      </c>
      <c r="B263" t="str">
        <f>INDEX(Source_GM_code_CBS!$B:$B,MATCH($A263,Source_GM_code_CBS!$C:$C,0))</f>
        <v>GM0678</v>
      </c>
      <c r="C263">
        <f>Source_wegvoertuigen_CBS!C267</f>
        <v>7227</v>
      </c>
      <c r="D263">
        <f>Source_wegvoertuigen_CBS!D267</f>
        <v>909</v>
      </c>
      <c r="E263">
        <f>Source_wegvoertuigen_CBS!E267</f>
        <v>39</v>
      </c>
      <c r="F263">
        <f>Source_wegvoertuigen_CBS!F267</f>
        <v>30</v>
      </c>
    </row>
    <row r="264" spans="1:6" x14ac:dyDescent="0.2">
      <c r="A264" t="str">
        <f>Source_wegvoertuigen_CBS!A268</f>
        <v>Katwijk</v>
      </c>
      <c r="B264" t="str">
        <f>INDEX(Source_GM_code_CBS!$B:$B,MATCH($A264,Source_GM_code_CBS!$C:$C,0))</f>
        <v>GM0537</v>
      </c>
      <c r="C264">
        <f>Source_wegvoertuigen_CBS!C268</f>
        <v>27215</v>
      </c>
      <c r="D264">
        <f>Source_wegvoertuigen_CBS!D268</f>
        <v>3027</v>
      </c>
      <c r="E264">
        <f>Source_wegvoertuigen_CBS!E268</f>
        <v>486</v>
      </c>
      <c r="F264">
        <f>Source_wegvoertuigen_CBS!F268</f>
        <v>19</v>
      </c>
    </row>
    <row r="265" spans="1:6" x14ac:dyDescent="0.2">
      <c r="A265" t="str">
        <f>Source_wegvoertuigen_CBS!A269</f>
        <v>Kerkrade</v>
      </c>
      <c r="B265" t="str">
        <f>INDEX(Source_GM_code_CBS!$B:$B,MATCH($A265,Source_GM_code_CBS!$C:$C,0))</f>
        <v>GM0928</v>
      </c>
      <c r="C265">
        <f>Source_wegvoertuigen_CBS!C269</f>
        <v>24608</v>
      </c>
      <c r="D265">
        <f>Source_wegvoertuigen_CBS!D269</f>
        <v>1711</v>
      </c>
      <c r="E265">
        <f>Source_wegvoertuigen_CBS!E269</f>
        <v>104</v>
      </c>
      <c r="F265">
        <f>Source_wegvoertuigen_CBS!F269</f>
        <v>21</v>
      </c>
    </row>
    <row r="266" spans="1:6" x14ac:dyDescent="0.2">
      <c r="A266" t="str">
        <f>Source_wegvoertuigen_CBS!A270</f>
        <v>Kessel</v>
      </c>
      <c r="B266" t="e">
        <f>INDEX(Source_GM_code_CBS!$B:$B,MATCH($A266,Source_GM_code_CBS!$C:$C,0))</f>
        <v>#N/A</v>
      </c>
      <c r="C266">
        <f>Source_wegvoertuigen_CBS!C270</f>
        <v>0</v>
      </c>
      <c r="D266">
        <f>Source_wegvoertuigen_CBS!D270</f>
        <v>0</v>
      </c>
      <c r="E266">
        <f>Source_wegvoertuigen_CBS!E270</f>
        <v>0</v>
      </c>
      <c r="F266">
        <f>Source_wegvoertuigen_CBS!F270</f>
        <v>0</v>
      </c>
    </row>
    <row r="267" spans="1:6" x14ac:dyDescent="0.2">
      <c r="A267" t="str">
        <f>Source_wegvoertuigen_CBS!A271</f>
        <v>Kesteren</v>
      </c>
      <c r="B267" t="e">
        <f>INDEX(Source_GM_code_CBS!$B:$B,MATCH($A267,Source_GM_code_CBS!$C:$C,0))</f>
        <v>#N/A</v>
      </c>
      <c r="C267">
        <f>Source_wegvoertuigen_CBS!C271</f>
        <v>0</v>
      </c>
      <c r="D267">
        <f>Source_wegvoertuigen_CBS!D271</f>
        <v>0</v>
      </c>
      <c r="E267">
        <f>Source_wegvoertuigen_CBS!E271</f>
        <v>0</v>
      </c>
      <c r="F267">
        <f>Source_wegvoertuigen_CBS!F271</f>
        <v>0</v>
      </c>
    </row>
    <row r="268" spans="1:6" x14ac:dyDescent="0.2">
      <c r="A268" t="str">
        <f>Source_wegvoertuigen_CBS!A272</f>
        <v>Koggenland</v>
      </c>
      <c r="B268" t="str">
        <f>INDEX(Source_GM_code_CBS!$B:$B,MATCH($A268,Source_GM_code_CBS!$C:$C,0))</f>
        <v>GM1598</v>
      </c>
      <c r="C268">
        <f>Source_wegvoertuigen_CBS!C272</f>
        <v>12898</v>
      </c>
      <c r="D268">
        <f>Source_wegvoertuigen_CBS!D272</f>
        <v>2220</v>
      </c>
      <c r="E268">
        <f>Source_wegvoertuigen_CBS!E272</f>
        <v>168</v>
      </c>
      <c r="F268">
        <f>Source_wegvoertuigen_CBS!F272</f>
        <v>3</v>
      </c>
    </row>
    <row r="269" spans="1:6" x14ac:dyDescent="0.2">
      <c r="A269" t="str">
        <f>Source_wegvoertuigen_CBS!A273</f>
        <v>Kollumerland en Nieuwkruisland</v>
      </c>
      <c r="B269" t="e">
        <f>INDEX(Source_GM_code_CBS!$B:$B,MATCH($A269,Source_GM_code_CBS!$C:$C,0))</f>
        <v>#N/A</v>
      </c>
      <c r="C269">
        <f>Source_wegvoertuigen_CBS!C273</f>
        <v>0</v>
      </c>
      <c r="D269">
        <f>Source_wegvoertuigen_CBS!D273</f>
        <v>0</v>
      </c>
      <c r="E269">
        <f>Source_wegvoertuigen_CBS!E273</f>
        <v>0</v>
      </c>
      <c r="F269">
        <f>Source_wegvoertuigen_CBS!F273</f>
        <v>0</v>
      </c>
    </row>
    <row r="270" spans="1:6" x14ac:dyDescent="0.2">
      <c r="A270" t="str">
        <f>Source_wegvoertuigen_CBS!A274</f>
        <v>Korendijk</v>
      </c>
      <c r="B270" t="e">
        <f>INDEX(Source_GM_code_CBS!$B:$B,MATCH($A270,Source_GM_code_CBS!$C:$C,0))</f>
        <v>#N/A</v>
      </c>
      <c r="C270">
        <f>Source_wegvoertuigen_CBS!C274</f>
        <v>0</v>
      </c>
      <c r="D270">
        <f>Source_wegvoertuigen_CBS!D274</f>
        <v>0</v>
      </c>
      <c r="E270">
        <f>Source_wegvoertuigen_CBS!E274</f>
        <v>0</v>
      </c>
      <c r="F270">
        <f>Source_wegvoertuigen_CBS!F274</f>
        <v>0</v>
      </c>
    </row>
    <row r="271" spans="1:6" x14ac:dyDescent="0.2">
      <c r="A271" t="str">
        <f>Source_wegvoertuigen_CBS!A275</f>
        <v>Krimpen aan den IJssel</v>
      </c>
      <c r="B271" t="str">
        <f>INDEX(Source_GM_code_CBS!$B:$B,MATCH($A271,Source_GM_code_CBS!$C:$C,0))</f>
        <v>GM0542</v>
      </c>
      <c r="C271">
        <f>Source_wegvoertuigen_CBS!C275</f>
        <v>13987</v>
      </c>
      <c r="D271">
        <f>Source_wegvoertuigen_CBS!D275</f>
        <v>1029</v>
      </c>
      <c r="E271">
        <f>Source_wegvoertuigen_CBS!E275</f>
        <v>98</v>
      </c>
      <c r="F271">
        <f>Source_wegvoertuigen_CBS!F275</f>
        <v>0</v>
      </c>
    </row>
    <row r="272" spans="1:6" x14ac:dyDescent="0.2">
      <c r="A272" t="str">
        <f>Source_wegvoertuigen_CBS!A276</f>
        <v>Krimpenerwaard</v>
      </c>
      <c r="B272" t="str">
        <f>INDEX(Source_GM_code_CBS!$B:$B,MATCH($A272,Source_GM_code_CBS!$C:$C,0))</f>
        <v>GM1931</v>
      </c>
      <c r="C272">
        <f>Source_wegvoertuigen_CBS!C276</f>
        <v>28953</v>
      </c>
      <c r="D272">
        <f>Source_wegvoertuigen_CBS!D276</f>
        <v>4194</v>
      </c>
      <c r="E272">
        <f>Source_wegvoertuigen_CBS!E276</f>
        <v>288</v>
      </c>
      <c r="F272">
        <f>Source_wegvoertuigen_CBS!F276</f>
        <v>0</v>
      </c>
    </row>
    <row r="273" spans="1:6" x14ac:dyDescent="0.2">
      <c r="A273" t="str">
        <f>Source_wegvoertuigen_CBS!A277</f>
        <v>Laarbeek</v>
      </c>
      <c r="B273" t="str">
        <f>INDEX(Source_GM_code_CBS!$B:$B,MATCH($A273,Source_GM_code_CBS!$C:$C,0))</f>
        <v>GM1659</v>
      </c>
      <c r="C273">
        <f>Source_wegvoertuigen_CBS!C277</f>
        <v>12970</v>
      </c>
      <c r="D273">
        <f>Source_wegvoertuigen_CBS!D277</f>
        <v>1703</v>
      </c>
      <c r="E273">
        <f>Source_wegvoertuigen_CBS!E277</f>
        <v>168</v>
      </c>
      <c r="F273">
        <f>Source_wegvoertuigen_CBS!F277</f>
        <v>0</v>
      </c>
    </row>
    <row r="274" spans="1:6" x14ac:dyDescent="0.2">
      <c r="A274" t="str">
        <f>Source_wegvoertuigen_CBS!A278</f>
        <v>Landerd</v>
      </c>
      <c r="B274" t="e">
        <f>INDEX(Source_GM_code_CBS!$B:$B,MATCH($A274,Source_GM_code_CBS!$C:$C,0))</f>
        <v>#N/A</v>
      </c>
      <c r="C274">
        <f>Source_wegvoertuigen_CBS!C278</f>
        <v>0</v>
      </c>
      <c r="D274">
        <f>Source_wegvoertuigen_CBS!D278</f>
        <v>0</v>
      </c>
      <c r="E274">
        <f>Source_wegvoertuigen_CBS!E278</f>
        <v>0</v>
      </c>
      <c r="F274">
        <f>Source_wegvoertuigen_CBS!F278</f>
        <v>0</v>
      </c>
    </row>
    <row r="275" spans="1:6" x14ac:dyDescent="0.2">
      <c r="A275" t="str">
        <f>Source_wegvoertuigen_CBS!A279</f>
        <v>Landgraaf</v>
      </c>
      <c r="B275" t="str">
        <f>INDEX(Source_GM_code_CBS!$B:$B,MATCH($A275,Source_GM_code_CBS!$C:$C,0))</f>
        <v>GM0882</v>
      </c>
      <c r="C275">
        <f>Source_wegvoertuigen_CBS!C279</f>
        <v>21428</v>
      </c>
      <c r="D275">
        <f>Source_wegvoertuigen_CBS!D279</f>
        <v>1438</v>
      </c>
      <c r="E275">
        <f>Source_wegvoertuigen_CBS!E279</f>
        <v>93</v>
      </c>
      <c r="F275">
        <f>Source_wegvoertuigen_CBS!F279</f>
        <v>0</v>
      </c>
    </row>
    <row r="276" spans="1:6" x14ac:dyDescent="0.2">
      <c r="A276" t="str">
        <f>Source_wegvoertuigen_CBS!A280</f>
        <v>Land van Cuijk</v>
      </c>
      <c r="B276" t="str">
        <f>INDEX(Source_GM_code_CBS!$B:$B,MATCH($A276,Source_GM_code_CBS!$C:$C,0))</f>
        <v>GM1982</v>
      </c>
      <c r="C276">
        <f>Source_wegvoertuigen_CBS!C280</f>
        <v>52033</v>
      </c>
      <c r="D276">
        <f>Source_wegvoertuigen_CBS!D280</f>
        <v>5881</v>
      </c>
      <c r="E276">
        <f>Source_wegvoertuigen_CBS!E280</f>
        <v>614</v>
      </c>
      <c r="F276">
        <f>Source_wegvoertuigen_CBS!F280</f>
        <v>13</v>
      </c>
    </row>
    <row r="277" spans="1:6" x14ac:dyDescent="0.2">
      <c r="A277" t="str">
        <f>Source_wegvoertuigen_CBS!A281</f>
        <v>Landsmeer</v>
      </c>
      <c r="B277" t="str">
        <f>INDEX(Source_GM_code_CBS!$B:$B,MATCH($A277,Source_GM_code_CBS!$C:$C,0))</f>
        <v>GM0415</v>
      </c>
      <c r="C277">
        <f>Source_wegvoertuigen_CBS!C281</f>
        <v>5678</v>
      </c>
      <c r="D277">
        <f>Source_wegvoertuigen_CBS!D281</f>
        <v>539</v>
      </c>
      <c r="E277">
        <f>Source_wegvoertuigen_CBS!E281</f>
        <v>13</v>
      </c>
      <c r="F277">
        <f>Source_wegvoertuigen_CBS!F281</f>
        <v>1</v>
      </c>
    </row>
    <row r="278" spans="1:6" x14ac:dyDescent="0.2">
      <c r="A278" t="str">
        <f>Source_wegvoertuigen_CBS!A282</f>
        <v>Langedijk</v>
      </c>
      <c r="B278" t="e">
        <f>INDEX(Source_GM_code_CBS!$B:$B,MATCH($A278,Source_GM_code_CBS!$C:$C,0))</f>
        <v>#N/A</v>
      </c>
      <c r="C278">
        <f>Source_wegvoertuigen_CBS!C282</f>
        <v>0</v>
      </c>
      <c r="D278">
        <f>Source_wegvoertuigen_CBS!D282</f>
        <v>0</v>
      </c>
      <c r="E278">
        <f>Source_wegvoertuigen_CBS!E282</f>
        <v>0</v>
      </c>
      <c r="F278">
        <f>Source_wegvoertuigen_CBS!F282</f>
        <v>0</v>
      </c>
    </row>
    <row r="279" spans="1:6" x14ac:dyDescent="0.2">
      <c r="A279" t="str">
        <f>Source_wegvoertuigen_CBS!A283</f>
        <v>Lansingerland</v>
      </c>
      <c r="B279" t="str">
        <f>INDEX(Source_GM_code_CBS!$B:$B,MATCH($A279,Source_GM_code_CBS!$C:$C,0))</f>
        <v>GM1621</v>
      </c>
      <c r="C279">
        <f>Source_wegvoertuigen_CBS!C283</f>
        <v>32099</v>
      </c>
      <c r="D279">
        <f>Source_wegvoertuigen_CBS!D283</f>
        <v>3557</v>
      </c>
      <c r="E279">
        <f>Source_wegvoertuigen_CBS!E283</f>
        <v>340</v>
      </c>
      <c r="F279">
        <f>Source_wegvoertuigen_CBS!F283</f>
        <v>6</v>
      </c>
    </row>
    <row r="280" spans="1:6" x14ac:dyDescent="0.2">
      <c r="A280" s="5" t="s">
        <v>592</v>
      </c>
      <c r="B280" t="str">
        <f>INDEX(Source_GM_code_CBS!$B:$B,MATCH($A280,Source_GM_code_CBS!$C:$C,0))</f>
        <v>GM0417</v>
      </c>
      <c r="C280">
        <f>Source_wegvoertuigen_CBS!C284</f>
        <v>6932</v>
      </c>
      <c r="D280">
        <f>Source_wegvoertuigen_CBS!D284</f>
        <v>396</v>
      </c>
      <c r="E280">
        <f>Source_wegvoertuigen_CBS!E284</f>
        <v>12</v>
      </c>
      <c r="F280">
        <f>Source_wegvoertuigen_CBS!F284</f>
        <v>0</v>
      </c>
    </row>
    <row r="281" spans="1:6" x14ac:dyDescent="0.2">
      <c r="A281" t="str">
        <f>Source_wegvoertuigen_CBS!A285</f>
        <v>Leek</v>
      </c>
      <c r="B281" t="e">
        <f>INDEX(Source_GM_code_CBS!$B:$B,MATCH($A281,Source_GM_code_CBS!$C:$C,0))</f>
        <v>#N/A</v>
      </c>
      <c r="C281">
        <f>Source_wegvoertuigen_CBS!C285</f>
        <v>0</v>
      </c>
      <c r="D281">
        <f>Source_wegvoertuigen_CBS!D285</f>
        <v>0</v>
      </c>
      <c r="E281">
        <f>Source_wegvoertuigen_CBS!E285</f>
        <v>0</v>
      </c>
      <c r="F281">
        <f>Source_wegvoertuigen_CBS!F285</f>
        <v>0</v>
      </c>
    </row>
    <row r="282" spans="1:6" x14ac:dyDescent="0.2">
      <c r="A282" t="str">
        <f>Source_wegvoertuigen_CBS!A286</f>
        <v>Leerdam</v>
      </c>
      <c r="B282" t="e">
        <f>INDEX(Source_GM_code_CBS!$B:$B,MATCH($A282,Source_GM_code_CBS!$C:$C,0))</f>
        <v>#N/A</v>
      </c>
      <c r="C282">
        <f>Source_wegvoertuigen_CBS!C286</f>
        <v>0</v>
      </c>
      <c r="D282">
        <f>Source_wegvoertuigen_CBS!D286</f>
        <v>0</v>
      </c>
      <c r="E282">
        <f>Source_wegvoertuigen_CBS!E286</f>
        <v>0</v>
      </c>
      <c r="F282">
        <f>Source_wegvoertuigen_CBS!F286</f>
        <v>0</v>
      </c>
    </row>
    <row r="283" spans="1:6" x14ac:dyDescent="0.2">
      <c r="A283" t="str">
        <f>Source_wegvoertuigen_CBS!A287</f>
        <v>Leersum</v>
      </c>
      <c r="B283" t="e">
        <f>INDEX(Source_GM_code_CBS!$B:$B,MATCH($A283,Source_GM_code_CBS!$C:$C,0))</f>
        <v>#N/A</v>
      </c>
      <c r="C283">
        <f>Source_wegvoertuigen_CBS!C287</f>
        <v>0</v>
      </c>
      <c r="D283">
        <f>Source_wegvoertuigen_CBS!D287</f>
        <v>0</v>
      </c>
      <c r="E283">
        <f>Source_wegvoertuigen_CBS!E287</f>
        <v>0</v>
      </c>
      <c r="F283">
        <f>Source_wegvoertuigen_CBS!F287</f>
        <v>0</v>
      </c>
    </row>
    <row r="284" spans="1:6" x14ac:dyDescent="0.2">
      <c r="A284" t="str">
        <f>Source_wegvoertuigen_CBS!A288</f>
        <v>Leeuwarden</v>
      </c>
      <c r="B284" t="str">
        <f>INDEX(Source_GM_code_CBS!$B:$B,MATCH($A284,Source_GM_code_CBS!$C:$C,0))</f>
        <v>GM0080</v>
      </c>
      <c r="C284">
        <f>Source_wegvoertuigen_CBS!C288</f>
        <v>57846</v>
      </c>
      <c r="D284">
        <f>Source_wegvoertuigen_CBS!D288</f>
        <v>6119</v>
      </c>
      <c r="E284">
        <f>Source_wegvoertuigen_CBS!E288</f>
        <v>410</v>
      </c>
      <c r="F284">
        <f>Source_wegvoertuigen_CBS!F288</f>
        <v>9</v>
      </c>
    </row>
    <row r="285" spans="1:6" x14ac:dyDescent="0.2">
      <c r="A285" t="str">
        <f>Source_wegvoertuigen_CBS!A289</f>
        <v>Leeuwarderadeel</v>
      </c>
      <c r="B285" t="e">
        <f>INDEX(Source_GM_code_CBS!$B:$B,MATCH($A285,Source_GM_code_CBS!$C:$C,0))</f>
        <v>#N/A</v>
      </c>
      <c r="C285">
        <f>Source_wegvoertuigen_CBS!C289</f>
        <v>0</v>
      </c>
      <c r="D285">
        <f>Source_wegvoertuigen_CBS!D289</f>
        <v>0</v>
      </c>
      <c r="E285">
        <f>Source_wegvoertuigen_CBS!E289</f>
        <v>0</v>
      </c>
      <c r="F285">
        <f>Source_wegvoertuigen_CBS!F289</f>
        <v>0</v>
      </c>
    </row>
    <row r="286" spans="1:6" x14ac:dyDescent="0.2">
      <c r="A286" t="str">
        <f>Source_wegvoertuigen_CBS!A290</f>
        <v>Leiden</v>
      </c>
      <c r="B286" t="str">
        <f>INDEX(Source_GM_code_CBS!$B:$B,MATCH($A286,Source_GM_code_CBS!$C:$C,0))</f>
        <v>GM0546</v>
      </c>
      <c r="C286">
        <f>Source_wegvoertuigen_CBS!C290</f>
        <v>40657</v>
      </c>
      <c r="D286">
        <f>Source_wegvoertuigen_CBS!D290</f>
        <v>3195</v>
      </c>
      <c r="E286">
        <f>Source_wegvoertuigen_CBS!E290</f>
        <v>129</v>
      </c>
      <c r="F286">
        <f>Source_wegvoertuigen_CBS!F290</f>
        <v>0</v>
      </c>
    </row>
    <row r="287" spans="1:6" x14ac:dyDescent="0.2">
      <c r="A287" t="str">
        <f>Source_wegvoertuigen_CBS!A291</f>
        <v>Leiderdorp</v>
      </c>
      <c r="B287" t="str">
        <f>INDEX(Source_GM_code_CBS!$B:$B,MATCH($A287,Source_GM_code_CBS!$C:$C,0))</f>
        <v>GM0547</v>
      </c>
      <c r="C287">
        <f>Source_wegvoertuigen_CBS!C291</f>
        <v>13131</v>
      </c>
      <c r="D287">
        <f>Source_wegvoertuigen_CBS!D291</f>
        <v>1100</v>
      </c>
      <c r="E287">
        <f>Source_wegvoertuigen_CBS!E291</f>
        <v>26</v>
      </c>
      <c r="F287">
        <f>Source_wegvoertuigen_CBS!F291</f>
        <v>0</v>
      </c>
    </row>
    <row r="288" spans="1:6" x14ac:dyDescent="0.2">
      <c r="A288" t="str">
        <f>Source_wegvoertuigen_CBS!A292</f>
        <v>Leidschendam</v>
      </c>
      <c r="B288" t="e">
        <f>INDEX(Source_GM_code_CBS!$B:$B,MATCH($A288,Source_GM_code_CBS!$C:$C,0))</f>
        <v>#N/A</v>
      </c>
      <c r="C288">
        <f>Source_wegvoertuigen_CBS!C292</f>
        <v>0</v>
      </c>
      <c r="D288">
        <f>Source_wegvoertuigen_CBS!D292</f>
        <v>0</v>
      </c>
      <c r="E288">
        <f>Source_wegvoertuigen_CBS!E292</f>
        <v>0</v>
      </c>
      <c r="F288">
        <f>Source_wegvoertuigen_CBS!F292</f>
        <v>0</v>
      </c>
    </row>
    <row r="289" spans="1:6" x14ac:dyDescent="0.2">
      <c r="A289" t="str">
        <f>Source_wegvoertuigen_CBS!A293</f>
        <v>Leidschendam-Voorburg</v>
      </c>
      <c r="B289" t="str">
        <f>INDEX(Source_GM_code_CBS!$B:$B,MATCH($A289,Source_GM_code_CBS!$C:$C,0))</f>
        <v>GM1916</v>
      </c>
      <c r="C289">
        <f>Source_wegvoertuigen_CBS!C293</f>
        <v>36033</v>
      </c>
      <c r="D289">
        <f>Source_wegvoertuigen_CBS!D293</f>
        <v>3136</v>
      </c>
      <c r="E289">
        <f>Source_wegvoertuigen_CBS!E293</f>
        <v>90</v>
      </c>
      <c r="F289">
        <f>Source_wegvoertuigen_CBS!F293</f>
        <v>1</v>
      </c>
    </row>
    <row r="290" spans="1:6" x14ac:dyDescent="0.2">
      <c r="A290" t="str">
        <f>Source_wegvoertuigen_CBS!A294</f>
        <v>Lelystad</v>
      </c>
      <c r="B290" t="str">
        <f>INDEX(Source_GM_code_CBS!$B:$B,MATCH($A290,Source_GM_code_CBS!$C:$C,0))</f>
        <v>GM0995</v>
      </c>
      <c r="C290">
        <f>Source_wegvoertuigen_CBS!C294</f>
        <v>37988</v>
      </c>
      <c r="D290">
        <f>Source_wegvoertuigen_CBS!D294</f>
        <v>3330</v>
      </c>
      <c r="E290">
        <f>Source_wegvoertuigen_CBS!E294</f>
        <v>84</v>
      </c>
      <c r="F290">
        <f>Source_wegvoertuigen_CBS!F294</f>
        <v>10</v>
      </c>
    </row>
    <row r="291" spans="1:6" x14ac:dyDescent="0.2">
      <c r="A291" t="str">
        <f>Source_wegvoertuigen_CBS!A295</f>
        <v>Lemsterland</v>
      </c>
      <c r="B291" t="e">
        <f>INDEX(Source_GM_code_CBS!$B:$B,MATCH($A291,Source_GM_code_CBS!$C:$C,0))</f>
        <v>#N/A</v>
      </c>
      <c r="C291">
        <f>Source_wegvoertuigen_CBS!C295</f>
        <v>0</v>
      </c>
      <c r="D291">
        <f>Source_wegvoertuigen_CBS!D295</f>
        <v>0</v>
      </c>
      <c r="E291">
        <f>Source_wegvoertuigen_CBS!E295</f>
        <v>0</v>
      </c>
      <c r="F291">
        <f>Source_wegvoertuigen_CBS!F295</f>
        <v>0</v>
      </c>
    </row>
    <row r="292" spans="1:6" x14ac:dyDescent="0.2">
      <c r="A292" t="str">
        <f>Source_wegvoertuigen_CBS!A296</f>
        <v>Leudal</v>
      </c>
      <c r="B292" t="str">
        <f>INDEX(Source_GM_code_CBS!$B:$B,MATCH($A292,Source_GM_code_CBS!$C:$C,0))</f>
        <v>GM1640</v>
      </c>
      <c r="C292">
        <f>Source_wegvoertuigen_CBS!C296</f>
        <v>21858</v>
      </c>
      <c r="D292">
        <f>Source_wegvoertuigen_CBS!D296</f>
        <v>2638</v>
      </c>
      <c r="E292">
        <f>Source_wegvoertuigen_CBS!E296</f>
        <v>237</v>
      </c>
      <c r="F292">
        <f>Source_wegvoertuigen_CBS!F296</f>
        <v>26</v>
      </c>
    </row>
    <row r="293" spans="1:6" x14ac:dyDescent="0.2">
      <c r="A293" t="str">
        <f>Source_wegvoertuigen_CBS!A297</f>
        <v>Leusden</v>
      </c>
      <c r="B293" t="str">
        <f>INDEX(Source_GM_code_CBS!$B:$B,MATCH($A293,Source_GM_code_CBS!$C:$C,0))</f>
        <v>GM0327</v>
      </c>
      <c r="C293">
        <f>Source_wegvoertuigen_CBS!C297</f>
        <v>16235</v>
      </c>
      <c r="D293">
        <f>Source_wegvoertuigen_CBS!D297</f>
        <v>1167</v>
      </c>
      <c r="E293">
        <f>Source_wegvoertuigen_CBS!E297</f>
        <v>34</v>
      </c>
      <c r="F293">
        <f>Source_wegvoertuigen_CBS!F297</f>
        <v>0</v>
      </c>
    </row>
    <row r="294" spans="1:6" x14ac:dyDescent="0.2">
      <c r="A294" t="str">
        <f>Source_wegvoertuigen_CBS!A298</f>
        <v>Lichtenvoorde</v>
      </c>
      <c r="B294" t="e">
        <f>INDEX(Source_GM_code_CBS!$B:$B,MATCH($A294,Source_GM_code_CBS!$C:$C,0))</f>
        <v>#N/A</v>
      </c>
      <c r="C294">
        <f>Source_wegvoertuigen_CBS!C298</f>
        <v>0</v>
      </c>
      <c r="D294">
        <f>Source_wegvoertuigen_CBS!D298</f>
        <v>0</v>
      </c>
      <c r="E294">
        <f>Source_wegvoertuigen_CBS!E298</f>
        <v>0</v>
      </c>
      <c r="F294">
        <f>Source_wegvoertuigen_CBS!F298</f>
        <v>0</v>
      </c>
    </row>
    <row r="295" spans="1:6" x14ac:dyDescent="0.2">
      <c r="A295" t="str">
        <f>Source_wegvoertuigen_CBS!A299</f>
        <v>Liemeer</v>
      </c>
      <c r="B295" t="e">
        <f>INDEX(Source_GM_code_CBS!$B:$B,MATCH($A295,Source_GM_code_CBS!$C:$C,0))</f>
        <v>#N/A</v>
      </c>
      <c r="C295">
        <f>Source_wegvoertuigen_CBS!C299</f>
        <v>0</v>
      </c>
      <c r="D295">
        <f>Source_wegvoertuigen_CBS!D299</f>
        <v>0</v>
      </c>
      <c r="E295">
        <f>Source_wegvoertuigen_CBS!E299</f>
        <v>0</v>
      </c>
      <c r="F295">
        <f>Source_wegvoertuigen_CBS!F299</f>
        <v>0</v>
      </c>
    </row>
    <row r="296" spans="1:6" x14ac:dyDescent="0.2">
      <c r="A296" t="str">
        <f>Source_wegvoertuigen_CBS!A300</f>
        <v>De Lier</v>
      </c>
      <c r="B296" t="e">
        <f>INDEX(Source_GM_code_CBS!$B:$B,MATCH($A296,Source_GM_code_CBS!$C:$C,0))</f>
        <v>#N/A</v>
      </c>
      <c r="C296">
        <f>Source_wegvoertuigen_CBS!C300</f>
        <v>0</v>
      </c>
      <c r="D296">
        <f>Source_wegvoertuigen_CBS!D300</f>
        <v>0</v>
      </c>
      <c r="E296">
        <f>Source_wegvoertuigen_CBS!E300</f>
        <v>0</v>
      </c>
      <c r="F296">
        <f>Source_wegvoertuigen_CBS!F300</f>
        <v>0</v>
      </c>
    </row>
    <row r="297" spans="1:6" x14ac:dyDescent="0.2">
      <c r="A297" t="str">
        <f>Source_wegvoertuigen_CBS!A301</f>
        <v>Liesveld</v>
      </c>
      <c r="B297" t="e">
        <f>INDEX(Source_GM_code_CBS!$B:$B,MATCH($A297,Source_GM_code_CBS!$C:$C,0))</f>
        <v>#N/A</v>
      </c>
      <c r="C297">
        <f>Source_wegvoertuigen_CBS!C301</f>
        <v>0</v>
      </c>
      <c r="D297">
        <f>Source_wegvoertuigen_CBS!D301</f>
        <v>0</v>
      </c>
      <c r="E297">
        <f>Source_wegvoertuigen_CBS!E301</f>
        <v>0</v>
      </c>
      <c r="F297">
        <f>Source_wegvoertuigen_CBS!F301</f>
        <v>0</v>
      </c>
    </row>
    <row r="298" spans="1:6" x14ac:dyDescent="0.2">
      <c r="A298" t="str">
        <f>Source_wegvoertuigen_CBS!A302</f>
        <v>Limmen</v>
      </c>
      <c r="B298" t="e">
        <f>INDEX(Source_GM_code_CBS!$B:$B,MATCH($A298,Source_GM_code_CBS!$C:$C,0))</f>
        <v>#N/A</v>
      </c>
      <c r="C298">
        <f>Source_wegvoertuigen_CBS!C302</f>
        <v>0</v>
      </c>
      <c r="D298">
        <f>Source_wegvoertuigen_CBS!D302</f>
        <v>0</v>
      </c>
      <c r="E298">
        <f>Source_wegvoertuigen_CBS!E302</f>
        <v>0</v>
      </c>
      <c r="F298">
        <f>Source_wegvoertuigen_CBS!F302</f>
        <v>0</v>
      </c>
    </row>
    <row r="299" spans="1:6" x14ac:dyDescent="0.2">
      <c r="A299" t="str">
        <f>Source_wegvoertuigen_CBS!A303</f>
        <v>Lingewaal</v>
      </c>
      <c r="B299" t="e">
        <f>INDEX(Source_GM_code_CBS!$B:$B,MATCH($A299,Source_GM_code_CBS!$C:$C,0))</f>
        <v>#N/A</v>
      </c>
      <c r="C299">
        <f>Source_wegvoertuigen_CBS!C303</f>
        <v>0</v>
      </c>
      <c r="D299">
        <f>Source_wegvoertuigen_CBS!D303</f>
        <v>0</v>
      </c>
      <c r="E299">
        <f>Source_wegvoertuigen_CBS!E303</f>
        <v>0</v>
      </c>
      <c r="F299">
        <f>Source_wegvoertuigen_CBS!F303</f>
        <v>0</v>
      </c>
    </row>
    <row r="300" spans="1:6" x14ac:dyDescent="0.2">
      <c r="A300" t="str">
        <f>Source_wegvoertuigen_CBS!A304</f>
        <v>Lingewaard</v>
      </c>
      <c r="B300" t="str">
        <f>INDEX(Source_GM_code_CBS!$B:$B,MATCH($A300,Source_GM_code_CBS!$C:$C,0))</f>
        <v>GM1705</v>
      </c>
      <c r="C300">
        <f>Source_wegvoertuigen_CBS!C304</f>
        <v>24972</v>
      </c>
      <c r="D300">
        <f>Source_wegvoertuigen_CBS!D304</f>
        <v>2217</v>
      </c>
      <c r="E300">
        <f>Source_wegvoertuigen_CBS!E304</f>
        <v>203</v>
      </c>
      <c r="F300">
        <f>Source_wegvoertuigen_CBS!F304</f>
        <v>0</v>
      </c>
    </row>
    <row r="301" spans="1:6" x14ac:dyDescent="0.2">
      <c r="A301" t="str">
        <f>Source_wegvoertuigen_CBS!A305</f>
        <v>Lisse</v>
      </c>
      <c r="B301" t="str">
        <f>INDEX(Source_GM_code_CBS!$B:$B,MATCH($A301,Source_GM_code_CBS!$C:$C,0))</f>
        <v>GM0553</v>
      </c>
      <c r="C301">
        <f>Source_wegvoertuigen_CBS!C305</f>
        <v>12078</v>
      </c>
      <c r="D301">
        <f>Source_wegvoertuigen_CBS!D305</f>
        <v>1221</v>
      </c>
      <c r="E301">
        <f>Source_wegvoertuigen_CBS!E305</f>
        <v>83</v>
      </c>
      <c r="F301">
        <f>Source_wegvoertuigen_CBS!F305</f>
        <v>0</v>
      </c>
    </row>
    <row r="302" spans="1:6" x14ac:dyDescent="0.2">
      <c r="A302" t="str">
        <f>Source_wegvoertuigen_CBS!A306</f>
        <v>Lith</v>
      </c>
      <c r="B302" t="e">
        <f>INDEX(Source_GM_code_CBS!$B:$B,MATCH($A302,Source_GM_code_CBS!$C:$C,0))</f>
        <v>#N/A</v>
      </c>
      <c r="C302">
        <f>Source_wegvoertuigen_CBS!C306</f>
        <v>0</v>
      </c>
      <c r="D302">
        <f>Source_wegvoertuigen_CBS!D306</f>
        <v>0</v>
      </c>
      <c r="E302">
        <f>Source_wegvoertuigen_CBS!E306</f>
        <v>0</v>
      </c>
      <c r="F302">
        <f>Source_wegvoertuigen_CBS!F306</f>
        <v>0</v>
      </c>
    </row>
    <row r="303" spans="1:6" x14ac:dyDescent="0.2">
      <c r="A303" t="str">
        <f>Source_wegvoertuigen_CBS!A307</f>
        <v>Littenseradiel</v>
      </c>
      <c r="B303" t="e">
        <f>INDEX(Source_GM_code_CBS!$B:$B,MATCH($A303,Source_GM_code_CBS!$C:$C,0))</f>
        <v>#N/A</v>
      </c>
      <c r="C303">
        <f>Source_wegvoertuigen_CBS!C307</f>
        <v>0</v>
      </c>
      <c r="D303">
        <f>Source_wegvoertuigen_CBS!D307</f>
        <v>0</v>
      </c>
      <c r="E303">
        <f>Source_wegvoertuigen_CBS!E307</f>
        <v>0</v>
      </c>
      <c r="F303">
        <f>Source_wegvoertuigen_CBS!F307</f>
        <v>0</v>
      </c>
    </row>
    <row r="304" spans="1:6" x14ac:dyDescent="0.2">
      <c r="A304" t="str">
        <f>Source_wegvoertuigen_CBS!A308</f>
        <v>Lochem</v>
      </c>
      <c r="B304" t="str">
        <f>INDEX(Source_GM_code_CBS!$B:$B,MATCH($A304,Source_GM_code_CBS!$C:$C,0))</f>
        <v>GM0262</v>
      </c>
      <c r="C304">
        <f>Source_wegvoertuigen_CBS!C308</f>
        <v>20069</v>
      </c>
      <c r="D304">
        <f>Source_wegvoertuigen_CBS!D308</f>
        <v>1858</v>
      </c>
      <c r="E304">
        <f>Source_wegvoertuigen_CBS!E308</f>
        <v>110</v>
      </c>
      <c r="F304">
        <f>Source_wegvoertuigen_CBS!F308</f>
        <v>0</v>
      </c>
    </row>
    <row r="305" spans="1:6" x14ac:dyDescent="0.2">
      <c r="A305" t="str">
        <f>Source_wegvoertuigen_CBS!A309</f>
        <v>Loenen</v>
      </c>
      <c r="B305" t="e">
        <f>INDEX(Source_GM_code_CBS!$B:$B,MATCH($A305,Source_GM_code_CBS!$C:$C,0))</f>
        <v>#N/A</v>
      </c>
      <c r="C305">
        <f>Source_wegvoertuigen_CBS!C309</f>
        <v>0</v>
      </c>
      <c r="D305">
        <f>Source_wegvoertuigen_CBS!D309</f>
        <v>0</v>
      </c>
      <c r="E305">
        <f>Source_wegvoertuigen_CBS!E309</f>
        <v>0</v>
      </c>
      <c r="F305">
        <f>Source_wegvoertuigen_CBS!F309</f>
        <v>0</v>
      </c>
    </row>
    <row r="306" spans="1:6" x14ac:dyDescent="0.2">
      <c r="A306" t="str">
        <f>Source_wegvoertuigen_CBS!A310</f>
        <v>Loon op Zand</v>
      </c>
      <c r="B306" t="str">
        <f>INDEX(Source_GM_code_CBS!$B:$B,MATCH($A306,Source_GM_code_CBS!$C:$C,0))</f>
        <v>GM0809</v>
      </c>
      <c r="C306">
        <f>Source_wegvoertuigen_CBS!C310</f>
        <v>13392</v>
      </c>
      <c r="D306">
        <f>Source_wegvoertuigen_CBS!D310</f>
        <v>1388</v>
      </c>
      <c r="E306">
        <f>Source_wegvoertuigen_CBS!E310</f>
        <v>73</v>
      </c>
      <c r="F306">
        <f>Source_wegvoertuigen_CBS!F310</f>
        <v>1</v>
      </c>
    </row>
    <row r="307" spans="1:6" x14ac:dyDescent="0.2">
      <c r="A307" t="str">
        <f>Source_wegvoertuigen_CBS!A311</f>
        <v>Loosdrecht</v>
      </c>
      <c r="B307" t="e">
        <f>INDEX(Source_GM_code_CBS!$B:$B,MATCH($A307,Source_GM_code_CBS!$C:$C,0))</f>
        <v>#N/A</v>
      </c>
      <c r="C307">
        <f>Source_wegvoertuigen_CBS!C311</f>
        <v>0</v>
      </c>
      <c r="D307">
        <f>Source_wegvoertuigen_CBS!D311</f>
        <v>0</v>
      </c>
      <c r="E307">
        <f>Source_wegvoertuigen_CBS!E311</f>
        <v>0</v>
      </c>
      <c r="F307">
        <f>Source_wegvoertuigen_CBS!F311</f>
        <v>0</v>
      </c>
    </row>
    <row r="308" spans="1:6" x14ac:dyDescent="0.2">
      <c r="A308" t="str">
        <f>Source_wegvoertuigen_CBS!A312</f>
        <v>Lopik</v>
      </c>
      <c r="B308" t="str">
        <f>INDEX(Source_GM_code_CBS!$B:$B,MATCH($A308,Source_GM_code_CBS!$C:$C,0))</f>
        <v>GM0331</v>
      </c>
      <c r="C308">
        <f>Source_wegvoertuigen_CBS!C312</f>
        <v>7931</v>
      </c>
      <c r="D308">
        <f>Source_wegvoertuigen_CBS!D312</f>
        <v>1637</v>
      </c>
      <c r="E308">
        <f>Source_wegvoertuigen_CBS!E312</f>
        <v>169</v>
      </c>
      <c r="F308">
        <f>Source_wegvoertuigen_CBS!F312</f>
        <v>1</v>
      </c>
    </row>
    <row r="309" spans="1:6" x14ac:dyDescent="0.2">
      <c r="A309" t="str">
        <f>Source_wegvoertuigen_CBS!A313</f>
        <v>Loppersum</v>
      </c>
      <c r="B309" t="e">
        <f>INDEX(Source_GM_code_CBS!$B:$B,MATCH($A309,Source_GM_code_CBS!$C:$C,0))</f>
        <v>#N/A</v>
      </c>
      <c r="C309">
        <f>Source_wegvoertuigen_CBS!C313</f>
        <v>0</v>
      </c>
      <c r="D309">
        <f>Source_wegvoertuigen_CBS!D313</f>
        <v>0</v>
      </c>
      <c r="E309">
        <f>Source_wegvoertuigen_CBS!E313</f>
        <v>0</v>
      </c>
      <c r="F309">
        <f>Source_wegvoertuigen_CBS!F313</f>
        <v>0</v>
      </c>
    </row>
    <row r="310" spans="1:6" x14ac:dyDescent="0.2">
      <c r="A310" t="str">
        <f>Source_wegvoertuigen_CBS!A314</f>
        <v>Losser</v>
      </c>
      <c r="B310" t="str">
        <f>INDEX(Source_GM_code_CBS!$B:$B,MATCH($A310,Source_GM_code_CBS!$C:$C,0))</f>
        <v>GM0168</v>
      </c>
      <c r="C310">
        <f>Source_wegvoertuigen_CBS!C314</f>
        <v>12734</v>
      </c>
      <c r="D310">
        <f>Source_wegvoertuigen_CBS!D314</f>
        <v>1134</v>
      </c>
      <c r="E310">
        <f>Source_wegvoertuigen_CBS!E314</f>
        <v>48</v>
      </c>
      <c r="F310">
        <f>Source_wegvoertuigen_CBS!F314</f>
        <v>7</v>
      </c>
    </row>
    <row r="311" spans="1:6" x14ac:dyDescent="0.2">
      <c r="A311" t="str">
        <f>Source_wegvoertuigen_CBS!A315</f>
        <v>Maarn</v>
      </c>
      <c r="B311" t="e">
        <f>INDEX(Source_GM_code_CBS!$B:$B,MATCH($A311,Source_GM_code_CBS!$C:$C,0))</f>
        <v>#N/A</v>
      </c>
      <c r="C311">
        <f>Source_wegvoertuigen_CBS!C315</f>
        <v>0</v>
      </c>
      <c r="D311">
        <f>Source_wegvoertuigen_CBS!D315</f>
        <v>0</v>
      </c>
      <c r="E311">
        <f>Source_wegvoertuigen_CBS!E315</f>
        <v>0</v>
      </c>
      <c r="F311">
        <f>Source_wegvoertuigen_CBS!F315</f>
        <v>0</v>
      </c>
    </row>
    <row r="312" spans="1:6" x14ac:dyDescent="0.2">
      <c r="A312" t="str">
        <f>Source_wegvoertuigen_CBS!A316</f>
        <v>Maarssen</v>
      </c>
      <c r="B312" t="e">
        <f>INDEX(Source_GM_code_CBS!$B:$B,MATCH($A312,Source_GM_code_CBS!$C:$C,0))</f>
        <v>#N/A</v>
      </c>
      <c r="C312">
        <f>Source_wegvoertuigen_CBS!C316</f>
        <v>0</v>
      </c>
      <c r="D312">
        <f>Source_wegvoertuigen_CBS!D316</f>
        <v>0</v>
      </c>
      <c r="E312">
        <f>Source_wegvoertuigen_CBS!E316</f>
        <v>0</v>
      </c>
      <c r="F312">
        <f>Source_wegvoertuigen_CBS!F316</f>
        <v>0</v>
      </c>
    </row>
    <row r="313" spans="1:6" x14ac:dyDescent="0.2">
      <c r="A313" t="str">
        <f>Source_wegvoertuigen_CBS!A317</f>
        <v>Maartensdijk</v>
      </c>
      <c r="B313" t="e">
        <f>INDEX(Source_GM_code_CBS!$B:$B,MATCH($A313,Source_GM_code_CBS!$C:$C,0))</f>
        <v>#N/A</v>
      </c>
      <c r="C313">
        <f>Source_wegvoertuigen_CBS!C317</f>
        <v>0</v>
      </c>
      <c r="D313">
        <f>Source_wegvoertuigen_CBS!D317</f>
        <v>0</v>
      </c>
      <c r="E313">
        <f>Source_wegvoertuigen_CBS!E317</f>
        <v>0</v>
      </c>
      <c r="F313">
        <f>Source_wegvoertuigen_CBS!F317</f>
        <v>0</v>
      </c>
    </row>
    <row r="314" spans="1:6" x14ac:dyDescent="0.2">
      <c r="A314" t="str">
        <f>Source_wegvoertuigen_CBS!A318</f>
        <v>Maasbracht</v>
      </c>
      <c r="B314" t="e">
        <f>INDEX(Source_GM_code_CBS!$B:$B,MATCH($A314,Source_GM_code_CBS!$C:$C,0))</f>
        <v>#N/A</v>
      </c>
      <c r="C314">
        <f>Source_wegvoertuigen_CBS!C318</f>
        <v>0</v>
      </c>
      <c r="D314">
        <f>Source_wegvoertuigen_CBS!D318</f>
        <v>0</v>
      </c>
      <c r="E314">
        <f>Source_wegvoertuigen_CBS!E318</f>
        <v>0</v>
      </c>
      <c r="F314">
        <f>Source_wegvoertuigen_CBS!F318</f>
        <v>0</v>
      </c>
    </row>
    <row r="315" spans="1:6" x14ac:dyDescent="0.2">
      <c r="A315" t="str">
        <f>Source_wegvoertuigen_CBS!A319</f>
        <v>Maasbree</v>
      </c>
      <c r="B315" t="e">
        <f>INDEX(Source_GM_code_CBS!$B:$B,MATCH($A315,Source_GM_code_CBS!$C:$C,0))</f>
        <v>#N/A</v>
      </c>
      <c r="C315">
        <f>Source_wegvoertuigen_CBS!C319</f>
        <v>0</v>
      </c>
      <c r="D315">
        <f>Source_wegvoertuigen_CBS!D319</f>
        <v>0</v>
      </c>
      <c r="E315">
        <f>Source_wegvoertuigen_CBS!E319</f>
        <v>0</v>
      </c>
      <c r="F315">
        <f>Source_wegvoertuigen_CBS!F319</f>
        <v>0</v>
      </c>
    </row>
    <row r="316" spans="1:6" x14ac:dyDescent="0.2">
      <c r="A316" t="str">
        <f>Source_wegvoertuigen_CBS!A320</f>
        <v>Maasdonk</v>
      </c>
      <c r="B316" t="e">
        <f>INDEX(Source_GM_code_CBS!$B:$B,MATCH($A316,Source_GM_code_CBS!$C:$C,0))</f>
        <v>#N/A</v>
      </c>
      <c r="C316">
        <f>Source_wegvoertuigen_CBS!C320</f>
        <v>0</v>
      </c>
      <c r="D316">
        <f>Source_wegvoertuigen_CBS!D320</f>
        <v>0</v>
      </c>
      <c r="E316">
        <f>Source_wegvoertuigen_CBS!E320</f>
        <v>0</v>
      </c>
      <c r="F316">
        <f>Source_wegvoertuigen_CBS!F320</f>
        <v>0</v>
      </c>
    </row>
    <row r="317" spans="1:6" x14ac:dyDescent="0.2">
      <c r="A317" t="str">
        <f>Source_wegvoertuigen_CBS!A321</f>
        <v>Maasdriel</v>
      </c>
      <c r="B317" t="str">
        <f>INDEX(Source_GM_code_CBS!$B:$B,MATCH($A317,Source_GM_code_CBS!$C:$C,0))</f>
        <v>GM0263</v>
      </c>
      <c r="C317">
        <f>Source_wegvoertuigen_CBS!C321</f>
        <v>15021</v>
      </c>
      <c r="D317">
        <f>Source_wegvoertuigen_CBS!D321</f>
        <v>2622</v>
      </c>
      <c r="E317">
        <f>Source_wegvoertuigen_CBS!E321</f>
        <v>239</v>
      </c>
      <c r="F317">
        <f>Source_wegvoertuigen_CBS!F321</f>
        <v>81</v>
      </c>
    </row>
    <row r="318" spans="1:6" x14ac:dyDescent="0.2">
      <c r="A318" t="str">
        <f>Source_wegvoertuigen_CBS!A322</f>
        <v>Maasgouw</v>
      </c>
      <c r="B318" t="str">
        <f>INDEX(Source_GM_code_CBS!$B:$B,MATCH($A318,Source_GM_code_CBS!$C:$C,0))</f>
        <v>GM1641</v>
      </c>
      <c r="C318">
        <f>Source_wegvoertuigen_CBS!C322</f>
        <v>14577</v>
      </c>
      <c r="D318">
        <f>Source_wegvoertuigen_CBS!D322</f>
        <v>1472</v>
      </c>
      <c r="E318">
        <f>Source_wegvoertuigen_CBS!E322</f>
        <v>110</v>
      </c>
      <c r="F318">
        <f>Source_wegvoertuigen_CBS!F322</f>
        <v>5</v>
      </c>
    </row>
    <row r="319" spans="1:6" x14ac:dyDescent="0.2">
      <c r="A319" t="str">
        <f>Source_wegvoertuigen_CBS!A323</f>
        <v>Maashorst</v>
      </c>
      <c r="B319" t="str">
        <f>INDEX(Source_GM_code_CBS!$B:$B,MATCH($A319,Source_GM_code_CBS!$C:$C,0))</f>
        <v>GM1991</v>
      </c>
      <c r="C319">
        <f>Source_wegvoertuigen_CBS!C323</f>
        <v>35218</v>
      </c>
      <c r="D319">
        <f>Source_wegvoertuigen_CBS!D323</f>
        <v>5610</v>
      </c>
      <c r="E319">
        <f>Source_wegvoertuigen_CBS!E323</f>
        <v>502</v>
      </c>
      <c r="F319">
        <f>Source_wegvoertuigen_CBS!F323</f>
        <v>9</v>
      </c>
    </row>
    <row r="320" spans="1:6" x14ac:dyDescent="0.2">
      <c r="A320" t="str">
        <f>Source_wegvoertuigen_CBS!A324</f>
        <v>Maasland</v>
      </c>
      <c r="B320" t="e">
        <f>INDEX(Source_GM_code_CBS!$B:$B,MATCH($A320,Source_GM_code_CBS!$C:$C,0))</f>
        <v>#N/A</v>
      </c>
      <c r="C320">
        <f>Source_wegvoertuigen_CBS!C324</f>
        <v>0</v>
      </c>
      <c r="D320">
        <f>Source_wegvoertuigen_CBS!D324</f>
        <v>0</v>
      </c>
      <c r="E320">
        <f>Source_wegvoertuigen_CBS!E324</f>
        <v>0</v>
      </c>
      <c r="F320">
        <f>Source_wegvoertuigen_CBS!F324</f>
        <v>0</v>
      </c>
    </row>
    <row r="321" spans="1:6" x14ac:dyDescent="0.2">
      <c r="A321" t="str">
        <f>Source_wegvoertuigen_CBS!A325</f>
        <v>Maassluis</v>
      </c>
      <c r="B321" t="str">
        <f>INDEX(Source_GM_code_CBS!$B:$B,MATCH($A321,Source_GM_code_CBS!$C:$C,0))</f>
        <v>GM0556</v>
      </c>
      <c r="C321">
        <f>Source_wegvoertuigen_CBS!C325</f>
        <v>15676</v>
      </c>
      <c r="D321">
        <f>Source_wegvoertuigen_CBS!D325</f>
        <v>1053</v>
      </c>
      <c r="E321">
        <f>Source_wegvoertuigen_CBS!E325</f>
        <v>39</v>
      </c>
      <c r="F321">
        <f>Source_wegvoertuigen_CBS!F325</f>
        <v>9</v>
      </c>
    </row>
    <row r="322" spans="1:6" x14ac:dyDescent="0.2">
      <c r="A322" t="str">
        <f>Source_wegvoertuigen_CBS!A326</f>
        <v>Maastricht</v>
      </c>
      <c r="B322" t="str">
        <f>INDEX(Source_GM_code_CBS!$B:$B,MATCH($A322,Source_GM_code_CBS!$C:$C,0))</f>
        <v>GM0935</v>
      </c>
      <c r="C322">
        <f>Source_wegvoertuigen_CBS!C326</f>
        <v>46846</v>
      </c>
      <c r="D322">
        <f>Source_wegvoertuigen_CBS!D326</f>
        <v>3355</v>
      </c>
      <c r="E322">
        <f>Source_wegvoertuigen_CBS!E326</f>
        <v>222</v>
      </c>
      <c r="F322">
        <f>Source_wegvoertuigen_CBS!F326</f>
        <v>10</v>
      </c>
    </row>
    <row r="323" spans="1:6" x14ac:dyDescent="0.2">
      <c r="A323" t="str">
        <f>Source_wegvoertuigen_CBS!A327</f>
        <v>Margraten</v>
      </c>
      <c r="B323" t="e">
        <f>INDEX(Source_GM_code_CBS!$B:$B,MATCH($A323,Source_GM_code_CBS!$C:$C,0))</f>
        <v>#N/A</v>
      </c>
      <c r="C323">
        <f>Source_wegvoertuigen_CBS!C327</f>
        <v>0</v>
      </c>
      <c r="D323">
        <f>Source_wegvoertuigen_CBS!D327</f>
        <v>0</v>
      </c>
      <c r="E323">
        <f>Source_wegvoertuigen_CBS!E327</f>
        <v>0</v>
      </c>
      <c r="F323">
        <f>Source_wegvoertuigen_CBS!F327</f>
        <v>0</v>
      </c>
    </row>
    <row r="324" spans="1:6" x14ac:dyDescent="0.2">
      <c r="A324" t="str">
        <f>Source_wegvoertuigen_CBS!A328</f>
        <v>Markelo</v>
      </c>
      <c r="B324" t="e">
        <f>INDEX(Source_GM_code_CBS!$B:$B,MATCH($A324,Source_GM_code_CBS!$C:$C,0))</f>
        <v>#N/A</v>
      </c>
      <c r="C324">
        <f>Source_wegvoertuigen_CBS!C328</f>
        <v>0</v>
      </c>
      <c r="D324">
        <f>Source_wegvoertuigen_CBS!D328</f>
        <v>0</v>
      </c>
      <c r="E324">
        <f>Source_wegvoertuigen_CBS!E328</f>
        <v>0</v>
      </c>
      <c r="F324">
        <f>Source_wegvoertuigen_CBS!F328</f>
        <v>0</v>
      </c>
    </row>
    <row r="325" spans="1:6" x14ac:dyDescent="0.2">
      <c r="A325" t="str">
        <f>Source_wegvoertuigen_CBS!A329</f>
        <v>De Marne</v>
      </c>
      <c r="B325" t="e">
        <f>INDEX(Source_GM_code_CBS!$B:$B,MATCH($A325,Source_GM_code_CBS!$C:$C,0))</f>
        <v>#N/A</v>
      </c>
      <c r="C325">
        <f>Source_wegvoertuigen_CBS!C329</f>
        <v>0</v>
      </c>
      <c r="D325">
        <f>Source_wegvoertuigen_CBS!D329</f>
        <v>0</v>
      </c>
      <c r="E325">
        <f>Source_wegvoertuigen_CBS!E329</f>
        <v>0</v>
      </c>
      <c r="F325">
        <f>Source_wegvoertuigen_CBS!F329</f>
        <v>0</v>
      </c>
    </row>
    <row r="326" spans="1:6" x14ac:dyDescent="0.2">
      <c r="A326" t="str">
        <f>Source_wegvoertuigen_CBS!A330</f>
        <v>Marum</v>
      </c>
      <c r="B326" t="e">
        <f>INDEX(Source_GM_code_CBS!$B:$B,MATCH($A326,Source_GM_code_CBS!$C:$C,0))</f>
        <v>#N/A</v>
      </c>
      <c r="C326">
        <f>Source_wegvoertuigen_CBS!C330</f>
        <v>0</v>
      </c>
      <c r="D326">
        <f>Source_wegvoertuigen_CBS!D330</f>
        <v>0</v>
      </c>
      <c r="E326">
        <f>Source_wegvoertuigen_CBS!E330</f>
        <v>0</v>
      </c>
      <c r="F326">
        <f>Source_wegvoertuigen_CBS!F330</f>
        <v>0</v>
      </c>
    </row>
    <row r="327" spans="1:6" x14ac:dyDescent="0.2">
      <c r="A327" t="str">
        <f>Source_wegvoertuigen_CBS!A331</f>
        <v>Medemblik</v>
      </c>
      <c r="B327" t="str">
        <f>INDEX(Source_GM_code_CBS!$B:$B,MATCH($A327,Source_GM_code_CBS!$C:$C,0))</f>
        <v>GM0420</v>
      </c>
      <c r="C327">
        <f>Source_wegvoertuigen_CBS!C331</f>
        <v>24869</v>
      </c>
      <c r="D327">
        <f>Source_wegvoertuigen_CBS!D331</f>
        <v>3894</v>
      </c>
      <c r="E327">
        <f>Source_wegvoertuigen_CBS!E331</f>
        <v>503</v>
      </c>
      <c r="F327">
        <f>Source_wegvoertuigen_CBS!F331</f>
        <v>5</v>
      </c>
    </row>
    <row r="328" spans="1:6" x14ac:dyDescent="0.2">
      <c r="A328" t="str">
        <f>Source_wegvoertuigen_CBS!A332</f>
        <v>Meerlo-Wanssum</v>
      </c>
      <c r="B328" t="e">
        <f>INDEX(Source_GM_code_CBS!$B:$B,MATCH($A328,Source_GM_code_CBS!$C:$C,0))</f>
        <v>#N/A</v>
      </c>
      <c r="C328">
        <f>Source_wegvoertuigen_CBS!C332</f>
        <v>0</v>
      </c>
      <c r="D328">
        <f>Source_wegvoertuigen_CBS!D332</f>
        <v>0</v>
      </c>
      <c r="E328">
        <f>Source_wegvoertuigen_CBS!E332</f>
        <v>0</v>
      </c>
      <c r="F328">
        <f>Source_wegvoertuigen_CBS!F332</f>
        <v>0</v>
      </c>
    </row>
    <row r="329" spans="1:6" x14ac:dyDescent="0.2">
      <c r="A329" t="str">
        <f>Source_wegvoertuigen_CBS!A333</f>
        <v>Meerssen</v>
      </c>
      <c r="B329" t="str">
        <f>INDEX(Source_GM_code_CBS!$B:$B,MATCH($A329,Source_GM_code_CBS!$C:$C,0))</f>
        <v>GM0938</v>
      </c>
      <c r="C329">
        <f>Source_wegvoertuigen_CBS!C333</f>
        <v>10761</v>
      </c>
      <c r="D329">
        <f>Source_wegvoertuigen_CBS!D333</f>
        <v>1225</v>
      </c>
      <c r="E329">
        <f>Source_wegvoertuigen_CBS!E333</f>
        <v>141</v>
      </c>
      <c r="F329">
        <f>Source_wegvoertuigen_CBS!F333</f>
        <v>1</v>
      </c>
    </row>
    <row r="330" spans="1:6" x14ac:dyDescent="0.2">
      <c r="A330" t="str">
        <f>Source_wegvoertuigen_CBS!A334</f>
        <v>Meierijstad</v>
      </c>
      <c r="B330" t="str">
        <f>INDEX(Source_GM_code_CBS!$B:$B,MATCH($A330,Source_GM_code_CBS!$C:$C,0))</f>
        <v>GM1948</v>
      </c>
      <c r="C330">
        <f>Source_wegvoertuigen_CBS!C334</f>
        <v>47192</v>
      </c>
      <c r="D330">
        <f>Source_wegvoertuigen_CBS!D334</f>
        <v>7310</v>
      </c>
      <c r="E330">
        <f>Source_wegvoertuigen_CBS!E334</f>
        <v>557</v>
      </c>
      <c r="F330">
        <f>Source_wegvoertuigen_CBS!F334</f>
        <v>33</v>
      </c>
    </row>
    <row r="331" spans="1:6" x14ac:dyDescent="0.2">
      <c r="A331" t="str">
        <f>Source_wegvoertuigen_CBS!A335</f>
        <v>Meijel</v>
      </c>
      <c r="B331" t="e">
        <f>INDEX(Source_GM_code_CBS!$B:$B,MATCH($A331,Source_GM_code_CBS!$C:$C,0))</f>
        <v>#N/A</v>
      </c>
      <c r="C331">
        <f>Source_wegvoertuigen_CBS!C335</f>
        <v>0</v>
      </c>
      <c r="D331">
        <f>Source_wegvoertuigen_CBS!D335</f>
        <v>0</v>
      </c>
      <c r="E331">
        <f>Source_wegvoertuigen_CBS!E335</f>
        <v>0</v>
      </c>
      <c r="F331">
        <f>Source_wegvoertuigen_CBS!F335</f>
        <v>0</v>
      </c>
    </row>
    <row r="332" spans="1:6" x14ac:dyDescent="0.2">
      <c r="A332" t="str">
        <f>Source_wegvoertuigen_CBS!A336</f>
        <v>Menaldumadeel</v>
      </c>
      <c r="B332" t="e">
        <f>INDEX(Source_GM_code_CBS!$B:$B,MATCH($A332,Source_GM_code_CBS!$C:$C,0))</f>
        <v>#N/A</v>
      </c>
      <c r="C332">
        <f>Source_wegvoertuigen_CBS!C336</f>
        <v>0</v>
      </c>
      <c r="D332">
        <f>Source_wegvoertuigen_CBS!D336</f>
        <v>0</v>
      </c>
      <c r="E332">
        <f>Source_wegvoertuigen_CBS!E336</f>
        <v>0</v>
      </c>
      <c r="F332">
        <f>Source_wegvoertuigen_CBS!F336</f>
        <v>0</v>
      </c>
    </row>
    <row r="333" spans="1:6" x14ac:dyDescent="0.2">
      <c r="A333" t="str">
        <f>Source_wegvoertuigen_CBS!A337</f>
        <v>Menameradiel</v>
      </c>
      <c r="B333" t="e">
        <f>INDEX(Source_GM_code_CBS!$B:$B,MATCH($A333,Source_GM_code_CBS!$C:$C,0))</f>
        <v>#N/A</v>
      </c>
      <c r="C333">
        <f>Source_wegvoertuigen_CBS!C337</f>
        <v>0</v>
      </c>
      <c r="D333">
        <f>Source_wegvoertuigen_CBS!D337</f>
        <v>0</v>
      </c>
      <c r="E333">
        <f>Source_wegvoertuigen_CBS!E337</f>
        <v>0</v>
      </c>
      <c r="F333">
        <f>Source_wegvoertuigen_CBS!F337</f>
        <v>0</v>
      </c>
    </row>
    <row r="334" spans="1:6" x14ac:dyDescent="0.2">
      <c r="A334" t="str">
        <f>Source_wegvoertuigen_CBS!A338</f>
        <v>Menterwolde</v>
      </c>
      <c r="B334" t="e">
        <f>INDEX(Source_GM_code_CBS!$B:$B,MATCH($A334,Source_GM_code_CBS!$C:$C,0))</f>
        <v>#N/A</v>
      </c>
      <c r="C334">
        <f>Source_wegvoertuigen_CBS!C338</f>
        <v>0</v>
      </c>
      <c r="D334">
        <f>Source_wegvoertuigen_CBS!D338</f>
        <v>0</v>
      </c>
      <c r="E334">
        <f>Source_wegvoertuigen_CBS!E338</f>
        <v>0</v>
      </c>
      <c r="F334">
        <f>Source_wegvoertuigen_CBS!F338</f>
        <v>0</v>
      </c>
    </row>
    <row r="335" spans="1:6" x14ac:dyDescent="0.2">
      <c r="A335" t="str">
        <f>Source_wegvoertuigen_CBS!A339</f>
        <v>Meppel</v>
      </c>
      <c r="B335" t="str">
        <f>INDEX(Source_GM_code_CBS!$B:$B,MATCH($A335,Source_GM_code_CBS!$C:$C,0))</f>
        <v>GM0119</v>
      </c>
      <c r="C335">
        <f>Source_wegvoertuigen_CBS!C339</f>
        <v>17758</v>
      </c>
      <c r="D335">
        <f>Source_wegvoertuigen_CBS!D339</f>
        <v>1684</v>
      </c>
      <c r="E335">
        <f>Source_wegvoertuigen_CBS!E339</f>
        <v>116</v>
      </c>
      <c r="F335">
        <f>Source_wegvoertuigen_CBS!F339</f>
        <v>7</v>
      </c>
    </row>
    <row r="336" spans="1:6" x14ac:dyDescent="0.2">
      <c r="A336" s="5" t="s">
        <v>93</v>
      </c>
      <c r="B336" t="str">
        <f>INDEX(Source_GM_code_CBS!$B:$B,MATCH($A336,Source_GM_code_CBS!$C:$C,0))</f>
        <v>GM0687</v>
      </c>
      <c r="C336">
        <f>Source_wegvoertuigen_CBS!C340</f>
        <v>23385</v>
      </c>
      <c r="D336">
        <f>Source_wegvoertuigen_CBS!D340</f>
        <v>2085</v>
      </c>
      <c r="E336">
        <f>Source_wegvoertuigen_CBS!E340</f>
        <v>156</v>
      </c>
      <c r="F336">
        <f>Source_wegvoertuigen_CBS!F340</f>
        <v>4</v>
      </c>
    </row>
    <row r="337" spans="1:6" x14ac:dyDescent="0.2">
      <c r="A337" t="str">
        <f>Source_wegvoertuigen_CBS!A341</f>
        <v>Middelharnis</v>
      </c>
      <c r="B337" t="e">
        <f>INDEX(Source_GM_code_CBS!$B:$B,MATCH($A337,Source_GM_code_CBS!$C:$C,0))</f>
        <v>#N/A</v>
      </c>
      <c r="C337">
        <f>Source_wegvoertuigen_CBS!C341</f>
        <v>0</v>
      </c>
      <c r="D337">
        <f>Source_wegvoertuigen_CBS!D341</f>
        <v>0</v>
      </c>
      <c r="E337">
        <f>Source_wegvoertuigen_CBS!E341</f>
        <v>0</v>
      </c>
      <c r="F337">
        <f>Source_wegvoertuigen_CBS!F341</f>
        <v>0</v>
      </c>
    </row>
    <row r="338" spans="1:6" x14ac:dyDescent="0.2">
      <c r="A338" t="str">
        <f>Source_wegvoertuigen_CBS!A342</f>
        <v>Midden-Delfland</v>
      </c>
      <c r="B338" t="str">
        <f>INDEX(Source_GM_code_CBS!$B:$B,MATCH($A338,Source_GM_code_CBS!$C:$C,0))</f>
        <v>GM1842</v>
      </c>
      <c r="C338">
        <f>Source_wegvoertuigen_CBS!C342</f>
        <v>9567</v>
      </c>
      <c r="D338">
        <f>Source_wegvoertuigen_CBS!D342</f>
        <v>1383</v>
      </c>
      <c r="E338">
        <f>Source_wegvoertuigen_CBS!E342</f>
        <v>137</v>
      </c>
      <c r="F338">
        <f>Source_wegvoertuigen_CBS!F342</f>
        <v>2</v>
      </c>
    </row>
    <row r="339" spans="1:6" x14ac:dyDescent="0.2">
      <c r="A339" t="str">
        <f>Source_wegvoertuigen_CBS!A343</f>
        <v>Midden-Drenthe</v>
      </c>
      <c r="B339" t="str">
        <f>INDEX(Source_GM_code_CBS!$B:$B,MATCH($A339,Source_GM_code_CBS!$C:$C,0))</f>
        <v>GM1731</v>
      </c>
      <c r="C339">
        <f>Source_wegvoertuigen_CBS!C343</f>
        <v>19624</v>
      </c>
      <c r="D339">
        <f>Source_wegvoertuigen_CBS!D343</f>
        <v>3024</v>
      </c>
      <c r="E339">
        <f>Source_wegvoertuigen_CBS!E343</f>
        <v>119</v>
      </c>
      <c r="F339">
        <f>Source_wegvoertuigen_CBS!F343</f>
        <v>4</v>
      </c>
    </row>
    <row r="340" spans="1:6" x14ac:dyDescent="0.2">
      <c r="A340" t="str">
        <f>Source_wegvoertuigen_CBS!A344</f>
        <v>Midden-Groningen</v>
      </c>
      <c r="B340" t="str">
        <f>INDEX(Source_GM_code_CBS!$B:$B,MATCH($A340,Source_GM_code_CBS!$C:$C,0))</f>
        <v>GM1952</v>
      </c>
      <c r="C340">
        <f>Source_wegvoertuigen_CBS!C344</f>
        <v>34106</v>
      </c>
      <c r="D340">
        <f>Source_wegvoertuigen_CBS!D344</f>
        <v>3649</v>
      </c>
      <c r="E340">
        <f>Source_wegvoertuigen_CBS!E344</f>
        <v>238</v>
      </c>
      <c r="F340">
        <f>Source_wegvoertuigen_CBS!F344</f>
        <v>18</v>
      </c>
    </row>
    <row r="341" spans="1:6" x14ac:dyDescent="0.2">
      <c r="A341" t="str">
        <f>Source_wegvoertuigen_CBS!A345</f>
        <v>Mierlo</v>
      </c>
      <c r="B341" t="e">
        <f>INDEX(Source_GM_code_CBS!$B:$B,MATCH($A341,Source_GM_code_CBS!$C:$C,0))</f>
        <v>#N/A</v>
      </c>
      <c r="C341">
        <f>Source_wegvoertuigen_CBS!C345</f>
        <v>0</v>
      </c>
      <c r="D341">
        <f>Source_wegvoertuigen_CBS!D345</f>
        <v>0</v>
      </c>
      <c r="E341">
        <f>Source_wegvoertuigen_CBS!E345</f>
        <v>0</v>
      </c>
      <c r="F341">
        <f>Source_wegvoertuigen_CBS!F345</f>
        <v>0</v>
      </c>
    </row>
    <row r="342" spans="1:6" x14ac:dyDescent="0.2">
      <c r="A342" t="str">
        <f>Source_wegvoertuigen_CBS!A346</f>
        <v>Mill en Sint Hubert</v>
      </c>
      <c r="B342" t="e">
        <f>INDEX(Source_GM_code_CBS!$B:$B,MATCH($A342,Source_GM_code_CBS!$C:$C,0))</f>
        <v>#N/A</v>
      </c>
      <c r="C342">
        <f>Source_wegvoertuigen_CBS!C346</f>
        <v>0</v>
      </c>
      <c r="D342">
        <f>Source_wegvoertuigen_CBS!D346</f>
        <v>0</v>
      </c>
      <c r="E342">
        <f>Source_wegvoertuigen_CBS!E346</f>
        <v>0</v>
      </c>
      <c r="F342">
        <f>Source_wegvoertuigen_CBS!F346</f>
        <v>0</v>
      </c>
    </row>
    <row r="343" spans="1:6" x14ac:dyDescent="0.2">
      <c r="A343" t="str">
        <f>Source_wegvoertuigen_CBS!A347</f>
        <v>Millingen aan de Rijn</v>
      </c>
      <c r="B343" t="e">
        <f>INDEX(Source_GM_code_CBS!$B:$B,MATCH($A343,Source_GM_code_CBS!$C:$C,0))</f>
        <v>#N/A</v>
      </c>
      <c r="C343">
        <f>Source_wegvoertuigen_CBS!C347</f>
        <v>0</v>
      </c>
      <c r="D343">
        <f>Source_wegvoertuigen_CBS!D347</f>
        <v>0</v>
      </c>
      <c r="E343">
        <f>Source_wegvoertuigen_CBS!E347</f>
        <v>0</v>
      </c>
      <c r="F343">
        <f>Source_wegvoertuigen_CBS!F347</f>
        <v>0</v>
      </c>
    </row>
    <row r="344" spans="1:6" x14ac:dyDescent="0.2">
      <c r="A344" t="str">
        <f>Source_wegvoertuigen_CBS!A348</f>
        <v>Moerdijk</v>
      </c>
      <c r="B344" t="str">
        <f>INDEX(Source_GM_code_CBS!$B:$B,MATCH($A344,Source_GM_code_CBS!$C:$C,0))</f>
        <v>GM1709</v>
      </c>
      <c r="C344">
        <f>Source_wegvoertuigen_CBS!C348</f>
        <v>22291</v>
      </c>
      <c r="D344">
        <f>Source_wegvoertuigen_CBS!D348</f>
        <v>2954</v>
      </c>
      <c r="E344">
        <f>Source_wegvoertuigen_CBS!E348</f>
        <v>267</v>
      </c>
      <c r="F344">
        <f>Source_wegvoertuigen_CBS!F348</f>
        <v>39</v>
      </c>
    </row>
    <row r="345" spans="1:6" x14ac:dyDescent="0.2">
      <c r="A345" t="str">
        <f>Source_wegvoertuigen_CBS!A349</f>
        <v>Molenlanden</v>
      </c>
      <c r="B345" t="str">
        <f>INDEX(Source_GM_code_CBS!$B:$B,MATCH($A345,Source_GM_code_CBS!$C:$C,0))</f>
        <v>GM1978</v>
      </c>
      <c r="C345">
        <f>Source_wegvoertuigen_CBS!C349</f>
        <v>24092</v>
      </c>
      <c r="D345">
        <f>Source_wegvoertuigen_CBS!D349</f>
        <v>4031</v>
      </c>
      <c r="E345">
        <f>Source_wegvoertuigen_CBS!E349</f>
        <v>358</v>
      </c>
      <c r="F345">
        <f>Source_wegvoertuigen_CBS!F349</f>
        <v>12</v>
      </c>
    </row>
    <row r="346" spans="1:6" x14ac:dyDescent="0.2">
      <c r="A346" t="str">
        <f>Source_wegvoertuigen_CBS!A350</f>
        <v>Molenwaard</v>
      </c>
      <c r="B346" t="e">
        <f>INDEX(Source_GM_code_CBS!$B:$B,MATCH($A346,Source_GM_code_CBS!$C:$C,0))</f>
        <v>#N/A</v>
      </c>
      <c r="C346">
        <f>Source_wegvoertuigen_CBS!C350</f>
        <v>0</v>
      </c>
      <c r="D346">
        <f>Source_wegvoertuigen_CBS!D350</f>
        <v>0</v>
      </c>
      <c r="E346">
        <f>Source_wegvoertuigen_CBS!E350</f>
        <v>0</v>
      </c>
      <c r="F346">
        <f>Source_wegvoertuigen_CBS!F350</f>
        <v>0</v>
      </c>
    </row>
    <row r="347" spans="1:6" x14ac:dyDescent="0.2">
      <c r="A347" t="str">
        <f>Source_wegvoertuigen_CBS!A351</f>
        <v>Monster</v>
      </c>
      <c r="B347" t="e">
        <f>INDEX(Source_GM_code_CBS!$B:$B,MATCH($A347,Source_GM_code_CBS!$C:$C,0))</f>
        <v>#N/A</v>
      </c>
      <c r="C347">
        <f>Source_wegvoertuigen_CBS!C351</f>
        <v>0</v>
      </c>
      <c r="D347">
        <f>Source_wegvoertuigen_CBS!D351</f>
        <v>0</v>
      </c>
      <c r="E347">
        <f>Source_wegvoertuigen_CBS!E351</f>
        <v>0</v>
      </c>
      <c r="F347">
        <f>Source_wegvoertuigen_CBS!F351</f>
        <v>0</v>
      </c>
    </row>
    <row r="348" spans="1:6" x14ac:dyDescent="0.2">
      <c r="A348" t="str">
        <f>Source_wegvoertuigen_CBS!A352</f>
        <v>Montferland</v>
      </c>
      <c r="B348" t="str">
        <f>INDEX(Source_GM_code_CBS!$B:$B,MATCH($A348,Source_GM_code_CBS!$C:$C,0))</f>
        <v>GM1955</v>
      </c>
      <c r="C348">
        <f>Source_wegvoertuigen_CBS!C352</f>
        <v>20732</v>
      </c>
      <c r="D348">
        <f>Source_wegvoertuigen_CBS!D352</f>
        <v>2283</v>
      </c>
      <c r="E348">
        <f>Source_wegvoertuigen_CBS!E352</f>
        <v>220</v>
      </c>
      <c r="F348">
        <f>Source_wegvoertuigen_CBS!F352</f>
        <v>10</v>
      </c>
    </row>
    <row r="349" spans="1:6" x14ac:dyDescent="0.2">
      <c r="A349" t="str">
        <f>Source_wegvoertuigen_CBS!A353</f>
        <v>Montfoort</v>
      </c>
      <c r="B349" t="str">
        <f>INDEX(Source_GM_code_CBS!$B:$B,MATCH($A349,Source_GM_code_CBS!$C:$C,0))</f>
        <v>GM0335</v>
      </c>
      <c r="C349">
        <f>Source_wegvoertuigen_CBS!C353</f>
        <v>7153</v>
      </c>
      <c r="D349">
        <f>Source_wegvoertuigen_CBS!D353</f>
        <v>1193</v>
      </c>
      <c r="E349">
        <f>Source_wegvoertuigen_CBS!E353</f>
        <v>116</v>
      </c>
      <c r="F349">
        <f>Source_wegvoertuigen_CBS!F353</f>
        <v>0</v>
      </c>
    </row>
    <row r="350" spans="1:6" x14ac:dyDescent="0.2">
      <c r="A350" t="str">
        <f>Source_wegvoertuigen_CBS!A354</f>
        <v>Mook en Middelaar</v>
      </c>
      <c r="B350" t="str">
        <f>INDEX(Source_GM_code_CBS!$B:$B,MATCH($A350,Source_GM_code_CBS!$C:$C,0))</f>
        <v>GM0944</v>
      </c>
      <c r="C350">
        <f>Source_wegvoertuigen_CBS!C354</f>
        <v>4799</v>
      </c>
      <c r="D350">
        <f>Source_wegvoertuigen_CBS!D354</f>
        <v>451</v>
      </c>
      <c r="E350">
        <f>Source_wegvoertuigen_CBS!E354</f>
        <v>18</v>
      </c>
      <c r="F350">
        <f>Source_wegvoertuigen_CBS!F354</f>
        <v>1</v>
      </c>
    </row>
    <row r="351" spans="1:6" x14ac:dyDescent="0.2">
      <c r="A351" t="str">
        <f>Source_wegvoertuigen_CBS!A355</f>
        <v>Moordrecht</v>
      </c>
      <c r="B351" t="e">
        <f>INDEX(Source_GM_code_CBS!$B:$B,MATCH($A351,Source_GM_code_CBS!$C:$C,0))</f>
        <v>#N/A</v>
      </c>
      <c r="C351">
        <f>Source_wegvoertuigen_CBS!C355</f>
        <v>0</v>
      </c>
      <c r="D351">
        <f>Source_wegvoertuigen_CBS!D355</f>
        <v>0</v>
      </c>
      <c r="E351">
        <f>Source_wegvoertuigen_CBS!E355</f>
        <v>0</v>
      </c>
      <c r="F351">
        <f>Source_wegvoertuigen_CBS!F355</f>
        <v>0</v>
      </c>
    </row>
    <row r="352" spans="1:6" x14ac:dyDescent="0.2">
      <c r="A352" t="str">
        <f>Source_wegvoertuigen_CBS!A356</f>
        <v>Muiden</v>
      </c>
      <c r="B352" t="e">
        <f>INDEX(Source_GM_code_CBS!$B:$B,MATCH($A352,Source_GM_code_CBS!$C:$C,0))</f>
        <v>#N/A</v>
      </c>
      <c r="C352">
        <f>Source_wegvoertuigen_CBS!C356</f>
        <v>0</v>
      </c>
      <c r="D352">
        <f>Source_wegvoertuigen_CBS!D356</f>
        <v>0</v>
      </c>
      <c r="E352">
        <f>Source_wegvoertuigen_CBS!E356</f>
        <v>0</v>
      </c>
      <c r="F352">
        <f>Source_wegvoertuigen_CBS!F356</f>
        <v>0</v>
      </c>
    </row>
    <row r="353" spans="1:6" x14ac:dyDescent="0.2">
      <c r="A353" t="str">
        <f>Source_wegvoertuigen_CBS!A357</f>
        <v>Naaldwijk</v>
      </c>
      <c r="B353" t="e">
        <f>INDEX(Source_GM_code_CBS!$B:$B,MATCH($A353,Source_GM_code_CBS!$C:$C,0))</f>
        <v>#N/A</v>
      </c>
      <c r="C353">
        <f>Source_wegvoertuigen_CBS!C357</f>
        <v>0</v>
      </c>
      <c r="D353">
        <f>Source_wegvoertuigen_CBS!D357</f>
        <v>0</v>
      </c>
      <c r="E353">
        <f>Source_wegvoertuigen_CBS!E357</f>
        <v>0</v>
      </c>
      <c r="F353">
        <f>Source_wegvoertuigen_CBS!F357</f>
        <v>0</v>
      </c>
    </row>
    <row r="354" spans="1:6" x14ac:dyDescent="0.2">
      <c r="A354" t="str">
        <f>Source_wegvoertuigen_CBS!A358</f>
        <v>Naarden</v>
      </c>
      <c r="B354" t="e">
        <f>INDEX(Source_GM_code_CBS!$B:$B,MATCH($A354,Source_GM_code_CBS!$C:$C,0))</f>
        <v>#N/A</v>
      </c>
      <c r="C354">
        <f>Source_wegvoertuigen_CBS!C358</f>
        <v>0</v>
      </c>
      <c r="D354">
        <f>Source_wegvoertuigen_CBS!D358</f>
        <v>0</v>
      </c>
      <c r="E354">
        <f>Source_wegvoertuigen_CBS!E358</f>
        <v>0</v>
      </c>
      <c r="F354">
        <f>Source_wegvoertuigen_CBS!F358</f>
        <v>0</v>
      </c>
    </row>
    <row r="355" spans="1:6" x14ac:dyDescent="0.2">
      <c r="A355" t="str">
        <f>Source_wegvoertuigen_CBS!A359</f>
        <v>Neder-Betuwe</v>
      </c>
      <c r="B355" t="str">
        <f>INDEX(Source_GM_code_CBS!$B:$B,MATCH($A355,Source_GM_code_CBS!$C:$C,0))</f>
        <v>GM1740</v>
      </c>
      <c r="C355">
        <f>Source_wegvoertuigen_CBS!C359</f>
        <v>13251</v>
      </c>
      <c r="D355">
        <f>Source_wegvoertuigen_CBS!D359</f>
        <v>2574</v>
      </c>
      <c r="E355">
        <f>Source_wegvoertuigen_CBS!E359</f>
        <v>225</v>
      </c>
      <c r="F355">
        <f>Source_wegvoertuigen_CBS!F359</f>
        <v>11</v>
      </c>
    </row>
    <row r="356" spans="1:6" x14ac:dyDescent="0.2">
      <c r="A356" t="str">
        <f>Source_wegvoertuigen_CBS!A360</f>
        <v>Nederhorst den Berg</v>
      </c>
      <c r="B356" t="e">
        <f>INDEX(Source_GM_code_CBS!$B:$B,MATCH($A356,Source_GM_code_CBS!$C:$C,0))</f>
        <v>#N/A</v>
      </c>
      <c r="C356">
        <f>Source_wegvoertuigen_CBS!C360</f>
        <v>0</v>
      </c>
      <c r="D356">
        <f>Source_wegvoertuigen_CBS!D360</f>
        <v>0</v>
      </c>
      <c r="E356">
        <f>Source_wegvoertuigen_CBS!E360</f>
        <v>0</v>
      </c>
      <c r="F356">
        <f>Source_wegvoertuigen_CBS!F360</f>
        <v>0</v>
      </c>
    </row>
    <row r="357" spans="1:6" x14ac:dyDescent="0.2">
      <c r="A357" t="str">
        <f>Source_wegvoertuigen_CBS!A361</f>
        <v>Nederlek</v>
      </c>
      <c r="B357" t="e">
        <f>INDEX(Source_GM_code_CBS!$B:$B,MATCH($A357,Source_GM_code_CBS!$C:$C,0))</f>
        <v>#N/A</v>
      </c>
      <c r="C357">
        <f>Source_wegvoertuigen_CBS!C361</f>
        <v>0</v>
      </c>
      <c r="D357">
        <f>Source_wegvoertuigen_CBS!D361</f>
        <v>0</v>
      </c>
      <c r="E357">
        <f>Source_wegvoertuigen_CBS!E361</f>
        <v>0</v>
      </c>
      <c r="F357">
        <f>Source_wegvoertuigen_CBS!F361</f>
        <v>0</v>
      </c>
    </row>
    <row r="358" spans="1:6" x14ac:dyDescent="0.2">
      <c r="A358" t="str">
        <f>Source_wegvoertuigen_CBS!A362</f>
        <v>Nederweert</v>
      </c>
      <c r="B358" t="str">
        <f>INDEX(Source_GM_code_CBS!$B:$B,MATCH($A358,Source_GM_code_CBS!$C:$C,0))</f>
        <v>GM0946</v>
      </c>
      <c r="C358">
        <f>Source_wegvoertuigen_CBS!C362</f>
        <v>10579</v>
      </c>
      <c r="D358">
        <f>Source_wegvoertuigen_CBS!D362</f>
        <v>1506</v>
      </c>
      <c r="E358">
        <f>Source_wegvoertuigen_CBS!E362</f>
        <v>105</v>
      </c>
      <c r="F358">
        <f>Source_wegvoertuigen_CBS!F362</f>
        <v>2</v>
      </c>
    </row>
    <row r="359" spans="1:6" x14ac:dyDescent="0.2">
      <c r="A359" t="str">
        <f>Source_wegvoertuigen_CBS!A363</f>
        <v>Neede</v>
      </c>
      <c r="B359" t="e">
        <f>INDEX(Source_GM_code_CBS!$B:$B,MATCH($A359,Source_GM_code_CBS!$C:$C,0))</f>
        <v>#N/A</v>
      </c>
      <c r="C359">
        <f>Source_wegvoertuigen_CBS!C363</f>
        <v>0</v>
      </c>
      <c r="D359">
        <f>Source_wegvoertuigen_CBS!D363</f>
        <v>0</v>
      </c>
      <c r="E359">
        <f>Source_wegvoertuigen_CBS!E363</f>
        <v>0</v>
      </c>
      <c r="F359">
        <f>Source_wegvoertuigen_CBS!F363</f>
        <v>0</v>
      </c>
    </row>
    <row r="360" spans="1:6" x14ac:dyDescent="0.2">
      <c r="A360" t="str">
        <f>Source_wegvoertuigen_CBS!A364</f>
        <v>Neerijnen</v>
      </c>
      <c r="B360" t="e">
        <f>INDEX(Source_GM_code_CBS!$B:$B,MATCH($A360,Source_GM_code_CBS!$C:$C,0))</f>
        <v>#N/A</v>
      </c>
      <c r="C360">
        <f>Source_wegvoertuigen_CBS!C364</f>
        <v>0</v>
      </c>
      <c r="D360">
        <f>Source_wegvoertuigen_CBS!D364</f>
        <v>0</v>
      </c>
      <c r="E360">
        <f>Source_wegvoertuigen_CBS!E364</f>
        <v>0</v>
      </c>
      <c r="F360">
        <f>Source_wegvoertuigen_CBS!F364</f>
        <v>0</v>
      </c>
    </row>
    <row r="361" spans="1:6" x14ac:dyDescent="0.2">
      <c r="A361" t="str">
        <f>Source_wegvoertuigen_CBS!A365</f>
        <v>Niedorp</v>
      </c>
      <c r="B361" t="e">
        <f>INDEX(Source_GM_code_CBS!$B:$B,MATCH($A361,Source_GM_code_CBS!$C:$C,0))</f>
        <v>#N/A</v>
      </c>
      <c r="C361">
        <f>Source_wegvoertuigen_CBS!C365</f>
        <v>0</v>
      </c>
      <c r="D361">
        <f>Source_wegvoertuigen_CBS!D365</f>
        <v>0</v>
      </c>
      <c r="E361">
        <f>Source_wegvoertuigen_CBS!E365</f>
        <v>0</v>
      </c>
      <c r="F361">
        <f>Source_wegvoertuigen_CBS!F365</f>
        <v>0</v>
      </c>
    </row>
    <row r="362" spans="1:6" x14ac:dyDescent="0.2">
      <c r="A362" t="str">
        <f>Source_wegvoertuigen_CBS!A366</f>
        <v>Nieuwegein</v>
      </c>
      <c r="B362" t="str">
        <f>INDEX(Source_GM_code_CBS!$B:$B,MATCH($A362,Source_GM_code_CBS!$C:$C,0))</f>
        <v>GM0356</v>
      </c>
      <c r="C362">
        <f>Source_wegvoertuigen_CBS!C366</f>
        <v>32187</v>
      </c>
      <c r="D362">
        <f>Source_wegvoertuigen_CBS!D366</f>
        <v>3041</v>
      </c>
      <c r="E362">
        <f>Source_wegvoertuigen_CBS!E366</f>
        <v>134</v>
      </c>
      <c r="F362">
        <f>Source_wegvoertuigen_CBS!F366</f>
        <v>13</v>
      </c>
    </row>
    <row r="363" spans="1:6" x14ac:dyDescent="0.2">
      <c r="A363" t="str">
        <f>Source_wegvoertuigen_CBS!A367</f>
        <v>Nieuwerkerk aan den IJssel</v>
      </c>
      <c r="B363" t="e">
        <f>INDEX(Source_GM_code_CBS!$B:$B,MATCH($A363,Source_GM_code_CBS!$C:$C,0))</f>
        <v>#N/A</v>
      </c>
      <c r="C363">
        <f>Source_wegvoertuigen_CBS!C367</f>
        <v>0</v>
      </c>
      <c r="D363">
        <f>Source_wegvoertuigen_CBS!D367</f>
        <v>0</v>
      </c>
      <c r="E363">
        <f>Source_wegvoertuigen_CBS!E367</f>
        <v>0</v>
      </c>
      <c r="F363">
        <f>Source_wegvoertuigen_CBS!F367</f>
        <v>0</v>
      </c>
    </row>
    <row r="364" spans="1:6" x14ac:dyDescent="0.2">
      <c r="A364" t="str">
        <f>Source_wegvoertuigen_CBS!A368</f>
        <v>Nieuwkoop</v>
      </c>
      <c r="B364" t="str">
        <f>INDEX(Source_GM_code_CBS!$B:$B,MATCH($A364,Source_GM_code_CBS!$C:$C,0))</f>
        <v>GM0569</v>
      </c>
      <c r="C364">
        <f>Source_wegvoertuigen_CBS!C368</f>
        <v>16113</v>
      </c>
      <c r="D364">
        <f>Source_wegvoertuigen_CBS!D368</f>
        <v>2398</v>
      </c>
      <c r="E364">
        <f>Source_wegvoertuigen_CBS!E368</f>
        <v>264</v>
      </c>
      <c r="F364">
        <f>Source_wegvoertuigen_CBS!F368</f>
        <v>19</v>
      </c>
    </row>
    <row r="365" spans="1:6" x14ac:dyDescent="0.2">
      <c r="A365" t="str">
        <f>Source_wegvoertuigen_CBS!A369</f>
        <v>Nieuw-Lekkerland</v>
      </c>
      <c r="B365" t="e">
        <f>INDEX(Source_GM_code_CBS!$B:$B,MATCH($A365,Source_GM_code_CBS!$C:$C,0))</f>
        <v>#N/A</v>
      </c>
      <c r="C365">
        <f>Source_wegvoertuigen_CBS!C369</f>
        <v>0</v>
      </c>
      <c r="D365">
        <f>Source_wegvoertuigen_CBS!D369</f>
        <v>0</v>
      </c>
      <c r="E365">
        <f>Source_wegvoertuigen_CBS!E369</f>
        <v>0</v>
      </c>
      <c r="F365">
        <f>Source_wegvoertuigen_CBS!F369</f>
        <v>0</v>
      </c>
    </row>
    <row r="366" spans="1:6" x14ac:dyDescent="0.2">
      <c r="A366" t="str">
        <f>Source_wegvoertuigen_CBS!A370</f>
        <v>Nieuwleusen</v>
      </c>
      <c r="B366" t="e">
        <f>INDEX(Source_GM_code_CBS!$B:$B,MATCH($A366,Source_GM_code_CBS!$C:$C,0))</f>
        <v>#N/A</v>
      </c>
      <c r="C366">
        <f>Source_wegvoertuigen_CBS!C370</f>
        <v>0</v>
      </c>
      <c r="D366">
        <f>Source_wegvoertuigen_CBS!D370</f>
        <v>0</v>
      </c>
      <c r="E366">
        <f>Source_wegvoertuigen_CBS!E370</f>
        <v>0</v>
      </c>
      <c r="F366">
        <f>Source_wegvoertuigen_CBS!F370</f>
        <v>0</v>
      </c>
    </row>
    <row r="367" spans="1:6" x14ac:dyDescent="0.2">
      <c r="A367" t="str">
        <f>Source_wegvoertuigen_CBS!A371</f>
        <v>Nijefurd</v>
      </c>
      <c r="B367" t="e">
        <f>INDEX(Source_GM_code_CBS!$B:$B,MATCH($A367,Source_GM_code_CBS!$C:$C,0))</f>
        <v>#N/A</v>
      </c>
      <c r="C367">
        <f>Source_wegvoertuigen_CBS!C371</f>
        <v>0</v>
      </c>
      <c r="D367">
        <f>Source_wegvoertuigen_CBS!D371</f>
        <v>0</v>
      </c>
      <c r="E367">
        <f>Source_wegvoertuigen_CBS!E371</f>
        <v>0</v>
      </c>
      <c r="F367">
        <f>Source_wegvoertuigen_CBS!F371</f>
        <v>0</v>
      </c>
    </row>
    <row r="368" spans="1:6" x14ac:dyDescent="0.2">
      <c r="A368" t="str">
        <f>Source_wegvoertuigen_CBS!A372</f>
        <v>Nijkerk</v>
      </c>
      <c r="B368" t="str">
        <f>INDEX(Source_GM_code_CBS!$B:$B,MATCH($A368,Source_GM_code_CBS!$C:$C,0))</f>
        <v>GM0267</v>
      </c>
      <c r="C368">
        <f>Source_wegvoertuigen_CBS!C372</f>
        <v>22898</v>
      </c>
      <c r="D368">
        <f>Source_wegvoertuigen_CBS!D372</f>
        <v>3114</v>
      </c>
      <c r="E368">
        <f>Source_wegvoertuigen_CBS!E372</f>
        <v>326</v>
      </c>
      <c r="F368">
        <f>Source_wegvoertuigen_CBS!F372</f>
        <v>1</v>
      </c>
    </row>
    <row r="369" spans="1:6" x14ac:dyDescent="0.2">
      <c r="A369" t="str">
        <f>Source_wegvoertuigen_CBS!A373</f>
        <v>Nijmegen</v>
      </c>
      <c r="B369" t="str">
        <f>INDEX(Source_GM_code_CBS!$B:$B,MATCH($A369,Source_GM_code_CBS!$C:$C,0))</f>
        <v>GM0268</v>
      </c>
      <c r="C369">
        <f>Source_wegvoertuigen_CBS!C373</f>
        <v>71811</v>
      </c>
      <c r="D369">
        <f>Source_wegvoertuigen_CBS!D373</f>
        <v>4974</v>
      </c>
      <c r="E369">
        <f>Source_wegvoertuigen_CBS!E373</f>
        <v>454</v>
      </c>
      <c r="F369">
        <f>Source_wegvoertuigen_CBS!F373</f>
        <v>10</v>
      </c>
    </row>
    <row r="370" spans="1:6" x14ac:dyDescent="0.2">
      <c r="A370" t="str">
        <f>Source_wegvoertuigen_CBS!A374</f>
        <v>Nissewaard</v>
      </c>
      <c r="B370" t="str">
        <f>INDEX(Source_GM_code_CBS!$B:$B,MATCH($A370,Source_GM_code_CBS!$C:$C,0))</f>
        <v>GM1930</v>
      </c>
      <c r="C370">
        <f>Source_wegvoertuigen_CBS!C374</f>
        <v>42601</v>
      </c>
      <c r="D370">
        <f>Source_wegvoertuigen_CBS!D374</f>
        <v>3151</v>
      </c>
      <c r="E370">
        <f>Source_wegvoertuigen_CBS!E374</f>
        <v>106</v>
      </c>
      <c r="F370">
        <f>Source_wegvoertuigen_CBS!F374</f>
        <v>7</v>
      </c>
    </row>
    <row r="371" spans="1:6" x14ac:dyDescent="0.2">
      <c r="A371" t="str">
        <f>Source_wegvoertuigen_CBS!A375</f>
        <v>Noardeast-Fryslân</v>
      </c>
      <c r="B371" t="str">
        <f>INDEX(Source_GM_code_CBS!$B:$B,MATCH($A371,Source_GM_code_CBS!$C:$C,0))</f>
        <v>GM1970</v>
      </c>
      <c r="C371">
        <f>Source_wegvoertuigen_CBS!C375</f>
        <v>24938</v>
      </c>
      <c r="D371">
        <f>Source_wegvoertuigen_CBS!D375</f>
        <v>3836</v>
      </c>
      <c r="E371">
        <f>Source_wegvoertuigen_CBS!E375</f>
        <v>233</v>
      </c>
      <c r="F371">
        <f>Source_wegvoertuigen_CBS!F375</f>
        <v>0</v>
      </c>
    </row>
    <row r="372" spans="1:6" x14ac:dyDescent="0.2">
      <c r="A372" t="str">
        <f>Source_wegvoertuigen_CBS!A376</f>
        <v>Noord-Beveland</v>
      </c>
      <c r="B372" t="str">
        <f>INDEX(Source_GM_code_CBS!$B:$B,MATCH($A372,Source_GM_code_CBS!$C:$C,0))</f>
        <v>GM1695</v>
      </c>
      <c r="C372">
        <f>Source_wegvoertuigen_CBS!C376</f>
        <v>4810</v>
      </c>
      <c r="D372">
        <f>Source_wegvoertuigen_CBS!D376</f>
        <v>731</v>
      </c>
      <c r="E372">
        <f>Source_wegvoertuigen_CBS!E376</f>
        <v>15</v>
      </c>
      <c r="F372">
        <f>Source_wegvoertuigen_CBS!F376</f>
        <v>1</v>
      </c>
    </row>
    <row r="373" spans="1:6" x14ac:dyDescent="0.2">
      <c r="A373" t="str">
        <f>Source_wegvoertuigen_CBS!A377</f>
        <v>Noordenveld</v>
      </c>
      <c r="B373" t="str">
        <f>INDEX(Source_GM_code_CBS!$B:$B,MATCH($A373,Source_GM_code_CBS!$C:$C,0))</f>
        <v>GM1699</v>
      </c>
      <c r="C373">
        <f>Source_wegvoertuigen_CBS!C377</f>
        <v>17968</v>
      </c>
      <c r="D373">
        <f>Source_wegvoertuigen_CBS!D377</f>
        <v>1831</v>
      </c>
      <c r="E373">
        <f>Source_wegvoertuigen_CBS!E377</f>
        <v>82</v>
      </c>
      <c r="F373">
        <f>Source_wegvoertuigen_CBS!F377</f>
        <v>4</v>
      </c>
    </row>
    <row r="374" spans="1:6" x14ac:dyDescent="0.2">
      <c r="A374" t="str">
        <f>Source_wegvoertuigen_CBS!A378</f>
        <v>Noorder-Koggenland</v>
      </c>
      <c r="B374" t="e">
        <f>INDEX(Source_GM_code_CBS!$B:$B,MATCH($A374,Source_GM_code_CBS!$C:$C,0))</f>
        <v>#N/A</v>
      </c>
      <c r="C374">
        <f>Source_wegvoertuigen_CBS!C378</f>
        <v>0</v>
      </c>
      <c r="D374">
        <f>Source_wegvoertuigen_CBS!D378</f>
        <v>0</v>
      </c>
      <c r="E374">
        <f>Source_wegvoertuigen_CBS!E378</f>
        <v>0</v>
      </c>
      <c r="F374">
        <f>Source_wegvoertuigen_CBS!F378</f>
        <v>0</v>
      </c>
    </row>
    <row r="375" spans="1:6" x14ac:dyDescent="0.2">
      <c r="A375" t="str">
        <f>Source_wegvoertuigen_CBS!A379</f>
        <v>Noordoostpolder</v>
      </c>
      <c r="B375" t="str">
        <f>INDEX(Source_GM_code_CBS!$B:$B,MATCH($A375,Source_GM_code_CBS!$C:$C,0))</f>
        <v>GM0171</v>
      </c>
      <c r="C375">
        <f>Source_wegvoertuigen_CBS!C379</f>
        <v>25773</v>
      </c>
      <c r="D375">
        <f>Source_wegvoertuigen_CBS!D379</f>
        <v>3814</v>
      </c>
      <c r="E375">
        <f>Source_wegvoertuigen_CBS!E379</f>
        <v>144</v>
      </c>
      <c r="F375">
        <f>Source_wegvoertuigen_CBS!F379</f>
        <v>18</v>
      </c>
    </row>
    <row r="376" spans="1:6" x14ac:dyDescent="0.2">
      <c r="A376" t="str">
        <f>Source_wegvoertuigen_CBS!A380</f>
        <v>Noordwijk</v>
      </c>
      <c r="B376" t="str">
        <f>INDEX(Source_GM_code_CBS!$B:$B,MATCH($A376,Source_GM_code_CBS!$C:$C,0))</f>
        <v>GM0575</v>
      </c>
      <c r="C376">
        <f>Source_wegvoertuigen_CBS!C380</f>
        <v>22980</v>
      </c>
      <c r="D376">
        <f>Source_wegvoertuigen_CBS!D380</f>
        <v>2401</v>
      </c>
      <c r="E376">
        <f>Source_wegvoertuigen_CBS!E380</f>
        <v>242</v>
      </c>
      <c r="F376">
        <f>Source_wegvoertuigen_CBS!F380</f>
        <v>84</v>
      </c>
    </row>
    <row r="377" spans="1:6" x14ac:dyDescent="0.2">
      <c r="A377" t="str">
        <f>Source_wegvoertuigen_CBS!A381</f>
        <v>Noordwijkerhout</v>
      </c>
      <c r="B377" t="e">
        <f>INDEX(Source_GM_code_CBS!$B:$B,MATCH($A377,Source_GM_code_CBS!$C:$C,0))</f>
        <v>#N/A</v>
      </c>
      <c r="C377">
        <f>Source_wegvoertuigen_CBS!C381</f>
        <v>0</v>
      </c>
      <c r="D377">
        <f>Source_wegvoertuigen_CBS!D381</f>
        <v>0</v>
      </c>
      <c r="E377">
        <f>Source_wegvoertuigen_CBS!E381</f>
        <v>0</v>
      </c>
      <c r="F377">
        <f>Source_wegvoertuigen_CBS!F381</f>
        <v>0</v>
      </c>
    </row>
    <row r="378" spans="1:6" x14ac:dyDescent="0.2">
      <c r="A378" t="str">
        <f>Source_wegvoertuigen_CBS!A382</f>
        <v>Nootdorp</v>
      </c>
      <c r="B378" t="e">
        <f>INDEX(Source_GM_code_CBS!$B:$B,MATCH($A378,Source_GM_code_CBS!$C:$C,0))</f>
        <v>#N/A</v>
      </c>
      <c r="C378">
        <f>Source_wegvoertuigen_CBS!C382</f>
        <v>0</v>
      </c>
      <c r="D378">
        <f>Source_wegvoertuigen_CBS!D382</f>
        <v>0</v>
      </c>
      <c r="E378">
        <f>Source_wegvoertuigen_CBS!E382</f>
        <v>0</v>
      </c>
      <c r="F378">
        <f>Source_wegvoertuigen_CBS!F382</f>
        <v>0</v>
      </c>
    </row>
    <row r="379" spans="1:6" x14ac:dyDescent="0.2">
      <c r="A379" t="str">
        <f>Source_wegvoertuigen_CBS!A383</f>
        <v>Nuenen, Gerwen en Nederwetten</v>
      </c>
      <c r="B379" t="str">
        <f>INDEX(Source_GM_code_CBS!$B:$B,MATCH($A379,Source_GM_code_CBS!$C:$C,0))</f>
        <v>GM0820</v>
      </c>
      <c r="C379">
        <f>Source_wegvoertuigen_CBS!C383</f>
        <v>13484</v>
      </c>
      <c r="D379">
        <f>Source_wegvoertuigen_CBS!D383</f>
        <v>1139</v>
      </c>
      <c r="E379">
        <f>Source_wegvoertuigen_CBS!E383</f>
        <v>46</v>
      </c>
      <c r="F379">
        <f>Source_wegvoertuigen_CBS!F383</f>
        <v>0</v>
      </c>
    </row>
    <row r="380" spans="1:6" x14ac:dyDescent="0.2">
      <c r="A380" t="str">
        <f>Source_wegvoertuigen_CBS!A384</f>
        <v>Nunspeet</v>
      </c>
      <c r="B380" t="str">
        <f>INDEX(Source_GM_code_CBS!$B:$B,MATCH($A380,Source_GM_code_CBS!$C:$C,0))</f>
        <v>GM0302</v>
      </c>
      <c r="C380">
        <f>Source_wegvoertuigen_CBS!C384</f>
        <v>14617</v>
      </c>
      <c r="D380">
        <f>Source_wegvoertuigen_CBS!D384</f>
        <v>2224</v>
      </c>
      <c r="E380">
        <f>Source_wegvoertuigen_CBS!E384</f>
        <v>126</v>
      </c>
      <c r="F380">
        <f>Source_wegvoertuigen_CBS!F384</f>
        <v>13</v>
      </c>
    </row>
    <row r="381" spans="1:6" x14ac:dyDescent="0.2">
      <c r="A381" t="str">
        <f>Source_wegvoertuigen_CBS!A385</f>
        <v>Nuth</v>
      </c>
      <c r="B381" t="e">
        <f>INDEX(Source_GM_code_CBS!$B:$B,MATCH($A381,Source_GM_code_CBS!$C:$C,0))</f>
        <v>#N/A</v>
      </c>
      <c r="C381">
        <f>Source_wegvoertuigen_CBS!C385</f>
        <v>0</v>
      </c>
      <c r="D381">
        <f>Source_wegvoertuigen_CBS!D385</f>
        <v>0</v>
      </c>
      <c r="E381">
        <f>Source_wegvoertuigen_CBS!E385</f>
        <v>0</v>
      </c>
      <c r="F381">
        <f>Source_wegvoertuigen_CBS!F385</f>
        <v>0</v>
      </c>
    </row>
    <row r="382" spans="1:6" x14ac:dyDescent="0.2">
      <c r="A382" t="str">
        <f>Source_wegvoertuigen_CBS!A386</f>
        <v>Obdam</v>
      </c>
      <c r="B382" t="e">
        <f>INDEX(Source_GM_code_CBS!$B:$B,MATCH($A382,Source_GM_code_CBS!$C:$C,0))</f>
        <v>#N/A</v>
      </c>
      <c r="C382">
        <f>Source_wegvoertuigen_CBS!C386</f>
        <v>0</v>
      </c>
      <c r="D382">
        <f>Source_wegvoertuigen_CBS!D386</f>
        <v>0</v>
      </c>
      <c r="E382">
        <f>Source_wegvoertuigen_CBS!E386</f>
        <v>0</v>
      </c>
      <c r="F382">
        <f>Source_wegvoertuigen_CBS!F386</f>
        <v>0</v>
      </c>
    </row>
    <row r="383" spans="1:6" x14ac:dyDescent="0.2">
      <c r="A383" t="str">
        <f>Source_wegvoertuigen_CBS!A387</f>
        <v>Oegstgeest</v>
      </c>
      <c r="B383" t="str">
        <f>INDEX(Source_GM_code_CBS!$B:$B,MATCH($A383,Source_GM_code_CBS!$C:$C,0))</f>
        <v>GM0579</v>
      </c>
      <c r="C383">
        <f>Source_wegvoertuigen_CBS!C387</f>
        <v>11040</v>
      </c>
      <c r="D383">
        <f>Source_wegvoertuigen_CBS!D387</f>
        <v>497</v>
      </c>
      <c r="E383">
        <f>Source_wegvoertuigen_CBS!E387</f>
        <v>78</v>
      </c>
      <c r="F383">
        <f>Source_wegvoertuigen_CBS!F387</f>
        <v>0</v>
      </c>
    </row>
    <row r="384" spans="1:6" x14ac:dyDescent="0.2">
      <c r="A384" t="str">
        <f>Source_wegvoertuigen_CBS!A388</f>
        <v>Oirschot</v>
      </c>
      <c r="B384" t="str">
        <f>INDEX(Source_GM_code_CBS!$B:$B,MATCH($A384,Source_GM_code_CBS!$C:$C,0))</f>
        <v>GM0823</v>
      </c>
      <c r="C384">
        <f>Source_wegvoertuigen_CBS!C388</f>
        <v>11287</v>
      </c>
      <c r="D384">
        <f>Source_wegvoertuigen_CBS!D388</f>
        <v>1557</v>
      </c>
      <c r="E384">
        <f>Source_wegvoertuigen_CBS!E388</f>
        <v>121</v>
      </c>
      <c r="F384">
        <f>Source_wegvoertuigen_CBS!F388</f>
        <v>7</v>
      </c>
    </row>
    <row r="385" spans="1:6" x14ac:dyDescent="0.2">
      <c r="A385" t="str">
        <f>Source_wegvoertuigen_CBS!A389</f>
        <v>Oisterwijk</v>
      </c>
      <c r="B385" t="str">
        <f>INDEX(Source_GM_code_CBS!$B:$B,MATCH($A385,Source_GM_code_CBS!$C:$C,0))</f>
        <v>GM0824</v>
      </c>
      <c r="C385">
        <f>Source_wegvoertuigen_CBS!C389</f>
        <v>17927</v>
      </c>
      <c r="D385">
        <f>Source_wegvoertuigen_CBS!D389</f>
        <v>2009</v>
      </c>
      <c r="E385">
        <f>Source_wegvoertuigen_CBS!E389</f>
        <v>102</v>
      </c>
      <c r="F385">
        <f>Source_wegvoertuigen_CBS!F389</f>
        <v>0</v>
      </c>
    </row>
    <row r="386" spans="1:6" x14ac:dyDescent="0.2">
      <c r="A386" t="str">
        <f>Source_wegvoertuigen_CBS!A390</f>
        <v>Oldambt</v>
      </c>
      <c r="B386" t="str">
        <f>INDEX(Source_GM_code_CBS!$B:$B,MATCH($A386,Source_GM_code_CBS!$C:$C,0))</f>
        <v>GM1895</v>
      </c>
      <c r="C386">
        <f>Source_wegvoertuigen_CBS!C390</f>
        <v>21789</v>
      </c>
      <c r="D386">
        <f>Source_wegvoertuigen_CBS!D390</f>
        <v>2214</v>
      </c>
      <c r="E386">
        <f>Source_wegvoertuigen_CBS!E390</f>
        <v>151</v>
      </c>
      <c r="F386">
        <f>Source_wegvoertuigen_CBS!F390</f>
        <v>6</v>
      </c>
    </row>
    <row r="387" spans="1:6" x14ac:dyDescent="0.2">
      <c r="A387" t="str">
        <f>Source_wegvoertuigen_CBS!A391</f>
        <v>Oldebroek</v>
      </c>
      <c r="B387" t="str">
        <f>INDEX(Source_GM_code_CBS!$B:$B,MATCH($A387,Source_GM_code_CBS!$C:$C,0))</f>
        <v>GM0269</v>
      </c>
      <c r="C387">
        <f>Source_wegvoertuigen_CBS!C391</f>
        <v>12329</v>
      </c>
      <c r="D387">
        <f>Source_wegvoertuigen_CBS!D391</f>
        <v>1884</v>
      </c>
      <c r="E387">
        <f>Source_wegvoertuigen_CBS!E391</f>
        <v>208</v>
      </c>
      <c r="F387">
        <f>Source_wegvoertuigen_CBS!F391</f>
        <v>5</v>
      </c>
    </row>
    <row r="388" spans="1:6" x14ac:dyDescent="0.2">
      <c r="A388" t="str">
        <f>Source_wegvoertuigen_CBS!A392</f>
        <v>Oldenzaal</v>
      </c>
      <c r="B388" t="str">
        <f>INDEX(Source_GM_code_CBS!$B:$B,MATCH($A388,Source_GM_code_CBS!$C:$C,0))</f>
        <v>GM0173</v>
      </c>
      <c r="C388">
        <f>Source_wegvoertuigen_CBS!C392</f>
        <v>16772</v>
      </c>
      <c r="D388">
        <f>Source_wegvoertuigen_CBS!D392</f>
        <v>1787</v>
      </c>
      <c r="E388">
        <f>Source_wegvoertuigen_CBS!E392</f>
        <v>109</v>
      </c>
      <c r="F388">
        <f>Source_wegvoertuigen_CBS!F392</f>
        <v>29</v>
      </c>
    </row>
    <row r="389" spans="1:6" x14ac:dyDescent="0.2">
      <c r="A389" t="str">
        <f>Source_wegvoertuigen_CBS!A393</f>
        <v>Olst</v>
      </c>
      <c r="B389" t="e">
        <f>INDEX(Source_GM_code_CBS!$B:$B,MATCH($A389,Source_GM_code_CBS!$C:$C,0))</f>
        <v>#N/A</v>
      </c>
      <c r="C389">
        <f>Source_wegvoertuigen_CBS!C393</f>
        <v>0</v>
      </c>
      <c r="D389">
        <f>Source_wegvoertuigen_CBS!D393</f>
        <v>0</v>
      </c>
      <c r="E389">
        <f>Source_wegvoertuigen_CBS!E393</f>
        <v>0</v>
      </c>
      <c r="F389">
        <f>Source_wegvoertuigen_CBS!F393</f>
        <v>0</v>
      </c>
    </row>
    <row r="390" spans="1:6" x14ac:dyDescent="0.2">
      <c r="A390" t="str">
        <f>Source_wegvoertuigen_CBS!A394</f>
        <v>Olst-Wijhe</v>
      </c>
      <c r="B390" t="str">
        <f>INDEX(Source_GM_code_CBS!$B:$B,MATCH($A390,Source_GM_code_CBS!$C:$C,0))</f>
        <v>GM1773</v>
      </c>
      <c r="C390">
        <f>Source_wegvoertuigen_CBS!C394</f>
        <v>10182</v>
      </c>
      <c r="D390">
        <f>Source_wegvoertuigen_CBS!D394</f>
        <v>1071</v>
      </c>
      <c r="E390">
        <f>Source_wegvoertuigen_CBS!E394</f>
        <v>40</v>
      </c>
      <c r="F390">
        <f>Source_wegvoertuigen_CBS!F394</f>
        <v>10</v>
      </c>
    </row>
    <row r="391" spans="1:6" x14ac:dyDescent="0.2">
      <c r="A391" t="str">
        <f>Source_wegvoertuigen_CBS!A395</f>
        <v>Ommen</v>
      </c>
      <c r="B391" t="str">
        <f>INDEX(Source_GM_code_CBS!$B:$B,MATCH($A391,Source_GM_code_CBS!$C:$C,0))</f>
        <v>GM0175</v>
      </c>
      <c r="C391">
        <f>Source_wegvoertuigen_CBS!C395</f>
        <v>10401</v>
      </c>
      <c r="D391">
        <f>Source_wegvoertuigen_CBS!D395</f>
        <v>1393</v>
      </c>
      <c r="E391">
        <f>Source_wegvoertuigen_CBS!E395</f>
        <v>75</v>
      </c>
      <c r="F391">
        <f>Source_wegvoertuigen_CBS!F395</f>
        <v>2</v>
      </c>
    </row>
    <row r="392" spans="1:6" x14ac:dyDescent="0.2">
      <c r="A392" t="str">
        <f>Source_wegvoertuigen_CBS!A396</f>
        <v>Onderbanken</v>
      </c>
      <c r="B392" t="e">
        <f>INDEX(Source_GM_code_CBS!$B:$B,MATCH($A392,Source_GM_code_CBS!$C:$C,0))</f>
        <v>#N/A</v>
      </c>
      <c r="C392">
        <f>Source_wegvoertuigen_CBS!C396</f>
        <v>0</v>
      </c>
      <c r="D392">
        <f>Source_wegvoertuigen_CBS!D396</f>
        <v>0</v>
      </c>
      <c r="E392">
        <f>Source_wegvoertuigen_CBS!E396</f>
        <v>0</v>
      </c>
      <c r="F392">
        <f>Source_wegvoertuigen_CBS!F396</f>
        <v>0</v>
      </c>
    </row>
    <row r="393" spans="1:6" x14ac:dyDescent="0.2">
      <c r="A393" t="str">
        <f>Source_wegvoertuigen_CBS!A397</f>
        <v>Oost Gelre</v>
      </c>
      <c r="B393" t="str">
        <f>INDEX(Source_GM_code_CBS!$B:$B,MATCH($A393,Source_GM_code_CBS!$C:$C,0))</f>
        <v>GM1586</v>
      </c>
      <c r="C393">
        <f>Source_wegvoertuigen_CBS!C397</f>
        <v>16764</v>
      </c>
      <c r="D393">
        <f>Source_wegvoertuigen_CBS!D397</f>
        <v>2473</v>
      </c>
      <c r="E393">
        <f>Source_wegvoertuigen_CBS!E397</f>
        <v>339</v>
      </c>
      <c r="F393">
        <f>Source_wegvoertuigen_CBS!F397</f>
        <v>5</v>
      </c>
    </row>
    <row r="394" spans="1:6" x14ac:dyDescent="0.2">
      <c r="A394" t="str">
        <f>Source_wegvoertuigen_CBS!A398</f>
        <v>Oostburg</v>
      </c>
      <c r="B394" t="e">
        <f>INDEX(Source_GM_code_CBS!$B:$B,MATCH($A394,Source_GM_code_CBS!$C:$C,0))</f>
        <v>#N/A</v>
      </c>
      <c r="C394">
        <f>Source_wegvoertuigen_CBS!C398</f>
        <v>0</v>
      </c>
      <c r="D394">
        <f>Source_wegvoertuigen_CBS!D398</f>
        <v>0</v>
      </c>
      <c r="E394">
        <f>Source_wegvoertuigen_CBS!E398</f>
        <v>0</v>
      </c>
      <c r="F394">
        <f>Source_wegvoertuigen_CBS!F398</f>
        <v>0</v>
      </c>
    </row>
    <row r="395" spans="1:6" x14ac:dyDescent="0.2">
      <c r="A395" t="str">
        <f>Source_wegvoertuigen_CBS!A399</f>
        <v>Oosterhout</v>
      </c>
      <c r="B395" t="str">
        <f>INDEX(Source_GM_code_CBS!$B:$B,MATCH($A395,Source_GM_code_CBS!$C:$C,0))</f>
        <v>GM0826</v>
      </c>
      <c r="C395">
        <f>Source_wegvoertuigen_CBS!C399</f>
        <v>31753</v>
      </c>
      <c r="D395">
        <f>Source_wegvoertuigen_CBS!D399</f>
        <v>3425</v>
      </c>
      <c r="E395">
        <f>Source_wegvoertuigen_CBS!E399</f>
        <v>299</v>
      </c>
      <c r="F395">
        <f>Source_wegvoertuigen_CBS!F399</f>
        <v>15</v>
      </c>
    </row>
    <row r="396" spans="1:6" x14ac:dyDescent="0.2">
      <c r="A396" t="str">
        <f>Source_wegvoertuigen_CBS!A400</f>
        <v>Oostflakkee</v>
      </c>
      <c r="B396" t="e">
        <f>INDEX(Source_GM_code_CBS!$B:$B,MATCH($A396,Source_GM_code_CBS!$C:$C,0))</f>
        <v>#N/A</v>
      </c>
      <c r="C396">
        <f>Source_wegvoertuigen_CBS!C400</f>
        <v>0</v>
      </c>
      <c r="D396">
        <f>Source_wegvoertuigen_CBS!D400</f>
        <v>0</v>
      </c>
      <c r="E396">
        <f>Source_wegvoertuigen_CBS!E400</f>
        <v>0</v>
      </c>
      <c r="F396">
        <f>Source_wegvoertuigen_CBS!F400</f>
        <v>0</v>
      </c>
    </row>
    <row r="397" spans="1:6" x14ac:dyDescent="0.2">
      <c r="A397" t="str">
        <f>Source_wegvoertuigen_CBS!A401</f>
        <v>Ooststellingwerf</v>
      </c>
      <c r="B397" t="str">
        <f>INDEX(Source_GM_code_CBS!$B:$B,MATCH($A397,Source_GM_code_CBS!$C:$C,0))</f>
        <v>GM0085</v>
      </c>
      <c r="C397">
        <f>Source_wegvoertuigen_CBS!C401</f>
        <v>14961</v>
      </c>
      <c r="D397">
        <f>Source_wegvoertuigen_CBS!D401</f>
        <v>2019</v>
      </c>
      <c r="E397">
        <f>Source_wegvoertuigen_CBS!E401</f>
        <v>161</v>
      </c>
      <c r="F397">
        <f>Source_wegvoertuigen_CBS!F401</f>
        <v>5</v>
      </c>
    </row>
    <row r="398" spans="1:6" x14ac:dyDescent="0.2">
      <c r="A398" t="str">
        <f>Source_wegvoertuigen_CBS!A402</f>
        <v>Oostzaan</v>
      </c>
      <c r="B398" t="str">
        <f>INDEX(Source_GM_code_CBS!$B:$B,MATCH($A398,Source_GM_code_CBS!$C:$C,0))</f>
        <v>GM0431</v>
      </c>
      <c r="C398">
        <f>Source_wegvoertuigen_CBS!C402</f>
        <v>5108</v>
      </c>
      <c r="D398">
        <f>Source_wegvoertuigen_CBS!D402</f>
        <v>509</v>
      </c>
      <c r="E398">
        <f>Source_wegvoertuigen_CBS!E402</f>
        <v>78</v>
      </c>
      <c r="F398">
        <f>Source_wegvoertuigen_CBS!F402</f>
        <v>0</v>
      </c>
    </row>
    <row r="399" spans="1:6" x14ac:dyDescent="0.2">
      <c r="A399" t="str">
        <f>Source_wegvoertuigen_CBS!A403</f>
        <v>Ootmarsum</v>
      </c>
      <c r="B399" t="e">
        <f>INDEX(Source_GM_code_CBS!$B:$B,MATCH($A399,Source_GM_code_CBS!$C:$C,0))</f>
        <v>#N/A</v>
      </c>
      <c r="C399">
        <f>Source_wegvoertuigen_CBS!C403</f>
        <v>0</v>
      </c>
      <c r="D399">
        <f>Source_wegvoertuigen_CBS!D403</f>
        <v>0</v>
      </c>
      <c r="E399">
        <f>Source_wegvoertuigen_CBS!E403</f>
        <v>0</v>
      </c>
      <c r="F399">
        <f>Source_wegvoertuigen_CBS!F403</f>
        <v>0</v>
      </c>
    </row>
    <row r="400" spans="1:6" x14ac:dyDescent="0.2">
      <c r="A400" t="str">
        <f>Source_wegvoertuigen_CBS!A404</f>
        <v>Opmeer</v>
      </c>
      <c r="B400" t="str">
        <f>INDEX(Source_GM_code_CBS!$B:$B,MATCH($A400,Source_GM_code_CBS!$C:$C,0))</f>
        <v>GM0432</v>
      </c>
      <c r="C400">
        <f>Source_wegvoertuigen_CBS!C404</f>
        <v>6930</v>
      </c>
      <c r="D400">
        <f>Source_wegvoertuigen_CBS!D404</f>
        <v>1036</v>
      </c>
      <c r="E400">
        <f>Source_wegvoertuigen_CBS!E404</f>
        <v>69</v>
      </c>
      <c r="F400">
        <f>Source_wegvoertuigen_CBS!F404</f>
        <v>1</v>
      </c>
    </row>
    <row r="401" spans="1:6" x14ac:dyDescent="0.2">
      <c r="A401" t="str">
        <f>Source_wegvoertuigen_CBS!A405</f>
        <v>Opsterland</v>
      </c>
      <c r="B401" t="str">
        <f>INDEX(Source_GM_code_CBS!$B:$B,MATCH($A401,Source_GM_code_CBS!$C:$C,0))</f>
        <v>GM0086</v>
      </c>
      <c r="C401">
        <f>Source_wegvoertuigen_CBS!C405</f>
        <v>17163</v>
      </c>
      <c r="D401">
        <f>Source_wegvoertuigen_CBS!D405</f>
        <v>2323</v>
      </c>
      <c r="E401">
        <f>Source_wegvoertuigen_CBS!E405</f>
        <v>111</v>
      </c>
      <c r="F401">
        <f>Source_wegvoertuigen_CBS!F405</f>
        <v>2</v>
      </c>
    </row>
    <row r="402" spans="1:6" x14ac:dyDescent="0.2">
      <c r="A402" t="str">
        <f>Source_wegvoertuigen_CBS!A406</f>
        <v>Oss</v>
      </c>
      <c r="B402" t="str">
        <f>INDEX(Source_GM_code_CBS!$B:$B,MATCH($A402,Source_GM_code_CBS!$C:$C,0))</f>
        <v>GM0828</v>
      </c>
      <c r="C402">
        <f>Source_wegvoertuigen_CBS!C406</f>
        <v>50225</v>
      </c>
      <c r="D402">
        <f>Source_wegvoertuigen_CBS!D406</f>
        <v>6548</v>
      </c>
      <c r="E402">
        <f>Source_wegvoertuigen_CBS!E406</f>
        <v>437</v>
      </c>
      <c r="F402">
        <f>Source_wegvoertuigen_CBS!F406</f>
        <v>64</v>
      </c>
    </row>
    <row r="403" spans="1:6" x14ac:dyDescent="0.2">
      <c r="A403" t="str">
        <f>Source_wegvoertuigen_CBS!A407</f>
        <v>Oud-Beijerland</v>
      </c>
      <c r="B403" t="e">
        <f>INDEX(Source_GM_code_CBS!$B:$B,MATCH($A403,Source_GM_code_CBS!$C:$C,0))</f>
        <v>#N/A</v>
      </c>
      <c r="C403">
        <f>Source_wegvoertuigen_CBS!C407</f>
        <v>0</v>
      </c>
      <c r="D403">
        <f>Source_wegvoertuigen_CBS!D407</f>
        <v>0</v>
      </c>
      <c r="E403">
        <f>Source_wegvoertuigen_CBS!E407</f>
        <v>0</v>
      </c>
      <c r="F403">
        <f>Source_wegvoertuigen_CBS!F407</f>
        <v>0</v>
      </c>
    </row>
    <row r="404" spans="1:6" x14ac:dyDescent="0.2">
      <c r="A404" t="str">
        <f>Source_wegvoertuigen_CBS!A408</f>
        <v>Oude IJsselstreek</v>
      </c>
      <c r="B404" t="str">
        <f>INDEX(Source_GM_code_CBS!$B:$B,MATCH($A404,Source_GM_code_CBS!$C:$C,0))</f>
        <v>GM1509</v>
      </c>
      <c r="C404">
        <f>Source_wegvoertuigen_CBS!C408</f>
        <v>22394</v>
      </c>
      <c r="D404">
        <f>Source_wegvoertuigen_CBS!D408</f>
        <v>2473</v>
      </c>
      <c r="E404">
        <f>Source_wegvoertuigen_CBS!E408</f>
        <v>141</v>
      </c>
      <c r="F404">
        <f>Source_wegvoertuigen_CBS!F408</f>
        <v>0</v>
      </c>
    </row>
    <row r="405" spans="1:6" x14ac:dyDescent="0.2">
      <c r="A405" t="str">
        <f>Source_wegvoertuigen_CBS!A409</f>
        <v>Ouder-Amstel</v>
      </c>
      <c r="B405" t="str">
        <f>INDEX(Source_GM_code_CBS!$B:$B,MATCH($A405,Source_GM_code_CBS!$C:$C,0))</f>
        <v>GM0437</v>
      </c>
      <c r="C405">
        <f>Source_wegvoertuigen_CBS!C409</f>
        <v>7360</v>
      </c>
      <c r="D405">
        <f>Source_wegvoertuigen_CBS!D409</f>
        <v>2242</v>
      </c>
      <c r="E405">
        <f>Source_wegvoertuigen_CBS!E409</f>
        <v>85</v>
      </c>
      <c r="F405">
        <f>Source_wegvoertuigen_CBS!F409</f>
        <v>31</v>
      </c>
    </row>
    <row r="406" spans="1:6" x14ac:dyDescent="0.2">
      <c r="A406" t="str">
        <f>Source_wegvoertuigen_CBS!A410</f>
        <v>Ouderkerk</v>
      </c>
      <c r="B406" t="e">
        <f>INDEX(Source_GM_code_CBS!$B:$B,MATCH($A406,Source_GM_code_CBS!$C:$C,0))</f>
        <v>#N/A</v>
      </c>
      <c r="C406">
        <f>Source_wegvoertuigen_CBS!C410</f>
        <v>0</v>
      </c>
      <c r="D406">
        <f>Source_wegvoertuigen_CBS!D410</f>
        <v>0</v>
      </c>
      <c r="E406">
        <f>Source_wegvoertuigen_CBS!E410</f>
        <v>0</v>
      </c>
      <c r="F406">
        <f>Source_wegvoertuigen_CBS!F410</f>
        <v>0</v>
      </c>
    </row>
    <row r="407" spans="1:6" x14ac:dyDescent="0.2">
      <c r="A407" t="str">
        <f>Source_wegvoertuigen_CBS!A411</f>
        <v>Oudewater</v>
      </c>
      <c r="B407" t="str">
        <f>INDEX(Source_GM_code_CBS!$B:$B,MATCH($A407,Source_GM_code_CBS!$C:$C,0))</f>
        <v>GM0589</v>
      </c>
      <c r="C407">
        <f>Source_wegvoertuigen_CBS!C411</f>
        <v>5253</v>
      </c>
      <c r="D407">
        <f>Source_wegvoertuigen_CBS!D411</f>
        <v>993</v>
      </c>
      <c r="E407">
        <f>Source_wegvoertuigen_CBS!E411</f>
        <v>173</v>
      </c>
      <c r="F407">
        <f>Source_wegvoertuigen_CBS!F411</f>
        <v>0</v>
      </c>
    </row>
    <row r="408" spans="1:6" x14ac:dyDescent="0.2">
      <c r="A408" t="str">
        <f>Source_wegvoertuigen_CBS!A412</f>
        <v>Overbetuwe</v>
      </c>
      <c r="B408" t="str">
        <f>INDEX(Source_GM_code_CBS!$B:$B,MATCH($A408,Source_GM_code_CBS!$C:$C,0))</f>
        <v>GM1734</v>
      </c>
      <c r="C408">
        <f>Source_wegvoertuigen_CBS!C412</f>
        <v>27552</v>
      </c>
      <c r="D408">
        <f>Source_wegvoertuigen_CBS!D412</f>
        <v>3119</v>
      </c>
      <c r="E408">
        <f>Source_wegvoertuigen_CBS!E412</f>
        <v>298</v>
      </c>
      <c r="F408">
        <f>Source_wegvoertuigen_CBS!F412</f>
        <v>62</v>
      </c>
    </row>
    <row r="409" spans="1:6" x14ac:dyDescent="0.2">
      <c r="A409" t="str">
        <f>Source_wegvoertuigen_CBS!A413</f>
        <v>Papendrecht</v>
      </c>
      <c r="B409" t="str">
        <f>INDEX(Source_GM_code_CBS!$B:$B,MATCH($A409,Source_GM_code_CBS!$C:$C,0))</f>
        <v>GM0590</v>
      </c>
      <c r="C409">
        <f>Source_wegvoertuigen_CBS!C413</f>
        <v>15914</v>
      </c>
      <c r="D409">
        <f>Source_wegvoertuigen_CBS!D413</f>
        <v>1072</v>
      </c>
      <c r="E409">
        <f>Source_wegvoertuigen_CBS!E413</f>
        <v>141</v>
      </c>
      <c r="F409">
        <f>Source_wegvoertuigen_CBS!F413</f>
        <v>1</v>
      </c>
    </row>
    <row r="410" spans="1:6" x14ac:dyDescent="0.2">
      <c r="A410" t="str">
        <f>Source_wegvoertuigen_CBS!A414</f>
        <v>Peel en Maas</v>
      </c>
      <c r="B410" t="str">
        <f>INDEX(Source_GM_code_CBS!$B:$B,MATCH($A410,Source_GM_code_CBS!$C:$C,0))</f>
        <v>GM1894</v>
      </c>
      <c r="C410">
        <f>Source_wegvoertuigen_CBS!C414</f>
        <v>25383</v>
      </c>
      <c r="D410">
        <f>Source_wegvoertuigen_CBS!D414</f>
        <v>3004</v>
      </c>
      <c r="E410">
        <f>Source_wegvoertuigen_CBS!E414</f>
        <v>220</v>
      </c>
      <c r="F410">
        <f>Source_wegvoertuigen_CBS!F414</f>
        <v>44</v>
      </c>
    </row>
    <row r="411" spans="1:6" x14ac:dyDescent="0.2">
      <c r="A411" t="str">
        <f>Source_wegvoertuigen_CBS!A415</f>
        <v>Pekela</v>
      </c>
      <c r="B411" t="str">
        <f>INDEX(Source_GM_code_CBS!$B:$B,MATCH($A411,Source_GM_code_CBS!$C:$C,0))</f>
        <v>GM0765</v>
      </c>
      <c r="C411">
        <f>Source_wegvoertuigen_CBS!C415</f>
        <v>7337</v>
      </c>
      <c r="D411">
        <f>Source_wegvoertuigen_CBS!D415</f>
        <v>721</v>
      </c>
      <c r="E411">
        <f>Source_wegvoertuigen_CBS!E415</f>
        <v>45</v>
      </c>
      <c r="F411">
        <f>Source_wegvoertuigen_CBS!F415</f>
        <v>0</v>
      </c>
    </row>
    <row r="412" spans="1:6" x14ac:dyDescent="0.2">
      <c r="A412" t="str">
        <f>Source_wegvoertuigen_CBS!A416</f>
        <v>Pijnacker</v>
      </c>
      <c r="B412" t="e">
        <f>INDEX(Source_GM_code_CBS!$B:$B,MATCH($A412,Source_GM_code_CBS!$C:$C,0))</f>
        <v>#N/A</v>
      </c>
      <c r="C412">
        <f>Source_wegvoertuigen_CBS!C416</f>
        <v>0</v>
      </c>
      <c r="D412">
        <f>Source_wegvoertuigen_CBS!D416</f>
        <v>0</v>
      </c>
      <c r="E412">
        <f>Source_wegvoertuigen_CBS!E416</f>
        <v>0</v>
      </c>
      <c r="F412">
        <f>Source_wegvoertuigen_CBS!F416</f>
        <v>0</v>
      </c>
    </row>
    <row r="413" spans="1:6" x14ac:dyDescent="0.2">
      <c r="A413" t="str">
        <f>Source_wegvoertuigen_CBS!A417</f>
        <v>Pijnacker-Nootdorp</v>
      </c>
      <c r="B413" t="str">
        <f>INDEX(Source_GM_code_CBS!$B:$B,MATCH($A413,Source_GM_code_CBS!$C:$C,0))</f>
        <v>GM1926</v>
      </c>
      <c r="C413">
        <f>Source_wegvoertuigen_CBS!C417</f>
        <v>25964</v>
      </c>
      <c r="D413">
        <f>Source_wegvoertuigen_CBS!D417</f>
        <v>2543</v>
      </c>
      <c r="E413">
        <f>Source_wegvoertuigen_CBS!E417</f>
        <v>183</v>
      </c>
      <c r="F413">
        <f>Source_wegvoertuigen_CBS!F417</f>
        <v>22</v>
      </c>
    </row>
    <row r="414" spans="1:6" x14ac:dyDescent="0.2">
      <c r="A414" t="str">
        <f>Source_wegvoertuigen_CBS!A418</f>
        <v>Purmerend</v>
      </c>
      <c r="B414" t="str">
        <f>INDEX(Source_GM_code_CBS!$B:$B,MATCH($A414,Source_GM_code_CBS!$C:$C,0))</f>
        <v>GM0439</v>
      </c>
      <c r="C414">
        <f>Source_wegvoertuigen_CBS!C418</f>
        <v>45153</v>
      </c>
      <c r="D414">
        <f>Source_wegvoertuigen_CBS!D418</f>
        <v>4516</v>
      </c>
      <c r="E414">
        <f>Source_wegvoertuigen_CBS!E418</f>
        <v>199</v>
      </c>
      <c r="F414">
        <f>Source_wegvoertuigen_CBS!F418</f>
        <v>357</v>
      </c>
    </row>
    <row r="415" spans="1:6" x14ac:dyDescent="0.2">
      <c r="A415" t="str">
        <f>Source_wegvoertuigen_CBS!A419</f>
        <v>Putten</v>
      </c>
      <c r="B415" t="str">
        <f>INDEX(Source_GM_code_CBS!$B:$B,MATCH($A415,Source_GM_code_CBS!$C:$C,0))</f>
        <v>GM0273</v>
      </c>
      <c r="C415">
        <f>Source_wegvoertuigen_CBS!C419</f>
        <v>12904</v>
      </c>
      <c r="D415">
        <f>Source_wegvoertuigen_CBS!D419</f>
        <v>2180</v>
      </c>
      <c r="E415">
        <f>Source_wegvoertuigen_CBS!E419</f>
        <v>164</v>
      </c>
      <c r="F415">
        <f>Source_wegvoertuigen_CBS!F419</f>
        <v>2</v>
      </c>
    </row>
    <row r="416" spans="1:6" x14ac:dyDescent="0.2">
      <c r="A416" t="str">
        <f>Source_wegvoertuigen_CBS!A420</f>
        <v>Raalte</v>
      </c>
      <c r="B416" t="str">
        <f>INDEX(Source_GM_code_CBS!$B:$B,MATCH($A416,Source_GM_code_CBS!$C:$C,0))</f>
        <v>GM0177</v>
      </c>
      <c r="C416">
        <f>Source_wegvoertuigen_CBS!C420</f>
        <v>21267</v>
      </c>
      <c r="D416">
        <f>Source_wegvoertuigen_CBS!D420</f>
        <v>2566</v>
      </c>
      <c r="E416">
        <f>Source_wegvoertuigen_CBS!E420</f>
        <v>184</v>
      </c>
      <c r="F416">
        <f>Source_wegvoertuigen_CBS!F420</f>
        <v>56</v>
      </c>
    </row>
    <row r="417" spans="1:6" x14ac:dyDescent="0.2">
      <c r="A417" t="str">
        <f>Source_wegvoertuigen_CBS!A421</f>
        <v>Ravenstein</v>
      </c>
      <c r="B417" t="e">
        <f>INDEX(Source_GM_code_CBS!$B:$B,MATCH($A417,Source_GM_code_CBS!$C:$C,0))</f>
        <v>#N/A</v>
      </c>
      <c r="C417">
        <f>Source_wegvoertuigen_CBS!C421</f>
        <v>0</v>
      </c>
      <c r="D417">
        <f>Source_wegvoertuigen_CBS!D421</f>
        <v>0</v>
      </c>
      <c r="E417">
        <f>Source_wegvoertuigen_CBS!E421</f>
        <v>0</v>
      </c>
      <c r="F417">
        <f>Source_wegvoertuigen_CBS!F421</f>
        <v>0</v>
      </c>
    </row>
    <row r="418" spans="1:6" x14ac:dyDescent="0.2">
      <c r="A418" t="str">
        <f>Source_wegvoertuigen_CBS!A422</f>
        <v>Reeuwijk</v>
      </c>
      <c r="B418" t="e">
        <f>INDEX(Source_GM_code_CBS!$B:$B,MATCH($A418,Source_GM_code_CBS!$C:$C,0))</f>
        <v>#N/A</v>
      </c>
      <c r="C418">
        <f>Source_wegvoertuigen_CBS!C422</f>
        <v>0</v>
      </c>
      <c r="D418">
        <f>Source_wegvoertuigen_CBS!D422</f>
        <v>0</v>
      </c>
      <c r="E418">
        <f>Source_wegvoertuigen_CBS!E422</f>
        <v>0</v>
      </c>
      <c r="F418">
        <f>Source_wegvoertuigen_CBS!F422</f>
        <v>0</v>
      </c>
    </row>
    <row r="419" spans="1:6" x14ac:dyDescent="0.2">
      <c r="A419" t="str">
        <f>Source_wegvoertuigen_CBS!A423</f>
        <v>Reiderland</v>
      </c>
      <c r="B419" t="e">
        <f>INDEX(Source_GM_code_CBS!$B:$B,MATCH($A419,Source_GM_code_CBS!$C:$C,0))</f>
        <v>#N/A</v>
      </c>
      <c r="C419">
        <f>Source_wegvoertuigen_CBS!C423</f>
        <v>0</v>
      </c>
      <c r="D419">
        <f>Source_wegvoertuigen_CBS!D423</f>
        <v>0</v>
      </c>
      <c r="E419">
        <f>Source_wegvoertuigen_CBS!E423</f>
        <v>0</v>
      </c>
      <c r="F419">
        <f>Source_wegvoertuigen_CBS!F423</f>
        <v>0</v>
      </c>
    </row>
    <row r="420" spans="1:6" x14ac:dyDescent="0.2">
      <c r="A420" t="str">
        <f>Source_wegvoertuigen_CBS!A424</f>
        <v>Reimerswaal</v>
      </c>
      <c r="B420" t="str">
        <f>INDEX(Source_GM_code_CBS!$B:$B,MATCH($A420,Source_GM_code_CBS!$C:$C,0))</f>
        <v>GM0703</v>
      </c>
      <c r="C420">
        <f>Source_wegvoertuigen_CBS!C424</f>
        <v>11870</v>
      </c>
      <c r="D420">
        <f>Source_wegvoertuigen_CBS!D424</f>
        <v>2120</v>
      </c>
      <c r="E420">
        <f>Source_wegvoertuigen_CBS!E424</f>
        <v>98</v>
      </c>
      <c r="F420">
        <f>Source_wegvoertuigen_CBS!F424</f>
        <v>0</v>
      </c>
    </row>
    <row r="421" spans="1:6" x14ac:dyDescent="0.2">
      <c r="A421" t="str">
        <f>Source_wegvoertuigen_CBS!A425</f>
        <v>Renkum</v>
      </c>
      <c r="B421" t="str">
        <f>INDEX(Source_GM_code_CBS!$B:$B,MATCH($A421,Source_GM_code_CBS!$C:$C,0))</f>
        <v>GM0274</v>
      </c>
      <c r="C421">
        <f>Source_wegvoertuigen_CBS!C425</f>
        <v>16972</v>
      </c>
      <c r="D421">
        <f>Source_wegvoertuigen_CBS!D425</f>
        <v>1156</v>
      </c>
      <c r="E421">
        <f>Source_wegvoertuigen_CBS!E425</f>
        <v>49</v>
      </c>
      <c r="F421">
        <f>Source_wegvoertuigen_CBS!F425</f>
        <v>0</v>
      </c>
    </row>
    <row r="422" spans="1:6" x14ac:dyDescent="0.2">
      <c r="A422" t="str">
        <f>Source_wegvoertuigen_CBS!A426</f>
        <v>Renswoude</v>
      </c>
      <c r="B422" t="str">
        <f>INDEX(Source_GM_code_CBS!$B:$B,MATCH($A422,Source_GM_code_CBS!$C:$C,0))</f>
        <v>GM0339</v>
      </c>
      <c r="C422">
        <f>Source_wegvoertuigen_CBS!C426</f>
        <v>3158</v>
      </c>
      <c r="D422">
        <f>Source_wegvoertuigen_CBS!D426</f>
        <v>721</v>
      </c>
      <c r="E422">
        <f>Source_wegvoertuigen_CBS!E426</f>
        <v>50</v>
      </c>
      <c r="F422">
        <f>Source_wegvoertuigen_CBS!F426</f>
        <v>0</v>
      </c>
    </row>
    <row r="423" spans="1:6" x14ac:dyDescent="0.2">
      <c r="A423" t="str">
        <f>Source_wegvoertuigen_CBS!A427</f>
        <v>Reusel-De Mierden</v>
      </c>
      <c r="B423" t="str">
        <f>INDEX(Source_GM_code_CBS!$B:$B,MATCH($A423,Source_GM_code_CBS!$C:$C,0))</f>
        <v>GM1667</v>
      </c>
      <c r="C423">
        <f>Source_wegvoertuigen_CBS!C427</f>
        <v>7685</v>
      </c>
      <c r="D423">
        <f>Source_wegvoertuigen_CBS!D427</f>
        <v>1237</v>
      </c>
      <c r="E423">
        <f>Source_wegvoertuigen_CBS!E427</f>
        <v>62</v>
      </c>
      <c r="F423">
        <f>Source_wegvoertuigen_CBS!F427</f>
        <v>1</v>
      </c>
    </row>
    <row r="424" spans="1:6" x14ac:dyDescent="0.2">
      <c r="A424" t="str">
        <f>Source_wegvoertuigen_CBS!A428</f>
        <v>Rheden</v>
      </c>
      <c r="B424" t="str">
        <f>INDEX(Source_GM_code_CBS!$B:$B,MATCH($A424,Source_GM_code_CBS!$C:$C,0))</f>
        <v>GM0275</v>
      </c>
      <c r="C424">
        <f>Source_wegvoertuigen_CBS!C428</f>
        <v>22516</v>
      </c>
      <c r="D424">
        <f>Source_wegvoertuigen_CBS!D428</f>
        <v>1711</v>
      </c>
      <c r="E424">
        <f>Source_wegvoertuigen_CBS!E428</f>
        <v>56</v>
      </c>
      <c r="F424">
        <f>Source_wegvoertuigen_CBS!F428</f>
        <v>4</v>
      </c>
    </row>
    <row r="425" spans="1:6" x14ac:dyDescent="0.2">
      <c r="A425" t="str">
        <f>Source_wegvoertuigen_CBS!A429</f>
        <v>Rhenen</v>
      </c>
      <c r="B425" t="str">
        <f>INDEX(Source_GM_code_CBS!$B:$B,MATCH($A425,Source_GM_code_CBS!$C:$C,0))</f>
        <v>GM0340</v>
      </c>
      <c r="C425">
        <f>Source_wegvoertuigen_CBS!C429</f>
        <v>10670</v>
      </c>
      <c r="D425">
        <f>Source_wegvoertuigen_CBS!D429</f>
        <v>1313</v>
      </c>
      <c r="E425">
        <f>Source_wegvoertuigen_CBS!E429</f>
        <v>66</v>
      </c>
      <c r="F425">
        <f>Source_wegvoertuigen_CBS!F429</f>
        <v>0</v>
      </c>
    </row>
    <row r="426" spans="1:6" x14ac:dyDescent="0.2">
      <c r="A426" t="str">
        <f>Source_wegvoertuigen_CBS!A430</f>
        <v>Ridderkerk</v>
      </c>
      <c r="B426" t="str">
        <f>INDEX(Source_GM_code_CBS!$B:$B,MATCH($A426,Source_GM_code_CBS!$C:$C,0))</f>
        <v>GM0597</v>
      </c>
      <c r="C426">
        <f>Source_wegvoertuigen_CBS!C430</f>
        <v>23698</v>
      </c>
      <c r="D426">
        <f>Source_wegvoertuigen_CBS!D430</f>
        <v>2443</v>
      </c>
      <c r="E426">
        <f>Source_wegvoertuigen_CBS!E430</f>
        <v>131</v>
      </c>
      <c r="F426">
        <f>Source_wegvoertuigen_CBS!F430</f>
        <v>16</v>
      </c>
    </row>
    <row r="427" spans="1:6" x14ac:dyDescent="0.2">
      <c r="A427" t="str">
        <f>Source_wegvoertuigen_CBS!A431</f>
        <v>Rijnsburg</v>
      </c>
      <c r="B427" t="e">
        <f>INDEX(Source_GM_code_CBS!$B:$B,MATCH($A427,Source_GM_code_CBS!$C:$C,0))</f>
        <v>#N/A</v>
      </c>
      <c r="C427">
        <f>Source_wegvoertuigen_CBS!C431</f>
        <v>0</v>
      </c>
      <c r="D427">
        <f>Source_wegvoertuigen_CBS!D431</f>
        <v>0</v>
      </c>
      <c r="E427">
        <f>Source_wegvoertuigen_CBS!E431</f>
        <v>0</v>
      </c>
      <c r="F427">
        <f>Source_wegvoertuigen_CBS!F431</f>
        <v>0</v>
      </c>
    </row>
    <row r="428" spans="1:6" x14ac:dyDescent="0.2">
      <c r="A428" t="str">
        <f>Source_wegvoertuigen_CBS!A432</f>
        <v>Rijnwaarden</v>
      </c>
      <c r="B428" t="e">
        <f>INDEX(Source_GM_code_CBS!$B:$B,MATCH($A428,Source_GM_code_CBS!$C:$C,0))</f>
        <v>#N/A</v>
      </c>
      <c r="C428">
        <f>Source_wegvoertuigen_CBS!C432</f>
        <v>0</v>
      </c>
      <c r="D428">
        <f>Source_wegvoertuigen_CBS!D432</f>
        <v>0</v>
      </c>
      <c r="E428">
        <f>Source_wegvoertuigen_CBS!E432</f>
        <v>0</v>
      </c>
      <c r="F428">
        <f>Source_wegvoertuigen_CBS!F432</f>
        <v>0</v>
      </c>
    </row>
    <row r="429" spans="1:6" x14ac:dyDescent="0.2">
      <c r="A429" t="str">
        <f>Source_wegvoertuigen_CBS!A433</f>
        <v>Rijnwoude</v>
      </c>
      <c r="B429" t="e">
        <f>INDEX(Source_GM_code_CBS!$B:$B,MATCH($A429,Source_GM_code_CBS!$C:$C,0))</f>
        <v>#N/A</v>
      </c>
      <c r="C429">
        <f>Source_wegvoertuigen_CBS!C433</f>
        <v>0</v>
      </c>
      <c r="D429">
        <f>Source_wegvoertuigen_CBS!D433</f>
        <v>0</v>
      </c>
      <c r="E429">
        <f>Source_wegvoertuigen_CBS!E433</f>
        <v>0</v>
      </c>
      <c r="F429">
        <f>Source_wegvoertuigen_CBS!F433</f>
        <v>0</v>
      </c>
    </row>
    <row r="430" spans="1:6" x14ac:dyDescent="0.2">
      <c r="A430" t="str">
        <f>Source_wegvoertuigen_CBS!A434</f>
        <v>Rijssen</v>
      </c>
      <c r="B430" t="e">
        <f>INDEX(Source_GM_code_CBS!$B:$B,MATCH($A430,Source_GM_code_CBS!$C:$C,0))</f>
        <v>#N/A</v>
      </c>
      <c r="C430">
        <f>Source_wegvoertuigen_CBS!C434</f>
        <v>0</v>
      </c>
      <c r="D430">
        <f>Source_wegvoertuigen_CBS!D434</f>
        <v>0</v>
      </c>
      <c r="E430">
        <f>Source_wegvoertuigen_CBS!E434</f>
        <v>0</v>
      </c>
      <c r="F430">
        <f>Source_wegvoertuigen_CBS!F434</f>
        <v>0</v>
      </c>
    </row>
    <row r="431" spans="1:6" x14ac:dyDescent="0.2">
      <c r="A431" t="str">
        <f>Source_wegvoertuigen_CBS!A435</f>
        <v>Rijssen-Holten</v>
      </c>
      <c r="B431" t="str">
        <f>INDEX(Source_GM_code_CBS!$B:$B,MATCH($A431,Source_GM_code_CBS!$C:$C,0))</f>
        <v>GM1742</v>
      </c>
      <c r="C431">
        <f>Source_wegvoertuigen_CBS!C435</f>
        <v>20346</v>
      </c>
      <c r="D431">
        <f>Source_wegvoertuigen_CBS!D435</f>
        <v>2728</v>
      </c>
      <c r="E431">
        <f>Source_wegvoertuigen_CBS!E435</f>
        <v>337</v>
      </c>
      <c r="F431">
        <f>Source_wegvoertuigen_CBS!F435</f>
        <v>1</v>
      </c>
    </row>
    <row r="432" spans="1:6" x14ac:dyDescent="0.2">
      <c r="A432" s="5" t="s">
        <v>107</v>
      </c>
      <c r="B432" t="str">
        <f>INDEX(Source_GM_code_CBS!$B:$B,MATCH($A432,Source_GM_code_CBS!$C:$C,0))</f>
        <v>GM0603</v>
      </c>
      <c r="C432">
        <f>Source_wegvoertuigen_CBS!C436</f>
        <v>30895</v>
      </c>
      <c r="D432">
        <f>Source_wegvoertuigen_CBS!D436</f>
        <v>2109</v>
      </c>
      <c r="E432">
        <f>Source_wegvoertuigen_CBS!E436</f>
        <v>50</v>
      </c>
      <c r="F432">
        <f>Source_wegvoertuigen_CBS!F436</f>
        <v>18</v>
      </c>
    </row>
    <row r="433" spans="1:6" x14ac:dyDescent="0.2">
      <c r="A433" t="str">
        <f>Source_wegvoertuigen_CBS!A437</f>
        <v>Roerdalen</v>
      </c>
      <c r="B433" t="str">
        <f>INDEX(Source_GM_code_CBS!$B:$B,MATCH($A433,Source_GM_code_CBS!$C:$C,0))</f>
        <v>GM1669</v>
      </c>
      <c r="C433">
        <f>Source_wegvoertuigen_CBS!C437</f>
        <v>12614</v>
      </c>
      <c r="D433">
        <f>Source_wegvoertuigen_CBS!D437</f>
        <v>1126</v>
      </c>
      <c r="E433">
        <f>Source_wegvoertuigen_CBS!E437</f>
        <v>56</v>
      </c>
      <c r="F433">
        <f>Source_wegvoertuigen_CBS!F437</f>
        <v>4</v>
      </c>
    </row>
    <row r="434" spans="1:6" x14ac:dyDescent="0.2">
      <c r="A434" t="str">
        <f>Source_wegvoertuigen_CBS!A438</f>
        <v>Roermond</v>
      </c>
      <c r="B434" t="str">
        <f>INDEX(Source_GM_code_CBS!$B:$B,MATCH($A434,Source_GM_code_CBS!$C:$C,0))</f>
        <v>GM0957</v>
      </c>
      <c r="C434">
        <f>Source_wegvoertuigen_CBS!C438</f>
        <v>30470</v>
      </c>
      <c r="D434">
        <f>Source_wegvoertuigen_CBS!D438</f>
        <v>2686</v>
      </c>
      <c r="E434">
        <f>Source_wegvoertuigen_CBS!E438</f>
        <v>157</v>
      </c>
      <c r="F434">
        <f>Source_wegvoertuigen_CBS!F438</f>
        <v>4</v>
      </c>
    </row>
    <row r="435" spans="1:6" x14ac:dyDescent="0.2">
      <c r="A435" t="str">
        <f>Source_wegvoertuigen_CBS!A439</f>
        <v>Roggel en Neer</v>
      </c>
      <c r="B435" t="e">
        <f>INDEX(Source_GM_code_CBS!$B:$B,MATCH($A435,Source_GM_code_CBS!$C:$C,0))</f>
        <v>#N/A</v>
      </c>
      <c r="C435">
        <f>Source_wegvoertuigen_CBS!C439</f>
        <v>0</v>
      </c>
      <c r="D435">
        <f>Source_wegvoertuigen_CBS!D439</f>
        <v>0</v>
      </c>
      <c r="E435">
        <f>Source_wegvoertuigen_CBS!E439</f>
        <v>0</v>
      </c>
      <c r="F435">
        <f>Source_wegvoertuigen_CBS!F439</f>
        <v>0</v>
      </c>
    </row>
    <row r="436" spans="1:6" x14ac:dyDescent="0.2">
      <c r="A436" t="str">
        <f>Source_wegvoertuigen_CBS!A440</f>
        <v>De Ronde Venen</v>
      </c>
      <c r="B436" t="str">
        <f>INDEX(Source_GM_code_CBS!$B:$B,MATCH($A436,Source_GM_code_CBS!$C:$C,0))</f>
        <v>GM0736</v>
      </c>
      <c r="C436">
        <f>Source_wegvoertuigen_CBS!C440</f>
        <v>24541</v>
      </c>
      <c r="D436">
        <f>Source_wegvoertuigen_CBS!D440</f>
        <v>3107</v>
      </c>
      <c r="E436">
        <f>Source_wegvoertuigen_CBS!E440</f>
        <v>312</v>
      </c>
      <c r="F436">
        <f>Source_wegvoertuigen_CBS!F440</f>
        <v>7</v>
      </c>
    </row>
    <row r="437" spans="1:6" x14ac:dyDescent="0.2">
      <c r="A437" t="str">
        <f>Source_wegvoertuigen_CBS!A441</f>
        <v>Roosendaal</v>
      </c>
      <c r="B437" t="str">
        <f>INDEX(Source_GM_code_CBS!$B:$B,MATCH($A437,Source_GM_code_CBS!$C:$C,0))</f>
        <v>GM1674</v>
      </c>
      <c r="C437">
        <f>Source_wegvoertuigen_CBS!C441</f>
        <v>40572</v>
      </c>
      <c r="D437">
        <f>Source_wegvoertuigen_CBS!D441</f>
        <v>4124</v>
      </c>
      <c r="E437">
        <f>Source_wegvoertuigen_CBS!E441</f>
        <v>291</v>
      </c>
      <c r="F437">
        <f>Source_wegvoertuigen_CBS!F441</f>
        <v>13</v>
      </c>
    </row>
    <row r="438" spans="1:6" x14ac:dyDescent="0.2">
      <c r="A438" t="str">
        <f>Source_wegvoertuigen_CBS!A442</f>
        <v>Rotterdam</v>
      </c>
      <c r="B438" t="str">
        <f>INDEX(Source_GM_code_CBS!$B:$B,MATCH($A438,Source_GM_code_CBS!$C:$C,0))</f>
        <v>GM0599</v>
      </c>
      <c r="C438">
        <f>Source_wegvoertuigen_CBS!C442</f>
        <v>244366</v>
      </c>
      <c r="D438">
        <f>Source_wegvoertuigen_CBS!D442</f>
        <v>23553</v>
      </c>
      <c r="E438">
        <f>Source_wegvoertuigen_CBS!E442</f>
        <v>1226</v>
      </c>
      <c r="F438">
        <f>Source_wegvoertuigen_CBS!F442</f>
        <v>397</v>
      </c>
    </row>
    <row r="439" spans="1:6" x14ac:dyDescent="0.2">
      <c r="A439" t="str">
        <f>Source_wegvoertuigen_CBS!A443</f>
        <v>Rozenburg</v>
      </c>
      <c r="B439" t="e">
        <f>INDEX(Source_GM_code_CBS!$B:$B,MATCH($A439,Source_GM_code_CBS!$C:$C,0))</f>
        <v>#N/A</v>
      </c>
      <c r="C439">
        <f>Source_wegvoertuigen_CBS!C443</f>
        <v>0</v>
      </c>
      <c r="D439">
        <f>Source_wegvoertuigen_CBS!D443</f>
        <v>0</v>
      </c>
      <c r="E439">
        <f>Source_wegvoertuigen_CBS!E443</f>
        <v>0</v>
      </c>
      <c r="F439">
        <f>Source_wegvoertuigen_CBS!F443</f>
        <v>0</v>
      </c>
    </row>
    <row r="440" spans="1:6" x14ac:dyDescent="0.2">
      <c r="A440" t="str">
        <f>Source_wegvoertuigen_CBS!A444</f>
        <v>Rozendaal</v>
      </c>
      <c r="B440" t="str">
        <f>INDEX(Source_GM_code_CBS!$B:$B,MATCH($A440,Source_GM_code_CBS!$C:$C,0))</f>
        <v>GM0277</v>
      </c>
      <c r="C440">
        <f>Source_wegvoertuigen_CBS!C444</f>
        <v>1039</v>
      </c>
      <c r="D440">
        <f>Source_wegvoertuigen_CBS!D444</f>
        <v>32</v>
      </c>
      <c r="E440">
        <f>Source_wegvoertuigen_CBS!E444</f>
        <v>7</v>
      </c>
      <c r="F440">
        <f>Source_wegvoertuigen_CBS!F444</f>
        <v>0</v>
      </c>
    </row>
    <row r="441" spans="1:6" x14ac:dyDescent="0.2">
      <c r="A441" t="str">
        <f>Source_wegvoertuigen_CBS!A445</f>
        <v>Rucphen</v>
      </c>
      <c r="B441" t="str">
        <f>INDEX(Source_GM_code_CBS!$B:$B,MATCH($A441,Source_GM_code_CBS!$C:$C,0))</f>
        <v>GM0840</v>
      </c>
      <c r="C441">
        <f>Source_wegvoertuigen_CBS!C445</f>
        <v>13890</v>
      </c>
      <c r="D441">
        <f>Source_wegvoertuigen_CBS!D445</f>
        <v>2131</v>
      </c>
      <c r="E441">
        <f>Source_wegvoertuigen_CBS!E445</f>
        <v>157</v>
      </c>
      <c r="F441">
        <f>Source_wegvoertuigen_CBS!F445</f>
        <v>15</v>
      </c>
    </row>
    <row r="442" spans="1:6" x14ac:dyDescent="0.2">
      <c r="A442" t="str">
        <f>Source_wegvoertuigen_CBS!A446</f>
        <v>Ruurlo</v>
      </c>
      <c r="B442" t="e">
        <f>INDEX(Source_GM_code_CBS!$B:$B,MATCH($A442,Source_GM_code_CBS!$C:$C,0))</f>
        <v>#N/A</v>
      </c>
      <c r="C442">
        <f>Source_wegvoertuigen_CBS!C446</f>
        <v>0</v>
      </c>
      <c r="D442">
        <f>Source_wegvoertuigen_CBS!D446</f>
        <v>0</v>
      </c>
      <c r="E442">
        <f>Source_wegvoertuigen_CBS!E446</f>
        <v>0</v>
      </c>
      <c r="F442">
        <f>Source_wegvoertuigen_CBS!F446</f>
        <v>0</v>
      </c>
    </row>
    <row r="443" spans="1:6" x14ac:dyDescent="0.2">
      <c r="A443" t="str">
        <f>Source_wegvoertuigen_CBS!A447</f>
        <v>Sas van Gent</v>
      </c>
      <c r="B443" t="e">
        <f>INDEX(Source_GM_code_CBS!$B:$B,MATCH($A443,Source_GM_code_CBS!$C:$C,0))</f>
        <v>#N/A</v>
      </c>
      <c r="C443">
        <f>Source_wegvoertuigen_CBS!C447</f>
        <v>0</v>
      </c>
      <c r="D443">
        <f>Source_wegvoertuigen_CBS!D447</f>
        <v>0</v>
      </c>
      <c r="E443">
        <f>Source_wegvoertuigen_CBS!E447</f>
        <v>0</v>
      </c>
      <c r="F443">
        <f>Source_wegvoertuigen_CBS!F447</f>
        <v>0</v>
      </c>
    </row>
    <row r="444" spans="1:6" x14ac:dyDescent="0.2">
      <c r="A444" t="str">
        <f>Source_wegvoertuigen_CBS!A448</f>
        <v>Sassenheim</v>
      </c>
      <c r="B444" t="e">
        <f>INDEX(Source_GM_code_CBS!$B:$B,MATCH($A444,Source_GM_code_CBS!$C:$C,0))</f>
        <v>#N/A</v>
      </c>
      <c r="C444">
        <f>Source_wegvoertuigen_CBS!C448</f>
        <v>0</v>
      </c>
      <c r="D444">
        <f>Source_wegvoertuigen_CBS!D448</f>
        <v>0</v>
      </c>
      <c r="E444">
        <f>Source_wegvoertuigen_CBS!E448</f>
        <v>0</v>
      </c>
      <c r="F444">
        <f>Source_wegvoertuigen_CBS!F448</f>
        <v>0</v>
      </c>
    </row>
    <row r="445" spans="1:6" x14ac:dyDescent="0.2">
      <c r="A445" t="str">
        <f>Source_wegvoertuigen_CBS!A449</f>
        <v>Schagen</v>
      </c>
      <c r="B445" t="str">
        <f>INDEX(Source_GM_code_CBS!$B:$B,MATCH($A445,Source_GM_code_CBS!$C:$C,0))</f>
        <v>GM0441</v>
      </c>
      <c r="C445">
        <f>Source_wegvoertuigen_CBS!C449</f>
        <v>25888</v>
      </c>
      <c r="D445">
        <f>Source_wegvoertuigen_CBS!D449</f>
        <v>3798</v>
      </c>
      <c r="E445">
        <f>Source_wegvoertuigen_CBS!E449</f>
        <v>199</v>
      </c>
      <c r="F445">
        <f>Source_wegvoertuigen_CBS!F449</f>
        <v>2</v>
      </c>
    </row>
    <row r="446" spans="1:6" x14ac:dyDescent="0.2">
      <c r="A446" t="str">
        <f>Source_wegvoertuigen_CBS!A450</f>
        <v>Scheemda</v>
      </c>
      <c r="B446" t="e">
        <f>INDEX(Source_GM_code_CBS!$B:$B,MATCH($A446,Source_GM_code_CBS!$C:$C,0))</f>
        <v>#N/A</v>
      </c>
      <c r="C446">
        <f>Source_wegvoertuigen_CBS!C450</f>
        <v>0</v>
      </c>
      <c r="D446">
        <f>Source_wegvoertuigen_CBS!D450</f>
        <v>0</v>
      </c>
      <c r="E446">
        <f>Source_wegvoertuigen_CBS!E450</f>
        <v>0</v>
      </c>
      <c r="F446">
        <f>Source_wegvoertuigen_CBS!F450</f>
        <v>0</v>
      </c>
    </row>
    <row r="447" spans="1:6" x14ac:dyDescent="0.2">
      <c r="A447" t="str">
        <f>Source_wegvoertuigen_CBS!A451</f>
        <v>Schermer</v>
      </c>
      <c r="B447" t="e">
        <f>INDEX(Source_GM_code_CBS!$B:$B,MATCH($A447,Source_GM_code_CBS!$C:$C,0))</f>
        <v>#N/A</v>
      </c>
      <c r="C447">
        <f>Source_wegvoertuigen_CBS!C451</f>
        <v>0</v>
      </c>
      <c r="D447">
        <f>Source_wegvoertuigen_CBS!D451</f>
        <v>0</v>
      </c>
      <c r="E447">
        <f>Source_wegvoertuigen_CBS!E451</f>
        <v>0</v>
      </c>
      <c r="F447">
        <f>Source_wegvoertuigen_CBS!F451</f>
        <v>0</v>
      </c>
    </row>
    <row r="448" spans="1:6" x14ac:dyDescent="0.2">
      <c r="A448" t="str">
        <f>Source_wegvoertuigen_CBS!A452</f>
        <v>Scherpenzeel</v>
      </c>
      <c r="B448" t="str">
        <f>INDEX(Source_GM_code_CBS!$B:$B,MATCH($A448,Source_GM_code_CBS!$C:$C,0))</f>
        <v>GM0279</v>
      </c>
      <c r="C448">
        <f>Source_wegvoertuigen_CBS!C452</f>
        <v>5351</v>
      </c>
      <c r="D448">
        <f>Source_wegvoertuigen_CBS!D452</f>
        <v>761</v>
      </c>
      <c r="E448">
        <f>Source_wegvoertuigen_CBS!E452</f>
        <v>52</v>
      </c>
      <c r="F448">
        <f>Source_wegvoertuigen_CBS!F452</f>
        <v>1</v>
      </c>
    </row>
    <row r="449" spans="1:6" x14ac:dyDescent="0.2">
      <c r="A449" t="str">
        <f>Source_wegvoertuigen_CBS!A453</f>
        <v>Schiedam</v>
      </c>
      <c r="B449" t="str">
        <f>INDEX(Source_GM_code_CBS!$B:$B,MATCH($A449,Source_GM_code_CBS!$C:$C,0))</f>
        <v>GM0606</v>
      </c>
      <c r="C449">
        <f>Source_wegvoertuigen_CBS!C453</f>
        <v>32009</v>
      </c>
      <c r="D449">
        <f>Source_wegvoertuigen_CBS!D453</f>
        <v>3171</v>
      </c>
      <c r="E449">
        <f>Source_wegvoertuigen_CBS!E453</f>
        <v>141</v>
      </c>
      <c r="F449">
        <f>Source_wegvoertuigen_CBS!F453</f>
        <v>1</v>
      </c>
    </row>
    <row r="450" spans="1:6" x14ac:dyDescent="0.2">
      <c r="A450" t="str">
        <f>Source_wegvoertuigen_CBS!A454</f>
        <v>Schiermonnikoog</v>
      </c>
      <c r="B450" t="str">
        <f>INDEX(Source_GM_code_CBS!$B:$B,MATCH($A450,Source_GM_code_CBS!$C:$C,0))</f>
        <v>GM0088</v>
      </c>
      <c r="C450">
        <f>Source_wegvoertuigen_CBS!C454</f>
        <v>355</v>
      </c>
      <c r="D450">
        <f>Source_wegvoertuigen_CBS!D454</f>
        <v>78</v>
      </c>
      <c r="E450">
        <f>Source_wegvoertuigen_CBS!E454</f>
        <v>4</v>
      </c>
      <c r="F450">
        <f>Source_wegvoertuigen_CBS!F454</f>
        <v>1</v>
      </c>
    </row>
    <row r="451" spans="1:6" x14ac:dyDescent="0.2">
      <c r="A451" t="str">
        <f>Source_wegvoertuigen_CBS!A455</f>
        <v>Schijndel</v>
      </c>
      <c r="B451" t="e">
        <f>INDEX(Source_GM_code_CBS!$B:$B,MATCH($A451,Source_GM_code_CBS!$C:$C,0))</f>
        <v>#N/A</v>
      </c>
      <c r="C451">
        <f>Source_wegvoertuigen_CBS!C455</f>
        <v>0</v>
      </c>
      <c r="D451">
        <f>Source_wegvoertuigen_CBS!D455</f>
        <v>0</v>
      </c>
      <c r="E451">
        <f>Source_wegvoertuigen_CBS!E455</f>
        <v>0</v>
      </c>
      <c r="F451">
        <f>Source_wegvoertuigen_CBS!F455</f>
        <v>0</v>
      </c>
    </row>
    <row r="452" spans="1:6" x14ac:dyDescent="0.2">
      <c r="A452" t="str">
        <f>Source_wegvoertuigen_CBS!A456</f>
        <v>Schinnen</v>
      </c>
      <c r="B452" t="e">
        <f>INDEX(Source_GM_code_CBS!$B:$B,MATCH($A452,Source_GM_code_CBS!$C:$C,0))</f>
        <v>#N/A</v>
      </c>
      <c r="C452">
        <f>Source_wegvoertuigen_CBS!C456</f>
        <v>0</v>
      </c>
      <c r="D452">
        <f>Source_wegvoertuigen_CBS!D456</f>
        <v>0</v>
      </c>
      <c r="E452">
        <f>Source_wegvoertuigen_CBS!E456</f>
        <v>0</v>
      </c>
      <c r="F452">
        <f>Source_wegvoertuigen_CBS!F456</f>
        <v>0</v>
      </c>
    </row>
    <row r="453" spans="1:6" x14ac:dyDescent="0.2">
      <c r="A453" t="str">
        <f>Source_wegvoertuigen_CBS!A457</f>
        <v>Schipluiden</v>
      </c>
      <c r="B453" t="e">
        <f>INDEX(Source_GM_code_CBS!$B:$B,MATCH($A453,Source_GM_code_CBS!$C:$C,0))</f>
        <v>#N/A</v>
      </c>
      <c r="C453">
        <f>Source_wegvoertuigen_CBS!C457</f>
        <v>0</v>
      </c>
      <c r="D453">
        <f>Source_wegvoertuigen_CBS!D457</f>
        <v>0</v>
      </c>
      <c r="E453">
        <f>Source_wegvoertuigen_CBS!E457</f>
        <v>0</v>
      </c>
      <c r="F453">
        <f>Source_wegvoertuigen_CBS!F457</f>
        <v>0</v>
      </c>
    </row>
    <row r="454" spans="1:6" x14ac:dyDescent="0.2">
      <c r="A454" t="str">
        <f>Source_wegvoertuigen_CBS!A458</f>
        <v>Schoonhoven</v>
      </c>
      <c r="B454" t="e">
        <f>INDEX(Source_GM_code_CBS!$B:$B,MATCH($A454,Source_GM_code_CBS!$C:$C,0))</f>
        <v>#N/A</v>
      </c>
      <c r="C454">
        <f>Source_wegvoertuigen_CBS!C458</f>
        <v>0</v>
      </c>
      <c r="D454">
        <f>Source_wegvoertuigen_CBS!D458</f>
        <v>0</v>
      </c>
      <c r="E454">
        <f>Source_wegvoertuigen_CBS!E458</f>
        <v>0</v>
      </c>
      <c r="F454">
        <f>Source_wegvoertuigen_CBS!F458</f>
        <v>0</v>
      </c>
    </row>
    <row r="455" spans="1:6" x14ac:dyDescent="0.2">
      <c r="A455" t="str">
        <f>Source_wegvoertuigen_CBS!A459</f>
        <v>Schoorl</v>
      </c>
      <c r="B455" t="e">
        <f>INDEX(Source_GM_code_CBS!$B:$B,MATCH($A455,Source_GM_code_CBS!$C:$C,0))</f>
        <v>#N/A</v>
      </c>
      <c r="C455">
        <f>Source_wegvoertuigen_CBS!C459</f>
        <v>0</v>
      </c>
      <c r="D455">
        <f>Source_wegvoertuigen_CBS!D459</f>
        <v>0</v>
      </c>
      <c r="E455">
        <f>Source_wegvoertuigen_CBS!E459</f>
        <v>0</v>
      </c>
      <c r="F455">
        <f>Source_wegvoertuigen_CBS!F459</f>
        <v>0</v>
      </c>
    </row>
    <row r="456" spans="1:6" x14ac:dyDescent="0.2">
      <c r="A456" t="str">
        <f>Source_wegvoertuigen_CBS!A460</f>
        <v>Schouwen-Duiveland</v>
      </c>
      <c r="B456" t="str">
        <f>INDEX(Source_GM_code_CBS!$B:$B,MATCH($A456,Source_GM_code_CBS!$C:$C,0))</f>
        <v>GM1676</v>
      </c>
      <c r="C456">
        <f>Source_wegvoertuigen_CBS!C460</f>
        <v>19718</v>
      </c>
      <c r="D456">
        <f>Source_wegvoertuigen_CBS!D460</f>
        <v>2851</v>
      </c>
      <c r="E456">
        <f>Source_wegvoertuigen_CBS!E460</f>
        <v>125</v>
      </c>
      <c r="F456">
        <f>Source_wegvoertuigen_CBS!F460</f>
        <v>28</v>
      </c>
    </row>
    <row r="457" spans="1:6" x14ac:dyDescent="0.2">
      <c r="A457" t="str">
        <f>Source_wegvoertuigen_CBS!A461</f>
        <v>Sevenum</v>
      </c>
      <c r="B457" t="e">
        <f>INDEX(Source_GM_code_CBS!$B:$B,MATCH($A457,Source_GM_code_CBS!$C:$C,0))</f>
        <v>#N/A</v>
      </c>
      <c r="C457">
        <f>Source_wegvoertuigen_CBS!C461</f>
        <v>0</v>
      </c>
      <c r="D457">
        <f>Source_wegvoertuigen_CBS!D461</f>
        <v>0</v>
      </c>
      <c r="E457">
        <f>Source_wegvoertuigen_CBS!E461</f>
        <v>0</v>
      </c>
      <c r="F457">
        <f>Source_wegvoertuigen_CBS!F461</f>
        <v>0</v>
      </c>
    </row>
    <row r="458" spans="1:6" x14ac:dyDescent="0.2">
      <c r="A458" t="str">
        <f>Source_wegvoertuigen_CBS!A462</f>
        <v>Simpelveld</v>
      </c>
      <c r="B458" t="str">
        <f>INDEX(Source_GM_code_CBS!$B:$B,MATCH($A458,Source_GM_code_CBS!$C:$C,0))</f>
        <v>GM0965</v>
      </c>
      <c r="C458">
        <f>Source_wegvoertuigen_CBS!C462</f>
        <v>6260</v>
      </c>
      <c r="D458">
        <f>Source_wegvoertuigen_CBS!D462</f>
        <v>418</v>
      </c>
      <c r="E458">
        <f>Source_wegvoertuigen_CBS!E462</f>
        <v>22</v>
      </c>
      <c r="F458">
        <f>Source_wegvoertuigen_CBS!F462</f>
        <v>12</v>
      </c>
    </row>
    <row r="459" spans="1:6" x14ac:dyDescent="0.2">
      <c r="A459" t="str">
        <f>Source_wegvoertuigen_CBS!A463</f>
        <v>Sint Anthonis</v>
      </c>
      <c r="B459" t="e">
        <f>INDEX(Source_GM_code_CBS!$B:$B,MATCH($A459,Source_GM_code_CBS!$C:$C,0))</f>
        <v>#N/A</v>
      </c>
      <c r="C459">
        <f>Source_wegvoertuigen_CBS!C463</f>
        <v>0</v>
      </c>
      <c r="D459">
        <f>Source_wegvoertuigen_CBS!D463</f>
        <v>0</v>
      </c>
      <c r="E459">
        <f>Source_wegvoertuigen_CBS!E463</f>
        <v>0</v>
      </c>
      <c r="F459">
        <f>Source_wegvoertuigen_CBS!F463</f>
        <v>0</v>
      </c>
    </row>
    <row r="460" spans="1:6" x14ac:dyDescent="0.2">
      <c r="A460" t="str">
        <f>Source_wegvoertuigen_CBS!A464</f>
        <v>Sint-Michielsgestel</v>
      </c>
      <c r="B460" t="str">
        <f>INDEX(Source_GM_code_CBS!$B:$B,MATCH($A460,Source_GM_code_CBS!$C:$C,0))</f>
        <v>GM0845</v>
      </c>
      <c r="C460">
        <f>Source_wegvoertuigen_CBS!C464</f>
        <v>16400</v>
      </c>
      <c r="D460">
        <f>Source_wegvoertuigen_CBS!D464</f>
        <v>2104</v>
      </c>
      <c r="E460">
        <f>Source_wegvoertuigen_CBS!E464</f>
        <v>167</v>
      </c>
      <c r="F460">
        <f>Source_wegvoertuigen_CBS!F464</f>
        <v>0</v>
      </c>
    </row>
    <row r="461" spans="1:6" x14ac:dyDescent="0.2">
      <c r="A461" t="str">
        <f>Source_wegvoertuigen_CBS!A465</f>
        <v>Sint-Oedenrode</v>
      </c>
      <c r="B461" t="e">
        <f>INDEX(Source_GM_code_CBS!$B:$B,MATCH($A461,Source_GM_code_CBS!$C:$C,0))</f>
        <v>#N/A</v>
      </c>
      <c r="C461">
        <f>Source_wegvoertuigen_CBS!C465</f>
        <v>0</v>
      </c>
      <c r="D461">
        <f>Source_wegvoertuigen_CBS!D465</f>
        <v>0</v>
      </c>
      <c r="E461">
        <f>Source_wegvoertuigen_CBS!E465</f>
        <v>0</v>
      </c>
      <c r="F461">
        <f>Source_wegvoertuigen_CBS!F465</f>
        <v>0</v>
      </c>
    </row>
    <row r="462" spans="1:6" x14ac:dyDescent="0.2">
      <c r="A462" t="str">
        <f>Source_wegvoertuigen_CBS!A466</f>
        <v>Sittard</v>
      </c>
      <c r="B462" t="e">
        <f>INDEX(Source_GM_code_CBS!$B:$B,MATCH($A462,Source_GM_code_CBS!$C:$C,0))</f>
        <v>#N/A</v>
      </c>
      <c r="C462">
        <f>Source_wegvoertuigen_CBS!C466</f>
        <v>0</v>
      </c>
      <c r="D462">
        <f>Source_wegvoertuigen_CBS!D466</f>
        <v>0</v>
      </c>
      <c r="E462">
        <f>Source_wegvoertuigen_CBS!E466</f>
        <v>0</v>
      </c>
      <c r="F462">
        <f>Source_wegvoertuigen_CBS!F466</f>
        <v>0</v>
      </c>
    </row>
    <row r="463" spans="1:6" x14ac:dyDescent="0.2">
      <c r="A463" t="str">
        <f>Source_wegvoertuigen_CBS!A467</f>
        <v>Sittard-Geleen</v>
      </c>
      <c r="B463" t="str">
        <f>INDEX(Source_GM_code_CBS!$B:$B,MATCH($A463,Source_GM_code_CBS!$C:$C,0))</f>
        <v>GM1883</v>
      </c>
      <c r="C463">
        <f>Source_wegvoertuigen_CBS!C467</f>
        <v>53330</v>
      </c>
      <c r="D463">
        <f>Source_wegvoertuigen_CBS!D467</f>
        <v>5212</v>
      </c>
      <c r="E463">
        <f>Source_wegvoertuigen_CBS!E467</f>
        <v>309</v>
      </c>
      <c r="F463">
        <f>Source_wegvoertuigen_CBS!F467</f>
        <v>2</v>
      </c>
    </row>
    <row r="464" spans="1:6" x14ac:dyDescent="0.2">
      <c r="A464" t="str">
        <f>Source_wegvoertuigen_CBS!A468</f>
        <v>Skarsterlân</v>
      </c>
      <c r="B464" t="e">
        <f>INDEX(Source_GM_code_CBS!$B:$B,MATCH($A464,Source_GM_code_CBS!$C:$C,0))</f>
        <v>#N/A</v>
      </c>
      <c r="C464">
        <f>Source_wegvoertuigen_CBS!C468</f>
        <v>0</v>
      </c>
      <c r="D464">
        <f>Source_wegvoertuigen_CBS!D468</f>
        <v>0</v>
      </c>
      <c r="E464">
        <f>Source_wegvoertuigen_CBS!E468</f>
        <v>0</v>
      </c>
      <c r="F464">
        <f>Source_wegvoertuigen_CBS!F468</f>
        <v>0</v>
      </c>
    </row>
    <row r="465" spans="1:6" x14ac:dyDescent="0.2">
      <c r="A465" t="str">
        <f>Source_wegvoertuigen_CBS!A469</f>
        <v>Sliedrecht</v>
      </c>
      <c r="B465" t="str">
        <f>INDEX(Source_GM_code_CBS!$B:$B,MATCH($A465,Source_GM_code_CBS!$C:$C,0))</f>
        <v>GM0610</v>
      </c>
      <c r="C465">
        <f>Source_wegvoertuigen_CBS!C469</f>
        <v>12361</v>
      </c>
      <c r="D465">
        <f>Source_wegvoertuigen_CBS!D469</f>
        <v>1460</v>
      </c>
      <c r="E465">
        <f>Source_wegvoertuigen_CBS!E469</f>
        <v>86</v>
      </c>
      <c r="F465">
        <f>Source_wegvoertuigen_CBS!F469</f>
        <v>1</v>
      </c>
    </row>
    <row r="466" spans="1:6" x14ac:dyDescent="0.2">
      <c r="A466" t="str">
        <f>Source_wegvoertuigen_CBS!A470</f>
        <v>Slochteren</v>
      </c>
      <c r="B466" t="e">
        <f>INDEX(Source_GM_code_CBS!$B:$B,MATCH($A466,Source_GM_code_CBS!$C:$C,0))</f>
        <v>#N/A</v>
      </c>
      <c r="C466">
        <f>Source_wegvoertuigen_CBS!C470</f>
        <v>0</v>
      </c>
      <c r="D466">
        <f>Source_wegvoertuigen_CBS!D470</f>
        <v>0</v>
      </c>
      <c r="E466">
        <f>Source_wegvoertuigen_CBS!E470</f>
        <v>0</v>
      </c>
      <c r="F466">
        <f>Source_wegvoertuigen_CBS!F470</f>
        <v>0</v>
      </c>
    </row>
    <row r="467" spans="1:6" x14ac:dyDescent="0.2">
      <c r="A467" t="str">
        <f>Source_wegvoertuigen_CBS!A471</f>
        <v>Sluis</v>
      </c>
      <c r="B467" t="str">
        <f>INDEX(Source_GM_code_CBS!$B:$B,MATCH($A467,Source_GM_code_CBS!$C:$C,0))</f>
        <v>GM1714</v>
      </c>
      <c r="C467">
        <f>Source_wegvoertuigen_CBS!C471</f>
        <v>13867</v>
      </c>
      <c r="D467">
        <f>Source_wegvoertuigen_CBS!D471</f>
        <v>1865</v>
      </c>
      <c r="E467">
        <f>Source_wegvoertuigen_CBS!E471</f>
        <v>114</v>
      </c>
      <c r="F467">
        <f>Source_wegvoertuigen_CBS!F471</f>
        <v>7</v>
      </c>
    </row>
    <row r="468" spans="1:6" x14ac:dyDescent="0.2">
      <c r="A468" t="str">
        <f>Source_wegvoertuigen_CBS!A472</f>
        <v>Sluis-Aardenburg</v>
      </c>
      <c r="B468" t="e">
        <f>INDEX(Source_GM_code_CBS!$B:$B,MATCH($A468,Source_GM_code_CBS!$C:$C,0))</f>
        <v>#N/A</v>
      </c>
      <c r="C468">
        <f>Source_wegvoertuigen_CBS!C472</f>
        <v>0</v>
      </c>
      <c r="D468">
        <f>Source_wegvoertuigen_CBS!D472</f>
        <v>0</v>
      </c>
      <c r="E468">
        <f>Source_wegvoertuigen_CBS!E472</f>
        <v>0</v>
      </c>
      <c r="F468">
        <f>Source_wegvoertuigen_CBS!F472</f>
        <v>0</v>
      </c>
    </row>
    <row r="469" spans="1:6" x14ac:dyDescent="0.2">
      <c r="A469" t="str">
        <f>Source_wegvoertuigen_CBS!A473</f>
        <v>Smallingerland</v>
      </c>
      <c r="B469" t="str">
        <f>INDEX(Source_GM_code_CBS!$B:$B,MATCH($A469,Source_GM_code_CBS!$C:$C,0))</f>
        <v>GM0090</v>
      </c>
      <c r="C469">
        <f>Source_wegvoertuigen_CBS!C473</f>
        <v>34558</v>
      </c>
      <c r="D469">
        <f>Source_wegvoertuigen_CBS!D473</f>
        <v>5539</v>
      </c>
      <c r="E469">
        <f>Source_wegvoertuigen_CBS!E473</f>
        <v>232</v>
      </c>
      <c r="F469">
        <f>Source_wegvoertuigen_CBS!F473</f>
        <v>20</v>
      </c>
    </row>
    <row r="470" spans="1:6" x14ac:dyDescent="0.2">
      <c r="A470" t="str">
        <f>Source_wegvoertuigen_CBS!A474</f>
        <v>Sneek</v>
      </c>
      <c r="B470" t="e">
        <f>INDEX(Source_GM_code_CBS!$B:$B,MATCH($A470,Source_GM_code_CBS!$C:$C,0))</f>
        <v>#N/A</v>
      </c>
      <c r="C470">
        <f>Source_wegvoertuigen_CBS!C474</f>
        <v>0</v>
      </c>
      <c r="D470">
        <f>Source_wegvoertuigen_CBS!D474</f>
        <v>0</v>
      </c>
      <c r="E470">
        <f>Source_wegvoertuigen_CBS!E474</f>
        <v>0</v>
      </c>
      <c r="F470">
        <f>Source_wegvoertuigen_CBS!F474</f>
        <v>0</v>
      </c>
    </row>
    <row r="471" spans="1:6" x14ac:dyDescent="0.2">
      <c r="A471" t="str">
        <f>Source_wegvoertuigen_CBS!A475</f>
        <v>Soest</v>
      </c>
      <c r="B471" t="str">
        <f>INDEX(Source_GM_code_CBS!$B:$B,MATCH($A471,Source_GM_code_CBS!$C:$C,0))</f>
        <v>GM0342</v>
      </c>
      <c r="C471">
        <f>Source_wegvoertuigen_CBS!C475</f>
        <v>25008</v>
      </c>
      <c r="D471">
        <f>Source_wegvoertuigen_CBS!D475</f>
        <v>2176</v>
      </c>
      <c r="E471">
        <f>Source_wegvoertuigen_CBS!E475</f>
        <v>169</v>
      </c>
      <c r="F471">
        <f>Source_wegvoertuigen_CBS!F475</f>
        <v>1</v>
      </c>
    </row>
    <row r="472" spans="1:6" x14ac:dyDescent="0.2">
      <c r="A472" t="str">
        <f>Source_wegvoertuigen_CBS!A476</f>
        <v>Someren</v>
      </c>
      <c r="B472" t="str">
        <f>INDEX(Source_GM_code_CBS!$B:$B,MATCH($A472,Source_GM_code_CBS!$C:$C,0))</f>
        <v>GM0847</v>
      </c>
      <c r="C472">
        <f>Source_wegvoertuigen_CBS!C476</f>
        <v>11140</v>
      </c>
      <c r="D472">
        <f>Source_wegvoertuigen_CBS!D476</f>
        <v>2078</v>
      </c>
      <c r="E472">
        <f>Source_wegvoertuigen_CBS!E476</f>
        <v>198</v>
      </c>
      <c r="F472">
        <f>Source_wegvoertuigen_CBS!F476</f>
        <v>2</v>
      </c>
    </row>
    <row r="473" spans="1:6" x14ac:dyDescent="0.2">
      <c r="A473" t="str">
        <f>Source_wegvoertuigen_CBS!A477</f>
        <v>Son en Breugel</v>
      </c>
      <c r="B473" t="str">
        <f>INDEX(Source_GM_code_CBS!$B:$B,MATCH($A473,Source_GM_code_CBS!$C:$C,0))</f>
        <v>GM0848</v>
      </c>
      <c r="C473">
        <f>Source_wegvoertuigen_CBS!C477</f>
        <v>10566</v>
      </c>
      <c r="D473">
        <f>Source_wegvoertuigen_CBS!D477</f>
        <v>1006</v>
      </c>
      <c r="E473">
        <f>Source_wegvoertuigen_CBS!E477</f>
        <v>335</v>
      </c>
      <c r="F473">
        <f>Source_wegvoertuigen_CBS!F477</f>
        <v>0</v>
      </c>
    </row>
    <row r="474" spans="1:6" x14ac:dyDescent="0.2">
      <c r="A474" t="str">
        <f>Source_wegvoertuigen_CBS!A478</f>
        <v>Spijkenisse</v>
      </c>
      <c r="B474" t="e">
        <f>INDEX(Source_GM_code_CBS!$B:$B,MATCH($A474,Source_GM_code_CBS!$C:$C,0))</f>
        <v>#N/A</v>
      </c>
      <c r="C474">
        <f>Source_wegvoertuigen_CBS!C478</f>
        <v>0</v>
      </c>
      <c r="D474">
        <f>Source_wegvoertuigen_CBS!D478</f>
        <v>0</v>
      </c>
      <c r="E474">
        <f>Source_wegvoertuigen_CBS!E478</f>
        <v>0</v>
      </c>
      <c r="F474">
        <f>Source_wegvoertuigen_CBS!F478</f>
        <v>0</v>
      </c>
    </row>
    <row r="475" spans="1:6" x14ac:dyDescent="0.2">
      <c r="A475" t="str">
        <f>Source_wegvoertuigen_CBS!A479</f>
        <v>Stad Delden</v>
      </c>
      <c r="B475" t="e">
        <f>INDEX(Source_GM_code_CBS!$B:$B,MATCH($A475,Source_GM_code_CBS!$C:$C,0))</f>
        <v>#N/A</v>
      </c>
      <c r="C475">
        <f>Source_wegvoertuigen_CBS!C479</f>
        <v>0</v>
      </c>
      <c r="D475">
        <f>Source_wegvoertuigen_CBS!D479</f>
        <v>0</v>
      </c>
      <c r="E475">
        <f>Source_wegvoertuigen_CBS!E479</f>
        <v>0</v>
      </c>
      <c r="F475">
        <f>Source_wegvoertuigen_CBS!F479</f>
        <v>0</v>
      </c>
    </row>
    <row r="476" spans="1:6" x14ac:dyDescent="0.2">
      <c r="A476" t="str">
        <f>Source_wegvoertuigen_CBS!A480</f>
        <v>Stadskanaal</v>
      </c>
      <c r="B476" t="str">
        <f>INDEX(Source_GM_code_CBS!$B:$B,MATCH($A476,Source_GM_code_CBS!$C:$C,0))</f>
        <v>GM0037</v>
      </c>
      <c r="C476">
        <f>Source_wegvoertuigen_CBS!C480</f>
        <v>17836</v>
      </c>
      <c r="D476">
        <f>Source_wegvoertuigen_CBS!D480</f>
        <v>2459</v>
      </c>
      <c r="E476">
        <f>Source_wegvoertuigen_CBS!E480</f>
        <v>123</v>
      </c>
      <c r="F476">
        <f>Source_wegvoertuigen_CBS!F480</f>
        <v>2</v>
      </c>
    </row>
    <row r="477" spans="1:6" x14ac:dyDescent="0.2">
      <c r="A477" t="str">
        <f>Source_wegvoertuigen_CBS!A481</f>
        <v>Staphorst</v>
      </c>
      <c r="B477" t="str">
        <f>INDEX(Source_GM_code_CBS!$B:$B,MATCH($A477,Source_GM_code_CBS!$C:$C,0))</f>
        <v>GM0180</v>
      </c>
      <c r="C477">
        <f>Source_wegvoertuigen_CBS!C481</f>
        <v>9565</v>
      </c>
      <c r="D477">
        <f>Source_wegvoertuigen_CBS!D481</f>
        <v>2037</v>
      </c>
      <c r="E477">
        <f>Source_wegvoertuigen_CBS!E481</f>
        <v>174</v>
      </c>
      <c r="F477">
        <f>Source_wegvoertuigen_CBS!F481</f>
        <v>1</v>
      </c>
    </row>
    <row r="478" spans="1:6" x14ac:dyDescent="0.2">
      <c r="A478" t="str">
        <f>Source_wegvoertuigen_CBS!A482</f>
        <v>Stede Broec</v>
      </c>
      <c r="B478" t="str">
        <f>INDEX(Source_GM_code_CBS!$B:$B,MATCH($A478,Source_GM_code_CBS!$C:$C,0))</f>
        <v>GM0532</v>
      </c>
      <c r="C478">
        <f>Source_wegvoertuigen_CBS!C482</f>
        <v>10320</v>
      </c>
      <c r="D478">
        <f>Source_wegvoertuigen_CBS!D482</f>
        <v>986</v>
      </c>
      <c r="E478">
        <f>Source_wegvoertuigen_CBS!E482</f>
        <v>63</v>
      </c>
      <c r="F478">
        <f>Source_wegvoertuigen_CBS!F482</f>
        <v>1</v>
      </c>
    </row>
    <row r="479" spans="1:6" x14ac:dyDescent="0.2">
      <c r="A479" t="str">
        <f>Source_wegvoertuigen_CBS!A483</f>
        <v>Steenbergen</v>
      </c>
      <c r="B479" t="str">
        <f>INDEX(Source_GM_code_CBS!$B:$B,MATCH($A479,Source_GM_code_CBS!$C:$C,0))</f>
        <v>GM0851</v>
      </c>
      <c r="C479">
        <f>Source_wegvoertuigen_CBS!C483</f>
        <v>13892</v>
      </c>
      <c r="D479">
        <f>Source_wegvoertuigen_CBS!D483</f>
        <v>1654</v>
      </c>
      <c r="E479">
        <f>Source_wegvoertuigen_CBS!E483</f>
        <v>100</v>
      </c>
      <c r="F479">
        <f>Source_wegvoertuigen_CBS!F483</f>
        <v>2</v>
      </c>
    </row>
    <row r="480" spans="1:6" x14ac:dyDescent="0.2">
      <c r="A480" t="str">
        <f>Source_wegvoertuigen_CBS!A484</f>
        <v>Steenderen</v>
      </c>
      <c r="B480" t="e">
        <f>INDEX(Source_GM_code_CBS!$B:$B,MATCH($A480,Source_GM_code_CBS!$C:$C,0))</f>
        <v>#N/A</v>
      </c>
      <c r="C480">
        <f>Source_wegvoertuigen_CBS!C484</f>
        <v>0</v>
      </c>
      <c r="D480">
        <f>Source_wegvoertuigen_CBS!D484</f>
        <v>0</v>
      </c>
      <c r="E480">
        <f>Source_wegvoertuigen_CBS!E484</f>
        <v>0</v>
      </c>
      <c r="F480">
        <f>Source_wegvoertuigen_CBS!F484</f>
        <v>0</v>
      </c>
    </row>
    <row r="481" spans="1:6" x14ac:dyDescent="0.2">
      <c r="A481" t="str">
        <f>Source_wegvoertuigen_CBS!A485</f>
        <v>Steenwijk</v>
      </c>
      <c r="B481" t="e">
        <f>INDEX(Source_GM_code_CBS!$B:$B,MATCH($A481,Source_GM_code_CBS!$C:$C,0))</f>
        <v>#N/A</v>
      </c>
      <c r="C481">
        <f>Source_wegvoertuigen_CBS!C485</f>
        <v>0</v>
      </c>
      <c r="D481">
        <f>Source_wegvoertuigen_CBS!D485</f>
        <v>0</v>
      </c>
      <c r="E481">
        <f>Source_wegvoertuigen_CBS!E485</f>
        <v>0</v>
      </c>
      <c r="F481">
        <f>Source_wegvoertuigen_CBS!F485</f>
        <v>0</v>
      </c>
    </row>
    <row r="482" spans="1:6" x14ac:dyDescent="0.2">
      <c r="A482" t="str">
        <f>Source_wegvoertuigen_CBS!A486</f>
        <v>Steenwijkerland</v>
      </c>
      <c r="B482" t="str">
        <f>INDEX(Source_GM_code_CBS!$B:$B,MATCH($A482,Source_GM_code_CBS!$C:$C,0))</f>
        <v>GM1708</v>
      </c>
      <c r="C482">
        <f>Source_wegvoertuigen_CBS!C486</f>
        <v>24610</v>
      </c>
      <c r="D482">
        <f>Source_wegvoertuigen_CBS!D486</f>
        <v>3369</v>
      </c>
      <c r="E482">
        <f>Source_wegvoertuigen_CBS!E486</f>
        <v>150</v>
      </c>
      <c r="F482">
        <f>Source_wegvoertuigen_CBS!F486</f>
        <v>10</v>
      </c>
    </row>
    <row r="483" spans="1:6" x14ac:dyDescent="0.2">
      <c r="A483" s="5" t="s">
        <v>885</v>
      </c>
      <c r="B483" t="str">
        <f>INDEX(Source_GM_code_CBS!$B:$B,MATCH($A483,Source_GM_code_CBS!$C:$C,0))</f>
        <v>GM0971</v>
      </c>
      <c r="C483">
        <f>Source_wegvoertuigen_CBS!C487</f>
        <v>15105</v>
      </c>
      <c r="D483">
        <f>Source_wegvoertuigen_CBS!D487</f>
        <v>1217</v>
      </c>
      <c r="E483">
        <f>Source_wegvoertuigen_CBS!E487</f>
        <v>104</v>
      </c>
      <c r="F483">
        <f>Source_wegvoertuigen_CBS!F487</f>
        <v>9</v>
      </c>
    </row>
    <row r="484" spans="1:6" x14ac:dyDescent="0.2">
      <c r="A484" t="str">
        <f>Source_wegvoertuigen_CBS!A488</f>
        <v>Stichtse Vecht</v>
      </c>
      <c r="B484" t="str">
        <f>INDEX(Source_GM_code_CBS!$B:$B,MATCH($A484,Source_GM_code_CBS!$C:$C,0))</f>
        <v>GM1904</v>
      </c>
      <c r="C484">
        <f>Source_wegvoertuigen_CBS!C488</f>
        <v>33292</v>
      </c>
      <c r="D484">
        <f>Source_wegvoertuigen_CBS!D488</f>
        <v>2946</v>
      </c>
      <c r="E484">
        <f>Source_wegvoertuigen_CBS!E488</f>
        <v>178</v>
      </c>
      <c r="F484">
        <f>Source_wegvoertuigen_CBS!F488</f>
        <v>3</v>
      </c>
    </row>
    <row r="485" spans="1:6" x14ac:dyDescent="0.2">
      <c r="A485" t="str">
        <f>Source_wegvoertuigen_CBS!A489</f>
        <v>Strijen</v>
      </c>
      <c r="B485" t="e">
        <f>INDEX(Source_GM_code_CBS!$B:$B,MATCH($A485,Source_GM_code_CBS!$C:$C,0))</f>
        <v>#N/A</v>
      </c>
      <c r="C485">
        <f>Source_wegvoertuigen_CBS!C489</f>
        <v>0</v>
      </c>
      <c r="D485">
        <f>Source_wegvoertuigen_CBS!D489</f>
        <v>0</v>
      </c>
      <c r="E485">
        <f>Source_wegvoertuigen_CBS!E489</f>
        <v>0</v>
      </c>
      <c r="F485">
        <f>Source_wegvoertuigen_CBS!F489</f>
        <v>0</v>
      </c>
    </row>
    <row r="486" spans="1:6" ht="16" x14ac:dyDescent="0.2">
      <c r="A486" s="6" t="s">
        <v>891</v>
      </c>
      <c r="B486" t="str">
        <f>INDEX(Source_GM_code_CBS!$B:$B,MATCH($A486,Source_GM_code_CBS!$C:$C,0))</f>
        <v>GM1900</v>
      </c>
      <c r="C486">
        <f>Source_wegvoertuigen_CBS!C490</f>
        <v>46531</v>
      </c>
      <c r="D486">
        <f>Source_wegvoertuigen_CBS!D490</f>
        <v>7138</v>
      </c>
      <c r="E486">
        <f>Source_wegvoertuigen_CBS!E490</f>
        <v>396</v>
      </c>
      <c r="F486">
        <f>Source_wegvoertuigen_CBS!F490</f>
        <v>7</v>
      </c>
    </row>
    <row r="487" spans="1:6" x14ac:dyDescent="0.2">
      <c r="A487" t="str">
        <f>Source_wegvoertuigen_CBS!A491</f>
        <v>Susteren</v>
      </c>
      <c r="B487" t="e">
        <f>INDEX(Source_GM_code_CBS!$B:$B,MATCH($A487,Source_GM_code_CBS!$C:$C,0))</f>
        <v>#N/A</v>
      </c>
      <c r="C487">
        <f>Source_wegvoertuigen_CBS!C491</f>
        <v>0</v>
      </c>
      <c r="D487">
        <f>Source_wegvoertuigen_CBS!D491</f>
        <v>0</v>
      </c>
      <c r="E487">
        <f>Source_wegvoertuigen_CBS!E491</f>
        <v>0</v>
      </c>
      <c r="F487">
        <f>Source_wegvoertuigen_CBS!F491</f>
        <v>0</v>
      </c>
    </row>
    <row r="488" spans="1:6" x14ac:dyDescent="0.2">
      <c r="A488" t="str">
        <f>Source_wegvoertuigen_CBS!A492</f>
        <v>Swalmen</v>
      </c>
      <c r="B488" t="e">
        <f>INDEX(Source_GM_code_CBS!$B:$B,MATCH($A488,Source_GM_code_CBS!$C:$C,0))</f>
        <v>#N/A</v>
      </c>
      <c r="C488">
        <f>Source_wegvoertuigen_CBS!C492</f>
        <v>0</v>
      </c>
      <c r="D488">
        <f>Source_wegvoertuigen_CBS!D492</f>
        <v>0</v>
      </c>
      <c r="E488">
        <f>Source_wegvoertuigen_CBS!E492</f>
        <v>0</v>
      </c>
      <c r="F488">
        <f>Source_wegvoertuigen_CBS!F492</f>
        <v>0</v>
      </c>
    </row>
    <row r="489" spans="1:6" x14ac:dyDescent="0.2">
      <c r="A489" t="str">
        <f>Source_wegvoertuigen_CBS!A493</f>
        <v>Tegelen</v>
      </c>
      <c r="B489" t="e">
        <f>INDEX(Source_GM_code_CBS!$B:$B,MATCH($A489,Source_GM_code_CBS!$C:$C,0))</f>
        <v>#N/A</v>
      </c>
      <c r="C489">
        <f>Source_wegvoertuigen_CBS!C493</f>
        <v>0</v>
      </c>
      <c r="D489">
        <f>Source_wegvoertuigen_CBS!D493</f>
        <v>0</v>
      </c>
      <c r="E489">
        <f>Source_wegvoertuigen_CBS!E493</f>
        <v>0</v>
      </c>
      <c r="F489">
        <f>Source_wegvoertuigen_CBS!F493</f>
        <v>0</v>
      </c>
    </row>
    <row r="490" spans="1:6" x14ac:dyDescent="0.2">
      <c r="A490" t="str">
        <f>Source_wegvoertuigen_CBS!A494</f>
        <v>Terneuzen</v>
      </c>
      <c r="B490" t="str">
        <f>INDEX(Source_GM_code_CBS!$B:$B,MATCH($A490,Source_GM_code_CBS!$C:$C,0))</f>
        <v>GM0715</v>
      </c>
      <c r="C490">
        <f>Source_wegvoertuigen_CBS!C494</f>
        <v>31377</v>
      </c>
      <c r="D490">
        <f>Source_wegvoertuigen_CBS!D494</f>
        <v>3119</v>
      </c>
      <c r="E490">
        <f>Source_wegvoertuigen_CBS!E494</f>
        <v>220</v>
      </c>
      <c r="F490">
        <f>Source_wegvoertuigen_CBS!F494</f>
        <v>3</v>
      </c>
    </row>
    <row r="491" spans="1:6" x14ac:dyDescent="0.2">
      <c r="A491" t="str">
        <f>Source_wegvoertuigen_CBS!A495</f>
        <v>Terschelling</v>
      </c>
      <c r="B491" t="str">
        <f>INDEX(Source_GM_code_CBS!$B:$B,MATCH($A491,Source_GM_code_CBS!$C:$C,0))</f>
        <v>GM0093</v>
      </c>
      <c r="C491">
        <f>Source_wegvoertuigen_CBS!C495</f>
        <v>2547</v>
      </c>
      <c r="D491">
        <f>Source_wegvoertuigen_CBS!D495</f>
        <v>666</v>
      </c>
      <c r="E491">
        <f>Source_wegvoertuigen_CBS!E495</f>
        <v>34</v>
      </c>
      <c r="F491">
        <f>Source_wegvoertuigen_CBS!F495</f>
        <v>4</v>
      </c>
    </row>
    <row r="492" spans="1:6" x14ac:dyDescent="0.2">
      <c r="A492" t="str">
        <f>Source_wegvoertuigen_CBS!A496</f>
        <v>Texel</v>
      </c>
      <c r="B492" t="str">
        <f>INDEX(Source_GM_code_CBS!$B:$B,MATCH($A492,Source_GM_code_CBS!$C:$C,0))</f>
        <v>GM0448</v>
      </c>
      <c r="C492">
        <f>Source_wegvoertuigen_CBS!C496</f>
        <v>7566</v>
      </c>
      <c r="D492">
        <f>Source_wegvoertuigen_CBS!D496</f>
        <v>1660</v>
      </c>
      <c r="E492">
        <f>Source_wegvoertuigen_CBS!E496</f>
        <v>77</v>
      </c>
      <c r="F492">
        <f>Source_wegvoertuigen_CBS!F496</f>
        <v>12</v>
      </c>
    </row>
    <row r="493" spans="1:6" x14ac:dyDescent="0.2">
      <c r="A493" t="str">
        <f>Source_wegvoertuigen_CBS!A497</f>
        <v>Teylingen</v>
      </c>
      <c r="B493" t="str">
        <f>INDEX(Source_GM_code_CBS!$B:$B,MATCH($A493,Source_GM_code_CBS!$C:$C,0))</f>
        <v>GM1525</v>
      </c>
      <c r="C493">
        <f>Source_wegvoertuigen_CBS!C497</f>
        <v>20106</v>
      </c>
      <c r="D493">
        <f>Source_wegvoertuigen_CBS!D497</f>
        <v>1940</v>
      </c>
      <c r="E493">
        <f>Source_wegvoertuigen_CBS!E497</f>
        <v>165</v>
      </c>
      <c r="F493">
        <f>Source_wegvoertuigen_CBS!F497</f>
        <v>1</v>
      </c>
    </row>
    <row r="494" spans="1:6" x14ac:dyDescent="0.2">
      <c r="A494" t="str">
        <f>Source_wegvoertuigen_CBS!A498</f>
        <v>Tholen</v>
      </c>
      <c r="B494" t="str">
        <f>INDEX(Source_GM_code_CBS!$B:$B,MATCH($A494,Source_GM_code_CBS!$C:$C,0))</f>
        <v>GM0716</v>
      </c>
      <c r="C494">
        <f>Source_wegvoertuigen_CBS!C498</f>
        <v>14329</v>
      </c>
      <c r="D494">
        <f>Source_wegvoertuigen_CBS!D498</f>
        <v>2335</v>
      </c>
      <c r="E494">
        <f>Source_wegvoertuigen_CBS!E498</f>
        <v>85</v>
      </c>
      <c r="F494">
        <f>Source_wegvoertuigen_CBS!F498</f>
        <v>10</v>
      </c>
    </row>
    <row r="495" spans="1:6" x14ac:dyDescent="0.2">
      <c r="A495" t="str">
        <f>Source_wegvoertuigen_CBS!A499</f>
        <v>Thorn</v>
      </c>
      <c r="B495" t="e">
        <f>INDEX(Source_GM_code_CBS!$B:$B,MATCH($A495,Source_GM_code_CBS!$C:$C,0))</f>
        <v>#N/A</v>
      </c>
      <c r="C495">
        <f>Source_wegvoertuigen_CBS!C499</f>
        <v>0</v>
      </c>
      <c r="D495">
        <f>Source_wegvoertuigen_CBS!D499</f>
        <v>0</v>
      </c>
      <c r="E495">
        <f>Source_wegvoertuigen_CBS!E499</f>
        <v>0</v>
      </c>
      <c r="F495">
        <f>Source_wegvoertuigen_CBS!F499</f>
        <v>0</v>
      </c>
    </row>
    <row r="496" spans="1:6" x14ac:dyDescent="0.2">
      <c r="A496" t="str">
        <f>Source_wegvoertuigen_CBS!A500</f>
        <v>Tiel</v>
      </c>
      <c r="B496" t="str">
        <f>INDEX(Source_GM_code_CBS!$B:$B,MATCH($A496,Source_GM_code_CBS!$C:$C,0))</f>
        <v>GM0281</v>
      </c>
      <c r="C496">
        <f>Source_wegvoertuigen_CBS!C500</f>
        <v>24699</v>
      </c>
      <c r="D496">
        <f>Source_wegvoertuigen_CBS!D500</f>
        <v>2874</v>
      </c>
      <c r="E496">
        <f>Source_wegvoertuigen_CBS!E500</f>
        <v>220</v>
      </c>
      <c r="F496">
        <f>Source_wegvoertuigen_CBS!F500</f>
        <v>16</v>
      </c>
    </row>
    <row r="497" spans="1:6" x14ac:dyDescent="0.2">
      <c r="A497" t="str">
        <f>Source_wegvoertuigen_CBS!A501</f>
        <v>Tilburg</v>
      </c>
      <c r="B497" t="str">
        <f>INDEX(Source_GM_code_CBS!$B:$B,MATCH($A497,Source_GM_code_CBS!$C:$C,0))</f>
        <v>GM0855</v>
      </c>
      <c r="C497">
        <f>Source_wegvoertuigen_CBS!C501</f>
        <v>122310</v>
      </c>
      <c r="D497">
        <f>Source_wegvoertuigen_CBS!D501</f>
        <v>13072</v>
      </c>
      <c r="E497">
        <f>Source_wegvoertuigen_CBS!E501</f>
        <v>777</v>
      </c>
      <c r="F497">
        <f>Source_wegvoertuigen_CBS!F501</f>
        <v>41</v>
      </c>
    </row>
    <row r="498" spans="1:6" x14ac:dyDescent="0.2">
      <c r="A498" t="str">
        <f>Source_wegvoertuigen_CBS!A502</f>
        <v>Tubbergen</v>
      </c>
      <c r="B498" t="str">
        <f>INDEX(Source_GM_code_CBS!$B:$B,MATCH($A498,Source_GM_code_CBS!$C:$C,0))</f>
        <v>GM0183</v>
      </c>
      <c r="C498">
        <f>Source_wegvoertuigen_CBS!C502</f>
        <v>13166</v>
      </c>
      <c r="D498">
        <f>Source_wegvoertuigen_CBS!D502</f>
        <v>2733</v>
      </c>
      <c r="E498">
        <f>Source_wegvoertuigen_CBS!E502</f>
        <v>137</v>
      </c>
      <c r="F498">
        <f>Source_wegvoertuigen_CBS!F502</f>
        <v>23</v>
      </c>
    </row>
    <row r="499" spans="1:6" x14ac:dyDescent="0.2">
      <c r="A499" t="str">
        <f>Source_wegvoertuigen_CBS!A503</f>
        <v>Twenterand</v>
      </c>
      <c r="B499" t="str">
        <f>INDEX(Source_GM_code_CBS!$B:$B,MATCH($A499,Source_GM_code_CBS!$C:$C,0))</f>
        <v>GM1700</v>
      </c>
      <c r="C499">
        <f>Source_wegvoertuigen_CBS!C503</f>
        <v>18736</v>
      </c>
      <c r="D499">
        <f>Source_wegvoertuigen_CBS!D503</f>
        <v>2728</v>
      </c>
      <c r="E499">
        <f>Source_wegvoertuigen_CBS!E503</f>
        <v>206</v>
      </c>
      <c r="F499">
        <f>Source_wegvoertuigen_CBS!F503</f>
        <v>8</v>
      </c>
    </row>
    <row r="500" spans="1:6" x14ac:dyDescent="0.2">
      <c r="A500" t="str">
        <f>Source_wegvoertuigen_CBS!A504</f>
        <v>Tynaarlo</v>
      </c>
      <c r="B500" t="str">
        <f>INDEX(Source_GM_code_CBS!$B:$B,MATCH($A500,Source_GM_code_CBS!$C:$C,0))</f>
        <v>GM1730</v>
      </c>
      <c r="C500">
        <f>Source_wegvoertuigen_CBS!C504</f>
        <v>24440</v>
      </c>
      <c r="D500">
        <f>Source_wegvoertuigen_CBS!D504</f>
        <v>2140</v>
      </c>
      <c r="E500">
        <f>Source_wegvoertuigen_CBS!E504</f>
        <v>80</v>
      </c>
      <c r="F500">
        <f>Source_wegvoertuigen_CBS!F504</f>
        <v>0</v>
      </c>
    </row>
    <row r="501" spans="1:6" x14ac:dyDescent="0.2">
      <c r="A501" t="str">
        <f>Source_wegvoertuigen_CBS!A505</f>
        <v>Tytsjerksteradiel</v>
      </c>
      <c r="B501" t="str">
        <f>INDEX(Source_GM_code_CBS!$B:$B,MATCH($A501,Source_GM_code_CBS!$C:$C,0))</f>
        <v>GM0737</v>
      </c>
      <c r="C501">
        <f>Source_wegvoertuigen_CBS!C505</f>
        <v>17785</v>
      </c>
      <c r="D501">
        <f>Source_wegvoertuigen_CBS!D505</f>
        <v>2344</v>
      </c>
      <c r="E501">
        <f>Source_wegvoertuigen_CBS!E505</f>
        <v>166</v>
      </c>
      <c r="F501">
        <f>Source_wegvoertuigen_CBS!F505</f>
        <v>3</v>
      </c>
    </row>
    <row r="502" spans="1:6" x14ac:dyDescent="0.2">
      <c r="A502" t="str">
        <f>Source_wegvoertuigen_CBS!A506</f>
        <v>Ubbergen</v>
      </c>
      <c r="B502" t="e">
        <f>INDEX(Source_GM_code_CBS!$B:$B,MATCH($A502,Source_GM_code_CBS!$C:$C,0))</f>
        <v>#N/A</v>
      </c>
      <c r="C502">
        <f>Source_wegvoertuigen_CBS!C506</f>
        <v>0</v>
      </c>
      <c r="D502">
        <f>Source_wegvoertuigen_CBS!D506</f>
        <v>0</v>
      </c>
      <c r="E502">
        <f>Source_wegvoertuigen_CBS!E506</f>
        <v>0</v>
      </c>
      <c r="F502">
        <f>Source_wegvoertuigen_CBS!F506</f>
        <v>0</v>
      </c>
    </row>
    <row r="503" spans="1:6" x14ac:dyDescent="0.2">
      <c r="A503" t="str">
        <f>Source_wegvoertuigen_CBS!A507</f>
        <v>Uden</v>
      </c>
      <c r="B503" t="e">
        <f>INDEX(Source_GM_code_CBS!$B:$B,MATCH($A503,Source_GM_code_CBS!$C:$C,0))</f>
        <v>#N/A</v>
      </c>
      <c r="C503">
        <f>Source_wegvoertuigen_CBS!C507</f>
        <v>0</v>
      </c>
      <c r="D503">
        <f>Source_wegvoertuigen_CBS!D507</f>
        <v>0</v>
      </c>
      <c r="E503">
        <f>Source_wegvoertuigen_CBS!E507</f>
        <v>0</v>
      </c>
      <c r="F503">
        <f>Source_wegvoertuigen_CBS!F507</f>
        <v>0</v>
      </c>
    </row>
    <row r="504" spans="1:6" x14ac:dyDescent="0.2">
      <c r="A504" t="str">
        <f>Source_wegvoertuigen_CBS!A508</f>
        <v>Uitgeest</v>
      </c>
      <c r="B504" t="str">
        <f>INDEX(Source_GM_code_CBS!$B:$B,MATCH($A504,Source_GM_code_CBS!$C:$C,0))</f>
        <v>GM0450</v>
      </c>
      <c r="C504">
        <f>Source_wegvoertuigen_CBS!C508</f>
        <v>6732</v>
      </c>
      <c r="D504">
        <f>Source_wegvoertuigen_CBS!D508</f>
        <v>811</v>
      </c>
      <c r="E504">
        <f>Source_wegvoertuigen_CBS!E508</f>
        <v>32</v>
      </c>
      <c r="F504">
        <f>Source_wegvoertuigen_CBS!F508</f>
        <v>1</v>
      </c>
    </row>
    <row r="505" spans="1:6" x14ac:dyDescent="0.2">
      <c r="A505" t="str">
        <f>Source_wegvoertuigen_CBS!A509</f>
        <v>Uithoorn</v>
      </c>
      <c r="B505" t="str">
        <f>INDEX(Source_GM_code_CBS!$B:$B,MATCH($A505,Source_GM_code_CBS!$C:$C,0))</f>
        <v>GM0451</v>
      </c>
      <c r="C505">
        <f>Source_wegvoertuigen_CBS!C509</f>
        <v>15911</v>
      </c>
      <c r="D505">
        <f>Source_wegvoertuigen_CBS!D509</f>
        <v>1372</v>
      </c>
      <c r="E505">
        <f>Source_wegvoertuigen_CBS!E509</f>
        <v>109</v>
      </c>
      <c r="F505">
        <f>Source_wegvoertuigen_CBS!F509</f>
        <v>1</v>
      </c>
    </row>
    <row r="506" spans="1:6" x14ac:dyDescent="0.2">
      <c r="A506" t="str">
        <f>Source_wegvoertuigen_CBS!A510</f>
        <v>Urk</v>
      </c>
      <c r="B506" t="str">
        <f>INDEX(Source_GM_code_CBS!$B:$B,MATCH($A506,Source_GM_code_CBS!$C:$C,0))</f>
        <v>GM0184</v>
      </c>
      <c r="C506">
        <f>Source_wegvoertuigen_CBS!C510</f>
        <v>7875</v>
      </c>
      <c r="D506">
        <f>Source_wegvoertuigen_CBS!D510</f>
        <v>1427</v>
      </c>
      <c r="E506">
        <f>Source_wegvoertuigen_CBS!E510</f>
        <v>59</v>
      </c>
      <c r="F506">
        <f>Source_wegvoertuigen_CBS!F510</f>
        <v>2</v>
      </c>
    </row>
    <row r="507" spans="1:6" x14ac:dyDescent="0.2">
      <c r="A507" s="5" t="s">
        <v>120</v>
      </c>
      <c r="B507" t="str">
        <f>INDEX(Source_GM_code_CBS!$B:$B,MATCH($A507,Source_GM_code_CBS!$C:$C,0))</f>
        <v>GM0344</v>
      </c>
      <c r="C507">
        <f>Source_wegvoertuigen_CBS!C511</f>
        <v>135664</v>
      </c>
      <c r="D507">
        <f>Source_wegvoertuigen_CBS!D511</f>
        <v>16260</v>
      </c>
      <c r="E507">
        <f>Source_wegvoertuigen_CBS!E511</f>
        <v>1250</v>
      </c>
      <c r="F507">
        <f>Source_wegvoertuigen_CBS!F511</f>
        <v>72</v>
      </c>
    </row>
    <row r="508" spans="1:6" x14ac:dyDescent="0.2">
      <c r="A508" t="str">
        <f>Source_wegvoertuigen_CBS!A512</f>
        <v>Utrechtse Heuvelrug</v>
      </c>
      <c r="B508" t="str">
        <f>INDEX(Source_GM_code_CBS!$B:$B,MATCH($A508,Source_GM_code_CBS!$C:$C,0))</f>
        <v>GM1581</v>
      </c>
      <c r="C508">
        <f>Source_wegvoertuigen_CBS!C512</f>
        <v>26201</v>
      </c>
      <c r="D508">
        <f>Source_wegvoertuigen_CBS!D512</f>
        <v>2295</v>
      </c>
      <c r="E508">
        <f>Source_wegvoertuigen_CBS!E512</f>
        <v>109</v>
      </c>
      <c r="F508">
        <f>Source_wegvoertuigen_CBS!F512</f>
        <v>0</v>
      </c>
    </row>
    <row r="509" spans="1:6" x14ac:dyDescent="0.2">
      <c r="A509" t="str">
        <f>Source_wegvoertuigen_CBS!A513</f>
        <v>Vaals</v>
      </c>
      <c r="B509" t="str">
        <f>INDEX(Source_GM_code_CBS!$B:$B,MATCH($A509,Source_GM_code_CBS!$C:$C,0))</f>
        <v>GM0981</v>
      </c>
      <c r="C509">
        <f>Source_wegvoertuigen_CBS!C513</f>
        <v>4943</v>
      </c>
      <c r="D509">
        <f>Source_wegvoertuigen_CBS!D513</f>
        <v>289</v>
      </c>
      <c r="E509">
        <f>Source_wegvoertuigen_CBS!E513</f>
        <v>21</v>
      </c>
      <c r="F509">
        <f>Source_wegvoertuigen_CBS!F513</f>
        <v>4</v>
      </c>
    </row>
    <row r="510" spans="1:6" x14ac:dyDescent="0.2">
      <c r="A510" t="str">
        <f>Source_wegvoertuigen_CBS!A514</f>
        <v>Valburg</v>
      </c>
      <c r="B510" t="e">
        <f>INDEX(Source_GM_code_CBS!$B:$B,MATCH($A510,Source_GM_code_CBS!$C:$C,0))</f>
        <v>#N/A</v>
      </c>
      <c r="C510">
        <f>Source_wegvoertuigen_CBS!C514</f>
        <v>0</v>
      </c>
      <c r="D510">
        <f>Source_wegvoertuigen_CBS!D514</f>
        <v>0</v>
      </c>
      <c r="E510">
        <f>Source_wegvoertuigen_CBS!E514</f>
        <v>0</v>
      </c>
      <c r="F510">
        <f>Source_wegvoertuigen_CBS!F514</f>
        <v>0</v>
      </c>
    </row>
    <row r="511" spans="1:6" x14ac:dyDescent="0.2">
      <c r="A511" t="str">
        <f>Source_wegvoertuigen_CBS!A515</f>
        <v>Valkenburg (ZH.)</v>
      </c>
      <c r="B511" t="e">
        <f>INDEX(Source_GM_code_CBS!$B:$B,MATCH($A511,Source_GM_code_CBS!$C:$C,0))</f>
        <v>#N/A</v>
      </c>
      <c r="C511">
        <f>Source_wegvoertuigen_CBS!C515</f>
        <v>0</v>
      </c>
      <c r="D511">
        <f>Source_wegvoertuigen_CBS!D515</f>
        <v>0</v>
      </c>
      <c r="E511">
        <f>Source_wegvoertuigen_CBS!E515</f>
        <v>0</v>
      </c>
      <c r="F511">
        <f>Source_wegvoertuigen_CBS!F515</f>
        <v>0</v>
      </c>
    </row>
    <row r="512" spans="1:6" x14ac:dyDescent="0.2">
      <c r="A512" t="str">
        <f>Source_wegvoertuigen_CBS!A516</f>
        <v>Valkenburg aan de Geul</v>
      </c>
      <c r="B512" t="str">
        <f>INDEX(Source_GM_code_CBS!$B:$B,MATCH($A512,Source_GM_code_CBS!$C:$C,0))</f>
        <v>GM0994</v>
      </c>
      <c r="C512">
        <f>Source_wegvoertuigen_CBS!C516</f>
        <v>9224</v>
      </c>
      <c r="D512">
        <f>Source_wegvoertuigen_CBS!D516</f>
        <v>814</v>
      </c>
      <c r="E512">
        <f>Source_wegvoertuigen_CBS!E516</f>
        <v>49</v>
      </c>
      <c r="F512">
        <f>Source_wegvoertuigen_CBS!F516</f>
        <v>39</v>
      </c>
    </row>
    <row r="513" spans="1:6" x14ac:dyDescent="0.2">
      <c r="A513" t="str">
        <f>Source_wegvoertuigen_CBS!A517</f>
        <v>Valkenswaard</v>
      </c>
      <c r="B513" t="str">
        <f>INDEX(Source_GM_code_CBS!$B:$B,MATCH($A513,Source_GM_code_CBS!$C:$C,0))</f>
        <v>GM0858</v>
      </c>
      <c r="C513">
        <f>Source_wegvoertuigen_CBS!C517</f>
        <v>17582</v>
      </c>
      <c r="D513">
        <f>Source_wegvoertuigen_CBS!D517</f>
        <v>1721</v>
      </c>
      <c r="E513">
        <f>Source_wegvoertuigen_CBS!E517</f>
        <v>93</v>
      </c>
      <c r="F513">
        <f>Source_wegvoertuigen_CBS!F517</f>
        <v>12</v>
      </c>
    </row>
    <row r="514" spans="1:6" x14ac:dyDescent="0.2">
      <c r="A514" t="str">
        <f>Source_wegvoertuigen_CBS!A518</f>
        <v>Veendam</v>
      </c>
      <c r="B514" t="str">
        <f>INDEX(Source_GM_code_CBS!$B:$B,MATCH($A514,Source_GM_code_CBS!$C:$C,0))</f>
        <v>GM0047</v>
      </c>
      <c r="C514">
        <f>Source_wegvoertuigen_CBS!C518</f>
        <v>15515</v>
      </c>
      <c r="D514">
        <f>Source_wegvoertuigen_CBS!D518</f>
        <v>1539</v>
      </c>
      <c r="E514">
        <f>Source_wegvoertuigen_CBS!E518</f>
        <v>72</v>
      </c>
      <c r="F514">
        <f>Source_wegvoertuigen_CBS!F518</f>
        <v>0</v>
      </c>
    </row>
    <row r="515" spans="1:6" x14ac:dyDescent="0.2">
      <c r="A515" t="str">
        <f>Source_wegvoertuigen_CBS!A519</f>
        <v>Veenendaal</v>
      </c>
      <c r="B515" t="str">
        <f>INDEX(Source_GM_code_CBS!$B:$B,MATCH($A515,Source_GM_code_CBS!$C:$C,0))</f>
        <v>GM0345</v>
      </c>
      <c r="C515">
        <f>Source_wegvoertuigen_CBS!C519</f>
        <v>33139</v>
      </c>
      <c r="D515">
        <f>Source_wegvoertuigen_CBS!D519</f>
        <v>3232</v>
      </c>
      <c r="E515">
        <f>Source_wegvoertuigen_CBS!E519</f>
        <v>185</v>
      </c>
      <c r="F515">
        <f>Source_wegvoertuigen_CBS!F519</f>
        <v>0</v>
      </c>
    </row>
    <row r="516" spans="1:6" x14ac:dyDescent="0.2">
      <c r="A516" t="str">
        <f>Source_wegvoertuigen_CBS!A520</f>
        <v>Veere</v>
      </c>
      <c r="B516" t="str">
        <f>INDEX(Source_GM_code_CBS!$B:$B,MATCH($A516,Source_GM_code_CBS!$C:$C,0))</f>
        <v>GM0717</v>
      </c>
      <c r="C516">
        <f>Source_wegvoertuigen_CBS!C520</f>
        <v>12393</v>
      </c>
      <c r="D516">
        <f>Source_wegvoertuigen_CBS!D520</f>
        <v>1862</v>
      </c>
      <c r="E516">
        <f>Source_wegvoertuigen_CBS!E520</f>
        <v>79</v>
      </c>
      <c r="F516">
        <f>Source_wegvoertuigen_CBS!F520</f>
        <v>0</v>
      </c>
    </row>
    <row r="517" spans="1:6" x14ac:dyDescent="0.2">
      <c r="A517" t="str">
        <f>Source_wegvoertuigen_CBS!A521</f>
        <v>Veghel</v>
      </c>
      <c r="B517" t="e">
        <f>INDEX(Source_GM_code_CBS!$B:$B,MATCH($A517,Source_GM_code_CBS!$C:$C,0))</f>
        <v>#N/A</v>
      </c>
      <c r="C517">
        <f>Source_wegvoertuigen_CBS!C521</f>
        <v>0</v>
      </c>
      <c r="D517">
        <f>Source_wegvoertuigen_CBS!D521</f>
        <v>0</v>
      </c>
      <c r="E517">
        <f>Source_wegvoertuigen_CBS!E521</f>
        <v>0</v>
      </c>
      <c r="F517">
        <f>Source_wegvoertuigen_CBS!F521</f>
        <v>0</v>
      </c>
    </row>
    <row r="518" spans="1:6" x14ac:dyDescent="0.2">
      <c r="A518" t="str">
        <f>Source_wegvoertuigen_CBS!A522</f>
        <v>Veldhoven</v>
      </c>
      <c r="B518" t="str">
        <f>INDEX(Source_GM_code_CBS!$B:$B,MATCH($A518,Source_GM_code_CBS!$C:$C,0))</f>
        <v>GM0861</v>
      </c>
      <c r="C518">
        <f>Source_wegvoertuigen_CBS!C522</f>
        <v>24215</v>
      </c>
      <c r="D518">
        <f>Source_wegvoertuigen_CBS!D522</f>
        <v>2256</v>
      </c>
      <c r="E518">
        <f>Source_wegvoertuigen_CBS!E522</f>
        <v>157</v>
      </c>
      <c r="F518">
        <f>Source_wegvoertuigen_CBS!F522</f>
        <v>9</v>
      </c>
    </row>
    <row r="519" spans="1:6" x14ac:dyDescent="0.2">
      <c r="A519" t="str">
        <f>Source_wegvoertuigen_CBS!A523</f>
        <v>Velsen</v>
      </c>
      <c r="B519" t="str">
        <f>INDEX(Source_GM_code_CBS!$B:$B,MATCH($A519,Source_GM_code_CBS!$C:$C,0))</f>
        <v>GM0453</v>
      </c>
      <c r="C519">
        <f>Source_wegvoertuigen_CBS!C523</f>
        <v>33524</v>
      </c>
      <c r="D519">
        <f>Source_wegvoertuigen_CBS!D523</f>
        <v>3298</v>
      </c>
      <c r="E519">
        <f>Source_wegvoertuigen_CBS!E523</f>
        <v>142</v>
      </c>
      <c r="F519">
        <f>Source_wegvoertuigen_CBS!F523</f>
        <v>7</v>
      </c>
    </row>
    <row r="520" spans="1:6" x14ac:dyDescent="0.2">
      <c r="A520" t="str">
        <f>Source_wegvoertuigen_CBS!A524</f>
        <v>Venhuizen</v>
      </c>
      <c r="B520" t="e">
        <f>INDEX(Source_GM_code_CBS!$B:$B,MATCH($A520,Source_GM_code_CBS!$C:$C,0))</f>
        <v>#N/A</v>
      </c>
      <c r="C520">
        <f>Source_wegvoertuigen_CBS!C524</f>
        <v>0</v>
      </c>
      <c r="D520">
        <f>Source_wegvoertuigen_CBS!D524</f>
        <v>0</v>
      </c>
      <c r="E520">
        <f>Source_wegvoertuigen_CBS!E524</f>
        <v>0</v>
      </c>
      <c r="F520">
        <f>Source_wegvoertuigen_CBS!F524</f>
        <v>0</v>
      </c>
    </row>
    <row r="521" spans="1:6" x14ac:dyDescent="0.2">
      <c r="A521" t="str">
        <f>Source_wegvoertuigen_CBS!A525</f>
        <v>Venlo</v>
      </c>
      <c r="B521" t="str">
        <f>INDEX(Source_GM_code_CBS!$B:$B,MATCH($A521,Source_GM_code_CBS!$C:$C,0))</f>
        <v>GM0983</v>
      </c>
      <c r="C521">
        <f>Source_wegvoertuigen_CBS!C525</f>
        <v>51000</v>
      </c>
      <c r="D521">
        <f>Source_wegvoertuigen_CBS!D525</f>
        <v>3916</v>
      </c>
      <c r="E521">
        <f>Source_wegvoertuigen_CBS!E525</f>
        <v>395</v>
      </c>
      <c r="F521">
        <f>Source_wegvoertuigen_CBS!F525</f>
        <v>48</v>
      </c>
    </row>
    <row r="522" spans="1:6" x14ac:dyDescent="0.2">
      <c r="A522" t="str">
        <f>Source_wegvoertuigen_CBS!A526</f>
        <v>Venray</v>
      </c>
      <c r="B522" t="str">
        <f>INDEX(Source_GM_code_CBS!$B:$B,MATCH($A522,Source_GM_code_CBS!$C:$C,0))</f>
        <v>GM0984</v>
      </c>
      <c r="C522">
        <f>Source_wegvoertuigen_CBS!C526</f>
        <v>24336</v>
      </c>
      <c r="D522">
        <f>Source_wegvoertuigen_CBS!D526</f>
        <v>2724</v>
      </c>
      <c r="E522">
        <f>Source_wegvoertuigen_CBS!E526</f>
        <v>178</v>
      </c>
      <c r="F522">
        <f>Source_wegvoertuigen_CBS!F526</f>
        <v>2</v>
      </c>
    </row>
    <row r="523" spans="1:6" x14ac:dyDescent="0.2">
      <c r="A523" t="str">
        <f>Source_wegvoertuigen_CBS!A527</f>
        <v>Vijfheerenlanden</v>
      </c>
      <c r="B523" t="str">
        <f>INDEX(Source_GM_code_CBS!$B:$B,MATCH($A523,Source_GM_code_CBS!$C:$C,0))</f>
        <v>GM1961</v>
      </c>
      <c r="C523">
        <f>Source_wegvoertuigen_CBS!C527</f>
        <v>33235</v>
      </c>
      <c r="D523">
        <f>Source_wegvoertuigen_CBS!D527</f>
        <v>4875</v>
      </c>
      <c r="E523">
        <f>Source_wegvoertuigen_CBS!E527</f>
        <v>541</v>
      </c>
      <c r="F523">
        <f>Source_wegvoertuigen_CBS!F527</f>
        <v>191</v>
      </c>
    </row>
    <row r="524" spans="1:6" x14ac:dyDescent="0.2">
      <c r="A524" t="str">
        <f>Source_wegvoertuigen_CBS!A528</f>
        <v>Vianen</v>
      </c>
      <c r="B524" t="e">
        <f>INDEX(Source_GM_code_CBS!$B:$B,MATCH($A524,Source_GM_code_CBS!$C:$C,0))</f>
        <v>#N/A</v>
      </c>
      <c r="C524">
        <f>Source_wegvoertuigen_CBS!C528</f>
        <v>0</v>
      </c>
      <c r="D524">
        <f>Source_wegvoertuigen_CBS!D528</f>
        <v>0</v>
      </c>
      <c r="E524">
        <f>Source_wegvoertuigen_CBS!E528</f>
        <v>0</v>
      </c>
      <c r="F524">
        <f>Source_wegvoertuigen_CBS!F528</f>
        <v>0</v>
      </c>
    </row>
    <row r="525" spans="1:6" x14ac:dyDescent="0.2">
      <c r="A525" t="str">
        <f>Source_wegvoertuigen_CBS!A529</f>
        <v>Vlaardingen</v>
      </c>
      <c r="B525" t="str">
        <f>INDEX(Source_GM_code_CBS!$B:$B,MATCH($A525,Source_GM_code_CBS!$C:$C,0))</f>
        <v>GM0622</v>
      </c>
      <c r="C525">
        <f>Source_wegvoertuigen_CBS!C529</f>
        <v>32237</v>
      </c>
      <c r="D525">
        <f>Source_wegvoertuigen_CBS!D529</f>
        <v>2878</v>
      </c>
      <c r="E525">
        <f>Source_wegvoertuigen_CBS!E529</f>
        <v>119</v>
      </c>
      <c r="F525">
        <f>Source_wegvoertuigen_CBS!F529</f>
        <v>7</v>
      </c>
    </row>
    <row r="526" spans="1:6" x14ac:dyDescent="0.2">
      <c r="A526" t="str">
        <f>Source_wegvoertuigen_CBS!A530</f>
        <v>Vlagtwedde</v>
      </c>
      <c r="B526" t="e">
        <f>INDEX(Source_GM_code_CBS!$B:$B,MATCH($A526,Source_GM_code_CBS!$C:$C,0))</f>
        <v>#N/A</v>
      </c>
      <c r="C526">
        <f>Source_wegvoertuigen_CBS!C530</f>
        <v>0</v>
      </c>
      <c r="D526">
        <f>Source_wegvoertuigen_CBS!D530</f>
        <v>0</v>
      </c>
      <c r="E526">
        <f>Source_wegvoertuigen_CBS!E530</f>
        <v>0</v>
      </c>
      <c r="F526">
        <f>Source_wegvoertuigen_CBS!F530</f>
        <v>0</v>
      </c>
    </row>
    <row r="527" spans="1:6" x14ac:dyDescent="0.2">
      <c r="A527" t="str">
        <f>Source_wegvoertuigen_CBS!A531</f>
        <v>Vleuten-De Meern</v>
      </c>
      <c r="B527" t="e">
        <f>INDEX(Source_GM_code_CBS!$B:$B,MATCH($A527,Source_GM_code_CBS!$C:$C,0))</f>
        <v>#N/A</v>
      </c>
      <c r="C527">
        <f>Source_wegvoertuigen_CBS!C531</f>
        <v>0</v>
      </c>
      <c r="D527">
        <f>Source_wegvoertuigen_CBS!D531</f>
        <v>0</v>
      </c>
      <c r="E527">
        <f>Source_wegvoertuigen_CBS!E531</f>
        <v>0</v>
      </c>
      <c r="F527">
        <f>Source_wegvoertuigen_CBS!F531</f>
        <v>0</v>
      </c>
    </row>
    <row r="528" spans="1:6" x14ac:dyDescent="0.2">
      <c r="A528" t="str">
        <f>Source_wegvoertuigen_CBS!A532</f>
        <v>Vlieland</v>
      </c>
      <c r="B528" t="str">
        <f>INDEX(Source_GM_code_CBS!$B:$B,MATCH($A528,Source_GM_code_CBS!$C:$C,0))</f>
        <v>GM0096</v>
      </c>
      <c r="C528">
        <f>Source_wegvoertuigen_CBS!C532</f>
        <v>482</v>
      </c>
      <c r="D528">
        <f>Source_wegvoertuigen_CBS!D532</f>
        <v>140</v>
      </c>
      <c r="E528">
        <f>Source_wegvoertuigen_CBS!E532</f>
        <v>11</v>
      </c>
      <c r="F528">
        <f>Source_wegvoertuigen_CBS!F532</f>
        <v>0</v>
      </c>
    </row>
    <row r="529" spans="1:6" x14ac:dyDescent="0.2">
      <c r="A529" t="str">
        <f>Source_wegvoertuigen_CBS!A533</f>
        <v>Vlissingen</v>
      </c>
      <c r="B529" t="str">
        <f>INDEX(Source_GM_code_CBS!$B:$B,MATCH($A529,Source_GM_code_CBS!$C:$C,0))</f>
        <v>GM0718</v>
      </c>
      <c r="C529">
        <f>Source_wegvoertuigen_CBS!C533</f>
        <v>21619</v>
      </c>
      <c r="D529">
        <f>Source_wegvoertuigen_CBS!D533</f>
        <v>1617</v>
      </c>
      <c r="E529">
        <f>Source_wegvoertuigen_CBS!E533</f>
        <v>75</v>
      </c>
      <c r="F529">
        <f>Source_wegvoertuigen_CBS!F533</f>
        <v>2</v>
      </c>
    </row>
    <row r="530" spans="1:6" x14ac:dyDescent="0.2">
      <c r="A530" t="str">
        <f>Source_wegvoertuigen_CBS!A534</f>
        <v>Vlist</v>
      </c>
      <c r="B530" t="e">
        <f>INDEX(Source_GM_code_CBS!$B:$B,MATCH($A530,Source_GM_code_CBS!$C:$C,0))</f>
        <v>#N/A</v>
      </c>
      <c r="C530">
        <f>Source_wegvoertuigen_CBS!C534</f>
        <v>0</v>
      </c>
      <c r="D530">
        <f>Source_wegvoertuigen_CBS!D534</f>
        <v>0</v>
      </c>
      <c r="E530">
        <f>Source_wegvoertuigen_CBS!E534</f>
        <v>0</v>
      </c>
      <c r="F530">
        <f>Source_wegvoertuigen_CBS!F534</f>
        <v>0</v>
      </c>
    </row>
    <row r="531" spans="1:6" x14ac:dyDescent="0.2">
      <c r="A531" t="str">
        <f>Source_wegvoertuigen_CBS!A535</f>
        <v>Voerendaal</v>
      </c>
      <c r="B531" t="str">
        <f>INDEX(Source_GM_code_CBS!$B:$B,MATCH($A531,Source_GM_code_CBS!$C:$C,0))</f>
        <v>GM0986</v>
      </c>
      <c r="C531">
        <f>Source_wegvoertuigen_CBS!C535</f>
        <v>7447</v>
      </c>
      <c r="D531">
        <f>Source_wegvoertuigen_CBS!D535</f>
        <v>649</v>
      </c>
      <c r="E531">
        <f>Source_wegvoertuigen_CBS!E535</f>
        <v>31</v>
      </c>
      <c r="F531">
        <f>Source_wegvoertuigen_CBS!F535</f>
        <v>1</v>
      </c>
    </row>
    <row r="532" spans="1:6" x14ac:dyDescent="0.2">
      <c r="A532" t="str">
        <f>Source_wegvoertuigen_CBS!A536</f>
        <v>Voorburg</v>
      </c>
      <c r="B532" t="e">
        <f>INDEX(Source_GM_code_CBS!$B:$B,MATCH($A532,Source_GM_code_CBS!$C:$C,0))</f>
        <v>#N/A</v>
      </c>
      <c r="C532">
        <f>Source_wegvoertuigen_CBS!C536</f>
        <v>0</v>
      </c>
      <c r="D532">
        <f>Source_wegvoertuigen_CBS!D536</f>
        <v>0</v>
      </c>
      <c r="E532">
        <f>Source_wegvoertuigen_CBS!E536</f>
        <v>0</v>
      </c>
      <c r="F532">
        <f>Source_wegvoertuigen_CBS!F536</f>
        <v>0</v>
      </c>
    </row>
    <row r="533" spans="1:6" x14ac:dyDescent="0.2">
      <c r="A533" t="str">
        <f>Source_wegvoertuigen_CBS!A537</f>
        <v>Voorhout</v>
      </c>
      <c r="B533" t="e">
        <f>INDEX(Source_GM_code_CBS!$B:$B,MATCH($A533,Source_GM_code_CBS!$C:$C,0))</f>
        <v>#N/A</v>
      </c>
      <c r="C533">
        <f>Source_wegvoertuigen_CBS!C537</f>
        <v>0</v>
      </c>
      <c r="D533">
        <f>Source_wegvoertuigen_CBS!D537</f>
        <v>0</v>
      </c>
      <c r="E533">
        <f>Source_wegvoertuigen_CBS!E537</f>
        <v>0</v>
      </c>
      <c r="F533">
        <f>Source_wegvoertuigen_CBS!F537</f>
        <v>0</v>
      </c>
    </row>
    <row r="534" spans="1:6" x14ac:dyDescent="0.2">
      <c r="A534" t="str">
        <f>Source_wegvoertuigen_CBS!A538</f>
        <v>Voorschoten</v>
      </c>
      <c r="B534" t="str">
        <f>INDEX(Source_GM_code_CBS!$B:$B,MATCH($A534,Source_GM_code_CBS!$C:$C,0))</f>
        <v>GM0626</v>
      </c>
      <c r="C534">
        <f>Source_wegvoertuigen_CBS!C538</f>
        <v>11695</v>
      </c>
      <c r="D534">
        <f>Source_wegvoertuigen_CBS!D538</f>
        <v>724</v>
      </c>
      <c r="E534">
        <f>Source_wegvoertuigen_CBS!E538</f>
        <v>43</v>
      </c>
      <c r="F534">
        <f>Source_wegvoertuigen_CBS!F538</f>
        <v>0</v>
      </c>
    </row>
    <row r="535" spans="1:6" x14ac:dyDescent="0.2">
      <c r="A535" t="str">
        <f>Source_wegvoertuigen_CBS!A539</f>
        <v>Voorst</v>
      </c>
      <c r="B535" t="str">
        <f>INDEX(Source_GM_code_CBS!$B:$B,MATCH($A535,Source_GM_code_CBS!$C:$C,0))</f>
        <v>GM0285</v>
      </c>
      <c r="C535">
        <f>Source_wegvoertuigen_CBS!C539</f>
        <v>13585</v>
      </c>
      <c r="D535">
        <f>Source_wegvoertuigen_CBS!D539</f>
        <v>1648</v>
      </c>
      <c r="E535">
        <f>Source_wegvoertuigen_CBS!E539</f>
        <v>149</v>
      </c>
      <c r="F535">
        <f>Source_wegvoertuigen_CBS!F539</f>
        <v>0</v>
      </c>
    </row>
    <row r="536" spans="1:6" x14ac:dyDescent="0.2">
      <c r="A536" t="str">
        <f>Source_wegvoertuigen_CBS!A540</f>
        <v>Vorden</v>
      </c>
      <c r="B536" t="e">
        <f>INDEX(Source_GM_code_CBS!$B:$B,MATCH($A536,Source_GM_code_CBS!$C:$C,0))</f>
        <v>#N/A</v>
      </c>
      <c r="C536">
        <f>Source_wegvoertuigen_CBS!C540</f>
        <v>0</v>
      </c>
      <c r="D536">
        <f>Source_wegvoertuigen_CBS!D540</f>
        <v>0</v>
      </c>
      <c r="E536">
        <f>Source_wegvoertuigen_CBS!E540</f>
        <v>0</v>
      </c>
      <c r="F536">
        <f>Source_wegvoertuigen_CBS!F540</f>
        <v>0</v>
      </c>
    </row>
    <row r="537" spans="1:6" x14ac:dyDescent="0.2">
      <c r="A537" t="str">
        <f>Source_wegvoertuigen_CBS!A541</f>
        <v>Vriezenveen</v>
      </c>
      <c r="B537" t="e">
        <f>INDEX(Source_GM_code_CBS!$B:$B,MATCH($A537,Source_GM_code_CBS!$C:$C,0))</f>
        <v>#N/A</v>
      </c>
      <c r="C537">
        <f>Source_wegvoertuigen_CBS!C541</f>
        <v>0</v>
      </c>
      <c r="D537">
        <f>Source_wegvoertuigen_CBS!D541</f>
        <v>0</v>
      </c>
      <c r="E537">
        <f>Source_wegvoertuigen_CBS!E541</f>
        <v>0</v>
      </c>
      <c r="F537">
        <f>Source_wegvoertuigen_CBS!F541</f>
        <v>0</v>
      </c>
    </row>
    <row r="538" spans="1:6" x14ac:dyDescent="0.2">
      <c r="A538" t="str">
        <f>Source_wegvoertuigen_CBS!A542</f>
        <v>Vught</v>
      </c>
      <c r="B538" t="str">
        <f>INDEX(Source_GM_code_CBS!$B:$B,MATCH($A538,Source_GM_code_CBS!$C:$C,0))</f>
        <v>GM0865</v>
      </c>
      <c r="C538">
        <f>Source_wegvoertuigen_CBS!C542</f>
        <v>16286</v>
      </c>
      <c r="D538">
        <f>Source_wegvoertuigen_CBS!D542</f>
        <v>1370</v>
      </c>
      <c r="E538">
        <f>Source_wegvoertuigen_CBS!E542</f>
        <v>102</v>
      </c>
      <c r="F538">
        <f>Source_wegvoertuigen_CBS!F542</f>
        <v>3</v>
      </c>
    </row>
    <row r="539" spans="1:6" x14ac:dyDescent="0.2">
      <c r="A539" t="str">
        <f>Source_wegvoertuigen_CBS!A543</f>
        <v>Waadhoeke</v>
      </c>
      <c r="B539" t="str">
        <f>INDEX(Source_GM_code_CBS!$B:$B,MATCH($A539,Source_GM_code_CBS!$C:$C,0))</f>
        <v>GM1949</v>
      </c>
      <c r="C539">
        <f>Source_wegvoertuigen_CBS!C543</f>
        <v>25114</v>
      </c>
      <c r="D539">
        <f>Source_wegvoertuigen_CBS!D543</f>
        <v>3729</v>
      </c>
      <c r="E539">
        <f>Source_wegvoertuigen_CBS!E543</f>
        <v>217</v>
      </c>
      <c r="F539">
        <f>Source_wegvoertuigen_CBS!F543</f>
        <v>10</v>
      </c>
    </row>
    <row r="540" spans="1:6" x14ac:dyDescent="0.2">
      <c r="A540" t="str">
        <f>Source_wegvoertuigen_CBS!A544</f>
        <v>Waalre</v>
      </c>
      <c r="B540" t="str">
        <f>INDEX(Source_GM_code_CBS!$B:$B,MATCH($A540,Source_GM_code_CBS!$C:$C,0))</f>
        <v>GM0866</v>
      </c>
      <c r="C540">
        <f>Source_wegvoertuigen_CBS!C544</f>
        <v>9708</v>
      </c>
      <c r="D540">
        <f>Source_wegvoertuigen_CBS!D544</f>
        <v>548</v>
      </c>
      <c r="E540">
        <f>Source_wegvoertuigen_CBS!E544</f>
        <v>21</v>
      </c>
      <c r="F540">
        <f>Source_wegvoertuigen_CBS!F544</f>
        <v>1</v>
      </c>
    </row>
    <row r="541" spans="1:6" x14ac:dyDescent="0.2">
      <c r="A541" t="str">
        <f>Source_wegvoertuigen_CBS!A545</f>
        <v>Waalwijk</v>
      </c>
      <c r="B541" t="str">
        <f>INDEX(Source_GM_code_CBS!$B:$B,MATCH($A541,Source_GM_code_CBS!$C:$C,0))</f>
        <v>GM0867</v>
      </c>
      <c r="C541">
        <f>Source_wegvoertuigen_CBS!C545</f>
        <v>27607</v>
      </c>
      <c r="D541">
        <f>Source_wegvoertuigen_CBS!D545</f>
        <v>3049</v>
      </c>
      <c r="E541">
        <f>Source_wegvoertuigen_CBS!E545</f>
        <v>244</v>
      </c>
      <c r="F541">
        <f>Source_wegvoertuigen_CBS!F545</f>
        <v>0</v>
      </c>
    </row>
    <row r="542" spans="1:6" x14ac:dyDescent="0.2">
      <c r="A542" t="str">
        <f>Source_wegvoertuigen_CBS!A546</f>
        <v>Waddinxveen</v>
      </c>
      <c r="B542" t="str">
        <f>INDEX(Source_GM_code_CBS!$B:$B,MATCH($A542,Source_GM_code_CBS!$C:$C,0))</f>
        <v>GM0627</v>
      </c>
      <c r="C542">
        <f>Source_wegvoertuigen_CBS!C546</f>
        <v>15867</v>
      </c>
      <c r="D542">
        <f>Source_wegvoertuigen_CBS!D546</f>
        <v>1670</v>
      </c>
      <c r="E542">
        <f>Source_wegvoertuigen_CBS!E546</f>
        <v>102</v>
      </c>
      <c r="F542">
        <f>Source_wegvoertuigen_CBS!F546</f>
        <v>24</v>
      </c>
    </row>
    <row r="543" spans="1:6" x14ac:dyDescent="0.2">
      <c r="A543" t="str">
        <f>Source_wegvoertuigen_CBS!A547</f>
        <v>Wageningen</v>
      </c>
      <c r="B543" t="str">
        <f>INDEX(Source_GM_code_CBS!$B:$B,MATCH($A543,Source_GM_code_CBS!$C:$C,0))</f>
        <v>GM0289</v>
      </c>
      <c r="C543">
        <f>Source_wegvoertuigen_CBS!C547</f>
        <v>14110</v>
      </c>
      <c r="D543">
        <f>Source_wegvoertuigen_CBS!D547</f>
        <v>960</v>
      </c>
      <c r="E543">
        <f>Source_wegvoertuigen_CBS!E547</f>
        <v>44</v>
      </c>
      <c r="F543">
        <f>Source_wegvoertuigen_CBS!F547</f>
        <v>0</v>
      </c>
    </row>
    <row r="544" spans="1:6" x14ac:dyDescent="0.2">
      <c r="A544" t="str">
        <f>Source_wegvoertuigen_CBS!A548</f>
        <v>Warmond</v>
      </c>
      <c r="B544" t="e">
        <f>INDEX(Source_GM_code_CBS!$B:$B,MATCH($A544,Source_GM_code_CBS!$C:$C,0))</f>
        <v>#N/A</v>
      </c>
      <c r="C544">
        <f>Source_wegvoertuigen_CBS!C548</f>
        <v>0</v>
      </c>
      <c r="D544">
        <f>Source_wegvoertuigen_CBS!D548</f>
        <v>0</v>
      </c>
      <c r="E544">
        <f>Source_wegvoertuigen_CBS!E548</f>
        <v>0</v>
      </c>
      <c r="F544">
        <f>Source_wegvoertuigen_CBS!F548</f>
        <v>0</v>
      </c>
    </row>
    <row r="545" spans="1:6" x14ac:dyDescent="0.2">
      <c r="A545" t="str">
        <f>Source_wegvoertuigen_CBS!A549</f>
        <v>Warnsveld</v>
      </c>
      <c r="B545" t="e">
        <f>INDEX(Source_GM_code_CBS!$B:$B,MATCH($A545,Source_GM_code_CBS!$C:$C,0))</f>
        <v>#N/A</v>
      </c>
      <c r="C545">
        <f>Source_wegvoertuigen_CBS!C549</f>
        <v>0</v>
      </c>
      <c r="D545">
        <f>Source_wegvoertuigen_CBS!D549</f>
        <v>0</v>
      </c>
      <c r="E545">
        <f>Source_wegvoertuigen_CBS!E549</f>
        <v>0</v>
      </c>
      <c r="F545">
        <f>Source_wegvoertuigen_CBS!F549</f>
        <v>0</v>
      </c>
    </row>
    <row r="546" spans="1:6" x14ac:dyDescent="0.2">
      <c r="A546" t="str">
        <f>Source_wegvoertuigen_CBS!A550</f>
        <v>Wassenaar</v>
      </c>
      <c r="B546" t="str">
        <f>INDEX(Source_GM_code_CBS!$B:$B,MATCH($A546,Source_GM_code_CBS!$C:$C,0))</f>
        <v>GM0629</v>
      </c>
      <c r="C546">
        <f>Source_wegvoertuigen_CBS!C550</f>
        <v>13870</v>
      </c>
      <c r="D546">
        <f>Source_wegvoertuigen_CBS!D550</f>
        <v>856</v>
      </c>
      <c r="E546">
        <f>Source_wegvoertuigen_CBS!E550</f>
        <v>71</v>
      </c>
      <c r="F546">
        <f>Source_wegvoertuigen_CBS!F550</f>
        <v>0</v>
      </c>
    </row>
    <row r="547" spans="1:6" x14ac:dyDescent="0.2">
      <c r="A547" t="str">
        <f>Source_wegvoertuigen_CBS!A551</f>
        <v>Wateringen</v>
      </c>
      <c r="B547" t="e">
        <f>INDEX(Source_GM_code_CBS!$B:$B,MATCH($A547,Source_GM_code_CBS!$C:$C,0))</f>
        <v>#N/A</v>
      </c>
      <c r="C547">
        <f>Source_wegvoertuigen_CBS!C551</f>
        <v>0</v>
      </c>
      <c r="D547">
        <f>Source_wegvoertuigen_CBS!D551</f>
        <v>0</v>
      </c>
      <c r="E547">
        <f>Source_wegvoertuigen_CBS!E551</f>
        <v>0</v>
      </c>
      <c r="F547">
        <f>Source_wegvoertuigen_CBS!F551</f>
        <v>0</v>
      </c>
    </row>
    <row r="548" spans="1:6" x14ac:dyDescent="0.2">
      <c r="A548" t="str">
        <f>Source_wegvoertuigen_CBS!A552</f>
        <v>Waterland</v>
      </c>
      <c r="B548" t="str">
        <f>INDEX(Source_GM_code_CBS!$B:$B,MATCH($A548,Source_GM_code_CBS!$C:$C,0))</f>
        <v>GM0852</v>
      </c>
      <c r="C548">
        <f>Source_wegvoertuigen_CBS!C552</f>
        <v>8289</v>
      </c>
      <c r="D548">
        <f>Source_wegvoertuigen_CBS!D552</f>
        <v>865</v>
      </c>
      <c r="E548">
        <f>Source_wegvoertuigen_CBS!E552</f>
        <v>47</v>
      </c>
      <c r="F548">
        <f>Source_wegvoertuigen_CBS!F552</f>
        <v>0</v>
      </c>
    </row>
    <row r="549" spans="1:6" x14ac:dyDescent="0.2">
      <c r="A549" t="str">
        <f>Source_wegvoertuigen_CBS!A553</f>
        <v>Weerselo</v>
      </c>
      <c r="B549" t="e">
        <f>INDEX(Source_GM_code_CBS!$B:$B,MATCH($A549,Source_GM_code_CBS!$C:$C,0))</f>
        <v>#N/A</v>
      </c>
      <c r="C549">
        <f>Source_wegvoertuigen_CBS!C553</f>
        <v>0</v>
      </c>
      <c r="D549">
        <f>Source_wegvoertuigen_CBS!D553</f>
        <v>0</v>
      </c>
      <c r="E549">
        <f>Source_wegvoertuigen_CBS!E553</f>
        <v>0</v>
      </c>
      <c r="F549">
        <f>Source_wegvoertuigen_CBS!F553</f>
        <v>0</v>
      </c>
    </row>
    <row r="550" spans="1:6" x14ac:dyDescent="0.2">
      <c r="A550" t="str">
        <f>Source_wegvoertuigen_CBS!A554</f>
        <v>Weert</v>
      </c>
      <c r="B550" t="str">
        <f>INDEX(Source_GM_code_CBS!$B:$B,MATCH($A550,Source_GM_code_CBS!$C:$C,0))</f>
        <v>GM0988</v>
      </c>
      <c r="C550">
        <f>Source_wegvoertuigen_CBS!C554</f>
        <v>26277</v>
      </c>
      <c r="D550">
        <f>Source_wegvoertuigen_CBS!D554</f>
        <v>2492</v>
      </c>
      <c r="E550">
        <f>Source_wegvoertuigen_CBS!E554</f>
        <v>201</v>
      </c>
      <c r="F550">
        <f>Source_wegvoertuigen_CBS!F554</f>
        <v>75</v>
      </c>
    </row>
    <row r="551" spans="1:6" x14ac:dyDescent="0.2">
      <c r="A551" t="str">
        <f>Source_wegvoertuigen_CBS!A555</f>
        <v>Weesp</v>
      </c>
      <c r="B551" t="e">
        <f>INDEX(Source_GM_code_CBS!$B:$B,MATCH($A551,Source_GM_code_CBS!$C:$C,0))</f>
        <v>#N/A</v>
      </c>
      <c r="C551">
        <f>Source_wegvoertuigen_CBS!C555</f>
        <v>8801</v>
      </c>
      <c r="D551">
        <f>Source_wegvoertuigen_CBS!D555</f>
        <v>871</v>
      </c>
      <c r="E551">
        <f>Source_wegvoertuigen_CBS!E555</f>
        <v>68</v>
      </c>
      <c r="F551">
        <f>Source_wegvoertuigen_CBS!F555</f>
        <v>1</v>
      </c>
    </row>
    <row r="552" spans="1:6" x14ac:dyDescent="0.2">
      <c r="A552" t="str">
        <f>Source_wegvoertuigen_CBS!A556</f>
        <v>Wehl</v>
      </c>
      <c r="B552" t="e">
        <f>INDEX(Source_GM_code_CBS!$B:$B,MATCH($A552,Source_GM_code_CBS!$C:$C,0))</f>
        <v>#N/A</v>
      </c>
      <c r="C552">
        <f>Source_wegvoertuigen_CBS!C556</f>
        <v>0</v>
      </c>
      <c r="D552">
        <f>Source_wegvoertuigen_CBS!D556</f>
        <v>0</v>
      </c>
      <c r="E552">
        <f>Source_wegvoertuigen_CBS!E556</f>
        <v>0</v>
      </c>
      <c r="F552">
        <f>Source_wegvoertuigen_CBS!F556</f>
        <v>0</v>
      </c>
    </row>
    <row r="553" spans="1:6" x14ac:dyDescent="0.2">
      <c r="A553" t="str">
        <f>Source_wegvoertuigen_CBS!A557</f>
        <v>Werkendam</v>
      </c>
      <c r="B553" t="e">
        <f>INDEX(Source_GM_code_CBS!$B:$B,MATCH($A553,Source_GM_code_CBS!$C:$C,0))</f>
        <v>#N/A</v>
      </c>
      <c r="C553">
        <f>Source_wegvoertuigen_CBS!C557</f>
        <v>0</v>
      </c>
      <c r="D553">
        <f>Source_wegvoertuigen_CBS!D557</f>
        <v>0</v>
      </c>
      <c r="E553">
        <f>Source_wegvoertuigen_CBS!E557</f>
        <v>0</v>
      </c>
      <c r="F553">
        <f>Source_wegvoertuigen_CBS!F557</f>
        <v>0</v>
      </c>
    </row>
    <row r="554" spans="1:6" x14ac:dyDescent="0.2">
      <c r="A554" t="str">
        <f>Source_wegvoertuigen_CBS!A558</f>
        <v>Wervershoof</v>
      </c>
      <c r="B554" t="e">
        <f>INDEX(Source_GM_code_CBS!$B:$B,MATCH($A554,Source_GM_code_CBS!$C:$C,0))</f>
        <v>#N/A</v>
      </c>
      <c r="C554">
        <f>Source_wegvoertuigen_CBS!C558</f>
        <v>0</v>
      </c>
      <c r="D554">
        <f>Source_wegvoertuigen_CBS!D558</f>
        <v>0</v>
      </c>
      <c r="E554">
        <f>Source_wegvoertuigen_CBS!E558</f>
        <v>0</v>
      </c>
      <c r="F554">
        <f>Source_wegvoertuigen_CBS!F558</f>
        <v>0</v>
      </c>
    </row>
    <row r="555" spans="1:6" x14ac:dyDescent="0.2">
      <c r="A555" t="str">
        <f>Source_wegvoertuigen_CBS!A559</f>
        <v>West Betuwe</v>
      </c>
      <c r="B555" t="str">
        <f>INDEX(Source_GM_code_CBS!$B:$B,MATCH($A555,Source_GM_code_CBS!$C:$C,0))</f>
        <v>GM1960</v>
      </c>
      <c r="C555">
        <f>Source_wegvoertuigen_CBS!C559</f>
        <v>29803</v>
      </c>
      <c r="D555">
        <f>Source_wegvoertuigen_CBS!D559</f>
        <v>5165</v>
      </c>
      <c r="E555">
        <f>Source_wegvoertuigen_CBS!E559</f>
        <v>546</v>
      </c>
      <c r="F555">
        <f>Source_wegvoertuigen_CBS!F559</f>
        <v>14</v>
      </c>
    </row>
    <row r="556" spans="1:6" x14ac:dyDescent="0.2">
      <c r="A556" t="str">
        <f>Source_wegvoertuigen_CBS!A560</f>
        <v>West Maas en Waal</v>
      </c>
      <c r="B556" t="str">
        <f>INDEX(Source_GM_code_CBS!$B:$B,MATCH($A556,Source_GM_code_CBS!$C:$C,0))</f>
        <v>GM0668</v>
      </c>
      <c r="C556">
        <f>Source_wegvoertuigen_CBS!C560</f>
        <v>11939</v>
      </c>
      <c r="D556">
        <f>Source_wegvoertuigen_CBS!D560</f>
        <v>1769</v>
      </c>
      <c r="E556">
        <f>Source_wegvoertuigen_CBS!E560</f>
        <v>115</v>
      </c>
      <c r="F556">
        <f>Source_wegvoertuigen_CBS!F560</f>
        <v>4</v>
      </c>
    </row>
    <row r="557" spans="1:6" x14ac:dyDescent="0.2">
      <c r="A557" t="str">
        <f>Source_wegvoertuigen_CBS!A561</f>
        <v>Wester-Koggenland</v>
      </c>
      <c r="B557" t="e">
        <f>INDEX(Source_GM_code_CBS!$B:$B,MATCH($A557,Source_GM_code_CBS!$C:$C,0))</f>
        <v>#N/A</v>
      </c>
      <c r="C557">
        <f>Source_wegvoertuigen_CBS!C561</f>
        <v>0</v>
      </c>
      <c r="D557">
        <f>Source_wegvoertuigen_CBS!D561</f>
        <v>0</v>
      </c>
      <c r="E557">
        <f>Source_wegvoertuigen_CBS!E561</f>
        <v>0</v>
      </c>
      <c r="F557">
        <f>Source_wegvoertuigen_CBS!F561</f>
        <v>0</v>
      </c>
    </row>
    <row r="558" spans="1:6" x14ac:dyDescent="0.2">
      <c r="A558" t="str">
        <f>Source_wegvoertuigen_CBS!A562</f>
        <v>Westerkwartier</v>
      </c>
      <c r="B558" t="str">
        <f>INDEX(Source_GM_code_CBS!$B:$B,MATCH($A558,Source_GM_code_CBS!$C:$C,0))</f>
        <v>GM1969</v>
      </c>
      <c r="C558">
        <f>Source_wegvoertuigen_CBS!C562</f>
        <v>35948</v>
      </c>
      <c r="D558">
        <f>Source_wegvoertuigen_CBS!D562</f>
        <v>5157</v>
      </c>
      <c r="E558">
        <f>Source_wegvoertuigen_CBS!E562</f>
        <v>391</v>
      </c>
      <c r="F558">
        <f>Source_wegvoertuigen_CBS!F562</f>
        <v>9</v>
      </c>
    </row>
    <row r="559" spans="1:6" x14ac:dyDescent="0.2">
      <c r="A559" t="str">
        <f>Source_wegvoertuigen_CBS!A563</f>
        <v>Westerveld</v>
      </c>
      <c r="B559" t="str">
        <f>INDEX(Source_GM_code_CBS!$B:$B,MATCH($A559,Source_GM_code_CBS!$C:$C,0))</f>
        <v>GM1701</v>
      </c>
      <c r="C559">
        <f>Source_wegvoertuigen_CBS!C563</f>
        <v>12001</v>
      </c>
      <c r="D559">
        <f>Source_wegvoertuigen_CBS!D563</f>
        <v>1730</v>
      </c>
      <c r="E559">
        <f>Source_wegvoertuigen_CBS!E563</f>
        <v>65</v>
      </c>
      <c r="F559">
        <f>Source_wegvoertuigen_CBS!F563</f>
        <v>3</v>
      </c>
    </row>
    <row r="560" spans="1:6" x14ac:dyDescent="0.2">
      <c r="A560" t="str">
        <f>Source_wegvoertuigen_CBS!A564</f>
        <v>Westervoort</v>
      </c>
      <c r="B560" t="str">
        <f>INDEX(Source_GM_code_CBS!$B:$B,MATCH($A560,Source_GM_code_CBS!$C:$C,0))</f>
        <v>GM0293</v>
      </c>
      <c r="C560">
        <f>Source_wegvoertuigen_CBS!C564</f>
        <v>7632</v>
      </c>
      <c r="D560">
        <f>Source_wegvoertuigen_CBS!D564</f>
        <v>545</v>
      </c>
      <c r="E560">
        <f>Source_wegvoertuigen_CBS!E564</f>
        <v>19</v>
      </c>
      <c r="F560">
        <f>Source_wegvoertuigen_CBS!F564</f>
        <v>0</v>
      </c>
    </row>
    <row r="561" spans="1:6" x14ac:dyDescent="0.2">
      <c r="A561" t="str">
        <f>Source_wegvoertuigen_CBS!A565</f>
        <v>Westerwolde</v>
      </c>
      <c r="B561" t="str">
        <f>INDEX(Source_GM_code_CBS!$B:$B,MATCH($A561,Source_GM_code_CBS!$C:$C,0))</f>
        <v>GM1950</v>
      </c>
      <c r="C561">
        <f>Source_wegvoertuigen_CBS!C565</f>
        <v>15515</v>
      </c>
      <c r="D561">
        <f>Source_wegvoertuigen_CBS!D565</f>
        <v>2154</v>
      </c>
      <c r="E561">
        <f>Source_wegvoertuigen_CBS!E565</f>
        <v>79</v>
      </c>
      <c r="F561">
        <f>Source_wegvoertuigen_CBS!F565</f>
        <v>12</v>
      </c>
    </row>
    <row r="562" spans="1:6" x14ac:dyDescent="0.2">
      <c r="A562" t="str">
        <f>Source_wegvoertuigen_CBS!A566</f>
        <v>Westland</v>
      </c>
      <c r="B562" t="str">
        <f>INDEX(Source_GM_code_CBS!$B:$B,MATCH($A562,Source_GM_code_CBS!$C:$C,0))</f>
        <v>GM1783</v>
      </c>
      <c r="C562">
        <f>Source_wegvoertuigen_CBS!C566</f>
        <v>58286</v>
      </c>
      <c r="D562">
        <f>Source_wegvoertuigen_CBS!D566</f>
        <v>9395</v>
      </c>
      <c r="E562">
        <f>Source_wegvoertuigen_CBS!E566</f>
        <v>1031</v>
      </c>
      <c r="F562">
        <f>Source_wegvoertuigen_CBS!F566</f>
        <v>39</v>
      </c>
    </row>
    <row r="563" spans="1:6" x14ac:dyDescent="0.2">
      <c r="A563" t="str">
        <f>Source_wegvoertuigen_CBS!A567</f>
        <v>Weststellingwerf</v>
      </c>
      <c r="B563" t="str">
        <f>INDEX(Source_GM_code_CBS!$B:$B,MATCH($A563,Source_GM_code_CBS!$C:$C,0))</f>
        <v>GM0098</v>
      </c>
      <c r="C563">
        <f>Source_wegvoertuigen_CBS!C567</f>
        <v>14856</v>
      </c>
      <c r="D563">
        <f>Source_wegvoertuigen_CBS!D567</f>
        <v>2146</v>
      </c>
      <c r="E563">
        <f>Source_wegvoertuigen_CBS!E567</f>
        <v>93</v>
      </c>
      <c r="F563">
        <f>Source_wegvoertuigen_CBS!F567</f>
        <v>24</v>
      </c>
    </row>
    <row r="564" spans="1:6" x14ac:dyDescent="0.2">
      <c r="A564" s="7" t="str">
        <f>Source_wegvoertuigen_CBS!A568</f>
        <v>Westvoorne</v>
      </c>
      <c r="B564" t="e">
        <f>INDEX(Source_GM_code_CBS!$B:$B,MATCH($A564,Source_GM_code_CBS!$C:$C,0))</f>
        <v>#N/A</v>
      </c>
      <c r="C564">
        <f>Source_wegvoertuigen_CBS!C568</f>
        <v>9237</v>
      </c>
      <c r="D564">
        <f>Source_wegvoertuigen_CBS!D568</f>
        <v>908</v>
      </c>
      <c r="E564">
        <f>Source_wegvoertuigen_CBS!E568</f>
        <v>46</v>
      </c>
      <c r="F564">
        <f>Source_wegvoertuigen_CBS!F568</f>
        <v>1</v>
      </c>
    </row>
    <row r="565" spans="1:6" x14ac:dyDescent="0.2">
      <c r="A565" t="str">
        <f>Source_wegvoertuigen_CBS!A569</f>
        <v>Wierden</v>
      </c>
      <c r="B565" t="str">
        <f>INDEX(Source_GM_code_CBS!$B:$B,MATCH($A565,Source_GM_code_CBS!$C:$C,0))</f>
        <v>GM0189</v>
      </c>
      <c r="C565">
        <f>Source_wegvoertuigen_CBS!C569</f>
        <v>19795</v>
      </c>
      <c r="D565">
        <f>Source_wegvoertuigen_CBS!D569</f>
        <v>3945</v>
      </c>
      <c r="E565">
        <f>Source_wegvoertuigen_CBS!E569</f>
        <v>98</v>
      </c>
      <c r="F565">
        <f>Source_wegvoertuigen_CBS!F569</f>
        <v>15</v>
      </c>
    </row>
    <row r="566" spans="1:6" x14ac:dyDescent="0.2">
      <c r="A566" t="str">
        <f>Source_wegvoertuigen_CBS!A570</f>
        <v>Wieringen</v>
      </c>
      <c r="B566" t="e">
        <f>INDEX(Source_GM_code_CBS!$B:$B,MATCH($A566,Source_GM_code_CBS!$C:$C,0))</f>
        <v>#N/A</v>
      </c>
      <c r="C566">
        <f>Source_wegvoertuigen_CBS!C570</f>
        <v>0</v>
      </c>
      <c r="D566">
        <f>Source_wegvoertuigen_CBS!D570</f>
        <v>0</v>
      </c>
      <c r="E566">
        <f>Source_wegvoertuigen_CBS!E570</f>
        <v>0</v>
      </c>
      <c r="F566">
        <f>Source_wegvoertuigen_CBS!F570</f>
        <v>0</v>
      </c>
    </row>
    <row r="567" spans="1:6" x14ac:dyDescent="0.2">
      <c r="A567" t="str">
        <f>Source_wegvoertuigen_CBS!A571</f>
        <v>Wieringermeer</v>
      </c>
      <c r="B567" t="e">
        <f>INDEX(Source_GM_code_CBS!$B:$B,MATCH($A567,Source_GM_code_CBS!$C:$C,0))</f>
        <v>#N/A</v>
      </c>
      <c r="C567">
        <f>Source_wegvoertuigen_CBS!C571</f>
        <v>0</v>
      </c>
      <c r="D567">
        <f>Source_wegvoertuigen_CBS!D571</f>
        <v>0</v>
      </c>
      <c r="E567">
        <f>Source_wegvoertuigen_CBS!E571</f>
        <v>0</v>
      </c>
      <c r="F567">
        <f>Source_wegvoertuigen_CBS!F571</f>
        <v>0</v>
      </c>
    </row>
    <row r="568" spans="1:6" x14ac:dyDescent="0.2">
      <c r="A568" t="str">
        <f>Source_wegvoertuigen_CBS!A572</f>
        <v>Wijchen</v>
      </c>
      <c r="B568" t="str">
        <f>INDEX(Source_GM_code_CBS!$B:$B,MATCH($A568,Source_GM_code_CBS!$C:$C,0))</f>
        <v>GM0296</v>
      </c>
      <c r="C568">
        <f>Source_wegvoertuigen_CBS!C572</f>
        <v>22302</v>
      </c>
      <c r="D568">
        <f>Source_wegvoertuigen_CBS!D572</f>
        <v>2365</v>
      </c>
      <c r="E568">
        <f>Source_wegvoertuigen_CBS!E572</f>
        <v>190</v>
      </c>
      <c r="F568">
        <f>Source_wegvoertuigen_CBS!F572</f>
        <v>1</v>
      </c>
    </row>
    <row r="569" spans="1:6" x14ac:dyDescent="0.2">
      <c r="A569" t="str">
        <f>Source_wegvoertuigen_CBS!A573</f>
        <v>Wijdemeren</v>
      </c>
      <c r="B569" t="str">
        <f>INDEX(Source_GM_code_CBS!$B:$B,MATCH($A569,Source_GM_code_CBS!$C:$C,0))</f>
        <v>GM1696</v>
      </c>
      <c r="C569">
        <f>Source_wegvoertuigen_CBS!C573</f>
        <v>14695</v>
      </c>
      <c r="D569">
        <f>Source_wegvoertuigen_CBS!D573</f>
        <v>1794</v>
      </c>
      <c r="E569">
        <f>Source_wegvoertuigen_CBS!E573</f>
        <v>155</v>
      </c>
      <c r="F569">
        <f>Source_wegvoertuigen_CBS!F573</f>
        <v>11</v>
      </c>
    </row>
    <row r="570" spans="1:6" x14ac:dyDescent="0.2">
      <c r="A570" t="str">
        <f>Source_wegvoertuigen_CBS!A574</f>
        <v>Wijhe</v>
      </c>
      <c r="B570" t="e">
        <f>INDEX(Source_GM_code_CBS!$B:$B,MATCH($A570,Source_GM_code_CBS!$C:$C,0))</f>
        <v>#N/A</v>
      </c>
      <c r="C570">
        <f>Source_wegvoertuigen_CBS!C574</f>
        <v>0</v>
      </c>
      <c r="D570">
        <f>Source_wegvoertuigen_CBS!D574</f>
        <v>0</v>
      </c>
      <c r="E570">
        <f>Source_wegvoertuigen_CBS!E574</f>
        <v>0</v>
      </c>
      <c r="F570">
        <f>Source_wegvoertuigen_CBS!F574</f>
        <v>0</v>
      </c>
    </row>
    <row r="571" spans="1:6" x14ac:dyDescent="0.2">
      <c r="A571" t="str">
        <f>Source_wegvoertuigen_CBS!A575</f>
        <v>Wijk bij Duurstede</v>
      </c>
      <c r="B571" t="str">
        <f>INDEX(Source_GM_code_CBS!$B:$B,MATCH($A571,Source_GM_code_CBS!$C:$C,0))</f>
        <v>GM0352</v>
      </c>
      <c r="C571">
        <f>Source_wegvoertuigen_CBS!C575</f>
        <v>12719</v>
      </c>
      <c r="D571">
        <f>Source_wegvoertuigen_CBS!D575</f>
        <v>1183</v>
      </c>
      <c r="E571">
        <f>Source_wegvoertuigen_CBS!E575</f>
        <v>41</v>
      </c>
      <c r="F571">
        <f>Source_wegvoertuigen_CBS!F575</f>
        <v>8</v>
      </c>
    </row>
    <row r="572" spans="1:6" x14ac:dyDescent="0.2">
      <c r="A572" t="str">
        <f>Source_wegvoertuigen_CBS!A576</f>
        <v>Winschoten</v>
      </c>
      <c r="B572" t="e">
        <f>INDEX(Source_GM_code_CBS!$B:$B,MATCH($A572,Source_GM_code_CBS!$C:$C,0))</f>
        <v>#N/A</v>
      </c>
      <c r="C572">
        <f>Source_wegvoertuigen_CBS!C576</f>
        <v>0</v>
      </c>
      <c r="D572">
        <f>Source_wegvoertuigen_CBS!D576</f>
        <v>0</v>
      </c>
      <c r="E572">
        <f>Source_wegvoertuigen_CBS!E576</f>
        <v>0</v>
      </c>
      <c r="F572">
        <f>Source_wegvoertuigen_CBS!F576</f>
        <v>0</v>
      </c>
    </row>
    <row r="573" spans="1:6" x14ac:dyDescent="0.2">
      <c r="A573" t="str">
        <f>Source_wegvoertuigen_CBS!A577</f>
        <v>Winsum</v>
      </c>
      <c r="B573" t="e">
        <f>INDEX(Source_GM_code_CBS!$B:$B,MATCH($A573,Source_GM_code_CBS!$C:$C,0))</f>
        <v>#N/A</v>
      </c>
      <c r="C573">
        <f>Source_wegvoertuigen_CBS!C577</f>
        <v>0</v>
      </c>
      <c r="D573">
        <f>Source_wegvoertuigen_CBS!D577</f>
        <v>0</v>
      </c>
      <c r="E573">
        <f>Source_wegvoertuigen_CBS!E577</f>
        <v>0</v>
      </c>
      <c r="F573">
        <f>Source_wegvoertuigen_CBS!F577</f>
        <v>0</v>
      </c>
    </row>
    <row r="574" spans="1:6" x14ac:dyDescent="0.2">
      <c r="A574" t="str">
        <f>Source_wegvoertuigen_CBS!A578</f>
        <v>Winterswijk</v>
      </c>
      <c r="B574" t="str">
        <f>INDEX(Source_GM_code_CBS!$B:$B,MATCH($A574,Source_GM_code_CBS!$C:$C,0))</f>
        <v>GM0294</v>
      </c>
      <c r="C574">
        <f>Source_wegvoertuigen_CBS!C578</f>
        <v>14943</v>
      </c>
      <c r="D574">
        <f>Source_wegvoertuigen_CBS!D578</f>
        <v>1576</v>
      </c>
      <c r="E574">
        <f>Source_wegvoertuigen_CBS!E578</f>
        <v>121</v>
      </c>
      <c r="F574">
        <f>Source_wegvoertuigen_CBS!F578</f>
        <v>10</v>
      </c>
    </row>
    <row r="575" spans="1:6" x14ac:dyDescent="0.2">
      <c r="A575" t="str">
        <f>Source_wegvoertuigen_CBS!A579</f>
        <v>Wisch</v>
      </c>
      <c r="B575" t="e">
        <f>INDEX(Source_GM_code_CBS!$B:$B,MATCH($A575,Source_GM_code_CBS!$C:$C,0))</f>
        <v>#N/A</v>
      </c>
      <c r="C575">
        <f>Source_wegvoertuigen_CBS!C579</f>
        <v>0</v>
      </c>
      <c r="D575">
        <f>Source_wegvoertuigen_CBS!D579</f>
        <v>0</v>
      </c>
      <c r="E575">
        <f>Source_wegvoertuigen_CBS!E579</f>
        <v>0</v>
      </c>
      <c r="F575">
        <f>Source_wegvoertuigen_CBS!F579</f>
        <v>0</v>
      </c>
    </row>
    <row r="576" spans="1:6" x14ac:dyDescent="0.2">
      <c r="A576" t="str">
        <f>Source_wegvoertuigen_CBS!A580</f>
        <v>Woensdrecht</v>
      </c>
      <c r="B576" t="str">
        <f>INDEX(Source_GM_code_CBS!$B:$B,MATCH($A576,Source_GM_code_CBS!$C:$C,0))</f>
        <v>GM0873</v>
      </c>
      <c r="C576">
        <f>Source_wegvoertuigen_CBS!C580</f>
        <v>12788</v>
      </c>
      <c r="D576">
        <f>Source_wegvoertuigen_CBS!D580</f>
        <v>1270</v>
      </c>
      <c r="E576">
        <f>Source_wegvoertuigen_CBS!E580</f>
        <v>54</v>
      </c>
      <c r="F576">
        <f>Source_wegvoertuigen_CBS!F580</f>
        <v>2</v>
      </c>
    </row>
    <row r="577" spans="1:6" x14ac:dyDescent="0.2">
      <c r="A577" t="str">
        <f>Source_wegvoertuigen_CBS!A581</f>
        <v>Woerden</v>
      </c>
      <c r="B577" t="str">
        <f>INDEX(Source_GM_code_CBS!$B:$B,MATCH($A577,Source_GM_code_CBS!$C:$C,0))</f>
        <v>GM0632</v>
      </c>
      <c r="C577">
        <f>Source_wegvoertuigen_CBS!C581</f>
        <v>25779</v>
      </c>
      <c r="D577">
        <f>Source_wegvoertuigen_CBS!D581</f>
        <v>3238</v>
      </c>
      <c r="E577">
        <f>Source_wegvoertuigen_CBS!E581</f>
        <v>306</v>
      </c>
      <c r="F577">
        <f>Source_wegvoertuigen_CBS!F581</f>
        <v>10</v>
      </c>
    </row>
    <row r="578" spans="1:6" x14ac:dyDescent="0.2">
      <c r="A578" t="str">
        <f>Source_wegvoertuigen_CBS!A582</f>
        <v>Wognum</v>
      </c>
      <c r="B578" t="e">
        <f>INDEX(Source_GM_code_CBS!$B:$B,MATCH($A578,Source_GM_code_CBS!$C:$C,0))</f>
        <v>#N/A</v>
      </c>
      <c r="C578">
        <f>Source_wegvoertuigen_CBS!C582</f>
        <v>0</v>
      </c>
      <c r="D578">
        <f>Source_wegvoertuigen_CBS!D582</f>
        <v>0</v>
      </c>
      <c r="E578">
        <f>Source_wegvoertuigen_CBS!E582</f>
        <v>0</v>
      </c>
      <c r="F578">
        <f>Source_wegvoertuigen_CBS!F582</f>
        <v>0</v>
      </c>
    </row>
    <row r="579" spans="1:6" x14ac:dyDescent="0.2">
      <c r="A579" t="str">
        <f>Source_wegvoertuigen_CBS!A583</f>
        <v>De Wolden</v>
      </c>
      <c r="B579" t="str">
        <f>INDEX(Source_GM_code_CBS!$B:$B,MATCH($A579,Source_GM_code_CBS!$C:$C,0))</f>
        <v>GM1690</v>
      </c>
      <c r="C579">
        <f>Source_wegvoertuigen_CBS!C583</f>
        <v>14855</v>
      </c>
      <c r="D579">
        <f>Source_wegvoertuigen_CBS!D583</f>
        <v>2239</v>
      </c>
      <c r="E579">
        <f>Source_wegvoertuigen_CBS!E583</f>
        <v>125</v>
      </c>
      <c r="F579">
        <f>Source_wegvoertuigen_CBS!F583</f>
        <v>5</v>
      </c>
    </row>
    <row r="580" spans="1:6" x14ac:dyDescent="0.2">
      <c r="A580" t="str">
        <f>Source_wegvoertuigen_CBS!A584</f>
        <v>Wormerland</v>
      </c>
      <c r="B580" t="str">
        <f>INDEX(Source_GM_code_CBS!$B:$B,MATCH($A580,Source_GM_code_CBS!$C:$C,0))</f>
        <v>GM0880</v>
      </c>
      <c r="C580">
        <f>Source_wegvoertuigen_CBS!C584</f>
        <v>8230</v>
      </c>
      <c r="D580">
        <f>Source_wegvoertuigen_CBS!D584</f>
        <v>951</v>
      </c>
      <c r="E580">
        <f>Source_wegvoertuigen_CBS!E584</f>
        <v>30</v>
      </c>
      <c r="F580">
        <f>Source_wegvoertuigen_CBS!F584</f>
        <v>1</v>
      </c>
    </row>
    <row r="581" spans="1:6" x14ac:dyDescent="0.2">
      <c r="A581" t="str">
        <f>Source_wegvoertuigen_CBS!A585</f>
        <v>Woudenberg</v>
      </c>
      <c r="B581" t="str">
        <f>INDEX(Source_GM_code_CBS!$B:$B,MATCH($A581,Source_GM_code_CBS!$C:$C,0))</f>
        <v>GM0351</v>
      </c>
      <c r="C581">
        <f>Source_wegvoertuigen_CBS!C585</f>
        <v>7079</v>
      </c>
      <c r="D581">
        <f>Source_wegvoertuigen_CBS!D585</f>
        <v>1156</v>
      </c>
      <c r="E581">
        <f>Source_wegvoertuigen_CBS!E585</f>
        <v>56</v>
      </c>
      <c r="F581">
        <f>Source_wegvoertuigen_CBS!F585</f>
        <v>7</v>
      </c>
    </row>
    <row r="582" spans="1:6" x14ac:dyDescent="0.2">
      <c r="A582" t="str">
        <f>Source_wegvoertuigen_CBS!A586</f>
        <v>Woudrichem</v>
      </c>
      <c r="B582" t="e">
        <f>INDEX(Source_GM_code_CBS!$B:$B,MATCH($A582,Source_GM_code_CBS!$C:$C,0))</f>
        <v>#N/A</v>
      </c>
      <c r="C582">
        <f>Source_wegvoertuigen_CBS!C586</f>
        <v>0</v>
      </c>
      <c r="D582">
        <f>Source_wegvoertuigen_CBS!D586</f>
        <v>0</v>
      </c>
      <c r="E582">
        <f>Source_wegvoertuigen_CBS!E586</f>
        <v>0</v>
      </c>
      <c r="F582">
        <f>Source_wegvoertuigen_CBS!F586</f>
        <v>0</v>
      </c>
    </row>
    <row r="583" spans="1:6" x14ac:dyDescent="0.2">
      <c r="A583" t="str">
        <f>Source_wegvoertuigen_CBS!A587</f>
        <v>Wûnseradiel</v>
      </c>
      <c r="B583" t="e">
        <f>INDEX(Source_GM_code_CBS!$B:$B,MATCH($A583,Source_GM_code_CBS!$C:$C,0))</f>
        <v>#N/A</v>
      </c>
      <c r="C583">
        <f>Source_wegvoertuigen_CBS!C587</f>
        <v>0</v>
      </c>
      <c r="D583">
        <f>Source_wegvoertuigen_CBS!D587</f>
        <v>0</v>
      </c>
      <c r="E583">
        <f>Source_wegvoertuigen_CBS!E587</f>
        <v>0</v>
      </c>
      <c r="F583">
        <f>Source_wegvoertuigen_CBS!F587</f>
        <v>0</v>
      </c>
    </row>
    <row r="584" spans="1:6" x14ac:dyDescent="0.2">
      <c r="A584" t="str">
        <f>Source_wegvoertuigen_CBS!A588</f>
        <v>Wymbritseradiel</v>
      </c>
      <c r="B584" t="e">
        <f>INDEX(Source_GM_code_CBS!$B:$B,MATCH($A584,Source_GM_code_CBS!$C:$C,0))</f>
        <v>#N/A</v>
      </c>
      <c r="C584">
        <f>Source_wegvoertuigen_CBS!C588</f>
        <v>0</v>
      </c>
      <c r="D584">
        <f>Source_wegvoertuigen_CBS!D588</f>
        <v>0</v>
      </c>
      <c r="E584">
        <f>Source_wegvoertuigen_CBS!E588</f>
        <v>0</v>
      </c>
      <c r="F584">
        <f>Source_wegvoertuigen_CBS!F588</f>
        <v>0</v>
      </c>
    </row>
    <row r="585" spans="1:6" x14ac:dyDescent="0.2">
      <c r="A585" t="str">
        <f>Source_wegvoertuigen_CBS!A589</f>
        <v>Zaanstad</v>
      </c>
      <c r="B585" t="str">
        <f>INDEX(Source_GM_code_CBS!$B:$B,MATCH($A585,Source_GM_code_CBS!$C:$C,0))</f>
        <v>GM0479</v>
      </c>
      <c r="C585">
        <f>Source_wegvoertuigen_CBS!C589</f>
        <v>68201</v>
      </c>
      <c r="D585">
        <f>Source_wegvoertuigen_CBS!D589</f>
        <v>6995</v>
      </c>
      <c r="E585">
        <f>Source_wegvoertuigen_CBS!E589</f>
        <v>263</v>
      </c>
      <c r="F585">
        <f>Source_wegvoertuigen_CBS!F589</f>
        <v>67</v>
      </c>
    </row>
    <row r="586" spans="1:6" x14ac:dyDescent="0.2">
      <c r="A586" t="str">
        <f>Source_wegvoertuigen_CBS!A590</f>
        <v>Zaltbommel</v>
      </c>
      <c r="B586" t="str">
        <f>INDEX(Source_GM_code_CBS!$B:$B,MATCH($A586,Source_GM_code_CBS!$C:$C,0))</f>
        <v>GM0297</v>
      </c>
      <c r="C586">
        <f>Source_wegvoertuigen_CBS!C590</f>
        <v>15940</v>
      </c>
      <c r="D586">
        <f>Source_wegvoertuigen_CBS!D590</f>
        <v>2498</v>
      </c>
      <c r="E586">
        <f>Source_wegvoertuigen_CBS!E590</f>
        <v>252</v>
      </c>
      <c r="F586">
        <f>Source_wegvoertuigen_CBS!F590</f>
        <v>2</v>
      </c>
    </row>
    <row r="587" spans="1:6" x14ac:dyDescent="0.2">
      <c r="A587" t="str">
        <f>Source_wegvoertuigen_CBS!A591</f>
        <v>Zandvoort</v>
      </c>
      <c r="B587" t="str">
        <f>INDEX(Source_GM_code_CBS!$B:$B,MATCH($A587,Source_GM_code_CBS!$C:$C,0))</f>
        <v>GM0473</v>
      </c>
      <c r="C587">
        <f>Source_wegvoertuigen_CBS!C591</f>
        <v>8059</v>
      </c>
      <c r="D587">
        <f>Source_wegvoertuigen_CBS!D591</f>
        <v>667</v>
      </c>
      <c r="E587">
        <f>Source_wegvoertuigen_CBS!E591</f>
        <v>14</v>
      </c>
      <c r="F587">
        <f>Source_wegvoertuigen_CBS!F591</f>
        <v>1</v>
      </c>
    </row>
    <row r="588" spans="1:6" x14ac:dyDescent="0.2">
      <c r="A588" t="str">
        <f>Source_wegvoertuigen_CBS!A592</f>
        <v>Zederik</v>
      </c>
      <c r="B588" t="e">
        <f>INDEX(Source_GM_code_CBS!$B:$B,MATCH($A588,Source_GM_code_CBS!$C:$C,0))</f>
        <v>#N/A</v>
      </c>
      <c r="C588">
        <f>Source_wegvoertuigen_CBS!C592</f>
        <v>0</v>
      </c>
      <c r="D588">
        <f>Source_wegvoertuigen_CBS!D592</f>
        <v>0</v>
      </c>
      <c r="E588">
        <f>Source_wegvoertuigen_CBS!E592</f>
        <v>0</v>
      </c>
      <c r="F588">
        <f>Source_wegvoertuigen_CBS!F592</f>
        <v>0</v>
      </c>
    </row>
    <row r="589" spans="1:6" x14ac:dyDescent="0.2">
      <c r="A589" t="str">
        <f>Source_wegvoertuigen_CBS!A593</f>
        <v>Zeevang</v>
      </c>
      <c r="B589" t="e">
        <f>INDEX(Source_GM_code_CBS!$B:$B,MATCH($A589,Source_GM_code_CBS!$C:$C,0))</f>
        <v>#N/A</v>
      </c>
      <c r="C589">
        <f>Source_wegvoertuigen_CBS!C593</f>
        <v>0</v>
      </c>
      <c r="D589">
        <f>Source_wegvoertuigen_CBS!D593</f>
        <v>0</v>
      </c>
      <c r="E589">
        <f>Source_wegvoertuigen_CBS!E593</f>
        <v>0</v>
      </c>
      <c r="F589">
        <f>Source_wegvoertuigen_CBS!F593</f>
        <v>0</v>
      </c>
    </row>
    <row r="590" spans="1:6" x14ac:dyDescent="0.2">
      <c r="A590" t="str">
        <f>Source_wegvoertuigen_CBS!A594</f>
        <v>Zeewolde</v>
      </c>
      <c r="B590" t="str">
        <f>INDEX(Source_GM_code_CBS!$B:$B,MATCH($A590,Source_GM_code_CBS!$C:$C,0))</f>
        <v>GM0050</v>
      </c>
      <c r="C590">
        <f>Source_wegvoertuigen_CBS!C594</f>
        <v>12579</v>
      </c>
      <c r="D590">
        <f>Source_wegvoertuigen_CBS!D594</f>
        <v>1430</v>
      </c>
      <c r="E590">
        <f>Source_wegvoertuigen_CBS!E594</f>
        <v>98</v>
      </c>
      <c r="F590">
        <f>Source_wegvoertuigen_CBS!F594</f>
        <v>0</v>
      </c>
    </row>
    <row r="591" spans="1:6" x14ac:dyDescent="0.2">
      <c r="A591" t="str">
        <f>Source_wegvoertuigen_CBS!A595</f>
        <v>Zeist</v>
      </c>
      <c r="B591" t="str">
        <f>INDEX(Source_GM_code_CBS!$B:$B,MATCH($A591,Source_GM_code_CBS!$C:$C,0))</f>
        <v>GM0355</v>
      </c>
      <c r="C591">
        <f>Source_wegvoertuigen_CBS!C595</f>
        <v>32370</v>
      </c>
      <c r="D591">
        <f>Source_wegvoertuigen_CBS!D595</f>
        <v>2351</v>
      </c>
      <c r="E591">
        <f>Source_wegvoertuigen_CBS!E595</f>
        <v>47</v>
      </c>
      <c r="F591">
        <f>Source_wegvoertuigen_CBS!F595</f>
        <v>1</v>
      </c>
    </row>
    <row r="592" spans="1:6" x14ac:dyDescent="0.2">
      <c r="A592" t="str">
        <f>Source_wegvoertuigen_CBS!A596</f>
        <v>Zelhem</v>
      </c>
      <c r="B592" t="e">
        <f>INDEX(Source_GM_code_CBS!$B:$B,MATCH($A592,Source_GM_code_CBS!$C:$C,0))</f>
        <v>#N/A</v>
      </c>
      <c r="C592">
        <f>Source_wegvoertuigen_CBS!C596</f>
        <v>0</v>
      </c>
      <c r="D592">
        <f>Source_wegvoertuigen_CBS!D596</f>
        <v>0</v>
      </c>
      <c r="E592">
        <f>Source_wegvoertuigen_CBS!E596</f>
        <v>0</v>
      </c>
      <c r="F592">
        <f>Source_wegvoertuigen_CBS!F596</f>
        <v>0</v>
      </c>
    </row>
    <row r="593" spans="1:6" x14ac:dyDescent="0.2">
      <c r="A593" t="str">
        <f>Source_wegvoertuigen_CBS!A597</f>
        <v>Zevenaar</v>
      </c>
      <c r="B593" t="str">
        <f>INDEX(Source_GM_code_CBS!$B:$B,MATCH($A593,Source_GM_code_CBS!$C:$C,0))</f>
        <v>GM0299</v>
      </c>
      <c r="C593">
        <f>Source_wegvoertuigen_CBS!C597</f>
        <v>24878</v>
      </c>
      <c r="D593">
        <f>Source_wegvoertuigen_CBS!D597</f>
        <v>2309</v>
      </c>
      <c r="E593">
        <f>Source_wegvoertuigen_CBS!E597</f>
        <v>106</v>
      </c>
      <c r="F593">
        <f>Source_wegvoertuigen_CBS!F597</f>
        <v>2</v>
      </c>
    </row>
    <row r="594" spans="1:6" x14ac:dyDescent="0.2">
      <c r="A594" t="str">
        <f>Source_wegvoertuigen_CBS!A598</f>
        <v>Zevenhuizen-Moerkapelle</v>
      </c>
      <c r="B594" t="e">
        <f>INDEX(Source_GM_code_CBS!$B:$B,MATCH($A594,Source_GM_code_CBS!$C:$C,0))</f>
        <v>#N/A</v>
      </c>
      <c r="C594">
        <f>Source_wegvoertuigen_CBS!C598</f>
        <v>0</v>
      </c>
      <c r="D594">
        <f>Source_wegvoertuigen_CBS!D598</f>
        <v>0</v>
      </c>
      <c r="E594">
        <f>Source_wegvoertuigen_CBS!E598</f>
        <v>0</v>
      </c>
      <c r="F594">
        <f>Source_wegvoertuigen_CBS!F598</f>
        <v>0</v>
      </c>
    </row>
    <row r="595" spans="1:6" x14ac:dyDescent="0.2">
      <c r="A595" t="str">
        <f>Source_wegvoertuigen_CBS!A599</f>
        <v>Zijpe</v>
      </c>
      <c r="B595" t="e">
        <f>INDEX(Source_GM_code_CBS!$B:$B,MATCH($A595,Source_GM_code_CBS!$C:$C,0))</f>
        <v>#N/A</v>
      </c>
      <c r="C595">
        <f>Source_wegvoertuigen_CBS!C599</f>
        <v>0</v>
      </c>
      <c r="D595">
        <f>Source_wegvoertuigen_CBS!D599</f>
        <v>0</v>
      </c>
      <c r="E595">
        <f>Source_wegvoertuigen_CBS!E599</f>
        <v>0</v>
      </c>
      <c r="F595">
        <f>Source_wegvoertuigen_CBS!F599</f>
        <v>0</v>
      </c>
    </row>
    <row r="596" spans="1:6" x14ac:dyDescent="0.2">
      <c r="A596" t="str">
        <f>Source_wegvoertuigen_CBS!A600</f>
        <v>Zoetermeer</v>
      </c>
      <c r="B596" t="str">
        <f>INDEX(Source_GM_code_CBS!$B:$B,MATCH($A596,Source_GM_code_CBS!$C:$C,0))</f>
        <v>GM0637</v>
      </c>
      <c r="C596">
        <f>Source_wegvoertuigen_CBS!C600</f>
        <v>58492</v>
      </c>
      <c r="D596">
        <f>Source_wegvoertuigen_CBS!D600</f>
        <v>3648</v>
      </c>
      <c r="E596">
        <f>Source_wegvoertuigen_CBS!E600</f>
        <v>184</v>
      </c>
      <c r="F596">
        <f>Source_wegvoertuigen_CBS!F600</f>
        <v>16</v>
      </c>
    </row>
    <row r="597" spans="1:6" x14ac:dyDescent="0.2">
      <c r="A597" t="str">
        <f>Source_wegvoertuigen_CBS!A601</f>
        <v>Zoeterwoude</v>
      </c>
      <c r="B597" t="str">
        <f>INDEX(Source_GM_code_CBS!$B:$B,MATCH($A597,Source_GM_code_CBS!$C:$C,0))</f>
        <v>GM0638</v>
      </c>
      <c r="C597">
        <f>Source_wegvoertuigen_CBS!C601</f>
        <v>4490</v>
      </c>
      <c r="D597">
        <f>Source_wegvoertuigen_CBS!D601</f>
        <v>670</v>
      </c>
      <c r="E597">
        <f>Source_wegvoertuigen_CBS!E601</f>
        <v>62</v>
      </c>
      <c r="F597">
        <f>Source_wegvoertuigen_CBS!F601</f>
        <v>0</v>
      </c>
    </row>
    <row r="598" spans="1:6" x14ac:dyDescent="0.2">
      <c r="A598" t="str">
        <f>Source_wegvoertuigen_CBS!A602</f>
        <v>Zuidhorn</v>
      </c>
      <c r="B598" t="e">
        <f>INDEX(Source_GM_code_CBS!$B:$B,MATCH($A598,Source_GM_code_CBS!$C:$C,0))</f>
        <v>#N/A</v>
      </c>
      <c r="C598">
        <f>Source_wegvoertuigen_CBS!C602</f>
        <v>0</v>
      </c>
      <c r="D598">
        <f>Source_wegvoertuigen_CBS!D602</f>
        <v>0</v>
      </c>
      <c r="E598">
        <f>Source_wegvoertuigen_CBS!E602</f>
        <v>0</v>
      </c>
      <c r="F598">
        <f>Source_wegvoertuigen_CBS!F602</f>
        <v>0</v>
      </c>
    </row>
    <row r="599" spans="1:6" x14ac:dyDescent="0.2">
      <c r="A599" t="str">
        <f>Source_wegvoertuigen_CBS!A603</f>
        <v>Zuidplas</v>
      </c>
      <c r="B599" t="str">
        <f>INDEX(Source_GM_code_CBS!$B:$B,MATCH($A599,Source_GM_code_CBS!$C:$C,0))</f>
        <v>GM1892</v>
      </c>
      <c r="C599">
        <f>Source_wegvoertuigen_CBS!C603</f>
        <v>23432</v>
      </c>
      <c r="D599">
        <f>Source_wegvoertuigen_CBS!D603</f>
        <v>2877</v>
      </c>
      <c r="E599">
        <f>Source_wegvoertuigen_CBS!E603</f>
        <v>172</v>
      </c>
      <c r="F599">
        <f>Source_wegvoertuigen_CBS!F603</f>
        <v>4</v>
      </c>
    </row>
    <row r="600" spans="1:6" x14ac:dyDescent="0.2">
      <c r="A600" t="str">
        <f>Source_wegvoertuigen_CBS!A604</f>
        <v>Zundert</v>
      </c>
      <c r="B600" t="str">
        <f>INDEX(Source_GM_code_CBS!$B:$B,MATCH($A600,Source_GM_code_CBS!$C:$C,0))</f>
        <v>GM0879</v>
      </c>
      <c r="C600">
        <f>Source_wegvoertuigen_CBS!C604</f>
        <v>13157</v>
      </c>
      <c r="D600">
        <f>Source_wegvoertuigen_CBS!D604</f>
        <v>1902</v>
      </c>
      <c r="E600">
        <f>Source_wegvoertuigen_CBS!E604</f>
        <v>135</v>
      </c>
      <c r="F600">
        <f>Source_wegvoertuigen_CBS!F604</f>
        <v>2</v>
      </c>
    </row>
    <row r="601" spans="1:6" x14ac:dyDescent="0.2">
      <c r="A601" t="str">
        <f>Source_wegvoertuigen_CBS!A605</f>
        <v>Zutphen</v>
      </c>
      <c r="B601" t="str">
        <f>INDEX(Source_GM_code_CBS!$B:$B,MATCH($A601,Source_GM_code_CBS!$C:$C,0))</f>
        <v>GM0301</v>
      </c>
      <c r="C601">
        <f>Source_wegvoertuigen_CBS!C605</f>
        <v>22824</v>
      </c>
      <c r="D601">
        <f>Source_wegvoertuigen_CBS!D605</f>
        <v>1704</v>
      </c>
      <c r="E601">
        <f>Source_wegvoertuigen_CBS!E605</f>
        <v>141</v>
      </c>
      <c r="F601">
        <f>Source_wegvoertuigen_CBS!F605</f>
        <v>4</v>
      </c>
    </row>
    <row r="602" spans="1:6" x14ac:dyDescent="0.2">
      <c r="A602" t="str">
        <f>Source_wegvoertuigen_CBS!A606</f>
        <v>Zwartewaterland</v>
      </c>
      <c r="B602" t="str">
        <f>INDEX(Source_GM_code_CBS!$B:$B,MATCH($A602,Source_GM_code_CBS!$C:$C,0))</f>
        <v>GM1896</v>
      </c>
      <c r="C602">
        <f>Source_wegvoertuigen_CBS!C606</f>
        <v>11741</v>
      </c>
      <c r="D602">
        <f>Source_wegvoertuigen_CBS!D606</f>
        <v>2621</v>
      </c>
      <c r="E602">
        <f>Source_wegvoertuigen_CBS!E606</f>
        <v>190</v>
      </c>
      <c r="F602">
        <f>Source_wegvoertuigen_CBS!F606</f>
        <v>0</v>
      </c>
    </row>
    <row r="603" spans="1:6" x14ac:dyDescent="0.2">
      <c r="A603" t="str">
        <f>Source_wegvoertuigen_CBS!A607</f>
        <v>Zwartsluis</v>
      </c>
      <c r="B603" t="e">
        <f>INDEX(Source_GM_code_CBS!$B:$B,MATCH($A603,Source_GM_code_CBS!$C:$C,0))</f>
        <v>#N/A</v>
      </c>
      <c r="C603">
        <f>Source_wegvoertuigen_CBS!C607</f>
        <v>0</v>
      </c>
      <c r="D603">
        <f>Source_wegvoertuigen_CBS!D607</f>
        <v>0</v>
      </c>
      <c r="E603">
        <f>Source_wegvoertuigen_CBS!E607</f>
        <v>0</v>
      </c>
      <c r="F603">
        <f>Source_wegvoertuigen_CBS!F607</f>
        <v>0</v>
      </c>
    </row>
    <row r="604" spans="1:6" x14ac:dyDescent="0.2">
      <c r="A604" t="str">
        <f>Source_wegvoertuigen_CBS!A608</f>
        <v>Zwijndrecht</v>
      </c>
      <c r="B604" t="str">
        <f>INDEX(Source_GM_code_CBS!$B:$B,MATCH($A604,Source_GM_code_CBS!$C:$C,0))</f>
        <v>GM0642</v>
      </c>
      <c r="C604">
        <f>Source_wegvoertuigen_CBS!C608</f>
        <v>22118</v>
      </c>
      <c r="D604">
        <f>Source_wegvoertuigen_CBS!D608</f>
        <v>2019</v>
      </c>
      <c r="E604">
        <f>Source_wegvoertuigen_CBS!E608</f>
        <v>105</v>
      </c>
      <c r="F604">
        <f>Source_wegvoertuigen_CBS!F608</f>
        <v>0</v>
      </c>
    </row>
    <row r="605" spans="1:6" x14ac:dyDescent="0.2">
      <c r="A605" t="str">
        <f>Source_wegvoertuigen_CBS!A609</f>
        <v>Zwolle</v>
      </c>
      <c r="B605" t="str">
        <f>INDEX(Source_GM_code_CBS!$B:$B,MATCH($A605,Source_GM_code_CBS!$C:$C,0))</f>
        <v>GM0193</v>
      </c>
      <c r="C605">
        <f>Source_wegvoertuigen_CBS!C609</f>
        <v>58042</v>
      </c>
      <c r="D605">
        <f>Source_wegvoertuigen_CBS!D609</f>
        <v>5862</v>
      </c>
      <c r="E605">
        <f>Source_wegvoertuigen_CBS!E609</f>
        <v>211</v>
      </c>
      <c r="F605">
        <f>Source_wegvoertuigen_CBS!F609</f>
        <v>14</v>
      </c>
    </row>
    <row r="607" spans="1:6" x14ac:dyDescent="0.2">
      <c r="A607" s="7" t="s">
        <v>977</v>
      </c>
      <c r="B607" s="7" t="str">
        <f>INDEX(Source_GM_code_CBS!$B:$B,MATCH($A607,Source_GM_code_CBS!$C:$C,0))</f>
        <v>GM1992</v>
      </c>
      <c r="C607" s="7">
        <f>SUM(C90,C227,C564)</f>
        <v>40724</v>
      </c>
      <c r="D607" s="7">
        <f>SUM(D90,D227,D564)</f>
        <v>3281</v>
      </c>
      <c r="E607" s="7">
        <f>SUM(E90,E227,E564)</f>
        <v>132</v>
      </c>
      <c r="F607" s="7">
        <f>SUM(F90,F227,F564)</f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A9F2-DECB-A44D-BC4F-58DDCEA76ACE}">
  <sheetPr>
    <tabColor theme="0" tint="-0.249977111117893"/>
  </sheetPr>
  <dimension ref="A1:F610"/>
  <sheetViews>
    <sheetView workbookViewId="0">
      <selection activeCell="C42" sqref="C42"/>
    </sheetView>
  </sheetViews>
  <sheetFormatPr baseColWidth="10" defaultRowHeight="15" x14ac:dyDescent="0.2"/>
  <cols>
    <col min="1" max="1" width="23.6640625" bestFit="1" customWidth="1"/>
    <col min="2" max="2" width="46.33203125" bestFit="1" customWidth="1"/>
    <col min="3" max="3" width="45.83203125" customWidth="1"/>
    <col min="4" max="4" width="67.1640625" bestFit="1" customWidth="1"/>
    <col min="5" max="5" width="89.6640625" bestFit="1" customWidth="1"/>
    <col min="6" max="6" width="61.6640625" bestFit="1" customWidth="1"/>
  </cols>
  <sheetData>
    <row r="1" spans="1:6" x14ac:dyDescent="0.2">
      <c r="A1" t="s">
        <v>1202</v>
      </c>
      <c r="B1" t="s">
        <v>1203</v>
      </c>
    </row>
    <row r="3" spans="1:6" x14ac:dyDescent="0.2">
      <c r="C3" t="s">
        <v>1092</v>
      </c>
    </row>
    <row r="4" spans="1:6" x14ac:dyDescent="0.2">
      <c r="C4" t="s">
        <v>1204</v>
      </c>
      <c r="D4" t="s">
        <v>1349</v>
      </c>
      <c r="E4" t="s">
        <v>1350</v>
      </c>
      <c r="F4" t="s">
        <v>1351</v>
      </c>
    </row>
    <row r="5" spans="1:6" x14ac:dyDescent="0.2">
      <c r="A5" t="s">
        <v>1094</v>
      </c>
      <c r="B5" t="s">
        <v>1093</v>
      </c>
      <c r="C5" t="s">
        <v>1095</v>
      </c>
      <c r="D5" t="s">
        <v>1095</v>
      </c>
      <c r="E5" t="s">
        <v>1095</v>
      </c>
      <c r="F5" t="s">
        <v>1095</v>
      </c>
    </row>
    <row r="6" spans="1:6" x14ac:dyDescent="0.2">
      <c r="A6" t="s">
        <v>154</v>
      </c>
      <c r="B6">
        <v>2022</v>
      </c>
      <c r="C6">
        <v>15568</v>
      </c>
      <c r="D6">
        <v>1826</v>
      </c>
      <c r="E6">
        <v>101</v>
      </c>
      <c r="F6">
        <v>3</v>
      </c>
    </row>
    <row r="7" spans="1:6" x14ac:dyDescent="0.2">
      <c r="A7" t="s">
        <v>1096</v>
      </c>
      <c r="B7">
        <v>2022</v>
      </c>
      <c r="C7">
        <v>0</v>
      </c>
      <c r="D7">
        <v>0</v>
      </c>
      <c r="E7">
        <v>0</v>
      </c>
      <c r="F7">
        <v>0</v>
      </c>
    </row>
    <row r="8" spans="1:6" x14ac:dyDescent="0.2">
      <c r="A8" t="s">
        <v>160</v>
      </c>
      <c r="B8">
        <v>2022</v>
      </c>
      <c r="C8">
        <v>17396</v>
      </c>
      <c r="D8">
        <v>1963</v>
      </c>
      <c r="E8">
        <v>181</v>
      </c>
      <c r="F8">
        <v>17</v>
      </c>
    </row>
    <row r="9" spans="1:6" x14ac:dyDescent="0.2">
      <c r="A9" t="s">
        <v>0</v>
      </c>
      <c r="B9">
        <v>2022</v>
      </c>
      <c r="C9">
        <v>14912</v>
      </c>
      <c r="D9">
        <v>1763</v>
      </c>
      <c r="E9">
        <v>91</v>
      </c>
      <c r="F9">
        <v>2</v>
      </c>
    </row>
    <row r="10" spans="1:6" x14ac:dyDescent="0.2">
      <c r="A10" t="s">
        <v>1205</v>
      </c>
      <c r="B10">
        <v>2022</v>
      </c>
      <c r="C10">
        <v>0</v>
      </c>
      <c r="D10">
        <v>0</v>
      </c>
      <c r="E10">
        <v>0</v>
      </c>
      <c r="F10">
        <v>0</v>
      </c>
    </row>
    <row r="11" spans="1:6" x14ac:dyDescent="0.2">
      <c r="A11" t="s">
        <v>1</v>
      </c>
      <c r="B11">
        <v>2022</v>
      </c>
      <c r="C11">
        <v>0</v>
      </c>
      <c r="D11">
        <v>0</v>
      </c>
      <c r="E11">
        <v>0</v>
      </c>
      <c r="F11">
        <v>0</v>
      </c>
    </row>
    <row r="12" spans="1:6" x14ac:dyDescent="0.2">
      <c r="A12" t="s">
        <v>171</v>
      </c>
      <c r="B12">
        <v>2022</v>
      </c>
      <c r="C12">
        <v>15604</v>
      </c>
      <c r="D12">
        <v>2554</v>
      </c>
      <c r="E12">
        <v>152</v>
      </c>
      <c r="F12">
        <v>40</v>
      </c>
    </row>
    <row r="13" spans="1:6" x14ac:dyDescent="0.2">
      <c r="A13" t="s">
        <v>1206</v>
      </c>
      <c r="B13">
        <v>2022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t="s">
        <v>177</v>
      </c>
      <c r="B14">
        <v>2022</v>
      </c>
      <c r="C14">
        <v>9531</v>
      </c>
      <c r="D14">
        <v>1210</v>
      </c>
      <c r="E14">
        <v>83</v>
      </c>
      <c r="F14">
        <v>28</v>
      </c>
    </row>
    <row r="15" spans="1:6" x14ac:dyDescent="0.2">
      <c r="A15" t="s">
        <v>183</v>
      </c>
      <c r="B15">
        <v>2022</v>
      </c>
      <c r="C15">
        <v>12936</v>
      </c>
      <c r="D15">
        <v>908</v>
      </c>
      <c r="E15">
        <v>49</v>
      </c>
      <c r="F15">
        <v>4</v>
      </c>
    </row>
    <row r="16" spans="1:6" x14ac:dyDescent="0.2">
      <c r="A16" t="s">
        <v>1207</v>
      </c>
      <c r="B16">
        <v>2022</v>
      </c>
      <c r="C16">
        <v>0</v>
      </c>
      <c r="D16">
        <v>0</v>
      </c>
      <c r="E16">
        <v>0</v>
      </c>
      <c r="F16">
        <v>0</v>
      </c>
    </row>
    <row r="17" spans="1:6" x14ac:dyDescent="0.2">
      <c r="A17" t="s">
        <v>2</v>
      </c>
      <c r="B17">
        <v>2022</v>
      </c>
      <c r="C17">
        <v>58882</v>
      </c>
      <c r="D17">
        <v>6290</v>
      </c>
      <c r="E17">
        <v>479</v>
      </c>
      <c r="F17">
        <v>20</v>
      </c>
    </row>
    <row r="18" spans="1:6" x14ac:dyDescent="0.2">
      <c r="A18" t="s">
        <v>3</v>
      </c>
      <c r="B18">
        <v>2022</v>
      </c>
      <c r="C18">
        <v>36279</v>
      </c>
      <c r="D18">
        <v>3787</v>
      </c>
      <c r="E18">
        <v>201</v>
      </c>
      <c r="F18">
        <v>5</v>
      </c>
    </row>
    <row r="19" spans="1:6" x14ac:dyDescent="0.2">
      <c r="A19" t="s">
        <v>193</v>
      </c>
      <c r="B19">
        <v>2022</v>
      </c>
      <c r="C19">
        <v>258677</v>
      </c>
      <c r="D19">
        <v>31940</v>
      </c>
      <c r="E19">
        <v>658</v>
      </c>
      <c r="F19">
        <v>21</v>
      </c>
    </row>
    <row r="20" spans="1:6" x14ac:dyDescent="0.2">
      <c r="A20" t="s">
        <v>4</v>
      </c>
      <c r="B20">
        <v>2022</v>
      </c>
      <c r="C20">
        <v>55413</v>
      </c>
      <c r="D20">
        <v>6214</v>
      </c>
      <c r="E20">
        <v>557</v>
      </c>
      <c r="F20">
        <v>33</v>
      </c>
    </row>
    <row r="21" spans="1:6" x14ac:dyDescent="0.2">
      <c r="A21" t="s">
        <v>201</v>
      </c>
      <c r="B21">
        <v>2022</v>
      </c>
      <c r="C21">
        <v>6532</v>
      </c>
      <c r="D21">
        <v>966</v>
      </c>
      <c r="E21">
        <v>56</v>
      </c>
      <c r="F21">
        <v>0</v>
      </c>
    </row>
    <row r="22" spans="1:6" x14ac:dyDescent="0.2">
      <c r="A22" t="s">
        <v>207</v>
      </c>
      <c r="B22">
        <v>2022</v>
      </c>
      <c r="C22">
        <v>31112</v>
      </c>
      <c r="D22">
        <v>4893</v>
      </c>
      <c r="E22">
        <v>424</v>
      </c>
      <c r="F22">
        <v>19</v>
      </c>
    </row>
    <row r="23" spans="1:6" x14ac:dyDescent="0.2">
      <c r="A23" t="s">
        <v>1208</v>
      </c>
      <c r="B23">
        <v>2022</v>
      </c>
      <c r="C23">
        <v>0</v>
      </c>
      <c r="D23">
        <v>0</v>
      </c>
      <c r="E23">
        <v>0</v>
      </c>
      <c r="F23">
        <v>0</v>
      </c>
    </row>
    <row r="24" spans="1:6" x14ac:dyDescent="0.2">
      <c r="A24" t="s">
        <v>1209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 x14ac:dyDescent="0.2">
      <c r="A25" t="s">
        <v>210</v>
      </c>
      <c r="B25">
        <v>2022</v>
      </c>
      <c r="C25">
        <v>2007</v>
      </c>
      <c r="D25">
        <v>412</v>
      </c>
      <c r="E25">
        <v>35</v>
      </c>
      <c r="F25">
        <v>0</v>
      </c>
    </row>
    <row r="26" spans="1:6" x14ac:dyDescent="0.2">
      <c r="A26" t="s">
        <v>1210</v>
      </c>
      <c r="B26">
        <v>2022</v>
      </c>
      <c r="C26">
        <v>0</v>
      </c>
      <c r="D26">
        <v>0</v>
      </c>
      <c r="E26">
        <v>0</v>
      </c>
      <c r="F26">
        <v>0</v>
      </c>
    </row>
    <row r="27" spans="1:6" x14ac:dyDescent="0.2">
      <c r="A27" t="s">
        <v>5</v>
      </c>
      <c r="B27">
        <v>2022</v>
      </c>
      <c r="C27">
        <v>124805</v>
      </c>
      <c r="D27">
        <v>17202</v>
      </c>
      <c r="E27">
        <v>343</v>
      </c>
      <c r="F27">
        <v>613</v>
      </c>
    </row>
    <row r="28" spans="1:6" x14ac:dyDescent="0.2">
      <c r="A28" t="s">
        <v>217</v>
      </c>
      <c r="B28">
        <v>2022</v>
      </c>
      <c r="C28">
        <v>39013</v>
      </c>
      <c r="D28">
        <v>2105</v>
      </c>
      <c r="E28">
        <v>139</v>
      </c>
      <c r="F28">
        <v>18</v>
      </c>
    </row>
    <row r="29" spans="1:6" x14ac:dyDescent="0.2">
      <c r="A29" t="s">
        <v>6</v>
      </c>
      <c r="B29">
        <v>2022</v>
      </c>
      <c r="C29">
        <v>249771</v>
      </c>
      <c r="D29">
        <v>21249</v>
      </c>
      <c r="E29">
        <v>978</v>
      </c>
      <c r="F29">
        <v>301</v>
      </c>
    </row>
    <row r="30" spans="1:6" x14ac:dyDescent="0.2">
      <c r="A30" t="s">
        <v>1097</v>
      </c>
      <c r="B30">
        <v>2022</v>
      </c>
      <c r="C30">
        <v>0</v>
      </c>
      <c r="D30">
        <v>0</v>
      </c>
      <c r="E30">
        <v>0</v>
      </c>
      <c r="F30">
        <v>0</v>
      </c>
    </row>
    <row r="31" spans="1:6" x14ac:dyDescent="0.2">
      <c r="A31" t="s">
        <v>1211</v>
      </c>
      <c r="B31">
        <v>2022</v>
      </c>
      <c r="C31">
        <v>0</v>
      </c>
      <c r="D31">
        <v>0</v>
      </c>
      <c r="E31">
        <v>0</v>
      </c>
      <c r="F31">
        <v>0</v>
      </c>
    </row>
    <row r="32" spans="1:6" x14ac:dyDescent="0.2">
      <c r="A32" t="s">
        <v>7</v>
      </c>
      <c r="B32">
        <v>2022</v>
      </c>
      <c r="C32">
        <v>0</v>
      </c>
      <c r="D32">
        <v>0</v>
      </c>
      <c r="E32">
        <v>0</v>
      </c>
      <c r="F32">
        <v>0</v>
      </c>
    </row>
    <row r="33" spans="1:6" x14ac:dyDescent="0.2">
      <c r="A33" t="s">
        <v>8</v>
      </c>
      <c r="B33">
        <v>2022</v>
      </c>
      <c r="C33">
        <v>84942</v>
      </c>
      <c r="D33">
        <v>8563</v>
      </c>
      <c r="E33">
        <v>961</v>
      </c>
      <c r="F33">
        <v>55</v>
      </c>
    </row>
    <row r="34" spans="1:6" x14ac:dyDescent="0.2">
      <c r="A34" t="s">
        <v>9</v>
      </c>
      <c r="B34">
        <v>2022</v>
      </c>
      <c r="C34">
        <v>0</v>
      </c>
      <c r="D34">
        <v>0</v>
      </c>
      <c r="E34">
        <v>0</v>
      </c>
      <c r="F34">
        <v>0</v>
      </c>
    </row>
    <row r="35" spans="1:6" x14ac:dyDescent="0.2">
      <c r="A35" t="s">
        <v>1212</v>
      </c>
      <c r="B35">
        <v>2022</v>
      </c>
      <c r="C35">
        <v>0</v>
      </c>
      <c r="D35">
        <v>0</v>
      </c>
      <c r="E35">
        <v>0</v>
      </c>
      <c r="F35">
        <v>0</v>
      </c>
    </row>
    <row r="36" spans="1:6" x14ac:dyDescent="0.2">
      <c r="A36" t="s">
        <v>10</v>
      </c>
      <c r="B36">
        <v>2022</v>
      </c>
      <c r="C36">
        <v>69313</v>
      </c>
      <c r="D36">
        <v>4725</v>
      </c>
      <c r="E36">
        <v>607</v>
      </c>
      <c r="F36">
        <v>4</v>
      </c>
    </row>
    <row r="37" spans="1:6" x14ac:dyDescent="0.2">
      <c r="A37" t="s">
        <v>11</v>
      </c>
      <c r="B37">
        <v>2022</v>
      </c>
      <c r="C37">
        <v>34450</v>
      </c>
      <c r="D37">
        <v>2659</v>
      </c>
      <c r="E37">
        <v>180</v>
      </c>
      <c r="F37">
        <v>48</v>
      </c>
    </row>
    <row r="38" spans="1:6" x14ac:dyDescent="0.2">
      <c r="A38" t="s">
        <v>228</v>
      </c>
      <c r="B38">
        <v>2022</v>
      </c>
      <c r="C38">
        <v>9591</v>
      </c>
      <c r="D38">
        <v>1488</v>
      </c>
      <c r="E38">
        <v>103</v>
      </c>
      <c r="F38">
        <v>2</v>
      </c>
    </row>
    <row r="39" spans="1:6" x14ac:dyDescent="0.2">
      <c r="A39" t="s">
        <v>1213</v>
      </c>
      <c r="B39">
        <v>2022</v>
      </c>
      <c r="C39">
        <v>0</v>
      </c>
      <c r="D39">
        <v>0</v>
      </c>
      <c r="E39">
        <v>0</v>
      </c>
      <c r="F39">
        <v>0</v>
      </c>
    </row>
    <row r="40" spans="1:6" x14ac:dyDescent="0.2">
      <c r="A40" t="s">
        <v>1214</v>
      </c>
      <c r="B40">
        <v>2022</v>
      </c>
      <c r="C40">
        <v>0</v>
      </c>
      <c r="D40">
        <v>0</v>
      </c>
      <c r="E40">
        <v>0</v>
      </c>
      <c r="F40">
        <v>0</v>
      </c>
    </row>
    <row r="41" spans="1:6" x14ac:dyDescent="0.2">
      <c r="A41" t="s">
        <v>231</v>
      </c>
      <c r="B41">
        <v>2022</v>
      </c>
      <c r="C41">
        <v>4372</v>
      </c>
      <c r="D41">
        <v>694</v>
      </c>
      <c r="E41">
        <v>41</v>
      </c>
      <c r="F41">
        <v>4</v>
      </c>
    </row>
    <row r="42" spans="1:6" x14ac:dyDescent="0.2">
      <c r="A42" t="s">
        <v>12</v>
      </c>
      <c r="B42">
        <v>2022</v>
      </c>
      <c r="C42">
        <v>12562</v>
      </c>
      <c r="D42">
        <v>935</v>
      </c>
      <c r="E42">
        <v>24</v>
      </c>
      <c r="F42">
        <v>8</v>
      </c>
    </row>
    <row r="43" spans="1:6" x14ac:dyDescent="0.2">
      <c r="A43" t="s">
        <v>13</v>
      </c>
      <c r="B43">
        <v>2022</v>
      </c>
      <c r="C43">
        <v>24077</v>
      </c>
      <c r="D43">
        <v>2326</v>
      </c>
      <c r="E43">
        <v>276</v>
      </c>
      <c r="F43">
        <v>8</v>
      </c>
    </row>
    <row r="44" spans="1:6" x14ac:dyDescent="0.2">
      <c r="A44" t="s">
        <v>14</v>
      </c>
      <c r="B44">
        <v>2022</v>
      </c>
      <c r="C44">
        <v>30757</v>
      </c>
      <c r="D44">
        <v>5966</v>
      </c>
      <c r="E44">
        <v>396</v>
      </c>
      <c r="F44">
        <v>46</v>
      </c>
    </row>
    <row r="45" spans="1:6" x14ac:dyDescent="0.2">
      <c r="A45" t="s">
        <v>1215</v>
      </c>
      <c r="B45">
        <v>2022</v>
      </c>
      <c r="C45">
        <v>0</v>
      </c>
      <c r="D45">
        <v>0</v>
      </c>
      <c r="E45">
        <v>0</v>
      </c>
      <c r="F45">
        <v>0</v>
      </c>
    </row>
    <row r="46" spans="1:6" x14ac:dyDescent="0.2">
      <c r="A46" t="s">
        <v>15</v>
      </c>
      <c r="B46">
        <v>2022</v>
      </c>
      <c r="C46">
        <v>0</v>
      </c>
      <c r="D46">
        <v>0</v>
      </c>
      <c r="E46">
        <v>0</v>
      </c>
      <c r="F46">
        <v>0</v>
      </c>
    </row>
    <row r="47" spans="1:6" x14ac:dyDescent="0.2">
      <c r="A47" t="s">
        <v>1098</v>
      </c>
      <c r="B47">
        <v>2022</v>
      </c>
      <c r="C47">
        <v>9695</v>
      </c>
      <c r="D47">
        <v>811</v>
      </c>
      <c r="E47">
        <v>61</v>
      </c>
      <c r="F47">
        <v>1</v>
      </c>
    </row>
    <row r="48" spans="1:6" x14ac:dyDescent="0.2">
      <c r="A48" t="s">
        <v>246</v>
      </c>
      <c r="B48">
        <v>2022</v>
      </c>
      <c r="C48">
        <v>22365</v>
      </c>
      <c r="D48">
        <v>2074</v>
      </c>
      <c r="E48">
        <v>154</v>
      </c>
      <c r="F48">
        <v>1</v>
      </c>
    </row>
    <row r="49" spans="1:6" x14ac:dyDescent="0.2">
      <c r="A49" t="s">
        <v>1099</v>
      </c>
      <c r="B49">
        <v>2022</v>
      </c>
      <c r="C49">
        <v>0</v>
      </c>
      <c r="D49">
        <v>0</v>
      </c>
      <c r="E49">
        <v>0</v>
      </c>
      <c r="F49">
        <v>0</v>
      </c>
    </row>
    <row r="50" spans="1:6" x14ac:dyDescent="0.2">
      <c r="A50" t="s">
        <v>249</v>
      </c>
      <c r="B50">
        <v>2022</v>
      </c>
      <c r="C50">
        <v>7338</v>
      </c>
      <c r="D50">
        <v>548</v>
      </c>
      <c r="E50">
        <v>41</v>
      </c>
      <c r="F50">
        <v>0</v>
      </c>
    </row>
    <row r="51" spans="1:6" x14ac:dyDescent="0.2">
      <c r="A51" t="s">
        <v>1216</v>
      </c>
      <c r="B51">
        <v>2022</v>
      </c>
      <c r="C51">
        <v>0</v>
      </c>
      <c r="D51">
        <v>0</v>
      </c>
      <c r="E51">
        <v>0</v>
      </c>
      <c r="F51">
        <v>0</v>
      </c>
    </row>
    <row r="52" spans="1:6" x14ac:dyDescent="0.2">
      <c r="A52" t="s">
        <v>1100</v>
      </c>
      <c r="B52">
        <v>2022</v>
      </c>
      <c r="C52">
        <v>0</v>
      </c>
      <c r="D52">
        <v>0</v>
      </c>
      <c r="E52">
        <v>0</v>
      </c>
      <c r="F52">
        <v>0</v>
      </c>
    </row>
    <row r="53" spans="1:6" x14ac:dyDescent="0.2">
      <c r="A53" t="s">
        <v>252</v>
      </c>
      <c r="B53">
        <v>2022</v>
      </c>
      <c r="C53">
        <v>19031</v>
      </c>
      <c r="D53">
        <v>1763</v>
      </c>
      <c r="E53">
        <v>69</v>
      </c>
      <c r="F53">
        <v>10</v>
      </c>
    </row>
    <row r="54" spans="1:6" x14ac:dyDescent="0.2">
      <c r="A54" t="s">
        <v>1217</v>
      </c>
      <c r="B54">
        <v>2022</v>
      </c>
      <c r="C54">
        <v>0</v>
      </c>
      <c r="D54">
        <v>0</v>
      </c>
      <c r="E54">
        <v>0</v>
      </c>
      <c r="F54">
        <v>0</v>
      </c>
    </row>
    <row r="55" spans="1:6" x14ac:dyDescent="0.2">
      <c r="A55" t="s">
        <v>1218</v>
      </c>
      <c r="B55">
        <v>2022</v>
      </c>
      <c r="C55">
        <v>0</v>
      </c>
      <c r="D55">
        <v>0</v>
      </c>
      <c r="E55">
        <v>0</v>
      </c>
      <c r="F55">
        <v>0</v>
      </c>
    </row>
    <row r="56" spans="1:6" x14ac:dyDescent="0.2">
      <c r="A56" t="s">
        <v>1101</v>
      </c>
      <c r="B56">
        <v>2022</v>
      </c>
      <c r="C56">
        <v>0</v>
      </c>
      <c r="D56">
        <v>0</v>
      </c>
      <c r="E56">
        <v>0</v>
      </c>
      <c r="F56">
        <v>0</v>
      </c>
    </row>
    <row r="57" spans="1:6" x14ac:dyDescent="0.2">
      <c r="A57" t="s">
        <v>255</v>
      </c>
      <c r="B57">
        <v>2022</v>
      </c>
      <c r="C57">
        <v>11303</v>
      </c>
      <c r="D57">
        <v>1837</v>
      </c>
      <c r="E57">
        <v>69</v>
      </c>
      <c r="F57">
        <v>19</v>
      </c>
    </row>
    <row r="58" spans="1:6" x14ac:dyDescent="0.2">
      <c r="A58" t="s">
        <v>258</v>
      </c>
      <c r="B58">
        <v>2022</v>
      </c>
      <c r="C58">
        <v>8123</v>
      </c>
      <c r="D58">
        <v>915</v>
      </c>
      <c r="E58">
        <v>55</v>
      </c>
      <c r="F58">
        <v>1</v>
      </c>
    </row>
    <row r="59" spans="1:6" x14ac:dyDescent="0.2">
      <c r="A59" t="s">
        <v>261</v>
      </c>
      <c r="B59">
        <v>2022</v>
      </c>
      <c r="C59">
        <v>16520</v>
      </c>
      <c r="D59">
        <v>1395</v>
      </c>
      <c r="E59">
        <v>66</v>
      </c>
      <c r="F59">
        <v>2</v>
      </c>
    </row>
    <row r="60" spans="1:6" x14ac:dyDescent="0.2">
      <c r="A60" t="s">
        <v>16</v>
      </c>
      <c r="B60">
        <v>2022</v>
      </c>
      <c r="C60">
        <v>33852</v>
      </c>
      <c r="D60">
        <v>2726</v>
      </c>
      <c r="E60">
        <v>241</v>
      </c>
      <c r="F60">
        <v>42</v>
      </c>
    </row>
    <row r="61" spans="1:6" x14ac:dyDescent="0.2">
      <c r="A61" t="s">
        <v>1219</v>
      </c>
      <c r="B61">
        <v>2022</v>
      </c>
      <c r="C61">
        <v>0</v>
      </c>
      <c r="D61">
        <v>0</v>
      </c>
      <c r="E61">
        <v>0</v>
      </c>
      <c r="F61">
        <v>0</v>
      </c>
    </row>
    <row r="62" spans="1:6" x14ac:dyDescent="0.2">
      <c r="A62" t="s">
        <v>1220</v>
      </c>
      <c r="B62">
        <v>2022</v>
      </c>
      <c r="C62">
        <v>0</v>
      </c>
      <c r="D62">
        <v>0</v>
      </c>
      <c r="E62">
        <v>0</v>
      </c>
      <c r="F62">
        <v>0</v>
      </c>
    </row>
    <row r="63" spans="1:6" x14ac:dyDescent="0.2">
      <c r="A63" t="s">
        <v>1221</v>
      </c>
      <c r="B63">
        <v>2022</v>
      </c>
      <c r="C63">
        <v>0</v>
      </c>
      <c r="D63">
        <v>0</v>
      </c>
      <c r="E63">
        <v>0</v>
      </c>
      <c r="F63">
        <v>0</v>
      </c>
    </row>
    <row r="64" spans="1:6" x14ac:dyDescent="0.2">
      <c r="A64" t="s">
        <v>266</v>
      </c>
      <c r="B64">
        <v>2022</v>
      </c>
      <c r="C64">
        <v>25664</v>
      </c>
      <c r="D64">
        <v>3014</v>
      </c>
      <c r="E64">
        <v>195</v>
      </c>
      <c r="F64">
        <v>7</v>
      </c>
    </row>
    <row r="65" spans="1:6" x14ac:dyDescent="0.2">
      <c r="A65" t="s">
        <v>269</v>
      </c>
      <c r="B65">
        <v>2022</v>
      </c>
      <c r="C65">
        <v>17768</v>
      </c>
      <c r="D65">
        <v>2975</v>
      </c>
      <c r="E65">
        <v>202</v>
      </c>
      <c r="F65">
        <v>3</v>
      </c>
    </row>
    <row r="66" spans="1:6" x14ac:dyDescent="0.2">
      <c r="A66" t="s">
        <v>1102</v>
      </c>
      <c r="B66">
        <v>2022</v>
      </c>
      <c r="C66">
        <v>0</v>
      </c>
      <c r="D66">
        <v>0</v>
      </c>
      <c r="E66">
        <v>0</v>
      </c>
      <c r="F66">
        <v>0</v>
      </c>
    </row>
    <row r="67" spans="1:6" x14ac:dyDescent="0.2">
      <c r="A67" t="s">
        <v>17</v>
      </c>
      <c r="B67">
        <v>2022</v>
      </c>
      <c r="C67">
        <v>16148</v>
      </c>
      <c r="D67">
        <v>1436</v>
      </c>
      <c r="E67">
        <v>102</v>
      </c>
      <c r="F67">
        <v>2</v>
      </c>
    </row>
    <row r="68" spans="1:6" x14ac:dyDescent="0.2">
      <c r="A68" t="s">
        <v>274</v>
      </c>
      <c r="B68">
        <v>2022</v>
      </c>
      <c r="C68">
        <v>14289</v>
      </c>
      <c r="D68">
        <v>1253</v>
      </c>
      <c r="E68">
        <v>88</v>
      </c>
      <c r="F68">
        <v>0</v>
      </c>
    </row>
    <row r="69" spans="1:6" x14ac:dyDescent="0.2">
      <c r="A69" t="s">
        <v>18</v>
      </c>
      <c r="B69">
        <v>2022</v>
      </c>
      <c r="C69">
        <v>20145</v>
      </c>
      <c r="D69">
        <v>2195</v>
      </c>
      <c r="E69">
        <v>270</v>
      </c>
      <c r="F69">
        <v>1</v>
      </c>
    </row>
    <row r="70" spans="1:6" x14ac:dyDescent="0.2">
      <c r="A70" t="s">
        <v>1103</v>
      </c>
      <c r="B70">
        <v>2022</v>
      </c>
      <c r="C70">
        <v>0</v>
      </c>
      <c r="D70">
        <v>0</v>
      </c>
      <c r="E70">
        <v>0</v>
      </c>
      <c r="F70">
        <v>0</v>
      </c>
    </row>
    <row r="71" spans="1:6" x14ac:dyDescent="0.2">
      <c r="A71" t="s">
        <v>279</v>
      </c>
      <c r="B71">
        <v>2022</v>
      </c>
      <c r="C71">
        <v>21742</v>
      </c>
      <c r="D71">
        <v>1807</v>
      </c>
      <c r="E71">
        <v>107</v>
      </c>
      <c r="F71">
        <v>0</v>
      </c>
    </row>
    <row r="72" spans="1:6" x14ac:dyDescent="0.2">
      <c r="A72" t="s">
        <v>1104</v>
      </c>
      <c r="B72">
        <v>2022</v>
      </c>
      <c r="C72">
        <v>0</v>
      </c>
      <c r="D72">
        <v>0</v>
      </c>
      <c r="E72">
        <v>0</v>
      </c>
      <c r="F72">
        <v>0</v>
      </c>
    </row>
    <row r="73" spans="1:6" x14ac:dyDescent="0.2">
      <c r="A73" t="s">
        <v>282</v>
      </c>
      <c r="B73">
        <v>2022</v>
      </c>
      <c r="C73">
        <v>12452</v>
      </c>
      <c r="D73">
        <v>1926</v>
      </c>
      <c r="E73">
        <v>141</v>
      </c>
      <c r="F73">
        <v>2</v>
      </c>
    </row>
    <row r="74" spans="1:6" x14ac:dyDescent="0.2">
      <c r="A74" t="s">
        <v>285</v>
      </c>
      <c r="B74">
        <v>2022</v>
      </c>
      <c r="C74">
        <v>7177</v>
      </c>
      <c r="D74">
        <v>388</v>
      </c>
      <c r="E74">
        <v>27</v>
      </c>
      <c r="F74">
        <v>0</v>
      </c>
    </row>
    <row r="75" spans="1:6" x14ac:dyDescent="0.2">
      <c r="A75" t="s">
        <v>1222</v>
      </c>
      <c r="B75">
        <v>2022</v>
      </c>
      <c r="C75">
        <v>0</v>
      </c>
      <c r="D75">
        <v>0</v>
      </c>
      <c r="E75">
        <v>0</v>
      </c>
      <c r="F75">
        <v>0</v>
      </c>
    </row>
    <row r="76" spans="1:6" x14ac:dyDescent="0.2">
      <c r="A76" t="s">
        <v>19</v>
      </c>
      <c r="B76">
        <v>2022</v>
      </c>
      <c r="C76">
        <v>12488</v>
      </c>
      <c r="D76">
        <v>478</v>
      </c>
      <c r="E76">
        <v>6</v>
      </c>
      <c r="F76">
        <v>0</v>
      </c>
    </row>
    <row r="77" spans="1:6" x14ac:dyDescent="0.2">
      <c r="A77" t="s">
        <v>1105</v>
      </c>
      <c r="B77">
        <v>2022</v>
      </c>
      <c r="C77">
        <v>0</v>
      </c>
      <c r="D77">
        <v>0</v>
      </c>
      <c r="E77">
        <v>0</v>
      </c>
      <c r="F77">
        <v>0</v>
      </c>
    </row>
    <row r="78" spans="1:6" x14ac:dyDescent="0.2">
      <c r="A78" t="s">
        <v>20</v>
      </c>
      <c r="B78">
        <v>2022</v>
      </c>
      <c r="C78">
        <v>0</v>
      </c>
      <c r="D78">
        <v>0</v>
      </c>
      <c r="E78">
        <v>0</v>
      </c>
      <c r="F78">
        <v>0</v>
      </c>
    </row>
    <row r="79" spans="1:6" x14ac:dyDescent="0.2">
      <c r="A79" t="s">
        <v>290</v>
      </c>
      <c r="B79">
        <v>2022</v>
      </c>
      <c r="C79">
        <v>17882</v>
      </c>
      <c r="D79">
        <v>2587</v>
      </c>
      <c r="E79">
        <v>223</v>
      </c>
      <c r="F79">
        <v>13</v>
      </c>
    </row>
    <row r="80" spans="1:6" x14ac:dyDescent="0.2">
      <c r="A80" t="s">
        <v>293</v>
      </c>
      <c r="B80">
        <v>2022</v>
      </c>
      <c r="C80">
        <v>6209</v>
      </c>
      <c r="D80">
        <v>1165</v>
      </c>
      <c r="E80">
        <v>56</v>
      </c>
      <c r="F80">
        <v>1</v>
      </c>
    </row>
    <row r="81" spans="1:6" x14ac:dyDescent="0.2">
      <c r="A81" t="s">
        <v>1106</v>
      </c>
      <c r="B81">
        <v>2022</v>
      </c>
      <c r="C81">
        <v>0</v>
      </c>
      <c r="D81">
        <v>0</v>
      </c>
      <c r="E81">
        <v>0</v>
      </c>
      <c r="F81">
        <v>0</v>
      </c>
    </row>
    <row r="82" spans="1:6" x14ac:dyDescent="0.2">
      <c r="A82" t="s">
        <v>1107</v>
      </c>
      <c r="B82">
        <v>2022</v>
      </c>
      <c r="C82">
        <v>0</v>
      </c>
      <c r="D82">
        <v>0</v>
      </c>
      <c r="E82">
        <v>0</v>
      </c>
      <c r="F82">
        <v>0</v>
      </c>
    </row>
    <row r="83" spans="1:6" x14ac:dyDescent="0.2">
      <c r="A83" t="s">
        <v>1223</v>
      </c>
      <c r="B83">
        <v>2022</v>
      </c>
      <c r="C83">
        <v>0</v>
      </c>
      <c r="D83">
        <v>0</v>
      </c>
      <c r="E83">
        <v>0</v>
      </c>
      <c r="F83">
        <v>0</v>
      </c>
    </row>
    <row r="84" spans="1:6" x14ac:dyDescent="0.2">
      <c r="A84" t="s">
        <v>296</v>
      </c>
      <c r="B84">
        <v>2022</v>
      </c>
      <c r="C84">
        <v>15982</v>
      </c>
      <c r="D84">
        <v>2265</v>
      </c>
      <c r="E84">
        <v>127</v>
      </c>
      <c r="F84">
        <v>3</v>
      </c>
    </row>
    <row r="85" spans="1:6" x14ac:dyDescent="0.2">
      <c r="A85" t="s">
        <v>1224</v>
      </c>
      <c r="B85">
        <v>2022</v>
      </c>
      <c r="C85">
        <v>0</v>
      </c>
      <c r="D85">
        <v>0</v>
      </c>
      <c r="E85">
        <v>0</v>
      </c>
      <c r="F85">
        <v>0</v>
      </c>
    </row>
    <row r="86" spans="1:6" x14ac:dyDescent="0.2">
      <c r="A86" t="s">
        <v>21</v>
      </c>
      <c r="B86">
        <v>2022</v>
      </c>
      <c r="C86">
        <v>12586</v>
      </c>
      <c r="D86">
        <v>1225</v>
      </c>
      <c r="E86">
        <v>77</v>
      </c>
      <c r="F86">
        <v>7</v>
      </c>
    </row>
    <row r="87" spans="1:6" x14ac:dyDescent="0.2">
      <c r="A87" t="s">
        <v>301</v>
      </c>
      <c r="B87">
        <v>2022</v>
      </c>
      <c r="C87">
        <v>13512</v>
      </c>
      <c r="D87">
        <v>2322</v>
      </c>
      <c r="E87">
        <v>139</v>
      </c>
      <c r="F87">
        <v>36</v>
      </c>
    </row>
    <row r="88" spans="1:6" x14ac:dyDescent="0.2">
      <c r="A88" t="s">
        <v>22</v>
      </c>
      <c r="B88">
        <v>2022</v>
      </c>
      <c r="C88">
        <v>0</v>
      </c>
      <c r="D88">
        <v>0</v>
      </c>
      <c r="E88">
        <v>0</v>
      </c>
      <c r="F88">
        <v>0</v>
      </c>
    </row>
    <row r="89" spans="1:6" x14ac:dyDescent="0.2">
      <c r="A89" t="s">
        <v>23</v>
      </c>
      <c r="B89">
        <v>2022</v>
      </c>
      <c r="C89">
        <v>0</v>
      </c>
      <c r="D89">
        <v>0</v>
      </c>
      <c r="E89">
        <v>0</v>
      </c>
      <c r="F89">
        <v>0</v>
      </c>
    </row>
    <row r="90" spans="1:6" x14ac:dyDescent="0.2">
      <c r="A90" t="s">
        <v>24</v>
      </c>
      <c r="B90">
        <v>2022</v>
      </c>
      <c r="C90">
        <v>16841</v>
      </c>
      <c r="D90">
        <v>2116</v>
      </c>
      <c r="E90">
        <v>142</v>
      </c>
      <c r="F90">
        <v>5</v>
      </c>
    </row>
    <row r="91" spans="1:6" x14ac:dyDescent="0.2">
      <c r="A91" t="s">
        <v>25</v>
      </c>
      <c r="B91">
        <v>2022</v>
      </c>
      <c r="C91">
        <v>148119</v>
      </c>
      <c r="D91">
        <v>15376</v>
      </c>
      <c r="E91">
        <v>423</v>
      </c>
      <c r="F91">
        <v>31</v>
      </c>
    </row>
    <row r="92" spans="1:6" x14ac:dyDescent="0.2">
      <c r="A92" t="s">
        <v>1225</v>
      </c>
      <c r="B92">
        <v>2022</v>
      </c>
      <c r="C92">
        <v>0</v>
      </c>
      <c r="D92">
        <v>0</v>
      </c>
      <c r="E92">
        <v>0</v>
      </c>
      <c r="F92">
        <v>0</v>
      </c>
    </row>
    <row r="93" spans="1:6" x14ac:dyDescent="0.2">
      <c r="A93" t="s">
        <v>26</v>
      </c>
      <c r="B93">
        <v>2022</v>
      </c>
      <c r="C93">
        <v>0</v>
      </c>
      <c r="D93">
        <v>0</v>
      </c>
      <c r="E93">
        <v>0</v>
      </c>
      <c r="F93">
        <v>0</v>
      </c>
    </row>
    <row r="94" spans="1:6" x14ac:dyDescent="0.2">
      <c r="A94" t="s">
        <v>1108</v>
      </c>
      <c r="B94">
        <v>2022</v>
      </c>
      <c r="C94">
        <v>10091</v>
      </c>
      <c r="D94">
        <v>972</v>
      </c>
      <c r="E94">
        <v>45</v>
      </c>
      <c r="F94">
        <v>1</v>
      </c>
    </row>
    <row r="95" spans="1:6" x14ac:dyDescent="0.2">
      <c r="A95" t="s">
        <v>1226</v>
      </c>
      <c r="B95">
        <v>2022</v>
      </c>
      <c r="C95">
        <v>0</v>
      </c>
      <c r="D95">
        <v>0</v>
      </c>
      <c r="E95">
        <v>0</v>
      </c>
      <c r="F95">
        <v>0</v>
      </c>
    </row>
    <row r="96" spans="1:6" x14ac:dyDescent="0.2">
      <c r="A96" t="s">
        <v>311</v>
      </c>
      <c r="B96">
        <v>2022</v>
      </c>
      <c r="C96">
        <v>22460</v>
      </c>
      <c r="D96">
        <v>3402</v>
      </c>
      <c r="E96">
        <v>153</v>
      </c>
      <c r="F96">
        <v>1</v>
      </c>
    </row>
    <row r="97" spans="1:6" x14ac:dyDescent="0.2">
      <c r="A97" t="s">
        <v>27</v>
      </c>
      <c r="B97">
        <v>2022</v>
      </c>
      <c r="C97">
        <v>11886</v>
      </c>
      <c r="D97">
        <v>1193</v>
      </c>
      <c r="E97">
        <v>67</v>
      </c>
      <c r="F97">
        <v>1</v>
      </c>
    </row>
    <row r="98" spans="1:6" x14ac:dyDescent="0.2">
      <c r="A98" t="s">
        <v>316</v>
      </c>
      <c r="B98">
        <v>2022</v>
      </c>
      <c r="C98">
        <v>15780</v>
      </c>
      <c r="D98">
        <v>1042</v>
      </c>
      <c r="E98">
        <v>49</v>
      </c>
      <c r="F98">
        <v>9</v>
      </c>
    </row>
    <row r="99" spans="1:6" x14ac:dyDescent="0.2">
      <c r="A99" t="s">
        <v>28</v>
      </c>
      <c r="B99">
        <v>2022</v>
      </c>
      <c r="C99">
        <v>7576</v>
      </c>
      <c r="D99">
        <v>882</v>
      </c>
      <c r="E99">
        <v>40</v>
      </c>
      <c r="F99">
        <v>15</v>
      </c>
    </row>
    <row r="100" spans="1:6" x14ac:dyDescent="0.2">
      <c r="A100" t="s">
        <v>321</v>
      </c>
      <c r="B100">
        <v>2022</v>
      </c>
      <c r="C100">
        <v>10167</v>
      </c>
      <c r="D100">
        <v>1549</v>
      </c>
      <c r="E100">
        <v>217</v>
      </c>
      <c r="F100">
        <v>0</v>
      </c>
    </row>
    <row r="101" spans="1:6" x14ac:dyDescent="0.2">
      <c r="A101" t="s">
        <v>324</v>
      </c>
      <c r="B101">
        <v>2022</v>
      </c>
      <c r="C101">
        <v>16537</v>
      </c>
      <c r="D101">
        <v>2672</v>
      </c>
      <c r="E101">
        <v>284</v>
      </c>
      <c r="F101">
        <v>0</v>
      </c>
    </row>
    <row r="102" spans="1:6" x14ac:dyDescent="0.2">
      <c r="A102" t="s">
        <v>29</v>
      </c>
      <c r="B102">
        <v>2022</v>
      </c>
      <c r="C102">
        <v>0</v>
      </c>
      <c r="D102">
        <v>0</v>
      </c>
      <c r="E102">
        <v>0</v>
      </c>
      <c r="F102">
        <v>0</v>
      </c>
    </row>
    <row r="103" spans="1:6" x14ac:dyDescent="0.2">
      <c r="A103" t="s">
        <v>30</v>
      </c>
      <c r="B103">
        <v>2022</v>
      </c>
      <c r="C103">
        <v>31332</v>
      </c>
      <c r="D103">
        <v>2593</v>
      </c>
      <c r="E103">
        <v>97</v>
      </c>
      <c r="F103">
        <v>4</v>
      </c>
    </row>
    <row r="104" spans="1:6" x14ac:dyDescent="0.2">
      <c r="A104" t="s">
        <v>31</v>
      </c>
      <c r="B104">
        <v>2022</v>
      </c>
      <c r="C104">
        <v>18053</v>
      </c>
      <c r="D104">
        <v>1548</v>
      </c>
      <c r="E104">
        <v>129</v>
      </c>
      <c r="F104">
        <v>0</v>
      </c>
    </row>
    <row r="105" spans="1:6" x14ac:dyDescent="0.2">
      <c r="A105" t="s">
        <v>33</v>
      </c>
      <c r="B105">
        <v>2022</v>
      </c>
      <c r="C105">
        <v>20478</v>
      </c>
      <c r="D105">
        <v>2689</v>
      </c>
      <c r="E105">
        <v>122</v>
      </c>
      <c r="F105">
        <v>1</v>
      </c>
    </row>
    <row r="106" spans="1:6" x14ac:dyDescent="0.2">
      <c r="A106" t="s">
        <v>333</v>
      </c>
      <c r="B106">
        <v>2022</v>
      </c>
      <c r="C106">
        <v>12459</v>
      </c>
      <c r="D106">
        <v>1689</v>
      </c>
      <c r="E106">
        <v>87</v>
      </c>
      <c r="F106">
        <v>0</v>
      </c>
    </row>
    <row r="107" spans="1:6" x14ac:dyDescent="0.2">
      <c r="A107" t="s">
        <v>1109</v>
      </c>
      <c r="B107">
        <v>2022</v>
      </c>
      <c r="C107">
        <v>0</v>
      </c>
      <c r="D107">
        <v>0</v>
      </c>
      <c r="E107">
        <v>0</v>
      </c>
      <c r="F107">
        <v>0</v>
      </c>
    </row>
    <row r="108" spans="1:6" x14ac:dyDescent="0.2">
      <c r="A108" t="s">
        <v>34</v>
      </c>
      <c r="B108">
        <v>2022</v>
      </c>
      <c r="C108">
        <v>0</v>
      </c>
      <c r="D108">
        <v>0</v>
      </c>
      <c r="E108">
        <v>0</v>
      </c>
      <c r="F108">
        <v>0</v>
      </c>
    </row>
    <row r="109" spans="1:6" x14ac:dyDescent="0.2">
      <c r="A109" t="s">
        <v>35</v>
      </c>
      <c r="B109">
        <v>2022</v>
      </c>
      <c r="C109">
        <v>14009</v>
      </c>
      <c r="D109">
        <v>1211</v>
      </c>
      <c r="E109">
        <v>156</v>
      </c>
      <c r="F109">
        <v>2</v>
      </c>
    </row>
    <row r="110" spans="1:6" x14ac:dyDescent="0.2">
      <c r="A110" t="s">
        <v>36</v>
      </c>
      <c r="B110">
        <v>2022</v>
      </c>
      <c r="C110">
        <v>17307</v>
      </c>
      <c r="D110">
        <v>2612</v>
      </c>
      <c r="E110">
        <v>233</v>
      </c>
      <c r="F110">
        <v>127</v>
      </c>
    </row>
    <row r="111" spans="1:6" x14ac:dyDescent="0.2">
      <c r="A111" t="s">
        <v>1227</v>
      </c>
      <c r="B111">
        <v>2022</v>
      </c>
      <c r="C111">
        <v>0</v>
      </c>
      <c r="D111">
        <v>0</v>
      </c>
      <c r="E111">
        <v>0</v>
      </c>
      <c r="F111">
        <v>0</v>
      </c>
    </row>
    <row r="112" spans="1:6" x14ac:dyDescent="0.2">
      <c r="A112" t="s">
        <v>340</v>
      </c>
      <c r="B112">
        <v>2022</v>
      </c>
      <c r="C112">
        <v>10509</v>
      </c>
      <c r="D112">
        <v>1536</v>
      </c>
      <c r="E112">
        <v>58</v>
      </c>
      <c r="F112">
        <v>10</v>
      </c>
    </row>
    <row r="113" spans="1:6" x14ac:dyDescent="0.2">
      <c r="A113" t="s">
        <v>37</v>
      </c>
      <c r="B113">
        <v>2022</v>
      </c>
      <c r="C113">
        <v>34212</v>
      </c>
      <c r="D113">
        <v>2529</v>
      </c>
      <c r="E113">
        <v>106</v>
      </c>
      <c r="F113">
        <v>1</v>
      </c>
    </row>
    <row r="114" spans="1:6" x14ac:dyDescent="0.2">
      <c r="A114" t="s">
        <v>38</v>
      </c>
      <c r="B114">
        <v>2022</v>
      </c>
      <c r="C114">
        <v>0</v>
      </c>
      <c r="D114">
        <v>0</v>
      </c>
      <c r="E114">
        <v>0</v>
      </c>
      <c r="F114">
        <v>0</v>
      </c>
    </row>
    <row r="115" spans="1:6" x14ac:dyDescent="0.2">
      <c r="A115" t="s">
        <v>1228</v>
      </c>
      <c r="B115">
        <v>2022</v>
      </c>
      <c r="C115">
        <v>0</v>
      </c>
      <c r="D115">
        <v>0</v>
      </c>
      <c r="E115">
        <v>0</v>
      </c>
      <c r="F115">
        <v>0</v>
      </c>
    </row>
    <row r="116" spans="1:6" x14ac:dyDescent="0.2">
      <c r="A116" t="s">
        <v>40</v>
      </c>
      <c r="B116">
        <v>2022</v>
      </c>
      <c r="C116">
        <v>17766</v>
      </c>
      <c r="D116">
        <v>2854</v>
      </c>
      <c r="E116">
        <v>220</v>
      </c>
      <c r="F116">
        <v>20</v>
      </c>
    </row>
    <row r="117" spans="1:6" x14ac:dyDescent="0.2">
      <c r="A117" t="s">
        <v>41</v>
      </c>
      <c r="B117">
        <v>2022</v>
      </c>
      <c r="C117">
        <v>47012</v>
      </c>
      <c r="D117">
        <v>3583</v>
      </c>
      <c r="E117">
        <v>171</v>
      </c>
      <c r="F117">
        <v>748</v>
      </c>
    </row>
    <row r="118" spans="1:6" x14ac:dyDescent="0.2">
      <c r="A118" t="s">
        <v>1229</v>
      </c>
      <c r="B118">
        <v>2022</v>
      </c>
      <c r="C118">
        <v>0</v>
      </c>
      <c r="D118">
        <v>0</v>
      </c>
      <c r="E118">
        <v>0</v>
      </c>
      <c r="F118">
        <v>0</v>
      </c>
    </row>
    <row r="119" spans="1:6" x14ac:dyDescent="0.2">
      <c r="A119" t="s">
        <v>42</v>
      </c>
      <c r="B119">
        <v>2022</v>
      </c>
      <c r="C119">
        <v>10737</v>
      </c>
      <c r="D119">
        <v>951</v>
      </c>
      <c r="E119">
        <v>73</v>
      </c>
      <c r="F119">
        <v>43</v>
      </c>
    </row>
    <row r="120" spans="1:6" x14ac:dyDescent="0.2">
      <c r="A120" t="s">
        <v>1230</v>
      </c>
      <c r="B120">
        <v>2022</v>
      </c>
      <c r="C120">
        <v>0</v>
      </c>
      <c r="D120">
        <v>0</v>
      </c>
      <c r="E120">
        <v>0</v>
      </c>
      <c r="F120">
        <v>0</v>
      </c>
    </row>
    <row r="121" spans="1:6" x14ac:dyDescent="0.2">
      <c r="A121" t="s">
        <v>354</v>
      </c>
      <c r="B121">
        <v>2022</v>
      </c>
      <c r="C121">
        <v>15457</v>
      </c>
      <c r="D121">
        <v>2617</v>
      </c>
      <c r="E121">
        <v>197</v>
      </c>
      <c r="F121">
        <v>24</v>
      </c>
    </row>
    <row r="122" spans="1:6" x14ac:dyDescent="0.2">
      <c r="A122" t="s">
        <v>351</v>
      </c>
      <c r="B122">
        <v>2022</v>
      </c>
      <c r="C122">
        <v>44840</v>
      </c>
      <c r="D122">
        <v>4588</v>
      </c>
      <c r="E122">
        <v>275</v>
      </c>
      <c r="F122">
        <v>5</v>
      </c>
    </row>
    <row r="123" spans="1:6" x14ac:dyDescent="0.2">
      <c r="A123" t="s">
        <v>1231</v>
      </c>
      <c r="B123">
        <v>2022</v>
      </c>
      <c r="C123">
        <v>0</v>
      </c>
      <c r="D123">
        <v>0</v>
      </c>
      <c r="E123">
        <v>0</v>
      </c>
      <c r="F123">
        <v>0</v>
      </c>
    </row>
    <row r="124" spans="1:6" x14ac:dyDescent="0.2">
      <c r="A124" t="s">
        <v>1110</v>
      </c>
      <c r="B124">
        <v>2022</v>
      </c>
      <c r="C124">
        <v>0</v>
      </c>
      <c r="D124">
        <v>0</v>
      </c>
      <c r="E124">
        <v>0</v>
      </c>
      <c r="F124">
        <v>0</v>
      </c>
    </row>
    <row r="125" spans="1:6" x14ac:dyDescent="0.2">
      <c r="A125" t="s">
        <v>1232</v>
      </c>
      <c r="B125">
        <v>2022</v>
      </c>
      <c r="C125">
        <v>0</v>
      </c>
      <c r="D125">
        <v>0</v>
      </c>
      <c r="E125">
        <v>0</v>
      </c>
      <c r="F125">
        <v>0</v>
      </c>
    </row>
    <row r="126" spans="1:6" x14ac:dyDescent="0.2">
      <c r="A126" t="s">
        <v>357</v>
      </c>
      <c r="B126">
        <v>2022</v>
      </c>
      <c r="C126">
        <v>6066</v>
      </c>
      <c r="D126">
        <v>416</v>
      </c>
      <c r="E126">
        <v>28</v>
      </c>
      <c r="F126">
        <v>1</v>
      </c>
    </row>
    <row r="127" spans="1:6" x14ac:dyDescent="0.2">
      <c r="A127" t="s">
        <v>43</v>
      </c>
      <c r="B127">
        <v>2022</v>
      </c>
      <c r="C127">
        <v>32465</v>
      </c>
      <c r="D127">
        <v>3560</v>
      </c>
      <c r="E127">
        <v>182</v>
      </c>
      <c r="F127">
        <v>6</v>
      </c>
    </row>
    <row r="128" spans="1:6" x14ac:dyDescent="0.2">
      <c r="A128" t="s">
        <v>362</v>
      </c>
      <c r="B128">
        <v>2022</v>
      </c>
      <c r="C128">
        <v>14868</v>
      </c>
      <c r="D128">
        <v>1331</v>
      </c>
      <c r="E128">
        <v>125</v>
      </c>
      <c r="F128">
        <v>25</v>
      </c>
    </row>
    <row r="129" spans="1:6" x14ac:dyDescent="0.2">
      <c r="A129" t="s">
        <v>1111</v>
      </c>
      <c r="B129">
        <v>2022</v>
      </c>
      <c r="C129">
        <v>0</v>
      </c>
      <c r="D129">
        <v>0</v>
      </c>
      <c r="E129">
        <v>0</v>
      </c>
      <c r="F129">
        <v>0</v>
      </c>
    </row>
    <row r="130" spans="1:6" x14ac:dyDescent="0.2">
      <c r="A130" t="s">
        <v>1233</v>
      </c>
      <c r="B130">
        <v>2022</v>
      </c>
      <c r="C130">
        <v>0</v>
      </c>
      <c r="D130">
        <v>0</v>
      </c>
      <c r="E130">
        <v>0</v>
      </c>
      <c r="F130">
        <v>0</v>
      </c>
    </row>
    <row r="131" spans="1:6" x14ac:dyDescent="0.2">
      <c r="A131" t="s">
        <v>44</v>
      </c>
      <c r="B131">
        <v>2022</v>
      </c>
      <c r="C131">
        <v>60837</v>
      </c>
      <c r="D131">
        <v>6809</v>
      </c>
      <c r="E131">
        <v>296</v>
      </c>
      <c r="F131">
        <v>18</v>
      </c>
    </row>
    <row r="132" spans="1:6" x14ac:dyDescent="0.2">
      <c r="A132" t="s">
        <v>367</v>
      </c>
      <c r="B132">
        <v>2022</v>
      </c>
      <c r="C132">
        <v>10583</v>
      </c>
      <c r="D132">
        <v>1571</v>
      </c>
      <c r="E132">
        <v>101</v>
      </c>
      <c r="F132">
        <v>4</v>
      </c>
    </row>
    <row r="133" spans="1:6" x14ac:dyDescent="0.2">
      <c r="A133" t="s">
        <v>1234</v>
      </c>
      <c r="B133">
        <v>2022</v>
      </c>
      <c r="C133">
        <v>0</v>
      </c>
      <c r="D133">
        <v>0</v>
      </c>
      <c r="E133">
        <v>0</v>
      </c>
      <c r="F133">
        <v>0</v>
      </c>
    </row>
    <row r="134" spans="1:6" x14ac:dyDescent="0.2">
      <c r="A134" t="s">
        <v>370</v>
      </c>
      <c r="B134">
        <v>2022</v>
      </c>
      <c r="C134">
        <v>15610</v>
      </c>
      <c r="D134">
        <v>2006</v>
      </c>
      <c r="E134">
        <v>84</v>
      </c>
      <c r="F134">
        <v>7</v>
      </c>
    </row>
    <row r="135" spans="1:6" x14ac:dyDescent="0.2">
      <c r="A135" t="s">
        <v>45</v>
      </c>
      <c r="B135">
        <v>2022</v>
      </c>
      <c r="C135">
        <v>22910</v>
      </c>
      <c r="D135">
        <v>2593</v>
      </c>
      <c r="E135">
        <v>154</v>
      </c>
      <c r="F135">
        <v>11</v>
      </c>
    </row>
    <row r="136" spans="1:6" x14ac:dyDescent="0.2">
      <c r="A136" t="s">
        <v>375</v>
      </c>
      <c r="B136">
        <v>2022</v>
      </c>
      <c r="C136">
        <v>10649</v>
      </c>
      <c r="D136">
        <v>1322</v>
      </c>
      <c r="E136">
        <v>99</v>
      </c>
      <c r="F136">
        <v>2</v>
      </c>
    </row>
    <row r="137" spans="1:6" x14ac:dyDescent="0.2">
      <c r="A137" t="s">
        <v>46</v>
      </c>
      <c r="B137">
        <v>2022</v>
      </c>
      <c r="C137">
        <v>13492</v>
      </c>
      <c r="D137">
        <v>1113</v>
      </c>
      <c r="E137">
        <v>159</v>
      </c>
      <c r="F137">
        <v>0</v>
      </c>
    </row>
    <row r="138" spans="1:6" x14ac:dyDescent="0.2">
      <c r="A138" t="s">
        <v>1235</v>
      </c>
      <c r="B138">
        <v>2022</v>
      </c>
      <c r="C138">
        <v>0</v>
      </c>
      <c r="D138">
        <v>0</v>
      </c>
      <c r="E138">
        <v>0</v>
      </c>
      <c r="F138">
        <v>0</v>
      </c>
    </row>
    <row r="139" spans="1:6" x14ac:dyDescent="0.2">
      <c r="A139" t="s">
        <v>1236</v>
      </c>
      <c r="B139">
        <v>2022</v>
      </c>
      <c r="C139">
        <v>0</v>
      </c>
      <c r="D139">
        <v>0</v>
      </c>
      <c r="E139">
        <v>0</v>
      </c>
      <c r="F139">
        <v>0</v>
      </c>
    </row>
    <row r="140" spans="1:6" x14ac:dyDescent="0.2">
      <c r="A140" t="s">
        <v>380</v>
      </c>
      <c r="B140">
        <v>2022</v>
      </c>
      <c r="C140">
        <v>19395</v>
      </c>
      <c r="D140">
        <v>1969</v>
      </c>
      <c r="E140">
        <v>138</v>
      </c>
      <c r="F140">
        <v>16</v>
      </c>
    </row>
    <row r="141" spans="1:6" x14ac:dyDescent="0.2">
      <c r="A141" t="s">
        <v>383</v>
      </c>
      <c r="B141">
        <v>2022</v>
      </c>
      <c r="C141">
        <v>15856</v>
      </c>
      <c r="D141">
        <v>2973</v>
      </c>
      <c r="E141">
        <v>118</v>
      </c>
      <c r="F141">
        <v>21</v>
      </c>
    </row>
    <row r="142" spans="1:6" x14ac:dyDescent="0.2">
      <c r="A142" t="s">
        <v>47</v>
      </c>
      <c r="B142">
        <v>2022</v>
      </c>
      <c r="C142">
        <v>61460</v>
      </c>
      <c r="D142">
        <v>8561</v>
      </c>
      <c r="E142">
        <v>849</v>
      </c>
      <c r="F142">
        <v>22</v>
      </c>
    </row>
    <row r="143" spans="1:6" x14ac:dyDescent="0.2">
      <c r="A143" t="s">
        <v>388</v>
      </c>
      <c r="B143">
        <v>2022</v>
      </c>
      <c r="C143">
        <v>5335</v>
      </c>
      <c r="D143">
        <v>742</v>
      </c>
      <c r="E143">
        <v>46</v>
      </c>
      <c r="F143">
        <v>0</v>
      </c>
    </row>
    <row r="144" spans="1:6" x14ac:dyDescent="0.2">
      <c r="A144" t="s">
        <v>391</v>
      </c>
      <c r="B144">
        <v>2022</v>
      </c>
      <c r="C144">
        <v>24198</v>
      </c>
      <c r="D144">
        <v>2504</v>
      </c>
      <c r="E144">
        <v>77</v>
      </c>
      <c r="F144">
        <v>1</v>
      </c>
    </row>
    <row r="145" spans="1:6" x14ac:dyDescent="0.2">
      <c r="A145" t="s">
        <v>1112</v>
      </c>
      <c r="B145">
        <v>2022</v>
      </c>
      <c r="C145">
        <v>0</v>
      </c>
      <c r="D145">
        <v>0</v>
      </c>
      <c r="E145">
        <v>0</v>
      </c>
      <c r="F145">
        <v>0</v>
      </c>
    </row>
    <row r="146" spans="1:6" x14ac:dyDescent="0.2">
      <c r="A146" t="s">
        <v>396</v>
      </c>
      <c r="B146">
        <v>2022</v>
      </c>
      <c r="C146">
        <v>11707</v>
      </c>
      <c r="D146">
        <v>1709</v>
      </c>
      <c r="E146">
        <v>114</v>
      </c>
      <c r="F146">
        <v>1</v>
      </c>
    </row>
    <row r="147" spans="1:6" x14ac:dyDescent="0.2">
      <c r="A147" t="s">
        <v>1237</v>
      </c>
      <c r="B147">
        <v>2022</v>
      </c>
      <c r="C147">
        <v>0</v>
      </c>
      <c r="D147">
        <v>0</v>
      </c>
      <c r="E147">
        <v>0</v>
      </c>
      <c r="F147">
        <v>0</v>
      </c>
    </row>
    <row r="148" spans="1:6" x14ac:dyDescent="0.2">
      <c r="A148" t="s">
        <v>1238</v>
      </c>
      <c r="B148">
        <v>2022</v>
      </c>
      <c r="C148">
        <v>0</v>
      </c>
      <c r="D148">
        <v>0</v>
      </c>
      <c r="E148">
        <v>0</v>
      </c>
      <c r="F148">
        <v>0</v>
      </c>
    </row>
    <row r="149" spans="1:6" x14ac:dyDescent="0.2">
      <c r="A149" t="s">
        <v>48</v>
      </c>
      <c r="B149">
        <v>2022</v>
      </c>
      <c r="C149">
        <v>0</v>
      </c>
      <c r="D149">
        <v>0</v>
      </c>
      <c r="E149">
        <v>0</v>
      </c>
      <c r="F149">
        <v>0</v>
      </c>
    </row>
    <row r="150" spans="1:6" x14ac:dyDescent="0.2">
      <c r="A150" t="s">
        <v>399</v>
      </c>
      <c r="B150">
        <v>2022</v>
      </c>
      <c r="C150">
        <v>15129</v>
      </c>
      <c r="D150">
        <v>1386</v>
      </c>
      <c r="E150">
        <v>130</v>
      </c>
      <c r="F150">
        <v>2</v>
      </c>
    </row>
    <row r="151" spans="1:6" x14ac:dyDescent="0.2">
      <c r="A151" t="s">
        <v>49</v>
      </c>
      <c r="B151">
        <v>2022</v>
      </c>
      <c r="C151">
        <v>104234</v>
      </c>
      <c r="D151">
        <v>8986</v>
      </c>
      <c r="E151">
        <v>1533</v>
      </c>
      <c r="F151">
        <v>22</v>
      </c>
    </row>
    <row r="152" spans="1:6" x14ac:dyDescent="0.2">
      <c r="A152" t="s">
        <v>404</v>
      </c>
      <c r="B152">
        <v>2022</v>
      </c>
      <c r="C152">
        <v>12668</v>
      </c>
      <c r="D152">
        <v>1579</v>
      </c>
      <c r="E152">
        <v>74</v>
      </c>
      <c r="F152">
        <v>0</v>
      </c>
    </row>
    <row r="153" spans="1:6" x14ac:dyDescent="0.2">
      <c r="A153" t="s">
        <v>1239</v>
      </c>
      <c r="B153">
        <v>2022</v>
      </c>
      <c r="C153">
        <v>0</v>
      </c>
      <c r="D153">
        <v>0</v>
      </c>
      <c r="E153">
        <v>0</v>
      </c>
      <c r="F153">
        <v>0</v>
      </c>
    </row>
    <row r="154" spans="1:6" x14ac:dyDescent="0.2">
      <c r="A154" t="s">
        <v>50</v>
      </c>
      <c r="B154">
        <v>2022</v>
      </c>
      <c r="C154">
        <v>58987</v>
      </c>
      <c r="D154">
        <v>6749</v>
      </c>
      <c r="E154">
        <v>397</v>
      </c>
      <c r="F154">
        <v>5</v>
      </c>
    </row>
    <row r="155" spans="1:6" x14ac:dyDescent="0.2">
      <c r="A155" t="s">
        <v>51</v>
      </c>
      <c r="B155">
        <v>2022</v>
      </c>
      <c r="C155">
        <v>8436</v>
      </c>
      <c r="D155">
        <v>908</v>
      </c>
      <c r="E155">
        <v>25</v>
      </c>
      <c r="F155">
        <v>0</v>
      </c>
    </row>
    <row r="156" spans="1:6" x14ac:dyDescent="0.2">
      <c r="A156" t="s">
        <v>52</v>
      </c>
      <c r="B156">
        <v>2022</v>
      </c>
      <c r="C156">
        <v>70551</v>
      </c>
      <c r="D156">
        <v>5791</v>
      </c>
      <c r="E156">
        <v>511</v>
      </c>
      <c r="F156">
        <v>2</v>
      </c>
    </row>
    <row r="157" spans="1:6" x14ac:dyDescent="0.2">
      <c r="A157" t="s">
        <v>413</v>
      </c>
      <c r="B157">
        <v>2022</v>
      </c>
      <c r="C157">
        <v>19091</v>
      </c>
      <c r="D157">
        <v>2358</v>
      </c>
      <c r="E157">
        <v>136</v>
      </c>
      <c r="F157">
        <v>0</v>
      </c>
    </row>
    <row r="158" spans="1:6" x14ac:dyDescent="0.2">
      <c r="A158" t="s">
        <v>53</v>
      </c>
      <c r="B158">
        <v>2022</v>
      </c>
      <c r="C158">
        <v>14211</v>
      </c>
      <c r="D158">
        <v>1596</v>
      </c>
      <c r="E158">
        <v>207</v>
      </c>
      <c r="F158">
        <v>5</v>
      </c>
    </row>
    <row r="159" spans="1:6" x14ac:dyDescent="0.2">
      <c r="A159" t="s">
        <v>54</v>
      </c>
      <c r="B159">
        <v>2022</v>
      </c>
      <c r="C159">
        <v>22913</v>
      </c>
      <c r="D159">
        <v>2084</v>
      </c>
      <c r="E159">
        <v>217</v>
      </c>
      <c r="F159">
        <v>4</v>
      </c>
    </row>
    <row r="160" spans="1:6" x14ac:dyDescent="0.2">
      <c r="A160" t="s">
        <v>1113</v>
      </c>
      <c r="B160">
        <v>2022</v>
      </c>
      <c r="C160">
        <v>0</v>
      </c>
      <c r="D160">
        <v>0</v>
      </c>
      <c r="E160">
        <v>0</v>
      </c>
      <c r="F160">
        <v>0</v>
      </c>
    </row>
    <row r="161" spans="1:6" x14ac:dyDescent="0.2">
      <c r="A161" t="s">
        <v>1114</v>
      </c>
      <c r="B161">
        <v>2022</v>
      </c>
      <c r="C161">
        <v>0</v>
      </c>
      <c r="D161">
        <v>0</v>
      </c>
      <c r="E161">
        <v>0</v>
      </c>
      <c r="F161">
        <v>0</v>
      </c>
    </row>
    <row r="162" spans="1:6" x14ac:dyDescent="0.2">
      <c r="A162" t="s">
        <v>1115</v>
      </c>
      <c r="B162">
        <v>2022</v>
      </c>
      <c r="C162">
        <v>0</v>
      </c>
      <c r="D162">
        <v>0</v>
      </c>
      <c r="E162">
        <v>0</v>
      </c>
      <c r="F162">
        <v>0</v>
      </c>
    </row>
    <row r="163" spans="1:6" x14ac:dyDescent="0.2">
      <c r="A163" t="s">
        <v>420</v>
      </c>
      <c r="B163">
        <v>2022</v>
      </c>
      <c r="C163">
        <v>29481</v>
      </c>
      <c r="D163">
        <v>4399</v>
      </c>
      <c r="E163">
        <v>224</v>
      </c>
      <c r="F163">
        <v>23</v>
      </c>
    </row>
    <row r="164" spans="1:6" x14ac:dyDescent="0.2">
      <c r="A164" t="s">
        <v>1116</v>
      </c>
      <c r="B164">
        <v>2022</v>
      </c>
      <c r="C164">
        <v>0</v>
      </c>
      <c r="D164">
        <v>0</v>
      </c>
      <c r="E164">
        <v>0</v>
      </c>
      <c r="F164">
        <v>0</v>
      </c>
    </row>
    <row r="165" spans="1:6" x14ac:dyDescent="0.2">
      <c r="A165" t="s">
        <v>423</v>
      </c>
      <c r="B165">
        <v>2022</v>
      </c>
      <c r="C165">
        <v>11974</v>
      </c>
      <c r="D165">
        <v>1245</v>
      </c>
      <c r="E165">
        <v>59</v>
      </c>
      <c r="F165">
        <v>4</v>
      </c>
    </row>
    <row r="166" spans="1:6" x14ac:dyDescent="0.2">
      <c r="A166" t="s">
        <v>55</v>
      </c>
      <c r="B166">
        <v>2022</v>
      </c>
      <c r="C166">
        <v>0</v>
      </c>
      <c r="D166">
        <v>0</v>
      </c>
      <c r="E166">
        <v>0</v>
      </c>
      <c r="F166">
        <v>0</v>
      </c>
    </row>
    <row r="167" spans="1:6" x14ac:dyDescent="0.2">
      <c r="A167" t="s">
        <v>1240</v>
      </c>
      <c r="B167">
        <v>2022</v>
      </c>
      <c r="C167">
        <v>0</v>
      </c>
      <c r="D167">
        <v>0</v>
      </c>
      <c r="E167">
        <v>0</v>
      </c>
      <c r="F167">
        <v>0</v>
      </c>
    </row>
    <row r="168" spans="1:6" x14ac:dyDescent="0.2">
      <c r="A168" t="s">
        <v>426</v>
      </c>
      <c r="B168">
        <v>2022</v>
      </c>
      <c r="C168">
        <v>22240</v>
      </c>
      <c r="D168">
        <v>2380</v>
      </c>
      <c r="E168">
        <v>115</v>
      </c>
      <c r="F168">
        <v>7</v>
      </c>
    </row>
    <row r="169" spans="1:6" x14ac:dyDescent="0.2">
      <c r="A169" t="s">
        <v>1241</v>
      </c>
      <c r="B169">
        <v>2022</v>
      </c>
      <c r="C169">
        <v>0</v>
      </c>
      <c r="D169">
        <v>0</v>
      </c>
      <c r="E169">
        <v>0</v>
      </c>
      <c r="F169">
        <v>0</v>
      </c>
    </row>
    <row r="170" spans="1:6" x14ac:dyDescent="0.2">
      <c r="A170" t="s">
        <v>429</v>
      </c>
      <c r="B170">
        <v>2022</v>
      </c>
      <c r="C170">
        <v>17310</v>
      </c>
      <c r="D170">
        <v>2712</v>
      </c>
      <c r="E170">
        <v>208</v>
      </c>
      <c r="F170">
        <v>4</v>
      </c>
    </row>
    <row r="171" spans="1:6" x14ac:dyDescent="0.2">
      <c r="A171" t="s">
        <v>1242</v>
      </c>
      <c r="B171">
        <v>2022</v>
      </c>
      <c r="C171">
        <v>0</v>
      </c>
      <c r="D171">
        <v>0</v>
      </c>
      <c r="E171">
        <v>0</v>
      </c>
      <c r="F171">
        <v>0</v>
      </c>
    </row>
    <row r="172" spans="1:6" x14ac:dyDescent="0.2">
      <c r="A172" t="s">
        <v>1243</v>
      </c>
      <c r="B172">
        <v>2022</v>
      </c>
      <c r="C172">
        <v>0</v>
      </c>
      <c r="D172">
        <v>0</v>
      </c>
      <c r="E172">
        <v>0</v>
      </c>
      <c r="F172">
        <v>0</v>
      </c>
    </row>
    <row r="173" spans="1:6" x14ac:dyDescent="0.2">
      <c r="A173" t="s">
        <v>1244</v>
      </c>
      <c r="B173">
        <v>2022</v>
      </c>
      <c r="C173">
        <v>0</v>
      </c>
      <c r="D173">
        <v>0</v>
      </c>
      <c r="E173">
        <v>0</v>
      </c>
      <c r="F173">
        <v>0</v>
      </c>
    </row>
    <row r="174" spans="1:6" x14ac:dyDescent="0.2">
      <c r="A174" t="s">
        <v>432</v>
      </c>
      <c r="B174">
        <v>2022</v>
      </c>
      <c r="C174">
        <v>9799</v>
      </c>
      <c r="D174">
        <v>972</v>
      </c>
      <c r="E174">
        <v>117</v>
      </c>
      <c r="F174">
        <v>0</v>
      </c>
    </row>
    <row r="175" spans="1:6" x14ac:dyDescent="0.2">
      <c r="A175" t="s">
        <v>1117</v>
      </c>
      <c r="B175">
        <v>2022</v>
      </c>
      <c r="C175">
        <v>0</v>
      </c>
      <c r="D175">
        <v>0</v>
      </c>
      <c r="E175">
        <v>0</v>
      </c>
      <c r="F175">
        <v>0</v>
      </c>
    </row>
    <row r="176" spans="1:6" x14ac:dyDescent="0.2">
      <c r="A176" t="s">
        <v>435</v>
      </c>
      <c r="B176">
        <v>2022</v>
      </c>
      <c r="C176">
        <v>14443</v>
      </c>
      <c r="D176">
        <v>1518</v>
      </c>
      <c r="E176">
        <v>98</v>
      </c>
      <c r="F176">
        <v>1</v>
      </c>
    </row>
    <row r="177" spans="1:6" x14ac:dyDescent="0.2">
      <c r="A177" t="s">
        <v>1118</v>
      </c>
      <c r="B177">
        <v>2022</v>
      </c>
      <c r="C177">
        <v>0</v>
      </c>
      <c r="D177">
        <v>0</v>
      </c>
      <c r="E177">
        <v>0</v>
      </c>
      <c r="F177">
        <v>0</v>
      </c>
    </row>
    <row r="178" spans="1:6" x14ac:dyDescent="0.2">
      <c r="A178" t="s">
        <v>438</v>
      </c>
      <c r="B178">
        <v>2022</v>
      </c>
      <c r="C178">
        <v>28379</v>
      </c>
      <c r="D178">
        <v>3716</v>
      </c>
      <c r="E178">
        <v>197</v>
      </c>
      <c r="F178">
        <v>79</v>
      </c>
    </row>
    <row r="179" spans="1:6" x14ac:dyDescent="0.2">
      <c r="A179" t="s">
        <v>56</v>
      </c>
      <c r="B179">
        <v>2022</v>
      </c>
      <c r="C179">
        <v>21617</v>
      </c>
      <c r="D179">
        <v>2483</v>
      </c>
      <c r="E179">
        <v>130</v>
      </c>
      <c r="F179">
        <v>1</v>
      </c>
    </row>
    <row r="180" spans="1:6" x14ac:dyDescent="0.2">
      <c r="A180" t="s">
        <v>443</v>
      </c>
      <c r="B180">
        <v>2022</v>
      </c>
      <c r="C180">
        <v>12645</v>
      </c>
      <c r="D180">
        <v>1146</v>
      </c>
      <c r="E180">
        <v>85</v>
      </c>
      <c r="F180">
        <v>2</v>
      </c>
    </row>
    <row r="181" spans="1:6" x14ac:dyDescent="0.2">
      <c r="A181" t="s">
        <v>446</v>
      </c>
      <c r="B181">
        <v>2022</v>
      </c>
      <c r="C181">
        <v>29412</v>
      </c>
      <c r="D181">
        <v>1838</v>
      </c>
      <c r="E181">
        <v>47</v>
      </c>
      <c r="F181">
        <v>0</v>
      </c>
    </row>
    <row r="182" spans="1:6" x14ac:dyDescent="0.2">
      <c r="A182" t="s">
        <v>1245</v>
      </c>
      <c r="B182">
        <v>2022</v>
      </c>
      <c r="C182">
        <v>0</v>
      </c>
      <c r="D182">
        <v>0</v>
      </c>
      <c r="E182">
        <v>0</v>
      </c>
      <c r="F182">
        <v>0</v>
      </c>
    </row>
    <row r="183" spans="1:6" x14ac:dyDescent="0.2">
      <c r="A183" t="s">
        <v>57</v>
      </c>
      <c r="B183">
        <v>2022</v>
      </c>
      <c r="C183">
        <v>17719</v>
      </c>
      <c r="D183">
        <v>1901</v>
      </c>
      <c r="E183">
        <v>97</v>
      </c>
      <c r="F183">
        <v>5</v>
      </c>
    </row>
    <row r="184" spans="1:6" x14ac:dyDescent="0.2">
      <c r="A184" t="s">
        <v>1246</v>
      </c>
      <c r="B184">
        <v>2022</v>
      </c>
      <c r="C184">
        <v>0</v>
      </c>
      <c r="D184">
        <v>0</v>
      </c>
      <c r="E184">
        <v>0</v>
      </c>
      <c r="F184">
        <v>0</v>
      </c>
    </row>
    <row r="185" spans="1:6" x14ac:dyDescent="0.2">
      <c r="A185" t="s">
        <v>58</v>
      </c>
      <c r="B185">
        <v>2022</v>
      </c>
      <c r="C185">
        <v>29676</v>
      </c>
      <c r="D185">
        <v>2498</v>
      </c>
      <c r="E185">
        <v>94</v>
      </c>
      <c r="F185">
        <v>3</v>
      </c>
    </row>
    <row r="186" spans="1:6" x14ac:dyDescent="0.2">
      <c r="A186" t="s">
        <v>1119</v>
      </c>
      <c r="B186">
        <v>2022</v>
      </c>
      <c r="C186">
        <v>0</v>
      </c>
      <c r="D186">
        <v>0</v>
      </c>
      <c r="E186">
        <v>0</v>
      </c>
      <c r="F186">
        <v>0</v>
      </c>
    </row>
    <row r="187" spans="1:6" x14ac:dyDescent="0.2">
      <c r="A187" t="s">
        <v>1120</v>
      </c>
      <c r="B187">
        <v>2022</v>
      </c>
      <c r="C187">
        <v>0</v>
      </c>
      <c r="D187">
        <v>0</v>
      </c>
      <c r="E187">
        <v>0</v>
      </c>
      <c r="F187">
        <v>0</v>
      </c>
    </row>
    <row r="188" spans="1:6" x14ac:dyDescent="0.2">
      <c r="A188" t="s">
        <v>1247</v>
      </c>
      <c r="B188">
        <v>2022</v>
      </c>
      <c r="C188">
        <v>0</v>
      </c>
      <c r="D188">
        <v>0</v>
      </c>
      <c r="E188">
        <v>0</v>
      </c>
      <c r="F188">
        <v>0</v>
      </c>
    </row>
    <row r="189" spans="1:6" x14ac:dyDescent="0.2">
      <c r="A189" t="s">
        <v>1121</v>
      </c>
      <c r="B189">
        <v>2022</v>
      </c>
      <c r="C189">
        <v>0</v>
      </c>
      <c r="D189">
        <v>0</v>
      </c>
      <c r="E189">
        <v>0</v>
      </c>
      <c r="F189">
        <v>0</v>
      </c>
    </row>
    <row r="190" spans="1:6" x14ac:dyDescent="0.2">
      <c r="A190" t="s">
        <v>1248</v>
      </c>
      <c r="B190">
        <v>2022</v>
      </c>
      <c r="C190">
        <v>0</v>
      </c>
      <c r="D190">
        <v>0</v>
      </c>
      <c r="E190">
        <v>0</v>
      </c>
      <c r="F190">
        <v>0</v>
      </c>
    </row>
    <row r="191" spans="1:6" x14ac:dyDescent="0.2">
      <c r="A191" t="s">
        <v>1249</v>
      </c>
      <c r="B191">
        <v>2022</v>
      </c>
      <c r="C191">
        <v>0</v>
      </c>
      <c r="D191">
        <v>0</v>
      </c>
      <c r="E191">
        <v>0</v>
      </c>
      <c r="F191">
        <v>0</v>
      </c>
    </row>
    <row r="192" spans="1:6" x14ac:dyDescent="0.2">
      <c r="A192" t="s">
        <v>1122</v>
      </c>
      <c r="B192">
        <v>2022</v>
      </c>
      <c r="C192">
        <v>203451</v>
      </c>
      <c r="D192">
        <v>20724</v>
      </c>
      <c r="E192">
        <v>486</v>
      </c>
      <c r="F192">
        <v>156</v>
      </c>
    </row>
    <row r="193" spans="1:6" x14ac:dyDescent="0.2">
      <c r="A193" t="s">
        <v>1250</v>
      </c>
      <c r="B193">
        <v>2022</v>
      </c>
      <c r="C193">
        <v>0</v>
      </c>
      <c r="D193">
        <v>0</v>
      </c>
      <c r="E193">
        <v>0</v>
      </c>
      <c r="F193">
        <v>0</v>
      </c>
    </row>
    <row r="194" spans="1:6" x14ac:dyDescent="0.2">
      <c r="A194" t="s">
        <v>1251</v>
      </c>
      <c r="B194">
        <v>2022</v>
      </c>
      <c r="C194">
        <v>0</v>
      </c>
      <c r="D194">
        <v>0</v>
      </c>
      <c r="E194">
        <v>0</v>
      </c>
      <c r="F194">
        <v>0</v>
      </c>
    </row>
    <row r="195" spans="1:6" x14ac:dyDescent="0.2">
      <c r="A195" t="s">
        <v>1123</v>
      </c>
      <c r="B195">
        <v>2022</v>
      </c>
      <c r="C195">
        <v>0</v>
      </c>
      <c r="D195">
        <v>0</v>
      </c>
      <c r="E195">
        <v>0</v>
      </c>
      <c r="F195">
        <v>0</v>
      </c>
    </row>
    <row r="196" spans="1:6" x14ac:dyDescent="0.2">
      <c r="A196" t="s">
        <v>1124</v>
      </c>
      <c r="B196">
        <v>2022</v>
      </c>
      <c r="C196">
        <v>97287</v>
      </c>
      <c r="D196">
        <v>11095</v>
      </c>
      <c r="E196">
        <v>412</v>
      </c>
      <c r="F196">
        <v>308</v>
      </c>
    </row>
    <row r="197" spans="1:6" x14ac:dyDescent="0.2">
      <c r="A197" t="s">
        <v>1125</v>
      </c>
      <c r="B197">
        <v>2022</v>
      </c>
      <c r="C197">
        <v>0</v>
      </c>
      <c r="D197">
        <v>0</v>
      </c>
      <c r="E197">
        <v>0</v>
      </c>
      <c r="F197">
        <v>0</v>
      </c>
    </row>
    <row r="198" spans="1:6" x14ac:dyDescent="0.2">
      <c r="A198" t="s">
        <v>1252</v>
      </c>
      <c r="B198">
        <v>2022</v>
      </c>
      <c r="C198">
        <v>0</v>
      </c>
      <c r="D198">
        <v>0</v>
      </c>
      <c r="E198">
        <v>0</v>
      </c>
      <c r="F198">
        <v>0</v>
      </c>
    </row>
    <row r="199" spans="1:6" x14ac:dyDescent="0.2">
      <c r="A199" t="s">
        <v>458</v>
      </c>
      <c r="B199">
        <v>2022</v>
      </c>
      <c r="C199">
        <v>8458</v>
      </c>
      <c r="D199">
        <v>750</v>
      </c>
      <c r="E199">
        <v>45</v>
      </c>
      <c r="F199">
        <v>2</v>
      </c>
    </row>
    <row r="200" spans="1:6" x14ac:dyDescent="0.2">
      <c r="A200" t="s">
        <v>461</v>
      </c>
      <c r="B200">
        <v>2022</v>
      </c>
      <c r="C200">
        <v>13663</v>
      </c>
      <c r="D200">
        <v>1631</v>
      </c>
      <c r="E200">
        <v>86</v>
      </c>
      <c r="F200">
        <v>0</v>
      </c>
    </row>
    <row r="201" spans="1:6" x14ac:dyDescent="0.2">
      <c r="A201" t="s">
        <v>1126</v>
      </c>
      <c r="B201">
        <v>2022</v>
      </c>
      <c r="C201">
        <v>0</v>
      </c>
      <c r="D201">
        <v>0</v>
      </c>
      <c r="E201">
        <v>0</v>
      </c>
      <c r="F201">
        <v>0</v>
      </c>
    </row>
    <row r="202" spans="1:6" x14ac:dyDescent="0.2">
      <c r="A202" t="s">
        <v>60</v>
      </c>
      <c r="B202">
        <v>2022</v>
      </c>
      <c r="C202">
        <v>64102</v>
      </c>
      <c r="D202">
        <v>5030</v>
      </c>
      <c r="E202">
        <v>247</v>
      </c>
      <c r="F202">
        <v>95</v>
      </c>
    </row>
    <row r="203" spans="1:6" x14ac:dyDescent="0.2">
      <c r="A203" t="s">
        <v>1127</v>
      </c>
      <c r="B203">
        <v>2022</v>
      </c>
      <c r="C203">
        <v>0</v>
      </c>
      <c r="D203">
        <v>0</v>
      </c>
      <c r="E203">
        <v>0</v>
      </c>
      <c r="F203">
        <v>0</v>
      </c>
    </row>
    <row r="204" spans="1:6" x14ac:dyDescent="0.2">
      <c r="A204" t="s">
        <v>466</v>
      </c>
      <c r="B204">
        <v>2022</v>
      </c>
      <c r="C204">
        <v>126589</v>
      </c>
      <c r="D204">
        <v>20457</v>
      </c>
      <c r="E204">
        <v>1098</v>
      </c>
      <c r="F204">
        <v>44</v>
      </c>
    </row>
    <row r="205" spans="1:6" x14ac:dyDescent="0.2">
      <c r="A205" t="s">
        <v>1253</v>
      </c>
      <c r="B205">
        <v>2022</v>
      </c>
      <c r="C205">
        <v>0</v>
      </c>
      <c r="D205">
        <v>0</v>
      </c>
      <c r="E205">
        <v>0</v>
      </c>
      <c r="F205">
        <v>0</v>
      </c>
    </row>
    <row r="206" spans="1:6" x14ac:dyDescent="0.2">
      <c r="A206" t="s">
        <v>469</v>
      </c>
      <c r="B206">
        <v>2022</v>
      </c>
      <c r="C206">
        <v>17657</v>
      </c>
      <c r="D206">
        <v>1955</v>
      </c>
      <c r="E206">
        <v>135</v>
      </c>
      <c r="F206">
        <v>8</v>
      </c>
    </row>
    <row r="207" spans="1:6" x14ac:dyDescent="0.2">
      <c r="A207" t="s">
        <v>1254</v>
      </c>
      <c r="B207">
        <v>2022</v>
      </c>
      <c r="C207">
        <v>0</v>
      </c>
      <c r="D207">
        <v>0</v>
      </c>
      <c r="E207">
        <v>0</v>
      </c>
      <c r="F207">
        <v>0</v>
      </c>
    </row>
    <row r="208" spans="1:6" x14ac:dyDescent="0.2">
      <c r="A208" t="s">
        <v>61</v>
      </c>
      <c r="B208">
        <v>2022</v>
      </c>
      <c r="C208">
        <v>34363</v>
      </c>
      <c r="D208">
        <v>4799</v>
      </c>
      <c r="E208">
        <v>339</v>
      </c>
      <c r="F208">
        <v>1</v>
      </c>
    </row>
    <row r="209" spans="1:6" x14ac:dyDescent="0.2">
      <c r="A209" t="s">
        <v>62</v>
      </c>
      <c r="B209">
        <v>2022</v>
      </c>
      <c r="C209">
        <v>23473</v>
      </c>
      <c r="D209">
        <v>2459</v>
      </c>
      <c r="E209">
        <v>124</v>
      </c>
      <c r="F209">
        <v>1</v>
      </c>
    </row>
    <row r="210" spans="1:6" x14ac:dyDescent="0.2">
      <c r="A210" t="s">
        <v>63</v>
      </c>
      <c r="B210">
        <v>2022</v>
      </c>
      <c r="C210">
        <v>8979</v>
      </c>
      <c r="D210">
        <v>1420</v>
      </c>
      <c r="E210">
        <v>115</v>
      </c>
      <c r="F210">
        <v>16</v>
      </c>
    </row>
    <row r="211" spans="1:6" x14ac:dyDescent="0.2">
      <c r="A211" t="s">
        <v>64</v>
      </c>
      <c r="B211">
        <v>2022</v>
      </c>
      <c r="C211">
        <v>0</v>
      </c>
      <c r="D211">
        <v>0</v>
      </c>
      <c r="E211">
        <v>0</v>
      </c>
      <c r="F211">
        <v>0</v>
      </c>
    </row>
    <row r="212" spans="1:6" x14ac:dyDescent="0.2">
      <c r="A212" t="s">
        <v>1128</v>
      </c>
      <c r="B212">
        <v>2022</v>
      </c>
      <c r="C212">
        <v>0</v>
      </c>
      <c r="D212">
        <v>0</v>
      </c>
      <c r="E212">
        <v>0</v>
      </c>
      <c r="F212">
        <v>0</v>
      </c>
    </row>
    <row r="213" spans="1:6" x14ac:dyDescent="0.2">
      <c r="A213" t="s">
        <v>65</v>
      </c>
      <c r="B213">
        <v>2022</v>
      </c>
      <c r="C213">
        <v>7605</v>
      </c>
      <c r="D213">
        <v>962</v>
      </c>
      <c r="E213">
        <v>67</v>
      </c>
      <c r="F213">
        <v>3</v>
      </c>
    </row>
    <row r="214" spans="1:6" x14ac:dyDescent="0.2">
      <c r="A214" t="s">
        <v>1255</v>
      </c>
      <c r="B214">
        <v>2022</v>
      </c>
      <c r="C214">
        <v>0</v>
      </c>
      <c r="D214">
        <v>0</v>
      </c>
      <c r="E214">
        <v>0</v>
      </c>
      <c r="F214">
        <v>0</v>
      </c>
    </row>
    <row r="215" spans="1:6" x14ac:dyDescent="0.2">
      <c r="A215" t="s">
        <v>1256</v>
      </c>
      <c r="B215">
        <v>2022</v>
      </c>
      <c r="C215">
        <v>0</v>
      </c>
      <c r="D215">
        <v>0</v>
      </c>
      <c r="E215">
        <v>0</v>
      </c>
      <c r="F215">
        <v>0</v>
      </c>
    </row>
    <row r="216" spans="1:6" x14ac:dyDescent="0.2">
      <c r="A216" t="s">
        <v>480</v>
      </c>
      <c r="B216">
        <v>2022</v>
      </c>
      <c r="C216">
        <v>6399</v>
      </c>
      <c r="D216">
        <v>564</v>
      </c>
      <c r="E216">
        <v>30</v>
      </c>
      <c r="F216">
        <v>0</v>
      </c>
    </row>
    <row r="217" spans="1:6" x14ac:dyDescent="0.2">
      <c r="A217" t="s">
        <v>1257</v>
      </c>
      <c r="B217">
        <v>2022</v>
      </c>
      <c r="C217">
        <v>0</v>
      </c>
      <c r="D217">
        <v>0</v>
      </c>
      <c r="E217">
        <v>0</v>
      </c>
      <c r="F217">
        <v>0</v>
      </c>
    </row>
    <row r="218" spans="1:6" x14ac:dyDescent="0.2">
      <c r="A218" t="s">
        <v>66</v>
      </c>
      <c r="B218">
        <v>2022</v>
      </c>
      <c r="C218">
        <v>19366</v>
      </c>
      <c r="D218">
        <v>1559</v>
      </c>
      <c r="E218">
        <v>49</v>
      </c>
      <c r="F218">
        <v>1</v>
      </c>
    </row>
    <row r="219" spans="1:6" x14ac:dyDescent="0.2">
      <c r="A219" t="s">
        <v>67</v>
      </c>
      <c r="B219">
        <v>2022</v>
      </c>
      <c r="C219">
        <v>13628</v>
      </c>
      <c r="D219">
        <v>523</v>
      </c>
      <c r="E219">
        <v>52</v>
      </c>
      <c r="F219">
        <v>0</v>
      </c>
    </row>
    <row r="220" spans="1:6" x14ac:dyDescent="0.2">
      <c r="A220" t="s">
        <v>487</v>
      </c>
      <c r="B220">
        <v>2022</v>
      </c>
      <c r="C220">
        <v>10621</v>
      </c>
      <c r="D220">
        <v>1204</v>
      </c>
      <c r="E220">
        <v>75</v>
      </c>
      <c r="F220">
        <v>4</v>
      </c>
    </row>
    <row r="221" spans="1:6" x14ac:dyDescent="0.2">
      <c r="A221" t="s">
        <v>68</v>
      </c>
      <c r="B221">
        <v>2022</v>
      </c>
      <c r="C221">
        <v>27468</v>
      </c>
      <c r="D221">
        <v>3258</v>
      </c>
      <c r="E221">
        <v>321</v>
      </c>
      <c r="F221">
        <v>1180</v>
      </c>
    </row>
    <row r="222" spans="1:6" x14ac:dyDescent="0.2">
      <c r="A222" t="s">
        <v>69</v>
      </c>
      <c r="B222">
        <v>2022</v>
      </c>
      <c r="C222">
        <v>0</v>
      </c>
      <c r="D222">
        <v>0</v>
      </c>
      <c r="E222">
        <v>0</v>
      </c>
      <c r="F222">
        <v>0</v>
      </c>
    </row>
    <row r="223" spans="1:6" x14ac:dyDescent="0.2">
      <c r="A223" t="s">
        <v>1258</v>
      </c>
      <c r="B223">
        <v>2022</v>
      </c>
      <c r="C223">
        <v>0</v>
      </c>
      <c r="D223">
        <v>0</v>
      </c>
      <c r="E223">
        <v>0</v>
      </c>
      <c r="F223">
        <v>0</v>
      </c>
    </row>
    <row r="224" spans="1:6" x14ac:dyDescent="0.2">
      <c r="A224" t="s">
        <v>70</v>
      </c>
      <c r="B224">
        <v>2022</v>
      </c>
      <c r="C224">
        <v>45757</v>
      </c>
      <c r="D224">
        <v>3225</v>
      </c>
      <c r="E224">
        <v>248</v>
      </c>
      <c r="F224">
        <v>8</v>
      </c>
    </row>
    <row r="225" spans="1:6" x14ac:dyDescent="0.2">
      <c r="A225" t="s">
        <v>494</v>
      </c>
      <c r="B225">
        <v>2022</v>
      </c>
      <c r="C225">
        <v>9702</v>
      </c>
      <c r="D225">
        <v>1169</v>
      </c>
      <c r="E225">
        <v>58</v>
      </c>
      <c r="F225">
        <v>3</v>
      </c>
    </row>
    <row r="226" spans="1:6" x14ac:dyDescent="0.2">
      <c r="A226" t="s">
        <v>71</v>
      </c>
      <c r="B226">
        <v>2022</v>
      </c>
      <c r="C226">
        <v>12107</v>
      </c>
      <c r="D226">
        <v>881</v>
      </c>
      <c r="E226">
        <v>47</v>
      </c>
      <c r="F226">
        <v>1</v>
      </c>
    </row>
    <row r="227" spans="1:6" x14ac:dyDescent="0.2">
      <c r="A227" t="s">
        <v>1259</v>
      </c>
      <c r="B227">
        <v>2022</v>
      </c>
      <c r="C227">
        <v>0</v>
      </c>
      <c r="D227">
        <v>0</v>
      </c>
      <c r="E227">
        <v>0</v>
      </c>
      <c r="F227">
        <v>0</v>
      </c>
    </row>
    <row r="228" spans="1:6" x14ac:dyDescent="0.2">
      <c r="A228" t="s">
        <v>1260</v>
      </c>
      <c r="B228">
        <v>2022</v>
      </c>
      <c r="C228">
        <v>0</v>
      </c>
      <c r="D228">
        <v>0</v>
      </c>
      <c r="E228">
        <v>0</v>
      </c>
      <c r="F228">
        <v>0</v>
      </c>
    </row>
    <row r="229" spans="1:6" x14ac:dyDescent="0.2">
      <c r="A229" t="s">
        <v>39</v>
      </c>
      <c r="B229">
        <v>2022</v>
      </c>
      <c r="C229">
        <v>26441</v>
      </c>
      <c r="D229">
        <v>2107</v>
      </c>
      <c r="E229">
        <v>67</v>
      </c>
      <c r="F229">
        <v>10</v>
      </c>
    </row>
    <row r="230" spans="1:6" x14ac:dyDescent="0.2">
      <c r="A230" t="s">
        <v>501</v>
      </c>
      <c r="B230">
        <v>2022</v>
      </c>
      <c r="C230">
        <v>20609</v>
      </c>
      <c r="D230">
        <v>2174</v>
      </c>
      <c r="E230">
        <v>105</v>
      </c>
      <c r="F230">
        <v>8</v>
      </c>
    </row>
    <row r="231" spans="1:6" x14ac:dyDescent="0.2">
      <c r="A231" t="s">
        <v>1129</v>
      </c>
      <c r="B231">
        <v>2022</v>
      </c>
      <c r="C231">
        <v>21396</v>
      </c>
      <c r="D231">
        <v>1401</v>
      </c>
      <c r="E231">
        <v>41</v>
      </c>
      <c r="F231">
        <v>0</v>
      </c>
    </row>
    <row r="232" spans="1:6" x14ac:dyDescent="0.2">
      <c r="A232" t="s">
        <v>72</v>
      </c>
      <c r="B232">
        <v>2022</v>
      </c>
      <c r="C232">
        <v>46215</v>
      </c>
      <c r="D232">
        <v>4308</v>
      </c>
      <c r="E232">
        <v>215</v>
      </c>
      <c r="F232">
        <v>13</v>
      </c>
    </row>
    <row r="233" spans="1:6" x14ac:dyDescent="0.2">
      <c r="A233" t="s">
        <v>506</v>
      </c>
      <c r="B233">
        <v>2022</v>
      </c>
      <c r="C233">
        <v>15048</v>
      </c>
      <c r="D233">
        <v>1047</v>
      </c>
      <c r="E233">
        <v>25</v>
      </c>
      <c r="F233">
        <v>0</v>
      </c>
    </row>
    <row r="234" spans="1:6" x14ac:dyDescent="0.2">
      <c r="A234" t="s">
        <v>1261</v>
      </c>
      <c r="B234">
        <v>2022</v>
      </c>
      <c r="C234">
        <v>0</v>
      </c>
      <c r="D234">
        <v>0</v>
      </c>
      <c r="E234">
        <v>0</v>
      </c>
      <c r="F234">
        <v>0</v>
      </c>
    </row>
    <row r="235" spans="1:6" x14ac:dyDescent="0.2">
      <c r="A235" t="s">
        <v>1130</v>
      </c>
      <c r="B235">
        <v>2022</v>
      </c>
      <c r="C235">
        <v>49781</v>
      </c>
      <c r="D235">
        <v>4390</v>
      </c>
      <c r="E235">
        <v>267</v>
      </c>
      <c r="F235">
        <v>9</v>
      </c>
    </row>
    <row r="236" spans="1:6" x14ac:dyDescent="0.2">
      <c r="A236" t="s">
        <v>74</v>
      </c>
      <c r="B236">
        <v>2022</v>
      </c>
      <c r="C236">
        <v>84703</v>
      </c>
      <c r="D236">
        <v>8574</v>
      </c>
      <c r="E236">
        <v>714</v>
      </c>
      <c r="F236">
        <v>7</v>
      </c>
    </row>
    <row r="237" spans="1:6" x14ac:dyDescent="0.2">
      <c r="A237" t="s">
        <v>1262</v>
      </c>
      <c r="B237">
        <v>2022</v>
      </c>
      <c r="C237">
        <v>0</v>
      </c>
      <c r="D237">
        <v>0</v>
      </c>
      <c r="E237">
        <v>0</v>
      </c>
      <c r="F237">
        <v>0</v>
      </c>
    </row>
    <row r="238" spans="1:6" x14ac:dyDescent="0.2">
      <c r="A238" t="s">
        <v>513</v>
      </c>
      <c r="B238">
        <v>2022</v>
      </c>
      <c r="C238">
        <v>8904</v>
      </c>
      <c r="D238">
        <v>726</v>
      </c>
      <c r="E238">
        <v>43</v>
      </c>
      <c r="F238">
        <v>15</v>
      </c>
    </row>
    <row r="239" spans="1:6" x14ac:dyDescent="0.2">
      <c r="A239" t="s">
        <v>516</v>
      </c>
      <c r="B239">
        <v>2022</v>
      </c>
      <c r="C239">
        <v>25750</v>
      </c>
      <c r="D239">
        <v>2861</v>
      </c>
      <c r="E239">
        <v>175</v>
      </c>
      <c r="F239">
        <v>3</v>
      </c>
    </row>
    <row r="240" spans="1:6" x14ac:dyDescent="0.2">
      <c r="A240" t="s">
        <v>1263</v>
      </c>
      <c r="B240">
        <v>2022</v>
      </c>
      <c r="C240">
        <v>0</v>
      </c>
      <c r="D240">
        <v>0</v>
      </c>
      <c r="E240">
        <v>0</v>
      </c>
      <c r="F240">
        <v>0</v>
      </c>
    </row>
    <row r="241" spans="1:6" x14ac:dyDescent="0.2">
      <c r="A241" t="s">
        <v>75</v>
      </c>
      <c r="B241">
        <v>2022</v>
      </c>
      <c r="C241">
        <v>11957</v>
      </c>
      <c r="D241">
        <v>1142</v>
      </c>
      <c r="E241">
        <v>102</v>
      </c>
      <c r="F241">
        <v>0</v>
      </c>
    </row>
    <row r="242" spans="1:6" x14ac:dyDescent="0.2">
      <c r="A242" t="s">
        <v>521</v>
      </c>
      <c r="B242">
        <v>2022</v>
      </c>
      <c r="C242">
        <v>9322</v>
      </c>
      <c r="D242">
        <v>1450</v>
      </c>
      <c r="E242">
        <v>129</v>
      </c>
      <c r="F242">
        <v>1</v>
      </c>
    </row>
    <row r="243" spans="1:6" x14ac:dyDescent="0.2">
      <c r="A243" t="s">
        <v>76</v>
      </c>
      <c r="B243">
        <v>2022</v>
      </c>
      <c r="C243">
        <v>41060</v>
      </c>
      <c r="D243">
        <v>3190</v>
      </c>
      <c r="E243">
        <v>107</v>
      </c>
      <c r="F243">
        <v>1414</v>
      </c>
    </row>
    <row r="244" spans="1:6" x14ac:dyDescent="0.2">
      <c r="A244" t="s">
        <v>526</v>
      </c>
      <c r="B244">
        <v>2022</v>
      </c>
      <c r="C244">
        <v>48613</v>
      </c>
      <c r="D244">
        <v>5521</v>
      </c>
      <c r="E244">
        <v>319</v>
      </c>
      <c r="F244">
        <v>22</v>
      </c>
    </row>
    <row r="245" spans="1:6" x14ac:dyDescent="0.2">
      <c r="A245" t="s">
        <v>529</v>
      </c>
      <c r="B245">
        <v>2022</v>
      </c>
      <c r="C245">
        <v>20660</v>
      </c>
      <c r="D245">
        <v>2569</v>
      </c>
      <c r="E245">
        <v>107</v>
      </c>
      <c r="F245">
        <v>18</v>
      </c>
    </row>
    <row r="246" spans="1:6" x14ac:dyDescent="0.2">
      <c r="A246" t="s">
        <v>532</v>
      </c>
      <c r="B246">
        <v>2022</v>
      </c>
      <c r="C246">
        <v>25586</v>
      </c>
      <c r="D246">
        <v>3350</v>
      </c>
      <c r="E246">
        <v>115</v>
      </c>
      <c r="F246">
        <v>8</v>
      </c>
    </row>
    <row r="247" spans="1:6" x14ac:dyDescent="0.2">
      <c r="A247" t="s">
        <v>535</v>
      </c>
      <c r="B247">
        <v>2022</v>
      </c>
      <c r="C247">
        <v>27912</v>
      </c>
      <c r="D247">
        <v>4574</v>
      </c>
      <c r="E247">
        <v>443</v>
      </c>
      <c r="F247">
        <v>21</v>
      </c>
    </row>
    <row r="248" spans="1:6" x14ac:dyDescent="0.2">
      <c r="A248" t="s">
        <v>1264</v>
      </c>
      <c r="B248">
        <v>2022</v>
      </c>
      <c r="C248">
        <v>0</v>
      </c>
      <c r="D248">
        <v>0</v>
      </c>
      <c r="E248">
        <v>0</v>
      </c>
      <c r="F248">
        <v>0</v>
      </c>
    </row>
    <row r="249" spans="1:6" x14ac:dyDescent="0.2">
      <c r="A249" t="s">
        <v>1265</v>
      </c>
      <c r="B249">
        <v>2022</v>
      </c>
      <c r="C249">
        <v>0</v>
      </c>
      <c r="D249">
        <v>0</v>
      </c>
      <c r="E249">
        <v>0</v>
      </c>
      <c r="F249">
        <v>0</v>
      </c>
    </row>
    <row r="250" spans="1:6" x14ac:dyDescent="0.2">
      <c r="A250" t="s">
        <v>77</v>
      </c>
      <c r="B250">
        <v>2022</v>
      </c>
      <c r="C250">
        <v>29044</v>
      </c>
      <c r="D250">
        <v>3998</v>
      </c>
      <c r="E250">
        <v>204</v>
      </c>
      <c r="F250">
        <v>28</v>
      </c>
    </row>
    <row r="251" spans="1:6" x14ac:dyDescent="0.2">
      <c r="A251" t="s">
        <v>78</v>
      </c>
      <c r="B251">
        <v>2022</v>
      </c>
      <c r="C251">
        <v>0</v>
      </c>
      <c r="D251">
        <v>0</v>
      </c>
      <c r="E251">
        <v>0</v>
      </c>
      <c r="F251">
        <v>0</v>
      </c>
    </row>
    <row r="252" spans="1:6" x14ac:dyDescent="0.2">
      <c r="A252" t="s">
        <v>79</v>
      </c>
      <c r="B252">
        <v>2022</v>
      </c>
      <c r="C252">
        <v>34648</v>
      </c>
      <c r="D252">
        <v>4814</v>
      </c>
      <c r="E252">
        <v>183</v>
      </c>
      <c r="F252">
        <v>0</v>
      </c>
    </row>
    <row r="253" spans="1:6" x14ac:dyDescent="0.2">
      <c r="A253" t="s">
        <v>1266</v>
      </c>
      <c r="B253">
        <v>2022</v>
      </c>
      <c r="C253">
        <v>0</v>
      </c>
      <c r="D253">
        <v>0</v>
      </c>
      <c r="E253">
        <v>0</v>
      </c>
      <c r="F253">
        <v>0</v>
      </c>
    </row>
    <row r="254" spans="1:6" x14ac:dyDescent="0.2">
      <c r="A254" t="s">
        <v>542</v>
      </c>
      <c r="B254">
        <v>2022</v>
      </c>
      <c r="C254">
        <v>25862</v>
      </c>
      <c r="D254">
        <v>2943</v>
      </c>
      <c r="E254">
        <v>269</v>
      </c>
      <c r="F254">
        <v>24</v>
      </c>
    </row>
    <row r="255" spans="1:6" x14ac:dyDescent="0.2">
      <c r="A255" t="s">
        <v>80</v>
      </c>
      <c r="B255">
        <v>2022</v>
      </c>
      <c r="C255">
        <v>73318</v>
      </c>
      <c r="D255">
        <v>8749</v>
      </c>
      <c r="E255">
        <v>163</v>
      </c>
      <c r="F255">
        <v>1</v>
      </c>
    </row>
    <row r="256" spans="1:6" x14ac:dyDescent="0.2">
      <c r="A256" t="s">
        <v>1267</v>
      </c>
      <c r="B256">
        <v>2022</v>
      </c>
      <c r="C256">
        <v>0</v>
      </c>
      <c r="D256">
        <v>0</v>
      </c>
      <c r="E256">
        <v>0</v>
      </c>
      <c r="F256">
        <v>0</v>
      </c>
    </row>
    <row r="257" spans="1:6" x14ac:dyDescent="0.2">
      <c r="A257" t="s">
        <v>547</v>
      </c>
      <c r="B257">
        <v>2022</v>
      </c>
      <c r="C257">
        <v>22066</v>
      </c>
      <c r="D257">
        <v>1553</v>
      </c>
      <c r="E257">
        <v>38</v>
      </c>
      <c r="F257">
        <v>0</v>
      </c>
    </row>
    <row r="258" spans="1:6" x14ac:dyDescent="0.2">
      <c r="A258" t="s">
        <v>550</v>
      </c>
      <c r="B258">
        <v>2022</v>
      </c>
      <c r="C258">
        <v>16652</v>
      </c>
      <c r="D258">
        <v>1539</v>
      </c>
      <c r="E258">
        <v>102</v>
      </c>
      <c r="F258">
        <v>1</v>
      </c>
    </row>
    <row r="259" spans="1:6" x14ac:dyDescent="0.2">
      <c r="A259" t="s">
        <v>1268</v>
      </c>
      <c r="B259">
        <v>2022</v>
      </c>
      <c r="C259">
        <v>0</v>
      </c>
      <c r="D259">
        <v>0</v>
      </c>
      <c r="E259">
        <v>0</v>
      </c>
      <c r="F259">
        <v>0</v>
      </c>
    </row>
    <row r="260" spans="1:6" x14ac:dyDescent="0.2">
      <c r="A260" t="s">
        <v>1269</v>
      </c>
      <c r="B260">
        <v>2022</v>
      </c>
      <c r="C260">
        <v>0</v>
      </c>
      <c r="D260">
        <v>0</v>
      </c>
      <c r="E260">
        <v>0</v>
      </c>
      <c r="F260">
        <v>0</v>
      </c>
    </row>
    <row r="261" spans="1:6" x14ac:dyDescent="0.2">
      <c r="A261" t="s">
        <v>1270</v>
      </c>
      <c r="B261">
        <v>2022</v>
      </c>
      <c r="C261">
        <v>0</v>
      </c>
      <c r="D261">
        <v>0</v>
      </c>
      <c r="E261">
        <v>0</v>
      </c>
      <c r="F261">
        <v>0</v>
      </c>
    </row>
    <row r="262" spans="1:6" x14ac:dyDescent="0.2">
      <c r="A262" t="s">
        <v>1271</v>
      </c>
      <c r="B262">
        <v>2022</v>
      </c>
      <c r="C262">
        <v>0</v>
      </c>
      <c r="D262">
        <v>0</v>
      </c>
      <c r="E262">
        <v>0</v>
      </c>
      <c r="F262">
        <v>0</v>
      </c>
    </row>
    <row r="263" spans="1:6" x14ac:dyDescent="0.2">
      <c r="A263" t="s">
        <v>553</v>
      </c>
      <c r="B263">
        <v>2022</v>
      </c>
      <c r="C263">
        <v>15587</v>
      </c>
      <c r="D263">
        <v>1335</v>
      </c>
      <c r="E263">
        <v>67</v>
      </c>
      <c r="F263">
        <v>0</v>
      </c>
    </row>
    <row r="264" spans="1:6" x14ac:dyDescent="0.2">
      <c r="A264" t="s">
        <v>1272</v>
      </c>
      <c r="B264">
        <v>2022</v>
      </c>
      <c r="C264">
        <v>0</v>
      </c>
      <c r="D264">
        <v>0</v>
      </c>
      <c r="E264">
        <v>0</v>
      </c>
      <c r="F264">
        <v>0</v>
      </c>
    </row>
    <row r="265" spans="1:6" x14ac:dyDescent="0.2">
      <c r="A265" t="s">
        <v>556</v>
      </c>
      <c r="B265">
        <v>2022</v>
      </c>
      <c r="C265">
        <v>15061</v>
      </c>
      <c r="D265">
        <v>1888</v>
      </c>
      <c r="E265">
        <v>183</v>
      </c>
      <c r="F265">
        <v>0</v>
      </c>
    </row>
    <row r="266" spans="1:6" x14ac:dyDescent="0.2">
      <c r="A266" t="s">
        <v>81</v>
      </c>
      <c r="B266">
        <v>2022</v>
      </c>
      <c r="C266">
        <v>24565</v>
      </c>
      <c r="D266">
        <v>3209</v>
      </c>
      <c r="E266">
        <v>195</v>
      </c>
      <c r="F266">
        <v>0</v>
      </c>
    </row>
    <row r="267" spans="1:6" x14ac:dyDescent="0.2">
      <c r="A267" t="s">
        <v>561</v>
      </c>
      <c r="B267">
        <v>2022</v>
      </c>
      <c r="C267">
        <v>7227</v>
      </c>
      <c r="D267">
        <v>909</v>
      </c>
      <c r="E267">
        <v>39</v>
      </c>
      <c r="F267">
        <v>30</v>
      </c>
    </row>
    <row r="268" spans="1:6" x14ac:dyDescent="0.2">
      <c r="A268" t="s">
        <v>564</v>
      </c>
      <c r="B268">
        <v>2022</v>
      </c>
      <c r="C268">
        <v>27215</v>
      </c>
      <c r="D268">
        <v>3027</v>
      </c>
      <c r="E268">
        <v>486</v>
      </c>
      <c r="F268">
        <v>19</v>
      </c>
    </row>
    <row r="269" spans="1:6" x14ac:dyDescent="0.2">
      <c r="A269" t="s">
        <v>32</v>
      </c>
      <c r="B269">
        <v>2022</v>
      </c>
      <c r="C269">
        <v>24608</v>
      </c>
      <c r="D269">
        <v>1711</v>
      </c>
      <c r="E269">
        <v>104</v>
      </c>
      <c r="F269">
        <v>21</v>
      </c>
    </row>
    <row r="270" spans="1:6" x14ac:dyDescent="0.2">
      <c r="A270" t="s">
        <v>1273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 x14ac:dyDescent="0.2">
      <c r="A271" t="s">
        <v>1274</v>
      </c>
      <c r="B271">
        <v>2022</v>
      </c>
      <c r="C271">
        <v>0</v>
      </c>
      <c r="D271">
        <v>0</v>
      </c>
      <c r="E271">
        <v>0</v>
      </c>
      <c r="F271">
        <v>0</v>
      </c>
    </row>
    <row r="272" spans="1:6" x14ac:dyDescent="0.2">
      <c r="A272" t="s">
        <v>569</v>
      </c>
      <c r="B272">
        <v>2022</v>
      </c>
      <c r="C272">
        <v>12898</v>
      </c>
      <c r="D272">
        <v>2220</v>
      </c>
      <c r="E272">
        <v>168</v>
      </c>
      <c r="F272">
        <v>3</v>
      </c>
    </row>
    <row r="273" spans="1:6" x14ac:dyDescent="0.2">
      <c r="A273" t="s">
        <v>1131</v>
      </c>
      <c r="B273">
        <v>2022</v>
      </c>
      <c r="C273">
        <v>0</v>
      </c>
      <c r="D273">
        <v>0</v>
      </c>
      <c r="E273">
        <v>0</v>
      </c>
      <c r="F273">
        <v>0</v>
      </c>
    </row>
    <row r="274" spans="1:6" x14ac:dyDescent="0.2">
      <c r="A274" t="s">
        <v>1132</v>
      </c>
      <c r="B274">
        <v>2022</v>
      </c>
      <c r="C274">
        <v>0</v>
      </c>
      <c r="D274">
        <v>0</v>
      </c>
      <c r="E274">
        <v>0</v>
      </c>
      <c r="F274">
        <v>0</v>
      </c>
    </row>
    <row r="275" spans="1:6" x14ac:dyDescent="0.2">
      <c r="A275" t="s">
        <v>572</v>
      </c>
      <c r="B275">
        <v>2022</v>
      </c>
      <c r="C275">
        <v>13987</v>
      </c>
      <c r="D275">
        <v>1029</v>
      </c>
      <c r="E275">
        <v>98</v>
      </c>
      <c r="F275">
        <v>0</v>
      </c>
    </row>
    <row r="276" spans="1:6" x14ac:dyDescent="0.2">
      <c r="A276" t="s">
        <v>575</v>
      </c>
      <c r="B276">
        <v>2022</v>
      </c>
      <c r="C276">
        <v>28953</v>
      </c>
      <c r="D276">
        <v>4194</v>
      </c>
      <c r="E276">
        <v>288</v>
      </c>
      <c r="F276">
        <v>0</v>
      </c>
    </row>
    <row r="277" spans="1:6" x14ac:dyDescent="0.2">
      <c r="A277" t="s">
        <v>578</v>
      </c>
      <c r="B277">
        <v>2022</v>
      </c>
      <c r="C277">
        <v>12970</v>
      </c>
      <c r="D277">
        <v>1703</v>
      </c>
      <c r="E277">
        <v>168</v>
      </c>
      <c r="F277">
        <v>0</v>
      </c>
    </row>
    <row r="278" spans="1:6" x14ac:dyDescent="0.2">
      <c r="A278" t="s">
        <v>1133</v>
      </c>
      <c r="B278">
        <v>2022</v>
      </c>
      <c r="C278">
        <v>0</v>
      </c>
      <c r="D278">
        <v>0</v>
      </c>
      <c r="E278">
        <v>0</v>
      </c>
      <c r="F278">
        <v>0</v>
      </c>
    </row>
    <row r="279" spans="1:6" x14ac:dyDescent="0.2">
      <c r="A279" t="s">
        <v>82</v>
      </c>
      <c r="B279">
        <v>2022</v>
      </c>
      <c r="C279">
        <v>21428</v>
      </c>
      <c r="D279">
        <v>1438</v>
      </c>
      <c r="E279">
        <v>93</v>
      </c>
      <c r="F279">
        <v>0</v>
      </c>
    </row>
    <row r="280" spans="1:6" x14ac:dyDescent="0.2">
      <c r="A280" t="s">
        <v>581</v>
      </c>
      <c r="B280">
        <v>2022</v>
      </c>
      <c r="C280">
        <v>52033</v>
      </c>
      <c r="D280">
        <v>5881</v>
      </c>
      <c r="E280">
        <v>614</v>
      </c>
      <c r="F280">
        <v>13</v>
      </c>
    </row>
    <row r="281" spans="1:6" x14ac:dyDescent="0.2">
      <c r="A281" t="s">
        <v>586</v>
      </c>
      <c r="B281">
        <v>2022</v>
      </c>
      <c r="C281">
        <v>5678</v>
      </c>
      <c r="D281">
        <v>539</v>
      </c>
      <c r="E281">
        <v>13</v>
      </c>
      <c r="F281">
        <v>1</v>
      </c>
    </row>
    <row r="282" spans="1:6" x14ac:dyDescent="0.2">
      <c r="A282" t="s">
        <v>1134</v>
      </c>
      <c r="B282">
        <v>2022</v>
      </c>
      <c r="C282">
        <v>0</v>
      </c>
      <c r="D282">
        <v>0</v>
      </c>
      <c r="E282">
        <v>0</v>
      </c>
      <c r="F282">
        <v>0</v>
      </c>
    </row>
    <row r="283" spans="1:6" x14ac:dyDescent="0.2">
      <c r="A283" t="s">
        <v>589</v>
      </c>
      <c r="B283">
        <v>2022</v>
      </c>
      <c r="C283">
        <v>32099</v>
      </c>
      <c r="D283">
        <v>3557</v>
      </c>
      <c r="E283">
        <v>340</v>
      </c>
      <c r="F283">
        <v>6</v>
      </c>
    </row>
    <row r="284" spans="1:6" x14ac:dyDescent="0.2">
      <c r="A284" t="s">
        <v>1135</v>
      </c>
      <c r="B284">
        <v>2022</v>
      </c>
      <c r="C284">
        <v>6932</v>
      </c>
      <c r="D284">
        <v>396</v>
      </c>
      <c r="E284">
        <v>12</v>
      </c>
      <c r="F284">
        <v>0</v>
      </c>
    </row>
    <row r="285" spans="1:6" x14ac:dyDescent="0.2">
      <c r="A285" t="s">
        <v>1136</v>
      </c>
      <c r="B285">
        <v>2022</v>
      </c>
      <c r="C285">
        <v>0</v>
      </c>
      <c r="D285">
        <v>0</v>
      </c>
      <c r="E285">
        <v>0</v>
      </c>
      <c r="F285">
        <v>0</v>
      </c>
    </row>
    <row r="286" spans="1:6" x14ac:dyDescent="0.2">
      <c r="A286" t="s">
        <v>83</v>
      </c>
      <c r="B286">
        <v>2022</v>
      </c>
      <c r="C286">
        <v>0</v>
      </c>
      <c r="D286">
        <v>0</v>
      </c>
      <c r="E286">
        <v>0</v>
      </c>
      <c r="F286">
        <v>0</v>
      </c>
    </row>
    <row r="287" spans="1:6" x14ac:dyDescent="0.2">
      <c r="A287" t="s">
        <v>1275</v>
      </c>
      <c r="B287">
        <v>2022</v>
      </c>
      <c r="C287">
        <v>0</v>
      </c>
      <c r="D287">
        <v>0</v>
      </c>
      <c r="E287">
        <v>0</v>
      </c>
      <c r="F287">
        <v>0</v>
      </c>
    </row>
    <row r="288" spans="1:6" x14ac:dyDescent="0.2">
      <c r="A288" t="s">
        <v>84</v>
      </c>
      <c r="B288">
        <v>2022</v>
      </c>
      <c r="C288">
        <v>57846</v>
      </c>
      <c r="D288">
        <v>6119</v>
      </c>
      <c r="E288">
        <v>410</v>
      </c>
      <c r="F288">
        <v>9</v>
      </c>
    </row>
    <row r="289" spans="1:6" x14ac:dyDescent="0.2">
      <c r="A289" t="s">
        <v>1137</v>
      </c>
      <c r="B289">
        <v>2022</v>
      </c>
      <c r="C289">
        <v>0</v>
      </c>
      <c r="D289">
        <v>0</v>
      </c>
      <c r="E289">
        <v>0</v>
      </c>
      <c r="F289">
        <v>0</v>
      </c>
    </row>
    <row r="290" spans="1:6" x14ac:dyDescent="0.2">
      <c r="A290" t="s">
        <v>85</v>
      </c>
      <c r="B290">
        <v>2022</v>
      </c>
      <c r="C290">
        <v>40657</v>
      </c>
      <c r="D290">
        <v>3195</v>
      </c>
      <c r="E290">
        <v>129</v>
      </c>
      <c r="F290">
        <v>0</v>
      </c>
    </row>
    <row r="291" spans="1:6" x14ac:dyDescent="0.2">
      <c r="A291" t="s">
        <v>599</v>
      </c>
      <c r="B291">
        <v>2022</v>
      </c>
      <c r="C291">
        <v>13131</v>
      </c>
      <c r="D291">
        <v>1100</v>
      </c>
      <c r="E291">
        <v>26</v>
      </c>
      <c r="F291">
        <v>0</v>
      </c>
    </row>
    <row r="292" spans="1:6" x14ac:dyDescent="0.2">
      <c r="A292" t="s">
        <v>1276</v>
      </c>
      <c r="B292">
        <v>2022</v>
      </c>
      <c r="C292">
        <v>0</v>
      </c>
      <c r="D292">
        <v>0</v>
      </c>
      <c r="E292">
        <v>0</v>
      </c>
      <c r="F292">
        <v>0</v>
      </c>
    </row>
    <row r="293" spans="1:6" x14ac:dyDescent="0.2">
      <c r="A293" t="s">
        <v>602</v>
      </c>
      <c r="B293">
        <v>2022</v>
      </c>
      <c r="C293">
        <v>36033</v>
      </c>
      <c r="D293">
        <v>3136</v>
      </c>
      <c r="E293">
        <v>90</v>
      </c>
      <c r="F293">
        <v>1</v>
      </c>
    </row>
    <row r="294" spans="1:6" x14ac:dyDescent="0.2">
      <c r="A294" t="s">
        <v>86</v>
      </c>
      <c r="B294">
        <v>2022</v>
      </c>
      <c r="C294">
        <v>37988</v>
      </c>
      <c r="D294">
        <v>3330</v>
      </c>
      <c r="E294">
        <v>84</v>
      </c>
      <c r="F294">
        <v>10</v>
      </c>
    </row>
    <row r="295" spans="1:6" x14ac:dyDescent="0.2">
      <c r="A295" t="s">
        <v>1138</v>
      </c>
      <c r="B295">
        <v>2022</v>
      </c>
      <c r="C295">
        <v>0</v>
      </c>
      <c r="D295">
        <v>0</v>
      </c>
      <c r="E295">
        <v>0</v>
      </c>
      <c r="F295">
        <v>0</v>
      </c>
    </row>
    <row r="296" spans="1:6" x14ac:dyDescent="0.2">
      <c r="A296" t="s">
        <v>607</v>
      </c>
      <c r="B296">
        <v>2022</v>
      </c>
      <c r="C296">
        <v>21858</v>
      </c>
      <c r="D296">
        <v>2638</v>
      </c>
      <c r="E296">
        <v>237</v>
      </c>
      <c r="F296">
        <v>26</v>
      </c>
    </row>
    <row r="297" spans="1:6" x14ac:dyDescent="0.2">
      <c r="A297" t="s">
        <v>610</v>
      </c>
      <c r="B297">
        <v>2022</v>
      </c>
      <c r="C297">
        <v>16235</v>
      </c>
      <c r="D297">
        <v>1167</v>
      </c>
      <c r="E297">
        <v>34</v>
      </c>
      <c r="F297">
        <v>0</v>
      </c>
    </row>
    <row r="298" spans="1:6" x14ac:dyDescent="0.2">
      <c r="A298" t="s">
        <v>1277</v>
      </c>
      <c r="B298">
        <v>2022</v>
      </c>
      <c r="C298">
        <v>0</v>
      </c>
      <c r="D298">
        <v>0</v>
      </c>
      <c r="E298">
        <v>0</v>
      </c>
      <c r="F298">
        <v>0</v>
      </c>
    </row>
    <row r="299" spans="1:6" x14ac:dyDescent="0.2">
      <c r="A299" t="s">
        <v>1278</v>
      </c>
      <c r="B299">
        <v>2022</v>
      </c>
      <c r="C299">
        <v>0</v>
      </c>
      <c r="D299">
        <v>0</v>
      </c>
      <c r="E299">
        <v>0</v>
      </c>
      <c r="F299">
        <v>0</v>
      </c>
    </row>
    <row r="300" spans="1:6" x14ac:dyDescent="0.2">
      <c r="A300" t="s">
        <v>1279</v>
      </c>
      <c r="B300">
        <v>2022</v>
      </c>
      <c r="C300">
        <v>0</v>
      </c>
      <c r="D300">
        <v>0</v>
      </c>
      <c r="E300">
        <v>0</v>
      </c>
      <c r="F300">
        <v>0</v>
      </c>
    </row>
    <row r="301" spans="1:6" x14ac:dyDescent="0.2">
      <c r="A301" t="s">
        <v>1139</v>
      </c>
      <c r="B301">
        <v>2022</v>
      </c>
      <c r="C301">
        <v>0</v>
      </c>
      <c r="D301">
        <v>0</v>
      </c>
      <c r="E301">
        <v>0</v>
      </c>
      <c r="F301">
        <v>0</v>
      </c>
    </row>
    <row r="302" spans="1:6" x14ac:dyDescent="0.2">
      <c r="A302" t="s">
        <v>1280</v>
      </c>
      <c r="B302">
        <v>2022</v>
      </c>
      <c r="C302">
        <v>0</v>
      </c>
      <c r="D302">
        <v>0</v>
      </c>
      <c r="E302">
        <v>0</v>
      </c>
      <c r="F302">
        <v>0</v>
      </c>
    </row>
    <row r="303" spans="1:6" x14ac:dyDescent="0.2">
      <c r="A303" t="s">
        <v>1140</v>
      </c>
      <c r="B303">
        <v>2022</v>
      </c>
      <c r="C303">
        <v>0</v>
      </c>
      <c r="D303">
        <v>0</v>
      </c>
      <c r="E303">
        <v>0</v>
      </c>
      <c r="F303">
        <v>0</v>
      </c>
    </row>
    <row r="304" spans="1:6" x14ac:dyDescent="0.2">
      <c r="A304" t="s">
        <v>613</v>
      </c>
      <c r="B304">
        <v>2022</v>
      </c>
      <c r="C304">
        <v>24972</v>
      </c>
      <c r="D304">
        <v>2217</v>
      </c>
      <c r="E304">
        <v>203</v>
      </c>
      <c r="F304">
        <v>0</v>
      </c>
    </row>
    <row r="305" spans="1:6" x14ac:dyDescent="0.2">
      <c r="A305" t="s">
        <v>616</v>
      </c>
      <c r="B305">
        <v>2022</v>
      </c>
      <c r="C305">
        <v>12078</v>
      </c>
      <c r="D305">
        <v>1221</v>
      </c>
      <c r="E305">
        <v>83</v>
      </c>
      <c r="F305">
        <v>0</v>
      </c>
    </row>
    <row r="306" spans="1:6" x14ac:dyDescent="0.2">
      <c r="A306" t="s">
        <v>1141</v>
      </c>
      <c r="B306">
        <v>2022</v>
      </c>
      <c r="C306">
        <v>0</v>
      </c>
      <c r="D306">
        <v>0</v>
      </c>
      <c r="E306">
        <v>0</v>
      </c>
      <c r="F306">
        <v>0</v>
      </c>
    </row>
    <row r="307" spans="1:6" x14ac:dyDescent="0.2">
      <c r="A307" t="s">
        <v>1142</v>
      </c>
      <c r="B307">
        <v>2022</v>
      </c>
      <c r="C307">
        <v>0</v>
      </c>
      <c r="D307">
        <v>0</v>
      </c>
      <c r="E307">
        <v>0</v>
      </c>
      <c r="F307">
        <v>0</v>
      </c>
    </row>
    <row r="308" spans="1:6" x14ac:dyDescent="0.2">
      <c r="A308" t="s">
        <v>87</v>
      </c>
      <c r="B308">
        <v>2022</v>
      </c>
      <c r="C308">
        <v>20069</v>
      </c>
      <c r="D308">
        <v>1858</v>
      </c>
      <c r="E308">
        <v>110</v>
      </c>
      <c r="F308">
        <v>0</v>
      </c>
    </row>
    <row r="309" spans="1:6" x14ac:dyDescent="0.2">
      <c r="A309" t="s">
        <v>1143</v>
      </c>
      <c r="B309">
        <v>2022</v>
      </c>
      <c r="C309">
        <v>0</v>
      </c>
      <c r="D309">
        <v>0</v>
      </c>
      <c r="E309">
        <v>0</v>
      </c>
      <c r="F309">
        <v>0</v>
      </c>
    </row>
    <row r="310" spans="1:6" x14ac:dyDescent="0.2">
      <c r="A310" t="s">
        <v>621</v>
      </c>
      <c r="B310">
        <v>2022</v>
      </c>
      <c r="C310">
        <v>13392</v>
      </c>
      <c r="D310">
        <v>1388</v>
      </c>
      <c r="E310">
        <v>73</v>
      </c>
      <c r="F310">
        <v>1</v>
      </c>
    </row>
    <row r="311" spans="1:6" x14ac:dyDescent="0.2">
      <c r="A311" t="s">
        <v>1281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 x14ac:dyDescent="0.2">
      <c r="A312" t="s">
        <v>624</v>
      </c>
      <c r="B312">
        <v>2022</v>
      </c>
      <c r="C312">
        <v>7931</v>
      </c>
      <c r="D312">
        <v>1637</v>
      </c>
      <c r="E312">
        <v>169</v>
      </c>
      <c r="F312">
        <v>1</v>
      </c>
    </row>
    <row r="313" spans="1:6" x14ac:dyDescent="0.2">
      <c r="A313" t="s">
        <v>88</v>
      </c>
      <c r="B313">
        <v>2022</v>
      </c>
      <c r="C313">
        <v>0</v>
      </c>
      <c r="D313">
        <v>0</v>
      </c>
      <c r="E313">
        <v>0</v>
      </c>
      <c r="F313">
        <v>0</v>
      </c>
    </row>
    <row r="314" spans="1:6" x14ac:dyDescent="0.2">
      <c r="A314" t="s">
        <v>627</v>
      </c>
      <c r="B314">
        <v>2022</v>
      </c>
      <c r="C314">
        <v>12734</v>
      </c>
      <c r="D314">
        <v>1134</v>
      </c>
      <c r="E314">
        <v>48</v>
      </c>
      <c r="F314">
        <v>7</v>
      </c>
    </row>
    <row r="315" spans="1:6" x14ac:dyDescent="0.2">
      <c r="A315" t="s">
        <v>1282</v>
      </c>
      <c r="B315">
        <v>2022</v>
      </c>
      <c r="C315">
        <v>0</v>
      </c>
      <c r="D315">
        <v>0</v>
      </c>
      <c r="E315">
        <v>0</v>
      </c>
      <c r="F315">
        <v>0</v>
      </c>
    </row>
    <row r="316" spans="1:6" x14ac:dyDescent="0.2">
      <c r="A316" t="s">
        <v>89</v>
      </c>
      <c r="B316">
        <v>2022</v>
      </c>
      <c r="C316">
        <v>0</v>
      </c>
      <c r="D316">
        <v>0</v>
      </c>
      <c r="E316">
        <v>0</v>
      </c>
      <c r="F316">
        <v>0</v>
      </c>
    </row>
    <row r="317" spans="1:6" x14ac:dyDescent="0.2">
      <c r="A317" t="s">
        <v>1283</v>
      </c>
      <c r="B317">
        <v>2022</v>
      </c>
      <c r="C317">
        <v>0</v>
      </c>
      <c r="D317">
        <v>0</v>
      </c>
      <c r="E317">
        <v>0</v>
      </c>
      <c r="F317">
        <v>0</v>
      </c>
    </row>
    <row r="318" spans="1:6" x14ac:dyDescent="0.2">
      <c r="A318" t="s">
        <v>1284</v>
      </c>
      <c r="B318">
        <v>2022</v>
      </c>
      <c r="C318">
        <v>0</v>
      </c>
      <c r="D318">
        <v>0</v>
      </c>
      <c r="E318">
        <v>0</v>
      </c>
      <c r="F318">
        <v>0</v>
      </c>
    </row>
    <row r="319" spans="1:6" x14ac:dyDescent="0.2">
      <c r="A319" t="s">
        <v>1285</v>
      </c>
      <c r="B319">
        <v>2022</v>
      </c>
      <c r="C319">
        <v>0</v>
      </c>
      <c r="D319">
        <v>0</v>
      </c>
      <c r="E319">
        <v>0</v>
      </c>
      <c r="F319">
        <v>0</v>
      </c>
    </row>
    <row r="320" spans="1:6" x14ac:dyDescent="0.2">
      <c r="A320" t="s">
        <v>1144</v>
      </c>
      <c r="B320">
        <v>2022</v>
      </c>
      <c r="C320">
        <v>0</v>
      </c>
      <c r="D320">
        <v>0</v>
      </c>
      <c r="E320">
        <v>0</v>
      </c>
      <c r="F320">
        <v>0</v>
      </c>
    </row>
    <row r="321" spans="1:6" x14ac:dyDescent="0.2">
      <c r="A321" t="s">
        <v>630</v>
      </c>
      <c r="B321">
        <v>2022</v>
      </c>
      <c r="C321">
        <v>15021</v>
      </c>
      <c r="D321">
        <v>2622</v>
      </c>
      <c r="E321">
        <v>239</v>
      </c>
      <c r="F321">
        <v>81</v>
      </c>
    </row>
    <row r="322" spans="1:6" x14ac:dyDescent="0.2">
      <c r="A322" t="s">
        <v>633</v>
      </c>
      <c r="B322">
        <v>2022</v>
      </c>
      <c r="C322">
        <v>14577</v>
      </c>
      <c r="D322">
        <v>1472</v>
      </c>
      <c r="E322">
        <v>110</v>
      </c>
      <c r="F322">
        <v>5</v>
      </c>
    </row>
    <row r="323" spans="1:6" x14ac:dyDescent="0.2">
      <c r="A323" t="s">
        <v>636</v>
      </c>
      <c r="B323">
        <v>2022</v>
      </c>
      <c r="C323">
        <v>35218</v>
      </c>
      <c r="D323">
        <v>5610</v>
      </c>
      <c r="E323">
        <v>502</v>
      </c>
      <c r="F323">
        <v>9</v>
      </c>
    </row>
    <row r="324" spans="1:6" x14ac:dyDescent="0.2">
      <c r="A324" t="s">
        <v>1286</v>
      </c>
      <c r="B324">
        <v>2022</v>
      </c>
      <c r="C324">
        <v>0</v>
      </c>
      <c r="D324">
        <v>0</v>
      </c>
      <c r="E324">
        <v>0</v>
      </c>
      <c r="F324">
        <v>0</v>
      </c>
    </row>
    <row r="325" spans="1:6" x14ac:dyDescent="0.2">
      <c r="A325" t="s">
        <v>639</v>
      </c>
      <c r="B325">
        <v>2022</v>
      </c>
      <c r="C325">
        <v>15676</v>
      </c>
      <c r="D325">
        <v>1053</v>
      </c>
      <c r="E325">
        <v>39</v>
      </c>
      <c r="F325">
        <v>9</v>
      </c>
    </row>
    <row r="326" spans="1:6" x14ac:dyDescent="0.2">
      <c r="A326" t="s">
        <v>90</v>
      </c>
      <c r="B326">
        <v>2022</v>
      </c>
      <c r="C326">
        <v>46846</v>
      </c>
      <c r="D326">
        <v>3355</v>
      </c>
      <c r="E326">
        <v>222</v>
      </c>
      <c r="F326">
        <v>10</v>
      </c>
    </row>
    <row r="327" spans="1:6" x14ac:dyDescent="0.2">
      <c r="A327" t="s">
        <v>1145</v>
      </c>
      <c r="B327">
        <v>2022</v>
      </c>
      <c r="C327">
        <v>0</v>
      </c>
      <c r="D327">
        <v>0</v>
      </c>
      <c r="E327">
        <v>0</v>
      </c>
      <c r="F327">
        <v>0</v>
      </c>
    </row>
    <row r="328" spans="1:6" x14ac:dyDescent="0.2">
      <c r="A328" t="s">
        <v>1287</v>
      </c>
      <c r="B328">
        <v>2022</v>
      </c>
      <c r="C328">
        <v>0</v>
      </c>
      <c r="D328">
        <v>0</v>
      </c>
      <c r="E328">
        <v>0</v>
      </c>
      <c r="F328">
        <v>0</v>
      </c>
    </row>
    <row r="329" spans="1:6" x14ac:dyDescent="0.2">
      <c r="A329" t="s">
        <v>1146</v>
      </c>
      <c r="B329">
        <v>2022</v>
      </c>
      <c r="C329">
        <v>0</v>
      </c>
      <c r="D329">
        <v>0</v>
      </c>
      <c r="E329">
        <v>0</v>
      </c>
      <c r="F329">
        <v>0</v>
      </c>
    </row>
    <row r="330" spans="1:6" x14ac:dyDescent="0.2">
      <c r="A330" t="s">
        <v>1147</v>
      </c>
      <c r="B330">
        <v>2022</v>
      </c>
      <c r="C330">
        <v>0</v>
      </c>
      <c r="D330">
        <v>0</v>
      </c>
      <c r="E330">
        <v>0</v>
      </c>
      <c r="F330">
        <v>0</v>
      </c>
    </row>
    <row r="331" spans="1:6" x14ac:dyDescent="0.2">
      <c r="A331" t="s">
        <v>644</v>
      </c>
      <c r="B331">
        <v>2022</v>
      </c>
      <c r="C331">
        <v>24869</v>
      </c>
      <c r="D331">
        <v>3894</v>
      </c>
      <c r="E331">
        <v>503</v>
      </c>
      <c r="F331">
        <v>5</v>
      </c>
    </row>
    <row r="332" spans="1:6" x14ac:dyDescent="0.2">
      <c r="A332" t="s">
        <v>1288</v>
      </c>
      <c r="B332">
        <v>2022</v>
      </c>
      <c r="C332">
        <v>0</v>
      </c>
      <c r="D332">
        <v>0</v>
      </c>
      <c r="E332">
        <v>0</v>
      </c>
      <c r="F332">
        <v>0</v>
      </c>
    </row>
    <row r="333" spans="1:6" x14ac:dyDescent="0.2">
      <c r="A333" t="s">
        <v>91</v>
      </c>
      <c r="B333">
        <v>2022</v>
      </c>
      <c r="C333">
        <v>10761</v>
      </c>
      <c r="D333">
        <v>1225</v>
      </c>
      <c r="E333">
        <v>141</v>
      </c>
      <c r="F333">
        <v>1</v>
      </c>
    </row>
    <row r="334" spans="1:6" x14ac:dyDescent="0.2">
      <c r="A334" t="s">
        <v>649</v>
      </c>
      <c r="B334">
        <v>2022</v>
      </c>
      <c r="C334">
        <v>47192</v>
      </c>
      <c r="D334">
        <v>7310</v>
      </c>
      <c r="E334">
        <v>557</v>
      </c>
      <c r="F334">
        <v>33</v>
      </c>
    </row>
    <row r="335" spans="1:6" x14ac:dyDescent="0.2">
      <c r="A335" t="s">
        <v>1289</v>
      </c>
      <c r="B335">
        <v>2022</v>
      </c>
      <c r="C335">
        <v>0</v>
      </c>
      <c r="D335">
        <v>0</v>
      </c>
      <c r="E335">
        <v>0</v>
      </c>
      <c r="F335">
        <v>0</v>
      </c>
    </row>
    <row r="336" spans="1:6" x14ac:dyDescent="0.2">
      <c r="A336" t="s">
        <v>1148</v>
      </c>
      <c r="B336">
        <v>2022</v>
      </c>
      <c r="C336">
        <v>0</v>
      </c>
      <c r="D336">
        <v>0</v>
      </c>
      <c r="E336">
        <v>0</v>
      </c>
      <c r="F336">
        <v>0</v>
      </c>
    </row>
    <row r="337" spans="1:6" x14ac:dyDescent="0.2">
      <c r="A337" t="s">
        <v>1149</v>
      </c>
      <c r="B337">
        <v>2022</v>
      </c>
      <c r="C337">
        <v>0</v>
      </c>
      <c r="D337">
        <v>0</v>
      </c>
      <c r="E337">
        <v>0</v>
      </c>
      <c r="F337">
        <v>0</v>
      </c>
    </row>
    <row r="338" spans="1:6" x14ac:dyDescent="0.2">
      <c r="A338" t="s">
        <v>1150</v>
      </c>
      <c r="B338">
        <v>2022</v>
      </c>
      <c r="C338">
        <v>0</v>
      </c>
      <c r="D338">
        <v>0</v>
      </c>
      <c r="E338">
        <v>0</v>
      </c>
      <c r="F338">
        <v>0</v>
      </c>
    </row>
    <row r="339" spans="1:6" x14ac:dyDescent="0.2">
      <c r="A339" t="s">
        <v>92</v>
      </c>
      <c r="B339">
        <v>2022</v>
      </c>
      <c r="C339">
        <v>17758</v>
      </c>
      <c r="D339">
        <v>1684</v>
      </c>
      <c r="E339">
        <v>116</v>
      </c>
      <c r="F339">
        <v>7</v>
      </c>
    </row>
    <row r="340" spans="1:6" x14ac:dyDescent="0.2">
      <c r="A340" t="s">
        <v>1151</v>
      </c>
      <c r="B340">
        <v>2022</v>
      </c>
      <c r="C340">
        <v>23385</v>
      </c>
      <c r="D340">
        <v>2085</v>
      </c>
      <c r="E340">
        <v>156</v>
      </c>
      <c r="F340">
        <v>4</v>
      </c>
    </row>
    <row r="341" spans="1:6" x14ac:dyDescent="0.2">
      <c r="A341" t="s">
        <v>1152</v>
      </c>
      <c r="B341">
        <v>2022</v>
      </c>
      <c r="C341">
        <v>0</v>
      </c>
      <c r="D341">
        <v>0</v>
      </c>
      <c r="E341">
        <v>0</v>
      </c>
      <c r="F341">
        <v>0</v>
      </c>
    </row>
    <row r="342" spans="1:6" x14ac:dyDescent="0.2">
      <c r="A342" t="s">
        <v>656</v>
      </c>
      <c r="B342">
        <v>2022</v>
      </c>
      <c r="C342">
        <v>9567</v>
      </c>
      <c r="D342">
        <v>1383</v>
      </c>
      <c r="E342">
        <v>137</v>
      </c>
      <c r="F342">
        <v>2</v>
      </c>
    </row>
    <row r="343" spans="1:6" x14ac:dyDescent="0.2">
      <c r="A343" t="s">
        <v>659</v>
      </c>
      <c r="B343">
        <v>2022</v>
      </c>
      <c r="C343">
        <v>19624</v>
      </c>
      <c r="D343">
        <v>3024</v>
      </c>
      <c r="E343">
        <v>119</v>
      </c>
      <c r="F343">
        <v>4</v>
      </c>
    </row>
    <row r="344" spans="1:6" x14ac:dyDescent="0.2">
      <c r="A344" t="s">
        <v>662</v>
      </c>
      <c r="B344">
        <v>2022</v>
      </c>
      <c r="C344">
        <v>34106</v>
      </c>
      <c r="D344">
        <v>3649</v>
      </c>
      <c r="E344">
        <v>238</v>
      </c>
      <c r="F344">
        <v>18</v>
      </c>
    </row>
    <row r="345" spans="1:6" x14ac:dyDescent="0.2">
      <c r="A345" t="s">
        <v>1290</v>
      </c>
      <c r="B345">
        <v>2022</v>
      </c>
      <c r="C345">
        <v>0</v>
      </c>
      <c r="D345">
        <v>0</v>
      </c>
      <c r="E345">
        <v>0</v>
      </c>
      <c r="F345">
        <v>0</v>
      </c>
    </row>
    <row r="346" spans="1:6" x14ac:dyDescent="0.2">
      <c r="A346" t="s">
        <v>1153</v>
      </c>
      <c r="B346">
        <v>2022</v>
      </c>
      <c r="C346">
        <v>0</v>
      </c>
      <c r="D346">
        <v>0</v>
      </c>
      <c r="E346">
        <v>0</v>
      </c>
      <c r="F346">
        <v>0</v>
      </c>
    </row>
    <row r="347" spans="1:6" x14ac:dyDescent="0.2">
      <c r="A347" t="s">
        <v>1154</v>
      </c>
      <c r="B347">
        <v>2022</v>
      </c>
      <c r="C347">
        <v>0</v>
      </c>
      <c r="D347">
        <v>0</v>
      </c>
      <c r="E347">
        <v>0</v>
      </c>
      <c r="F347">
        <v>0</v>
      </c>
    </row>
    <row r="348" spans="1:6" x14ac:dyDescent="0.2">
      <c r="A348" t="s">
        <v>665</v>
      </c>
      <c r="B348">
        <v>2022</v>
      </c>
      <c r="C348">
        <v>22291</v>
      </c>
      <c r="D348">
        <v>2954</v>
      </c>
      <c r="E348">
        <v>267</v>
      </c>
      <c r="F348">
        <v>39</v>
      </c>
    </row>
    <row r="349" spans="1:6" x14ac:dyDescent="0.2">
      <c r="A349" t="s">
        <v>668</v>
      </c>
      <c r="B349">
        <v>2022</v>
      </c>
      <c r="C349">
        <v>24092</v>
      </c>
      <c r="D349">
        <v>4031</v>
      </c>
      <c r="E349">
        <v>358</v>
      </c>
      <c r="F349">
        <v>12</v>
      </c>
    </row>
    <row r="350" spans="1:6" x14ac:dyDescent="0.2">
      <c r="A350" t="s">
        <v>1155</v>
      </c>
      <c r="B350">
        <v>2022</v>
      </c>
      <c r="C350">
        <v>0</v>
      </c>
      <c r="D350">
        <v>0</v>
      </c>
      <c r="E350">
        <v>0</v>
      </c>
      <c r="F350">
        <v>0</v>
      </c>
    </row>
    <row r="351" spans="1:6" x14ac:dyDescent="0.2">
      <c r="A351" t="s">
        <v>1291</v>
      </c>
      <c r="B351">
        <v>2022</v>
      </c>
      <c r="C351">
        <v>0</v>
      </c>
      <c r="D351">
        <v>0</v>
      </c>
      <c r="E351">
        <v>0</v>
      </c>
      <c r="F351">
        <v>0</v>
      </c>
    </row>
    <row r="352" spans="1:6" x14ac:dyDescent="0.2">
      <c r="A352" t="s">
        <v>671</v>
      </c>
      <c r="B352">
        <v>2022</v>
      </c>
      <c r="C352">
        <v>20732</v>
      </c>
      <c r="D352">
        <v>2283</v>
      </c>
      <c r="E352">
        <v>220</v>
      </c>
      <c r="F352">
        <v>10</v>
      </c>
    </row>
    <row r="353" spans="1:6" x14ac:dyDescent="0.2">
      <c r="A353" t="s">
        <v>674</v>
      </c>
      <c r="B353">
        <v>2022</v>
      </c>
      <c r="C353">
        <v>7153</v>
      </c>
      <c r="D353">
        <v>1193</v>
      </c>
      <c r="E353">
        <v>116</v>
      </c>
      <c r="F353">
        <v>0</v>
      </c>
    </row>
    <row r="354" spans="1:6" x14ac:dyDescent="0.2">
      <c r="A354" t="s">
        <v>677</v>
      </c>
      <c r="B354">
        <v>2022</v>
      </c>
      <c r="C354">
        <v>4799</v>
      </c>
      <c r="D354">
        <v>451</v>
      </c>
      <c r="E354">
        <v>18</v>
      </c>
      <c r="F354">
        <v>1</v>
      </c>
    </row>
    <row r="355" spans="1:6" x14ac:dyDescent="0.2">
      <c r="A355" t="s">
        <v>1292</v>
      </c>
      <c r="B355">
        <v>2022</v>
      </c>
      <c r="C355">
        <v>0</v>
      </c>
      <c r="D355">
        <v>0</v>
      </c>
      <c r="E355">
        <v>0</v>
      </c>
      <c r="F355">
        <v>0</v>
      </c>
    </row>
    <row r="356" spans="1:6" x14ac:dyDescent="0.2">
      <c r="A356" t="s">
        <v>1156</v>
      </c>
      <c r="B356">
        <v>2022</v>
      </c>
      <c r="C356">
        <v>0</v>
      </c>
      <c r="D356">
        <v>0</v>
      </c>
      <c r="E356">
        <v>0</v>
      </c>
      <c r="F356">
        <v>0</v>
      </c>
    </row>
    <row r="357" spans="1:6" x14ac:dyDescent="0.2">
      <c r="A357" t="s">
        <v>1293</v>
      </c>
      <c r="B357">
        <v>2022</v>
      </c>
      <c r="C357">
        <v>0</v>
      </c>
      <c r="D357">
        <v>0</v>
      </c>
      <c r="E357">
        <v>0</v>
      </c>
      <c r="F357">
        <v>0</v>
      </c>
    </row>
    <row r="358" spans="1:6" x14ac:dyDescent="0.2">
      <c r="A358" t="s">
        <v>1157</v>
      </c>
      <c r="B358">
        <v>2022</v>
      </c>
      <c r="C358">
        <v>0</v>
      </c>
      <c r="D358">
        <v>0</v>
      </c>
      <c r="E358">
        <v>0</v>
      </c>
      <c r="F358">
        <v>0</v>
      </c>
    </row>
    <row r="359" spans="1:6" x14ac:dyDescent="0.2">
      <c r="A359" t="s">
        <v>680</v>
      </c>
      <c r="B359">
        <v>2022</v>
      </c>
      <c r="C359">
        <v>13251</v>
      </c>
      <c r="D359">
        <v>2574</v>
      </c>
      <c r="E359">
        <v>225</v>
      </c>
      <c r="F359">
        <v>11</v>
      </c>
    </row>
    <row r="360" spans="1:6" x14ac:dyDescent="0.2">
      <c r="A360" t="s">
        <v>1294</v>
      </c>
      <c r="B360">
        <v>2022</v>
      </c>
      <c r="C360">
        <v>0</v>
      </c>
      <c r="D360">
        <v>0</v>
      </c>
      <c r="E360">
        <v>0</v>
      </c>
      <c r="F360">
        <v>0</v>
      </c>
    </row>
    <row r="361" spans="1:6" x14ac:dyDescent="0.2">
      <c r="A361" t="s">
        <v>1158</v>
      </c>
      <c r="B361">
        <v>2022</v>
      </c>
      <c r="C361">
        <v>0</v>
      </c>
      <c r="D361">
        <v>0</v>
      </c>
      <c r="E361">
        <v>0</v>
      </c>
      <c r="F361">
        <v>0</v>
      </c>
    </row>
    <row r="362" spans="1:6" x14ac:dyDescent="0.2">
      <c r="A362" t="s">
        <v>683</v>
      </c>
      <c r="B362">
        <v>2022</v>
      </c>
      <c r="C362">
        <v>10579</v>
      </c>
      <c r="D362">
        <v>1506</v>
      </c>
      <c r="E362">
        <v>105</v>
      </c>
      <c r="F362">
        <v>2</v>
      </c>
    </row>
    <row r="363" spans="1:6" x14ac:dyDescent="0.2">
      <c r="A363" t="s">
        <v>1295</v>
      </c>
      <c r="B363">
        <v>2022</v>
      </c>
      <c r="C363">
        <v>0</v>
      </c>
      <c r="D363">
        <v>0</v>
      </c>
      <c r="E363">
        <v>0</v>
      </c>
      <c r="F363">
        <v>0</v>
      </c>
    </row>
    <row r="364" spans="1:6" x14ac:dyDescent="0.2">
      <c r="A364" t="s">
        <v>1159</v>
      </c>
      <c r="B364">
        <v>2022</v>
      </c>
      <c r="C364">
        <v>0</v>
      </c>
      <c r="D364">
        <v>0</v>
      </c>
      <c r="E364">
        <v>0</v>
      </c>
      <c r="F364">
        <v>0</v>
      </c>
    </row>
    <row r="365" spans="1:6" x14ac:dyDescent="0.2">
      <c r="A365" t="s">
        <v>1160</v>
      </c>
      <c r="B365">
        <v>2022</v>
      </c>
      <c r="C365">
        <v>0</v>
      </c>
      <c r="D365">
        <v>0</v>
      </c>
      <c r="E365">
        <v>0</v>
      </c>
      <c r="F365">
        <v>0</v>
      </c>
    </row>
    <row r="366" spans="1:6" x14ac:dyDescent="0.2">
      <c r="A366" t="s">
        <v>686</v>
      </c>
      <c r="B366">
        <v>2022</v>
      </c>
      <c r="C366">
        <v>32187</v>
      </c>
      <c r="D366">
        <v>3041</v>
      </c>
      <c r="E366">
        <v>134</v>
      </c>
      <c r="F366">
        <v>13</v>
      </c>
    </row>
    <row r="367" spans="1:6" x14ac:dyDescent="0.2">
      <c r="A367" t="s">
        <v>1296</v>
      </c>
      <c r="B367">
        <v>2022</v>
      </c>
      <c r="C367">
        <v>0</v>
      </c>
      <c r="D367">
        <v>0</v>
      </c>
      <c r="E367">
        <v>0</v>
      </c>
      <c r="F367">
        <v>0</v>
      </c>
    </row>
    <row r="368" spans="1:6" x14ac:dyDescent="0.2">
      <c r="A368" t="s">
        <v>689</v>
      </c>
      <c r="B368">
        <v>2022</v>
      </c>
      <c r="C368">
        <v>16113</v>
      </c>
      <c r="D368">
        <v>2398</v>
      </c>
      <c r="E368">
        <v>264</v>
      </c>
      <c r="F368">
        <v>19</v>
      </c>
    </row>
    <row r="369" spans="1:6" x14ac:dyDescent="0.2">
      <c r="A369" t="s">
        <v>1161</v>
      </c>
      <c r="B369">
        <v>2022</v>
      </c>
      <c r="C369">
        <v>0</v>
      </c>
      <c r="D369">
        <v>0</v>
      </c>
      <c r="E369">
        <v>0</v>
      </c>
      <c r="F369">
        <v>0</v>
      </c>
    </row>
    <row r="370" spans="1:6" x14ac:dyDescent="0.2">
      <c r="A370" t="s">
        <v>1297</v>
      </c>
      <c r="B370">
        <v>2022</v>
      </c>
      <c r="C370">
        <v>0</v>
      </c>
      <c r="D370">
        <v>0</v>
      </c>
      <c r="E370">
        <v>0</v>
      </c>
      <c r="F370">
        <v>0</v>
      </c>
    </row>
    <row r="371" spans="1:6" x14ac:dyDescent="0.2">
      <c r="A371" t="s">
        <v>1162</v>
      </c>
      <c r="B371">
        <v>2022</v>
      </c>
      <c r="C371">
        <v>0</v>
      </c>
      <c r="D371">
        <v>0</v>
      </c>
      <c r="E371">
        <v>0</v>
      </c>
      <c r="F371">
        <v>0</v>
      </c>
    </row>
    <row r="372" spans="1:6" x14ac:dyDescent="0.2">
      <c r="A372" t="s">
        <v>94</v>
      </c>
      <c r="B372">
        <v>2022</v>
      </c>
      <c r="C372">
        <v>22898</v>
      </c>
      <c r="D372">
        <v>3114</v>
      </c>
      <c r="E372">
        <v>326</v>
      </c>
      <c r="F372">
        <v>1</v>
      </c>
    </row>
    <row r="373" spans="1:6" x14ac:dyDescent="0.2">
      <c r="A373" t="s">
        <v>95</v>
      </c>
      <c r="B373">
        <v>2022</v>
      </c>
      <c r="C373">
        <v>71811</v>
      </c>
      <c r="D373">
        <v>4974</v>
      </c>
      <c r="E373">
        <v>454</v>
      </c>
      <c r="F373">
        <v>10</v>
      </c>
    </row>
    <row r="374" spans="1:6" x14ac:dyDescent="0.2">
      <c r="A374" t="s">
        <v>696</v>
      </c>
      <c r="B374">
        <v>2022</v>
      </c>
      <c r="C374">
        <v>42601</v>
      </c>
      <c r="D374">
        <v>3151</v>
      </c>
      <c r="E374">
        <v>106</v>
      </c>
      <c r="F374">
        <v>7</v>
      </c>
    </row>
    <row r="375" spans="1:6" x14ac:dyDescent="0.2">
      <c r="A375" t="s">
        <v>699</v>
      </c>
      <c r="B375">
        <v>2022</v>
      </c>
      <c r="C375">
        <v>24938</v>
      </c>
      <c r="D375">
        <v>3836</v>
      </c>
      <c r="E375">
        <v>233</v>
      </c>
      <c r="F375">
        <v>0</v>
      </c>
    </row>
    <row r="376" spans="1:6" x14ac:dyDescent="0.2">
      <c r="A376" t="s">
        <v>702</v>
      </c>
      <c r="B376">
        <v>2022</v>
      </c>
      <c r="C376">
        <v>4810</v>
      </c>
      <c r="D376">
        <v>731</v>
      </c>
      <c r="E376">
        <v>15</v>
      </c>
      <c r="F376">
        <v>1</v>
      </c>
    </row>
    <row r="377" spans="1:6" x14ac:dyDescent="0.2">
      <c r="A377" t="s">
        <v>705</v>
      </c>
      <c r="B377">
        <v>2022</v>
      </c>
      <c r="C377">
        <v>17968</v>
      </c>
      <c r="D377">
        <v>1831</v>
      </c>
      <c r="E377">
        <v>82</v>
      </c>
      <c r="F377">
        <v>4</v>
      </c>
    </row>
    <row r="378" spans="1:6" x14ac:dyDescent="0.2">
      <c r="A378" t="s">
        <v>1298</v>
      </c>
      <c r="B378">
        <v>2022</v>
      </c>
      <c r="C378">
        <v>0</v>
      </c>
      <c r="D378">
        <v>0</v>
      </c>
      <c r="E378">
        <v>0</v>
      </c>
      <c r="F378">
        <v>0</v>
      </c>
    </row>
    <row r="379" spans="1:6" x14ac:dyDescent="0.2">
      <c r="A379" t="s">
        <v>708</v>
      </c>
      <c r="B379">
        <v>2022</v>
      </c>
      <c r="C379">
        <v>25773</v>
      </c>
      <c r="D379">
        <v>3814</v>
      </c>
      <c r="E379">
        <v>144</v>
      </c>
      <c r="F379">
        <v>18</v>
      </c>
    </row>
    <row r="380" spans="1:6" x14ac:dyDescent="0.2">
      <c r="A380" t="s">
        <v>711</v>
      </c>
      <c r="B380">
        <v>2022</v>
      </c>
      <c r="C380">
        <v>22980</v>
      </c>
      <c r="D380">
        <v>2401</v>
      </c>
      <c r="E380">
        <v>242</v>
      </c>
      <c r="F380">
        <v>84</v>
      </c>
    </row>
    <row r="381" spans="1:6" x14ac:dyDescent="0.2">
      <c r="A381" t="s">
        <v>1163</v>
      </c>
      <c r="B381">
        <v>2022</v>
      </c>
      <c r="C381">
        <v>0</v>
      </c>
      <c r="D381">
        <v>0</v>
      </c>
      <c r="E381">
        <v>0</v>
      </c>
      <c r="F381">
        <v>0</v>
      </c>
    </row>
    <row r="382" spans="1:6" x14ac:dyDescent="0.2">
      <c r="A382" t="s">
        <v>1299</v>
      </c>
      <c r="B382">
        <v>2022</v>
      </c>
      <c r="C382">
        <v>0</v>
      </c>
      <c r="D382">
        <v>0</v>
      </c>
      <c r="E382">
        <v>0</v>
      </c>
      <c r="F382">
        <v>0</v>
      </c>
    </row>
    <row r="383" spans="1:6" x14ac:dyDescent="0.2">
      <c r="A383" t="s">
        <v>714</v>
      </c>
      <c r="B383">
        <v>2022</v>
      </c>
      <c r="C383">
        <v>13484</v>
      </c>
      <c r="D383">
        <v>1139</v>
      </c>
      <c r="E383">
        <v>46</v>
      </c>
      <c r="F383">
        <v>0</v>
      </c>
    </row>
    <row r="384" spans="1:6" x14ac:dyDescent="0.2">
      <c r="A384" t="s">
        <v>96</v>
      </c>
      <c r="B384">
        <v>2022</v>
      </c>
      <c r="C384">
        <v>14617</v>
      </c>
      <c r="D384">
        <v>2224</v>
      </c>
      <c r="E384">
        <v>126</v>
      </c>
      <c r="F384">
        <v>13</v>
      </c>
    </row>
    <row r="385" spans="1:6" x14ac:dyDescent="0.2">
      <c r="A385" t="s">
        <v>97</v>
      </c>
      <c r="B385">
        <v>2022</v>
      </c>
      <c r="C385">
        <v>0</v>
      </c>
      <c r="D385">
        <v>0</v>
      </c>
      <c r="E385">
        <v>0</v>
      </c>
      <c r="F385">
        <v>0</v>
      </c>
    </row>
    <row r="386" spans="1:6" x14ac:dyDescent="0.2">
      <c r="A386" t="s">
        <v>1300</v>
      </c>
      <c r="B386">
        <v>2022</v>
      </c>
      <c r="C386">
        <v>0</v>
      </c>
      <c r="D386">
        <v>0</v>
      </c>
      <c r="E386">
        <v>0</v>
      </c>
      <c r="F386">
        <v>0</v>
      </c>
    </row>
    <row r="387" spans="1:6" x14ac:dyDescent="0.2">
      <c r="A387" t="s">
        <v>719</v>
      </c>
      <c r="B387">
        <v>2022</v>
      </c>
      <c r="C387">
        <v>11040</v>
      </c>
      <c r="D387">
        <v>497</v>
      </c>
      <c r="E387">
        <v>78</v>
      </c>
      <c r="F387">
        <v>0</v>
      </c>
    </row>
    <row r="388" spans="1:6" x14ac:dyDescent="0.2">
      <c r="A388" t="s">
        <v>722</v>
      </c>
      <c r="B388">
        <v>2022</v>
      </c>
      <c r="C388">
        <v>11287</v>
      </c>
      <c r="D388">
        <v>1557</v>
      </c>
      <c r="E388">
        <v>121</v>
      </c>
      <c r="F388">
        <v>7</v>
      </c>
    </row>
    <row r="389" spans="1:6" x14ac:dyDescent="0.2">
      <c r="A389" t="s">
        <v>98</v>
      </c>
      <c r="B389">
        <v>2022</v>
      </c>
      <c r="C389">
        <v>17927</v>
      </c>
      <c r="D389">
        <v>2009</v>
      </c>
      <c r="E389">
        <v>102</v>
      </c>
      <c r="F389">
        <v>0</v>
      </c>
    </row>
    <row r="390" spans="1:6" x14ac:dyDescent="0.2">
      <c r="A390" t="s">
        <v>727</v>
      </c>
      <c r="B390">
        <v>2022</v>
      </c>
      <c r="C390">
        <v>21789</v>
      </c>
      <c r="D390">
        <v>2214</v>
      </c>
      <c r="E390">
        <v>151</v>
      </c>
      <c r="F390">
        <v>6</v>
      </c>
    </row>
    <row r="391" spans="1:6" x14ac:dyDescent="0.2">
      <c r="A391" t="s">
        <v>730</v>
      </c>
      <c r="B391">
        <v>2022</v>
      </c>
      <c r="C391">
        <v>12329</v>
      </c>
      <c r="D391">
        <v>1884</v>
      </c>
      <c r="E391">
        <v>208</v>
      </c>
      <c r="F391">
        <v>5</v>
      </c>
    </row>
    <row r="392" spans="1:6" x14ac:dyDescent="0.2">
      <c r="A392" t="s">
        <v>99</v>
      </c>
      <c r="B392">
        <v>2022</v>
      </c>
      <c r="C392">
        <v>16772</v>
      </c>
      <c r="D392">
        <v>1787</v>
      </c>
      <c r="E392">
        <v>109</v>
      </c>
      <c r="F392">
        <v>29</v>
      </c>
    </row>
    <row r="393" spans="1:6" x14ac:dyDescent="0.2">
      <c r="A393" t="s">
        <v>1301</v>
      </c>
      <c r="B393">
        <v>2022</v>
      </c>
      <c r="C393">
        <v>0</v>
      </c>
      <c r="D393">
        <v>0</v>
      </c>
      <c r="E393">
        <v>0</v>
      </c>
      <c r="F393">
        <v>0</v>
      </c>
    </row>
    <row r="394" spans="1:6" x14ac:dyDescent="0.2">
      <c r="A394" t="s">
        <v>735</v>
      </c>
      <c r="B394">
        <v>2022</v>
      </c>
      <c r="C394">
        <v>10182</v>
      </c>
      <c r="D394">
        <v>1071</v>
      </c>
      <c r="E394">
        <v>40</v>
      </c>
      <c r="F394">
        <v>10</v>
      </c>
    </row>
    <row r="395" spans="1:6" x14ac:dyDescent="0.2">
      <c r="A395" t="s">
        <v>100</v>
      </c>
      <c r="B395">
        <v>2022</v>
      </c>
      <c r="C395">
        <v>10401</v>
      </c>
      <c r="D395">
        <v>1393</v>
      </c>
      <c r="E395">
        <v>75</v>
      </c>
      <c r="F395">
        <v>2</v>
      </c>
    </row>
    <row r="396" spans="1:6" x14ac:dyDescent="0.2">
      <c r="A396" t="s">
        <v>1164</v>
      </c>
      <c r="B396">
        <v>2022</v>
      </c>
      <c r="C396">
        <v>0</v>
      </c>
      <c r="D396">
        <v>0</v>
      </c>
      <c r="E396">
        <v>0</v>
      </c>
      <c r="F396">
        <v>0</v>
      </c>
    </row>
    <row r="397" spans="1:6" x14ac:dyDescent="0.2">
      <c r="A397" t="s">
        <v>740</v>
      </c>
      <c r="B397">
        <v>2022</v>
      </c>
      <c r="C397">
        <v>16764</v>
      </c>
      <c r="D397">
        <v>2473</v>
      </c>
      <c r="E397">
        <v>339</v>
      </c>
      <c r="F397">
        <v>5</v>
      </c>
    </row>
    <row r="398" spans="1:6" x14ac:dyDescent="0.2">
      <c r="A398" t="s">
        <v>1302</v>
      </c>
      <c r="B398">
        <v>2022</v>
      </c>
      <c r="C398">
        <v>0</v>
      </c>
      <c r="D398">
        <v>0</v>
      </c>
      <c r="E398">
        <v>0</v>
      </c>
      <c r="F398">
        <v>0</v>
      </c>
    </row>
    <row r="399" spans="1:6" x14ac:dyDescent="0.2">
      <c r="A399" t="s">
        <v>743</v>
      </c>
      <c r="B399">
        <v>2022</v>
      </c>
      <c r="C399">
        <v>31753</v>
      </c>
      <c r="D399">
        <v>3425</v>
      </c>
      <c r="E399">
        <v>299</v>
      </c>
      <c r="F399">
        <v>15</v>
      </c>
    </row>
    <row r="400" spans="1:6" x14ac:dyDescent="0.2">
      <c r="A400" t="s">
        <v>1165</v>
      </c>
      <c r="B400">
        <v>2022</v>
      </c>
      <c r="C400">
        <v>0</v>
      </c>
      <c r="D400">
        <v>0</v>
      </c>
      <c r="E400">
        <v>0</v>
      </c>
      <c r="F400">
        <v>0</v>
      </c>
    </row>
    <row r="401" spans="1:6" x14ac:dyDescent="0.2">
      <c r="A401" t="s">
        <v>746</v>
      </c>
      <c r="B401">
        <v>2022</v>
      </c>
      <c r="C401">
        <v>14961</v>
      </c>
      <c r="D401">
        <v>2019</v>
      </c>
      <c r="E401">
        <v>161</v>
      </c>
      <c r="F401">
        <v>5</v>
      </c>
    </row>
    <row r="402" spans="1:6" x14ac:dyDescent="0.2">
      <c r="A402" t="s">
        <v>749</v>
      </c>
      <c r="B402">
        <v>2022</v>
      </c>
      <c r="C402">
        <v>5108</v>
      </c>
      <c r="D402">
        <v>509</v>
      </c>
      <c r="E402">
        <v>78</v>
      </c>
      <c r="F402">
        <v>0</v>
      </c>
    </row>
    <row r="403" spans="1:6" x14ac:dyDescent="0.2">
      <c r="A403" t="s">
        <v>1303</v>
      </c>
      <c r="B403">
        <v>2022</v>
      </c>
      <c r="C403">
        <v>0</v>
      </c>
      <c r="D403">
        <v>0</v>
      </c>
      <c r="E403">
        <v>0</v>
      </c>
      <c r="F403">
        <v>0</v>
      </c>
    </row>
    <row r="404" spans="1:6" x14ac:dyDescent="0.2">
      <c r="A404" t="s">
        <v>752</v>
      </c>
      <c r="B404">
        <v>2022</v>
      </c>
      <c r="C404">
        <v>6930</v>
      </c>
      <c r="D404">
        <v>1036</v>
      </c>
      <c r="E404">
        <v>69</v>
      </c>
      <c r="F404">
        <v>1</v>
      </c>
    </row>
    <row r="405" spans="1:6" x14ac:dyDescent="0.2">
      <c r="A405" t="s">
        <v>755</v>
      </c>
      <c r="B405">
        <v>2022</v>
      </c>
      <c r="C405">
        <v>17163</v>
      </c>
      <c r="D405">
        <v>2323</v>
      </c>
      <c r="E405">
        <v>111</v>
      </c>
      <c r="F405">
        <v>2</v>
      </c>
    </row>
    <row r="406" spans="1:6" x14ac:dyDescent="0.2">
      <c r="A406" t="s">
        <v>101</v>
      </c>
      <c r="B406">
        <v>2022</v>
      </c>
      <c r="C406">
        <v>50225</v>
      </c>
      <c r="D406">
        <v>6548</v>
      </c>
      <c r="E406">
        <v>437</v>
      </c>
      <c r="F406">
        <v>64</v>
      </c>
    </row>
    <row r="407" spans="1:6" x14ac:dyDescent="0.2">
      <c r="A407" t="s">
        <v>1166</v>
      </c>
      <c r="B407">
        <v>2022</v>
      </c>
      <c r="C407">
        <v>0</v>
      </c>
      <c r="D407">
        <v>0</v>
      </c>
      <c r="E407">
        <v>0</v>
      </c>
      <c r="F407">
        <v>0</v>
      </c>
    </row>
    <row r="408" spans="1:6" x14ac:dyDescent="0.2">
      <c r="A408" t="s">
        <v>760</v>
      </c>
      <c r="B408">
        <v>2022</v>
      </c>
      <c r="C408">
        <v>22394</v>
      </c>
      <c r="D408">
        <v>2473</v>
      </c>
      <c r="E408">
        <v>141</v>
      </c>
      <c r="F408">
        <v>0</v>
      </c>
    </row>
    <row r="409" spans="1:6" x14ac:dyDescent="0.2">
      <c r="A409" t="s">
        <v>763</v>
      </c>
      <c r="B409">
        <v>2022</v>
      </c>
      <c r="C409">
        <v>7360</v>
      </c>
      <c r="D409">
        <v>2242</v>
      </c>
      <c r="E409">
        <v>85</v>
      </c>
      <c r="F409">
        <v>31</v>
      </c>
    </row>
    <row r="410" spans="1:6" x14ac:dyDescent="0.2">
      <c r="A410" t="s">
        <v>1167</v>
      </c>
      <c r="B410">
        <v>2022</v>
      </c>
      <c r="C410">
        <v>0</v>
      </c>
      <c r="D410">
        <v>0</v>
      </c>
      <c r="E410">
        <v>0</v>
      </c>
      <c r="F410">
        <v>0</v>
      </c>
    </row>
    <row r="411" spans="1:6" x14ac:dyDescent="0.2">
      <c r="A411" t="s">
        <v>766</v>
      </c>
      <c r="B411">
        <v>2022</v>
      </c>
      <c r="C411">
        <v>5253</v>
      </c>
      <c r="D411">
        <v>993</v>
      </c>
      <c r="E411">
        <v>173</v>
      </c>
      <c r="F411">
        <v>0</v>
      </c>
    </row>
    <row r="412" spans="1:6" x14ac:dyDescent="0.2">
      <c r="A412" t="s">
        <v>769</v>
      </c>
      <c r="B412">
        <v>2022</v>
      </c>
      <c r="C412">
        <v>27552</v>
      </c>
      <c r="D412">
        <v>3119</v>
      </c>
      <c r="E412">
        <v>298</v>
      </c>
      <c r="F412">
        <v>62</v>
      </c>
    </row>
    <row r="413" spans="1:6" x14ac:dyDescent="0.2">
      <c r="A413" t="s">
        <v>772</v>
      </c>
      <c r="B413">
        <v>2022</v>
      </c>
      <c r="C413">
        <v>15914</v>
      </c>
      <c r="D413">
        <v>1072</v>
      </c>
      <c r="E413">
        <v>141</v>
      </c>
      <c r="F413">
        <v>1</v>
      </c>
    </row>
    <row r="414" spans="1:6" x14ac:dyDescent="0.2">
      <c r="A414" t="s">
        <v>775</v>
      </c>
      <c r="B414">
        <v>2022</v>
      </c>
      <c r="C414">
        <v>25383</v>
      </c>
      <c r="D414">
        <v>3004</v>
      </c>
      <c r="E414">
        <v>220</v>
      </c>
      <c r="F414">
        <v>44</v>
      </c>
    </row>
    <row r="415" spans="1:6" x14ac:dyDescent="0.2">
      <c r="A415" t="s">
        <v>778</v>
      </c>
      <c r="B415">
        <v>2022</v>
      </c>
      <c r="C415">
        <v>7337</v>
      </c>
      <c r="D415">
        <v>721</v>
      </c>
      <c r="E415">
        <v>45</v>
      </c>
      <c r="F415">
        <v>0</v>
      </c>
    </row>
    <row r="416" spans="1:6" x14ac:dyDescent="0.2">
      <c r="A416" t="s">
        <v>1304</v>
      </c>
      <c r="B416">
        <v>2022</v>
      </c>
      <c r="C416">
        <v>0</v>
      </c>
      <c r="D416">
        <v>0</v>
      </c>
      <c r="E416">
        <v>0</v>
      </c>
      <c r="F416">
        <v>0</v>
      </c>
    </row>
    <row r="417" spans="1:6" x14ac:dyDescent="0.2">
      <c r="A417" t="s">
        <v>781</v>
      </c>
      <c r="B417">
        <v>2022</v>
      </c>
      <c r="C417">
        <v>25964</v>
      </c>
      <c r="D417">
        <v>2543</v>
      </c>
      <c r="E417">
        <v>183</v>
      </c>
      <c r="F417">
        <v>22</v>
      </c>
    </row>
    <row r="418" spans="1:6" x14ac:dyDescent="0.2">
      <c r="A418" t="s">
        <v>102</v>
      </c>
      <c r="B418">
        <v>2022</v>
      </c>
      <c r="C418">
        <v>45153</v>
      </c>
      <c r="D418">
        <v>4516</v>
      </c>
      <c r="E418">
        <v>199</v>
      </c>
      <c r="F418">
        <v>357</v>
      </c>
    </row>
    <row r="419" spans="1:6" x14ac:dyDescent="0.2">
      <c r="A419" t="s">
        <v>103</v>
      </c>
      <c r="B419">
        <v>2022</v>
      </c>
      <c r="C419">
        <v>12904</v>
      </c>
      <c r="D419">
        <v>2180</v>
      </c>
      <c r="E419">
        <v>164</v>
      </c>
      <c r="F419">
        <v>2</v>
      </c>
    </row>
    <row r="420" spans="1:6" x14ac:dyDescent="0.2">
      <c r="A420" t="s">
        <v>104</v>
      </c>
      <c r="B420">
        <v>2022</v>
      </c>
      <c r="C420">
        <v>21267</v>
      </c>
      <c r="D420">
        <v>2566</v>
      </c>
      <c r="E420">
        <v>184</v>
      </c>
      <c r="F420">
        <v>56</v>
      </c>
    </row>
    <row r="421" spans="1:6" x14ac:dyDescent="0.2">
      <c r="A421" t="s">
        <v>1305</v>
      </c>
      <c r="B421">
        <v>2022</v>
      </c>
      <c r="C421">
        <v>0</v>
      </c>
      <c r="D421">
        <v>0</v>
      </c>
      <c r="E421">
        <v>0</v>
      </c>
      <c r="F421">
        <v>0</v>
      </c>
    </row>
    <row r="422" spans="1:6" x14ac:dyDescent="0.2">
      <c r="A422" t="s">
        <v>1168</v>
      </c>
      <c r="B422">
        <v>2022</v>
      </c>
      <c r="C422">
        <v>0</v>
      </c>
      <c r="D422">
        <v>0</v>
      </c>
      <c r="E422">
        <v>0</v>
      </c>
      <c r="F422">
        <v>0</v>
      </c>
    </row>
    <row r="423" spans="1:6" x14ac:dyDescent="0.2">
      <c r="A423" t="s">
        <v>1306</v>
      </c>
      <c r="B423">
        <v>2022</v>
      </c>
      <c r="C423">
        <v>0</v>
      </c>
      <c r="D423">
        <v>0</v>
      </c>
      <c r="E423">
        <v>0</v>
      </c>
      <c r="F423">
        <v>0</v>
      </c>
    </row>
    <row r="424" spans="1:6" x14ac:dyDescent="0.2">
      <c r="A424" t="s">
        <v>790</v>
      </c>
      <c r="B424">
        <v>2022</v>
      </c>
      <c r="C424">
        <v>11870</v>
      </c>
      <c r="D424">
        <v>2120</v>
      </c>
      <c r="E424">
        <v>98</v>
      </c>
      <c r="F424">
        <v>0</v>
      </c>
    </row>
    <row r="425" spans="1:6" x14ac:dyDescent="0.2">
      <c r="A425" t="s">
        <v>793</v>
      </c>
      <c r="B425">
        <v>2022</v>
      </c>
      <c r="C425">
        <v>16972</v>
      </c>
      <c r="D425">
        <v>1156</v>
      </c>
      <c r="E425">
        <v>49</v>
      </c>
      <c r="F425">
        <v>0</v>
      </c>
    </row>
    <row r="426" spans="1:6" x14ac:dyDescent="0.2">
      <c r="A426" t="s">
        <v>796</v>
      </c>
      <c r="B426">
        <v>2022</v>
      </c>
      <c r="C426">
        <v>3158</v>
      </c>
      <c r="D426">
        <v>721</v>
      </c>
      <c r="E426">
        <v>50</v>
      </c>
      <c r="F426">
        <v>0</v>
      </c>
    </row>
    <row r="427" spans="1:6" x14ac:dyDescent="0.2">
      <c r="A427" t="s">
        <v>799</v>
      </c>
      <c r="B427">
        <v>2022</v>
      </c>
      <c r="C427">
        <v>7685</v>
      </c>
      <c r="D427">
        <v>1237</v>
      </c>
      <c r="E427">
        <v>62</v>
      </c>
      <c r="F427">
        <v>1</v>
      </c>
    </row>
    <row r="428" spans="1:6" x14ac:dyDescent="0.2">
      <c r="A428" t="s">
        <v>105</v>
      </c>
      <c r="B428">
        <v>2022</v>
      </c>
      <c r="C428">
        <v>22516</v>
      </c>
      <c r="D428">
        <v>1711</v>
      </c>
      <c r="E428">
        <v>56</v>
      </c>
      <c r="F428">
        <v>4</v>
      </c>
    </row>
    <row r="429" spans="1:6" x14ac:dyDescent="0.2">
      <c r="A429" t="s">
        <v>106</v>
      </c>
      <c r="B429">
        <v>2022</v>
      </c>
      <c r="C429">
        <v>10670</v>
      </c>
      <c r="D429">
        <v>1313</v>
      </c>
      <c r="E429">
        <v>66</v>
      </c>
      <c r="F429">
        <v>0</v>
      </c>
    </row>
    <row r="430" spans="1:6" x14ac:dyDescent="0.2">
      <c r="A430" t="s">
        <v>806</v>
      </c>
      <c r="B430">
        <v>2022</v>
      </c>
      <c r="C430">
        <v>23698</v>
      </c>
      <c r="D430">
        <v>2443</v>
      </c>
      <c r="E430">
        <v>131</v>
      </c>
      <c r="F430">
        <v>16</v>
      </c>
    </row>
    <row r="431" spans="1:6" x14ac:dyDescent="0.2">
      <c r="A431" t="s">
        <v>1307</v>
      </c>
      <c r="B431">
        <v>2022</v>
      </c>
      <c r="C431">
        <v>0</v>
      </c>
      <c r="D431">
        <v>0</v>
      </c>
      <c r="E431">
        <v>0</v>
      </c>
      <c r="F431">
        <v>0</v>
      </c>
    </row>
    <row r="432" spans="1:6" x14ac:dyDescent="0.2">
      <c r="A432" t="s">
        <v>1169</v>
      </c>
      <c r="B432">
        <v>2022</v>
      </c>
      <c r="C432">
        <v>0</v>
      </c>
      <c r="D432">
        <v>0</v>
      </c>
      <c r="E432">
        <v>0</v>
      </c>
      <c r="F432">
        <v>0</v>
      </c>
    </row>
    <row r="433" spans="1:6" x14ac:dyDescent="0.2">
      <c r="A433" t="s">
        <v>1170</v>
      </c>
      <c r="B433">
        <v>2022</v>
      </c>
      <c r="C433">
        <v>0</v>
      </c>
      <c r="D433">
        <v>0</v>
      </c>
      <c r="E433">
        <v>0</v>
      </c>
      <c r="F433">
        <v>0</v>
      </c>
    </row>
    <row r="434" spans="1:6" x14ac:dyDescent="0.2">
      <c r="A434" t="s">
        <v>1308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 x14ac:dyDescent="0.2">
      <c r="A435" t="s">
        <v>809</v>
      </c>
      <c r="B435">
        <v>2022</v>
      </c>
      <c r="C435">
        <v>20346</v>
      </c>
      <c r="D435">
        <v>2728</v>
      </c>
      <c r="E435">
        <v>337</v>
      </c>
      <c r="F435">
        <v>1</v>
      </c>
    </row>
    <row r="436" spans="1:6" x14ac:dyDescent="0.2">
      <c r="A436" t="s">
        <v>1171</v>
      </c>
      <c r="B436">
        <v>2022</v>
      </c>
      <c r="C436">
        <v>30895</v>
      </c>
      <c r="D436">
        <v>2109</v>
      </c>
      <c r="E436">
        <v>50</v>
      </c>
      <c r="F436">
        <v>18</v>
      </c>
    </row>
    <row r="437" spans="1:6" x14ac:dyDescent="0.2">
      <c r="A437" t="s">
        <v>814</v>
      </c>
      <c r="B437">
        <v>2022</v>
      </c>
      <c r="C437">
        <v>12614</v>
      </c>
      <c r="D437">
        <v>1126</v>
      </c>
      <c r="E437">
        <v>56</v>
      </c>
      <c r="F437">
        <v>4</v>
      </c>
    </row>
    <row r="438" spans="1:6" x14ac:dyDescent="0.2">
      <c r="A438" t="s">
        <v>108</v>
      </c>
      <c r="B438">
        <v>2022</v>
      </c>
      <c r="C438">
        <v>30470</v>
      </c>
      <c r="D438">
        <v>2686</v>
      </c>
      <c r="E438">
        <v>157</v>
      </c>
      <c r="F438">
        <v>4</v>
      </c>
    </row>
    <row r="439" spans="1:6" x14ac:dyDescent="0.2">
      <c r="A439" t="s">
        <v>1309</v>
      </c>
      <c r="B439">
        <v>2022</v>
      </c>
      <c r="C439">
        <v>0</v>
      </c>
      <c r="D439">
        <v>0</v>
      </c>
      <c r="E439">
        <v>0</v>
      </c>
      <c r="F439">
        <v>0</v>
      </c>
    </row>
    <row r="440" spans="1:6" x14ac:dyDescent="0.2">
      <c r="A440" t="s">
        <v>819</v>
      </c>
      <c r="B440">
        <v>2022</v>
      </c>
      <c r="C440">
        <v>24541</v>
      </c>
      <c r="D440">
        <v>3107</v>
      </c>
      <c r="E440">
        <v>312</v>
      </c>
      <c r="F440">
        <v>7</v>
      </c>
    </row>
    <row r="441" spans="1:6" x14ac:dyDescent="0.2">
      <c r="A441" t="s">
        <v>109</v>
      </c>
      <c r="B441">
        <v>2022</v>
      </c>
      <c r="C441">
        <v>40572</v>
      </c>
      <c r="D441">
        <v>4124</v>
      </c>
      <c r="E441">
        <v>291</v>
      </c>
      <c r="F441">
        <v>13</v>
      </c>
    </row>
    <row r="442" spans="1:6" x14ac:dyDescent="0.2">
      <c r="A442" t="s">
        <v>110</v>
      </c>
      <c r="B442">
        <v>2022</v>
      </c>
      <c r="C442">
        <v>244366</v>
      </c>
      <c r="D442">
        <v>23553</v>
      </c>
      <c r="E442">
        <v>1226</v>
      </c>
      <c r="F442">
        <v>397</v>
      </c>
    </row>
    <row r="443" spans="1:6" x14ac:dyDescent="0.2">
      <c r="A443" t="s">
        <v>1172</v>
      </c>
      <c r="B443">
        <v>2022</v>
      </c>
      <c r="C443">
        <v>0</v>
      </c>
      <c r="D443">
        <v>0</v>
      </c>
      <c r="E443">
        <v>0</v>
      </c>
      <c r="F443">
        <v>0</v>
      </c>
    </row>
    <row r="444" spans="1:6" x14ac:dyDescent="0.2">
      <c r="A444" t="s">
        <v>826</v>
      </c>
      <c r="B444">
        <v>2022</v>
      </c>
      <c r="C444">
        <v>1039</v>
      </c>
      <c r="D444">
        <v>32</v>
      </c>
      <c r="E444">
        <v>7</v>
      </c>
      <c r="F444">
        <v>0</v>
      </c>
    </row>
    <row r="445" spans="1:6" x14ac:dyDescent="0.2">
      <c r="A445" t="s">
        <v>829</v>
      </c>
      <c r="B445">
        <v>2022</v>
      </c>
      <c r="C445">
        <v>13890</v>
      </c>
      <c r="D445">
        <v>2131</v>
      </c>
      <c r="E445">
        <v>157</v>
      </c>
      <c r="F445">
        <v>15</v>
      </c>
    </row>
    <row r="446" spans="1:6" x14ac:dyDescent="0.2">
      <c r="A446" t="s">
        <v>1310</v>
      </c>
      <c r="B446">
        <v>2022</v>
      </c>
      <c r="C446">
        <v>0</v>
      </c>
      <c r="D446">
        <v>0</v>
      </c>
      <c r="E446">
        <v>0</v>
      </c>
      <c r="F446">
        <v>0</v>
      </c>
    </row>
    <row r="447" spans="1:6" x14ac:dyDescent="0.2">
      <c r="A447" t="s">
        <v>1311</v>
      </c>
      <c r="B447">
        <v>2022</v>
      </c>
      <c r="C447">
        <v>0</v>
      </c>
      <c r="D447">
        <v>0</v>
      </c>
      <c r="E447">
        <v>0</v>
      </c>
      <c r="F447">
        <v>0</v>
      </c>
    </row>
    <row r="448" spans="1:6" x14ac:dyDescent="0.2">
      <c r="A448" t="s">
        <v>1312</v>
      </c>
      <c r="B448">
        <v>2022</v>
      </c>
      <c r="C448">
        <v>0</v>
      </c>
      <c r="D448">
        <v>0</v>
      </c>
      <c r="E448">
        <v>0</v>
      </c>
      <c r="F448">
        <v>0</v>
      </c>
    </row>
    <row r="449" spans="1:6" x14ac:dyDescent="0.2">
      <c r="A449" t="s">
        <v>111</v>
      </c>
      <c r="B449">
        <v>2022</v>
      </c>
      <c r="C449">
        <v>25888</v>
      </c>
      <c r="D449">
        <v>3798</v>
      </c>
      <c r="E449">
        <v>199</v>
      </c>
      <c r="F449">
        <v>2</v>
      </c>
    </row>
    <row r="450" spans="1:6" x14ac:dyDescent="0.2">
      <c r="A450" t="s">
        <v>1313</v>
      </c>
      <c r="B450">
        <v>2022</v>
      </c>
      <c r="C450">
        <v>0</v>
      </c>
      <c r="D450">
        <v>0</v>
      </c>
      <c r="E450">
        <v>0</v>
      </c>
      <c r="F450">
        <v>0</v>
      </c>
    </row>
    <row r="451" spans="1:6" x14ac:dyDescent="0.2">
      <c r="A451" t="s">
        <v>1173</v>
      </c>
      <c r="B451">
        <v>2022</v>
      </c>
      <c r="C451">
        <v>0</v>
      </c>
      <c r="D451">
        <v>0</v>
      </c>
      <c r="E451">
        <v>0</v>
      </c>
      <c r="F451">
        <v>0</v>
      </c>
    </row>
    <row r="452" spans="1:6" x14ac:dyDescent="0.2">
      <c r="A452" t="s">
        <v>834</v>
      </c>
      <c r="B452">
        <v>2022</v>
      </c>
      <c r="C452">
        <v>5351</v>
      </c>
      <c r="D452">
        <v>761</v>
      </c>
      <c r="E452">
        <v>52</v>
      </c>
      <c r="F452">
        <v>1</v>
      </c>
    </row>
    <row r="453" spans="1:6" x14ac:dyDescent="0.2">
      <c r="A453" t="s">
        <v>112</v>
      </c>
      <c r="B453">
        <v>2022</v>
      </c>
      <c r="C453">
        <v>32009</v>
      </c>
      <c r="D453">
        <v>3171</v>
      </c>
      <c r="E453">
        <v>141</v>
      </c>
      <c r="F453">
        <v>1</v>
      </c>
    </row>
    <row r="454" spans="1:6" x14ac:dyDescent="0.2">
      <c r="A454" t="s">
        <v>839</v>
      </c>
      <c r="B454">
        <v>2022</v>
      </c>
      <c r="C454">
        <v>355</v>
      </c>
      <c r="D454">
        <v>78</v>
      </c>
      <c r="E454">
        <v>4</v>
      </c>
      <c r="F454">
        <v>1</v>
      </c>
    </row>
    <row r="455" spans="1:6" x14ac:dyDescent="0.2">
      <c r="A455" t="s">
        <v>1174</v>
      </c>
      <c r="B455">
        <v>2022</v>
      </c>
      <c r="C455">
        <v>0</v>
      </c>
      <c r="D455">
        <v>0</v>
      </c>
      <c r="E455">
        <v>0</v>
      </c>
      <c r="F455">
        <v>0</v>
      </c>
    </row>
    <row r="456" spans="1:6" x14ac:dyDescent="0.2">
      <c r="A456" t="s">
        <v>113</v>
      </c>
      <c r="B456">
        <v>2022</v>
      </c>
      <c r="C456">
        <v>0</v>
      </c>
      <c r="D456">
        <v>0</v>
      </c>
      <c r="E456">
        <v>0</v>
      </c>
      <c r="F456">
        <v>0</v>
      </c>
    </row>
    <row r="457" spans="1:6" x14ac:dyDescent="0.2">
      <c r="A457" t="s">
        <v>1314</v>
      </c>
      <c r="B457">
        <v>2022</v>
      </c>
      <c r="C457">
        <v>0</v>
      </c>
      <c r="D457">
        <v>0</v>
      </c>
      <c r="E457">
        <v>0</v>
      </c>
      <c r="F457">
        <v>0</v>
      </c>
    </row>
    <row r="458" spans="1:6" x14ac:dyDescent="0.2">
      <c r="A458" t="s">
        <v>1175</v>
      </c>
      <c r="B458">
        <v>2022</v>
      </c>
      <c r="C458">
        <v>0</v>
      </c>
      <c r="D458">
        <v>0</v>
      </c>
      <c r="E458">
        <v>0</v>
      </c>
      <c r="F458">
        <v>0</v>
      </c>
    </row>
    <row r="459" spans="1:6" x14ac:dyDescent="0.2">
      <c r="A459" t="s">
        <v>1315</v>
      </c>
      <c r="B459">
        <v>2022</v>
      </c>
      <c r="C459">
        <v>0</v>
      </c>
      <c r="D459">
        <v>0</v>
      </c>
      <c r="E459">
        <v>0</v>
      </c>
      <c r="F459">
        <v>0</v>
      </c>
    </row>
    <row r="460" spans="1:6" x14ac:dyDescent="0.2">
      <c r="A460" t="s">
        <v>842</v>
      </c>
      <c r="B460">
        <v>2022</v>
      </c>
      <c r="C460">
        <v>19718</v>
      </c>
      <c r="D460">
        <v>2851</v>
      </c>
      <c r="E460">
        <v>125</v>
      </c>
      <c r="F460">
        <v>28</v>
      </c>
    </row>
    <row r="461" spans="1:6" x14ac:dyDescent="0.2">
      <c r="A461" t="s">
        <v>1316</v>
      </c>
      <c r="B461">
        <v>2022</v>
      </c>
      <c r="C461">
        <v>0</v>
      </c>
      <c r="D461">
        <v>0</v>
      </c>
      <c r="E461">
        <v>0</v>
      </c>
      <c r="F461">
        <v>0</v>
      </c>
    </row>
    <row r="462" spans="1:6" x14ac:dyDescent="0.2">
      <c r="A462" t="s">
        <v>845</v>
      </c>
      <c r="B462">
        <v>2022</v>
      </c>
      <c r="C462">
        <v>6260</v>
      </c>
      <c r="D462">
        <v>418</v>
      </c>
      <c r="E462">
        <v>22</v>
      </c>
      <c r="F462">
        <v>12</v>
      </c>
    </row>
    <row r="463" spans="1:6" x14ac:dyDescent="0.2">
      <c r="A463" t="s">
        <v>1176</v>
      </c>
      <c r="B463">
        <v>2022</v>
      </c>
      <c r="C463">
        <v>0</v>
      </c>
      <c r="D463">
        <v>0</v>
      </c>
      <c r="E463">
        <v>0</v>
      </c>
      <c r="F463">
        <v>0</v>
      </c>
    </row>
    <row r="464" spans="1:6" x14ac:dyDescent="0.2">
      <c r="A464" t="s">
        <v>848</v>
      </c>
      <c r="B464">
        <v>2022</v>
      </c>
      <c r="C464">
        <v>16400</v>
      </c>
      <c r="D464">
        <v>2104</v>
      </c>
      <c r="E464">
        <v>167</v>
      </c>
      <c r="F464">
        <v>0</v>
      </c>
    </row>
    <row r="465" spans="1:6" x14ac:dyDescent="0.2">
      <c r="A465" t="s">
        <v>1177</v>
      </c>
      <c r="B465">
        <v>2022</v>
      </c>
      <c r="C465">
        <v>0</v>
      </c>
      <c r="D465">
        <v>0</v>
      </c>
      <c r="E465">
        <v>0</v>
      </c>
      <c r="F465">
        <v>0</v>
      </c>
    </row>
    <row r="466" spans="1:6" x14ac:dyDescent="0.2">
      <c r="A466" t="s">
        <v>1317</v>
      </c>
      <c r="B466">
        <v>2022</v>
      </c>
      <c r="C466">
        <v>0</v>
      </c>
      <c r="D466">
        <v>0</v>
      </c>
      <c r="E466">
        <v>0</v>
      </c>
      <c r="F466">
        <v>0</v>
      </c>
    </row>
    <row r="467" spans="1:6" x14ac:dyDescent="0.2">
      <c r="A467" t="s">
        <v>851</v>
      </c>
      <c r="B467">
        <v>2022</v>
      </c>
      <c r="C467">
        <v>53330</v>
      </c>
      <c r="D467">
        <v>5212</v>
      </c>
      <c r="E467">
        <v>309</v>
      </c>
      <c r="F467">
        <v>2</v>
      </c>
    </row>
    <row r="468" spans="1:6" x14ac:dyDescent="0.2">
      <c r="A468" t="s">
        <v>1178</v>
      </c>
      <c r="B468">
        <v>2022</v>
      </c>
      <c r="C468">
        <v>0</v>
      </c>
      <c r="D468">
        <v>0</v>
      </c>
      <c r="E468">
        <v>0</v>
      </c>
      <c r="F468">
        <v>0</v>
      </c>
    </row>
    <row r="469" spans="1:6" x14ac:dyDescent="0.2">
      <c r="A469" t="s">
        <v>114</v>
      </c>
      <c r="B469">
        <v>2022</v>
      </c>
      <c r="C469">
        <v>12361</v>
      </c>
      <c r="D469">
        <v>1460</v>
      </c>
      <c r="E469">
        <v>86</v>
      </c>
      <c r="F469">
        <v>1</v>
      </c>
    </row>
    <row r="470" spans="1:6" x14ac:dyDescent="0.2">
      <c r="A470" t="s">
        <v>1179</v>
      </c>
      <c r="B470">
        <v>2022</v>
      </c>
      <c r="C470">
        <v>0</v>
      </c>
      <c r="D470">
        <v>0</v>
      </c>
      <c r="E470">
        <v>0</v>
      </c>
      <c r="F470">
        <v>0</v>
      </c>
    </row>
    <row r="471" spans="1:6" x14ac:dyDescent="0.2">
      <c r="A471" t="s">
        <v>856</v>
      </c>
      <c r="B471">
        <v>2022</v>
      </c>
      <c r="C471">
        <v>13867</v>
      </c>
      <c r="D471">
        <v>1865</v>
      </c>
      <c r="E471">
        <v>114</v>
      </c>
      <c r="F471">
        <v>7</v>
      </c>
    </row>
    <row r="472" spans="1:6" x14ac:dyDescent="0.2">
      <c r="A472" t="s">
        <v>1318</v>
      </c>
      <c r="B472">
        <v>2022</v>
      </c>
      <c r="C472">
        <v>0</v>
      </c>
      <c r="D472">
        <v>0</v>
      </c>
      <c r="E472">
        <v>0</v>
      </c>
      <c r="F472">
        <v>0</v>
      </c>
    </row>
    <row r="473" spans="1:6" x14ac:dyDescent="0.2">
      <c r="A473" t="s">
        <v>859</v>
      </c>
      <c r="B473">
        <v>2022</v>
      </c>
      <c r="C473">
        <v>34558</v>
      </c>
      <c r="D473">
        <v>5539</v>
      </c>
      <c r="E473">
        <v>232</v>
      </c>
      <c r="F473">
        <v>20</v>
      </c>
    </row>
    <row r="474" spans="1:6" x14ac:dyDescent="0.2">
      <c r="A474" t="s">
        <v>115</v>
      </c>
      <c r="B474">
        <v>2022</v>
      </c>
      <c r="C474">
        <v>0</v>
      </c>
      <c r="D474">
        <v>0</v>
      </c>
      <c r="E474">
        <v>0</v>
      </c>
      <c r="F474">
        <v>0</v>
      </c>
    </row>
    <row r="475" spans="1:6" x14ac:dyDescent="0.2">
      <c r="A475" t="s">
        <v>116</v>
      </c>
      <c r="B475">
        <v>2022</v>
      </c>
      <c r="C475">
        <v>25008</v>
      </c>
      <c r="D475">
        <v>2176</v>
      </c>
      <c r="E475">
        <v>169</v>
      </c>
      <c r="F475">
        <v>1</v>
      </c>
    </row>
    <row r="476" spans="1:6" x14ac:dyDescent="0.2">
      <c r="A476" t="s">
        <v>864</v>
      </c>
      <c r="B476">
        <v>2022</v>
      </c>
      <c r="C476">
        <v>11140</v>
      </c>
      <c r="D476">
        <v>2078</v>
      </c>
      <c r="E476">
        <v>198</v>
      </c>
      <c r="F476">
        <v>2</v>
      </c>
    </row>
    <row r="477" spans="1:6" x14ac:dyDescent="0.2">
      <c r="A477" t="s">
        <v>867</v>
      </c>
      <c r="B477">
        <v>2022</v>
      </c>
      <c r="C477">
        <v>10566</v>
      </c>
      <c r="D477">
        <v>1006</v>
      </c>
      <c r="E477">
        <v>335</v>
      </c>
      <c r="F477">
        <v>0</v>
      </c>
    </row>
    <row r="478" spans="1:6" x14ac:dyDescent="0.2">
      <c r="A478" t="s">
        <v>1180</v>
      </c>
      <c r="B478">
        <v>2022</v>
      </c>
      <c r="C478">
        <v>0</v>
      </c>
      <c r="D478">
        <v>0</v>
      </c>
      <c r="E478">
        <v>0</v>
      </c>
      <c r="F478">
        <v>0</v>
      </c>
    </row>
    <row r="479" spans="1:6" x14ac:dyDescent="0.2">
      <c r="A479" t="s">
        <v>1319</v>
      </c>
      <c r="B479">
        <v>2022</v>
      </c>
      <c r="C479">
        <v>0</v>
      </c>
      <c r="D479">
        <v>0</v>
      </c>
      <c r="E479">
        <v>0</v>
      </c>
      <c r="F479">
        <v>0</v>
      </c>
    </row>
    <row r="480" spans="1:6" x14ac:dyDescent="0.2">
      <c r="A480" t="s">
        <v>870</v>
      </c>
      <c r="B480">
        <v>2022</v>
      </c>
      <c r="C480">
        <v>17836</v>
      </c>
      <c r="D480">
        <v>2459</v>
      </c>
      <c r="E480">
        <v>123</v>
      </c>
      <c r="F480">
        <v>2</v>
      </c>
    </row>
    <row r="481" spans="1:6" x14ac:dyDescent="0.2">
      <c r="A481" t="s">
        <v>873</v>
      </c>
      <c r="B481">
        <v>2022</v>
      </c>
      <c r="C481">
        <v>9565</v>
      </c>
      <c r="D481">
        <v>2037</v>
      </c>
      <c r="E481">
        <v>174</v>
      </c>
      <c r="F481">
        <v>1</v>
      </c>
    </row>
    <row r="482" spans="1:6" x14ac:dyDescent="0.2">
      <c r="A482" t="s">
        <v>876</v>
      </c>
      <c r="B482">
        <v>2022</v>
      </c>
      <c r="C482">
        <v>10320</v>
      </c>
      <c r="D482">
        <v>986</v>
      </c>
      <c r="E482">
        <v>63</v>
      </c>
      <c r="F482">
        <v>1</v>
      </c>
    </row>
    <row r="483" spans="1:6" x14ac:dyDescent="0.2">
      <c r="A483" t="s">
        <v>879</v>
      </c>
      <c r="B483">
        <v>2022</v>
      </c>
      <c r="C483">
        <v>13892</v>
      </c>
      <c r="D483">
        <v>1654</v>
      </c>
      <c r="E483">
        <v>100</v>
      </c>
      <c r="F483">
        <v>2</v>
      </c>
    </row>
    <row r="484" spans="1:6" x14ac:dyDescent="0.2">
      <c r="A484" t="s">
        <v>1320</v>
      </c>
      <c r="B484">
        <v>2022</v>
      </c>
      <c r="C484">
        <v>0</v>
      </c>
      <c r="D484">
        <v>0</v>
      </c>
      <c r="E484">
        <v>0</v>
      </c>
      <c r="F484">
        <v>0</v>
      </c>
    </row>
    <row r="485" spans="1:6" x14ac:dyDescent="0.2">
      <c r="A485" t="s">
        <v>1321</v>
      </c>
      <c r="B485">
        <v>2022</v>
      </c>
      <c r="C485">
        <v>0</v>
      </c>
      <c r="D485">
        <v>0</v>
      </c>
      <c r="E485">
        <v>0</v>
      </c>
      <c r="F485">
        <v>0</v>
      </c>
    </row>
    <row r="486" spans="1:6" x14ac:dyDescent="0.2">
      <c r="A486" t="s">
        <v>882</v>
      </c>
      <c r="B486">
        <v>2022</v>
      </c>
      <c r="C486">
        <v>24610</v>
      </c>
      <c r="D486">
        <v>3369</v>
      </c>
      <c r="E486">
        <v>150</v>
      </c>
      <c r="F486">
        <v>10</v>
      </c>
    </row>
    <row r="487" spans="1:6" x14ac:dyDescent="0.2">
      <c r="A487" t="s">
        <v>1181</v>
      </c>
      <c r="B487">
        <v>2022</v>
      </c>
      <c r="C487">
        <v>15105</v>
      </c>
      <c r="D487">
        <v>1217</v>
      </c>
      <c r="E487">
        <v>104</v>
      </c>
      <c r="F487">
        <v>9</v>
      </c>
    </row>
    <row r="488" spans="1:6" x14ac:dyDescent="0.2">
      <c r="A488" t="s">
        <v>888</v>
      </c>
      <c r="B488">
        <v>2022</v>
      </c>
      <c r="C488">
        <v>33292</v>
      </c>
      <c r="D488">
        <v>2946</v>
      </c>
      <c r="E488">
        <v>178</v>
      </c>
      <c r="F488">
        <v>3</v>
      </c>
    </row>
    <row r="489" spans="1:6" x14ac:dyDescent="0.2">
      <c r="A489" t="s">
        <v>1182</v>
      </c>
      <c r="B489">
        <v>2022</v>
      </c>
      <c r="C489">
        <v>0</v>
      </c>
      <c r="D489">
        <v>0</v>
      </c>
      <c r="E489">
        <v>0</v>
      </c>
      <c r="F489">
        <v>0</v>
      </c>
    </row>
    <row r="490" spans="1:6" x14ac:dyDescent="0.2">
      <c r="A490" t="s">
        <v>1322</v>
      </c>
      <c r="B490">
        <v>2022</v>
      </c>
      <c r="C490">
        <v>46531</v>
      </c>
      <c r="D490">
        <v>7138</v>
      </c>
      <c r="E490">
        <v>396</v>
      </c>
      <c r="F490">
        <v>7</v>
      </c>
    </row>
    <row r="491" spans="1:6" x14ac:dyDescent="0.2">
      <c r="A491" t="s">
        <v>1323</v>
      </c>
      <c r="B491">
        <v>2022</v>
      </c>
      <c r="C491">
        <v>0</v>
      </c>
      <c r="D491">
        <v>0</v>
      </c>
      <c r="E491">
        <v>0</v>
      </c>
      <c r="F491">
        <v>0</v>
      </c>
    </row>
    <row r="492" spans="1:6" x14ac:dyDescent="0.2">
      <c r="A492" t="s">
        <v>1324</v>
      </c>
      <c r="B492">
        <v>2022</v>
      </c>
      <c r="C492">
        <v>0</v>
      </c>
      <c r="D492">
        <v>0</v>
      </c>
      <c r="E492">
        <v>0</v>
      </c>
      <c r="F492">
        <v>0</v>
      </c>
    </row>
    <row r="493" spans="1:6" x14ac:dyDescent="0.2">
      <c r="A493" t="s">
        <v>1325</v>
      </c>
      <c r="B493">
        <v>2022</v>
      </c>
      <c r="C493">
        <v>0</v>
      </c>
      <c r="D493">
        <v>0</v>
      </c>
      <c r="E493">
        <v>0</v>
      </c>
      <c r="F493">
        <v>0</v>
      </c>
    </row>
    <row r="494" spans="1:6" x14ac:dyDescent="0.2">
      <c r="A494" t="s">
        <v>894</v>
      </c>
      <c r="B494">
        <v>2022</v>
      </c>
      <c r="C494">
        <v>31377</v>
      </c>
      <c r="D494">
        <v>3119</v>
      </c>
      <c r="E494">
        <v>220</v>
      </c>
      <c r="F494">
        <v>3</v>
      </c>
    </row>
    <row r="495" spans="1:6" x14ac:dyDescent="0.2">
      <c r="A495" t="s">
        <v>897</v>
      </c>
      <c r="B495">
        <v>2022</v>
      </c>
      <c r="C495">
        <v>2547</v>
      </c>
      <c r="D495">
        <v>666</v>
      </c>
      <c r="E495">
        <v>34</v>
      </c>
      <c r="F495">
        <v>4</v>
      </c>
    </row>
    <row r="496" spans="1:6" x14ac:dyDescent="0.2">
      <c r="A496" t="s">
        <v>900</v>
      </c>
      <c r="B496">
        <v>2022</v>
      </c>
      <c r="C496">
        <v>7566</v>
      </c>
      <c r="D496">
        <v>1660</v>
      </c>
      <c r="E496">
        <v>77</v>
      </c>
      <c r="F496">
        <v>12</v>
      </c>
    </row>
    <row r="497" spans="1:6" x14ac:dyDescent="0.2">
      <c r="A497" t="s">
        <v>903</v>
      </c>
      <c r="B497">
        <v>2022</v>
      </c>
      <c r="C497">
        <v>20106</v>
      </c>
      <c r="D497">
        <v>1940</v>
      </c>
      <c r="E497">
        <v>165</v>
      </c>
      <c r="F497">
        <v>1</v>
      </c>
    </row>
    <row r="498" spans="1:6" x14ac:dyDescent="0.2">
      <c r="A498" t="s">
        <v>906</v>
      </c>
      <c r="B498">
        <v>2022</v>
      </c>
      <c r="C498">
        <v>14329</v>
      </c>
      <c r="D498">
        <v>2335</v>
      </c>
      <c r="E498">
        <v>85</v>
      </c>
      <c r="F498">
        <v>10</v>
      </c>
    </row>
    <row r="499" spans="1:6" x14ac:dyDescent="0.2">
      <c r="A499" t="s">
        <v>1326</v>
      </c>
      <c r="B499">
        <v>2022</v>
      </c>
      <c r="C499">
        <v>0</v>
      </c>
      <c r="D499">
        <v>0</v>
      </c>
      <c r="E499">
        <v>0</v>
      </c>
      <c r="F499">
        <v>0</v>
      </c>
    </row>
    <row r="500" spans="1:6" x14ac:dyDescent="0.2">
      <c r="A500" t="s">
        <v>117</v>
      </c>
      <c r="B500">
        <v>2022</v>
      </c>
      <c r="C500">
        <v>24699</v>
      </c>
      <c r="D500">
        <v>2874</v>
      </c>
      <c r="E500">
        <v>220</v>
      </c>
      <c r="F500">
        <v>16</v>
      </c>
    </row>
    <row r="501" spans="1:6" x14ac:dyDescent="0.2">
      <c r="A501" t="s">
        <v>118</v>
      </c>
      <c r="B501">
        <v>2022</v>
      </c>
      <c r="C501">
        <v>122310</v>
      </c>
      <c r="D501">
        <v>13072</v>
      </c>
      <c r="E501">
        <v>777</v>
      </c>
      <c r="F501">
        <v>41</v>
      </c>
    </row>
    <row r="502" spans="1:6" x14ac:dyDescent="0.2">
      <c r="A502" t="s">
        <v>913</v>
      </c>
      <c r="B502">
        <v>2022</v>
      </c>
      <c r="C502">
        <v>13166</v>
      </c>
      <c r="D502">
        <v>2733</v>
      </c>
      <c r="E502">
        <v>137</v>
      </c>
      <c r="F502">
        <v>23</v>
      </c>
    </row>
    <row r="503" spans="1:6" x14ac:dyDescent="0.2">
      <c r="A503" t="s">
        <v>916</v>
      </c>
      <c r="B503">
        <v>2022</v>
      </c>
      <c r="C503">
        <v>18736</v>
      </c>
      <c r="D503">
        <v>2728</v>
      </c>
      <c r="E503">
        <v>206</v>
      </c>
      <c r="F503">
        <v>8</v>
      </c>
    </row>
    <row r="504" spans="1:6" x14ac:dyDescent="0.2">
      <c r="A504" t="s">
        <v>919</v>
      </c>
      <c r="B504">
        <v>2022</v>
      </c>
      <c r="C504">
        <v>24440</v>
      </c>
      <c r="D504">
        <v>2140</v>
      </c>
      <c r="E504">
        <v>80</v>
      </c>
      <c r="F504">
        <v>0</v>
      </c>
    </row>
    <row r="505" spans="1:6" x14ac:dyDescent="0.2">
      <c r="A505" t="s">
        <v>922</v>
      </c>
      <c r="B505">
        <v>2022</v>
      </c>
      <c r="C505">
        <v>17785</v>
      </c>
      <c r="D505">
        <v>2344</v>
      </c>
      <c r="E505">
        <v>166</v>
      </c>
      <c r="F505">
        <v>3</v>
      </c>
    </row>
    <row r="506" spans="1:6" x14ac:dyDescent="0.2">
      <c r="A506" t="s">
        <v>1183</v>
      </c>
      <c r="B506">
        <v>2022</v>
      </c>
      <c r="C506">
        <v>0</v>
      </c>
      <c r="D506">
        <v>0</v>
      </c>
      <c r="E506">
        <v>0</v>
      </c>
      <c r="F506">
        <v>0</v>
      </c>
    </row>
    <row r="507" spans="1:6" x14ac:dyDescent="0.2">
      <c r="A507" t="s">
        <v>1184</v>
      </c>
      <c r="B507">
        <v>2022</v>
      </c>
      <c r="C507">
        <v>0</v>
      </c>
      <c r="D507">
        <v>0</v>
      </c>
      <c r="E507">
        <v>0</v>
      </c>
      <c r="F507">
        <v>0</v>
      </c>
    </row>
    <row r="508" spans="1:6" x14ac:dyDescent="0.2">
      <c r="A508" t="s">
        <v>119</v>
      </c>
      <c r="B508">
        <v>2022</v>
      </c>
      <c r="C508">
        <v>6732</v>
      </c>
      <c r="D508">
        <v>811</v>
      </c>
      <c r="E508">
        <v>32</v>
      </c>
      <c r="F508">
        <v>1</v>
      </c>
    </row>
    <row r="509" spans="1:6" x14ac:dyDescent="0.2">
      <c r="A509" t="s">
        <v>927</v>
      </c>
      <c r="B509">
        <v>2022</v>
      </c>
      <c r="C509">
        <v>15911</v>
      </c>
      <c r="D509">
        <v>1372</v>
      </c>
      <c r="E509">
        <v>109</v>
      </c>
      <c r="F509">
        <v>1</v>
      </c>
    </row>
    <row r="510" spans="1:6" x14ac:dyDescent="0.2">
      <c r="A510" t="s">
        <v>930</v>
      </c>
      <c r="B510">
        <v>2022</v>
      </c>
      <c r="C510">
        <v>7875</v>
      </c>
      <c r="D510">
        <v>1427</v>
      </c>
      <c r="E510">
        <v>59</v>
      </c>
      <c r="F510">
        <v>2</v>
      </c>
    </row>
    <row r="511" spans="1:6" x14ac:dyDescent="0.2">
      <c r="A511" t="s">
        <v>1185</v>
      </c>
      <c r="B511">
        <v>2022</v>
      </c>
      <c r="C511">
        <v>135664</v>
      </c>
      <c r="D511">
        <v>16260</v>
      </c>
      <c r="E511">
        <v>1250</v>
      </c>
      <c r="F511">
        <v>72</v>
      </c>
    </row>
    <row r="512" spans="1:6" x14ac:dyDescent="0.2">
      <c r="A512" t="s">
        <v>935</v>
      </c>
      <c r="B512">
        <v>2022</v>
      </c>
      <c r="C512">
        <v>26201</v>
      </c>
      <c r="D512">
        <v>2295</v>
      </c>
      <c r="E512">
        <v>109</v>
      </c>
      <c r="F512">
        <v>0</v>
      </c>
    </row>
    <row r="513" spans="1:6" x14ac:dyDescent="0.2">
      <c r="A513" t="s">
        <v>938</v>
      </c>
      <c r="B513">
        <v>2022</v>
      </c>
      <c r="C513">
        <v>4943</v>
      </c>
      <c r="D513">
        <v>289</v>
      </c>
      <c r="E513">
        <v>21</v>
      </c>
      <c r="F513">
        <v>4</v>
      </c>
    </row>
    <row r="514" spans="1:6" x14ac:dyDescent="0.2">
      <c r="A514" t="s">
        <v>1327</v>
      </c>
      <c r="B514">
        <v>2022</v>
      </c>
      <c r="C514">
        <v>0</v>
      </c>
      <c r="D514">
        <v>0</v>
      </c>
      <c r="E514">
        <v>0</v>
      </c>
      <c r="F514">
        <v>0</v>
      </c>
    </row>
    <row r="515" spans="1:6" x14ac:dyDescent="0.2">
      <c r="A515" t="s">
        <v>1328</v>
      </c>
      <c r="B515">
        <v>2022</v>
      </c>
      <c r="C515">
        <v>0</v>
      </c>
      <c r="D515">
        <v>0</v>
      </c>
      <c r="E515">
        <v>0</v>
      </c>
      <c r="F515">
        <v>0</v>
      </c>
    </row>
    <row r="516" spans="1:6" x14ac:dyDescent="0.2">
      <c r="A516" t="s">
        <v>941</v>
      </c>
      <c r="B516">
        <v>2022</v>
      </c>
      <c r="C516">
        <v>9224</v>
      </c>
      <c r="D516">
        <v>814</v>
      </c>
      <c r="E516">
        <v>49</v>
      </c>
      <c r="F516">
        <v>39</v>
      </c>
    </row>
    <row r="517" spans="1:6" x14ac:dyDescent="0.2">
      <c r="A517" t="s">
        <v>944</v>
      </c>
      <c r="B517">
        <v>2022</v>
      </c>
      <c r="C517">
        <v>17582</v>
      </c>
      <c r="D517">
        <v>1721</v>
      </c>
      <c r="E517">
        <v>93</v>
      </c>
      <c r="F517">
        <v>12</v>
      </c>
    </row>
    <row r="518" spans="1:6" x14ac:dyDescent="0.2">
      <c r="A518" t="s">
        <v>121</v>
      </c>
      <c r="B518">
        <v>2022</v>
      </c>
      <c r="C518">
        <v>15515</v>
      </c>
      <c r="D518">
        <v>1539</v>
      </c>
      <c r="E518">
        <v>72</v>
      </c>
      <c r="F518">
        <v>0</v>
      </c>
    </row>
    <row r="519" spans="1:6" x14ac:dyDescent="0.2">
      <c r="A519" t="s">
        <v>122</v>
      </c>
      <c r="B519">
        <v>2022</v>
      </c>
      <c r="C519">
        <v>33139</v>
      </c>
      <c r="D519">
        <v>3232</v>
      </c>
      <c r="E519">
        <v>185</v>
      </c>
      <c r="F519">
        <v>0</v>
      </c>
    </row>
    <row r="520" spans="1:6" x14ac:dyDescent="0.2">
      <c r="A520" t="s">
        <v>951</v>
      </c>
      <c r="B520">
        <v>2022</v>
      </c>
      <c r="C520">
        <v>12393</v>
      </c>
      <c r="D520">
        <v>1862</v>
      </c>
      <c r="E520">
        <v>79</v>
      </c>
      <c r="F520">
        <v>0</v>
      </c>
    </row>
    <row r="521" spans="1:6" x14ac:dyDescent="0.2">
      <c r="A521" t="s">
        <v>1186</v>
      </c>
      <c r="B521">
        <v>2022</v>
      </c>
      <c r="C521">
        <v>0</v>
      </c>
      <c r="D521">
        <v>0</v>
      </c>
      <c r="E521">
        <v>0</v>
      </c>
      <c r="F521">
        <v>0</v>
      </c>
    </row>
    <row r="522" spans="1:6" x14ac:dyDescent="0.2">
      <c r="A522" t="s">
        <v>954</v>
      </c>
      <c r="B522">
        <v>2022</v>
      </c>
      <c r="C522">
        <v>24215</v>
      </c>
      <c r="D522">
        <v>2256</v>
      </c>
      <c r="E522">
        <v>157</v>
      </c>
      <c r="F522">
        <v>9</v>
      </c>
    </row>
    <row r="523" spans="1:6" x14ac:dyDescent="0.2">
      <c r="A523" t="s">
        <v>957</v>
      </c>
      <c r="B523">
        <v>2022</v>
      </c>
      <c r="C523">
        <v>33524</v>
      </c>
      <c r="D523">
        <v>3298</v>
      </c>
      <c r="E523">
        <v>142</v>
      </c>
      <c r="F523">
        <v>7</v>
      </c>
    </row>
    <row r="524" spans="1:6" x14ac:dyDescent="0.2">
      <c r="A524" t="s">
        <v>1329</v>
      </c>
      <c r="B524">
        <v>2022</v>
      </c>
      <c r="C524">
        <v>0</v>
      </c>
      <c r="D524">
        <v>0</v>
      </c>
      <c r="E524">
        <v>0</v>
      </c>
      <c r="F524">
        <v>0</v>
      </c>
    </row>
    <row r="525" spans="1:6" x14ac:dyDescent="0.2">
      <c r="A525" t="s">
        <v>123</v>
      </c>
      <c r="B525">
        <v>2022</v>
      </c>
      <c r="C525">
        <v>51000</v>
      </c>
      <c r="D525">
        <v>3916</v>
      </c>
      <c r="E525">
        <v>395</v>
      </c>
      <c r="F525">
        <v>48</v>
      </c>
    </row>
    <row r="526" spans="1:6" x14ac:dyDescent="0.2">
      <c r="A526" t="s">
        <v>124</v>
      </c>
      <c r="B526">
        <v>2022</v>
      </c>
      <c r="C526">
        <v>24336</v>
      </c>
      <c r="D526">
        <v>2724</v>
      </c>
      <c r="E526">
        <v>178</v>
      </c>
      <c r="F526">
        <v>2</v>
      </c>
    </row>
    <row r="527" spans="1:6" x14ac:dyDescent="0.2">
      <c r="A527" t="s">
        <v>964</v>
      </c>
      <c r="B527">
        <v>2022</v>
      </c>
      <c r="C527">
        <v>33235</v>
      </c>
      <c r="D527">
        <v>4875</v>
      </c>
      <c r="E527">
        <v>541</v>
      </c>
      <c r="F527">
        <v>191</v>
      </c>
    </row>
    <row r="528" spans="1:6" x14ac:dyDescent="0.2">
      <c r="A528" t="s">
        <v>1187</v>
      </c>
      <c r="B528">
        <v>2022</v>
      </c>
      <c r="C528">
        <v>0</v>
      </c>
      <c r="D528">
        <v>0</v>
      </c>
      <c r="E528">
        <v>0</v>
      </c>
      <c r="F528">
        <v>0</v>
      </c>
    </row>
    <row r="529" spans="1:6" x14ac:dyDescent="0.2">
      <c r="A529" t="s">
        <v>967</v>
      </c>
      <c r="B529">
        <v>2022</v>
      </c>
      <c r="C529">
        <v>32237</v>
      </c>
      <c r="D529">
        <v>2878</v>
      </c>
      <c r="E529">
        <v>119</v>
      </c>
      <c r="F529">
        <v>7</v>
      </c>
    </row>
    <row r="530" spans="1:6" x14ac:dyDescent="0.2">
      <c r="A530" t="s">
        <v>1188</v>
      </c>
      <c r="B530">
        <v>2022</v>
      </c>
      <c r="C530">
        <v>0</v>
      </c>
      <c r="D530">
        <v>0</v>
      </c>
      <c r="E530">
        <v>0</v>
      </c>
      <c r="F530">
        <v>0</v>
      </c>
    </row>
    <row r="531" spans="1:6" x14ac:dyDescent="0.2">
      <c r="A531" t="s">
        <v>1330</v>
      </c>
      <c r="B531">
        <v>2022</v>
      </c>
      <c r="C531">
        <v>0</v>
      </c>
      <c r="D531">
        <v>0</v>
      </c>
      <c r="E531">
        <v>0</v>
      </c>
      <c r="F531">
        <v>0</v>
      </c>
    </row>
    <row r="532" spans="1:6" x14ac:dyDescent="0.2">
      <c r="A532" t="s">
        <v>970</v>
      </c>
      <c r="B532">
        <v>2022</v>
      </c>
      <c r="C532">
        <v>482</v>
      </c>
      <c r="D532">
        <v>140</v>
      </c>
      <c r="E532">
        <v>11</v>
      </c>
      <c r="F532">
        <v>0</v>
      </c>
    </row>
    <row r="533" spans="1:6" x14ac:dyDescent="0.2">
      <c r="A533" t="s">
        <v>125</v>
      </c>
      <c r="B533">
        <v>2022</v>
      </c>
      <c r="C533">
        <v>21619</v>
      </c>
      <c r="D533">
        <v>1617</v>
      </c>
      <c r="E533">
        <v>75</v>
      </c>
      <c r="F533">
        <v>2</v>
      </c>
    </row>
    <row r="534" spans="1:6" x14ac:dyDescent="0.2">
      <c r="A534" t="s">
        <v>1189</v>
      </c>
      <c r="B534">
        <v>2022</v>
      </c>
      <c r="C534">
        <v>0</v>
      </c>
      <c r="D534">
        <v>0</v>
      </c>
      <c r="E534">
        <v>0</v>
      </c>
      <c r="F534">
        <v>0</v>
      </c>
    </row>
    <row r="535" spans="1:6" x14ac:dyDescent="0.2">
      <c r="A535" t="s">
        <v>126</v>
      </c>
      <c r="B535">
        <v>2022</v>
      </c>
      <c r="C535">
        <v>7447</v>
      </c>
      <c r="D535">
        <v>649</v>
      </c>
      <c r="E535">
        <v>31</v>
      </c>
      <c r="F535">
        <v>1</v>
      </c>
    </row>
    <row r="536" spans="1:6" x14ac:dyDescent="0.2">
      <c r="A536" t="s">
        <v>1331</v>
      </c>
      <c r="B536">
        <v>2022</v>
      </c>
      <c r="C536">
        <v>0</v>
      </c>
      <c r="D536">
        <v>0</v>
      </c>
      <c r="E536">
        <v>0</v>
      </c>
      <c r="F536">
        <v>0</v>
      </c>
    </row>
    <row r="537" spans="1:6" x14ac:dyDescent="0.2">
      <c r="A537" t="s">
        <v>1332</v>
      </c>
      <c r="B537">
        <v>2022</v>
      </c>
      <c r="C537">
        <v>0</v>
      </c>
      <c r="D537">
        <v>0</v>
      </c>
      <c r="E537">
        <v>0</v>
      </c>
      <c r="F537">
        <v>0</v>
      </c>
    </row>
    <row r="538" spans="1:6" x14ac:dyDescent="0.2">
      <c r="A538" t="s">
        <v>127</v>
      </c>
      <c r="B538">
        <v>2022</v>
      </c>
      <c r="C538">
        <v>11695</v>
      </c>
      <c r="D538">
        <v>724</v>
      </c>
      <c r="E538">
        <v>43</v>
      </c>
      <c r="F538">
        <v>0</v>
      </c>
    </row>
    <row r="539" spans="1:6" x14ac:dyDescent="0.2">
      <c r="A539" t="s">
        <v>982</v>
      </c>
      <c r="B539">
        <v>2022</v>
      </c>
      <c r="C539">
        <v>13585</v>
      </c>
      <c r="D539">
        <v>1648</v>
      </c>
      <c r="E539">
        <v>149</v>
      </c>
      <c r="F539">
        <v>0</v>
      </c>
    </row>
    <row r="540" spans="1:6" x14ac:dyDescent="0.2">
      <c r="A540" t="s">
        <v>1333</v>
      </c>
      <c r="B540">
        <v>2022</v>
      </c>
      <c r="C540">
        <v>0</v>
      </c>
      <c r="D540">
        <v>0</v>
      </c>
      <c r="E540">
        <v>0</v>
      </c>
      <c r="F540">
        <v>0</v>
      </c>
    </row>
    <row r="541" spans="1:6" x14ac:dyDescent="0.2">
      <c r="A541" t="s">
        <v>1334</v>
      </c>
      <c r="B541">
        <v>2022</v>
      </c>
      <c r="C541">
        <v>0</v>
      </c>
      <c r="D541">
        <v>0</v>
      </c>
      <c r="E541">
        <v>0</v>
      </c>
      <c r="F541">
        <v>0</v>
      </c>
    </row>
    <row r="542" spans="1:6" x14ac:dyDescent="0.2">
      <c r="A542" t="s">
        <v>128</v>
      </c>
      <c r="B542">
        <v>2022</v>
      </c>
      <c r="C542">
        <v>16286</v>
      </c>
      <c r="D542">
        <v>1370</v>
      </c>
      <c r="E542">
        <v>102</v>
      </c>
      <c r="F542">
        <v>3</v>
      </c>
    </row>
    <row r="543" spans="1:6" x14ac:dyDescent="0.2">
      <c r="A543" t="s">
        <v>987</v>
      </c>
      <c r="B543">
        <v>2022</v>
      </c>
      <c r="C543">
        <v>25114</v>
      </c>
      <c r="D543">
        <v>3729</v>
      </c>
      <c r="E543">
        <v>217</v>
      </c>
      <c r="F543">
        <v>10</v>
      </c>
    </row>
    <row r="544" spans="1:6" x14ac:dyDescent="0.2">
      <c r="A544" t="s">
        <v>990</v>
      </c>
      <c r="B544">
        <v>2022</v>
      </c>
      <c r="C544">
        <v>9708</v>
      </c>
      <c r="D544">
        <v>548</v>
      </c>
      <c r="E544">
        <v>21</v>
      </c>
      <c r="F544">
        <v>1</v>
      </c>
    </row>
    <row r="545" spans="1:6" x14ac:dyDescent="0.2">
      <c r="A545" t="s">
        <v>993</v>
      </c>
      <c r="B545">
        <v>2022</v>
      </c>
      <c r="C545">
        <v>27607</v>
      </c>
      <c r="D545">
        <v>3049</v>
      </c>
      <c r="E545">
        <v>244</v>
      </c>
      <c r="F545">
        <v>0</v>
      </c>
    </row>
    <row r="546" spans="1:6" x14ac:dyDescent="0.2">
      <c r="A546" t="s">
        <v>129</v>
      </c>
      <c r="B546">
        <v>2022</v>
      </c>
      <c r="C546">
        <v>15867</v>
      </c>
      <c r="D546">
        <v>1670</v>
      </c>
      <c r="E546">
        <v>102</v>
      </c>
      <c r="F546">
        <v>24</v>
      </c>
    </row>
    <row r="547" spans="1:6" x14ac:dyDescent="0.2">
      <c r="A547" t="s">
        <v>998</v>
      </c>
      <c r="B547">
        <v>2022</v>
      </c>
      <c r="C547">
        <v>14110</v>
      </c>
      <c r="D547">
        <v>960</v>
      </c>
      <c r="E547">
        <v>44</v>
      </c>
      <c r="F547">
        <v>0</v>
      </c>
    </row>
    <row r="548" spans="1:6" x14ac:dyDescent="0.2">
      <c r="A548" t="s">
        <v>1335</v>
      </c>
      <c r="B548">
        <v>2022</v>
      </c>
      <c r="C548">
        <v>0</v>
      </c>
      <c r="D548">
        <v>0</v>
      </c>
      <c r="E548">
        <v>0</v>
      </c>
      <c r="F548">
        <v>0</v>
      </c>
    </row>
    <row r="549" spans="1:6" x14ac:dyDescent="0.2">
      <c r="A549" t="s">
        <v>1336</v>
      </c>
      <c r="B549">
        <v>2022</v>
      </c>
      <c r="C549">
        <v>0</v>
      </c>
      <c r="D549">
        <v>0</v>
      </c>
      <c r="E549">
        <v>0</v>
      </c>
      <c r="F549">
        <v>0</v>
      </c>
    </row>
    <row r="550" spans="1:6" x14ac:dyDescent="0.2">
      <c r="A550" t="s">
        <v>1001</v>
      </c>
      <c r="B550">
        <v>2022</v>
      </c>
      <c r="C550">
        <v>13870</v>
      </c>
      <c r="D550">
        <v>856</v>
      </c>
      <c r="E550">
        <v>71</v>
      </c>
      <c r="F550">
        <v>0</v>
      </c>
    </row>
    <row r="551" spans="1:6" x14ac:dyDescent="0.2">
      <c r="A551" t="s">
        <v>1337</v>
      </c>
      <c r="B551">
        <v>2022</v>
      </c>
      <c r="C551">
        <v>0</v>
      </c>
      <c r="D551">
        <v>0</v>
      </c>
      <c r="E551">
        <v>0</v>
      </c>
      <c r="F551">
        <v>0</v>
      </c>
    </row>
    <row r="552" spans="1:6" x14ac:dyDescent="0.2">
      <c r="A552" t="s">
        <v>1004</v>
      </c>
      <c r="B552">
        <v>2022</v>
      </c>
      <c r="C552">
        <v>8289</v>
      </c>
      <c r="D552">
        <v>865</v>
      </c>
      <c r="E552">
        <v>47</v>
      </c>
      <c r="F552">
        <v>0</v>
      </c>
    </row>
    <row r="553" spans="1:6" x14ac:dyDescent="0.2">
      <c r="A553" t="s">
        <v>1338</v>
      </c>
      <c r="B553">
        <v>2022</v>
      </c>
      <c r="C553">
        <v>0</v>
      </c>
      <c r="D553">
        <v>0</v>
      </c>
      <c r="E553">
        <v>0</v>
      </c>
      <c r="F553">
        <v>0</v>
      </c>
    </row>
    <row r="554" spans="1:6" x14ac:dyDescent="0.2">
      <c r="A554" t="s">
        <v>130</v>
      </c>
      <c r="B554">
        <v>2022</v>
      </c>
      <c r="C554">
        <v>26277</v>
      </c>
      <c r="D554">
        <v>2492</v>
      </c>
      <c r="E554">
        <v>201</v>
      </c>
      <c r="F554">
        <v>75</v>
      </c>
    </row>
    <row r="555" spans="1:6" x14ac:dyDescent="0.2">
      <c r="A555" t="s">
        <v>131</v>
      </c>
      <c r="B555">
        <v>2022</v>
      </c>
      <c r="C555">
        <v>8801</v>
      </c>
      <c r="D555">
        <v>871</v>
      </c>
      <c r="E555">
        <v>68</v>
      </c>
      <c r="F555">
        <v>1</v>
      </c>
    </row>
    <row r="556" spans="1:6" x14ac:dyDescent="0.2">
      <c r="A556" t="s">
        <v>1339</v>
      </c>
      <c r="B556">
        <v>2022</v>
      </c>
      <c r="C556">
        <v>0</v>
      </c>
      <c r="D556">
        <v>0</v>
      </c>
      <c r="E556">
        <v>0</v>
      </c>
      <c r="F556">
        <v>0</v>
      </c>
    </row>
    <row r="557" spans="1:6" x14ac:dyDescent="0.2">
      <c r="A557" t="s">
        <v>1190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 x14ac:dyDescent="0.2">
      <c r="A558" t="s">
        <v>1191</v>
      </c>
      <c r="B558">
        <v>2022</v>
      </c>
      <c r="C558">
        <v>0</v>
      </c>
      <c r="D558">
        <v>0</v>
      </c>
      <c r="E558">
        <v>0</v>
      </c>
      <c r="F558">
        <v>0</v>
      </c>
    </row>
    <row r="559" spans="1:6" x14ac:dyDescent="0.2">
      <c r="A559" t="s">
        <v>1009</v>
      </c>
      <c r="B559">
        <v>2022</v>
      </c>
      <c r="C559">
        <v>29803</v>
      </c>
      <c r="D559">
        <v>5165</v>
      </c>
      <c r="E559">
        <v>546</v>
      </c>
      <c r="F559">
        <v>14</v>
      </c>
    </row>
    <row r="560" spans="1:6" x14ac:dyDescent="0.2">
      <c r="A560" t="s">
        <v>1012</v>
      </c>
      <c r="B560">
        <v>2022</v>
      </c>
      <c r="C560">
        <v>11939</v>
      </c>
      <c r="D560">
        <v>1769</v>
      </c>
      <c r="E560">
        <v>115</v>
      </c>
      <c r="F560">
        <v>4</v>
      </c>
    </row>
    <row r="561" spans="1:6" x14ac:dyDescent="0.2">
      <c r="A561" t="s">
        <v>1340</v>
      </c>
      <c r="B561">
        <v>2022</v>
      </c>
      <c r="C561">
        <v>0</v>
      </c>
      <c r="D561">
        <v>0</v>
      </c>
      <c r="E561">
        <v>0</v>
      </c>
      <c r="F561">
        <v>0</v>
      </c>
    </row>
    <row r="562" spans="1:6" x14ac:dyDescent="0.2">
      <c r="A562" t="s">
        <v>1015</v>
      </c>
      <c r="B562">
        <v>2022</v>
      </c>
      <c r="C562">
        <v>35948</v>
      </c>
      <c r="D562">
        <v>5157</v>
      </c>
      <c r="E562">
        <v>391</v>
      </c>
      <c r="F562">
        <v>9</v>
      </c>
    </row>
    <row r="563" spans="1:6" x14ac:dyDescent="0.2">
      <c r="A563" t="s">
        <v>1018</v>
      </c>
      <c r="B563">
        <v>2022</v>
      </c>
      <c r="C563">
        <v>12001</v>
      </c>
      <c r="D563">
        <v>1730</v>
      </c>
      <c r="E563">
        <v>65</v>
      </c>
      <c r="F563">
        <v>3</v>
      </c>
    </row>
    <row r="564" spans="1:6" x14ac:dyDescent="0.2">
      <c r="A564" t="s">
        <v>132</v>
      </c>
      <c r="B564">
        <v>2022</v>
      </c>
      <c r="C564">
        <v>7632</v>
      </c>
      <c r="D564">
        <v>545</v>
      </c>
      <c r="E564">
        <v>19</v>
      </c>
      <c r="F564">
        <v>0</v>
      </c>
    </row>
    <row r="565" spans="1:6" x14ac:dyDescent="0.2">
      <c r="A565" t="s">
        <v>1023</v>
      </c>
      <c r="B565">
        <v>2022</v>
      </c>
      <c r="C565">
        <v>15515</v>
      </c>
      <c r="D565">
        <v>2154</v>
      </c>
      <c r="E565">
        <v>79</v>
      </c>
      <c r="F565">
        <v>12</v>
      </c>
    </row>
    <row r="566" spans="1:6" x14ac:dyDescent="0.2">
      <c r="A566" t="s">
        <v>1026</v>
      </c>
      <c r="B566">
        <v>2022</v>
      </c>
      <c r="C566">
        <v>58286</v>
      </c>
      <c r="D566">
        <v>9395</v>
      </c>
      <c r="E566">
        <v>1031</v>
      </c>
      <c r="F566">
        <v>39</v>
      </c>
    </row>
    <row r="567" spans="1:6" x14ac:dyDescent="0.2">
      <c r="A567" t="s">
        <v>1029</v>
      </c>
      <c r="B567">
        <v>2022</v>
      </c>
      <c r="C567">
        <v>14856</v>
      </c>
      <c r="D567">
        <v>2146</v>
      </c>
      <c r="E567">
        <v>93</v>
      </c>
      <c r="F567">
        <v>24</v>
      </c>
    </row>
    <row r="568" spans="1:6" x14ac:dyDescent="0.2">
      <c r="A568" t="s">
        <v>1192</v>
      </c>
      <c r="B568">
        <v>2022</v>
      </c>
      <c r="C568">
        <v>9237</v>
      </c>
      <c r="D568">
        <v>908</v>
      </c>
      <c r="E568">
        <v>46</v>
      </c>
      <c r="F568">
        <v>1</v>
      </c>
    </row>
    <row r="569" spans="1:6" x14ac:dyDescent="0.2">
      <c r="A569" t="s">
        <v>133</v>
      </c>
      <c r="B569">
        <v>2022</v>
      </c>
      <c r="C569">
        <v>19795</v>
      </c>
      <c r="D569">
        <v>3945</v>
      </c>
      <c r="E569">
        <v>98</v>
      </c>
      <c r="F569">
        <v>15</v>
      </c>
    </row>
    <row r="570" spans="1:6" x14ac:dyDescent="0.2">
      <c r="A570" t="s">
        <v>1193</v>
      </c>
      <c r="B570">
        <v>2022</v>
      </c>
      <c r="C570">
        <v>0</v>
      </c>
      <c r="D570">
        <v>0</v>
      </c>
      <c r="E570">
        <v>0</v>
      </c>
      <c r="F570">
        <v>0</v>
      </c>
    </row>
    <row r="571" spans="1:6" x14ac:dyDescent="0.2">
      <c r="A571" t="s">
        <v>1194</v>
      </c>
      <c r="B571">
        <v>2022</v>
      </c>
      <c r="C571">
        <v>0</v>
      </c>
      <c r="D571">
        <v>0</v>
      </c>
      <c r="E571">
        <v>0</v>
      </c>
      <c r="F571">
        <v>0</v>
      </c>
    </row>
    <row r="572" spans="1:6" x14ac:dyDescent="0.2">
      <c r="A572" t="s">
        <v>134</v>
      </c>
      <c r="B572">
        <v>2022</v>
      </c>
      <c r="C572">
        <v>22302</v>
      </c>
      <c r="D572">
        <v>2365</v>
      </c>
      <c r="E572">
        <v>190</v>
      </c>
      <c r="F572">
        <v>1</v>
      </c>
    </row>
    <row r="573" spans="1:6" x14ac:dyDescent="0.2">
      <c r="A573" t="s">
        <v>1036</v>
      </c>
      <c r="B573">
        <v>2022</v>
      </c>
      <c r="C573">
        <v>14695</v>
      </c>
      <c r="D573">
        <v>1794</v>
      </c>
      <c r="E573">
        <v>155</v>
      </c>
      <c r="F573">
        <v>11</v>
      </c>
    </row>
    <row r="574" spans="1:6" x14ac:dyDescent="0.2">
      <c r="A574" t="s">
        <v>1341</v>
      </c>
      <c r="B574">
        <v>2022</v>
      </c>
      <c r="C574">
        <v>0</v>
      </c>
      <c r="D574">
        <v>0</v>
      </c>
      <c r="E574">
        <v>0</v>
      </c>
      <c r="F574">
        <v>0</v>
      </c>
    </row>
    <row r="575" spans="1:6" x14ac:dyDescent="0.2">
      <c r="A575" t="s">
        <v>1039</v>
      </c>
      <c r="B575">
        <v>2022</v>
      </c>
      <c r="C575">
        <v>12719</v>
      </c>
      <c r="D575">
        <v>1183</v>
      </c>
      <c r="E575">
        <v>41</v>
      </c>
      <c r="F575">
        <v>8</v>
      </c>
    </row>
    <row r="576" spans="1:6" x14ac:dyDescent="0.2">
      <c r="A576" t="s">
        <v>1342</v>
      </c>
      <c r="B576">
        <v>2022</v>
      </c>
      <c r="C576">
        <v>0</v>
      </c>
      <c r="D576">
        <v>0</v>
      </c>
      <c r="E576">
        <v>0</v>
      </c>
      <c r="F576">
        <v>0</v>
      </c>
    </row>
    <row r="577" spans="1:6" x14ac:dyDescent="0.2">
      <c r="A577" t="s">
        <v>135</v>
      </c>
      <c r="B577">
        <v>2022</v>
      </c>
      <c r="C577">
        <v>0</v>
      </c>
      <c r="D577">
        <v>0</v>
      </c>
      <c r="E577">
        <v>0</v>
      </c>
      <c r="F577">
        <v>0</v>
      </c>
    </row>
    <row r="578" spans="1:6" x14ac:dyDescent="0.2">
      <c r="A578" t="s">
        <v>136</v>
      </c>
      <c r="B578">
        <v>2022</v>
      </c>
      <c r="C578">
        <v>14943</v>
      </c>
      <c r="D578">
        <v>1576</v>
      </c>
      <c r="E578">
        <v>121</v>
      </c>
      <c r="F578">
        <v>10</v>
      </c>
    </row>
    <row r="579" spans="1:6" x14ac:dyDescent="0.2">
      <c r="A579" t="s">
        <v>1343</v>
      </c>
      <c r="B579">
        <v>2022</v>
      </c>
      <c r="C579">
        <v>0</v>
      </c>
      <c r="D579">
        <v>0</v>
      </c>
      <c r="E579">
        <v>0</v>
      </c>
      <c r="F579">
        <v>0</v>
      </c>
    </row>
    <row r="580" spans="1:6" x14ac:dyDescent="0.2">
      <c r="A580" t="s">
        <v>1044</v>
      </c>
      <c r="B580">
        <v>2022</v>
      </c>
      <c r="C580">
        <v>12788</v>
      </c>
      <c r="D580">
        <v>1270</v>
      </c>
      <c r="E580">
        <v>54</v>
      </c>
      <c r="F580">
        <v>2</v>
      </c>
    </row>
    <row r="581" spans="1:6" x14ac:dyDescent="0.2">
      <c r="A581" t="s">
        <v>137</v>
      </c>
      <c r="B581">
        <v>2022</v>
      </c>
      <c r="C581">
        <v>25779</v>
      </c>
      <c r="D581">
        <v>3238</v>
      </c>
      <c r="E581">
        <v>306</v>
      </c>
      <c r="F581">
        <v>10</v>
      </c>
    </row>
    <row r="582" spans="1:6" x14ac:dyDescent="0.2">
      <c r="A582" t="s">
        <v>1344</v>
      </c>
      <c r="B582">
        <v>2022</v>
      </c>
      <c r="C582">
        <v>0</v>
      </c>
      <c r="D582">
        <v>0</v>
      </c>
      <c r="E582">
        <v>0</v>
      </c>
      <c r="F582">
        <v>0</v>
      </c>
    </row>
    <row r="583" spans="1:6" x14ac:dyDescent="0.2">
      <c r="A583" t="s">
        <v>1049</v>
      </c>
      <c r="B583">
        <v>2022</v>
      </c>
      <c r="C583">
        <v>14855</v>
      </c>
      <c r="D583">
        <v>2239</v>
      </c>
      <c r="E583">
        <v>125</v>
      </c>
      <c r="F583">
        <v>5</v>
      </c>
    </row>
    <row r="584" spans="1:6" x14ac:dyDescent="0.2">
      <c r="A584" t="s">
        <v>1052</v>
      </c>
      <c r="B584">
        <v>2022</v>
      </c>
      <c r="C584">
        <v>8230</v>
      </c>
      <c r="D584">
        <v>951</v>
      </c>
      <c r="E584">
        <v>30</v>
      </c>
      <c r="F584">
        <v>1</v>
      </c>
    </row>
    <row r="585" spans="1:6" x14ac:dyDescent="0.2">
      <c r="A585" t="s">
        <v>1055</v>
      </c>
      <c r="B585">
        <v>2022</v>
      </c>
      <c r="C585">
        <v>7079</v>
      </c>
      <c r="D585">
        <v>1156</v>
      </c>
      <c r="E585">
        <v>56</v>
      </c>
      <c r="F585">
        <v>7</v>
      </c>
    </row>
    <row r="586" spans="1:6" x14ac:dyDescent="0.2">
      <c r="A586" t="s">
        <v>1195</v>
      </c>
      <c r="B586">
        <v>2022</v>
      </c>
      <c r="C586">
        <v>0</v>
      </c>
      <c r="D586">
        <v>0</v>
      </c>
      <c r="E586">
        <v>0</v>
      </c>
      <c r="F586">
        <v>0</v>
      </c>
    </row>
    <row r="587" spans="1:6" x14ac:dyDescent="0.2">
      <c r="A587" t="s">
        <v>1196</v>
      </c>
      <c r="B587">
        <v>2022</v>
      </c>
      <c r="C587">
        <v>0</v>
      </c>
      <c r="D587">
        <v>0</v>
      </c>
      <c r="E587">
        <v>0</v>
      </c>
      <c r="F587">
        <v>0</v>
      </c>
    </row>
    <row r="588" spans="1:6" x14ac:dyDescent="0.2">
      <c r="A588" t="s">
        <v>1197</v>
      </c>
      <c r="B588">
        <v>2022</v>
      </c>
      <c r="C588">
        <v>0</v>
      </c>
      <c r="D588">
        <v>0</v>
      </c>
      <c r="E588">
        <v>0</v>
      </c>
      <c r="F588">
        <v>0</v>
      </c>
    </row>
    <row r="589" spans="1:6" x14ac:dyDescent="0.2">
      <c r="A589" t="s">
        <v>1058</v>
      </c>
      <c r="B589">
        <v>2022</v>
      </c>
      <c r="C589">
        <v>68201</v>
      </c>
      <c r="D589">
        <v>6995</v>
      </c>
      <c r="E589">
        <v>263</v>
      </c>
      <c r="F589">
        <v>67</v>
      </c>
    </row>
    <row r="590" spans="1:6" x14ac:dyDescent="0.2">
      <c r="A590" t="s">
        <v>138</v>
      </c>
      <c r="B590">
        <v>2022</v>
      </c>
      <c r="C590">
        <v>15940</v>
      </c>
      <c r="D590">
        <v>2498</v>
      </c>
      <c r="E590">
        <v>252</v>
      </c>
      <c r="F590">
        <v>2</v>
      </c>
    </row>
    <row r="591" spans="1:6" x14ac:dyDescent="0.2">
      <c r="A591" t="s">
        <v>139</v>
      </c>
      <c r="B591">
        <v>2022</v>
      </c>
      <c r="C591">
        <v>8059</v>
      </c>
      <c r="D591">
        <v>667</v>
      </c>
      <c r="E591">
        <v>14</v>
      </c>
      <c r="F591">
        <v>1</v>
      </c>
    </row>
    <row r="592" spans="1:6" x14ac:dyDescent="0.2">
      <c r="A592" t="s">
        <v>1198</v>
      </c>
      <c r="B592">
        <v>2022</v>
      </c>
      <c r="C592">
        <v>0</v>
      </c>
      <c r="D592">
        <v>0</v>
      </c>
      <c r="E592">
        <v>0</v>
      </c>
      <c r="F592">
        <v>0</v>
      </c>
    </row>
    <row r="593" spans="1:6" x14ac:dyDescent="0.2">
      <c r="A593" t="s">
        <v>1199</v>
      </c>
      <c r="B593">
        <v>2022</v>
      </c>
      <c r="C593">
        <v>0</v>
      </c>
      <c r="D593">
        <v>0</v>
      </c>
      <c r="E593">
        <v>0</v>
      </c>
      <c r="F593">
        <v>0</v>
      </c>
    </row>
    <row r="594" spans="1:6" x14ac:dyDescent="0.2">
      <c r="A594" t="s">
        <v>1065</v>
      </c>
      <c r="B594">
        <v>2022</v>
      </c>
      <c r="C594">
        <v>12579</v>
      </c>
      <c r="D594">
        <v>1430</v>
      </c>
      <c r="E594">
        <v>98</v>
      </c>
      <c r="F594">
        <v>0</v>
      </c>
    </row>
    <row r="595" spans="1:6" x14ac:dyDescent="0.2">
      <c r="A595" t="s">
        <v>1068</v>
      </c>
      <c r="B595">
        <v>2022</v>
      </c>
      <c r="C595">
        <v>32370</v>
      </c>
      <c r="D595">
        <v>2351</v>
      </c>
      <c r="E595">
        <v>47</v>
      </c>
      <c r="F595">
        <v>1</v>
      </c>
    </row>
    <row r="596" spans="1:6" x14ac:dyDescent="0.2">
      <c r="A596" t="s">
        <v>1345</v>
      </c>
      <c r="B596">
        <v>2022</v>
      </c>
      <c r="C596">
        <v>0</v>
      </c>
      <c r="D596">
        <v>0</v>
      </c>
      <c r="E596">
        <v>0</v>
      </c>
      <c r="F596">
        <v>0</v>
      </c>
    </row>
    <row r="597" spans="1:6" x14ac:dyDescent="0.2">
      <c r="A597" t="s">
        <v>140</v>
      </c>
      <c r="B597">
        <v>2022</v>
      </c>
      <c r="C597">
        <v>24878</v>
      </c>
      <c r="D597">
        <v>2309</v>
      </c>
      <c r="E597">
        <v>106</v>
      </c>
      <c r="F597">
        <v>2</v>
      </c>
    </row>
    <row r="598" spans="1:6" x14ac:dyDescent="0.2">
      <c r="A598" t="s">
        <v>1346</v>
      </c>
      <c r="B598">
        <v>2022</v>
      </c>
      <c r="C598">
        <v>0</v>
      </c>
      <c r="D598">
        <v>0</v>
      </c>
      <c r="E598">
        <v>0</v>
      </c>
      <c r="F598">
        <v>0</v>
      </c>
    </row>
    <row r="599" spans="1:6" x14ac:dyDescent="0.2">
      <c r="A599" t="s">
        <v>1200</v>
      </c>
      <c r="B599">
        <v>2022</v>
      </c>
      <c r="C599">
        <v>0</v>
      </c>
      <c r="D599">
        <v>0</v>
      </c>
      <c r="E599">
        <v>0</v>
      </c>
      <c r="F599">
        <v>0</v>
      </c>
    </row>
    <row r="600" spans="1:6" x14ac:dyDescent="0.2">
      <c r="A600" t="s">
        <v>141</v>
      </c>
      <c r="B600">
        <v>2022</v>
      </c>
      <c r="C600">
        <v>58492</v>
      </c>
      <c r="D600">
        <v>3648</v>
      </c>
      <c r="E600">
        <v>184</v>
      </c>
      <c r="F600">
        <v>16</v>
      </c>
    </row>
    <row r="601" spans="1:6" x14ac:dyDescent="0.2">
      <c r="A601" t="s">
        <v>1075</v>
      </c>
      <c r="B601">
        <v>2022</v>
      </c>
      <c r="C601">
        <v>4490</v>
      </c>
      <c r="D601">
        <v>670</v>
      </c>
      <c r="E601">
        <v>62</v>
      </c>
      <c r="F601">
        <v>0</v>
      </c>
    </row>
    <row r="602" spans="1:6" x14ac:dyDescent="0.2">
      <c r="A602" t="s">
        <v>142</v>
      </c>
      <c r="B602">
        <v>2022</v>
      </c>
      <c r="C602">
        <v>0</v>
      </c>
      <c r="D602">
        <v>0</v>
      </c>
      <c r="E602">
        <v>0</v>
      </c>
      <c r="F602">
        <v>0</v>
      </c>
    </row>
    <row r="603" spans="1:6" x14ac:dyDescent="0.2">
      <c r="A603" t="s">
        <v>1078</v>
      </c>
      <c r="B603">
        <v>2022</v>
      </c>
      <c r="C603">
        <v>23432</v>
      </c>
      <c r="D603">
        <v>2877</v>
      </c>
      <c r="E603">
        <v>172</v>
      </c>
      <c r="F603">
        <v>4</v>
      </c>
    </row>
    <row r="604" spans="1:6" x14ac:dyDescent="0.2">
      <c r="A604" t="s">
        <v>1081</v>
      </c>
      <c r="B604">
        <v>2022</v>
      </c>
      <c r="C604">
        <v>13157</v>
      </c>
      <c r="D604">
        <v>1902</v>
      </c>
      <c r="E604">
        <v>135</v>
      </c>
      <c r="F604">
        <v>2</v>
      </c>
    </row>
    <row r="605" spans="1:6" x14ac:dyDescent="0.2">
      <c r="A605" t="s">
        <v>143</v>
      </c>
      <c r="B605">
        <v>2022</v>
      </c>
      <c r="C605">
        <v>22824</v>
      </c>
      <c r="D605">
        <v>1704</v>
      </c>
      <c r="E605">
        <v>141</v>
      </c>
      <c r="F605">
        <v>4</v>
      </c>
    </row>
    <row r="606" spans="1:6" x14ac:dyDescent="0.2">
      <c r="A606" t="s">
        <v>1086</v>
      </c>
      <c r="B606">
        <v>2022</v>
      </c>
      <c r="C606">
        <v>11741</v>
      </c>
      <c r="D606">
        <v>2621</v>
      </c>
      <c r="E606">
        <v>190</v>
      </c>
      <c r="F606">
        <v>0</v>
      </c>
    </row>
    <row r="607" spans="1:6" x14ac:dyDescent="0.2">
      <c r="A607" t="s">
        <v>1347</v>
      </c>
      <c r="B607">
        <v>2022</v>
      </c>
      <c r="C607">
        <v>0</v>
      </c>
      <c r="D607">
        <v>0</v>
      </c>
      <c r="E607">
        <v>0</v>
      </c>
      <c r="F607">
        <v>0</v>
      </c>
    </row>
    <row r="608" spans="1:6" x14ac:dyDescent="0.2">
      <c r="A608" t="s">
        <v>144</v>
      </c>
      <c r="B608">
        <v>2022</v>
      </c>
      <c r="C608">
        <v>22118</v>
      </c>
      <c r="D608">
        <v>2019</v>
      </c>
      <c r="E608">
        <v>105</v>
      </c>
      <c r="F608">
        <v>0</v>
      </c>
    </row>
    <row r="609" spans="1:6" x14ac:dyDescent="0.2">
      <c r="A609" t="s">
        <v>145</v>
      </c>
      <c r="B609">
        <v>2022</v>
      </c>
      <c r="C609">
        <v>58042</v>
      </c>
      <c r="D609">
        <v>5862</v>
      </c>
      <c r="E609">
        <v>211</v>
      </c>
      <c r="F609">
        <v>14</v>
      </c>
    </row>
    <row r="610" spans="1:6" x14ac:dyDescent="0.2">
      <c r="A610" t="s">
        <v>1201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FB4F-B0FB-6C43-9E9C-735733498F66}">
  <sheetPr>
    <tabColor theme="0" tint="-0.249977111117893"/>
  </sheetPr>
  <dimension ref="A1:F343"/>
  <sheetViews>
    <sheetView topLeftCell="A249" workbookViewId="0">
      <selection activeCell="C268" sqref="C268"/>
    </sheetView>
  </sheetViews>
  <sheetFormatPr baseColWidth="10" defaultRowHeight="15" x14ac:dyDescent="0.2"/>
  <cols>
    <col min="1" max="1" width="12.5" bestFit="1" customWidth="1"/>
    <col min="2" max="2" width="15.1640625" bestFit="1" customWidth="1"/>
    <col min="3" max="3" width="20.83203125" customWidth="1"/>
    <col min="4" max="4" width="12" bestFit="1" customWidth="1"/>
    <col min="5" max="5" width="14" bestFit="1" customWidth="1"/>
  </cols>
  <sheetData>
    <row r="1" spans="1:6" x14ac:dyDescent="0.2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 spans="1:6" ht="16" x14ac:dyDescent="0.2">
      <c r="A2" s="2" t="s">
        <v>152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157</v>
      </c>
    </row>
    <row r="3" spans="1:6" ht="32" x14ac:dyDescent="0.2">
      <c r="A3" s="2" t="s">
        <v>158</v>
      </c>
      <c r="B3" s="2" t="s">
        <v>159</v>
      </c>
      <c r="C3" s="2" t="s">
        <v>160</v>
      </c>
      <c r="D3" s="2" t="s">
        <v>161</v>
      </c>
      <c r="E3" s="2" t="s">
        <v>162</v>
      </c>
      <c r="F3" s="2" t="s">
        <v>163</v>
      </c>
    </row>
    <row r="4" spans="1:6" ht="16" x14ac:dyDescent="0.2">
      <c r="A4" s="2" t="s">
        <v>164</v>
      </c>
      <c r="B4" s="2" t="s">
        <v>165</v>
      </c>
      <c r="C4" s="2" t="s">
        <v>0</v>
      </c>
      <c r="D4" s="2" t="s">
        <v>166</v>
      </c>
      <c r="E4" s="2" t="s">
        <v>167</v>
      </c>
      <c r="F4" s="2" t="s">
        <v>168</v>
      </c>
    </row>
    <row r="5" spans="1:6" ht="16" x14ac:dyDescent="0.2">
      <c r="A5" s="2" t="s">
        <v>169</v>
      </c>
      <c r="B5" s="2" t="s">
        <v>170</v>
      </c>
      <c r="C5" s="2" t="s">
        <v>171</v>
      </c>
      <c r="D5" s="2" t="s">
        <v>172</v>
      </c>
      <c r="E5" s="2" t="s">
        <v>173</v>
      </c>
      <c r="F5" s="2" t="s">
        <v>174</v>
      </c>
    </row>
    <row r="6" spans="1:6" ht="32" x14ac:dyDescent="0.2">
      <c r="A6" s="2" t="s">
        <v>175</v>
      </c>
      <c r="B6" s="2" t="s">
        <v>176</v>
      </c>
      <c r="C6" s="2" t="s">
        <v>177</v>
      </c>
      <c r="D6" s="2" t="s">
        <v>178</v>
      </c>
      <c r="E6" s="2" t="s">
        <v>179</v>
      </c>
      <c r="F6" s="2" t="s">
        <v>180</v>
      </c>
    </row>
    <row r="7" spans="1:6" ht="32" x14ac:dyDescent="0.2">
      <c r="A7" s="2" t="s">
        <v>181</v>
      </c>
      <c r="B7" s="2" t="s">
        <v>182</v>
      </c>
      <c r="C7" s="2" t="s">
        <v>183</v>
      </c>
      <c r="D7" s="2" t="s">
        <v>178</v>
      </c>
      <c r="E7" s="2" t="s">
        <v>179</v>
      </c>
      <c r="F7" s="2" t="s">
        <v>180</v>
      </c>
    </row>
    <row r="8" spans="1:6" ht="32" x14ac:dyDescent="0.2">
      <c r="A8" s="2" t="s">
        <v>184</v>
      </c>
      <c r="B8" s="2" t="s">
        <v>185</v>
      </c>
      <c r="C8" s="2" t="s">
        <v>2</v>
      </c>
      <c r="D8" s="2" t="s">
        <v>161</v>
      </c>
      <c r="E8" s="2" t="s">
        <v>162</v>
      </c>
      <c r="F8" s="2" t="s">
        <v>163</v>
      </c>
    </row>
    <row r="9" spans="1:6" ht="16" x14ac:dyDescent="0.2">
      <c r="A9" s="2" t="s">
        <v>186</v>
      </c>
      <c r="B9" s="2" t="s">
        <v>187</v>
      </c>
      <c r="C9" s="2" t="s">
        <v>3</v>
      </c>
      <c r="D9" s="2" t="s">
        <v>188</v>
      </c>
      <c r="E9" s="2" t="s">
        <v>189</v>
      </c>
      <c r="F9" s="2" t="s">
        <v>190</v>
      </c>
    </row>
    <row r="10" spans="1:6" ht="16" x14ac:dyDescent="0.2">
      <c r="A10" s="2" t="s">
        <v>191</v>
      </c>
      <c r="B10" s="2" t="s">
        <v>192</v>
      </c>
      <c r="C10" s="2" t="s">
        <v>193</v>
      </c>
      <c r="D10" s="2" t="s">
        <v>194</v>
      </c>
      <c r="E10" s="2" t="s">
        <v>195</v>
      </c>
      <c r="F10" s="2" t="s">
        <v>196</v>
      </c>
    </row>
    <row r="11" spans="1:6" ht="32" x14ac:dyDescent="0.2">
      <c r="A11" s="2" t="s">
        <v>197</v>
      </c>
      <c r="B11" s="2" t="s">
        <v>198</v>
      </c>
      <c r="C11" s="2" t="s">
        <v>4</v>
      </c>
      <c r="D11" s="2" t="s">
        <v>178</v>
      </c>
      <c r="E11" s="2" t="s">
        <v>179</v>
      </c>
      <c r="F11" s="2" t="s">
        <v>180</v>
      </c>
    </row>
    <row r="12" spans="1:6" ht="32" x14ac:dyDescent="0.2">
      <c r="A12" s="2" t="s">
        <v>199</v>
      </c>
      <c r="B12" s="2" t="s">
        <v>200</v>
      </c>
      <c r="C12" s="2" t="s">
        <v>201</v>
      </c>
      <c r="D12" s="2" t="s">
        <v>202</v>
      </c>
      <c r="E12" s="2" t="s">
        <v>203</v>
      </c>
      <c r="F12" s="2" t="s">
        <v>204</v>
      </c>
    </row>
    <row r="13" spans="1:6" ht="32" x14ac:dyDescent="0.2">
      <c r="A13" s="2" t="s">
        <v>205</v>
      </c>
      <c r="B13" s="2" t="s">
        <v>206</v>
      </c>
      <c r="C13" s="2" t="s">
        <v>207</v>
      </c>
      <c r="D13" s="2" t="s">
        <v>202</v>
      </c>
      <c r="E13" s="2" t="s">
        <v>203</v>
      </c>
      <c r="F13" s="2" t="s">
        <v>204</v>
      </c>
    </row>
    <row r="14" spans="1:6" ht="16" x14ac:dyDescent="0.2">
      <c r="A14" s="2" t="s">
        <v>208</v>
      </c>
      <c r="B14" s="2" t="s">
        <v>209</v>
      </c>
      <c r="C14" s="2" t="s">
        <v>210</v>
      </c>
      <c r="D14" s="2" t="s">
        <v>172</v>
      </c>
      <c r="E14" s="2" t="s">
        <v>173</v>
      </c>
      <c r="F14" s="2" t="s">
        <v>174</v>
      </c>
    </row>
    <row r="15" spans="1:6" ht="16" x14ac:dyDescent="0.2">
      <c r="A15" s="2" t="s">
        <v>211</v>
      </c>
      <c r="B15" s="2" t="s">
        <v>212</v>
      </c>
      <c r="C15" s="2" t="s">
        <v>5</v>
      </c>
      <c r="D15" s="2" t="s">
        <v>213</v>
      </c>
      <c r="E15" s="2" t="s">
        <v>214</v>
      </c>
      <c r="F15" s="2" t="s">
        <v>120</v>
      </c>
    </row>
    <row r="16" spans="1:6" ht="32" x14ac:dyDescent="0.2">
      <c r="A16" s="2" t="s">
        <v>215</v>
      </c>
      <c r="B16" s="2" t="s">
        <v>216</v>
      </c>
      <c r="C16" s="2" t="s">
        <v>217</v>
      </c>
      <c r="D16" s="2" t="s">
        <v>161</v>
      </c>
      <c r="E16" s="2" t="s">
        <v>162</v>
      </c>
      <c r="F16" s="2" t="s">
        <v>163</v>
      </c>
    </row>
    <row r="17" spans="1:6" ht="32" x14ac:dyDescent="0.2">
      <c r="A17" s="2" t="s">
        <v>218</v>
      </c>
      <c r="B17" s="2" t="s">
        <v>219</v>
      </c>
      <c r="C17" s="2" t="s">
        <v>6</v>
      </c>
      <c r="D17" s="2" t="s">
        <v>161</v>
      </c>
      <c r="E17" s="2" t="s">
        <v>162</v>
      </c>
      <c r="F17" s="2" t="s">
        <v>163</v>
      </c>
    </row>
    <row r="18" spans="1:6" ht="16" x14ac:dyDescent="0.2">
      <c r="A18" s="2" t="s">
        <v>220</v>
      </c>
      <c r="B18" s="2" t="s">
        <v>221</v>
      </c>
      <c r="C18" s="2" t="s">
        <v>8</v>
      </c>
      <c r="D18" s="2" t="s">
        <v>166</v>
      </c>
      <c r="E18" s="2" t="s">
        <v>167</v>
      </c>
      <c r="F18" s="2" t="s">
        <v>168</v>
      </c>
    </row>
    <row r="19" spans="1:6" ht="16" x14ac:dyDescent="0.2">
      <c r="A19" s="2" t="s">
        <v>222</v>
      </c>
      <c r="B19" s="2" t="s">
        <v>223</v>
      </c>
      <c r="C19" s="2" t="s">
        <v>10</v>
      </c>
      <c r="D19" s="2" t="s">
        <v>166</v>
      </c>
      <c r="E19" s="2" t="s">
        <v>167</v>
      </c>
      <c r="F19" s="2" t="s">
        <v>168</v>
      </c>
    </row>
    <row r="20" spans="1:6" ht="16" x14ac:dyDescent="0.2">
      <c r="A20" s="2" t="s">
        <v>224</v>
      </c>
      <c r="B20" s="2" t="s">
        <v>225</v>
      </c>
      <c r="C20" s="2" t="s">
        <v>11</v>
      </c>
      <c r="D20" s="2" t="s">
        <v>155</v>
      </c>
      <c r="E20" s="2" t="s">
        <v>156</v>
      </c>
      <c r="F20" s="2" t="s">
        <v>157</v>
      </c>
    </row>
    <row r="21" spans="1:6" ht="32" x14ac:dyDescent="0.2">
      <c r="A21" s="2" t="s">
        <v>226</v>
      </c>
      <c r="B21" s="2" t="s">
        <v>227</v>
      </c>
      <c r="C21" s="2" t="s">
        <v>228</v>
      </c>
      <c r="D21" s="2" t="s">
        <v>202</v>
      </c>
      <c r="E21" s="2" t="s">
        <v>203</v>
      </c>
      <c r="F21" s="2" t="s">
        <v>204</v>
      </c>
    </row>
    <row r="22" spans="1:6" ht="32" x14ac:dyDescent="0.2">
      <c r="A22" s="2" t="s">
        <v>229</v>
      </c>
      <c r="B22" s="2" t="s">
        <v>230</v>
      </c>
      <c r="C22" s="2" t="s">
        <v>231</v>
      </c>
      <c r="D22" s="2" t="s">
        <v>202</v>
      </c>
      <c r="E22" s="2" t="s">
        <v>203</v>
      </c>
      <c r="F22" s="2" t="s">
        <v>204</v>
      </c>
    </row>
    <row r="23" spans="1:6" ht="16" x14ac:dyDescent="0.2">
      <c r="A23" s="2" t="s">
        <v>232</v>
      </c>
      <c r="B23" s="2" t="s">
        <v>233</v>
      </c>
      <c r="C23" s="2" t="s">
        <v>12</v>
      </c>
      <c r="D23" s="2" t="s">
        <v>213</v>
      </c>
      <c r="E23" s="2" t="s">
        <v>214</v>
      </c>
      <c r="F23" s="2" t="s">
        <v>120</v>
      </c>
    </row>
    <row r="24" spans="1:6" ht="32" x14ac:dyDescent="0.2">
      <c r="A24" s="2" t="s">
        <v>234</v>
      </c>
      <c r="B24" s="2" t="s">
        <v>235</v>
      </c>
      <c r="C24" s="2" t="s">
        <v>13</v>
      </c>
      <c r="D24" s="2" t="s">
        <v>178</v>
      </c>
      <c r="E24" s="2" t="s">
        <v>179</v>
      </c>
      <c r="F24" s="2" t="s">
        <v>180</v>
      </c>
    </row>
    <row r="25" spans="1:6" ht="16" x14ac:dyDescent="0.2">
      <c r="A25" s="2" t="s">
        <v>236</v>
      </c>
      <c r="B25" s="2" t="s">
        <v>237</v>
      </c>
      <c r="C25" s="2" t="s">
        <v>14</v>
      </c>
      <c r="D25" s="2" t="s">
        <v>166</v>
      </c>
      <c r="E25" s="2" t="s">
        <v>167</v>
      </c>
      <c r="F25" s="2" t="s">
        <v>168</v>
      </c>
    </row>
    <row r="26" spans="1:6" ht="16" x14ac:dyDescent="0.2">
      <c r="A26" s="2" t="s">
        <v>238</v>
      </c>
      <c r="B26" s="2" t="s">
        <v>239</v>
      </c>
      <c r="C26" s="2" t="s">
        <v>240</v>
      </c>
      <c r="D26" s="2" t="s">
        <v>241</v>
      </c>
      <c r="E26" s="2" t="s">
        <v>242</v>
      </c>
      <c r="F26" s="2" t="s">
        <v>243</v>
      </c>
    </row>
    <row r="27" spans="1:6" ht="16" x14ac:dyDescent="0.2">
      <c r="A27" s="2" t="s">
        <v>244</v>
      </c>
      <c r="B27" s="2" t="s">
        <v>245</v>
      </c>
      <c r="C27" s="2" t="s">
        <v>246</v>
      </c>
      <c r="D27" s="2" t="s">
        <v>241</v>
      </c>
      <c r="E27" s="2" t="s">
        <v>242</v>
      </c>
      <c r="F27" s="2" t="s">
        <v>243</v>
      </c>
    </row>
    <row r="28" spans="1:6" ht="16" x14ac:dyDescent="0.2">
      <c r="A28" s="2" t="s">
        <v>247</v>
      </c>
      <c r="B28" s="2" t="s">
        <v>248</v>
      </c>
      <c r="C28" s="2" t="s">
        <v>249</v>
      </c>
      <c r="D28" s="2" t="s">
        <v>241</v>
      </c>
      <c r="E28" s="2" t="s">
        <v>242</v>
      </c>
      <c r="F28" s="2" t="s">
        <v>243</v>
      </c>
    </row>
    <row r="29" spans="1:6" ht="16" x14ac:dyDescent="0.2">
      <c r="A29" s="2" t="s">
        <v>250</v>
      </c>
      <c r="B29" s="2" t="s">
        <v>251</v>
      </c>
      <c r="C29" s="2" t="s">
        <v>252</v>
      </c>
      <c r="D29" s="2" t="s">
        <v>166</v>
      </c>
      <c r="E29" s="2" t="s">
        <v>167</v>
      </c>
      <c r="F29" s="2" t="s">
        <v>168</v>
      </c>
    </row>
    <row r="30" spans="1:6" ht="32" x14ac:dyDescent="0.2">
      <c r="A30" s="2" t="s">
        <v>253</v>
      </c>
      <c r="B30" s="2" t="s">
        <v>254</v>
      </c>
      <c r="C30" s="2" t="s">
        <v>255</v>
      </c>
      <c r="D30" s="2" t="s">
        <v>202</v>
      </c>
      <c r="E30" s="2" t="s">
        <v>203</v>
      </c>
      <c r="F30" s="2" t="s">
        <v>204</v>
      </c>
    </row>
    <row r="31" spans="1:6" ht="16" x14ac:dyDescent="0.2">
      <c r="A31" s="2" t="s">
        <v>256</v>
      </c>
      <c r="B31" s="2" t="s">
        <v>257</v>
      </c>
      <c r="C31" s="2" t="s">
        <v>258</v>
      </c>
      <c r="D31" s="2" t="s">
        <v>241</v>
      </c>
      <c r="E31" s="2" t="s">
        <v>242</v>
      </c>
      <c r="F31" s="2" t="s">
        <v>243</v>
      </c>
    </row>
    <row r="32" spans="1:6" ht="32" x14ac:dyDescent="0.2">
      <c r="A32" s="2" t="s">
        <v>259</v>
      </c>
      <c r="B32" s="2" t="s">
        <v>260</v>
      </c>
      <c r="C32" s="2" t="s">
        <v>261</v>
      </c>
      <c r="D32" s="2" t="s">
        <v>161</v>
      </c>
      <c r="E32" s="2" t="s">
        <v>162</v>
      </c>
      <c r="F32" s="2" t="s">
        <v>163</v>
      </c>
    </row>
    <row r="33" spans="1:6" ht="32" x14ac:dyDescent="0.2">
      <c r="A33" s="2" t="s">
        <v>262</v>
      </c>
      <c r="B33" s="2" t="s">
        <v>263</v>
      </c>
      <c r="C33" s="2" t="s">
        <v>16</v>
      </c>
      <c r="D33" s="2" t="s">
        <v>202</v>
      </c>
      <c r="E33" s="2" t="s">
        <v>203</v>
      </c>
      <c r="F33" s="2" t="s">
        <v>204</v>
      </c>
    </row>
    <row r="34" spans="1:6" ht="16" x14ac:dyDescent="0.2">
      <c r="A34" s="2" t="s">
        <v>264</v>
      </c>
      <c r="B34" s="2" t="s">
        <v>265</v>
      </c>
      <c r="C34" s="2" t="s">
        <v>266</v>
      </c>
      <c r="D34" s="2" t="s">
        <v>166</v>
      </c>
      <c r="E34" s="2" t="s">
        <v>167</v>
      </c>
      <c r="F34" s="2" t="s">
        <v>168</v>
      </c>
    </row>
    <row r="35" spans="1:6" ht="32" x14ac:dyDescent="0.2">
      <c r="A35" s="2" t="s">
        <v>267</v>
      </c>
      <c r="B35" s="2" t="s">
        <v>268</v>
      </c>
      <c r="C35" s="2" t="s">
        <v>269</v>
      </c>
      <c r="D35" s="2" t="s">
        <v>202</v>
      </c>
      <c r="E35" s="2" t="s">
        <v>203</v>
      </c>
      <c r="F35" s="2" t="s">
        <v>204</v>
      </c>
    </row>
    <row r="36" spans="1:6" ht="32" x14ac:dyDescent="0.2">
      <c r="A36" s="2" t="s">
        <v>270</v>
      </c>
      <c r="B36" s="2" t="s">
        <v>271</v>
      </c>
      <c r="C36" s="2" t="s">
        <v>17</v>
      </c>
      <c r="D36" s="2" t="s">
        <v>202</v>
      </c>
      <c r="E36" s="2" t="s">
        <v>203</v>
      </c>
      <c r="F36" s="2" t="s">
        <v>204</v>
      </c>
    </row>
    <row r="37" spans="1:6" ht="16" x14ac:dyDescent="0.2">
      <c r="A37" s="2" t="s">
        <v>272</v>
      </c>
      <c r="B37" s="2" t="s">
        <v>273</v>
      </c>
      <c r="C37" s="2" t="s">
        <v>274</v>
      </c>
      <c r="D37" s="2" t="s">
        <v>166</v>
      </c>
      <c r="E37" s="2" t="s">
        <v>167</v>
      </c>
      <c r="F37" s="2" t="s">
        <v>168</v>
      </c>
    </row>
    <row r="38" spans="1:6" ht="32" x14ac:dyDescent="0.2">
      <c r="A38" s="2" t="s">
        <v>275</v>
      </c>
      <c r="B38" s="2" t="s">
        <v>276</v>
      </c>
      <c r="C38" s="2" t="s">
        <v>18</v>
      </c>
      <c r="D38" s="2" t="s">
        <v>161</v>
      </c>
      <c r="E38" s="2" t="s">
        <v>162</v>
      </c>
      <c r="F38" s="2" t="s">
        <v>163</v>
      </c>
    </row>
    <row r="39" spans="1:6" ht="16" x14ac:dyDescent="0.2">
      <c r="A39" s="2" t="s">
        <v>277</v>
      </c>
      <c r="B39" s="2" t="s">
        <v>278</v>
      </c>
      <c r="C39" s="2" t="s">
        <v>279</v>
      </c>
      <c r="D39" s="2" t="s">
        <v>213</v>
      </c>
      <c r="E39" s="2" t="s">
        <v>214</v>
      </c>
      <c r="F39" s="2" t="s">
        <v>120</v>
      </c>
    </row>
    <row r="40" spans="1:6" ht="32" x14ac:dyDescent="0.2">
      <c r="A40" s="2" t="s">
        <v>280</v>
      </c>
      <c r="B40" s="2" t="s">
        <v>281</v>
      </c>
      <c r="C40" s="2" t="s">
        <v>282</v>
      </c>
      <c r="D40" s="2" t="s">
        <v>202</v>
      </c>
      <c r="E40" s="2" t="s">
        <v>203</v>
      </c>
      <c r="F40" s="2" t="s">
        <v>204</v>
      </c>
    </row>
    <row r="41" spans="1:6" ht="32" x14ac:dyDescent="0.2">
      <c r="A41" s="2" t="s">
        <v>283</v>
      </c>
      <c r="B41" s="2" t="s">
        <v>284</v>
      </c>
      <c r="C41" s="2" t="s">
        <v>285</v>
      </c>
      <c r="D41" s="2" t="s">
        <v>161</v>
      </c>
      <c r="E41" s="2" t="s">
        <v>162</v>
      </c>
      <c r="F41" s="2" t="s">
        <v>163</v>
      </c>
    </row>
    <row r="42" spans="1:6" ht="32" x14ac:dyDescent="0.2">
      <c r="A42" s="2" t="s">
        <v>286</v>
      </c>
      <c r="B42" s="2" t="s">
        <v>287</v>
      </c>
      <c r="C42" s="2" t="s">
        <v>19</v>
      </c>
      <c r="D42" s="2" t="s">
        <v>161</v>
      </c>
      <c r="E42" s="2" t="s">
        <v>162</v>
      </c>
      <c r="F42" s="2" t="s">
        <v>163</v>
      </c>
    </row>
    <row r="43" spans="1:6" ht="32" x14ac:dyDescent="0.2">
      <c r="A43" s="2" t="s">
        <v>288</v>
      </c>
      <c r="B43" s="2" t="s">
        <v>289</v>
      </c>
      <c r="C43" s="2" t="s">
        <v>290</v>
      </c>
      <c r="D43" s="2" t="s">
        <v>178</v>
      </c>
      <c r="E43" s="2" t="s">
        <v>179</v>
      </c>
      <c r="F43" s="2" t="s">
        <v>180</v>
      </c>
    </row>
    <row r="44" spans="1:6" ht="32" x14ac:dyDescent="0.2">
      <c r="A44" s="2" t="s">
        <v>291</v>
      </c>
      <c r="B44" s="2" t="s">
        <v>292</v>
      </c>
      <c r="C44" s="2" t="s">
        <v>293</v>
      </c>
      <c r="D44" s="2" t="s">
        <v>202</v>
      </c>
      <c r="E44" s="2" t="s">
        <v>203</v>
      </c>
      <c r="F44" s="2" t="s">
        <v>204</v>
      </c>
    </row>
    <row r="45" spans="1:6" ht="16" x14ac:dyDescent="0.2">
      <c r="A45" s="2" t="s">
        <v>294</v>
      </c>
      <c r="B45" s="2" t="s">
        <v>295</v>
      </c>
      <c r="C45" s="2" t="s">
        <v>296</v>
      </c>
      <c r="D45" s="2" t="s">
        <v>155</v>
      </c>
      <c r="E45" s="2" t="s">
        <v>156</v>
      </c>
      <c r="F45" s="2" t="s">
        <v>157</v>
      </c>
    </row>
    <row r="46" spans="1:6" ht="16" x14ac:dyDescent="0.2">
      <c r="A46" s="2" t="s">
        <v>297</v>
      </c>
      <c r="B46" s="2" t="s">
        <v>298</v>
      </c>
      <c r="C46" s="2" t="s">
        <v>21</v>
      </c>
      <c r="D46" s="2" t="s">
        <v>188</v>
      </c>
      <c r="E46" s="2" t="s">
        <v>189</v>
      </c>
      <c r="F46" s="2" t="s">
        <v>190</v>
      </c>
    </row>
    <row r="47" spans="1:6" ht="16" x14ac:dyDescent="0.2">
      <c r="A47" s="2" t="s">
        <v>299</v>
      </c>
      <c r="B47" s="2" t="s">
        <v>300</v>
      </c>
      <c r="C47" s="2" t="s">
        <v>301</v>
      </c>
      <c r="D47" s="2" t="s">
        <v>302</v>
      </c>
      <c r="E47" s="2" t="s">
        <v>303</v>
      </c>
      <c r="F47" s="2" t="s">
        <v>304</v>
      </c>
    </row>
    <row r="48" spans="1:6" ht="32" x14ac:dyDescent="0.2">
      <c r="A48" s="2" t="s">
        <v>305</v>
      </c>
      <c r="B48" s="2" t="s">
        <v>306</v>
      </c>
      <c r="C48" s="2" t="s">
        <v>24</v>
      </c>
      <c r="D48" s="2" t="s">
        <v>202</v>
      </c>
      <c r="E48" s="2" t="s">
        <v>203</v>
      </c>
      <c r="F48" s="2" t="s">
        <v>204</v>
      </c>
    </row>
    <row r="49" spans="1:6" ht="32" x14ac:dyDescent="0.2">
      <c r="A49" s="2" t="s">
        <v>307</v>
      </c>
      <c r="B49" s="2" t="s">
        <v>308</v>
      </c>
      <c r="C49" s="2" t="s">
        <v>25</v>
      </c>
      <c r="D49" s="2" t="s">
        <v>202</v>
      </c>
      <c r="E49" s="2" t="s">
        <v>203</v>
      </c>
      <c r="F49" s="2" t="s">
        <v>204</v>
      </c>
    </row>
    <row r="50" spans="1:6" ht="16" x14ac:dyDescent="0.2">
      <c r="A50" s="2" t="s">
        <v>309</v>
      </c>
      <c r="B50" s="2" t="s">
        <v>310</v>
      </c>
      <c r="C50" s="2" t="s">
        <v>311</v>
      </c>
      <c r="D50" s="2" t="s">
        <v>166</v>
      </c>
      <c r="E50" s="2" t="s">
        <v>167</v>
      </c>
      <c r="F50" s="2" t="s">
        <v>168</v>
      </c>
    </row>
    <row r="51" spans="1:6" ht="16" x14ac:dyDescent="0.2">
      <c r="A51" s="2" t="s">
        <v>312</v>
      </c>
      <c r="B51" s="2" t="s">
        <v>313</v>
      </c>
      <c r="C51" s="2" t="s">
        <v>27</v>
      </c>
      <c r="D51" s="2" t="s">
        <v>166</v>
      </c>
      <c r="E51" s="2" t="s">
        <v>167</v>
      </c>
      <c r="F51" s="2" t="s">
        <v>168</v>
      </c>
    </row>
    <row r="52" spans="1:6" ht="16" x14ac:dyDescent="0.2">
      <c r="A52" s="2" t="s">
        <v>314</v>
      </c>
      <c r="B52" s="2" t="s">
        <v>315</v>
      </c>
      <c r="C52" s="2" t="s">
        <v>316</v>
      </c>
      <c r="D52" s="2" t="s">
        <v>241</v>
      </c>
      <c r="E52" s="2" t="s">
        <v>242</v>
      </c>
      <c r="F52" s="2" t="s">
        <v>243</v>
      </c>
    </row>
    <row r="53" spans="1:6" ht="16" x14ac:dyDescent="0.2">
      <c r="A53" s="2" t="s">
        <v>317</v>
      </c>
      <c r="B53" s="2" t="s">
        <v>318</v>
      </c>
      <c r="C53" s="2" t="s">
        <v>28</v>
      </c>
      <c r="D53" s="2" t="s">
        <v>213</v>
      </c>
      <c r="E53" s="2" t="s">
        <v>214</v>
      </c>
      <c r="F53" s="2" t="s">
        <v>120</v>
      </c>
    </row>
    <row r="54" spans="1:6" ht="16" x14ac:dyDescent="0.2">
      <c r="A54" s="2" t="s">
        <v>319</v>
      </c>
      <c r="B54" s="2" t="s">
        <v>320</v>
      </c>
      <c r="C54" s="2" t="s">
        <v>321</v>
      </c>
      <c r="D54" s="2" t="s">
        <v>213</v>
      </c>
      <c r="E54" s="2" t="s">
        <v>214</v>
      </c>
      <c r="F54" s="2" t="s">
        <v>120</v>
      </c>
    </row>
    <row r="55" spans="1:6" ht="16" x14ac:dyDescent="0.2">
      <c r="A55" s="2" t="s">
        <v>322</v>
      </c>
      <c r="B55" s="2" t="s">
        <v>323</v>
      </c>
      <c r="C55" s="2" t="s">
        <v>324</v>
      </c>
      <c r="D55" s="2" t="s">
        <v>166</v>
      </c>
      <c r="E55" s="2" t="s">
        <v>167</v>
      </c>
      <c r="F55" s="2" t="s">
        <v>168</v>
      </c>
    </row>
    <row r="56" spans="1:6" ht="32" x14ac:dyDescent="0.2">
      <c r="A56" s="2" t="s">
        <v>325</v>
      </c>
      <c r="B56" s="2" t="s">
        <v>326</v>
      </c>
      <c r="C56" s="2" t="s">
        <v>30</v>
      </c>
      <c r="D56" s="2" t="s">
        <v>178</v>
      </c>
      <c r="E56" s="2" t="s">
        <v>179</v>
      </c>
      <c r="F56" s="2" t="s">
        <v>180</v>
      </c>
    </row>
    <row r="57" spans="1:6" ht="32" x14ac:dyDescent="0.2">
      <c r="A57" s="2" t="s">
        <v>327</v>
      </c>
      <c r="B57" s="2" t="s">
        <v>328</v>
      </c>
      <c r="C57" s="2" t="s">
        <v>31</v>
      </c>
      <c r="D57" s="2" t="s">
        <v>161</v>
      </c>
      <c r="E57" s="2" t="s">
        <v>162</v>
      </c>
      <c r="F57" s="2" t="s">
        <v>163</v>
      </c>
    </row>
    <row r="58" spans="1:6" ht="16" x14ac:dyDescent="0.2">
      <c r="A58" s="2" t="s">
        <v>329</v>
      </c>
      <c r="B58" s="2" t="s">
        <v>330</v>
      </c>
      <c r="C58" s="2" t="s">
        <v>33</v>
      </c>
      <c r="D58" s="2" t="s">
        <v>155</v>
      </c>
      <c r="E58" s="2" t="s">
        <v>156</v>
      </c>
      <c r="F58" s="2" t="s">
        <v>157</v>
      </c>
    </row>
    <row r="59" spans="1:6" ht="32" x14ac:dyDescent="0.2">
      <c r="A59" s="2" t="s">
        <v>331</v>
      </c>
      <c r="B59" s="2" t="s">
        <v>332</v>
      </c>
      <c r="C59" s="2" t="s">
        <v>333</v>
      </c>
      <c r="D59" s="2" t="s">
        <v>202</v>
      </c>
      <c r="E59" s="2" t="s">
        <v>203</v>
      </c>
      <c r="F59" s="2" t="s">
        <v>204</v>
      </c>
    </row>
    <row r="60" spans="1:6" ht="16" x14ac:dyDescent="0.2">
      <c r="A60" s="2" t="s">
        <v>334</v>
      </c>
      <c r="B60" s="2" t="s">
        <v>335</v>
      </c>
      <c r="C60" s="2" t="s">
        <v>35</v>
      </c>
      <c r="D60" s="2" t="s">
        <v>166</v>
      </c>
      <c r="E60" s="2" t="s">
        <v>167</v>
      </c>
      <c r="F60" s="2" t="s">
        <v>168</v>
      </c>
    </row>
    <row r="61" spans="1:6" ht="16" x14ac:dyDescent="0.2">
      <c r="A61" s="2" t="s">
        <v>336</v>
      </c>
      <c r="B61" s="2" t="s">
        <v>337</v>
      </c>
      <c r="C61" s="2" t="s">
        <v>36</v>
      </c>
      <c r="D61" s="2" t="s">
        <v>188</v>
      </c>
      <c r="E61" s="2" t="s">
        <v>189</v>
      </c>
      <c r="F61" s="2" t="s">
        <v>190</v>
      </c>
    </row>
    <row r="62" spans="1:6" ht="16" x14ac:dyDescent="0.2">
      <c r="A62" s="2" t="s">
        <v>338</v>
      </c>
      <c r="B62" s="2" t="s">
        <v>339</v>
      </c>
      <c r="C62" s="2" t="s">
        <v>340</v>
      </c>
      <c r="D62" s="2" t="s">
        <v>172</v>
      </c>
      <c r="E62" s="2" t="s">
        <v>173</v>
      </c>
      <c r="F62" s="2" t="s">
        <v>174</v>
      </c>
    </row>
    <row r="63" spans="1:6" ht="32" x14ac:dyDescent="0.2">
      <c r="A63" s="2" t="s">
        <v>341</v>
      </c>
      <c r="B63" s="2" t="s">
        <v>342</v>
      </c>
      <c r="C63" s="2" t="s">
        <v>37</v>
      </c>
      <c r="D63" s="2" t="s">
        <v>178</v>
      </c>
      <c r="E63" s="2" t="s">
        <v>179</v>
      </c>
      <c r="F63" s="2" t="s">
        <v>180</v>
      </c>
    </row>
    <row r="64" spans="1:6" ht="32" x14ac:dyDescent="0.2">
      <c r="A64" s="2" t="s">
        <v>343</v>
      </c>
      <c r="B64" s="2" t="s">
        <v>344</v>
      </c>
      <c r="C64" s="2" t="s">
        <v>40</v>
      </c>
      <c r="D64" s="2" t="s">
        <v>202</v>
      </c>
      <c r="E64" s="2" t="s">
        <v>203</v>
      </c>
      <c r="F64" s="2" t="s">
        <v>204</v>
      </c>
    </row>
    <row r="65" spans="1:6" ht="16" x14ac:dyDescent="0.2">
      <c r="A65" s="2" t="s">
        <v>345</v>
      </c>
      <c r="B65" s="2" t="s">
        <v>346</v>
      </c>
      <c r="C65" s="2" t="s">
        <v>41</v>
      </c>
      <c r="D65" s="2" t="s">
        <v>188</v>
      </c>
      <c r="E65" s="2" t="s">
        <v>189</v>
      </c>
      <c r="F65" s="2" t="s">
        <v>190</v>
      </c>
    </row>
    <row r="66" spans="1:6" ht="32" x14ac:dyDescent="0.2">
      <c r="A66" s="2" t="s">
        <v>347</v>
      </c>
      <c r="B66" s="2" t="s">
        <v>348</v>
      </c>
      <c r="C66" s="2" t="s">
        <v>42</v>
      </c>
      <c r="D66" s="2" t="s">
        <v>161</v>
      </c>
      <c r="E66" s="2" t="s">
        <v>162</v>
      </c>
      <c r="F66" s="2" t="s">
        <v>163</v>
      </c>
    </row>
    <row r="67" spans="1:6" ht="32" x14ac:dyDescent="0.2">
      <c r="A67" s="2" t="s">
        <v>349</v>
      </c>
      <c r="B67" s="2" t="s">
        <v>350</v>
      </c>
      <c r="C67" s="2" t="s">
        <v>351</v>
      </c>
      <c r="D67" s="2" t="s">
        <v>161</v>
      </c>
      <c r="E67" s="2" t="s">
        <v>162</v>
      </c>
      <c r="F67" s="2" t="s">
        <v>163</v>
      </c>
    </row>
    <row r="68" spans="1:6" ht="16" x14ac:dyDescent="0.2">
      <c r="A68" s="2" t="s">
        <v>352</v>
      </c>
      <c r="B68" s="2" t="s">
        <v>353</v>
      </c>
      <c r="C68" s="2" t="s">
        <v>354</v>
      </c>
      <c r="D68" s="2" t="s">
        <v>188</v>
      </c>
      <c r="E68" s="2" t="s">
        <v>189</v>
      </c>
      <c r="F68" s="2" t="s">
        <v>190</v>
      </c>
    </row>
    <row r="69" spans="1:6" ht="16" x14ac:dyDescent="0.2">
      <c r="A69" s="2" t="s">
        <v>355</v>
      </c>
      <c r="B69" s="2" t="s">
        <v>356</v>
      </c>
      <c r="C69" s="2" t="s">
        <v>357</v>
      </c>
      <c r="D69" s="2" t="s">
        <v>166</v>
      </c>
      <c r="E69" s="2" t="s">
        <v>167</v>
      </c>
      <c r="F69" s="2" t="s">
        <v>168</v>
      </c>
    </row>
    <row r="70" spans="1:6" ht="16" x14ac:dyDescent="0.2">
      <c r="A70" s="2" t="s">
        <v>358</v>
      </c>
      <c r="B70" s="2" t="s">
        <v>359</v>
      </c>
      <c r="C70" s="2" t="s">
        <v>43</v>
      </c>
      <c r="D70" s="2" t="s">
        <v>166</v>
      </c>
      <c r="E70" s="2" t="s">
        <v>167</v>
      </c>
      <c r="F70" s="2" t="s">
        <v>168</v>
      </c>
    </row>
    <row r="71" spans="1:6" ht="32" x14ac:dyDescent="0.2">
      <c r="A71" s="2" t="s">
        <v>360</v>
      </c>
      <c r="B71" s="2" t="s">
        <v>361</v>
      </c>
      <c r="C71" s="2" t="s">
        <v>362</v>
      </c>
      <c r="D71" s="2" t="s">
        <v>202</v>
      </c>
      <c r="E71" s="2" t="s">
        <v>203</v>
      </c>
      <c r="F71" s="2" t="s">
        <v>204</v>
      </c>
    </row>
    <row r="72" spans="1:6" ht="32" x14ac:dyDescent="0.2">
      <c r="A72" s="2" t="s">
        <v>363</v>
      </c>
      <c r="B72" s="2" t="s">
        <v>364</v>
      </c>
      <c r="C72" s="2" t="s">
        <v>44</v>
      </c>
      <c r="D72" s="2" t="s">
        <v>178</v>
      </c>
      <c r="E72" s="2" t="s">
        <v>179</v>
      </c>
      <c r="F72" s="2" t="s">
        <v>180</v>
      </c>
    </row>
    <row r="73" spans="1:6" ht="32" x14ac:dyDescent="0.2">
      <c r="A73" s="2" t="s">
        <v>365</v>
      </c>
      <c r="B73" s="2" t="s">
        <v>366</v>
      </c>
      <c r="C73" s="2" t="s">
        <v>367</v>
      </c>
      <c r="D73" s="2" t="s">
        <v>161</v>
      </c>
      <c r="E73" s="2" t="s">
        <v>162</v>
      </c>
      <c r="F73" s="2" t="s">
        <v>163</v>
      </c>
    </row>
    <row r="74" spans="1:6" ht="32" x14ac:dyDescent="0.2">
      <c r="A74" s="2" t="s">
        <v>368</v>
      </c>
      <c r="B74" s="2" t="s">
        <v>369</v>
      </c>
      <c r="C74" s="2" t="s">
        <v>370</v>
      </c>
      <c r="D74" s="2" t="s">
        <v>202</v>
      </c>
      <c r="E74" s="2" t="s">
        <v>203</v>
      </c>
      <c r="F74" s="2" t="s">
        <v>204</v>
      </c>
    </row>
    <row r="75" spans="1:6" ht="16" x14ac:dyDescent="0.2">
      <c r="A75" s="2" t="s">
        <v>371</v>
      </c>
      <c r="B75" s="2" t="s">
        <v>372</v>
      </c>
      <c r="C75" s="2" t="s">
        <v>45</v>
      </c>
      <c r="D75" s="2" t="s">
        <v>194</v>
      </c>
      <c r="E75" s="2" t="s">
        <v>195</v>
      </c>
      <c r="F75" s="2" t="s">
        <v>196</v>
      </c>
    </row>
    <row r="76" spans="1:6" ht="16" x14ac:dyDescent="0.2">
      <c r="A76" s="2" t="s">
        <v>373</v>
      </c>
      <c r="B76" s="2" t="s">
        <v>374</v>
      </c>
      <c r="C76" s="2" t="s">
        <v>375</v>
      </c>
      <c r="D76" s="2" t="s">
        <v>166</v>
      </c>
      <c r="E76" s="2" t="s">
        <v>167</v>
      </c>
      <c r="F76" s="2" t="s">
        <v>168</v>
      </c>
    </row>
    <row r="77" spans="1:6" ht="16" x14ac:dyDescent="0.2">
      <c r="A77" s="2" t="s">
        <v>376</v>
      </c>
      <c r="B77" s="2" t="s">
        <v>377</v>
      </c>
      <c r="C77" s="2" t="s">
        <v>46</v>
      </c>
      <c r="D77" s="2" t="s">
        <v>166</v>
      </c>
      <c r="E77" s="2" t="s">
        <v>167</v>
      </c>
      <c r="F77" s="2" t="s">
        <v>168</v>
      </c>
    </row>
    <row r="78" spans="1:6" ht="16" x14ac:dyDescent="0.2">
      <c r="A78" s="2" t="s">
        <v>378</v>
      </c>
      <c r="B78" s="2" t="s">
        <v>379</v>
      </c>
      <c r="C78" s="2" t="s">
        <v>380</v>
      </c>
      <c r="D78" s="2" t="s">
        <v>241</v>
      </c>
      <c r="E78" s="2" t="s">
        <v>242</v>
      </c>
      <c r="F78" s="2" t="s">
        <v>243</v>
      </c>
    </row>
    <row r="79" spans="1:6" ht="32" x14ac:dyDescent="0.2">
      <c r="A79" s="2" t="s">
        <v>381</v>
      </c>
      <c r="B79" s="2" t="s">
        <v>382</v>
      </c>
      <c r="C79" s="2" t="s">
        <v>383</v>
      </c>
      <c r="D79" s="2" t="s">
        <v>161</v>
      </c>
      <c r="E79" s="2" t="s">
        <v>162</v>
      </c>
      <c r="F79" s="2" t="s">
        <v>163</v>
      </c>
    </row>
    <row r="80" spans="1:6" ht="16" x14ac:dyDescent="0.2">
      <c r="A80" s="2" t="s">
        <v>384</v>
      </c>
      <c r="B80" s="2" t="s">
        <v>385</v>
      </c>
      <c r="C80" s="2" t="s">
        <v>47</v>
      </c>
      <c r="D80" s="2" t="s">
        <v>166</v>
      </c>
      <c r="E80" s="2" t="s">
        <v>167</v>
      </c>
      <c r="F80" s="2" t="s">
        <v>168</v>
      </c>
    </row>
    <row r="81" spans="1:6" ht="16" x14ac:dyDescent="0.2">
      <c r="A81" s="2" t="s">
        <v>386</v>
      </c>
      <c r="B81" s="2" t="s">
        <v>387</v>
      </c>
      <c r="C81" s="2" t="s">
        <v>388</v>
      </c>
      <c r="D81" s="2" t="s">
        <v>213</v>
      </c>
      <c r="E81" s="2" t="s">
        <v>214</v>
      </c>
      <c r="F81" s="2" t="s">
        <v>120</v>
      </c>
    </row>
    <row r="82" spans="1:6" ht="16" x14ac:dyDescent="0.2">
      <c r="A82" s="2" t="s">
        <v>389</v>
      </c>
      <c r="B82" s="2" t="s">
        <v>390</v>
      </c>
      <c r="C82" s="2" t="s">
        <v>391</v>
      </c>
      <c r="D82" s="2" t="s">
        <v>392</v>
      </c>
      <c r="E82" s="2" t="s">
        <v>393</v>
      </c>
      <c r="F82" s="2" t="s">
        <v>59</v>
      </c>
    </row>
    <row r="83" spans="1:6" ht="32" x14ac:dyDescent="0.2">
      <c r="A83" s="2" t="s">
        <v>394</v>
      </c>
      <c r="B83" s="2" t="s">
        <v>395</v>
      </c>
      <c r="C83" s="2" t="s">
        <v>396</v>
      </c>
      <c r="D83" s="2" t="s">
        <v>202</v>
      </c>
      <c r="E83" s="2" t="s">
        <v>203</v>
      </c>
      <c r="F83" s="2" t="s">
        <v>204</v>
      </c>
    </row>
    <row r="84" spans="1:6" ht="16" x14ac:dyDescent="0.2">
      <c r="A84" s="2" t="s">
        <v>397</v>
      </c>
      <c r="B84" s="2" t="s">
        <v>398</v>
      </c>
      <c r="C84" s="2" t="s">
        <v>399</v>
      </c>
      <c r="D84" s="2" t="s">
        <v>241</v>
      </c>
      <c r="E84" s="2" t="s">
        <v>242</v>
      </c>
      <c r="F84" s="2" t="s">
        <v>243</v>
      </c>
    </row>
    <row r="85" spans="1:6" ht="32" x14ac:dyDescent="0.2">
      <c r="A85" s="2" t="s">
        <v>400</v>
      </c>
      <c r="B85" s="2" t="s">
        <v>401</v>
      </c>
      <c r="C85" s="2" t="s">
        <v>49</v>
      </c>
      <c r="D85" s="2" t="s">
        <v>202</v>
      </c>
      <c r="E85" s="2" t="s">
        <v>203</v>
      </c>
      <c r="F85" s="2" t="s">
        <v>204</v>
      </c>
    </row>
    <row r="86" spans="1:6" ht="16" x14ac:dyDescent="0.2">
      <c r="A86" s="2" t="s">
        <v>402</v>
      </c>
      <c r="B86" s="2" t="s">
        <v>403</v>
      </c>
      <c r="C86" s="2" t="s">
        <v>404</v>
      </c>
      <c r="D86" s="2" t="s">
        <v>166</v>
      </c>
      <c r="E86" s="2" t="s">
        <v>167</v>
      </c>
      <c r="F86" s="2" t="s">
        <v>168</v>
      </c>
    </row>
    <row r="87" spans="1:6" ht="16" x14ac:dyDescent="0.2">
      <c r="A87" s="2" t="s">
        <v>405</v>
      </c>
      <c r="B87" s="2" t="s">
        <v>406</v>
      </c>
      <c r="C87" s="2" t="s">
        <v>50</v>
      </c>
      <c r="D87" s="2" t="s">
        <v>155</v>
      </c>
      <c r="E87" s="2" t="s">
        <v>156</v>
      </c>
      <c r="F87" s="2" t="s">
        <v>157</v>
      </c>
    </row>
    <row r="88" spans="1:6" ht="32" x14ac:dyDescent="0.2">
      <c r="A88" s="2" t="s">
        <v>407</v>
      </c>
      <c r="B88" s="2" t="s">
        <v>408</v>
      </c>
      <c r="C88" s="2" t="s">
        <v>51</v>
      </c>
      <c r="D88" s="2" t="s">
        <v>161</v>
      </c>
      <c r="E88" s="2" t="s">
        <v>162</v>
      </c>
      <c r="F88" s="2" t="s">
        <v>163</v>
      </c>
    </row>
    <row r="89" spans="1:6" ht="16" x14ac:dyDescent="0.2">
      <c r="A89" s="2" t="s">
        <v>409</v>
      </c>
      <c r="B89" s="2" t="s">
        <v>410</v>
      </c>
      <c r="C89" s="2" t="s">
        <v>52</v>
      </c>
      <c r="D89" s="2" t="s">
        <v>188</v>
      </c>
      <c r="E89" s="2" t="s">
        <v>189</v>
      </c>
      <c r="F89" s="2" t="s">
        <v>190</v>
      </c>
    </row>
    <row r="90" spans="1:6" ht="16" x14ac:dyDescent="0.2">
      <c r="A90" s="2" t="s">
        <v>411</v>
      </c>
      <c r="B90" s="2" t="s">
        <v>412</v>
      </c>
      <c r="C90" s="2" t="s">
        <v>413</v>
      </c>
      <c r="D90" s="2" t="s">
        <v>166</v>
      </c>
      <c r="E90" s="2" t="s">
        <v>167</v>
      </c>
      <c r="F90" s="2" t="s">
        <v>168</v>
      </c>
    </row>
    <row r="91" spans="1:6" ht="16" x14ac:dyDescent="0.2">
      <c r="A91" s="2" t="s">
        <v>414</v>
      </c>
      <c r="B91" s="2" t="s">
        <v>415</v>
      </c>
      <c r="C91" s="2" t="s">
        <v>53</v>
      </c>
      <c r="D91" s="2" t="s">
        <v>166</v>
      </c>
      <c r="E91" s="2" t="s">
        <v>167</v>
      </c>
      <c r="F91" s="2" t="s">
        <v>168</v>
      </c>
    </row>
    <row r="92" spans="1:6" ht="32" x14ac:dyDescent="0.2">
      <c r="A92" s="2" t="s">
        <v>416</v>
      </c>
      <c r="B92" s="2" t="s">
        <v>417</v>
      </c>
      <c r="C92" s="2" t="s">
        <v>54</v>
      </c>
      <c r="D92" s="2" t="s">
        <v>202</v>
      </c>
      <c r="E92" s="2" t="s">
        <v>203</v>
      </c>
      <c r="F92" s="2" t="s">
        <v>204</v>
      </c>
    </row>
    <row r="93" spans="1:6" ht="16" x14ac:dyDescent="0.2">
      <c r="A93" s="2" t="s">
        <v>418</v>
      </c>
      <c r="B93" s="2" t="s">
        <v>419</v>
      </c>
      <c r="C93" s="2" t="s">
        <v>420</v>
      </c>
      <c r="D93" s="2" t="s">
        <v>172</v>
      </c>
      <c r="E93" s="2" t="s">
        <v>173</v>
      </c>
      <c r="F93" s="2" t="s">
        <v>174</v>
      </c>
    </row>
    <row r="94" spans="1:6" ht="32" x14ac:dyDescent="0.2">
      <c r="A94" s="2" t="s">
        <v>421</v>
      </c>
      <c r="B94" s="2" t="s">
        <v>422</v>
      </c>
      <c r="C94" s="2" t="s">
        <v>423</v>
      </c>
      <c r="D94" s="2" t="s">
        <v>202</v>
      </c>
      <c r="E94" s="2" t="s">
        <v>203</v>
      </c>
      <c r="F94" s="2" t="s">
        <v>204</v>
      </c>
    </row>
    <row r="95" spans="1:6" ht="32" x14ac:dyDescent="0.2">
      <c r="A95" s="2" t="s">
        <v>424</v>
      </c>
      <c r="B95" s="2" t="s">
        <v>425</v>
      </c>
      <c r="C95" s="2" t="s">
        <v>426</v>
      </c>
      <c r="D95" s="2" t="s">
        <v>202</v>
      </c>
      <c r="E95" s="2" t="s">
        <v>203</v>
      </c>
      <c r="F95" s="2" t="s">
        <v>204</v>
      </c>
    </row>
    <row r="96" spans="1:6" ht="32" x14ac:dyDescent="0.2">
      <c r="A96" s="2" t="s">
        <v>427</v>
      </c>
      <c r="B96" s="2" t="s">
        <v>428</v>
      </c>
      <c r="C96" s="2" t="s">
        <v>429</v>
      </c>
      <c r="D96" s="2" t="s">
        <v>202</v>
      </c>
      <c r="E96" s="2" t="s">
        <v>203</v>
      </c>
      <c r="F96" s="2" t="s">
        <v>204</v>
      </c>
    </row>
    <row r="97" spans="1:6" ht="16" x14ac:dyDescent="0.2">
      <c r="A97" s="2" t="s">
        <v>430</v>
      </c>
      <c r="B97" s="2" t="s">
        <v>431</v>
      </c>
      <c r="C97" s="2" t="s">
        <v>432</v>
      </c>
      <c r="D97" s="2" t="s">
        <v>241</v>
      </c>
      <c r="E97" s="2" t="s">
        <v>242</v>
      </c>
      <c r="F97" s="2" t="s">
        <v>243</v>
      </c>
    </row>
    <row r="98" spans="1:6" ht="32" x14ac:dyDescent="0.2">
      <c r="A98" s="2" t="s">
        <v>433</v>
      </c>
      <c r="B98" s="2" t="s">
        <v>434</v>
      </c>
      <c r="C98" s="2" t="s">
        <v>435</v>
      </c>
      <c r="D98" s="2" t="s">
        <v>202</v>
      </c>
      <c r="E98" s="2" t="s">
        <v>203</v>
      </c>
      <c r="F98" s="2" t="s">
        <v>204</v>
      </c>
    </row>
    <row r="99" spans="1:6" ht="32" x14ac:dyDescent="0.2">
      <c r="A99" s="2" t="s">
        <v>436</v>
      </c>
      <c r="B99" s="2" t="s">
        <v>437</v>
      </c>
      <c r="C99" s="2" t="s">
        <v>438</v>
      </c>
      <c r="D99" s="2" t="s">
        <v>178</v>
      </c>
      <c r="E99" s="2" t="s">
        <v>179</v>
      </c>
      <c r="F99" s="2" t="s">
        <v>180</v>
      </c>
    </row>
    <row r="100" spans="1:6" ht="16" x14ac:dyDescent="0.2">
      <c r="A100" s="2" t="s">
        <v>439</v>
      </c>
      <c r="B100" s="2" t="s">
        <v>440</v>
      </c>
      <c r="C100" s="2" t="s">
        <v>56</v>
      </c>
      <c r="D100" s="2" t="s">
        <v>302</v>
      </c>
      <c r="E100" s="2" t="s">
        <v>303</v>
      </c>
      <c r="F100" s="2" t="s">
        <v>304</v>
      </c>
    </row>
    <row r="101" spans="1:6" ht="32" x14ac:dyDescent="0.2">
      <c r="A101" s="2" t="s">
        <v>441</v>
      </c>
      <c r="B101" s="2" t="s">
        <v>442</v>
      </c>
      <c r="C101" s="2" t="s">
        <v>443</v>
      </c>
      <c r="D101" s="2" t="s">
        <v>202</v>
      </c>
      <c r="E101" s="2" t="s">
        <v>203</v>
      </c>
      <c r="F101" s="2" t="s">
        <v>204</v>
      </c>
    </row>
    <row r="102" spans="1:6" ht="32" x14ac:dyDescent="0.2">
      <c r="A102" s="2" t="s">
        <v>444</v>
      </c>
      <c r="B102" s="2" t="s">
        <v>445</v>
      </c>
      <c r="C102" s="2" t="s">
        <v>446</v>
      </c>
      <c r="D102" s="2" t="s">
        <v>161</v>
      </c>
      <c r="E102" s="2" t="s">
        <v>162</v>
      </c>
      <c r="F102" s="2" t="s">
        <v>163</v>
      </c>
    </row>
    <row r="103" spans="1:6" ht="32" x14ac:dyDescent="0.2">
      <c r="A103" s="2" t="s">
        <v>447</v>
      </c>
      <c r="B103" s="2" t="s">
        <v>448</v>
      </c>
      <c r="C103" s="2" t="s">
        <v>57</v>
      </c>
      <c r="D103" s="2" t="s">
        <v>178</v>
      </c>
      <c r="E103" s="2" t="s">
        <v>179</v>
      </c>
      <c r="F103" s="2" t="s">
        <v>180</v>
      </c>
    </row>
    <row r="104" spans="1:6" ht="32" x14ac:dyDescent="0.2">
      <c r="A104" s="2" t="s">
        <v>449</v>
      </c>
      <c r="B104" s="2" t="s">
        <v>450</v>
      </c>
      <c r="C104" s="2" t="s">
        <v>58</v>
      </c>
      <c r="D104" s="2" t="s">
        <v>178</v>
      </c>
      <c r="E104" s="2" t="s">
        <v>179</v>
      </c>
      <c r="F104" s="2" t="s">
        <v>180</v>
      </c>
    </row>
    <row r="105" spans="1:6" ht="32" x14ac:dyDescent="0.2">
      <c r="A105" s="2" t="s">
        <v>451</v>
      </c>
      <c r="B105" s="2" t="s">
        <v>452</v>
      </c>
      <c r="C105" s="2" t="s">
        <v>453</v>
      </c>
      <c r="D105" s="2" t="s">
        <v>178</v>
      </c>
      <c r="E105" s="2" t="s">
        <v>179</v>
      </c>
      <c r="F105" s="2" t="s">
        <v>180</v>
      </c>
    </row>
    <row r="106" spans="1:6" ht="16" x14ac:dyDescent="0.2">
      <c r="A106" s="2" t="s">
        <v>454</v>
      </c>
      <c r="B106" s="2" t="s">
        <v>455</v>
      </c>
      <c r="C106" s="2" t="s">
        <v>59</v>
      </c>
      <c r="D106" s="2" t="s">
        <v>392</v>
      </c>
      <c r="E106" s="2" t="s">
        <v>393</v>
      </c>
      <c r="F106" s="2" t="s">
        <v>59</v>
      </c>
    </row>
    <row r="107" spans="1:6" ht="16" x14ac:dyDescent="0.2">
      <c r="A107" s="2" t="s">
        <v>456</v>
      </c>
      <c r="B107" s="2" t="s">
        <v>457</v>
      </c>
      <c r="C107" s="2" t="s">
        <v>458</v>
      </c>
      <c r="D107" s="2" t="s">
        <v>241</v>
      </c>
      <c r="E107" s="2" t="s">
        <v>242</v>
      </c>
      <c r="F107" s="2" t="s">
        <v>243</v>
      </c>
    </row>
    <row r="108" spans="1:6" ht="16" x14ac:dyDescent="0.2">
      <c r="A108" s="2" t="s">
        <v>459</v>
      </c>
      <c r="B108" s="2" t="s">
        <v>460</v>
      </c>
      <c r="C108" s="2" t="s">
        <v>461</v>
      </c>
      <c r="D108" s="2" t="s">
        <v>188</v>
      </c>
      <c r="E108" s="2" t="s">
        <v>189</v>
      </c>
      <c r="F108" s="2" t="s">
        <v>190</v>
      </c>
    </row>
    <row r="109" spans="1:6" ht="32" x14ac:dyDescent="0.2">
      <c r="A109" s="2" t="s">
        <v>462</v>
      </c>
      <c r="B109" s="2" t="s">
        <v>463</v>
      </c>
      <c r="C109" s="2" t="s">
        <v>60</v>
      </c>
      <c r="D109" s="2" t="s">
        <v>161</v>
      </c>
      <c r="E109" s="2" t="s">
        <v>162</v>
      </c>
      <c r="F109" s="2" t="s">
        <v>163</v>
      </c>
    </row>
    <row r="110" spans="1:6" ht="32" x14ac:dyDescent="0.2">
      <c r="A110" s="2" t="s">
        <v>464</v>
      </c>
      <c r="B110" s="2" t="s">
        <v>465</v>
      </c>
      <c r="C110" s="2" t="s">
        <v>466</v>
      </c>
      <c r="D110" s="2" t="s">
        <v>161</v>
      </c>
      <c r="E110" s="2" t="s">
        <v>162</v>
      </c>
      <c r="F110" s="2" t="s">
        <v>163</v>
      </c>
    </row>
    <row r="111" spans="1:6" ht="32" x14ac:dyDescent="0.2">
      <c r="A111" s="2" t="s">
        <v>467</v>
      </c>
      <c r="B111" s="2" t="s">
        <v>468</v>
      </c>
      <c r="C111" s="2" t="s">
        <v>469</v>
      </c>
      <c r="D111" s="2" t="s">
        <v>202</v>
      </c>
      <c r="E111" s="2" t="s">
        <v>203</v>
      </c>
      <c r="F111" s="2" t="s">
        <v>204</v>
      </c>
    </row>
    <row r="112" spans="1:6" ht="16" x14ac:dyDescent="0.2">
      <c r="A112" s="2" t="s">
        <v>470</v>
      </c>
      <c r="B112" s="2" t="s">
        <v>471</v>
      </c>
      <c r="C112" s="2" t="s">
        <v>61</v>
      </c>
      <c r="D112" s="2" t="s">
        <v>188</v>
      </c>
      <c r="E112" s="2" t="s">
        <v>189</v>
      </c>
      <c r="F112" s="2" t="s">
        <v>190</v>
      </c>
    </row>
    <row r="113" spans="1:6" ht="16" x14ac:dyDescent="0.2">
      <c r="A113" s="2" t="s">
        <v>472</v>
      </c>
      <c r="B113" s="2" t="s">
        <v>473</v>
      </c>
      <c r="C113" s="2" t="s">
        <v>62</v>
      </c>
      <c r="D113" s="2" t="s">
        <v>166</v>
      </c>
      <c r="E113" s="2" t="s">
        <v>167</v>
      </c>
      <c r="F113" s="2" t="s">
        <v>168</v>
      </c>
    </row>
    <row r="114" spans="1:6" ht="32" x14ac:dyDescent="0.2">
      <c r="A114" s="2" t="s">
        <v>474</v>
      </c>
      <c r="B114" s="2" t="s">
        <v>475</v>
      </c>
      <c r="C114" s="2" t="s">
        <v>63</v>
      </c>
      <c r="D114" s="2" t="s">
        <v>178</v>
      </c>
      <c r="E114" s="2" t="s">
        <v>179</v>
      </c>
      <c r="F114" s="2" t="s">
        <v>180</v>
      </c>
    </row>
    <row r="115" spans="1:6" ht="16" x14ac:dyDescent="0.2">
      <c r="A115" s="2" t="s">
        <v>476</v>
      </c>
      <c r="B115" s="2" t="s">
        <v>477</v>
      </c>
      <c r="C115" s="2" t="s">
        <v>65</v>
      </c>
      <c r="D115" s="2" t="s">
        <v>172</v>
      </c>
      <c r="E115" s="2" t="s">
        <v>173</v>
      </c>
      <c r="F115" s="2" t="s">
        <v>174</v>
      </c>
    </row>
    <row r="116" spans="1:6" ht="16" x14ac:dyDescent="0.2">
      <c r="A116" s="2" t="s">
        <v>478</v>
      </c>
      <c r="B116" s="2" t="s">
        <v>479</v>
      </c>
      <c r="C116" s="2" t="s">
        <v>480</v>
      </c>
      <c r="D116" s="2" t="s">
        <v>166</v>
      </c>
      <c r="E116" s="2" t="s">
        <v>167</v>
      </c>
      <c r="F116" s="2" t="s">
        <v>168</v>
      </c>
    </row>
    <row r="117" spans="1:6" ht="32" x14ac:dyDescent="0.2">
      <c r="A117" s="2" t="s">
        <v>481</v>
      </c>
      <c r="B117" s="2" t="s">
        <v>482</v>
      </c>
      <c r="C117" s="2" t="s">
        <v>66</v>
      </c>
      <c r="D117" s="2" t="s">
        <v>161</v>
      </c>
      <c r="E117" s="2" t="s">
        <v>162</v>
      </c>
      <c r="F117" s="2" t="s">
        <v>163</v>
      </c>
    </row>
    <row r="118" spans="1:6" ht="32" x14ac:dyDescent="0.2">
      <c r="A118" s="2" t="s">
        <v>483</v>
      </c>
      <c r="B118" s="2" t="s">
        <v>484</v>
      </c>
      <c r="C118" s="2" t="s">
        <v>67</v>
      </c>
      <c r="D118" s="2" t="s">
        <v>161</v>
      </c>
      <c r="E118" s="2" t="s">
        <v>162</v>
      </c>
      <c r="F118" s="2" t="s">
        <v>163</v>
      </c>
    </row>
    <row r="119" spans="1:6" ht="16" x14ac:dyDescent="0.2">
      <c r="A119" s="2" t="s">
        <v>485</v>
      </c>
      <c r="B119" s="2" t="s">
        <v>486</v>
      </c>
      <c r="C119" s="2" t="s">
        <v>487</v>
      </c>
      <c r="D119" s="2" t="s">
        <v>166</v>
      </c>
      <c r="E119" s="2" t="s">
        <v>167</v>
      </c>
      <c r="F119" s="2" t="s">
        <v>168</v>
      </c>
    </row>
    <row r="120" spans="1:6" ht="16" x14ac:dyDescent="0.2">
      <c r="A120" s="2" t="s">
        <v>488</v>
      </c>
      <c r="B120" s="2" t="s">
        <v>489</v>
      </c>
      <c r="C120" s="2" t="s">
        <v>68</v>
      </c>
      <c r="D120" s="2" t="s">
        <v>172</v>
      </c>
      <c r="E120" s="2" t="s">
        <v>173</v>
      </c>
      <c r="F120" s="2" t="s">
        <v>174</v>
      </c>
    </row>
    <row r="121" spans="1:6" ht="16" x14ac:dyDescent="0.2">
      <c r="A121" s="2" t="s">
        <v>490</v>
      </c>
      <c r="B121" s="2" t="s">
        <v>491</v>
      </c>
      <c r="C121" s="2" t="s">
        <v>70</v>
      </c>
      <c r="D121" s="2" t="s">
        <v>241</v>
      </c>
      <c r="E121" s="2" t="s">
        <v>242</v>
      </c>
      <c r="F121" s="2" t="s">
        <v>243</v>
      </c>
    </row>
    <row r="122" spans="1:6" ht="32" x14ac:dyDescent="0.2">
      <c r="A122" s="2" t="s">
        <v>492</v>
      </c>
      <c r="B122" s="2" t="s">
        <v>493</v>
      </c>
      <c r="C122" s="2" t="s">
        <v>494</v>
      </c>
      <c r="D122" s="2" t="s">
        <v>202</v>
      </c>
      <c r="E122" s="2" t="s">
        <v>203</v>
      </c>
      <c r="F122" s="2" t="s">
        <v>204</v>
      </c>
    </row>
    <row r="123" spans="1:6" ht="32" x14ac:dyDescent="0.2">
      <c r="A123" s="2" t="s">
        <v>495</v>
      </c>
      <c r="B123" s="2" t="s">
        <v>496</v>
      </c>
      <c r="C123" s="2" t="s">
        <v>71</v>
      </c>
      <c r="D123" s="2" t="s">
        <v>161</v>
      </c>
      <c r="E123" s="2" t="s">
        <v>162</v>
      </c>
      <c r="F123" s="2" t="s">
        <v>163</v>
      </c>
    </row>
    <row r="124" spans="1:6" ht="32" x14ac:dyDescent="0.2">
      <c r="A124" s="2" t="s">
        <v>497</v>
      </c>
      <c r="B124" s="2" t="s">
        <v>498</v>
      </c>
      <c r="C124" s="2" t="s">
        <v>39</v>
      </c>
      <c r="D124" s="2" t="s">
        <v>161</v>
      </c>
      <c r="E124" s="2" t="s">
        <v>162</v>
      </c>
      <c r="F124" s="2" t="s">
        <v>163</v>
      </c>
    </row>
    <row r="125" spans="1:6" ht="16" x14ac:dyDescent="0.2">
      <c r="A125" s="2" t="s">
        <v>499</v>
      </c>
      <c r="B125" s="2" t="s">
        <v>500</v>
      </c>
      <c r="C125" s="2" t="s">
        <v>501</v>
      </c>
      <c r="D125" s="2" t="s">
        <v>188</v>
      </c>
      <c r="E125" s="2" t="s">
        <v>189</v>
      </c>
      <c r="F125" s="2" t="s">
        <v>190</v>
      </c>
    </row>
    <row r="126" spans="1:6" ht="32" x14ac:dyDescent="0.2">
      <c r="A126" s="2" t="s">
        <v>502</v>
      </c>
      <c r="B126" s="2" t="s">
        <v>503</v>
      </c>
      <c r="C126" s="2" t="s">
        <v>72</v>
      </c>
      <c r="D126" s="2" t="s">
        <v>202</v>
      </c>
      <c r="E126" s="2" t="s">
        <v>203</v>
      </c>
      <c r="F126" s="2" t="s">
        <v>204</v>
      </c>
    </row>
    <row r="127" spans="1:6" ht="32" x14ac:dyDescent="0.2">
      <c r="A127" s="2" t="s">
        <v>504</v>
      </c>
      <c r="B127" s="2" t="s">
        <v>505</v>
      </c>
      <c r="C127" s="2" t="s">
        <v>506</v>
      </c>
      <c r="D127" s="2" t="s">
        <v>178</v>
      </c>
      <c r="E127" s="2" t="s">
        <v>179</v>
      </c>
      <c r="F127" s="2" t="s">
        <v>180</v>
      </c>
    </row>
    <row r="128" spans="1:6" ht="16" x14ac:dyDescent="0.2">
      <c r="A128" s="2" t="s">
        <v>507</v>
      </c>
      <c r="B128" s="2" t="s">
        <v>508</v>
      </c>
      <c r="C128" s="2" t="s">
        <v>73</v>
      </c>
      <c r="D128" s="2" t="s">
        <v>188</v>
      </c>
      <c r="E128" s="2" t="s">
        <v>189</v>
      </c>
      <c r="F128" s="2" t="s">
        <v>190</v>
      </c>
    </row>
    <row r="129" spans="1:6" ht="32" x14ac:dyDescent="0.2">
      <c r="A129" s="2" t="s">
        <v>509</v>
      </c>
      <c r="B129" s="2" t="s">
        <v>510</v>
      </c>
      <c r="C129" s="2" t="s">
        <v>74</v>
      </c>
      <c r="D129" s="2" t="s">
        <v>202</v>
      </c>
      <c r="E129" s="2" t="s">
        <v>203</v>
      </c>
      <c r="F129" s="2" t="s">
        <v>204</v>
      </c>
    </row>
    <row r="130" spans="1:6" ht="16" x14ac:dyDescent="0.2">
      <c r="A130" s="2" t="s">
        <v>511</v>
      </c>
      <c r="B130" s="2" t="s">
        <v>512</v>
      </c>
      <c r="C130" s="2" t="s">
        <v>513</v>
      </c>
      <c r="D130" s="2" t="s">
        <v>166</v>
      </c>
      <c r="E130" s="2" t="s">
        <v>167</v>
      </c>
      <c r="F130" s="2" t="s">
        <v>168</v>
      </c>
    </row>
    <row r="131" spans="1:6" ht="32" x14ac:dyDescent="0.2">
      <c r="A131" s="2" t="s">
        <v>514</v>
      </c>
      <c r="B131" s="2" t="s">
        <v>515</v>
      </c>
      <c r="C131" s="2" t="s">
        <v>516</v>
      </c>
      <c r="D131" s="2" t="s">
        <v>202</v>
      </c>
      <c r="E131" s="2" t="s">
        <v>203</v>
      </c>
      <c r="F131" s="2" t="s">
        <v>204</v>
      </c>
    </row>
    <row r="132" spans="1:6" ht="32" x14ac:dyDescent="0.2">
      <c r="A132" s="2" t="s">
        <v>517</v>
      </c>
      <c r="B132" s="2" t="s">
        <v>518</v>
      </c>
      <c r="C132" s="2" t="s">
        <v>75</v>
      </c>
      <c r="D132" s="2" t="s">
        <v>178</v>
      </c>
      <c r="E132" s="2" t="s">
        <v>179</v>
      </c>
      <c r="F132" s="2" t="s">
        <v>180</v>
      </c>
    </row>
    <row r="133" spans="1:6" ht="32" x14ac:dyDescent="0.2">
      <c r="A133" s="2" t="s">
        <v>519</v>
      </c>
      <c r="B133" s="2" t="s">
        <v>520</v>
      </c>
      <c r="C133" s="2" t="s">
        <v>521</v>
      </c>
      <c r="D133" s="2" t="s">
        <v>202</v>
      </c>
      <c r="E133" s="2" t="s">
        <v>203</v>
      </c>
      <c r="F133" s="2" t="s">
        <v>204</v>
      </c>
    </row>
    <row r="134" spans="1:6" ht="32" x14ac:dyDescent="0.2">
      <c r="A134" s="2" t="s">
        <v>522</v>
      </c>
      <c r="B134" s="2" t="s">
        <v>523</v>
      </c>
      <c r="C134" s="2" t="s">
        <v>76</v>
      </c>
      <c r="D134" s="2" t="s">
        <v>161</v>
      </c>
      <c r="E134" s="2" t="s">
        <v>162</v>
      </c>
      <c r="F134" s="2" t="s">
        <v>163</v>
      </c>
    </row>
    <row r="135" spans="1:6" ht="32" x14ac:dyDescent="0.2">
      <c r="A135" s="2" t="s">
        <v>524</v>
      </c>
      <c r="B135" s="2" t="s">
        <v>525</v>
      </c>
      <c r="C135" s="2" t="s">
        <v>526</v>
      </c>
      <c r="D135" s="2" t="s">
        <v>178</v>
      </c>
      <c r="E135" s="2" t="s">
        <v>179</v>
      </c>
      <c r="F135" s="2" t="s">
        <v>180</v>
      </c>
    </row>
    <row r="136" spans="1:6" ht="16" x14ac:dyDescent="0.2">
      <c r="A136" s="2" t="s">
        <v>527</v>
      </c>
      <c r="B136" s="2" t="s">
        <v>528</v>
      </c>
      <c r="C136" s="2" t="s">
        <v>529</v>
      </c>
      <c r="D136" s="2" t="s">
        <v>188</v>
      </c>
      <c r="E136" s="2" t="s">
        <v>189</v>
      </c>
      <c r="F136" s="2" t="s">
        <v>190</v>
      </c>
    </row>
    <row r="137" spans="1:6" ht="16" x14ac:dyDescent="0.2">
      <c r="A137" s="2" t="s">
        <v>530</v>
      </c>
      <c r="B137" s="2" t="s">
        <v>531</v>
      </c>
      <c r="C137" s="2" t="s">
        <v>532</v>
      </c>
      <c r="D137" s="2" t="s">
        <v>392</v>
      </c>
      <c r="E137" s="2" t="s">
        <v>393</v>
      </c>
      <c r="F137" s="2" t="s">
        <v>59</v>
      </c>
    </row>
    <row r="138" spans="1:6" ht="32" x14ac:dyDescent="0.2">
      <c r="A138" s="2" t="s">
        <v>533</v>
      </c>
      <c r="B138" s="2" t="s">
        <v>534</v>
      </c>
      <c r="C138" s="2" t="s">
        <v>535</v>
      </c>
      <c r="D138" s="2" t="s">
        <v>161</v>
      </c>
      <c r="E138" s="2" t="s">
        <v>162</v>
      </c>
      <c r="F138" s="2" t="s">
        <v>163</v>
      </c>
    </row>
    <row r="139" spans="1:6" ht="16" x14ac:dyDescent="0.2">
      <c r="A139" s="2" t="s">
        <v>536</v>
      </c>
      <c r="B139" s="2" t="s">
        <v>537</v>
      </c>
      <c r="C139" s="2" t="s">
        <v>77</v>
      </c>
      <c r="D139" s="2" t="s">
        <v>155</v>
      </c>
      <c r="E139" s="2" t="s">
        <v>156</v>
      </c>
      <c r="F139" s="2" t="s">
        <v>157</v>
      </c>
    </row>
    <row r="140" spans="1:6" ht="32" x14ac:dyDescent="0.2">
      <c r="A140" s="2" t="s">
        <v>538</v>
      </c>
      <c r="B140" s="2" t="s">
        <v>539</v>
      </c>
      <c r="C140" s="2" t="s">
        <v>79</v>
      </c>
      <c r="D140" s="2" t="s">
        <v>161</v>
      </c>
      <c r="E140" s="2" t="s">
        <v>162</v>
      </c>
      <c r="F140" s="2" t="s">
        <v>163</v>
      </c>
    </row>
    <row r="141" spans="1:6" ht="16" x14ac:dyDescent="0.2">
      <c r="A141" s="2" t="s">
        <v>540</v>
      </c>
      <c r="B141" s="2" t="s">
        <v>541</v>
      </c>
      <c r="C141" s="2" t="s">
        <v>542</v>
      </c>
      <c r="D141" s="2" t="s">
        <v>241</v>
      </c>
      <c r="E141" s="2" t="s">
        <v>242</v>
      </c>
      <c r="F141" s="2" t="s">
        <v>243</v>
      </c>
    </row>
    <row r="142" spans="1:6" ht="16" x14ac:dyDescent="0.2">
      <c r="A142" s="2" t="s">
        <v>543</v>
      </c>
      <c r="B142" s="2" t="s">
        <v>544</v>
      </c>
      <c r="C142" s="2" t="s">
        <v>80</v>
      </c>
      <c r="D142" s="2" t="s">
        <v>213</v>
      </c>
      <c r="E142" s="2" t="s">
        <v>214</v>
      </c>
      <c r="F142" s="2" t="s">
        <v>120</v>
      </c>
    </row>
    <row r="143" spans="1:6" ht="32" x14ac:dyDescent="0.2">
      <c r="A143" s="2" t="s">
        <v>545</v>
      </c>
      <c r="B143" s="2" t="s">
        <v>546</v>
      </c>
      <c r="C143" s="2" t="s">
        <v>547</v>
      </c>
      <c r="D143" s="2" t="s">
        <v>161</v>
      </c>
      <c r="E143" s="2" t="s">
        <v>162</v>
      </c>
      <c r="F143" s="2" t="s">
        <v>163</v>
      </c>
    </row>
    <row r="144" spans="1:6" ht="16" x14ac:dyDescent="0.2">
      <c r="A144" s="2" t="s">
        <v>548</v>
      </c>
      <c r="B144" s="2" t="s">
        <v>549</v>
      </c>
      <c r="C144" s="2" t="s">
        <v>550</v>
      </c>
      <c r="D144" s="2" t="s">
        <v>302</v>
      </c>
      <c r="E144" s="2" t="s">
        <v>303</v>
      </c>
      <c r="F144" s="2" t="s">
        <v>304</v>
      </c>
    </row>
    <row r="145" spans="1:6" ht="16" x14ac:dyDescent="0.2">
      <c r="A145" s="2" t="s">
        <v>551</v>
      </c>
      <c r="B145" s="2" t="s">
        <v>552</v>
      </c>
      <c r="C145" s="2" t="s">
        <v>553</v>
      </c>
      <c r="D145" s="2" t="s">
        <v>213</v>
      </c>
      <c r="E145" s="2" t="s">
        <v>214</v>
      </c>
      <c r="F145" s="2" t="s">
        <v>120</v>
      </c>
    </row>
    <row r="146" spans="1:6" ht="32" x14ac:dyDescent="0.2">
      <c r="A146" s="2" t="s">
        <v>554</v>
      </c>
      <c r="B146" s="2" t="s">
        <v>555</v>
      </c>
      <c r="C146" s="2" t="s">
        <v>556</v>
      </c>
      <c r="D146" s="2" t="s">
        <v>178</v>
      </c>
      <c r="E146" s="2" t="s">
        <v>179</v>
      </c>
      <c r="F146" s="2" t="s">
        <v>180</v>
      </c>
    </row>
    <row r="147" spans="1:6" ht="16" x14ac:dyDescent="0.2">
      <c r="A147" s="2" t="s">
        <v>557</v>
      </c>
      <c r="B147" s="2" t="s">
        <v>558</v>
      </c>
      <c r="C147" s="2" t="s">
        <v>81</v>
      </c>
      <c r="D147" s="2" t="s">
        <v>188</v>
      </c>
      <c r="E147" s="2" t="s">
        <v>189</v>
      </c>
      <c r="F147" s="2" t="s">
        <v>190</v>
      </c>
    </row>
    <row r="148" spans="1:6" ht="16" x14ac:dyDescent="0.2">
      <c r="A148" s="2" t="s">
        <v>559</v>
      </c>
      <c r="B148" s="2" t="s">
        <v>560</v>
      </c>
      <c r="C148" s="2" t="s">
        <v>561</v>
      </c>
      <c r="D148" s="2" t="s">
        <v>302</v>
      </c>
      <c r="E148" s="2" t="s">
        <v>303</v>
      </c>
      <c r="F148" s="2" t="s">
        <v>304</v>
      </c>
    </row>
    <row r="149" spans="1:6" ht="32" x14ac:dyDescent="0.2">
      <c r="A149" s="2" t="s">
        <v>562</v>
      </c>
      <c r="B149" s="2" t="s">
        <v>563</v>
      </c>
      <c r="C149" s="2" t="s">
        <v>564</v>
      </c>
      <c r="D149" s="2" t="s">
        <v>178</v>
      </c>
      <c r="E149" s="2" t="s">
        <v>179</v>
      </c>
      <c r="F149" s="2" t="s">
        <v>180</v>
      </c>
    </row>
    <row r="150" spans="1:6" ht="16" x14ac:dyDescent="0.2">
      <c r="A150" s="2" t="s">
        <v>565</v>
      </c>
      <c r="B150" s="2" t="s">
        <v>566</v>
      </c>
      <c r="C150" s="2" t="s">
        <v>32</v>
      </c>
      <c r="D150" s="2" t="s">
        <v>241</v>
      </c>
      <c r="E150" s="2" t="s">
        <v>242</v>
      </c>
      <c r="F150" s="2" t="s">
        <v>243</v>
      </c>
    </row>
    <row r="151" spans="1:6" ht="32" x14ac:dyDescent="0.2">
      <c r="A151" s="2" t="s">
        <v>567</v>
      </c>
      <c r="B151" s="2" t="s">
        <v>568</v>
      </c>
      <c r="C151" s="2" t="s">
        <v>569</v>
      </c>
      <c r="D151" s="2" t="s">
        <v>161</v>
      </c>
      <c r="E151" s="2" t="s">
        <v>162</v>
      </c>
      <c r="F151" s="2" t="s">
        <v>163</v>
      </c>
    </row>
    <row r="152" spans="1:6" ht="32" x14ac:dyDescent="0.2">
      <c r="A152" s="2" t="s">
        <v>570</v>
      </c>
      <c r="B152" s="2" t="s">
        <v>571</v>
      </c>
      <c r="C152" s="2" t="s">
        <v>572</v>
      </c>
      <c r="D152" s="2" t="s">
        <v>178</v>
      </c>
      <c r="E152" s="2" t="s">
        <v>179</v>
      </c>
      <c r="F152" s="2" t="s">
        <v>180</v>
      </c>
    </row>
    <row r="153" spans="1:6" ht="32" x14ac:dyDescent="0.2">
      <c r="A153" s="2" t="s">
        <v>573</v>
      </c>
      <c r="B153" s="2" t="s">
        <v>574</v>
      </c>
      <c r="C153" s="2" t="s">
        <v>575</v>
      </c>
      <c r="D153" s="2" t="s">
        <v>178</v>
      </c>
      <c r="E153" s="2" t="s">
        <v>179</v>
      </c>
      <c r="F153" s="2" t="s">
        <v>180</v>
      </c>
    </row>
    <row r="154" spans="1:6" ht="32" x14ac:dyDescent="0.2">
      <c r="A154" s="2" t="s">
        <v>576</v>
      </c>
      <c r="B154" s="2" t="s">
        <v>577</v>
      </c>
      <c r="C154" s="2" t="s">
        <v>578</v>
      </c>
      <c r="D154" s="2" t="s">
        <v>202</v>
      </c>
      <c r="E154" s="2" t="s">
        <v>203</v>
      </c>
      <c r="F154" s="2" t="s">
        <v>204</v>
      </c>
    </row>
    <row r="155" spans="1:6" ht="32" x14ac:dyDescent="0.2">
      <c r="A155" s="2" t="s">
        <v>579</v>
      </c>
      <c r="B155" s="2" t="s">
        <v>580</v>
      </c>
      <c r="C155" s="2" t="s">
        <v>581</v>
      </c>
      <c r="D155" s="2" t="s">
        <v>202</v>
      </c>
      <c r="E155" s="2" t="s">
        <v>203</v>
      </c>
      <c r="F155" s="2" t="s">
        <v>204</v>
      </c>
    </row>
    <row r="156" spans="1:6" ht="16" x14ac:dyDescent="0.2">
      <c r="A156" s="2" t="s">
        <v>582</v>
      </c>
      <c r="B156" s="2" t="s">
        <v>583</v>
      </c>
      <c r="C156" s="2" t="s">
        <v>82</v>
      </c>
      <c r="D156" s="2" t="s">
        <v>241</v>
      </c>
      <c r="E156" s="2" t="s">
        <v>242</v>
      </c>
      <c r="F156" s="2" t="s">
        <v>243</v>
      </c>
    </row>
    <row r="157" spans="1:6" ht="32" x14ac:dyDescent="0.2">
      <c r="A157" s="2" t="s">
        <v>584</v>
      </c>
      <c r="B157" s="2" t="s">
        <v>585</v>
      </c>
      <c r="C157" s="2" t="s">
        <v>586</v>
      </c>
      <c r="D157" s="2" t="s">
        <v>161</v>
      </c>
      <c r="E157" s="2" t="s">
        <v>162</v>
      </c>
      <c r="F157" s="2" t="s">
        <v>163</v>
      </c>
    </row>
    <row r="158" spans="1:6" ht="32" x14ac:dyDescent="0.2">
      <c r="A158" s="2" t="s">
        <v>587</v>
      </c>
      <c r="B158" s="2" t="s">
        <v>588</v>
      </c>
      <c r="C158" s="2" t="s">
        <v>589</v>
      </c>
      <c r="D158" s="2" t="s">
        <v>178</v>
      </c>
      <c r="E158" s="2" t="s">
        <v>179</v>
      </c>
      <c r="F158" s="2" t="s">
        <v>180</v>
      </c>
    </row>
    <row r="159" spans="1:6" ht="32" x14ac:dyDescent="0.2">
      <c r="A159" s="2" t="s">
        <v>590</v>
      </c>
      <c r="B159" s="2" t="s">
        <v>591</v>
      </c>
      <c r="C159" s="2" t="s">
        <v>592</v>
      </c>
      <c r="D159" s="2" t="s">
        <v>161</v>
      </c>
      <c r="E159" s="2" t="s">
        <v>162</v>
      </c>
      <c r="F159" s="2" t="s">
        <v>163</v>
      </c>
    </row>
    <row r="160" spans="1:6" ht="16" x14ac:dyDescent="0.2">
      <c r="A160" s="2" t="s">
        <v>593</v>
      </c>
      <c r="B160" s="2" t="s">
        <v>594</v>
      </c>
      <c r="C160" s="2" t="s">
        <v>84</v>
      </c>
      <c r="D160" s="2" t="s">
        <v>172</v>
      </c>
      <c r="E160" s="2" t="s">
        <v>173</v>
      </c>
      <c r="F160" s="2" t="s">
        <v>174</v>
      </c>
    </row>
    <row r="161" spans="1:6" ht="32" x14ac:dyDescent="0.2">
      <c r="A161" s="2" t="s">
        <v>595</v>
      </c>
      <c r="B161" s="2" t="s">
        <v>596</v>
      </c>
      <c r="C161" s="2" t="s">
        <v>85</v>
      </c>
      <c r="D161" s="2" t="s">
        <v>178</v>
      </c>
      <c r="E161" s="2" t="s">
        <v>179</v>
      </c>
      <c r="F161" s="2" t="s">
        <v>180</v>
      </c>
    </row>
    <row r="162" spans="1:6" ht="32" x14ac:dyDescent="0.2">
      <c r="A162" s="2" t="s">
        <v>597</v>
      </c>
      <c r="B162" s="2" t="s">
        <v>598</v>
      </c>
      <c r="C162" s="2" t="s">
        <v>599</v>
      </c>
      <c r="D162" s="2" t="s">
        <v>178</v>
      </c>
      <c r="E162" s="2" t="s">
        <v>179</v>
      </c>
      <c r="F162" s="2" t="s">
        <v>180</v>
      </c>
    </row>
    <row r="163" spans="1:6" ht="32" x14ac:dyDescent="0.2">
      <c r="A163" s="2" t="s">
        <v>600</v>
      </c>
      <c r="B163" s="2" t="s">
        <v>601</v>
      </c>
      <c r="C163" s="2" t="s">
        <v>602</v>
      </c>
      <c r="D163" s="2" t="s">
        <v>178</v>
      </c>
      <c r="E163" s="2" t="s">
        <v>179</v>
      </c>
      <c r="F163" s="2" t="s">
        <v>180</v>
      </c>
    </row>
    <row r="164" spans="1:6" ht="16" x14ac:dyDescent="0.2">
      <c r="A164" s="2" t="s">
        <v>603</v>
      </c>
      <c r="B164" s="2" t="s">
        <v>604</v>
      </c>
      <c r="C164" s="2" t="s">
        <v>86</v>
      </c>
      <c r="D164" s="2" t="s">
        <v>194</v>
      </c>
      <c r="E164" s="2" t="s">
        <v>195</v>
      </c>
      <c r="F164" s="2" t="s">
        <v>196</v>
      </c>
    </row>
    <row r="165" spans="1:6" ht="16" x14ac:dyDescent="0.2">
      <c r="A165" s="2" t="s">
        <v>605</v>
      </c>
      <c r="B165" s="2" t="s">
        <v>606</v>
      </c>
      <c r="C165" s="2" t="s">
        <v>607</v>
      </c>
      <c r="D165" s="2" t="s">
        <v>241</v>
      </c>
      <c r="E165" s="2" t="s">
        <v>242</v>
      </c>
      <c r="F165" s="2" t="s">
        <v>243</v>
      </c>
    </row>
    <row r="166" spans="1:6" ht="16" x14ac:dyDescent="0.2">
      <c r="A166" s="2" t="s">
        <v>608</v>
      </c>
      <c r="B166" s="2" t="s">
        <v>609</v>
      </c>
      <c r="C166" s="2" t="s">
        <v>610</v>
      </c>
      <c r="D166" s="2" t="s">
        <v>213</v>
      </c>
      <c r="E166" s="2" t="s">
        <v>214</v>
      </c>
      <c r="F166" s="2" t="s">
        <v>120</v>
      </c>
    </row>
    <row r="167" spans="1:6" ht="16" x14ac:dyDescent="0.2">
      <c r="A167" s="2" t="s">
        <v>611</v>
      </c>
      <c r="B167" s="2" t="s">
        <v>612</v>
      </c>
      <c r="C167" s="2" t="s">
        <v>613</v>
      </c>
      <c r="D167" s="2" t="s">
        <v>166</v>
      </c>
      <c r="E167" s="2" t="s">
        <v>167</v>
      </c>
      <c r="F167" s="2" t="s">
        <v>168</v>
      </c>
    </row>
    <row r="168" spans="1:6" ht="32" x14ac:dyDescent="0.2">
      <c r="A168" s="2" t="s">
        <v>614</v>
      </c>
      <c r="B168" s="2" t="s">
        <v>615</v>
      </c>
      <c r="C168" s="2" t="s">
        <v>616</v>
      </c>
      <c r="D168" s="2" t="s">
        <v>178</v>
      </c>
      <c r="E168" s="2" t="s">
        <v>179</v>
      </c>
      <c r="F168" s="2" t="s">
        <v>180</v>
      </c>
    </row>
    <row r="169" spans="1:6" ht="16" x14ac:dyDescent="0.2">
      <c r="A169" s="2" t="s">
        <v>617</v>
      </c>
      <c r="B169" s="2" t="s">
        <v>618</v>
      </c>
      <c r="C169" s="2" t="s">
        <v>87</v>
      </c>
      <c r="D169" s="2" t="s">
        <v>166</v>
      </c>
      <c r="E169" s="2" t="s">
        <v>167</v>
      </c>
      <c r="F169" s="2" t="s">
        <v>168</v>
      </c>
    </row>
    <row r="170" spans="1:6" ht="32" x14ac:dyDescent="0.2">
      <c r="A170" s="2" t="s">
        <v>619</v>
      </c>
      <c r="B170" s="2" t="s">
        <v>620</v>
      </c>
      <c r="C170" s="2" t="s">
        <v>621</v>
      </c>
      <c r="D170" s="2" t="s">
        <v>202</v>
      </c>
      <c r="E170" s="2" t="s">
        <v>203</v>
      </c>
      <c r="F170" s="2" t="s">
        <v>204</v>
      </c>
    </row>
    <row r="171" spans="1:6" ht="16" x14ac:dyDescent="0.2">
      <c r="A171" s="2" t="s">
        <v>622</v>
      </c>
      <c r="B171" s="2" t="s">
        <v>623</v>
      </c>
      <c r="C171" s="2" t="s">
        <v>624</v>
      </c>
      <c r="D171" s="2" t="s">
        <v>213</v>
      </c>
      <c r="E171" s="2" t="s">
        <v>214</v>
      </c>
      <c r="F171" s="2" t="s">
        <v>120</v>
      </c>
    </row>
    <row r="172" spans="1:6" ht="16" x14ac:dyDescent="0.2">
      <c r="A172" s="2" t="s">
        <v>625</v>
      </c>
      <c r="B172" s="2" t="s">
        <v>626</v>
      </c>
      <c r="C172" s="2" t="s">
        <v>627</v>
      </c>
      <c r="D172" s="2" t="s">
        <v>188</v>
      </c>
      <c r="E172" s="2" t="s">
        <v>189</v>
      </c>
      <c r="F172" s="2" t="s">
        <v>190</v>
      </c>
    </row>
    <row r="173" spans="1:6" ht="16" x14ac:dyDescent="0.2">
      <c r="A173" s="2" t="s">
        <v>628</v>
      </c>
      <c r="B173" s="2" t="s">
        <v>629</v>
      </c>
      <c r="C173" s="2" t="s">
        <v>630</v>
      </c>
      <c r="D173" s="2" t="s">
        <v>166</v>
      </c>
      <c r="E173" s="2" t="s">
        <v>167</v>
      </c>
      <c r="F173" s="2" t="s">
        <v>168</v>
      </c>
    </row>
    <row r="174" spans="1:6" ht="16" x14ac:dyDescent="0.2">
      <c r="A174" s="2" t="s">
        <v>631</v>
      </c>
      <c r="B174" s="2" t="s">
        <v>632</v>
      </c>
      <c r="C174" s="2" t="s">
        <v>633</v>
      </c>
      <c r="D174" s="2" t="s">
        <v>241</v>
      </c>
      <c r="E174" s="2" t="s">
        <v>242</v>
      </c>
      <c r="F174" s="2" t="s">
        <v>243</v>
      </c>
    </row>
    <row r="175" spans="1:6" ht="32" x14ac:dyDescent="0.2">
      <c r="A175" s="2" t="s">
        <v>634</v>
      </c>
      <c r="B175" s="2" t="s">
        <v>635</v>
      </c>
      <c r="C175" s="2" t="s">
        <v>636</v>
      </c>
      <c r="D175" s="2" t="s">
        <v>202</v>
      </c>
      <c r="E175" s="2" t="s">
        <v>203</v>
      </c>
      <c r="F175" s="2" t="s">
        <v>204</v>
      </c>
    </row>
    <row r="176" spans="1:6" ht="32" x14ac:dyDescent="0.2">
      <c r="A176" s="2" t="s">
        <v>637</v>
      </c>
      <c r="B176" s="2" t="s">
        <v>638</v>
      </c>
      <c r="C176" s="2" t="s">
        <v>639</v>
      </c>
      <c r="D176" s="2" t="s">
        <v>178</v>
      </c>
      <c r="E176" s="2" t="s">
        <v>179</v>
      </c>
      <c r="F176" s="2" t="s">
        <v>180</v>
      </c>
    </row>
    <row r="177" spans="1:6" ht="16" x14ac:dyDescent="0.2">
      <c r="A177" s="2" t="s">
        <v>640</v>
      </c>
      <c r="B177" s="2" t="s">
        <v>641</v>
      </c>
      <c r="C177" s="2" t="s">
        <v>90</v>
      </c>
      <c r="D177" s="2" t="s">
        <v>241</v>
      </c>
      <c r="E177" s="2" t="s">
        <v>242</v>
      </c>
      <c r="F177" s="2" t="s">
        <v>243</v>
      </c>
    </row>
    <row r="178" spans="1:6" ht="32" x14ac:dyDescent="0.2">
      <c r="A178" s="2" t="s">
        <v>642</v>
      </c>
      <c r="B178" s="2" t="s">
        <v>643</v>
      </c>
      <c r="C178" s="2" t="s">
        <v>644</v>
      </c>
      <c r="D178" s="2" t="s">
        <v>161</v>
      </c>
      <c r="E178" s="2" t="s">
        <v>162</v>
      </c>
      <c r="F178" s="2" t="s">
        <v>163</v>
      </c>
    </row>
    <row r="179" spans="1:6" ht="16" x14ac:dyDescent="0.2">
      <c r="A179" s="2" t="s">
        <v>645</v>
      </c>
      <c r="B179" s="2" t="s">
        <v>646</v>
      </c>
      <c r="C179" s="2" t="s">
        <v>91</v>
      </c>
      <c r="D179" s="2" t="s">
        <v>241</v>
      </c>
      <c r="E179" s="2" t="s">
        <v>242</v>
      </c>
      <c r="F179" s="2" t="s">
        <v>243</v>
      </c>
    </row>
    <row r="180" spans="1:6" ht="32" x14ac:dyDescent="0.2">
      <c r="A180" s="2" t="s">
        <v>647</v>
      </c>
      <c r="B180" s="2" t="s">
        <v>648</v>
      </c>
      <c r="C180" s="2" t="s">
        <v>649</v>
      </c>
      <c r="D180" s="2" t="s">
        <v>202</v>
      </c>
      <c r="E180" s="2" t="s">
        <v>203</v>
      </c>
      <c r="F180" s="2" t="s">
        <v>204</v>
      </c>
    </row>
    <row r="181" spans="1:6" ht="16" x14ac:dyDescent="0.2">
      <c r="A181" s="2" t="s">
        <v>650</v>
      </c>
      <c r="B181" s="2" t="s">
        <v>651</v>
      </c>
      <c r="C181" s="2" t="s">
        <v>92</v>
      </c>
      <c r="D181" s="2" t="s">
        <v>155</v>
      </c>
      <c r="E181" s="2" t="s">
        <v>156</v>
      </c>
      <c r="F181" s="2" t="s">
        <v>157</v>
      </c>
    </row>
    <row r="182" spans="1:6" ht="16" x14ac:dyDescent="0.2">
      <c r="A182" s="2" t="s">
        <v>652</v>
      </c>
      <c r="B182" s="2" t="s">
        <v>653</v>
      </c>
      <c r="C182" s="2" t="s">
        <v>93</v>
      </c>
      <c r="D182" s="2" t="s">
        <v>302</v>
      </c>
      <c r="E182" s="2" t="s">
        <v>303</v>
      </c>
      <c r="F182" s="2" t="s">
        <v>304</v>
      </c>
    </row>
    <row r="183" spans="1:6" ht="32" x14ac:dyDescent="0.2">
      <c r="A183" s="2" t="s">
        <v>654</v>
      </c>
      <c r="B183" s="2" t="s">
        <v>655</v>
      </c>
      <c r="C183" s="2" t="s">
        <v>656</v>
      </c>
      <c r="D183" s="2" t="s">
        <v>178</v>
      </c>
      <c r="E183" s="2" t="s">
        <v>179</v>
      </c>
      <c r="F183" s="2" t="s">
        <v>180</v>
      </c>
    </row>
    <row r="184" spans="1:6" ht="16" x14ac:dyDescent="0.2">
      <c r="A184" s="2" t="s">
        <v>657</v>
      </c>
      <c r="B184" s="2" t="s">
        <v>658</v>
      </c>
      <c r="C184" s="2" t="s">
        <v>659</v>
      </c>
      <c r="D184" s="2" t="s">
        <v>155</v>
      </c>
      <c r="E184" s="2" t="s">
        <v>156</v>
      </c>
      <c r="F184" s="2" t="s">
        <v>157</v>
      </c>
    </row>
    <row r="185" spans="1:6" ht="16" x14ac:dyDescent="0.2">
      <c r="A185" s="2" t="s">
        <v>660</v>
      </c>
      <c r="B185" s="2" t="s">
        <v>661</v>
      </c>
      <c r="C185" s="2" t="s">
        <v>662</v>
      </c>
      <c r="D185" s="2" t="s">
        <v>392</v>
      </c>
      <c r="E185" s="2" t="s">
        <v>393</v>
      </c>
      <c r="F185" s="2" t="s">
        <v>59</v>
      </c>
    </row>
    <row r="186" spans="1:6" ht="32" x14ac:dyDescent="0.2">
      <c r="A186" s="2" t="s">
        <v>663</v>
      </c>
      <c r="B186" s="2" t="s">
        <v>664</v>
      </c>
      <c r="C186" s="2" t="s">
        <v>665</v>
      </c>
      <c r="D186" s="2" t="s">
        <v>202</v>
      </c>
      <c r="E186" s="2" t="s">
        <v>203</v>
      </c>
      <c r="F186" s="2" t="s">
        <v>204</v>
      </c>
    </row>
    <row r="187" spans="1:6" ht="32" x14ac:dyDescent="0.2">
      <c r="A187" s="2" t="s">
        <v>666</v>
      </c>
      <c r="B187" s="2" t="s">
        <v>667</v>
      </c>
      <c r="C187" s="2" t="s">
        <v>668</v>
      </c>
      <c r="D187" s="2" t="s">
        <v>178</v>
      </c>
      <c r="E187" s="2" t="s">
        <v>179</v>
      </c>
      <c r="F187" s="2" t="s">
        <v>180</v>
      </c>
    </row>
    <row r="188" spans="1:6" ht="16" x14ac:dyDescent="0.2">
      <c r="A188" s="2" t="s">
        <v>669</v>
      </c>
      <c r="B188" s="2" t="s">
        <v>670</v>
      </c>
      <c r="C188" s="2" t="s">
        <v>671</v>
      </c>
      <c r="D188" s="2" t="s">
        <v>166</v>
      </c>
      <c r="E188" s="2" t="s">
        <v>167</v>
      </c>
      <c r="F188" s="2" t="s">
        <v>168</v>
      </c>
    </row>
    <row r="189" spans="1:6" ht="16" x14ac:dyDescent="0.2">
      <c r="A189" s="2" t="s">
        <v>672</v>
      </c>
      <c r="B189" s="2" t="s">
        <v>673</v>
      </c>
      <c r="C189" s="2" t="s">
        <v>674</v>
      </c>
      <c r="D189" s="2" t="s">
        <v>213</v>
      </c>
      <c r="E189" s="2" t="s">
        <v>214</v>
      </c>
      <c r="F189" s="2" t="s">
        <v>120</v>
      </c>
    </row>
    <row r="190" spans="1:6" ht="16" x14ac:dyDescent="0.2">
      <c r="A190" s="2" t="s">
        <v>675</v>
      </c>
      <c r="B190" s="2" t="s">
        <v>676</v>
      </c>
      <c r="C190" s="2" t="s">
        <v>677</v>
      </c>
      <c r="D190" s="2" t="s">
        <v>241</v>
      </c>
      <c r="E190" s="2" t="s">
        <v>242</v>
      </c>
      <c r="F190" s="2" t="s">
        <v>243</v>
      </c>
    </row>
    <row r="191" spans="1:6" ht="16" x14ac:dyDescent="0.2">
      <c r="A191" s="2" t="s">
        <v>678</v>
      </c>
      <c r="B191" s="2" t="s">
        <v>679</v>
      </c>
      <c r="C191" s="2" t="s">
        <v>680</v>
      </c>
      <c r="D191" s="2" t="s">
        <v>166</v>
      </c>
      <c r="E191" s="2" t="s">
        <v>167</v>
      </c>
      <c r="F191" s="2" t="s">
        <v>168</v>
      </c>
    </row>
    <row r="192" spans="1:6" ht="16" x14ac:dyDescent="0.2">
      <c r="A192" s="2" t="s">
        <v>681</v>
      </c>
      <c r="B192" s="2" t="s">
        <v>682</v>
      </c>
      <c r="C192" s="2" t="s">
        <v>683</v>
      </c>
      <c r="D192" s="2" t="s">
        <v>241</v>
      </c>
      <c r="E192" s="2" t="s">
        <v>242</v>
      </c>
      <c r="F192" s="2" t="s">
        <v>243</v>
      </c>
    </row>
    <row r="193" spans="1:6" ht="16" x14ac:dyDescent="0.2">
      <c r="A193" s="2" t="s">
        <v>684</v>
      </c>
      <c r="B193" s="2" t="s">
        <v>685</v>
      </c>
      <c r="C193" s="2" t="s">
        <v>686</v>
      </c>
      <c r="D193" s="2" t="s">
        <v>213</v>
      </c>
      <c r="E193" s="2" t="s">
        <v>214</v>
      </c>
      <c r="F193" s="2" t="s">
        <v>120</v>
      </c>
    </row>
    <row r="194" spans="1:6" ht="32" x14ac:dyDescent="0.2">
      <c r="A194" s="2" t="s">
        <v>687</v>
      </c>
      <c r="B194" s="2" t="s">
        <v>688</v>
      </c>
      <c r="C194" s="2" t="s">
        <v>689</v>
      </c>
      <c r="D194" s="2" t="s">
        <v>178</v>
      </c>
      <c r="E194" s="2" t="s">
        <v>179</v>
      </c>
      <c r="F194" s="2" t="s">
        <v>180</v>
      </c>
    </row>
    <row r="195" spans="1:6" ht="16" x14ac:dyDescent="0.2">
      <c r="A195" s="2" t="s">
        <v>690</v>
      </c>
      <c r="B195" s="2" t="s">
        <v>691</v>
      </c>
      <c r="C195" s="2" t="s">
        <v>94</v>
      </c>
      <c r="D195" s="2" t="s">
        <v>166</v>
      </c>
      <c r="E195" s="2" t="s">
        <v>167</v>
      </c>
      <c r="F195" s="2" t="s">
        <v>168</v>
      </c>
    </row>
    <row r="196" spans="1:6" ht="16" x14ac:dyDescent="0.2">
      <c r="A196" s="2" t="s">
        <v>692</v>
      </c>
      <c r="B196" s="2" t="s">
        <v>693</v>
      </c>
      <c r="C196" s="2" t="s">
        <v>95</v>
      </c>
      <c r="D196" s="2" t="s">
        <v>166</v>
      </c>
      <c r="E196" s="2" t="s">
        <v>167</v>
      </c>
      <c r="F196" s="2" t="s">
        <v>168</v>
      </c>
    </row>
    <row r="197" spans="1:6" ht="32" x14ac:dyDescent="0.2">
      <c r="A197" s="2" t="s">
        <v>694</v>
      </c>
      <c r="B197" s="2" t="s">
        <v>695</v>
      </c>
      <c r="C197" s="2" t="s">
        <v>696</v>
      </c>
      <c r="D197" s="2" t="s">
        <v>178</v>
      </c>
      <c r="E197" s="2" t="s">
        <v>179</v>
      </c>
      <c r="F197" s="2" t="s">
        <v>180</v>
      </c>
    </row>
    <row r="198" spans="1:6" ht="16" x14ac:dyDescent="0.2">
      <c r="A198" s="2" t="s">
        <v>697</v>
      </c>
      <c r="B198" s="2" t="s">
        <v>698</v>
      </c>
      <c r="C198" s="2" t="s">
        <v>699</v>
      </c>
      <c r="D198" s="2" t="s">
        <v>172</v>
      </c>
      <c r="E198" s="2" t="s">
        <v>173</v>
      </c>
      <c r="F198" s="2" t="s">
        <v>174</v>
      </c>
    </row>
    <row r="199" spans="1:6" ht="16" x14ac:dyDescent="0.2">
      <c r="A199" s="2" t="s">
        <v>700</v>
      </c>
      <c r="B199" s="2" t="s">
        <v>701</v>
      </c>
      <c r="C199" s="2" t="s">
        <v>702</v>
      </c>
      <c r="D199" s="2" t="s">
        <v>302</v>
      </c>
      <c r="E199" s="2" t="s">
        <v>303</v>
      </c>
      <c r="F199" s="2" t="s">
        <v>304</v>
      </c>
    </row>
    <row r="200" spans="1:6" ht="16" x14ac:dyDescent="0.2">
      <c r="A200" s="2" t="s">
        <v>703</v>
      </c>
      <c r="B200" s="2" t="s">
        <v>704</v>
      </c>
      <c r="C200" s="2" t="s">
        <v>705</v>
      </c>
      <c r="D200" s="2" t="s">
        <v>155</v>
      </c>
      <c r="E200" s="2" t="s">
        <v>156</v>
      </c>
      <c r="F200" s="2" t="s">
        <v>157</v>
      </c>
    </row>
    <row r="201" spans="1:6" ht="16" x14ac:dyDescent="0.2">
      <c r="A201" s="2" t="s">
        <v>706</v>
      </c>
      <c r="B201" s="2" t="s">
        <v>707</v>
      </c>
      <c r="C201" s="2" t="s">
        <v>708</v>
      </c>
      <c r="D201" s="2" t="s">
        <v>194</v>
      </c>
      <c r="E201" s="2" t="s">
        <v>195</v>
      </c>
      <c r="F201" s="2" t="s">
        <v>196</v>
      </c>
    </row>
    <row r="202" spans="1:6" ht="32" x14ac:dyDescent="0.2">
      <c r="A202" s="2" t="s">
        <v>709</v>
      </c>
      <c r="B202" s="2" t="s">
        <v>710</v>
      </c>
      <c r="C202" s="2" t="s">
        <v>711</v>
      </c>
      <c r="D202" s="2" t="s">
        <v>178</v>
      </c>
      <c r="E202" s="2" t="s">
        <v>179</v>
      </c>
      <c r="F202" s="2" t="s">
        <v>180</v>
      </c>
    </row>
    <row r="203" spans="1:6" ht="32" x14ac:dyDescent="0.2">
      <c r="A203" s="2" t="s">
        <v>712</v>
      </c>
      <c r="B203" s="2" t="s">
        <v>713</v>
      </c>
      <c r="C203" s="2" t="s">
        <v>714</v>
      </c>
      <c r="D203" s="2" t="s">
        <v>202</v>
      </c>
      <c r="E203" s="2" t="s">
        <v>203</v>
      </c>
      <c r="F203" s="2" t="s">
        <v>204</v>
      </c>
    </row>
    <row r="204" spans="1:6" ht="16" x14ac:dyDescent="0.2">
      <c r="A204" s="2" t="s">
        <v>715</v>
      </c>
      <c r="B204" s="2" t="s">
        <v>716</v>
      </c>
      <c r="C204" s="2" t="s">
        <v>96</v>
      </c>
      <c r="D204" s="2" t="s">
        <v>166</v>
      </c>
      <c r="E204" s="2" t="s">
        <v>167</v>
      </c>
      <c r="F204" s="2" t="s">
        <v>168</v>
      </c>
    </row>
    <row r="205" spans="1:6" ht="32" x14ac:dyDescent="0.2">
      <c r="A205" s="2" t="s">
        <v>717</v>
      </c>
      <c r="B205" s="2" t="s">
        <v>718</v>
      </c>
      <c r="C205" s="2" t="s">
        <v>719</v>
      </c>
      <c r="D205" s="2" t="s">
        <v>178</v>
      </c>
      <c r="E205" s="2" t="s">
        <v>179</v>
      </c>
      <c r="F205" s="2" t="s">
        <v>180</v>
      </c>
    </row>
    <row r="206" spans="1:6" ht="32" x14ac:dyDescent="0.2">
      <c r="A206" s="2" t="s">
        <v>720</v>
      </c>
      <c r="B206" s="2" t="s">
        <v>721</v>
      </c>
      <c r="C206" s="2" t="s">
        <v>722</v>
      </c>
      <c r="D206" s="2" t="s">
        <v>202</v>
      </c>
      <c r="E206" s="2" t="s">
        <v>203</v>
      </c>
      <c r="F206" s="2" t="s">
        <v>204</v>
      </c>
    </row>
    <row r="207" spans="1:6" ht="32" x14ac:dyDescent="0.2">
      <c r="A207" s="2" t="s">
        <v>723</v>
      </c>
      <c r="B207" s="2" t="s">
        <v>724</v>
      </c>
      <c r="C207" s="2" t="s">
        <v>98</v>
      </c>
      <c r="D207" s="2" t="s">
        <v>202</v>
      </c>
      <c r="E207" s="2" t="s">
        <v>203</v>
      </c>
      <c r="F207" s="2" t="s">
        <v>204</v>
      </c>
    </row>
    <row r="208" spans="1:6" ht="16" x14ac:dyDescent="0.2">
      <c r="A208" s="2" t="s">
        <v>725</v>
      </c>
      <c r="B208" s="2" t="s">
        <v>726</v>
      </c>
      <c r="C208" s="2" t="s">
        <v>727</v>
      </c>
      <c r="D208" s="2" t="s">
        <v>392</v>
      </c>
      <c r="E208" s="2" t="s">
        <v>393</v>
      </c>
      <c r="F208" s="2" t="s">
        <v>59</v>
      </c>
    </row>
    <row r="209" spans="1:6" ht="16" x14ac:dyDescent="0.2">
      <c r="A209" s="2" t="s">
        <v>728</v>
      </c>
      <c r="B209" s="2" t="s">
        <v>729</v>
      </c>
      <c r="C209" s="2" t="s">
        <v>730</v>
      </c>
      <c r="D209" s="2" t="s">
        <v>166</v>
      </c>
      <c r="E209" s="2" t="s">
        <v>167</v>
      </c>
      <c r="F209" s="2" t="s">
        <v>168</v>
      </c>
    </row>
    <row r="210" spans="1:6" ht="16" x14ac:dyDescent="0.2">
      <c r="A210" s="2" t="s">
        <v>731</v>
      </c>
      <c r="B210" s="2" t="s">
        <v>732</v>
      </c>
      <c r="C210" s="2" t="s">
        <v>99</v>
      </c>
      <c r="D210" s="2" t="s">
        <v>188</v>
      </c>
      <c r="E210" s="2" t="s">
        <v>189</v>
      </c>
      <c r="F210" s="2" t="s">
        <v>190</v>
      </c>
    </row>
    <row r="211" spans="1:6" ht="16" x14ac:dyDescent="0.2">
      <c r="A211" s="2" t="s">
        <v>733</v>
      </c>
      <c r="B211" s="2" t="s">
        <v>734</v>
      </c>
      <c r="C211" s="2" t="s">
        <v>735</v>
      </c>
      <c r="D211" s="2" t="s">
        <v>188</v>
      </c>
      <c r="E211" s="2" t="s">
        <v>189</v>
      </c>
      <c r="F211" s="2" t="s">
        <v>190</v>
      </c>
    </row>
    <row r="212" spans="1:6" ht="16" x14ac:dyDescent="0.2">
      <c r="A212" s="2" t="s">
        <v>736</v>
      </c>
      <c r="B212" s="2" t="s">
        <v>737</v>
      </c>
      <c r="C212" s="2" t="s">
        <v>100</v>
      </c>
      <c r="D212" s="2" t="s">
        <v>188</v>
      </c>
      <c r="E212" s="2" t="s">
        <v>189</v>
      </c>
      <c r="F212" s="2" t="s">
        <v>190</v>
      </c>
    </row>
    <row r="213" spans="1:6" ht="16" x14ac:dyDescent="0.2">
      <c r="A213" s="2" t="s">
        <v>738</v>
      </c>
      <c r="B213" s="2" t="s">
        <v>739</v>
      </c>
      <c r="C213" s="2" t="s">
        <v>740</v>
      </c>
      <c r="D213" s="2" t="s">
        <v>166</v>
      </c>
      <c r="E213" s="2" t="s">
        <v>167</v>
      </c>
      <c r="F213" s="2" t="s">
        <v>168</v>
      </c>
    </row>
    <row r="214" spans="1:6" ht="32" x14ac:dyDescent="0.2">
      <c r="A214" s="2" t="s">
        <v>741</v>
      </c>
      <c r="B214" s="2" t="s">
        <v>742</v>
      </c>
      <c r="C214" s="2" t="s">
        <v>743</v>
      </c>
      <c r="D214" s="2" t="s">
        <v>202</v>
      </c>
      <c r="E214" s="2" t="s">
        <v>203</v>
      </c>
      <c r="F214" s="2" t="s">
        <v>204</v>
      </c>
    </row>
    <row r="215" spans="1:6" ht="16" x14ac:dyDescent="0.2">
      <c r="A215" s="2" t="s">
        <v>744</v>
      </c>
      <c r="B215" s="2" t="s">
        <v>745</v>
      </c>
      <c r="C215" s="2" t="s">
        <v>746</v>
      </c>
      <c r="D215" s="2" t="s">
        <v>172</v>
      </c>
      <c r="E215" s="2" t="s">
        <v>173</v>
      </c>
      <c r="F215" s="2" t="s">
        <v>174</v>
      </c>
    </row>
    <row r="216" spans="1:6" ht="32" x14ac:dyDescent="0.2">
      <c r="A216" s="2" t="s">
        <v>747</v>
      </c>
      <c r="B216" s="2" t="s">
        <v>748</v>
      </c>
      <c r="C216" s="2" t="s">
        <v>749</v>
      </c>
      <c r="D216" s="2" t="s">
        <v>161</v>
      </c>
      <c r="E216" s="2" t="s">
        <v>162</v>
      </c>
      <c r="F216" s="2" t="s">
        <v>163</v>
      </c>
    </row>
    <row r="217" spans="1:6" ht="32" x14ac:dyDescent="0.2">
      <c r="A217" s="2" t="s">
        <v>750</v>
      </c>
      <c r="B217" s="2" t="s">
        <v>751</v>
      </c>
      <c r="C217" s="2" t="s">
        <v>752</v>
      </c>
      <c r="D217" s="2" t="s">
        <v>161</v>
      </c>
      <c r="E217" s="2" t="s">
        <v>162</v>
      </c>
      <c r="F217" s="2" t="s">
        <v>163</v>
      </c>
    </row>
    <row r="218" spans="1:6" ht="16" x14ac:dyDescent="0.2">
      <c r="A218" s="2" t="s">
        <v>753</v>
      </c>
      <c r="B218" s="2" t="s">
        <v>754</v>
      </c>
      <c r="C218" s="2" t="s">
        <v>755</v>
      </c>
      <c r="D218" s="2" t="s">
        <v>172</v>
      </c>
      <c r="E218" s="2" t="s">
        <v>173</v>
      </c>
      <c r="F218" s="2" t="s">
        <v>174</v>
      </c>
    </row>
    <row r="219" spans="1:6" ht="32" x14ac:dyDescent="0.2">
      <c r="A219" s="2" t="s">
        <v>756</v>
      </c>
      <c r="B219" s="2" t="s">
        <v>757</v>
      </c>
      <c r="C219" s="2" t="s">
        <v>101</v>
      </c>
      <c r="D219" s="2" t="s">
        <v>202</v>
      </c>
      <c r="E219" s="2" t="s">
        <v>203</v>
      </c>
      <c r="F219" s="2" t="s">
        <v>204</v>
      </c>
    </row>
    <row r="220" spans="1:6" ht="16" x14ac:dyDescent="0.2">
      <c r="A220" s="2" t="s">
        <v>758</v>
      </c>
      <c r="B220" s="2" t="s">
        <v>759</v>
      </c>
      <c r="C220" s="2" t="s">
        <v>760</v>
      </c>
      <c r="D220" s="2" t="s">
        <v>166</v>
      </c>
      <c r="E220" s="2" t="s">
        <v>167</v>
      </c>
      <c r="F220" s="2" t="s">
        <v>168</v>
      </c>
    </row>
    <row r="221" spans="1:6" ht="32" x14ac:dyDescent="0.2">
      <c r="A221" s="2" t="s">
        <v>761</v>
      </c>
      <c r="B221" s="2" t="s">
        <v>762</v>
      </c>
      <c r="C221" s="2" t="s">
        <v>763</v>
      </c>
      <c r="D221" s="2" t="s">
        <v>161</v>
      </c>
      <c r="E221" s="2" t="s">
        <v>162</v>
      </c>
      <c r="F221" s="2" t="s">
        <v>163</v>
      </c>
    </row>
    <row r="222" spans="1:6" ht="16" x14ac:dyDescent="0.2">
      <c r="A222" s="2" t="s">
        <v>764</v>
      </c>
      <c r="B222" s="2" t="s">
        <v>765</v>
      </c>
      <c r="C222" s="2" t="s">
        <v>766</v>
      </c>
      <c r="D222" s="2" t="s">
        <v>213</v>
      </c>
      <c r="E222" s="2" t="s">
        <v>214</v>
      </c>
      <c r="F222" s="2" t="s">
        <v>120</v>
      </c>
    </row>
    <row r="223" spans="1:6" ht="16" x14ac:dyDescent="0.2">
      <c r="A223" s="2" t="s">
        <v>767</v>
      </c>
      <c r="B223" s="2" t="s">
        <v>768</v>
      </c>
      <c r="C223" s="2" t="s">
        <v>769</v>
      </c>
      <c r="D223" s="2" t="s">
        <v>166</v>
      </c>
      <c r="E223" s="2" t="s">
        <v>167</v>
      </c>
      <c r="F223" s="2" t="s">
        <v>168</v>
      </c>
    </row>
    <row r="224" spans="1:6" ht="32" x14ac:dyDescent="0.2">
      <c r="A224" s="2" t="s">
        <v>770</v>
      </c>
      <c r="B224" s="2" t="s">
        <v>771</v>
      </c>
      <c r="C224" s="2" t="s">
        <v>772</v>
      </c>
      <c r="D224" s="2" t="s">
        <v>178</v>
      </c>
      <c r="E224" s="2" t="s">
        <v>179</v>
      </c>
      <c r="F224" s="2" t="s">
        <v>180</v>
      </c>
    </row>
    <row r="225" spans="1:6" ht="16" x14ac:dyDescent="0.2">
      <c r="A225" s="2" t="s">
        <v>773</v>
      </c>
      <c r="B225" s="2" t="s">
        <v>774</v>
      </c>
      <c r="C225" s="2" t="s">
        <v>775</v>
      </c>
      <c r="D225" s="2" t="s">
        <v>241</v>
      </c>
      <c r="E225" s="2" t="s">
        <v>242</v>
      </c>
      <c r="F225" s="2" t="s">
        <v>243</v>
      </c>
    </row>
    <row r="226" spans="1:6" ht="16" x14ac:dyDescent="0.2">
      <c r="A226" s="2" t="s">
        <v>776</v>
      </c>
      <c r="B226" s="2" t="s">
        <v>777</v>
      </c>
      <c r="C226" s="2" t="s">
        <v>778</v>
      </c>
      <c r="D226" s="2" t="s">
        <v>392</v>
      </c>
      <c r="E226" s="2" t="s">
        <v>393</v>
      </c>
      <c r="F226" s="2" t="s">
        <v>59</v>
      </c>
    </row>
    <row r="227" spans="1:6" ht="32" x14ac:dyDescent="0.2">
      <c r="A227" s="2" t="s">
        <v>779</v>
      </c>
      <c r="B227" s="2" t="s">
        <v>780</v>
      </c>
      <c r="C227" s="2" t="s">
        <v>781</v>
      </c>
      <c r="D227" s="2" t="s">
        <v>178</v>
      </c>
      <c r="E227" s="2" t="s">
        <v>179</v>
      </c>
      <c r="F227" s="2" t="s">
        <v>180</v>
      </c>
    </row>
    <row r="228" spans="1:6" ht="32" x14ac:dyDescent="0.2">
      <c r="A228" s="2" t="s">
        <v>782</v>
      </c>
      <c r="B228" s="2" t="s">
        <v>783</v>
      </c>
      <c r="C228" s="2" t="s">
        <v>102</v>
      </c>
      <c r="D228" s="2" t="s">
        <v>161</v>
      </c>
      <c r="E228" s="2" t="s">
        <v>162</v>
      </c>
      <c r="F228" s="2" t="s">
        <v>163</v>
      </c>
    </row>
    <row r="229" spans="1:6" ht="16" x14ac:dyDescent="0.2">
      <c r="A229" s="2" t="s">
        <v>784</v>
      </c>
      <c r="B229" s="2" t="s">
        <v>785</v>
      </c>
      <c r="C229" s="2" t="s">
        <v>103</v>
      </c>
      <c r="D229" s="2" t="s">
        <v>166</v>
      </c>
      <c r="E229" s="2" t="s">
        <v>167</v>
      </c>
      <c r="F229" s="2" t="s">
        <v>168</v>
      </c>
    </row>
    <row r="230" spans="1:6" ht="16" x14ac:dyDescent="0.2">
      <c r="A230" s="2" t="s">
        <v>786</v>
      </c>
      <c r="B230" s="2" t="s">
        <v>787</v>
      </c>
      <c r="C230" s="2" t="s">
        <v>104</v>
      </c>
      <c r="D230" s="2" t="s">
        <v>188</v>
      </c>
      <c r="E230" s="2" t="s">
        <v>189</v>
      </c>
      <c r="F230" s="2" t="s">
        <v>190</v>
      </c>
    </row>
    <row r="231" spans="1:6" ht="16" x14ac:dyDescent="0.2">
      <c r="A231" s="2" t="s">
        <v>788</v>
      </c>
      <c r="B231" s="2" t="s">
        <v>789</v>
      </c>
      <c r="C231" s="2" t="s">
        <v>790</v>
      </c>
      <c r="D231" s="2" t="s">
        <v>302</v>
      </c>
      <c r="E231" s="2" t="s">
        <v>303</v>
      </c>
      <c r="F231" s="2" t="s">
        <v>304</v>
      </c>
    </row>
    <row r="232" spans="1:6" ht="16" x14ac:dyDescent="0.2">
      <c r="A232" s="2" t="s">
        <v>791</v>
      </c>
      <c r="B232" s="2" t="s">
        <v>792</v>
      </c>
      <c r="C232" s="2" t="s">
        <v>793</v>
      </c>
      <c r="D232" s="2" t="s">
        <v>166</v>
      </c>
      <c r="E232" s="2" t="s">
        <v>167</v>
      </c>
      <c r="F232" s="2" t="s">
        <v>168</v>
      </c>
    </row>
    <row r="233" spans="1:6" ht="16" x14ac:dyDescent="0.2">
      <c r="A233" s="2" t="s">
        <v>794</v>
      </c>
      <c r="B233" s="2" t="s">
        <v>795</v>
      </c>
      <c r="C233" s="2" t="s">
        <v>796</v>
      </c>
      <c r="D233" s="2" t="s">
        <v>213</v>
      </c>
      <c r="E233" s="2" t="s">
        <v>214</v>
      </c>
      <c r="F233" s="2" t="s">
        <v>120</v>
      </c>
    </row>
    <row r="234" spans="1:6" ht="32" x14ac:dyDescent="0.2">
      <c r="A234" s="2" t="s">
        <v>797</v>
      </c>
      <c r="B234" s="2" t="s">
        <v>798</v>
      </c>
      <c r="C234" s="2" t="s">
        <v>799</v>
      </c>
      <c r="D234" s="2" t="s">
        <v>202</v>
      </c>
      <c r="E234" s="2" t="s">
        <v>203</v>
      </c>
      <c r="F234" s="2" t="s">
        <v>204</v>
      </c>
    </row>
    <row r="235" spans="1:6" ht="16" x14ac:dyDescent="0.2">
      <c r="A235" s="2" t="s">
        <v>800</v>
      </c>
      <c r="B235" s="2" t="s">
        <v>801</v>
      </c>
      <c r="C235" s="2" t="s">
        <v>105</v>
      </c>
      <c r="D235" s="2" t="s">
        <v>166</v>
      </c>
      <c r="E235" s="2" t="s">
        <v>167</v>
      </c>
      <c r="F235" s="2" t="s">
        <v>168</v>
      </c>
    </row>
    <row r="236" spans="1:6" ht="16" x14ac:dyDescent="0.2">
      <c r="A236" s="2" t="s">
        <v>802</v>
      </c>
      <c r="B236" s="2" t="s">
        <v>803</v>
      </c>
      <c r="C236" s="2" t="s">
        <v>106</v>
      </c>
      <c r="D236" s="2" t="s">
        <v>213</v>
      </c>
      <c r="E236" s="2" t="s">
        <v>214</v>
      </c>
      <c r="F236" s="2" t="s">
        <v>120</v>
      </c>
    </row>
    <row r="237" spans="1:6" ht="32" x14ac:dyDescent="0.2">
      <c r="A237" s="2" t="s">
        <v>804</v>
      </c>
      <c r="B237" s="2" t="s">
        <v>805</v>
      </c>
      <c r="C237" s="2" t="s">
        <v>806</v>
      </c>
      <c r="D237" s="2" t="s">
        <v>178</v>
      </c>
      <c r="E237" s="2" t="s">
        <v>179</v>
      </c>
      <c r="F237" s="2" t="s">
        <v>180</v>
      </c>
    </row>
    <row r="238" spans="1:6" ht="16" x14ac:dyDescent="0.2">
      <c r="A238" s="2" t="s">
        <v>807</v>
      </c>
      <c r="B238" s="2" t="s">
        <v>808</v>
      </c>
      <c r="C238" s="2" t="s">
        <v>809</v>
      </c>
      <c r="D238" s="2" t="s">
        <v>188</v>
      </c>
      <c r="E238" s="2" t="s">
        <v>189</v>
      </c>
      <c r="F238" s="2" t="s">
        <v>190</v>
      </c>
    </row>
    <row r="239" spans="1:6" ht="32" x14ac:dyDescent="0.2">
      <c r="A239" s="2" t="s">
        <v>810</v>
      </c>
      <c r="B239" s="2" t="s">
        <v>811</v>
      </c>
      <c r="C239" s="2" t="s">
        <v>107</v>
      </c>
      <c r="D239" s="2" t="s">
        <v>178</v>
      </c>
      <c r="E239" s="2" t="s">
        <v>179</v>
      </c>
      <c r="F239" s="2" t="s">
        <v>180</v>
      </c>
    </row>
    <row r="240" spans="1:6" ht="16" x14ac:dyDescent="0.2">
      <c r="A240" s="2" t="s">
        <v>812</v>
      </c>
      <c r="B240" s="2" t="s">
        <v>813</v>
      </c>
      <c r="C240" s="2" t="s">
        <v>814</v>
      </c>
      <c r="D240" s="2" t="s">
        <v>241</v>
      </c>
      <c r="E240" s="2" t="s">
        <v>242</v>
      </c>
      <c r="F240" s="2" t="s">
        <v>243</v>
      </c>
    </row>
    <row r="241" spans="1:6" ht="16" x14ac:dyDescent="0.2">
      <c r="A241" s="2" t="s">
        <v>815</v>
      </c>
      <c r="B241" s="2" t="s">
        <v>816</v>
      </c>
      <c r="C241" s="2" t="s">
        <v>108</v>
      </c>
      <c r="D241" s="2" t="s">
        <v>241</v>
      </c>
      <c r="E241" s="2" t="s">
        <v>242</v>
      </c>
      <c r="F241" s="2" t="s">
        <v>243</v>
      </c>
    </row>
    <row r="242" spans="1:6" ht="16" x14ac:dyDescent="0.2">
      <c r="A242" s="2" t="s">
        <v>817</v>
      </c>
      <c r="B242" s="2" t="s">
        <v>818</v>
      </c>
      <c r="C242" s="2" t="s">
        <v>819</v>
      </c>
      <c r="D242" s="2" t="s">
        <v>213</v>
      </c>
      <c r="E242" s="2" t="s">
        <v>214</v>
      </c>
      <c r="F242" s="2" t="s">
        <v>120</v>
      </c>
    </row>
    <row r="243" spans="1:6" ht="32" x14ac:dyDescent="0.2">
      <c r="A243" s="2" t="s">
        <v>820</v>
      </c>
      <c r="B243" s="2" t="s">
        <v>821</v>
      </c>
      <c r="C243" s="2" t="s">
        <v>109</v>
      </c>
      <c r="D243" s="2" t="s">
        <v>202</v>
      </c>
      <c r="E243" s="2" t="s">
        <v>203</v>
      </c>
      <c r="F243" s="2" t="s">
        <v>204</v>
      </c>
    </row>
    <row r="244" spans="1:6" ht="32" x14ac:dyDescent="0.2">
      <c r="A244" s="2" t="s">
        <v>822</v>
      </c>
      <c r="B244" s="2" t="s">
        <v>823</v>
      </c>
      <c r="C244" s="2" t="s">
        <v>110</v>
      </c>
      <c r="D244" s="2" t="s">
        <v>178</v>
      </c>
      <c r="E244" s="2" t="s">
        <v>179</v>
      </c>
      <c r="F244" s="2" t="s">
        <v>180</v>
      </c>
    </row>
    <row r="245" spans="1:6" ht="16" x14ac:dyDescent="0.2">
      <c r="A245" s="2" t="s">
        <v>824</v>
      </c>
      <c r="B245" s="2" t="s">
        <v>825</v>
      </c>
      <c r="C245" s="2" t="s">
        <v>826</v>
      </c>
      <c r="D245" s="2" t="s">
        <v>166</v>
      </c>
      <c r="E245" s="2" t="s">
        <v>167</v>
      </c>
      <c r="F245" s="2" t="s">
        <v>168</v>
      </c>
    </row>
    <row r="246" spans="1:6" ht="32" x14ac:dyDescent="0.2">
      <c r="A246" s="2" t="s">
        <v>827</v>
      </c>
      <c r="B246" s="2" t="s">
        <v>828</v>
      </c>
      <c r="C246" s="2" t="s">
        <v>829</v>
      </c>
      <c r="D246" s="2" t="s">
        <v>202</v>
      </c>
      <c r="E246" s="2" t="s">
        <v>203</v>
      </c>
      <c r="F246" s="2" t="s">
        <v>204</v>
      </c>
    </row>
    <row r="247" spans="1:6" ht="32" x14ac:dyDescent="0.2">
      <c r="A247" s="2" t="s">
        <v>830</v>
      </c>
      <c r="B247" s="2" t="s">
        <v>831</v>
      </c>
      <c r="C247" s="2" t="s">
        <v>111</v>
      </c>
      <c r="D247" s="2" t="s">
        <v>161</v>
      </c>
      <c r="E247" s="2" t="s">
        <v>162</v>
      </c>
      <c r="F247" s="2" t="s">
        <v>163</v>
      </c>
    </row>
    <row r="248" spans="1:6" ht="16" x14ac:dyDescent="0.2">
      <c r="A248" s="2" t="s">
        <v>832</v>
      </c>
      <c r="B248" s="2" t="s">
        <v>833</v>
      </c>
      <c r="C248" s="2" t="s">
        <v>834</v>
      </c>
      <c r="D248" s="2" t="s">
        <v>166</v>
      </c>
      <c r="E248" s="2" t="s">
        <v>167</v>
      </c>
      <c r="F248" s="2" t="s">
        <v>168</v>
      </c>
    </row>
    <row r="249" spans="1:6" ht="32" x14ac:dyDescent="0.2">
      <c r="A249" s="2" t="s">
        <v>835</v>
      </c>
      <c r="B249" s="2" t="s">
        <v>836</v>
      </c>
      <c r="C249" s="2" t="s">
        <v>112</v>
      </c>
      <c r="D249" s="2" t="s">
        <v>178</v>
      </c>
      <c r="E249" s="2" t="s">
        <v>179</v>
      </c>
      <c r="F249" s="2" t="s">
        <v>180</v>
      </c>
    </row>
    <row r="250" spans="1:6" ht="16" x14ac:dyDescent="0.2">
      <c r="A250" s="2" t="s">
        <v>837</v>
      </c>
      <c r="B250" s="2" t="s">
        <v>838</v>
      </c>
      <c r="C250" s="2" t="s">
        <v>839</v>
      </c>
      <c r="D250" s="2" t="s">
        <v>172</v>
      </c>
      <c r="E250" s="2" t="s">
        <v>173</v>
      </c>
      <c r="F250" s="2" t="s">
        <v>174</v>
      </c>
    </row>
    <row r="251" spans="1:6" ht="16" x14ac:dyDescent="0.2">
      <c r="A251" s="2" t="s">
        <v>840</v>
      </c>
      <c r="B251" s="2" t="s">
        <v>841</v>
      </c>
      <c r="C251" s="2" t="s">
        <v>842</v>
      </c>
      <c r="D251" s="2" t="s">
        <v>302</v>
      </c>
      <c r="E251" s="2" t="s">
        <v>303</v>
      </c>
      <c r="F251" s="2" t="s">
        <v>304</v>
      </c>
    </row>
    <row r="252" spans="1:6" ht="16" x14ac:dyDescent="0.2">
      <c r="A252" s="2" t="s">
        <v>843</v>
      </c>
      <c r="B252" s="2" t="s">
        <v>844</v>
      </c>
      <c r="C252" s="2" t="s">
        <v>845</v>
      </c>
      <c r="D252" s="2" t="s">
        <v>241</v>
      </c>
      <c r="E252" s="2" t="s">
        <v>242</v>
      </c>
      <c r="F252" s="2" t="s">
        <v>243</v>
      </c>
    </row>
    <row r="253" spans="1:6" ht="32" x14ac:dyDescent="0.2">
      <c r="A253" s="2" t="s">
        <v>846</v>
      </c>
      <c r="B253" s="2" t="s">
        <v>847</v>
      </c>
      <c r="C253" s="2" t="s">
        <v>848</v>
      </c>
      <c r="D253" s="2" t="s">
        <v>202</v>
      </c>
      <c r="E253" s="2" t="s">
        <v>203</v>
      </c>
      <c r="F253" s="2" t="s">
        <v>204</v>
      </c>
    </row>
    <row r="254" spans="1:6" ht="16" x14ac:dyDescent="0.2">
      <c r="A254" s="2" t="s">
        <v>849</v>
      </c>
      <c r="B254" s="2" t="s">
        <v>850</v>
      </c>
      <c r="C254" s="2" t="s">
        <v>851</v>
      </c>
      <c r="D254" s="2" t="s">
        <v>241</v>
      </c>
      <c r="E254" s="2" t="s">
        <v>242</v>
      </c>
      <c r="F254" s="2" t="s">
        <v>243</v>
      </c>
    </row>
    <row r="255" spans="1:6" ht="32" x14ac:dyDescent="0.2">
      <c r="A255" s="2" t="s">
        <v>852</v>
      </c>
      <c r="B255" s="2" t="s">
        <v>853</v>
      </c>
      <c r="C255" s="2" t="s">
        <v>114</v>
      </c>
      <c r="D255" s="2" t="s">
        <v>178</v>
      </c>
      <c r="E255" s="2" t="s">
        <v>179</v>
      </c>
      <c r="F255" s="2" t="s">
        <v>180</v>
      </c>
    </row>
    <row r="256" spans="1:6" ht="16" x14ac:dyDescent="0.2">
      <c r="A256" s="2" t="s">
        <v>854</v>
      </c>
      <c r="B256" s="2" t="s">
        <v>855</v>
      </c>
      <c r="C256" s="2" t="s">
        <v>856</v>
      </c>
      <c r="D256" s="2" t="s">
        <v>302</v>
      </c>
      <c r="E256" s="2" t="s">
        <v>303</v>
      </c>
      <c r="F256" s="2" t="s">
        <v>304</v>
      </c>
    </row>
    <row r="257" spans="1:6" ht="16" x14ac:dyDescent="0.2">
      <c r="A257" s="2" t="s">
        <v>857</v>
      </c>
      <c r="B257" s="2" t="s">
        <v>858</v>
      </c>
      <c r="C257" s="2" t="s">
        <v>859</v>
      </c>
      <c r="D257" s="2" t="s">
        <v>172</v>
      </c>
      <c r="E257" s="2" t="s">
        <v>173</v>
      </c>
      <c r="F257" s="2" t="s">
        <v>174</v>
      </c>
    </row>
    <row r="258" spans="1:6" ht="16" x14ac:dyDescent="0.2">
      <c r="A258" s="2" t="s">
        <v>860</v>
      </c>
      <c r="B258" s="2" t="s">
        <v>861</v>
      </c>
      <c r="C258" s="2" t="s">
        <v>116</v>
      </c>
      <c r="D258" s="2" t="s">
        <v>213</v>
      </c>
      <c r="E258" s="2" t="s">
        <v>214</v>
      </c>
      <c r="F258" s="2" t="s">
        <v>120</v>
      </c>
    </row>
    <row r="259" spans="1:6" ht="32" x14ac:dyDescent="0.2">
      <c r="A259" s="2" t="s">
        <v>862</v>
      </c>
      <c r="B259" s="2" t="s">
        <v>863</v>
      </c>
      <c r="C259" s="2" t="s">
        <v>864</v>
      </c>
      <c r="D259" s="2" t="s">
        <v>202</v>
      </c>
      <c r="E259" s="2" t="s">
        <v>203</v>
      </c>
      <c r="F259" s="2" t="s">
        <v>204</v>
      </c>
    </row>
    <row r="260" spans="1:6" ht="32" x14ac:dyDescent="0.2">
      <c r="A260" s="2" t="s">
        <v>865</v>
      </c>
      <c r="B260" s="2" t="s">
        <v>866</v>
      </c>
      <c r="C260" s="2" t="s">
        <v>867</v>
      </c>
      <c r="D260" s="2" t="s">
        <v>202</v>
      </c>
      <c r="E260" s="2" t="s">
        <v>203</v>
      </c>
      <c r="F260" s="2" t="s">
        <v>204</v>
      </c>
    </row>
    <row r="261" spans="1:6" ht="16" x14ac:dyDescent="0.2">
      <c r="A261" s="2" t="s">
        <v>868</v>
      </c>
      <c r="B261" s="2" t="s">
        <v>869</v>
      </c>
      <c r="C261" s="2" t="s">
        <v>870</v>
      </c>
      <c r="D261" s="2" t="s">
        <v>392</v>
      </c>
      <c r="E261" s="2" t="s">
        <v>393</v>
      </c>
      <c r="F261" s="2" t="s">
        <v>59</v>
      </c>
    </row>
    <row r="262" spans="1:6" ht="16" x14ac:dyDescent="0.2">
      <c r="A262" s="2" t="s">
        <v>871</v>
      </c>
      <c r="B262" s="2" t="s">
        <v>872</v>
      </c>
      <c r="C262" s="2" t="s">
        <v>873</v>
      </c>
      <c r="D262" s="2" t="s">
        <v>188</v>
      </c>
      <c r="E262" s="2" t="s">
        <v>189</v>
      </c>
      <c r="F262" s="2" t="s">
        <v>190</v>
      </c>
    </row>
    <row r="263" spans="1:6" ht="32" x14ac:dyDescent="0.2">
      <c r="A263" s="2" t="s">
        <v>874</v>
      </c>
      <c r="B263" s="2" t="s">
        <v>875</v>
      </c>
      <c r="C263" s="2" t="s">
        <v>876</v>
      </c>
      <c r="D263" s="2" t="s">
        <v>161</v>
      </c>
      <c r="E263" s="2" t="s">
        <v>162</v>
      </c>
      <c r="F263" s="2" t="s">
        <v>163</v>
      </c>
    </row>
    <row r="264" spans="1:6" ht="32" x14ac:dyDescent="0.2">
      <c r="A264" s="2" t="s">
        <v>877</v>
      </c>
      <c r="B264" s="2" t="s">
        <v>878</v>
      </c>
      <c r="C264" s="2" t="s">
        <v>879</v>
      </c>
      <c r="D264" s="2" t="s">
        <v>202</v>
      </c>
      <c r="E264" s="2" t="s">
        <v>203</v>
      </c>
      <c r="F264" s="2" t="s">
        <v>204</v>
      </c>
    </row>
    <row r="265" spans="1:6" ht="16" x14ac:dyDescent="0.2">
      <c r="A265" s="2" t="s">
        <v>880</v>
      </c>
      <c r="B265" s="2" t="s">
        <v>881</v>
      </c>
      <c r="C265" s="2" t="s">
        <v>882</v>
      </c>
      <c r="D265" s="2" t="s">
        <v>188</v>
      </c>
      <c r="E265" s="2" t="s">
        <v>189</v>
      </c>
      <c r="F265" s="2" t="s">
        <v>190</v>
      </c>
    </row>
    <row r="266" spans="1:6" ht="16" x14ac:dyDescent="0.2">
      <c r="A266" s="2" t="s">
        <v>883</v>
      </c>
      <c r="B266" s="2" t="s">
        <v>884</v>
      </c>
      <c r="C266" s="2" t="s">
        <v>885</v>
      </c>
      <c r="D266" s="2" t="s">
        <v>241</v>
      </c>
      <c r="E266" s="2" t="s">
        <v>242</v>
      </c>
      <c r="F266" s="2" t="s">
        <v>243</v>
      </c>
    </row>
    <row r="267" spans="1:6" ht="16" x14ac:dyDescent="0.2">
      <c r="A267" s="2" t="s">
        <v>886</v>
      </c>
      <c r="B267" s="2" t="s">
        <v>887</v>
      </c>
      <c r="C267" s="2" t="s">
        <v>888</v>
      </c>
      <c r="D267" s="2" t="s">
        <v>213</v>
      </c>
      <c r="E267" s="2" t="s">
        <v>214</v>
      </c>
      <c r="F267" s="2" t="s">
        <v>120</v>
      </c>
    </row>
    <row r="268" spans="1:6" ht="16" x14ac:dyDescent="0.2">
      <c r="A268" s="2" t="s">
        <v>889</v>
      </c>
      <c r="B268" s="2" t="s">
        <v>890</v>
      </c>
      <c r="C268" s="2" t="s">
        <v>891</v>
      </c>
      <c r="D268" s="2" t="s">
        <v>172</v>
      </c>
      <c r="E268" s="2" t="s">
        <v>173</v>
      </c>
      <c r="F268" s="2" t="s">
        <v>174</v>
      </c>
    </row>
    <row r="269" spans="1:6" ht="16" x14ac:dyDescent="0.2">
      <c r="A269" s="2" t="s">
        <v>892</v>
      </c>
      <c r="B269" s="2" t="s">
        <v>893</v>
      </c>
      <c r="C269" s="2" t="s">
        <v>894</v>
      </c>
      <c r="D269" s="2" t="s">
        <v>302</v>
      </c>
      <c r="E269" s="2" t="s">
        <v>303</v>
      </c>
      <c r="F269" s="2" t="s">
        <v>304</v>
      </c>
    </row>
    <row r="270" spans="1:6" ht="16" x14ac:dyDescent="0.2">
      <c r="A270" s="2" t="s">
        <v>895</v>
      </c>
      <c r="B270" s="2" t="s">
        <v>896</v>
      </c>
      <c r="C270" s="2" t="s">
        <v>897</v>
      </c>
      <c r="D270" s="2" t="s">
        <v>172</v>
      </c>
      <c r="E270" s="2" t="s">
        <v>173</v>
      </c>
      <c r="F270" s="2" t="s">
        <v>174</v>
      </c>
    </row>
    <row r="271" spans="1:6" ht="32" x14ac:dyDescent="0.2">
      <c r="A271" s="2" t="s">
        <v>898</v>
      </c>
      <c r="B271" s="2" t="s">
        <v>899</v>
      </c>
      <c r="C271" s="2" t="s">
        <v>900</v>
      </c>
      <c r="D271" s="2" t="s">
        <v>161</v>
      </c>
      <c r="E271" s="2" t="s">
        <v>162</v>
      </c>
      <c r="F271" s="2" t="s">
        <v>163</v>
      </c>
    </row>
    <row r="272" spans="1:6" ht="32" x14ac:dyDescent="0.2">
      <c r="A272" s="2" t="s">
        <v>901</v>
      </c>
      <c r="B272" s="2" t="s">
        <v>902</v>
      </c>
      <c r="C272" s="2" t="s">
        <v>903</v>
      </c>
      <c r="D272" s="2" t="s">
        <v>178</v>
      </c>
      <c r="E272" s="2" t="s">
        <v>179</v>
      </c>
      <c r="F272" s="2" t="s">
        <v>180</v>
      </c>
    </row>
    <row r="273" spans="1:6" ht="16" x14ac:dyDescent="0.2">
      <c r="A273" s="2" t="s">
        <v>904</v>
      </c>
      <c r="B273" s="2" t="s">
        <v>905</v>
      </c>
      <c r="C273" s="2" t="s">
        <v>906</v>
      </c>
      <c r="D273" s="2" t="s">
        <v>302</v>
      </c>
      <c r="E273" s="2" t="s">
        <v>303</v>
      </c>
      <c r="F273" s="2" t="s">
        <v>304</v>
      </c>
    </row>
    <row r="274" spans="1:6" ht="16" x14ac:dyDescent="0.2">
      <c r="A274" s="2" t="s">
        <v>907</v>
      </c>
      <c r="B274" s="2" t="s">
        <v>908</v>
      </c>
      <c r="C274" s="2" t="s">
        <v>117</v>
      </c>
      <c r="D274" s="2" t="s">
        <v>166</v>
      </c>
      <c r="E274" s="2" t="s">
        <v>167</v>
      </c>
      <c r="F274" s="2" t="s">
        <v>168</v>
      </c>
    </row>
    <row r="275" spans="1:6" ht="32" x14ac:dyDescent="0.2">
      <c r="A275" s="2" t="s">
        <v>909</v>
      </c>
      <c r="B275" s="2" t="s">
        <v>910</v>
      </c>
      <c r="C275" s="2" t="s">
        <v>118</v>
      </c>
      <c r="D275" s="2" t="s">
        <v>202</v>
      </c>
      <c r="E275" s="2" t="s">
        <v>203</v>
      </c>
      <c r="F275" s="2" t="s">
        <v>204</v>
      </c>
    </row>
    <row r="276" spans="1:6" ht="16" x14ac:dyDescent="0.2">
      <c r="A276" s="2" t="s">
        <v>911</v>
      </c>
      <c r="B276" s="2" t="s">
        <v>912</v>
      </c>
      <c r="C276" s="2" t="s">
        <v>913</v>
      </c>
      <c r="D276" s="2" t="s">
        <v>188</v>
      </c>
      <c r="E276" s="2" t="s">
        <v>189</v>
      </c>
      <c r="F276" s="2" t="s">
        <v>190</v>
      </c>
    </row>
    <row r="277" spans="1:6" ht="16" x14ac:dyDescent="0.2">
      <c r="A277" s="2" t="s">
        <v>914</v>
      </c>
      <c r="B277" s="2" t="s">
        <v>915</v>
      </c>
      <c r="C277" s="2" t="s">
        <v>916</v>
      </c>
      <c r="D277" s="2" t="s">
        <v>188</v>
      </c>
      <c r="E277" s="2" t="s">
        <v>189</v>
      </c>
      <c r="F277" s="2" t="s">
        <v>190</v>
      </c>
    </row>
    <row r="278" spans="1:6" ht="16" x14ac:dyDescent="0.2">
      <c r="A278" s="2" t="s">
        <v>917</v>
      </c>
      <c r="B278" s="2" t="s">
        <v>918</v>
      </c>
      <c r="C278" s="2" t="s">
        <v>919</v>
      </c>
      <c r="D278" s="2" t="s">
        <v>155</v>
      </c>
      <c r="E278" s="2" t="s">
        <v>156</v>
      </c>
      <c r="F278" s="2" t="s">
        <v>157</v>
      </c>
    </row>
    <row r="279" spans="1:6" ht="16" x14ac:dyDescent="0.2">
      <c r="A279" s="2" t="s">
        <v>920</v>
      </c>
      <c r="B279" s="2" t="s">
        <v>921</v>
      </c>
      <c r="C279" s="2" t="s">
        <v>922</v>
      </c>
      <c r="D279" s="2" t="s">
        <v>172</v>
      </c>
      <c r="E279" s="2" t="s">
        <v>173</v>
      </c>
      <c r="F279" s="2" t="s">
        <v>174</v>
      </c>
    </row>
    <row r="280" spans="1:6" ht="32" x14ac:dyDescent="0.2">
      <c r="A280" s="2" t="s">
        <v>923</v>
      </c>
      <c r="B280" s="2" t="s">
        <v>924</v>
      </c>
      <c r="C280" s="2" t="s">
        <v>119</v>
      </c>
      <c r="D280" s="2" t="s">
        <v>161</v>
      </c>
      <c r="E280" s="2" t="s">
        <v>162</v>
      </c>
      <c r="F280" s="2" t="s">
        <v>163</v>
      </c>
    </row>
    <row r="281" spans="1:6" ht="32" x14ac:dyDescent="0.2">
      <c r="A281" s="2" t="s">
        <v>925</v>
      </c>
      <c r="B281" s="2" t="s">
        <v>926</v>
      </c>
      <c r="C281" s="2" t="s">
        <v>927</v>
      </c>
      <c r="D281" s="2" t="s">
        <v>161</v>
      </c>
      <c r="E281" s="2" t="s">
        <v>162</v>
      </c>
      <c r="F281" s="2" t="s">
        <v>163</v>
      </c>
    </row>
    <row r="282" spans="1:6" ht="16" x14ac:dyDescent="0.2">
      <c r="A282" s="2" t="s">
        <v>928</v>
      </c>
      <c r="B282" s="2" t="s">
        <v>929</v>
      </c>
      <c r="C282" s="2" t="s">
        <v>930</v>
      </c>
      <c r="D282" s="2" t="s">
        <v>194</v>
      </c>
      <c r="E282" s="2" t="s">
        <v>195</v>
      </c>
      <c r="F282" s="2" t="s">
        <v>196</v>
      </c>
    </row>
    <row r="283" spans="1:6" ht="16" x14ac:dyDescent="0.2">
      <c r="A283" s="2" t="s">
        <v>931</v>
      </c>
      <c r="B283" s="2" t="s">
        <v>932</v>
      </c>
      <c r="C283" s="2" t="s">
        <v>120</v>
      </c>
      <c r="D283" s="2" t="s">
        <v>213</v>
      </c>
      <c r="E283" s="2" t="s">
        <v>214</v>
      </c>
      <c r="F283" s="2" t="s">
        <v>120</v>
      </c>
    </row>
    <row r="284" spans="1:6" ht="16" x14ac:dyDescent="0.2">
      <c r="A284" s="2" t="s">
        <v>933</v>
      </c>
      <c r="B284" s="2" t="s">
        <v>934</v>
      </c>
      <c r="C284" s="2" t="s">
        <v>935</v>
      </c>
      <c r="D284" s="2" t="s">
        <v>213</v>
      </c>
      <c r="E284" s="2" t="s">
        <v>214</v>
      </c>
      <c r="F284" s="2" t="s">
        <v>120</v>
      </c>
    </row>
    <row r="285" spans="1:6" ht="16" x14ac:dyDescent="0.2">
      <c r="A285" s="2" t="s">
        <v>936</v>
      </c>
      <c r="B285" s="2" t="s">
        <v>937</v>
      </c>
      <c r="C285" s="2" t="s">
        <v>938</v>
      </c>
      <c r="D285" s="2" t="s">
        <v>241</v>
      </c>
      <c r="E285" s="2" t="s">
        <v>242</v>
      </c>
      <c r="F285" s="2" t="s">
        <v>243</v>
      </c>
    </row>
    <row r="286" spans="1:6" ht="16" x14ac:dyDescent="0.2">
      <c r="A286" s="2" t="s">
        <v>939</v>
      </c>
      <c r="B286" s="2" t="s">
        <v>940</v>
      </c>
      <c r="C286" s="2" t="s">
        <v>941</v>
      </c>
      <c r="D286" s="2" t="s">
        <v>241</v>
      </c>
      <c r="E286" s="2" t="s">
        <v>242</v>
      </c>
      <c r="F286" s="2" t="s">
        <v>243</v>
      </c>
    </row>
    <row r="287" spans="1:6" ht="32" x14ac:dyDescent="0.2">
      <c r="A287" s="2" t="s">
        <v>942</v>
      </c>
      <c r="B287" s="2" t="s">
        <v>943</v>
      </c>
      <c r="C287" s="2" t="s">
        <v>944</v>
      </c>
      <c r="D287" s="2" t="s">
        <v>202</v>
      </c>
      <c r="E287" s="2" t="s">
        <v>203</v>
      </c>
      <c r="F287" s="2" t="s">
        <v>204</v>
      </c>
    </row>
    <row r="288" spans="1:6" ht="16" x14ac:dyDescent="0.2">
      <c r="A288" s="2" t="s">
        <v>945</v>
      </c>
      <c r="B288" s="2" t="s">
        <v>946</v>
      </c>
      <c r="C288" s="2" t="s">
        <v>121</v>
      </c>
      <c r="D288" s="2" t="s">
        <v>392</v>
      </c>
      <c r="E288" s="2" t="s">
        <v>393</v>
      </c>
      <c r="F288" s="2" t="s">
        <v>59</v>
      </c>
    </row>
    <row r="289" spans="1:6" ht="16" x14ac:dyDescent="0.2">
      <c r="A289" s="2" t="s">
        <v>947</v>
      </c>
      <c r="B289" s="2" t="s">
        <v>948</v>
      </c>
      <c r="C289" s="2" t="s">
        <v>122</v>
      </c>
      <c r="D289" s="2" t="s">
        <v>213</v>
      </c>
      <c r="E289" s="2" t="s">
        <v>214</v>
      </c>
      <c r="F289" s="2" t="s">
        <v>120</v>
      </c>
    </row>
    <row r="290" spans="1:6" ht="16" x14ac:dyDescent="0.2">
      <c r="A290" s="2" t="s">
        <v>949</v>
      </c>
      <c r="B290" s="2" t="s">
        <v>950</v>
      </c>
      <c r="C290" s="2" t="s">
        <v>951</v>
      </c>
      <c r="D290" s="2" t="s">
        <v>302</v>
      </c>
      <c r="E290" s="2" t="s">
        <v>303</v>
      </c>
      <c r="F290" s="2" t="s">
        <v>304</v>
      </c>
    </row>
    <row r="291" spans="1:6" ht="32" x14ac:dyDescent="0.2">
      <c r="A291" s="2" t="s">
        <v>952</v>
      </c>
      <c r="B291" s="2" t="s">
        <v>953</v>
      </c>
      <c r="C291" s="2" t="s">
        <v>954</v>
      </c>
      <c r="D291" s="2" t="s">
        <v>202</v>
      </c>
      <c r="E291" s="2" t="s">
        <v>203</v>
      </c>
      <c r="F291" s="2" t="s">
        <v>204</v>
      </c>
    </row>
    <row r="292" spans="1:6" ht="32" x14ac:dyDescent="0.2">
      <c r="A292" s="2" t="s">
        <v>955</v>
      </c>
      <c r="B292" s="2" t="s">
        <v>956</v>
      </c>
      <c r="C292" s="2" t="s">
        <v>957</v>
      </c>
      <c r="D292" s="2" t="s">
        <v>161</v>
      </c>
      <c r="E292" s="2" t="s">
        <v>162</v>
      </c>
      <c r="F292" s="2" t="s">
        <v>163</v>
      </c>
    </row>
    <row r="293" spans="1:6" ht="16" x14ac:dyDescent="0.2">
      <c r="A293" s="2" t="s">
        <v>958</v>
      </c>
      <c r="B293" s="2" t="s">
        <v>959</v>
      </c>
      <c r="C293" s="2" t="s">
        <v>123</v>
      </c>
      <c r="D293" s="2" t="s">
        <v>241</v>
      </c>
      <c r="E293" s="2" t="s">
        <v>242</v>
      </c>
      <c r="F293" s="2" t="s">
        <v>243</v>
      </c>
    </row>
    <row r="294" spans="1:6" ht="16" x14ac:dyDescent="0.2">
      <c r="A294" s="2" t="s">
        <v>960</v>
      </c>
      <c r="B294" s="2" t="s">
        <v>961</v>
      </c>
      <c r="C294" s="2" t="s">
        <v>124</v>
      </c>
      <c r="D294" s="2" t="s">
        <v>241</v>
      </c>
      <c r="E294" s="2" t="s">
        <v>242</v>
      </c>
      <c r="F294" s="2" t="s">
        <v>243</v>
      </c>
    </row>
    <row r="295" spans="1:6" ht="16" x14ac:dyDescent="0.2">
      <c r="A295" s="2" t="s">
        <v>962</v>
      </c>
      <c r="B295" s="2" t="s">
        <v>963</v>
      </c>
      <c r="C295" s="2" t="s">
        <v>964</v>
      </c>
      <c r="D295" s="2" t="s">
        <v>213</v>
      </c>
      <c r="E295" s="2" t="s">
        <v>214</v>
      </c>
      <c r="F295" s="2" t="s">
        <v>120</v>
      </c>
    </row>
    <row r="296" spans="1:6" ht="32" x14ac:dyDescent="0.2">
      <c r="A296" s="2" t="s">
        <v>965</v>
      </c>
      <c r="B296" s="2" t="s">
        <v>966</v>
      </c>
      <c r="C296" s="2" t="s">
        <v>967</v>
      </c>
      <c r="D296" s="2" t="s">
        <v>178</v>
      </c>
      <c r="E296" s="2" t="s">
        <v>179</v>
      </c>
      <c r="F296" s="2" t="s">
        <v>180</v>
      </c>
    </row>
    <row r="297" spans="1:6" ht="16" x14ac:dyDescent="0.2">
      <c r="A297" s="2" t="s">
        <v>968</v>
      </c>
      <c r="B297" s="2" t="s">
        <v>969</v>
      </c>
      <c r="C297" s="2" t="s">
        <v>970</v>
      </c>
      <c r="D297" s="2" t="s">
        <v>172</v>
      </c>
      <c r="E297" s="2" t="s">
        <v>173</v>
      </c>
      <c r="F297" s="2" t="s">
        <v>174</v>
      </c>
    </row>
    <row r="298" spans="1:6" ht="16" x14ac:dyDescent="0.2">
      <c r="A298" s="2" t="s">
        <v>971</v>
      </c>
      <c r="B298" s="2" t="s">
        <v>972</v>
      </c>
      <c r="C298" s="2" t="s">
        <v>125</v>
      </c>
      <c r="D298" s="2" t="s">
        <v>302</v>
      </c>
      <c r="E298" s="2" t="s">
        <v>303</v>
      </c>
      <c r="F298" s="2" t="s">
        <v>304</v>
      </c>
    </row>
    <row r="299" spans="1:6" ht="16" x14ac:dyDescent="0.2">
      <c r="A299" s="2" t="s">
        <v>973</v>
      </c>
      <c r="B299" s="2" t="s">
        <v>974</v>
      </c>
      <c r="C299" s="2" t="s">
        <v>126</v>
      </c>
      <c r="D299" s="2" t="s">
        <v>241</v>
      </c>
      <c r="E299" s="2" t="s">
        <v>242</v>
      </c>
      <c r="F299" s="2" t="s">
        <v>243</v>
      </c>
    </row>
    <row r="300" spans="1:6" ht="32" x14ac:dyDescent="0.2">
      <c r="A300" s="2" t="s">
        <v>975</v>
      </c>
      <c r="B300" s="2" t="s">
        <v>976</v>
      </c>
      <c r="C300" s="2" t="s">
        <v>977</v>
      </c>
      <c r="D300" s="2" t="s">
        <v>178</v>
      </c>
      <c r="E300" s="2" t="s">
        <v>179</v>
      </c>
      <c r="F300" s="2" t="s">
        <v>180</v>
      </c>
    </row>
    <row r="301" spans="1:6" ht="32" x14ac:dyDescent="0.2">
      <c r="A301" s="2" t="s">
        <v>978</v>
      </c>
      <c r="B301" s="2" t="s">
        <v>979</v>
      </c>
      <c r="C301" s="2" t="s">
        <v>127</v>
      </c>
      <c r="D301" s="2" t="s">
        <v>178</v>
      </c>
      <c r="E301" s="2" t="s">
        <v>179</v>
      </c>
      <c r="F301" s="2" t="s">
        <v>180</v>
      </c>
    </row>
    <row r="302" spans="1:6" ht="16" x14ac:dyDescent="0.2">
      <c r="A302" s="2" t="s">
        <v>980</v>
      </c>
      <c r="B302" s="2" t="s">
        <v>981</v>
      </c>
      <c r="C302" s="2" t="s">
        <v>982</v>
      </c>
      <c r="D302" s="2" t="s">
        <v>166</v>
      </c>
      <c r="E302" s="2" t="s">
        <v>167</v>
      </c>
      <c r="F302" s="2" t="s">
        <v>168</v>
      </c>
    </row>
    <row r="303" spans="1:6" ht="32" x14ac:dyDescent="0.2">
      <c r="A303" s="2" t="s">
        <v>983</v>
      </c>
      <c r="B303" s="2" t="s">
        <v>984</v>
      </c>
      <c r="C303" s="2" t="s">
        <v>128</v>
      </c>
      <c r="D303" s="2" t="s">
        <v>202</v>
      </c>
      <c r="E303" s="2" t="s">
        <v>203</v>
      </c>
      <c r="F303" s="2" t="s">
        <v>204</v>
      </c>
    </row>
    <row r="304" spans="1:6" ht="16" x14ac:dyDescent="0.2">
      <c r="A304" s="2" t="s">
        <v>985</v>
      </c>
      <c r="B304" s="2" t="s">
        <v>986</v>
      </c>
      <c r="C304" s="2" t="s">
        <v>987</v>
      </c>
      <c r="D304" s="2" t="s">
        <v>172</v>
      </c>
      <c r="E304" s="2" t="s">
        <v>173</v>
      </c>
      <c r="F304" s="2" t="s">
        <v>174</v>
      </c>
    </row>
    <row r="305" spans="1:6" ht="32" x14ac:dyDescent="0.2">
      <c r="A305" s="2" t="s">
        <v>988</v>
      </c>
      <c r="B305" s="2" t="s">
        <v>989</v>
      </c>
      <c r="C305" s="2" t="s">
        <v>990</v>
      </c>
      <c r="D305" s="2" t="s">
        <v>202</v>
      </c>
      <c r="E305" s="2" t="s">
        <v>203</v>
      </c>
      <c r="F305" s="2" t="s">
        <v>204</v>
      </c>
    </row>
    <row r="306" spans="1:6" ht="32" x14ac:dyDescent="0.2">
      <c r="A306" s="2" t="s">
        <v>991</v>
      </c>
      <c r="B306" s="2" t="s">
        <v>992</v>
      </c>
      <c r="C306" s="2" t="s">
        <v>993</v>
      </c>
      <c r="D306" s="2" t="s">
        <v>202</v>
      </c>
      <c r="E306" s="2" t="s">
        <v>203</v>
      </c>
      <c r="F306" s="2" t="s">
        <v>204</v>
      </c>
    </row>
    <row r="307" spans="1:6" ht="32" x14ac:dyDescent="0.2">
      <c r="A307" s="2" t="s">
        <v>994</v>
      </c>
      <c r="B307" s="2" t="s">
        <v>995</v>
      </c>
      <c r="C307" s="2" t="s">
        <v>129</v>
      </c>
      <c r="D307" s="2" t="s">
        <v>178</v>
      </c>
      <c r="E307" s="2" t="s">
        <v>179</v>
      </c>
      <c r="F307" s="2" t="s">
        <v>180</v>
      </c>
    </row>
    <row r="308" spans="1:6" ht="16" x14ac:dyDescent="0.2">
      <c r="A308" s="2" t="s">
        <v>996</v>
      </c>
      <c r="B308" s="2" t="s">
        <v>997</v>
      </c>
      <c r="C308" s="2" t="s">
        <v>998</v>
      </c>
      <c r="D308" s="2" t="s">
        <v>166</v>
      </c>
      <c r="E308" s="2" t="s">
        <v>167</v>
      </c>
      <c r="F308" s="2" t="s">
        <v>168</v>
      </c>
    </row>
    <row r="309" spans="1:6" ht="32" x14ac:dyDescent="0.2">
      <c r="A309" s="2" t="s">
        <v>999</v>
      </c>
      <c r="B309" s="2" t="s">
        <v>1000</v>
      </c>
      <c r="C309" s="2" t="s">
        <v>1001</v>
      </c>
      <c r="D309" s="2" t="s">
        <v>178</v>
      </c>
      <c r="E309" s="2" t="s">
        <v>179</v>
      </c>
      <c r="F309" s="2" t="s">
        <v>180</v>
      </c>
    </row>
    <row r="310" spans="1:6" ht="32" x14ac:dyDescent="0.2">
      <c r="A310" s="2" t="s">
        <v>1002</v>
      </c>
      <c r="B310" s="2" t="s">
        <v>1003</v>
      </c>
      <c r="C310" s="2" t="s">
        <v>1004</v>
      </c>
      <c r="D310" s="2" t="s">
        <v>161</v>
      </c>
      <c r="E310" s="2" t="s">
        <v>162</v>
      </c>
      <c r="F310" s="2" t="s">
        <v>163</v>
      </c>
    </row>
    <row r="311" spans="1:6" ht="16" x14ac:dyDescent="0.2">
      <c r="A311" s="2" t="s">
        <v>1005</v>
      </c>
      <c r="B311" s="2" t="s">
        <v>1006</v>
      </c>
      <c r="C311" s="2" t="s">
        <v>130</v>
      </c>
      <c r="D311" s="2" t="s">
        <v>241</v>
      </c>
      <c r="E311" s="2" t="s">
        <v>242</v>
      </c>
      <c r="F311" s="2" t="s">
        <v>243</v>
      </c>
    </row>
    <row r="312" spans="1:6" ht="16" x14ac:dyDescent="0.2">
      <c r="A312" s="2" t="s">
        <v>1007</v>
      </c>
      <c r="B312" s="2" t="s">
        <v>1008</v>
      </c>
      <c r="C312" s="2" t="s">
        <v>1009</v>
      </c>
      <c r="D312" s="2" t="s">
        <v>166</v>
      </c>
      <c r="E312" s="2" t="s">
        <v>167</v>
      </c>
      <c r="F312" s="2" t="s">
        <v>168</v>
      </c>
    </row>
    <row r="313" spans="1:6" ht="16" x14ac:dyDescent="0.2">
      <c r="A313" s="2" t="s">
        <v>1010</v>
      </c>
      <c r="B313" s="2" t="s">
        <v>1011</v>
      </c>
      <c r="C313" s="2" t="s">
        <v>1012</v>
      </c>
      <c r="D313" s="2" t="s">
        <v>166</v>
      </c>
      <c r="E313" s="2" t="s">
        <v>167</v>
      </c>
      <c r="F313" s="2" t="s">
        <v>168</v>
      </c>
    </row>
    <row r="314" spans="1:6" ht="16" x14ac:dyDescent="0.2">
      <c r="A314" s="2" t="s">
        <v>1013</v>
      </c>
      <c r="B314" s="2" t="s">
        <v>1014</v>
      </c>
      <c r="C314" s="2" t="s">
        <v>1015</v>
      </c>
      <c r="D314" s="2" t="s">
        <v>392</v>
      </c>
      <c r="E314" s="2" t="s">
        <v>393</v>
      </c>
      <c r="F314" s="2" t="s">
        <v>59</v>
      </c>
    </row>
    <row r="315" spans="1:6" ht="16" x14ac:dyDescent="0.2">
      <c r="A315" s="2" t="s">
        <v>1016</v>
      </c>
      <c r="B315" s="2" t="s">
        <v>1017</v>
      </c>
      <c r="C315" s="2" t="s">
        <v>1018</v>
      </c>
      <c r="D315" s="2" t="s">
        <v>155</v>
      </c>
      <c r="E315" s="2" t="s">
        <v>156</v>
      </c>
      <c r="F315" s="2" t="s">
        <v>157</v>
      </c>
    </row>
    <row r="316" spans="1:6" ht="16" x14ac:dyDescent="0.2">
      <c r="A316" s="2" t="s">
        <v>1019</v>
      </c>
      <c r="B316" s="2" t="s">
        <v>1020</v>
      </c>
      <c r="C316" s="2" t="s">
        <v>132</v>
      </c>
      <c r="D316" s="2" t="s">
        <v>166</v>
      </c>
      <c r="E316" s="2" t="s">
        <v>167</v>
      </c>
      <c r="F316" s="2" t="s">
        <v>168</v>
      </c>
    </row>
    <row r="317" spans="1:6" ht="16" x14ac:dyDescent="0.2">
      <c r="A317" s="2" t="s">
        <v>1021</v>
      </c>
      <c r="B317" s="2" t="s">
        <v>1022</v>
      </c>
      <c r="C317" s="2" t="s">
        <v>1023</v>
      </c>
      <c r="D317" s="2" t="s">
        <v>392</v>
      </c>
      <c r="E317" s="2" t="s">
        <v>393</v>
      </c>
      <c r="F317" s="2" t="s">
        <v>59</v>
      </c>
    </row>
    <row r="318" spans="1:6" ht="32" x14ac:dyDescent="0.2">
      <c r="A318" s="2" t="s">
        <v>1024</v>
      </c>
      <c r="B318" s="2" t="s">
        <v>1025</v>
      </c>
      <c r="C318" s="2" t="s">
        <v>1026</v>
      </c>
      <c r="D318" s="2" t="s">
        <v>178</v>
      </c>
      <c r="E318" s="2" t="s">
        <v>179</v>
      </c>
      <c r="F318" s="2" t="s">
        <v>180</v>
      </c>
    </row>
    <row r="319" spans="1:6" ht="16" x14ac:dyDescent="0.2">
      <c r="A319" s="2" t="s">
        <v>1027</v>
      </c>
      <c r="B319" s="2" t="s">
        <v>1028</v>
      </c>
      <c r="C319" s="2" t="s">
        <v>1029</v>
      </c>
      <c r="D319" s="2" t="s">
        <v>172</v>
      </c>
      <c r="E319" s="2" t="s">
        <v>173</v>
      </c>
      <c r="F319" s="2" t="s">
        <v>174</v>
      </c>
    </row>
    <row r="320" spans="1:6" ht="16" x14ac:dyDescent="0.2">
      <c r="A320" s="2" t="s">
        <v>1030</v>
      </c>
      <c r="B320" s="2" t="s">
        <v>1031</v>
      </c>
      <c r="C320" s="2" t="s">
        <v>133</v>
      </c>
      <c r="D320" s="2" t="s">
        <v>188</v>
      </c>
      <c r="E320" s="2" t="s">
        <v>189</v>
      </c>
      <c r="F320" s="2" t="s">
        <v>190</v>
      </c>
    </row>
    <row r="321" spans="1:6" ht="16" x14ac:dyDescent="0.2">
      <c r="A321" s="2" t="s">
        <v>1032</v>
      </c>
      <c r="B321" s="2" t="s">
        <v>1033</v>
      </c>
      <c r="C321" s="2" t="s">
        <v>134</v>
      </c>
      <c r="D321" s="2" t="s">
        <v>166</v>
      </c>
      <c r="E321" s="2" t="s">
        <v>167</v>
      </c>
      <c r="F321" s="2" t="s">
        <v>168</v>
      </c>
    </row>
    <row r="322" spans="1:6" ht="32" x14ac:dyDescent="0.2">
      <c r="A322" s="2" t="s">
        <v>1034</v>
      </c>
      <c r="B322" s="2" t="s">
        <v>1035</v>
      </c>
      <c r="C322" s="2" t="s">
        <v>1036</v>
      </c>
      <c r="D322" s="2" t="s">
        <v>161</v>
      </c>
      <c r="E322" s="2" t="s">
        <v>162</v>
      </c>
      <c r="F322" s="2" t="s">
        <v>163</v>
      </c>
    </row>
    <row r="323" spans="1:6" ht="16" x14ac:dyDescent="0.2">
      <c r="A323" s="2" t="s">
        <v>1037</v>
      </c>
      <c r="B323" s="2" t="s">
        <v>1038</v>
      </c>
      <c r="C323" s="2" t="s">
        <v>1039</v>
      </c>
      <c r="D323" s="2" t="s">
        <v>213</v>
      </c>
      <c r="E323" s="2" t="s">
        <v>214</v>
      </c>
      <c r="F323" s="2" t="s">
        <v>120</v>
      </c>
    </row>
    <row r="324" spans="1:6" ht="16" x14ac:dyDescent="0.2">
      <c r="A324" s="2" t="s">
        <v>1040</v>
      </c>
      <c r="B324" s="2" t="s">
        <v>1041</v>
      </c>
      <c r="C324" s="2" t="s">
        <v>136</v>
      </c>
      <c r="D324" s="2" t="s">
        <v>166</v>
      </c>
      <c r="E324" s="2" t="s">
        <v>167</v>
      </c>
      <c r="F324" s="2" t="s">
        <v>168</v>
      </c>
    </row>
    <row r="325" spans="1:6" ht="32" x14ac:dyDescent="0.2">
      <c r="A325" s="2" t="s">
        <v>1042</v>
      </c>
      <c r="B325" s="2" t="s">
        <v>1043</v>
      </c>
      <c r="C325" s="2" t="s">
        <v>1044</v>
      </c>
      <c r="D325" s="2" t="s">
        <v>202</v>
      </c>
      <c r="E325" s="2" t="s">
        <v>203</v>
      </c>
      <c r="F325" s="2" t="s">
        <v>204</v>
      </c>
    </row>
    <row r="326" spans="1:6" ht="16" x14ac:dyDescent="0.2">
      <c r="A326" s="2" t="s">
        <v>1045</v>
      </c>
      <c r="B326" s="2" t="s">
        <v>1046</v>
      </c>
      <c r="C326" s="2" t="s">
        <v>137</v>
      </c>
      <c r="D326" s="2" t="s">
        <v>213</v>
      </c>
      <c r="E326" s="2" t="s">
        <v>214</v>
      </c>
      <c r="F326" s="2" t="s">
        <v>120</v>
      </c>
    </row>
    <row r="327" spans="1:6" ht="16" x14ac:dyDescent="0.2">
      <c r="A327" s="2" t="s">
        <v>1047</v>
      </c>
      <c r="B327" s="2" t="s">
        <v>1048</v>
      </c>
      <c r="C327" s="2" t="s">
        <v>1049</v>
      </c>
      <c r="D327" s="2" t="s">
        <v>155</v>
      </c>
      <c r="E327" s="2" t="s">
        <v>156</v>
      </c>
      <c r="F327" s="2" t="s">
        <v>157</v>
      </c>
    </row>
    <row r="328" spans="1:6" ht="32" x14ac:dyDescent="0.2">
      <c r="A328" s="2" t="s">
        <v>1050</v>
      </c>
      <c r="B328" s="2" t="s">
        <v>1051</v>
      </c>
      <c r="C328" s="2" t="s">
        <v>1052</v>
      </c>
      <c r="D328" s="2" t="s">
        <v>161</v>
      </c>
      <c r="E328" s="2" t="s">
        <v>162</v>
      </c>
      <c r="F328" s="2" t="s">
        <v>163</v>
      </c>
    </row>
    <row r="329" spans="1:6" ht="16" x14ac:dyDescent="0.2">
      <c r="A329" s="2" t="s">
        <v>1053</v>
      </c>
      <c r="B329" s="2" t="s">
        <v>1054</v>
      </c>
      <c r="C329" s="2" t="s">
        <v>1055</v>
      </c>
      <c r="D329" s="2" t="s">
        <v>213</v>
      </c>
      <c r="E329" s="2" t="s">
        <v>214</v>
      </c>
      <c r="F329" s="2" t="s">
        <v>120</v>
      </c>
    </row>
    <row r="330" spans="1:6" ht="32" x14ac:dyDescent="0.2">
      <c r="A330" s="2" t="s">
        <v>1056</v>
      </c>
      <c r="B330" s="2" t="s">
        <v>1057</v>
      </c>
      <c r="C330" s="2" t="s">
        <v>1058</v>
      </c>
      <c r="D330" s="2" t="s">
        <v>161</v>
      </c>
      <c r="E330" s="2" t="s">
        <v>162</v>
      </c>
      <c r="F330" s="2" t="s">
        <v>163</v>
      </c>
    </row>
    <row r="331" spans="1:6" ht="16" x14ac:dyDescent="0.2">
      <c r="A331" s="2" t="s">
        <v>1059</v>
      </c>
      <c r="B331" s="2" t="s">
        <v>1060</v>
      </c>
      <c r="C331" s="2" t="s">
        <v>138</v>
      </c>
      <c r="D331" s="2" t="s">
        <v>166</v>
      </c>
      <c r="E331" s="2" t="s">
        <v>167</v>
      </c>
      <c r="F331" s="2" t="s">
        <v>168</v>
      </c>
    </row>
    <row r="332" spans="1:6" ht="32" x14ac:dyDescent="0.2">
      <c r="A332" s="2" t="s">
        <v>1061</v>
      </c>
      <c r="B332" s="2" t="s">
        <v>1062</v>
      </c>
      <c r="C332" s="2" t="s">
        <v>139</v>
      </c>
      <c r="D332" s="2" t="s">
        <v>161</v>
      </c>
      <c r="E332" s="2" t="s">
        <v>162</v>
      </c>
      <c r="F332" s="2" t="s">
        <v>163</v>
      </c>
    </row>
    <row r="333" spans="1:6" ht="16" x14ac:dyDescent="0.2">
      <c r="A333" s="2" t="s">
        <v>1063</v>
      </c>
      <c r="B333" s="2" t="s">
        <v>1064</v>
      </c>
      <c r="C333" s="2" t="s">
        <v>1065</v>
      </c>
      <c r="D333" s="2" t="s">
        <v>194</v>
      </c>
      <c r="E333" s="2" t="s">
        <v>195</v>
      </c>
      <c r="F333" s="2" t="s">
        <v>196</v>
      </c>
    </row>
    <row r="334" spans="1:6" ht="16" x14ac:dyDescent="0.2">
      <c r="A334" s="2" t="s">
        <v>1066</v>
      </c>
      <c r="B334" s="2" t="s">
        <v>1067</v>
      </c>
      <c r="C334" s="2" t="s">
        <v>1068</v>
      </c>
      <c r="D334" s="2" t="s">
        <v>213</v>
      </c>
      <c r="E334" s="2" t="s">
        <v>214</v>
      </c>
      <c r="F334" s="2" t="s">
        <v>120</v>
      </c>
    </row>
    <row r="335" spans="1:6" ht="16" x14ac:dyDescent="0.2">
      <c r="A335" s="2" t="s">
        <v>1069</v>
      </c>
      <c r="B335" s="2" t="s">
        <v>1070</v>
      </c>
      <c r="C335" s="2" t="s">
        <v>140</v>
      </c>
      <c r="D335" s="2" t="s">
        <v>166</v>
      </c>
      <c r="E335" s="2" t="s">
        <v>167</v>
      </c>
      <c r="F335" s="2" t="s">
        <v>168</v>
      </c>
    </row>
    <row r="336" spans="1:6" ht="32" x14ac:dyDescent="0.2">
      <c r="A336" s="2" t="s">
        <v>1071</v>
      </c>
      <c r="B336" s="2" t="s">
        <v>1072</v>
      </c>
      <c r="C336" s="2" t="s">
        <v>141</v>
      </c>
      <c r="D336" s="2" t="s">
        <v>178</v>
      </c>
      <c r="E336" s="2" t="s">
        <v>179</v>
      </c>
      <c r="F336" s="2" t="s">
        <v>180</v>
      </c>
    </row>
    <row r="337" spans="1:6" ht="32" x14ac:dyDescent="0.2">
      <c r="A337" s="2" t="s">
        <v>1073</v>
      </c>
      <c r="B337" s="2" t="s">
        <v>1074</v>
      </c>
      <c r="C337" s="2" t="s">
        <v>1075</v>
      </c>
      <c r="D337" s="2" t="s">
        <v>178</v>
      </c>
      <c r="E337" s="2" t="s">
        <v>179</v>
      </c>
      <c r="F337" s="2" t="s">
        <v>180</v>
      </c>
    </row>
    <row r="338" spans="1:6" ht="32" x14ac:dyDescent="0.2">
      <c r="A338" s="2" t="s">
        <v>1076</v>
      </c>
      <c r="B338" s="2" t="s">
        <v>1077</v>
      </c>
      <c r="C338" s="2" t="s">
        <v>1078</v>
      </c>
      <c r="D338" s="2" t="s">
        <v>178</v>
      </c>
      <c r="E338" s="2" t="s">
        <v>179</v>
      </c>
      <c r="F338" s="2" t="s">
        <v>180</v>
      </c>
    </row>
    <row r="339" spans="1:6" ht="32" x14ac:dyDescent="0.2">
      <c r="A339" s="2" t="s">
        <v>1079</v>
      </c>
      <c r="B339" s="2" t="s">
        <v>1080</v>
      </c>
      <c r="C339" s="2" t="s">
        <v>1081</v>
      </c>
      <c r="D339" s="2" t="s">
        <v>202</v>
      </c>
      <c r="E339" s="2" t="s">
        <v>203</v>
      </c>
      <c r="F339" s="2" t="s">
        <v>204</v>
      </c>
    </row>
    <row r="340" spans="1:6" ht="16" x14ac:dyDescent="0.2">
      <c r="A340" s="2" t="s">
        <v>1082</v>
      </c>
      <c r="B340" s="2" t="s">
        <v>1083</v>
      </c>
      <c r="C340" s="2" t="s">
        <v>143</v>
      </c>
      <c r="D340" s="2" t="s">
        <v>166</v>
      </c>
      <c r="E340" s="2" t="s">
        <v>167</v>
      </c>
      <c r="F340" s="2" t="s">
        <v>168</v>
      </c>
    </row>
    <row r="341" spans="1:6" ht="16" x14ac:dyDescent="0.2">
      <c r="A341" s="2" t="s">
        <v>1084</v>
      </c>
      <c r="B341" s="2" t="s">
        <v>1085</v>
      </c>
      <c r="C341" s="2" t="s">
        <v>1086</v>
      </c>
      <c r="D341" s="2" t="s">
        <v>188</v>
      </c>
      <c r="E341" s="2" t="s">
        <v>189</v>
      </c>
      <c r="F341" s="2" t="s">
        <v>190</v>
      </c>
    </row>
    <row r="342" spans="1:6" ht="32" x14ac:dyDescent="0.2">
      <c r="A342" s="2" t="s">
        <v>1087</v>
      </c>
      <c r="B342" s="2" t="s">
        <v>1088</v>
      </c>
      <c r="C342" s="2" t="s">
        <v>144</v>
      </c>
      <c r="D342" s="2" t="s">
        <v>178</v>
      </c>
      <c r="E342" s="2" t="s">
        <v>179</v>
      </c>
      <c r="F342" s="2" t="s">
        <v>180</v>
      </c>
    </row>
    <row r="343" spans="1:6" ht="16" x14ac:dyDescent="0.2">
      <c r="A343" s="2" t="s">
        <v>1089</v>
      </c>
      <c r="B343" s="2" t="s">
        <v>1090</v>
      </c>
      <c r="C343" s="2" t="s">
        <v>145</v>
      </c>
      <c r="D343" s="2" t="s">
        <v>188</v>
      </c>
      <c r="E343" s="2" t="s">
        <v>189</v>
      </c>
      <c r="F343" s="2" t="s">
        <v>190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Calculation</vt:lpstr>
      <vt:lpstr>Source_wegvoertuigen_CBS</vt:lpstr>
      <vt:lpstr>Source_GM_code_CBS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von Meijenfeldt</cp:lastModifiedBy>
  <dcterms:created xsi:type="dcterms:W3CDTF">2025-06-12T15:00:42Z</dcterms:created>
  <dcterms:modified xsi:type="dcterms:W3CDTF">2025-07-10T09:51:56Z</dcterms:modified>
</cp:coreProperties>
</file>