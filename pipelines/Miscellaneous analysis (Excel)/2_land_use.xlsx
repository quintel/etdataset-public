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oenvanbemmelen/work/etdataset/pipelines/Miscellaneous analysis (Excel)/"/>
    </mc:Choice>
  </mc:AlternateContent>
  <xr:revisionPtr revIDLastSave="0" documentId="13_ncr:1_{745926BB-BBBE-7A43-BA97-B60E9E49D90A}" xr6:coauthVersionLast="47" xr6:coauthVersionMax="47" xr10:uidLastSave="{00000000-0000-0000-0000-000000000000}"/>
  <bookViews>
    <workbookView xWindow="1180" yWindow="500" windowWidth="50020" windowHeight="28300" xr2:uid="{00000000-000D-0000-FFFF-FFFF00000000}"/>
  </bookViews>
  <sheets>
    <sheet name="Data" sheetId="6" r:id="rId1"/>
    <sheet name="Calculation" sheetId="8" r:id="rId2"/>
    <sheet name="Source_CBS_bodemgebruik" sheetId="7" r:id="rId3"/>
    <sheet name="Source_GM_code_CB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F2" i="6"/>
  <c r="E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2" i="6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2" i="8"/>
  <c r="I3" i="8"/>
  <c r="I4" i="8"/>
  <c r="I5" i="8"/>
  <c r="I8" i="8"/>
  <c r="I11" i="8"/>
  <c r="I12" i="8"/>
  <c r="I13" i="8"/>
  <c r="I15" i="8"/>
  <c r="I16" i="8"/>
  <c r="I20" i="8"/>
  <c r="I21" i="8"/>
  <c r="I24" i="8"/>
  <c r="I29" i="8"/>
  <c r="I31" i="8"/>
  <c r="I32" i="8"/>
  <c r="I40" i="8"/>
  <c r="I48" i="8"/>
  <c r="I49" i="8"/>
  <c r="I51" i="8"/>
  <c r="I52" i="8"/>
  <c r="I56" i="8"/>
  <c r="I59" i="8"/>
  <c r="I60" i="8"/>
  <c r="I64" i="8"/>
  <c r="I67" i="8"/>
  <c r="I68" i="8"/>
  <c r="I69" i="8"/>
  <c r="I72" i="8"/>
  <c r="I75" i="8"/>
  <c r="I76" i="8"/>
  <c r="I77" i="8"/>
  <c r="I79" i="8"/>
  <c r="I80" i="8"/>
  <c r="I84" i="8"/>
  <c r="I85" i="8"/>
  <c r="I87" i="8"/>
  <c r="I88" i="8"/>
  <c r="I93" i="8"/>
  <c r="I95" i="8"/>
  <c r="I96" i="8"/>
  <c r="I104" i="8"/>
  <c r="I112" i="8"/>
  <c r="I115" i="8"/>
  <c r="I116" i="8"/>
  <c r="I120" i="8"/>
  <c r="I121" i="8"/>
  <c r="I123" i="8"/>
  <c r="I124" i="8"/>
  <c r="I128" i="8"/>
  <c r="I131" i="8"/>
  <c r="I132" i="8"/>
  <c r="I133" i="8"/>
  <c r="I136" i="8"/>
  <c r="I139" i="8"/>
  <c r="I140" i="8"/>
  <c r="I141" i="8"/>
  <c r="I144" i="8"/>
  <c r="I148" i="8"/>
  <c r="I149" i="8"/>
  <c r="I151" i="8"/>
  <c r="I152" i="8"/>
  <c r="I157" i="8"/>
  <c r="I159" i="8"/>
  <c r="I160" i="8"/>
  <c r="I168" i="8"/>
  <c r="I176" i="8"/>
  <c r="I179" i="8"/>
  <c r="I184" i="8"/>
  <c r="I187" i="8"/>
  <c r="I188" i="8"/>
  <c r="I192" i="8"/>
  <c r="I195" i="8"/>
  <c r="I196" i="8"/>
  <c r="I197" i="8"/>
  <c r="I200" i="8"/>
  <c r="I203" i="8"/>
  <c r="I204" i="8"/>
  <c r="I205" i="8"/>
  <c r="I208" i="8"/>
  <c r="I212" i="8"/>
  <c r="I213" i="8"/>
  <c r="I215" i="8"/>
  <c r="I216" i="8"/>
  <c r="I221" i="8"/>
  <c r="I223" i="8"/>
  <c r="I224" i="8"/>
  <c r="I232" i="8"/>
  <c r="I233" i="8"/>
  <c r="I240" i="8"/>
  <c r="I243" i="8"/>
  <c r="I248" i="8"/>
  <c r="I251" i="8"/>
  <c r="I252" i="8"/>
  <c r="I256" i="8"/>
  <c r="I259" i="8"/>
  <c r="I260" i="8"/>
  <c r="I261" i="8"/>
  <c r="I264" i="8"/>
  <c r="I267" i="8"/>
  <c r="I268" i="8"/>
  <c r="I269" i="8"/>
  <c r="I272" i="8"/>
  <c r="I276" i="8"/>
  <c r="I277" i="8"/>
  <c r="I279" i="8"/>
  <c r="I280" i="8"/>
  <c r="I285" i="8"/>
  <c r="I287" i="8"/>
  <c r="I288" i="8"/>
  <c r="I296" i="8"/>
  <c r="I304" i="8"/>
  <c r="I307" i="8"/>
  <c r="I312" i="8"/>
  <c r="I313" i="8"/>
  <c r="I315" i="8"/>
  <c r="I316" i="8"/>
  <c r="I320" i="8"/>
  <c r="I323" i="8"/>
  <c r="I324" i="8"/>
  <c r="I325" i="8"/>
  <c r="I328" i="8"/>
  <c r="I331" i="8"/>
  <c r="I332" i="8"/>
  <c r="I333" i="8"/>
  <c r="I336" i="8"/>
  <c r="I340" i="8"/>
  <c r="I341" i="8"/>
  <c r="I343" i="8"/>
  <c r="I2" i="8"/>
  <c r="H3" i="8"/>
  <c r="H4" i="8"/>
  <c r="H5" i="8"/>
  <c r="H6" i="8"/>
  <c r="I6" i="8" s="1"/>
  <c r="H7" i="8"/>
  <c r="I7" i="8" s="1"/>
  <c r="H8" i="8"/>
  <c r="H9" i="8"/>
  <c r="I9" i="8" s="1"/>
  <c r="H10" i="8"/>
  <c r="I10" i="8" s="1"/>
  <c r="H11" i="8"/>
  <c r="H12" i="8"/>
  <c r="H13" i="8"/>
  <c r="H14" i="8"/>
  <c r="I14" i="8" s="1"/>
  <c r="H15" i="8"/>
  <c r="H16" i="8"/>
  <c r="H17" i="8"/>
  <c r="I17" i="8" s="1"/>
  <c r="H18" i="8"/>
  <c r="I18" i="8" s="1"/>
  <c r="H19" i="8"/>
  <c r="I19" i="8" s="1"/>
  <c r="H20" i="8"/>
  <c r="H21" i="8"/>
  <c r="H22" i="8"/>
  <c r="I22" i="8" s="1"/>
  <c r="H23" i="8"/>
  <c r="I23" i="8" s="1"/>
  <c r="H24" i="8"/>
  <c r="H25" i="8"/>
  <c r="I25" i="8" s="1"/>
  <c r="H26" i="8"/>
  <c r="I26" i="8" s="1"/>
  <c r="H27" i="8"/>
  <c r="I27" i="8" s="1"/>
  <c r="H28" i="8"/>
  <c r="I28" i="8" s="1"/>
  <c r="H29" i="8"/>
  <c r="H30" i="8"/>
  <c r="I30" i="8" s="1"/>
  <c r="H31" i="8"/>
  <c r="H32" i="8"/>
  <c r="H33" i="8"/>
  <c r="I33" i="8" s="1"/>
  <c r="H34" i="8"/>
  <c r="I34" i="8" s="1"/>
  <c r="H35" i="8"/>
  <c r="I35" i="8" s="1"/>
  <c r="H36" i="8"/>
  <c r="I36" i="8" s="1"/>
  <c r="H37" i="8"/>
  <c r="I37" i="8" s="1"/>
  <c r="H38" i="8"/>
  <c r="I38" i="8" s="1"/>
  <c r="H39" i="8"/>
  <c r="I39" i="8" s="1"/>
  <c r="H40" i="8"/>
  <c r="H41" i="8"/>
  <c r="I41" i="8" s="1"/>
  <c r="H42" i="8"/>
  <c r="I42" i="8" s="1"/>
  <c r="H43" i="8"/>
  <c r="I43" i="8" s="1"/>
  <c r="H44" i="8"/>
  <c r="I44" i="8" s="1"/>
  <c r="H45" i="8"/>
  <c r="I45" i="8" s="1"/>
  <c r="H46" i="8"/>
  <c r="I46" i="8" s="1"/>
  <c r="H47" i="8"/>
  <c r="I47" i="8" s="1"/>
  <c r="H48" i="8"/>
  <c r="H49" i="8"/>
  <c r="H50" i="8"/>
  <c r="I50" i="8" s="1"/>
  <c r="H51" i="8"/>
  <c r="H52" i="8"/>
  <c r="H53" i="8"/>
  <c r="I53" i="8" s="1"/>
  <c r="H54" i="8"/>
  <c r="I54" i="8" s="1"/>
  <c r="H55" i="8"/>
  <c r="I55" i="8" s="1"/>
  <c r="H56" i="8"/>
  <c r="H57" i="8"/>
  <c r="I57" i="8" s="1"/>
  <c r="H58" i="8"/>
  <c r="I58" i="8" s="1"/>
  <c r="H59" i="8"/>
  <c r="H60" i="8"/>
  <c r="H61" i="8"/>
  <c r="I61" i="8" s="1"/>
  <c r="H62" i="8"/>
  <c r="I62" i="8" s="1"/>
  <c r="H63" i="8"/>
  <c r="I63" i="8" s="1"/>
  <c r="H64" i="8"/>
  <c r="H65" i="8"/>
  <c r="I65" i="8" s="1"/>
  <c r="H66" i="8"/>
  <c r="I66" i="8" s="1"/>
  <c r="H67" i="8"/>
  <c r="H68" i="8"/>
  <c r="H69" i="8"/>
  <c r="H70" i="8"/>
  <c r="I70" i="8" s="1"/>
  <c r="H71" i="8"/>
  <c r="I71" i="8" s="1"/>
  <c r="H72" i="8"/>
  <c r="H73" i="8"/>
  <c r="I73" i="8" s="1"/>
  <c r="H74" i="8"/>
  <c r="I74" i="8" s="1"/>
  <c r="H75" i="8"/>
  <c r="H76" i="8"/>
  <c r="H77" i="8"/>
  <c r="H78" i="8"/>
  <c r="I78" i="8" s="1"/>
  <c r="H79" i="8"/>
  <c r="H80" i="8"/>
  <c r="H81" i="8"/>
  <c r="I81" i="8" s="1"/>
  <c r="H82" i="8"/>
  <c r="I82" i="8" s="1"/>
  <c r="H83" i="8"/>
  <c r="I83" i="8" s="1"/>
  <c r="H84" i="8"/>
  <c r="H85" i="8"/>
  <c r="H86" i="8"/>
  <c r="I86" i="8" s="1"/>
  <c r="H87" i="8"/>
  <c r="H88" i="8"/>
  <c r="H89" i="8"/>
  <c r="I89" i="8" s="1"/>
  <c r="H90" i="8"/>
  <c r="I90" i="8" s="1"/>
  <c r="H91" i="8"/>
  <c r="I91" i="8" s="1"/>
  <c r="H92" i="8"/>
  <c r="I92" i="8" s="1"/>
  <c r="H93" i="8"/>
  <c r="H94" i="8"/>
  <c r="I94" i="8" s="1"/>
  <c r="H95" i="8"/>
  <c r="H96" i="8"/>
  <c r="H97" i="8"/>
  <c r="I97" i="8" s="1"/>
  <c r="H98" i="8"/>
  <c r="I98" i="8" s="1"/>
  <c r="H99" i="8"/>
  <c r="I99" i="8" s="1"/>
  <c r="H100" i="8"/>
  <c r="I100" i="8" s="1"/>
  <c r="H101" i="8"/>
  <c r="I101" i="8" s="1"/>
  <c r="H102" i="8"/>
  <c r="I102" i="8" s="1"/>
  <c r="H103" i="8"/>
  <c r="I103" i="8" s="1"/>
  <c r="H104" i="8"/>
  <c r="H105" i="8"/>
  <c r="I105" i="8" s="1"/>
  <c r="H106" i="8"/>
  <c r="I106" i="8" s="1"/>
  <c r="H107" i="8"/>
  <c r="I107" i="8" s="1"/>
  <c r="H108" i="8"/>
  <c r="I108" i="8" s="1"/>
  <c r="H109" i="8"/>
  <c r="I109" i="8" s="1"/>
  <c r="H110" i="8"/>
  <c r="I110" i="8" s="1"/>
  <c r="H111" i="8"/>
  <c r="I111" i="8" s="1"/>
  <c r="H112" i="8"/>
  <c r="H113" i="8"/>
  <c r="I113" i="8" s="1"/>
  <c r="H114" i="8"/>
  <c r="I114" i="8" s="1"/>
  <c r="H115" i="8"/>
  <c r="H116" i="8"/>
  <c r="H117" i="8"/>
  <c r="I117" i="8" s="1"/>
  <c r="H118" i="8"/>
  <c r="I118" i="8" s="1"/>
  <c r="H119" i="8"/>
  <c r="I119" i="8" s="1"/>
  <c r="H120" i="8"/>
  <c r="H121" i="8"/>
  <c r="H122" i="8"/>
  <c r="I122" i="8" s="1"/>
  <c r="H123" i="8"/>
  <c r="H124" i="8"/>
  <c r="H125" i="8"/>
  <c r="I125" i="8" s="1"/>
  <c r="H126" i="8"/>
  <c r="I126" i="8" s="1"/>
  <c r="H127" i="8"/>
  <c r="I127" i="8" s="1"/>
  <c r="H128" i="8"/>
  <c r="H129" i="8"/>
  <c r="I129" i="8" s="1"/>
  <c r="H130" i="8"/>
  <c r="I130" i="8" s="1"/>
  <c r="H131" i="8"/>
  <c r="H132" i="8"/>
  <c r="H133" i="8"/>
  <c r="H134" i="8"/>
  <c r="I134" i="8" s="1"/>
  <c r="H135" i="8"/>
  <c r="I135" i="8" s="1"/>
  <c r="H136" i="8"/>
  <c r="H137" i="8"/>
  <c r="I137" i="8" s="1"/>
  <c r="H138" i="8"/>
  <c r="I138" i="8" s="1"/>
  <c r="H139" i="8"/>
  <c r="H140" i="8"/>
  <c r="H141" i="8"/>
  <c r="H142" i="8"/>
  <c r="I142" i="8" s="1"/>
  <c r="H143" i="8"/>
  <c r="I143" i="8" s="1"/>
  <c r="H144" i="8"/>
  <c r="H145" i="8"/>
  <c r="I145" i="8" s="1"/>
  <c r="H146" i="8"/>
  <c r="I146" i="8" s="1"/>
  <c r="H147" i="8"/>
  <c r="I147" i="8" s="1"/>
  <c r="H148" i="8"/>
  <c r="H149" i="8"/>
  <c r="H150" i="8"/>
  <c r="I150" i="8" s="1"/>
  <c r="H151" i="8"/>
  <c r="H152" i="8"/>
  <c r="H153" i="8"/>
  <c r="I153" i="8" s="1"/>
  <c r="H154" i="8"/>
  <c r="I154" i="8" s="1"/>
  <c r="H155" i="8"/>
  <c r="I155" i="8" s="1"/>
  <c r="H156" i="8"/>
  <c r="I156" i="8" s="1"/>
  <c r="H157" i="8"/>
  <c r="H158" i="8"/>
  <c r="I158" i="8" s="1"/>
  <c r="H159" i="8"/>
  <c r="H160" i="8"/>
  <c r="H161" i="8"/>
  <c r="I161" i="8" s="1"/>
  <c r="H162" i="8"/>
  <c r="I162" i="8" s="1"/>
  <c r="H163" i="8"/>
  <c r="I163" i="8" s="1"/>
  <c r="H164" i="8"/>
  <c r="I164" i="8" s="1"/>
  <c r="H165" i="8"/>
  <c r="I165" i="8" s="1"/>
  <c r="H166" i="8"/>
  <c r="I166" i="8" s="1"/>
  <c r="H167" i="8"/>
  <c r="I167" i="8" s="1"/>
  <c r="H168" i="8"/>
  <c r="H169" i="8"/>
  <c r="I169" i="8" s="1"/>
  <c r="H170" i="8"/>
  <c r="I170" i="8" s="1"/>
  <c r="H171" i="8"/>
  <c r="I171" i="8" s="1"/>
  <c r="H172" i="8"/>
  <c r="I172" i="8" s="1"/>
  <c r="H173" i="8"/>
  <c r="I173" i="8" s="1"/>
  <c r="H174" i="8"/>
  <c r="I174" i="8" s="1"/>
  <c r="H175" i="8"/>
  <c r="I175" i="8" s="1"/>
  <c r="H176" i="8"/>
  <c r="H177" i="8"/>
  <c r="I177" i="8" s="1"/>
  <c r="H178" i="8"/>
  <c r="I178" i="8" s="1"/>
  <c r="H179" i="8"/>
  <c r="H180" i="8"/>
  <c r="I180" i="8" s="1"/>
  <c r="H181" i="8"/>
  <c r="I181" i="8" s="1"/>
  <c r="H182" i="8"/>
  <c r="I182" i="8" s="1"/>
  <c r="H183" i="8"/>
  <c r="I183" i="8" s="1"/>
  <c r="H184" i="8"/>
  <c r="H185" i="8"/>
  <c r="I185" i="8" s="1"/>
  <c r="H186" i="8"/>
  <c r="I186" i="8" s="1"/>
  <c r="H187" i="8"/>
  <c r="H188" i="8"/>
  <c r="H189" i="8"/>
  <c r="I189" i="8" s="1"/>
  <c r="H190" i="8"/>
  <c r="I190" i="8" s="1"/>
  <c r="H191" i="8"/>
  <c r="I191" i="8" s="1"/>
  <c r="H192" i="8"/>
  <c r="H193" i="8"/>
  <c r="I193" i="8" s="1"/>
  <c r="H194" i="8"/>
  <c r="I194" i="8" s="1"/>
  <c r="H195" i="8"/>
  <c r="H196" i="8"/>
  <c r="H197" i="8"/>
  <c r="H198" i="8"/>
  <c r="I198" i="8" s="1"/>
  <c r="H199" i="8"/>
  <c r="I199" i="8" s="1"/>
  <c r="H200" i="8"/>
  <c r="H201" i="8"/>
  <c r="I201" i="8" s="1"/>
  <c r="H202" i="8"/>
  <c r="I202" i="8" s="1"/>
  <c r="H203" i="8"/>
  <c r="H204" i="8"/>
  <c r="H205" i="8"/>
  <c r="H206" i="8"/>
  <c r="I206" i="8" s="1"/>
  <c r="H207" i="8"/>
  <c r="I207" i="8" s="1"/>
  <c r="H208" i="8"/>
  <c r="H209" i="8"/>
  <c r="I209" i="8" s="1"/>
  <c r="H210" i="8"/>
  <c r="I210" i="8" s="1"/>
  <c r="H211" i="8"/>
  <c r="I211" i="8" s="1"/>
  <c r="H212" i="8"/>
  <c r="H213" i="8"/>
  <c r="H214" i="8"/>
  <c r="I214" i="8" s="1"/>
  <c r="H215" i="8"/>
  <c r="H216" i="8"/>
  <c r="H217" i="8"/>
  <c r="I217" i="8" s="1"/>
  <c r="H218" i="8"/>
  <c r="I218" i="8" s="1"/>
  <c r="H219" i="8"/>
  <c r="I219" i="8" s="1"/>
  <c r="H220" i="8"/>
  <c r="I220" i="8" s="1"/>
  <c r="H221" i="8"/>
  <c r="H222" i="8"/>
  <c r="I222" i="8" s="1"/>
  <c r="H223" i="8"/>
  <c r="H224" i="8"/>
  <c r="H225" i="8"/>
  <c r="I225" i="8" s="1"/>
  <c r="H226" i="8"/>
  <c r="I226" i="8" s="1"/>
  <c r="H227" i="8"/>
  <c r="I227" i="8" s="1"/>
  <c r="H228" i="8"/>
  <c r="I228" i="8" s="1"/>
  <c r="H229" i="8"/>
  <c r="I229" i="8" s="1"/>
  <c r="H230" i="8"/>
  <c r="I230" i="8" s="1"/>
  <c r="H231" i="8"/>
  <c r="I231" i="8" s="1"/>
  <c r="H232" i="8"/>
  <c r="H233" i="8"/>
  <c r="H234" i="8"/>
  <c r="I234" i="8" s="1"/>
  <c r="H235" i="8"/>
  <c r="I235" i="8" s="1"/>
  <c r="H236" i="8"/>
  <c r="I236" i="8" s="1"/>
  <c r="H237" i="8"/>
  <c r="I237" i="8" s="1"/>
  <c r="H238" i="8"/>
  <c r="I238" i="8" s="1"/>
  <c r="H239" i="8"/>
  <c r="I239" i="8" s="1"/>
  <c r="H240" i="8"/>
  <c r="H241" i="8"/>
  <c r="I241" i="8" s="1"/>
  <c r="H242" i="8"/>
  <c r="I242" i="8" s="1"/>
  <c r="H243" i="8"/>
  <c r="H244" i="8"/>
  <c r="I244" i="8" s="1"/>
  <c r="H245" i="8"/>
  <c r="I245" i="8" s="1"/>
  <c r="H246" i="8"/>
  <c r="I246" i="8" s="1"/>
  <c r="H247" i="8"/>
  <c r="I247" i="8" s="1"/>
  <c r="H248" i="8"/>
  <c r="H249" i="8"/>
  <c r="I249" i="8" s="1"/>
  <c r="H250" i="8"/>
  <c r="I250" i="8" s="1"/>
  <c r="H251" i="8"/>
  <c r="H252" i="8"/>
  <c r="H253" i="8"/>
  <c r="I253" i="8" s="1"/>
  <c r="H254" i="8"/>
  <c r="I254" i="8" s="1"/>
  <c r="H255" i="8"/>
  <c r="I255" i="8" s="1"/>
  <c r="H256" i="8"/>
  <c r="H257" i="8"/>
  <c r="I257" i="8" s="1"/>
  <c r="H258" i="8"/>
  <c r="I258" i="8" s="1"/>
  <c r="H259" i="8"/>
  <c r="H260" i="8"/>
  <c r="H261" i="8"/>
  <c r="H262" i="8"/>
  <c r="I262" i="8" s="1"/>
  <c r="H263" i="8"/>
  <c r="I263" i="8" s="1"/>
  <c r="H264" i="8"/>
  <c r="H265" i="8"/>
  <c r="I265" i="8" s="1"/>
  <c r="H266" i="8"/>
  <c r="I266" i="8" s="1"/>
  <c r="H267" i="8"/>
  <c r="H268" i="8"/>
  <c r="H269" i="8"/>
  <c r="H270" i="8"/>
  <c r="I270" i="8" s="1"/>
  <c r="H271" i="8"/>
  <c r="I271" i="8" s="1"/>
  <c r="H272" i="8"/>
  <c r="H273" i="8"/>
  <c r="I273" i="8" s="1"/>
  <c r="H274" i="8"/>
  <c r="I274" i="8" s="1"/>
  <c r="H275" i="8"/>
  <c r="I275" i="8" s="1"/>
  <c r="H276" i="8"/>
  <c r="H277" i="8"/>
  <c r="H278" i="8"/>
  <c r="I278" i="8" s="1"/>
  <c r="H279" i="8"/>
  <c r="H280" i="8"/>
  <c r="H281" i="8"/>
  <c r="I281" i="8" s="1"/>
  <c r="H282" i="8"/>
  <c r="I282" i="8" s="1"/>
  <c r="H283" i="8"/>
  <c r="I283" i="8" s="1"/>
  <c r="H284" i="8"/>
  <c r="I284" i="8" s="1"/>
  <c r="H285" i="8"/>
  <c r="H286" i="8"/>
  <c r="I286" i="8" s="1"/>
  <c r="H287" i="8"/>
  <c r="H288" i="8"/>
  <c r="H289" i="8"/>
  <c r="I289" i="8" s="1"/>
  <c r="H290" i="8"/>
  <c r="I290" i="8" s="1"/>
  <c r="H291" i="8"/>
  <c r="I291" i="8" s="1"/>
  <c r="H292" i="8"/>
  <c r="I292" i="8" s="1"/>
  <c r="H293" i="8"/>
  <c r="I293" i="8" s="1"/>
  <c r="H294" i="8"/>
  <c r="I294" i="8" s="1"/>
  <c r="H295" i="8"/>
  <c r="I295" i="8" s="1"/>
  <c r="H296" i="8"/>
  <c r="H297" i="8"/>
  <c r="I297" i="8" s="1"/>
  <c r="H298" i="8"/>
  <c r="I298" i="8" s="1"/>
  <c r="H299" i="8"/>
  <c r="I299" i="8" s="1"/>
  <c r="H300" i="8"/>
  <c r="I300" i="8" s="1"/>
  <c r="H301" i="8"/>
  <c r="I301" i="8" s="1"/>
  <c r="H302" i="8"/>
  <c r="I302" i="8" s="1"/>
  <c r="H303" i="8"/>
  <c r="I303" i="8" s="1"/>
  <c r="H304" i="8"/>
  <c r="H305" i="8"/>
  <c r="I305" i="8" s="1"/>
  <c r="H306" i="8"/>
  <c r="I306" i="8" s="1"/>
  <c r="H307" i="8"/>
  <c r="H308" i="8"/>
  <c r="I308" i="8" s="1"/>
  <c r="H309" i="8"/>
  <c r="I309" i="8" s="1"/>
  <c r="H310" i="8"/>
  <c r="I310" i="8" s="1"/>
  <c r="H311" i="8"/>
  <c r="I311" i="8" s="1"/>
  <c r="H312" i="8"/>
  <c r="H313" i="8"/>
  <c r="H314" i="8"/>
  <c r="I314" i="8" s="1"/>
  <c r="H315" i="8"/>
  <c r="H316" i="8"/>
  <c r="H317" i="8"/>
  <c r="I317" i="8" s="1"/>
  <c r="H318" i="8"/>
  <c r="I318" i="8" s="1"/>
  <c r="H319" i="8"/>
  <c r="I319" i="8" s="1"/>
  <c r="H320" i="8"/>
  <c r="H321" i="8"/>
  <c r="I321" i="8" s="1"/>
  <c r="H322" i="8"/>
  <c r="I322" i="8" s="1"/>
  <c r="H323" i="8"/>
  <c r="H324" i="8"/>
  <c r="H325" i="8"/>
  <c r="H326" i="8"/>
  <c r="I326" i="8" s="1"/>
  <c r="H327" i="8"/>
  <c r="I327" i="8" s="1"/>
  <c r="H328" i="8"/>
  <c r="H329" i="8"/>
  <c r="I329" i="8" s="1"/>
  <c r="H330" i="8"/>
  <c r="I330" i="8" s="1"/>
  <c r="H331" i="8"/>
  <c r="H332" i="8"/>
  <c r="H333" i="8"/>
  <c r="H334" i="8"/>
  <c r="I334" i="8" s="1"/>
  <c r="H335" i="8"/>
  <c r="I335" i="8" s="1"/>
  <c r="H336" i="8"/>
  <c r="H337" i="8"/>
  <c r="I337" i="8" s="1"/>
  <c r="H338" i="8"/>
  <c r="I338" i="8" s="1"/>
  <c r="H339" i="8"/>
  <c r="I339" i="8" s="1"/>
  <c r="H340" i="8"/>
  <c r="H341" i="8"/>
  <c r="H342" i="8"/>
  <c r="I342" i="8" s="1"/>
  <c r="H343" i="8"/>
  <c r="H2" i="8"/>
  <c r="F3" i="8"/>
  <c r="F4" i="8"/>
  <c r="F5" i="8"/>
  <c r="F6" i="8"/>
  <c r="F7" i="8"/>
  <c r="F8" i="8"/>
  <c r="F9" i="8"/>
  <c r="F10" i="8"/>
  <c r="G3" i="8" s="1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G28" i="8" s="1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G59" i="8" s="1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G75" i="8" s="1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G131" i="8" s="1"/>
  <c r="F132" i="8"/>
  <c r="G132" i="8" s="1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G148" i="8" s="1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G204" i="8" s="1"/>
  <c r="F205" i="8"/>
  <c r="G205" i="8" s="1"/>
  <c r="F206" i="8"/>
  <c r="F207" i="8"/>
  <c r="F208" i="8"/>
  <c r="F209" i="8"/>
  <c r="F210" i="8"/>
  <c r="F211" i="8"/>
  <c r="G211" i="8" s="1"/>
  <c r="F212" i="8"/>
  <c r="F213" i="8"/>
  <c r="F214" i="8"/>
  <c r="F215" i="8"/>
  <c r="F216" i="8"/>
  <c r="F217" i="8"/>
  <c r="F218" i="8"/>
  <c r="F219" i="8"/>
  <c r="F220" i="8"/>
  <c r="F221" i="8"/>
  <c r="G221" i="8" s="1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G277" i="8" s="1"/>
  <c r="F278" i="8"/>
  <c r="F279" i="8"/>
  <c r="F280" i="8"/>
  <c r="F281" i="8"/>
  <c r="F282" i="8"/>
  <c r="F283" i="8"/>
  <c r="F284" i="8"/>
  <c r="G284" i="8" s="1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G315" i="8" s="1"/>
  <c r="F316" i="8"/>
  <c r="F317" i="8"/>
  <c r="F318" i="8"/>
  <c r="F319" i="8"/>
  <c r="F320" i="8"/>
  <c r="F321" i="8"/>
  <c r="F322" i="8"/>
  <c r="G322" i="8" s="1"/>
  <c r="F323" i="8"/>
  <c r="F324" i="8"/>
  <c r="F325" i="8"/>
  <c r="F326" i="8"/>
  <c r="F327" i="8"/>
  <c r="F328" i="8"/>
  <c r="F329" i="8"/>
  <c r="F330" i="8"/>
  <c r="G330" i="8" s="1"/>
  <c r="F331" i="8"/>
  <c r="G331" i="8" s="1"/>
  <c r="F332" i="8"/>
  <c r="F333" i="8"/>
  <c r="F334" i="8"/>
  <c r="F335" i="8"/>
  <c r="F336" i="8"/>
  <c r="F337" i="8"/>
  <c r="F338" i="8"/>
  <c r="G338" i="8" s="1"/>
  <c r="F339" i="8"/>
  <c r="F340" i="8"/>
  <c r="F341" i="8"/>
  <c r="F342" i="8"/>
  <c r="F343" i="8"/>
  <c r="F2" i="8"/>
  <c r="F1" i="8"/>
  <c r="D8" i="8"/>
  <c r="D9" i="8"/>
  <c r="D10" i="8"/>
  <c r="D41" i="8"/>
  <c r="D48" i="8"/>
  <c r="D49" i="8"/>
  <c r="D65" i="8"/>
  <c r="D66" i="8"/>
  <c r="D104" i="8"/>
  <c r="D105" i="8"/>
  <c r="D112" i="8"/>
  <c r="D128" i="8"/>
  <c r="D160" i="8"/>
  <c r="D168" i="8"/>
  <c r="D169" i="8"/>
  <c r="D186" i="8"/>
  <c r="D209" i="8"/>
  <c r="D210" i="8"/>
  <c r="D211" i="8"/>
  <c r="D241" i="8"/>
  <c r="D242" i="8"/>
  <c r="D265" i="8"/>
  <c r="D266" i="8"/>
  <c r="D267" i="8"/>
  <c r="D291" i="8"/>
  <c r="D320" i="8"/>
  <c r="D321" i="8"/>
  <c r="D328" i="8"/>
  <c r="C2" i="8"/>
  <c r="D2" i="8" s="1"/>
  <c r="C3" i="8"/>
  <c r="D3" i="8" s="1"/>
  <c r="C4" i="8"/>
  <c r="D4" i="8" s="1"/>
  <c r="C5" i="8"/>
  <c r="D5" i="8" s="1"/>
  <c r="C6" i="8"/>
  <c r="D6" i="8" s="1"/>
  <c r="C7" i="8"/>
  <c r="D7" i="8" s="1"/>
  <c r="C8" i="8"/>
  <c r="C9" i="8"/>
  <c r="C10" i="8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C49" i="8"/>
  <c r="C50" i="8"/>
  <c r="D50" i="8" s="1"/>
  <c r="C51" i="8"/>
  <c r="D51" i="8" s="1"/>
  <c r="C52" i="8"/>
  <c r="D52" i="8" s="1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C66" i="8"/>
  <c r="C67" i="8"/>
  <c r="D67" i="8" s="1"/>
  <c r="C68" i="8"/>
  <c r="D68" i="8" s="1"/>
  <c r="C69" i="8"/>
  <c r="D69" i="8" s="1"/>
  <c r="C70" i="8"/>
  <c r="D70" i="8" s="1"/>
  <c r="C71" i="8"/>
  <c r="D71" i="8" s="1"/>
  <c r="C72" i="8"/>
  <c r="D72" i="8" s="1"/>
  <c r="C73" i="8"/>
  <c r="D73" i="8" s="1"/>
  <c r="C74" i="8"/>
  <c r="D74" i="8" s="1"/>
  <c r="C75" i="8"/>
  <c r="D75" i="8" s="1"/>
  <c r="C76" i="8"/>
  <c r="D76" i="8" s="1"/>
  <c r="C77" i="8"/>
  <c r="D77" i="8" s="1"/>
  <c r="C78" i="8"/>
  <c r="D78" i="8" s="1"/>
  <c r="C79" i="8"/>
  <c r="D79" i="8" s="1"/>
  <c r="C80" i="8"/>
  <c r="D80" i="8" s="1"/>
  <c r="C81" i="8"/>
  <c r="D81" i="8" s="1"/>
  <c r="C82" i="8"/>
  <c r="D82" i="8" s="1"/>
  <c r="C83" i="8"/>
  <c r="D83" i="8" s="1"/>
  <c r="C84" i="8"/>
  <c r="D84" i="8" s="1"/>
  <c r="C85" i="8"/>
  <c r="D85" i="8" s="1"/>
  <c r="C86" i="8"/>
  <c r="D86" i="8" s="1"/>
  <c r="C87" i="8"/>
  <c r="D87" i="8" s="1"/>
  <c r="C88" i="8"/>
  <c r="D88" i="8" s="1"/>
  <c r="C89" i="8"/>
  <c r="D89" i="8" s="1"/>
  <c r="C90" i="8"/>
  <c r="D90" i="8" s="1"/>
  <c r="C91" i="8"/>
  <c r="D91" i="8" s="1"/>
  <c r="C92" i="8"/>
  <c r="D92" i="8" s="1"/>
  <c r="C93" i="8"/>
  <c r="D93" i="8" s="1"/>
  <c r="C94" i="8"/>
  <c r="D94" i="8" s="1"/>
  <c r="C95" i="8"/>
  <c r="D95" i="8" s="1"/>
  <c r="C96" i="8"/>
  <c r="D96" i="8" s="1"/>
  <c r="C97" i="8"/>
  <c r="D97" i="8" s="1"/>
  <c r="C98" i="8"/>
  <c r="D98" i="8" s="1"/>
  <c r="C99" i="8"/>
  <c r="D99" i="8" s="1"/>
  <c r="C100" i="8"/>
  <c r="D100" i="8" s="1"/>
  <c r="C101" i="8"/>
  <c r="D101" i="8" s="1"/>
  <c r="C102" i="8"/>
  <c r="D102" i="8" s="1"/>
  <c r="C103" i="8"/>
  <c r="D103" i="8" s="1"/>
  <c r="C104" i="8"/>
  <c r="C105" i="8"/>
  <c r="C106" i="8"/>
  <c r="D106" i="8" s="1"/>
  <c r="C107" i="8"/>
  <c r="D107" i="8" s="1"/>
  <c r="C108" i="8"/>
  <c r="D108" i="8" s="1"/>
  <c r="C109" i="8"/>
  <c r="D109" i="8" s="1"/>
  <c r="C110" i="8"/>
  <c r="D110" i="8" s="1"/>
  <c r="C111" i="8"/>
  <c r="D111" i="8" s="1"/>
  <c r="C112" i="8"/>
  <c r="C113" i="8"/>
  <c r="D113" i="8" s="1"/>
  <c r="C114" i="8"/>
  <c r="D114" i="8" s="1"/>
  <c r="C115" i="8"/>
  <c r="D115" i="8" s="1"/>
  <c r="C116" i="8"/>
  <c r="D116" i="8" s="1"/>
  <c r="C117" i="8"/>
  <c r="D117" i="8" s="1"/>
  <c r="C118" i="8"/>
  <c r="D118" i="8" s="1"/>
  <c r="C119" i="8"/>
  <c r="D119" i="8" s="1"/>
  <c r="C120" i="8"/>
  <c r="D120" i="8" s="1"/>
  <c r="C121" i="8"/>
  <c r="D121" i="8" s="1"/>
  <c r="C122" i="8"/>
  <c r="D122" i="8" s="1"/>
  <c r="C123" i="8"/>
  <c r="D123" i="8" s="1"/>
  <c r="C124" i="8"/>
  <c r="D124" i="8" s="1"/>
  <c r="C125" i="8"/>
  <c r="D125" i="8" s="1"/>
  <c r="C126" i="8"/>
  <c r="D126" i="8" s="1"/>
  <c r="C127" i="8"/>
  <c r="D127" i="8" s="1"/>
  <c r="C128" i="8"/>
  <c r="C129" i="8"/>
  <c r="D129" i="8" s="1"/>
  <c r="C130" i="8"/>
  <c r="D130" i="8" s="1"/>
  <c r="C131" i="8"/>
  <c r="D131" i="8" s="1"/>
  <c r="C132" i="8"/>
  <c r="D132" i="8" s="1"/>
  <c r="C133" i="8"/>
  <c r="D133" i="8" s="1"/>
  <c r="C134" i="8"/>
  <c r="D134" i="8" s="1"/>
  <c r="C135" i="8"/>
  <c r="D135" i="8" s="1"/>
  <c r="C136" i="8"/>
  <c r="D136" i="8" s="1"/>
  <c r="C137" i="8"/>
  <c r="D137" i="8" s="1"/>
  <c r="C138" i="8"/>
  <c r="D138" i="8" s="1"/>
  <c r="C139" i="8"/>
  <c r="D139" i="8" s="1"/>
  <c r="C140" i="8"/>
  <c r="D140" i="8" s="1"/>
  <c r="C141" i="8"/>
  <c r="D141" i="8" s="1"/>
  <c r="C142" i="8"/>
  <c r="D142" i="8" s="1"/>
  <c r="C143" i="8"/>
  <c r="D143" i="8" s="1"/>
  <c r="C144" i="8"/>
  <c r="D144" i="8" s="1"/>
  <c r="C145" i="8"/>
  <c r="D145" i="8" s="1"/>
  <c r="C146" i="8"/>
  <c r="D146" i="8" s="1"/>
  <c r="C147" i="8"/>
  <c r="D147" i="8" s="1"/>
  <c r="C148" i="8"/>
  <c r="D148" i="8" s="1"/>
  <c r="C149" i="8"/>
  <c r="D149" i="8" s="1"/>
  <c r="C150" i="8"/>
  <c r="D150" i="8" s="1"/>
  <c r="C151" i="8"/>
  <c r="D151" i="8" s="1"/>
  <c r="C152" i="8"/>
  <c r="D152" i="8" s="1"/>
  <c r="C153" i="8"/>
  <c r="D153" i="8" s="1"/>
  <c r="C154" i="8"/>
  <c r="D154" i="8" s="1"/>
  <c r="C155" i="8"/>
  <c r="D155" i="8" s="1"/>
  <c r="C156" i="8"/>
  <c r="D156" i="8" s="1"/>
  <c r="C157" i="8"/>
  <c r="D157" i="8" s="1"/>
  <c r="C158" i="8"/>
  <c r="D158" i="8" s="1"/>
  <c r="C159" i="8"/>
  <c r="D159" i="8" s="1"/>
  <c r="C160" i="8"/>
  <c r="C161" i="8"/>
  <c r="D161" i="8" s="1"/>
  <c r="C162" i="8"/>
  <c r="D162" i="8" s="1"/>
  <c r="C163" i="8"/>
  <c r="D163" i="8" s="1"/>
  <c r="C164" i="8"/>
  <c r="D164" i="8" s="1"/>
  <c r="C165" i="8"/>
  <c r="D165" i="8" s="1"/>
  <c r="C166" i="8"/>
  <c r="D166" i="8" s="1"/>
  <c r="C167" i="8"/>
  <c r="D167" i="8" s="1"/>
  <c r="C168" i="8"/>
  <c r="C169" i="8"/>
  <c r="C170" i="8"/>
  <c r="D170" i="8" s="1"/>
  <c r="C171" i="8"/>
  <c r="D171" i="8" s="1"/>
  <c r="C172" i="8"/>
  <c r="D172" i="8" s="1"/>
  <c r="C173" i="8"/>
  <c r="D173" i="8" s="1"/>
  <c r="C174" i="8"/>
  <c r="D174" i="8" s="1"/>
  <c r="C175" i="8"/>
  <c r="D175" i="8" s="1"/>
  <c r="C176" i="8"/>
  <c r="D176" i="8" s="1"/>
  <c r="C177" i="8"/>
  <c r="D177" i="8" s="1"/>
  <c r="C178" i="8"/>
  <c r="D178" i="8" s="1"/>
  <c r="C179" i="8"/>
  <c r="D179" i="8" s="1"/>
  <c r="C180" i="8"/>
  <c r="D180" i="8" s="1"/>
  <c r="C181" i="8"/>
  <c r="D181" i="8" s="1"/>
  <c r="C182" i="8"/>
  <c r="D182" i="8" s="1"/>
  <c r="C183" i="8"/>
  <c r="D183" i="8" s="1"/>
  <c r="C184" i="8"/>
  <c r="D184" i="8" s="1"/>
  <c r="C185" i="8"/>
  <c r="D185" i="8" s="1"/>
  <c r="C186" i="8"/>
  <c r="C187" i="8"/>
  <c r="D187" i="8" s="1"/>
  <c r="C188" i="8"/>
  <c r="D188" i="8" s="1"/>
  <c r="C189" i="8"/>
  <c r="D189" i="8" s="1"/>
  <c r="C190" i="8"/>
  <c r="D190" i="8" s="1"/>
  <c r="C191" i="8"/>
  <c r="D191" i="8" s="1"/>
  <c r="C192" i="8"/>
  <c r="D192" i="8" s="1"/>
  <c r="C193" i="8"/>
  <c r="D193" i="8" s="1"/>
  <c r="C194" i="8"/>
  <c r="D194" i="8" s="1"/>
  <c r="C195" i="8"/>
  <c r="D195" i="8" s="1"/>
  <c r="C196" i="8"/>
  <c r="D196" i="8" s="1"/>
  <c r="C197" i="8"/>
  <c r="D197" i="8" s="1"/>
  <c r="C198" i="8"/>
  <c r="D198" i="8" s="1"/>
  <c r="C199" i="8"/>
  <c r="D199" i="8" s="1"/>
  <c r="C200" i="8"/>
  <c r="D200" i="8" s="1"/>
  <c r="C201" i="8"/>
  <c r="D201" i="8" s="1"/>
  <c r="C202" i="8"/>
  <c r="D202" i="8" s="1"/>
  <c r="C203" i="8"/>
  <c r="D203" i="8" s="1"/>
  <c r="C204" i="8"/>
  <c r="D204" i="8" s="1"/>
  <c r="C205" i="8"/>
  <c r="D205" i="8" s="1"/>
  <c r="C206" i="8"/>
  <c r="D206" i="8" s="1"/>
  <c r="C207" i="8"/>
  <c r="D207" i="8" s="1"/>
  <c r="C208" i="8"/>
  <c r="D208" i="8" s="1"/>
  <c r="C209" i="8"/>
  <c r="C210" i="8"/>
  <c r="C211" i="8"/>
  <c r="C212" i="8"/>
  <c r="D212" i="8" s="1"/>
  <c r="C213" i="8"/>
  <c r="D213" i="8" s="1"/>
  <c r="C214" i="8"/>
  <c r="D214" i="8" s="1"/>
  <c r="C215" i="8"/>
  <c r="D215" i="8" s="1"/>
  <c r="C216" i="8"/>
  <c r="D216" i="8" s="1"/>
  <c r="C217" i="8"/>
  <c r="D217" i="8" s="1"/>
  <c r="C218" i="8"/>
  <c r="D218" i="8" s="1"/>
  <c r="C219" i="8"/>
  <c r="D219" i="8" s="1"/>
  <c r="C220" i="8"/>
  <c r="D220" i="8" s="1"/>
  <c r="C221" i="8"/>
  <c r="D221" i="8" s="1"/>
  <c r="C222" i="8"/>
  <c r="D222" i="8" s="1"/>
  <c r="C223" i="8"/>
  <c r="D223" i="8" s="1"/>
  <c r="C224" i="8"/>
  <c r="D224" i="8" s="1"/>
  <c r="C225" i="8"/>
  <c r="D225" i="8" s="1"/>
  <c r="C226" i="8"/>
  <c r="D226" i="8" s="1"/>
  <c r="C227" i="8"/>
  <c r="D227" i="8" s="1"/>
  <c r="C228" i="8"/>
  <c r="D228" i="8" s="1"/>
  <c r="C229" i="8"/>
  <c r="D229" i="8" s="1"/>
  <c r="C230" i="8"/>
  <c r="D230" i="8" s="1"/>
  <c r="C231" i="8"/>
  <c r="D231" i="8" s="1"/>
  <c r="C232" i="8"/>
  <c r="D232" i="8" s="1"/>
  <c r="C233" i="8"/>
  <c r="D233" i="8" s="1"/>
  <c r="C234" i="8"/>
  <c r="D234" i="8" s="1"/>
  <c r="C235" i="8"/>
  <c r="D235" i="8" s="1"/>
  <c r="C236" i="8"/>
  <c r="D236" i="8" s="1"/>
  <c r="C237" i="8"/>
  <c r="D237" i="8" s="1"/>
  <c r="C238" i="8"/>
  <c r="D238" i="8" s="1"/>
  <c r="C239" i="8"/>
  <c r="D239" i="8" s="1"/>
  <c r="C240" i="8"/>
  <c r="D240" i="8" s="1"/>
  <c r="C241" i="8"/>
  <c r="C242" i="8"/>
  <c r="C243" i="8"/>
  <c r="D243" i="8" s="1"/>
  <c r="C244" i="8"/>
  <c r="D244" i="8" s="1"/>
  <c r="C245" i="8"/>
  <c r="D245" i="8" s="1"/>
  <c r="C246" i="8"/>
  <c r="D246" i="8" s="1"/>
  <c r="C247" i="8"/>
  <c r="D247" i="8" s="1"/>
  <c r="C248" i="8"/>
  <c r="D248" i="8" s="1"/>
  <c r="C249" i="8"/>
  <c r="D249" i="8" s="1"/>
  <c r="C250" i="8"/>
  <c r="D250" i="8" s="1"/>
  <c r="C251" i="8"/>
  <c r="D251" i="8" s="1"/>
  <c r="C252" i="8"/>
  <c r="D252" i="8" s="1"/>
  <c r="C253" i="8"/>
  <c r="D253" i="8" s="1"/>
  <c r="C254" i="8"/>
  <c r="D254" i="8" s="1"/>
  <c r="C255" i="8"/>
  <c r="D255" i="8" s="1"/>
  <c r="C256" i="8"/>
  <c r="D256" i="8" s="1"/>
  <c r="C257" i="8"/>
  <c r="D257" i="8" s="1"/>
  <c r="C258" i="8"/>
  <c r="D258" i="8" s="1"/>
  <c r="C259" i="8"/>
  <c r="D259" i="8" s="1"/>
  <c r="C260" i="8"/>
  <c r="D260" i="8" s="1"/>
  <c r="C261" i="8"/>
  <c r="D261" i="8" s="1"/>
  <c r="C262" i="8"/>
  <c r="D262" i="8" s="1"/>
  <c r="C263" i="8"/>
  <c r="D263" i="8" s="1"/>
  <c r="C264" i="8"/>
  <c r="D264" i="8" s="1"/>
  <c r="C265" i="8"/>
  <c r="C266" i="8"/>
  <c r="C267" i="8"/>
  <c r="C268" i="8"/>
  <c r="D268" i="8" s="1"/>
  <c r="C269" i="8"/>
  <c r="D269" i="8" s="1"/>
  <c r="C270" i="8"/>
  <c r="D270" i="8" s="1"/>
  <c r="C271" i="8"/>
  <c r="D271" i="8" s="1"/>
  <c r="C272" i="8"/>
  <c r="D272" i="8" s="1"/>
  <c r="C273" i="8"/>
  <c r="D273" i="8" s="1"/>
  <c r="C274" i="8"/>
  <c r="D274" i="8" s="1"/>
  <c r="C275" i="8"/>
  <c r="D275" i="8" s="1"/>
  <c r="C276" i="8"/>
  <c r="D276" i="8" s="1"/>
  <c r="C277" i="8"/>
  <c r="D277" i="8" s="1"/>
  <c r="C278" i="8"/>
  <c r="D278" i="8" s="1"/>
  <c r="C279" i="8"/>
  <c r="D279" i="8" s="1"/>
  <c r="C280" i="8"/>
  <c r="D280" i="8" s="1"/>
  <c r="C281" i="8"/>
  <c r="D281" i="8" s="1"/>
  <c r="C282" i="8"/>
  <c r="D282" i="8" s="1"/>
  <c r="C283" i="8"/>
  <c r="D283" i="8" s="1"/>
  <c r="C284" i="8"/>
  <c r="D284" i="8" s="1"/>
  <c r="C285" i="8"/>
  <c r="D285" i="8" s="1"/>
  <c r="C286" i="8"/>
  <c r="D286" i="8" s="1"/>
  <c r="C287" i="8"/>
  <c r="D287" i="8" s="1"/>
  <c r="C288" i="8"/>
  <c r="D288" i="8" s="1"/>
  <c r="C289" i="8"/>
  <c r="D289" i="8" s="1"/>
  <c r="C290" i="8"/>
  <c r="D290" i="8" s="1"/>
  <c r="C291" i="8"/>
  <c r="C292" i="8"/>
  <c r="D292" i="8" s="1"/>
  <c r="C293" i="8"/>
  <c r="D293" i="8" s="1"/>
  <c r="C294" i="8"/>
  <c r="D294" i="8" s="1"/>
  <c r="C295" i="8"/>
  <c r="D295" i="8" s="1"/>
  <c r="C296" i="8"/>
  <c r="D296" i="8" s="1"/>
  <c r="C297" i="8"/>
  <c r="D297" i="8" s="1"/>
  <c r="C298" i="8"/>
  <c r="D298" i="8" s="1"/>
  <c r="C299" i="8"/>
  <c r="D299" i="8" s="1"/>
  <c r="C300" i="8"/>
  <c r="D300" i="8" s="1"/>
  <c r="C301" i="8"/>
  <c r="D301" i="8" s="1"/>
  <c r="C302" i="8"/>
  <c r="D302" i="8" s="1"/>
  <c r="C303" i="8"/>
  <c r="D303" i="8" s="1"/>
  <c r="C304" i="8"/>
  <c r="D304" i="8" s="1"/>
  <c r="C305" i="8"/>
  <c r="D305" i="8" s="1"/>
  <c r="C306" i="8"/>
  <c r="D306" i="8" s="1"/>
  <c r="C307" i="8"/>
  <c r="D307" i="8" s="1"/>
  <c r="C308" i="8"/>
  <c r="D308" i="8" s="1"/>
  <c r="C309" i="8"/>
  <c r="D309" i="8" s="1"/>
  <c r="C310" i="8"/>
  <c r="D310" i="8" s="1"/>
  <c r="C311" i="8"/>
  <c r="D311" i="8" s="1"/>
  <c r="C312" i="8"/>
  <c r="D312" i="8" s="1"/>
  <c r="C313" i="8"/>
  <c r="D313" i="8" s="1"/>
  <c r="C314" i="8"/>
  <c r="D314" i="8" s="1"/>
  <c r="C315" i="8"/>
  <c r="D315" i="8" s="1"/>
  <c r="E315" i="8" s="1"/>
  <c r="C316" i="8"/>
  <c r="D316" i="8" s="1"/>
  <c r="C317" i="8"/>
  <c r="D317" i="8" s="1"/>
  <c r="C318" i="8"/>
  <c r="D318" i="8" s="1"/>
  <c r="C319" i="8"/>
  <c r="D319" i="8" s="1"/>
  <c r="C320" i="8"/>
  <c r="C321" i="8"/>
  <c r="C322" i="8"/>
  <c r="D322" i="8" s="1"/>
  <c r="C323" i="8"/>
  <c r="D323" i="8" s="1"/>
  <c r="C324" i="8"/>
  <c r="D324" i="8" s="1"/>
  <c r="C325" i="8"/>
  <c r="D325" i="8" s="1"/>
  <c r="C326" i="8"/>
  <c r="D326" i="8" s="1"/>
  <c r="C327" i="8"/>
  <c r="D327" i="8" s="1"/>
  <c r="C328" i="8"/>
  <c r="C329" i="8"/>
  <c r="D329" i="8" s="1"/>
  <c r="C330" i="8"/>
  <c r="D330" i="8" s="1"/>
  <c r="C331" i="8"/>
  <c r="D331" i="8" s="1"/>
  <c r="C332" i="8"/>
  <c r="D332" i="8" s="1"/>
  <c r="C333" i="8"/>
  <c r="D333" i="8" s="1"/>
  <c r="C334" i="8"/>
  <c r="D334" i="8" s="1"/>
  <c r="C335" i="8"/>
  <c r="D335" i="8" s="1"/>
  <c r="C336" i="8"/>
  <c r="D336" i="8" s="1"/>
  <c r="C337" i="8"/>
  <c r="D337" i="8" s="1"/>
  <c r="C338" i="8"/>
  <c r="D338" i="8" s="1"/>
  <c r="C339" i="8"/>
  <c r="D339" i="8" s="1"/>
  <c r="E339" i="8" s="1"/>
  <c r="C340" i="8"/>
  <c r="D340" i="8" s="1"/>
  <c r="C341" i="8"/>
  <c r="D341" i="8" s="1"/>
  <c r="C342" i="8"/>
  <c r="D342" i="8" s="1"/>
  <c r="C343" i="8"/>
  <c r="D343" i="8" s="1"/>
  <c r="C1" i="8"/>
  <c r="A1" i="8"/>
  <c r="B16" i="8"/>
  <c r="B24" i="8"/>
  <c r="B29" i="8"/>
  <c r="B53" i="8"/>
  <c r="B55" i="8"/>
  <c r="B56" i="8"/>
  <c r="B61" i="8"/>
  <c r="B85" i="8"/>
  <c r="B87" i="8"/>
  <c r="B88" i="8"/>
  <c r="B93" i="8"/>
  <c r="B117" i="8"/>
  <c r="B119" i="8"/>
  <c r="B133" i="8"/>
  <c r="B135" i="8"/>
  <c r="B157" i="8"/>
  <c r="B165" i="8"/>
  <c r="B167" i="8"/>
  <c r="B189" i="8"/>
  <c r="B197" i="8"/>
  <c r="B199" i="8"/>
  <c r="B221" i="8"/>
  <c r="B232" i="8"/>
  <c r="B237" i="8"/>
  <c r="B261" i="8"/>
  <c r="B263" i="8"/>
  <c r="B264" i="8"/>
  <c r="B269" i="8"/>
  <c r="B285" i="8"/>
  <c r="B287" i="8"/>
  <c r="B288" i="8"/>
  <c r="B327" i="8"/>
  <c r="B336" i="8"/>
  <c r="A13" i="8"/>
  <c r="B13" i="8" s="1"/>
  <c r="A14" i="8"/>
  <c r="B14" i="8" s="1"/>
  <c r="A15" i="8"/>
  <c r="B15" i="8" s="1"/>
  <c r="A16" i="8"/>
  <c r="A17" i="8"/>
  <c r="B17" i="8" s="1"/>
  <c r="A18" i="8"/>
  <c r="B18" i="8" s="1"/>
  <c r="A19" i="8"/>
  <c r="B19" i="8" s="1"/>
  <c r="A20" i="8"/>
  <c r="B20" i="8" s="1"/>
  <c r="A21" i="8"/>
  <c r="B21" i="8" s="1"/>
  <c r="A22" i="8"/>
  <c r="B22" i="8" s="1"/>
  <c r="A23" i="8"/>
  <c r="B23" i="8" s="1"/>
  <c r="A24" i="8"/>
  <c r="A25" i="8"/>
  <c r="B25" i="8" s="1"/>
  <c r="A26" i="8"/>
  <c r="B26" i="8" s="1"/>
  <c r="A27" i="8"/>
  <c r="B27" i="8" s="1"/>
  <c r="A28" i="8"/>
  <c r="B28" i="8" s="1"/>
  <c r="A29" i="8"/>
  <c r="A30" i="8"/>
  <c r="B30" i="8" s="1"/>
  <c r="A31" i="8"/>
  <c r="B31" i="8" s="1"/>
  <c r="A32" i="8"/>
  <c r="B32" i="8" s="1"/>
  <c r="A33" i="8"/>
  <c r="B33" i="8" s="1"/>
  <c r="A34" i="8"/>
  <c r="B34" i="8" s="1"/>
  <c r="A35" i="8"/>
  <c r="B35" i="8" s="1"/>
  <c r="A36" i="8"/>
  <c r="B36" i="8" s="1"/>
  <c r="A37" i="8"/>
  <c r="B37" i="8" s="1"/>
  <c r="A38" i="8"/>
  <c r="B38" i="8" s="1"/>
  <c r="A39" i="8"/>
  <c r="B39" i="8" s="1"/>
  <c r="A40" i="8"/>
  <c r="B40" i="8" s="1"/>
  <c r="A41" i="8"/>
  <c r="B41" i="8" s="1"/>
  <c r="A42" i="8"/>
  <c r="B42" i="8" s="1"/>
  <c r="A43" i="8"/>
  <c r="B43" i="8" s="1"/>
  <c r="A44" i="8"/>
  <c r="B44" i="8" s="1"/>
  <c r="A45" i="8"/>
  <c r="B45" i="8" s="1"/>
  <c r="A46" i="8"/>
  <c r="B46" i="8" s="1"/>
  <c r="A47" i="8"/>
  <c r="B47" i="8" s="1"/>
  <c r="A48" i="8"/>
  <c r="B48" i="8" s="1"/>
  <c r="A49" i="8"/>
  <c r="B49" i="8" s="1"/>
  <c r="A50" i="8"/>
  <c r="B50" i="8" s="1"/>
  <c r="A51" i="8"/>
  <c r="B51" i="8" s="1"/>
  <c r="A52" i="8"/>
  <c r="B52" i="8" s="1"/>
  <c r="A53" i="8"/>
  <c r="A54" i="8"/>
  <c r="B54" i="8" s="1"/>
  <c r="A55" i="8"/>
  <c r="A56" i="8"/>
  <c r="A57" i="8"/>
  <c r="B57" i="8" s="1"/>
  <c r="A58" i="8"/>
  <c r="B58" i="8" s="1"/>
  <c r="A59" i="8"/>
  <c r="B59" i="8" s="1"/>
  <c r="A60" i="8"/>
  <c r="B60" i="8" s="1"/>
  <c r="A61" i="8"/>
  <c r="A62" i="8"/>
  <c r="B62" i="8" s="1"/>
  <c r="A63" i="8"/>
  <c r="B63" i="8" s="1"/>
  <c r="A64" i="8"/>
  <c r="B64" i="8" s="1"/>
  <c r="A65" i="8"/>
  <c r="B65" i="8" s="1"/>
  <c r="A66" i="8"/>
  <c r="B66" i="8" s="1"/>
  <c r="A67" i="8"/>
  <c r="B67" i="8" s="1"/>
  <c r="A68" i="8"/>
  <c r="B68" i="8" s="1"/>
  <c r="A69" i="8"/>
  <c r="B69" i="8" s="1"/>
  <c r="A70" i="8"/>
  <c r="B70" i="8" s="1"/>
  <c r="A71" i="8"/>
  <c r="B71" i="8" s="1"/>
  <c r="A72" i="8"/>
  <c r="B72" i="8" s="1"/>
  <c r="A73" i="8"/>
  <c r="B73" i="8" s="1"/>
  <c r="A74" i="8"/>
  <c r="B74" i="8" s="1"/>
  <c r="A75" i="8"/>
  <c r="B75" i="8" s="1"/>
  <c r="A76" i="8"/>
  <c r="B76" i="8" s="1"/>
  <c r="A77" i="8"/>
  <c r="B77" i="8" s="1"/>
  <c r="A78" i="8"/>
  <c r="B78" i="8" s="1"/>
  <c r="A79" i="8"/>
  <c r="B79" i="8" s="1"/>
  <c r="A80" i="8"/>
  <c r="B80" i="8" s="1"/>
  <c r="A81" i="8"/>
  <c r="B81" i="8" s="1"/>
  <c r="A82" i="8"/>
  <c r="B82" i="8" s="1"/>
  <c r="A83" i="8"/>
  <c r="B83" i="8" s="1"/>
  <c r="A84" i="8"/>
  <c r="B84" i="8" s="1"/>
  <c r="A85" i="8"/>
  <c r="A86" i="8"/>
  <c r="B86" i="8" s="1"/>
  <c r="A87" i="8"/>
  <c r="A88" i="8"/>
  <c r="A89" i="8"/>
  <c r="B89" i="8" s="1"/>
  <c r="A90" i="8"/>
  <c r="B90" i="8" s="1"/>
  <c r="A91" i="8"/>
  <c r="B91" i="8" s="1"/>
  <c r="A92" i="8"/>
  <c r="B92" i="8" s="1"/>
  <c r="A93" i="8"/>
  <c r="A94" i="8"/>
  <c r="B94" i="8" s="1"/>
  <c r="A95" i="8"/>
  <c r="B95" i="8" s="1"/>
  <c r="A96" i="8"/>
  <c r="B96" i="8" s="1"/>
  <c r="A97" i="8"/>
  <c r="B97" i="8" s="1"/>
  <c r="A98" i="8"/>
  <c r="B98" i="8" s="1"/>
  <c r="A99" i="8"/>
  <c r="B99" i="8" s="1"/>
  <c r="A100" i="8"/>
  <c r="B100" i="8" s="1"/>
  <c r="A101" i="8"/>
  <c r="B101" i="8" s="1"/>
  <c r="A102" i="8"/>
  <c r="B102" i="8" s="1"/>
  <c r="A103" i="8"/>
  <c r="B103" i="8" s="1"/>
  <c r="A104" i="8"/>
  <c r="B104" i="8" s="1"/>
  <c r="A105" i="8"/>
  <c r="B105" i="8" s="1"/>
  <c r="A106" i="8"/>
  <c r="B106" i="8" s="1"/>
  <c r="A107" i="8"/>
  <c r="B107" i="8" s="1"/>
  <c r="A108" i="8"/>
  <c r="B108" i="8" s="1"/>
  <c r="A109" i="8"/>
  <c r="B109" i="8" s="1"/>
  <c r="A110" i="8"/>
  <c r="B110" i="8" s="1"/>
  <c r="A111" i="8"/>
  <c r="B111" i="8" s="1"/>
  <c r="A112" i="8"/>
  <c r="B112" i="8" s="1"/>
  <c r="A113" i="8"/>
  <c r="B113" i="8" s="1"/>
  <c r="A114" i="8"/>
  <c r="B114" i="8" s="1"/>
  <c r="A115" i="8"/>
  <c r="B115" i="8" s="1"/>
  <c r="A116" i="8"/>
  <c r="B116" i="8" s="1"/>
  <c r="A117" i="8"/>
  <c r="A118" i="8"/>
  <c r="B118" i="8" s="1"/>
  <c r="A119" i="8"/>
  <c r="A120" i="8"/>
  <c r="B120" i="8" s="1"/>
  <c r="A121" i="8"/>
  <c r="B121" i="8" s="1"/>
  <c r="A122" i="8"/>
  <c r="B122" i="8" s="1"/>
  <c r="A123" i="8"/>
  <c r="B123" i="8" s="1"/>
  <c r="A124" i="8"/>
  <c r="B124" i="8" s="1"/>
  <c r="A125" i="8"/>
  <c r="B125" i="8" s="1"/>
  <c r="A126" i="8"/>
  <c r="B126" i="8" s="1"/>
  <c r="A127" i="8"/>
  <c r="B127" i="8" s="1"/>
  <c r="A128" i="8"/>
  <c r="B128" i="8" s="1"/>
  <c r="A129" i="8"/>
  <c r="B129" i="8" s="1"/>
  <c r="A130" i="8"/>
  <c r="B130" i="8" s="1"/>
  <c r="A131" i="8"/>
  <c r="B131" i="8" s="1"/>
  <c r="A132" i="8"/>
  <c r="B132" i="8" s="1"/>
  <c r="A133" i="8"/>
  <c r="A134" i="8"/>
  <c r="B134" i="8" s="1"/>
  <c r="A135" i="8"/>
  <c r="A136" i="8"/>
  <c r="B136" i="8" s="1"/>
  <c r="A137" i="8"/>
  <c r="B137" i="8" s="1"/>
  <c r="A138" i="8"/>
  <c r="B138" i="8" s="1"/>
  <c r="A139" i="8"/>
  <c r="B139" i="8" s="1"/>
  <c r="A140" i="8"/>
  <c r="B140" i="8" s="1"/>
  <c r="A141" i="8"/>
  <c r="B141" i="8" s="1"/>
  <c r="A142" i="8"/>
  <c r="B142" i="8" s="1"/>
  <c r="A143" i="8"/>
  <c r="B143" i="8" s="1"/>
  <c r="A144" i="8"/>
  <c r="B144" i="8" s="1"/>
  <c r="A145" i="8"/>
  <c r="B145" i="8" s="1"/>
  <c r="A146" i="8"/>
  <c r="B146" i="8" s="1"/>
  <c r="A147" i="8"/>
  <c r="B147" i="8" s="1"/>
  <c r="A148" i="8"/>
  <c r="B148" i="8" s="1"/>
  <c r="A149" i="8"/>
  <c r="B149" i="8" s="1"/>
  <c r="A150" i="8"/>
  <c r="B150" i="8" s="1"/>
  <c r="A151" i="8"/>
  <c r="B151" i="8" s="1"/>
  <c r="A152" i="8"/>
  <c r="B152" i="8" s="1"/>
  <c r="A153" i="8"/>
  <c r="B153" i="8" s="1"/>
  <c r="A154" i="8"/>
  <c r="B154" i="8" s="1"/>
  <c r="A155" i="8"/>
  <c r="B155" i="8" s="1"/>
  <c r="A156" i="8"/>
  <c r="B156" i="8" s="1"/>
  <c r="A157" i="8"/>
  <c r="A158" i="8"/>
  <c r="B158" i="8" s="1"/>
  <c r="A159" i="8"/>
  <c r="B159" i="8" s="1"/>
  <c r="A160" i="8"/>
  <c r="B160" i="8" s="1"/>
  <c r="A161" i="8"/>
  <c r="B161" i="8" s="1"/>
  <c r="A162" i="8"/>
  <c r="B162" i="8" s="1"/>
  <c r="A163" i="8"/>
  <c r="B163" i="8" s="1"/>
  <c r="A164" i="8"/>
  <c r="B164" i="8" s="1"/>
  <c r="A165" i="8"/>
  <c r="A166" i="8"/>
  <c r="B166" i="8" s="1"/>
  <c r="A167" i="8"/>
  <c r="A168" i="8"/>
  <c r="B168" i="8" s="1"/>
  <c r="A169" i="8"/>
  <c r="B169" i="8" s="1"/>
  <c r="A170" i="8"/>
  <c r="B170" i="8" s="1"/>
  <c r="A171" i="8"/>
  <c r="B171" i="8" s="1"/>
  <c r="A172" i="8"/>
  <c r="B172" i="8" s="1"/>
  <c r="A173" i="8"/>
  <c r="B173" i="8" s="1"/>
  <c r="A174" i="8"/>
  <c r="B174" i="8" s="1"/>
  <c r="A175" i="8"/>
  <c r="B175" i="8" s="1"/>
  <c r="A176" i="8"/>
  <c r="B176" i="8" s="1"/>
  <c r="A177" i="8"/>
  <c r="B177" i="8" s="1"/>
  <c r="A178" i="8"/>
  <c r="B178" i="8" s="1"/>
  <c r="A179" i="8"/>
  <c r="B179" i="8" s="1"/>
  <c r="A180" i="8"/>
  <c r="B180" i="8" s="1"/>
  <c r="A181" i="8"/>
  <c r="B181" i="8" s="1"/>
  <c r="A182" i="8"/>
  <c r="B182" i="8" s="1"/>
  <c r="A183" i="8"/>
  <c r="B183" i="8" s="1"/>
  <c r="A184" i="8"/>
  <c r="B184" i="8" s="1"/>
  <c r="A185" i="8"/>
  <c r="B185" i="8" s="1"/>
  <c r="A186" i="8"/>
  <c r="B186" i="8" s="1"/>
  <c r="A187" i="8"/>
  <c r="B187" i="8" s="1"/>
  <c r="A188" i="8"/>
  <c r="B188" i="8" s="1"/>
  <c r="A189" i="8"/>
  <c r="A190" i="8"/>
  <c r="B190" i="8" s="1"/>
  <c r="A191" i="8"/>
  <c r="B191" i="8" s="1"/>
  <c r="A192" i="8"/>
  <c r="B192" i="8" s="1"/>
  <c r="A193" i="8"/>
  <c r="B193" i="8" s="1"/>
  <c r="A194" i="8"/>
  <c r="B194" i="8" s="1"/>
  <c r="A195" i="8"/>
  <c r="B195" i="8" s="1"/>
  <c r="A196" i="8"/>
  <c r="B196" i="8" s="1"/>
  <c r="A197" i="8"/>
  <c r="A198" i="8"/>
  <c r="B198" i="8" s="1"/>
  <c r="A199" i="8"/>
  <c r="A200" i="8"/>
  <c r="B200" i="8" s="1"/>
  <c r="A201" i="8"/>
  <c r="B201" i="8" s="1"/>
  <c r="A202" i="8"/>
  <c r="B202" i="8" s="1"/>
  <c r="A203" i="8"/>
  <c r="B203" i="8" s="1"/>
  <c r="A204" i="8"/>
  <c r="B204" i="8" s="1"/>
  <c r="A205" i="8"/>
  <c r="B205" i="8" s="1"/>
  <c r="A206" i="8"/>
  <c r="B206" i="8" s="1"/>
  <c r="A207" i="8"/>
  <c r="B207" i="8" s="1"/>
  <c r="A208" i="8"/>
  <c r="B208" i="8" s="1"/>
  <c r="A209" i="8"/>
  <c r="B209" i="8" s="1"/>
  <c r="A210" i="8"/>
  <c r="B210" i="8" s="1"/>
  <c r="A211" i="8"/>
  <c r="B211" i="8" s="1"/>
  <c r="A212" i="8"/>
  <c r="B212" i="8" s="1"/>
  <c r="A213" i="8"/>
  <c r="B213" i="8" s="1"/>
  <c r="A214" i="8"/>
  <c r="B214" i="8" s="1"/>
  <c r="A215" i="8"/>
  <c r="B215" i="8" s="1"/>
  <c r="A216" i="8"/>
  <c r="B216" i="8" s="1"/>
  <c r="A217" i="8"/>
  <c r="B217" i="8" s="1"/>
  <c r="A218" i="8"/>
  <c r="B218" i="8" s="1"/>
  <c r="A219" i="8"/>
  <c r="B219" i="8" s="1"/>
  <c r="A220" i="8"/>
  <c r="B220" i="8" s="1"/>
  <c r="A221" i="8"/>
  <c r="A222" i="8"/>
  <c r="B222" i="8" s="1"/>
  <c r="A223" i="8"/>
  <c r="B223" i="8" s="1"/>
  <c r="A224" i="8"/>
  <c r="B224" i="8" s="1"/>
  <c r="A225" i="8"/>
  <c r="B225" i="8" s="1"/>
  <c r="A226" i="8"/>
  <c r="B226" i="8" s="1"/>
  <c r="A227" i="8"/>
  <c r="B227" i="8" s="1"/>
  <c r="A228" i="8"/>
  <c r="B228" i="8" s="1"/>
  <c r="A229" i="8"/>
  <c r="B229" i="8" s="1"/>
  <c r="A230" i="8"/>
  <c r="B230" i="8" s="1"/>
  <c r="A231" i="8"/>
  <c r="B231" i="8" s="1"/>
  <c r="A232" i="8"/>
  <c r="A233" i="8"/>
  <c r="B233" i="8" s="1"/>
  <c r="A234" i="8"/>
  <c r="B234" i="8" s="1"/>
  <c r="A235" i="8"/>
  <c r="B235" i="8" s="1"/>
  <c r="A236" i="8"/>
  <c r="B236" i="8" s="1"/>
  <c r="A237" i="8"/>
  <c r="A238" i="8"/>
  <c r="B238" i="8" s="1"/>
  <c r="A239" i="8"/>
  <c r="B239" i="8" s="1"/>
  <c r="A240" i="8"/>
  <c r="B240" i="8" s="1"/>
  <c r="A241" i="8"/>
  <c r="B241" i="8" s="1"/>
  <c r="A242" i="8"/>
  <c r="B242" i="8" s="1"/>
  <c r="A243" i="8"/>
  <c r="B243" i="8" s="1"/>
  <c r="A244" i="8"/>
  <c r="B244" i="8" s="1"/>
  <c r="A245" i="8"/>
  <c r="B245" i="8" s="1"/>
  <c r="A246" i="8"/>
  <c r="B246" i="8" s="1"/>
  <c r="A247" i="8"/>
  <c r="B247" i="8" s="1"/>
  <c r="A248" i="8"/>
  <c r="B248" i="8" s="1"/>
  <c r="A249" i="8"/>
  <c r="B249" i="8" s="1"/>
  <c r="A250" i="8"/>
  <c r="B250" i="8" s="1"/>
  <c r="A251" i="8"/>
  <c r="B251" i="8" s="1"/>
  <c r="A252" i="8"/>
  <c r="B252" i="8" s="1"/>
  <c r="A253" i="8"/>
  <c r="B253" i="8" s="1"/>
  <c r="A254" i="8"/>
  <c r="B254" i="8" s="1"/>
  <c r="A255" i="8"/>
  <c r="B255" i="8" s="1"/>
  <c r="A256" i="8"/>
  <c r="B256" i="8" s="1"/>
  <c r="A257" i="8"/>
  <c r="B257" i="8" s="1"/>
  <c r="A258" i="8"/>
  <c r="B258" i="8" s="1"/>
  <c r="A259" i="8"/>
  <c r="B259" i="8" s="1"/>
  <c r="A260" i="8"/>
  <c r="B260" i="8" s="1"/>
  <c r="A261" i="8"/>
  <c r="A262" i="8"/>
  <c r="B262" i="8" s="1"/>
  <c r="A263" i="8"/>
  <c r="A264" i="8"/>
  <c r="A265" i="8"/>
  <c r="B265" i="8" s="1"/>
  <c r="A266" i="8"/>
  <c r="B266" i="8" s="1"/>
  <c r="A267" i="8"/>
  <c r="B267" i="8" s="1"/>
  <c r="A268" i="8"/>
  <c r="B268" i="8" s="1"/>
  <c r="A269" i="8"/>
  <c r="A270" i="8"/>
  <c r="B270" i="8" s="1"/>
  <c r="A271" i="8"/>
  <c r="B271" i="8" s="1"/>
  <c r="A272" i="8"/>
  <c r="B272" i="8" s="1"/>
  <c r="A273" i="8"/>
  <c r="B273" i="8" s="1"/>
  <c r="A274" i="8"/>
  <c r="B274" i="8" s="1"/>
  <c r="A275" i="8"/>
  <c r="B275" i="8" s="1"/>
  <c r="A276" i="8"/>
  <c r="B276" i="8" s="1"/>
  <c r="A277" i="8"/>
  <c r="B277" i="8" s="1"/>
  <c r="A278" i="8"/>
  <c r="B278" i="8" s="1"/>
  <c r="A279" i="8"/>
  <c r="B279" i="8" s="1"/>
  <c r="A280" i="8"/>
  <c r="B280" i="8" s="1"/>
  <c r="A281" i="8"/>
  <c r="B281" i="8" s="1"/>
  <c r="A282" i="8"/>
  <c r="B282" i="8" s="1"/>
  <c r="A283" i="8"/>
  <c r="B283" i="8" s="1"/>
  <c r="A284" i="8"/>
  <c r="B284" i="8" s="1"/>
  <c r="A285" i="8"/>
  <c r="A286" i="8"/>
  <c r="B286" i="8" s="1"/>
  <c r="A287" i="8"/>
  <c r="A288" i="8"/>
  <c r="A289" i="8"/>
  <c r="B289" i="8" s="1"/>
  <c r="A290" i="8"/>
  <c r="B290" i="8" s="1"/>
  <c r="A291" i="8"/>
  <c r="B291" i="8" s="1"/>
  <c r="A292" i="8"/>
  <c r="B292" i="8" s="1"/>
  <c r="A293" i="8"/>
  <c r="B293" i="8" s="1"/>
  <c r="A294" i="8"/>
  <c r="B294" i="8" s="1"/>
  <c r="A295" i="8"/>
  <c r="B295" i="8" s="1"/>
  <c r="A296" i="8"/>
  <c r="B296" i="8" s="1"/>
  <c r="A297" i="8"/>
  <c r="B297" i="8" s="1"/>
  <c r="A298" i="8"/>
  <c r="B298" i="8" s="1"/>
  <c r="A299" i="8"/>
  <c r="B299" i="8" s="1"/>
  <c r="A300" i="8"/>
  <c r="B300" i="8" s="1"/>
  <c r="A301" i="8"/>
  <c r="B301" i="8" s="1"/>
  <c r="A302" i="8"/>
  <c r="B302" i="8" s="1"/>
  <c r="A303" i="8"/>
  <c r="B303" i="8" s="1"/>
  <c r="A304" i="8"/>
  <c r="B304" i="8" s="1"/>
  <c r="A305" i="8"/>
  <c r="B305" i="8" s="1"/>
  <c r="A306" i="8"/>
  <c r="B306" i="8" s="1"/>
  <c r="A307" i="8"/>
  <c r="B307" i="8" s="1"/>
  <c r="A308" i="8"/>
  <c r="B308" i="8" s="1"/>
  <c r="A309" i="8"/>
  <c r="B309" i="8" s="1"/>
  <c r="A310" i="8"/>
  <c r="B310" i="8" s="1"/>
  <c r="A311" i="8"/>
  <c r="B311" i="8" s="1"/>
  <c r="A312" i="8"/>
  <c r="B312" i="8" s="1"/>
  <c r="A313" i="8"/>
  <c r="B313" i="8" s="1"/>
  <c r="A314" i="8"/>
  <c r="B314" i="8" s="1"/>
  <c r="A315" i="8"/>
  <c r="B315" i="8" s="1"/>
  <c r="A316" i="8"/>
  <c r="B316" i="8" s="1"/>
  <c r="A317" i="8"/>
  <c r="B317" i="8" s="1"/>
  <c r="A318" i="8"/>
  <c r="B318" i="8" s="1"/>
  <c r="A319" i="8"/>
  <c r="B319" i="8" s="1"/>
  <c r="A320" i="8"/>
  <c r="B320" i="8" s="1"/>
  <c r="A321" i="8"/>
  <c r="B321" i="8" s="1"/>
  <c r="A322" i="8"/>
  <c r="B322" i="8" s="1"/>
  <c r="A323" i="8"/>
  <c r="B323" i="8" s="1"/>
  <c r="A324" i="8"/>
  <c r="B324" i="8" s="1"/>
  <c r="A325" i="8"/>
  <c r="B325" i="8" s="1"/>
  <c r="A326" i="8"/>
  <c r="B326" i="8" s="1"/>
  <c r="A327" i="8"/>
  <c r="A328" i="8"/>
  <c r="B328" i="8" s="1"/>
  <c r="A329" i="8"/>
  <c r="B329" i="8" s="1"/>
  <c r="A330" i="8"/>
  <c r="B330" i="8" s="1"/>
  <c r="A331" i="8"/>
  <c r="B331" i="8" s="1"/>
  <c r="A332" i="8"/>
  <c r="B332" i="8" s="1"/>
  <c r="A333" i="8"/>
  <c r="B333" i="8" s="1"/>
  <c r="A334" i="8"/>
  <c r="B334" i="8" s="1"/>
  <c r="A335" i="8"/>
  <c r="B335" i="8" s="1"/>
  <c r="A336" i="8"/>
  <c r="A337" i="8"/>
  <c r="B337" i="8" s="1"/>
  <c r="A338" i="8"/>
  <c r="B338" i="8" s="1"/>
  <c r="A339" i="8"/>
  <c r="B339" i="8" s="1"/>
  <c r="A340" i="8"/>
  <c r="B340" i="8" s="1"/>
  <c r="A341" i="8"/>
  <c r="B341" i="8" s="1"/>
  <c r="A342" i="8"/>
  <c r="B342" i="8" s="1"/>
  <c r="A343" i="8"/>
  <c r="B343" i="8" s="1"/>
  <c r="A3" i="8"/>
  <c r="B3" i="8" s="1"/>
  <c r="A4" i="8"/>
  <c r="B4" i="8" s="1"/>
  <c r="A5" i="8"/>
  <c r="B5" i="8" s="1"/>
  <c r="A6" i="8"/>
  <c r="B6" i="8" s="1"/>
  <c r="A7" i="8"/>
  <c r="B7" i="8" s="1"/>
  <c r="A8" i="8"/>
  <c r="B8" i="8" s="1"/>
  <c r="A9" i="8"/>
  <c r="B9" i="8" s="1"/>
  <c r="A10" i="8"/>
  <c r="B10" i="8" s="1"/>
  <c r="A11" i="8"/>
  <c r="B11" i="8" s="1"/>
  <c r="A12" i="8"/>
  <c r="B12" i="8" s="1"/>
  <c r="A2" i="8"/>
  <c r="B2" i="8" s="1"/>
  <c r="C2" i="6" l="1"/>
  <c r="C3" i="6"/>
  <c r="C5" i="6"/>
  <c r="C4" i="6"/>
  <c r="C6" i="6"/>
  <c r="E187" i="8"/>
  <c r="E171" i="8"/>
  <c r="E11" i="8"/>
  <c r="E297" i="8"/>
  <c r="E328" i="8"/>
  <c r="E296" i="8"/>
  <c r="E264" i="8"/>
  <c r="E300" i="8"/>
  <c r="E292" i="8"/>
  <c r="E169" i="8"/>
  <c r="E219" i="8"/>
  <c r="E131" i="8"/>
  <c r="E51" i="8"/>
  <c r="E298" i="8"/>
  <c r="E290" i="8"/>
  <c r="E274" i="8"/>
  <c r="E234" i="8"/>
  <c r="E178" i="8"/>
  <c r="E170" i="8"/>
  <c r="E98" i="8"/>
  <c r="E82" i="8"/>
  <c r="E45" i="8"/>
  <c r="E329" i="8"/>
  <c r="E273" i="8"/>
  <c r="E249" i="8"/>
  <c r="E193" i="8"/>
  <c r="E129" i="8"/>
  <c r="E81" i="8"/>
  <c r="E25" i="8"/>
  <c r="E241" i="8"/>
  <c r="E280" i="8"/>
  <c r="E208" i="8"/>
  <c r="E88" i="8"/>
  <c r="E211" i="8"/>
  <c r="E320" i="8"/>
  <c r="E210" i="8"/>
  <c r="E9" i="8"/>
  <c r="E179" i="8"/>
  <c r="E67" i="8"/>
  <c r="E26" i="8"/>
  <c r="E305" i="8"/>
  <c r="E233" i="8"/>
  <c r="E248" i="8"/>
  <c r="E192" i="8"/>
  <c r="E72" i="8"/>
  <c r="E40" i="8"/>
  <c r="E141" i="8"/>
  <c r="E147" i="8"/>
  <c r="E99" i="8"/>
  <c r="E338" i="8"/>
  <c r="E304" i="8"/>
  <c r="E272" i="8"/>
  <c r="E232" i="8"/>
  <c r="E136" i="8"/>
  <c r="E96" i="8"/>
  <c r="E342" i="8"/>
  <c r="E286" i="8"/>
  <c r="E246" i="8"/>
  <c r="E198" i="8"/>
  <c r="E110" i="8"/>
  <c r="E54" i="8"/>
  <c r="E291" i="8"/>
  <c r="E128" i="8"/>
  <c r="G298" i="8"/>
  <c r="G266" i="8"/>
  <c r="G234" i="8"/>
  <c r="G202" i="8"/>
  <c r="G162" i="8"/>
  <c r="G114" i="8"/>
  <c r="E325" i="8"/>
  <c r="E277" i="8"/>
  <c r="E205" i="8"/>
  <c r="E109" i="8"/>
  <c r="G329" i="8"/>
  <c r="E324" i="8"/>
  <c r="E276" i="8"/>
  <c r="E244" i="8"/>
  <c r="E212" i="8"/>
  <c r="E188" i="8"/>
  <c r="E156" i="8"/>
  <c r="E124" i="8"/>
  <c r="E92" i="8"/>
  <c r="E60" i="8"/>
  <c r="E4" i="8"/>
  <c r="E48" i="8"/>
  <c r="G48" i="8"/>
  <c r="E301" i="8"/>
  <c r="E223" i="8"/>
  <c r="E64" i="8"/>
  <c r="G260" i="8"/>
  <c r="G113" i="8"/>
  <c r="E307" i="8"/>
  <c r="E275" i="8"/>
  <c r="E227" i="8"/>
  <c r="E163" i="8"/>
  <c r="E115" i="8"/>
  <c r="E83" i="8"/>
  <c r="E35" i="8"/>
  <c r="G183" i="8"/>
  <c r="G103" i="8"/>
  <c r="E318" i="8"/>
  <c r="E221" i="8"/>
  <c r="G295" i="8"/>
  <c r="G149" i="8"/>
  <c r="E343" i="8"/>
  <c r="E303" i="8"/>
  <c r="E295" i="8"/>
  <c r="E287" i="8"/>
  <c r="E279" i="8"/>
  <c r="E247" i="8"/>
  <c r="E239" i="8"/>
  <c r="E215" i="8"/>
  <c r="E207" i="8"/>
  <c r="E183" i="8"/>
  <c r="E175" i="8"/>
  <c r="E143" i="8"/>
  <c r="E127" i="8"/>
  <c r="E79" i="8"/>
  <c r="E71" i="8"/>
  <c r="E55" i="8"/>
  <c r="E66" i="8"/>
  <c r="G323" i="8"/>
  <c r="G307" i="8"/>
  <c r="G299" i="8"/>
  <c r="G291" i="8"/>
  <c r="G283" i="8"/>
  <c r="G275" i="8"/>
  <c r="G267" i="8"/>
  <c r="G251" i="8"/>
  <c r="G243" i="8"/>
  <c r="G235" i="8"/>
  <c r="G227" i="8"/>
  <c r="G219" i="8"/>
  <c r="G195" i="8"/>
  <c r="G179" i="8"/>
  <c r="G171" i="8"/>
  <c r="G163" i="8"/>
  <c r="G155" i="8"/>
  <c r="G147" i="8"/>
  <c r="G139" i="8"/>
  <c r="G123" i="8"/>
  <c r="G115" i="8"/>
  <c r="G107" i="8"/>
  <c r="G99" i="8"/>
  <c r="G91" i="8"/>
  <c r="G67" i="8"/>
  <c r="G51" i="8"/>
  <c r="G43" i="8"/>
  <c r="G35" i="8"/>
  <c r="G27" i="8"/>
  <c r="G19" i="8"/>
  <c r="G11" i="8"/>
  <c r="G29" i="8"/>
  <c r="G47" i="8"/>
  <c r="G65" i="8"/>
  <c r="G120" i="8"/>
  <c r="G157" i="8"/>
  <c r="G175" i="8"/>
  <c r="G193" i="8"/>
  <c r="G248" i="8"/>
  <c r="G303" i="8"/>
  <c r="E327" i="8"/>
  <c r="E309" i="8"/>
  <c r="E253" i="8"/>
  <c r="E190" i="8"/>
  <c r="E118" i="8"/>
  <c r="E8" i="8"/>
  <c r="G313" i="8"/>
  <c r="G240" i="8"/>
  <c r="G167" i="8"/>
  <c r="G94" i="8"/>
  <c r="G57" i="8"/>
  <c r="G21" i="8"/>
  <c r="G186" i="8"/>
  <c r="G146" i="8"/>
  <c r="G106" i="8"/>
  <c r="G98" i="8"/>
  <c r="G90" i="8"/>
  <c r="G82" i="8"/>
  <c r="G74" i="8"/>
  <c r="G66" i="8"/>
  <c r="G58" i="8"/>
  <c r="G50" i="8"/>
  <c r="G42" i="8"/>
  <c r="G34" i="8"/>
  <c r="G26" i="8"/>
  <c r="G18" i="8"/>
  <c r="G10" i="8"/>
  <c r="E2" i="8"/>
  <c r="E326" i="8"/>
  <c r="E308" i="8"/>
  <c r="E289" i="8"/>
  <c r="E271" i="8"/>
  <c r="E251" i="8"/>
  <c r="E230" i="8"/>
  <c r="E209" i="8"/>
  <c r="E189" i="8"/>
  <c r="E168" i="8"/>
  <c r="E146" i="8"/>
  <c r="E117" i="8"/>
  <c r="E80" i="8"/>
  <c r="E43" i="8"/>
  <c r="E7" i="8"/>
  <c r="G312" i="8"/>
  <c r="G276" i="8"/>
  <c r="G239" i="8"/>
  <c r="G203" i="8"/>
  <c r="G166" i="8"/>
  <c r="G129" i="8"/>
  <c r="G93" i="8"/>
  <c r="G56" i="8"/>
  <c r="G20" i="8"/>
  <c r="G305" i="8"/>
  <c r="G249" i="8"/>
  <c r="G201" i="8"/>
  <c r="G177" i="8"/>
  <c r="G121" i="8"/>
  <c r="G73" i="8"/>
  <c r="G49" i="8"/>
  <c r="E302" i="8"/>
  <c r="E284" i="8"/>
  <c r="E265" i="8"/>
  <c r="E245" i="8"/>
  <c r="E224" i="8"/>
  <c r="E202" i="8"/>
  <c r="E182" i="8"/>
  <c r="E161" i="8"/>
  <c r="E106" i="8"/>
  <c r="E70" i="8"/>
  <c r="E33" i="8"/>
  <c r="G339" i="8"/>
  <c r="G302" i="8"/>
  <c r="G265" i="8"/>
  <c r="G229" i="8"/>
  <c r="G192" i="8"/>
  <c r="G156" i="8"/>
  <c r="G119" i="8"/>
  <c r="G83" i="8"/>
  <c r="G46" i="8"/>
  <c r="G9" i="8"/>
  <c r="E137" i="8"/>
  <c r="E294" i="8"/>
  <c r="E270" i="8"/>
  <c r="G306" i="8"/>
  <c r="G274" i="8"/>
  <c r="G250" i="8"/>
  <c r="G218" i="8"/>
  <c r="G178" i="8"/>
  <c r="G130" i="8"/>
  <c r="E285" i="8"/>
  <c r="E237" i="8"/>
  <c r="E197" i="8"/>
  <c r="E61" i="8"/>
  <c r="E267" i="8"/>
  <c r="E49" i="8"/>
  <c r="E316" i="8"/>
  <c r="E260" i="8"/>
  <c r="E228" i="8"/>
  <c r="E196" i="8"/>
  <c r="E164" i="8"/>
  <c r="E132" i="8"/>
  <c r="E108" i="8"/>
  <c r="E76" i="8"/>
  <c r="E52" i="8"/>
  <c r="E12" i="8"/>
  <c r="E105" i="8"/>
  <c r="G256" i="8"/>
  <c r="G128" i="8"/>
  <c r="E337" i="8"/>
  <c r="E243" i="8"/>
  <c r="E160" i="8"/>
  <c r="G333" i="8"/>
  <c r="G187" i="8"/>
  <c r="G40" i="8"/>
  <c r="E299" i="8"/>
  <c r="E259" i="8"/>
  <c r="E195" i="8"/>
  <c r="E155" i="8"/>
  <c r="E91" i="8"/>
  <c r="G311" i="8"/>
  <c r="G55" i="8"/>
  <c r="E336" i="8"/>
  <c r="E263" i="8"/>
  <c r="E63" i="8"/>
  <c r="G259" i="8"/>
  <c r="G112" i="8"/>
  <c r="E330" i="8"/>
  <c r="E322" i="8"/>
  <c r="E314" i="8"/>
  <c r="E306" i="8"/>
  <c r="E258" i="8"/>
  <c r="E250" i="8"/>
  <c r="E226" i="8"/>
  <c r="E218" i="8"/>
  <c r="E194" i="8"/>
  <c r="E162" i="8"/>
  <c r="E154" i="8"/>
  <c r="E138" i="8"/>
  <c r="E130" i="8"/>
  <c r="E122" i="8"/>
  <c r="E114" i="8"/>
  <c r="E90" i="8"/>
  <c r="E74" i="8"/>
  <c r="E58" i="8"/>
  <c r="E50" i="8"/>
  <c r="E42" i="8"/>
  <c r="E34" i="8"/>
  <c r="E18" i="8"/>
  <c r="E126" i="8"/>
  <c r="E142" i="8"/>
  <c r="G342" i="8"/>
  <c r="G286" i="8"/>
  <c r="G238" i="8"/>
  <c r="G230" i="8"/>
  <c r="G214" i="8"/>
  <c r="G158" i="8"/>
  <c r="G110" i="8"/>
  <c r="G102" i="8"/>
  <c r="G86" i="8"/>
  <c r="G30" i="8"/>
  <c r="E335" i="8"/>
  <c r="E317" i="8"/>
  <c r="E262" i="8"/>
  <c r="E199" i="8"/>
  <c r="E157" i="8"/>
  <c r="E135" i="8"/>
  <c r="E62" i="8"/>
  <c r="G294" i="8"/>
  <c r="G257" i="8"/>
  <c r="G184" i="8"/>
  <c r="G111" i="8"/>
  <c r="G38" i="8"/>
  <c r="E334" i="8"/>
  <c r="E278" i="8"/>
  <c r="E206" i="8"/>
  <c r="E174" i="8"/>
  <c r="E134" i="8"/>
  <c r="E6" i="8"/>
  <c r="E186" i="8"/>
  <c r="E65" i="8"/>
  <c r="G314" i="8"/>
  <c r="G282" i="8"/>
  <c r="G242" i="8"/>
  <c r="G210" i="8"/>
  <c r="G170" i="8"/>
  <c r="G122" i="8"/>
  <c r="E333" i="8"/>
  <c r="E261" i="8"/>
  <c r="E173" i="8"/>
  <c r="E53" i="8"/>
  <c r="E321" i="8"/>
  <c r="G321" i="8"/>
  <c r="E340" i="8"/>
  <c r="E252" i="8"/>
  <c r="E220" i="8"/>
  <c r="E180" i="8"/>
  <c r="E140" i="8"/>
  <c r="E100" i="8"/>
  <c r="E68" i="8"/>
  <c r="E36" i="8"/>
  <c r="E20" i="8"/>
  <c r="G37" i="8"/>
  <c r="G304" i="8"/>
  <c r="G104" i="8"/>
  <c r="E319" i="8"/>
  <c r="E181" i="8"/>
  <c r="E27" i="8"/>
  <c r="G223" i="8"/>
  <c r="G77" i="8"/>
  <c r="E331" i="8"/>
  <c r="E235" i="8"/>
  <c r="E123" i="8"/>
  <c r="E59" i="8"/>
  <c r="E19" i="8"/>
  <c r="E104" i="8"/>
  <c r="G287" i="8"/>
  <c r="G231" i="8"/>
  <c r="G31" i="8"/>
  <c r="E242" i="8"/>
  <c r="E159" i="8"/>
  <c r="G222" i="8"/>
  <c r="G39" i="8"/>
  <c r="E313" i="8"/>
  <c r="E257" i="8"/>
  <c r="E225" i="8"/>
  <c r="E217" i="8"/>
  <c r="E185" i="8"/>
  <c r="E177" i="8"/>
  <c r="E153" i="8"/>
  <c r="E145" i="8"/>
  <c r="E121" i="8"/>
  <c r="E113" i="8"/>
  <c r="E97" i="8"/>
  <c r="E89" i="8"/>
  <c r="E73" i="8"/>
  <c r="E57" i="8"/>
  <c r="E17" i="8"/>
  <c r="G341" i="8"/>
  <c r="G325" i="8"/>
  <c r="G317" i="8"/>
  <c r="G309" i="8"/>
  <c r="G301" i="8"/>
  <c r="G293" i="8"/>
  <c r="G285" i="8"/>
  <c r="G269" i="8"/>
  <c r="G261" i="8"/>
  <c r="G253" i="8"/>
  <c r="G245" i="8"/>
  <c r="G237" i="8"/>
  <c r="G213" i="8"/>
  <c r="G197" i="8"/>
  <c r="G189" i="8"/>
  <c r="G181" i="8"/>
  <c r="G173" i="8"/>
  <c r="G133" i="8"/>
  <c r="G125" i="8"/>
  <c r="G117" i="8"/>
  <c r="G109" i="8"/>
  <c r="G69" i="8"/>
  <c r="G61" i="8"/>
  <c r="G53" i="8"/>
  <c r="G45" i="8"/>
  <c r="G5" i="8"/>
  <c r="E311" i="8"/>
  <c r="E293" i="8"/>
  <c r="E255" i="8"/>
  <c r="E214" i="8"/>
  <c r="E151" i="8"/>
  <c r="E125" i="8"/>
  <c r="E15" i="8"/>
  <c r="G320" i="8"/>
  <c r="G247" i="8"/>
  <c r="G174" i="8"/>
  <c r="G137" i="8"/>
  <c r="G101" i="8"/>
  <c r="G64" i="8"/>
  <c r="E238" i="8"/>
  <c r="E166" i="8"/>
  <c r="G290" i="8"/>
  <c r="G258" i="8"/>
  <c r="G226" i="8"/>
  <c r="G194" i="8"/>
  <c r="G154" i="8"/>
  <c r="G138" i="8"/>
  <c r="E341" i="8"/>
  <c r="E269" i="8"/>
  <c r="E229" i="8"/>
  <c r="E165" i="8"/>
  <c r="E37" i="8"/>
  <c r="E112" i="8"/>
  <c r="E332" i="8"/>
  <c r="E268" i="8"/>
  <c r="E236" i="8"/>
  <c r="E204" i="8"/>
  <c r="E172" i="8"/>
  <c r="E148" i="8"/>
  <c r="E116" i="8"/>
  <c r="E84" i="8"/>
  <c r="E44" i="8"/>
  <c r="E28" i="8"/>
  <c r="E266" i="8"/>
  <c r="G232" i="8"/>
  <c r="G176" i="8"/>
  <c r="E282" i="8"/>
  <c r="E201" i="8"/>
  <c r="E101" i="8"/>
  <c r="G296" i="8"/>
  <c r="G150" i="8"/>
  <c r="G4" i="8"/>
  <c r="E323" i="8"/>
  <c r="E283" i="8"/>
  <c r="E203" i="8"/>
  <c r="E139" i="8"/>
  <c r="E107" i="8"/>
  <c r="E75" i="8"/>
  <c r="E3" i="8"/>
  <c r="E41" i="8"/>
  <c r="G159" i="8"/>
  <c r="E281" i="8"/>
  <c r="E200" i="8"/>
  <c r="G332" i="8"/>
  <c r="G185" i="8"/>
  <c r="G76" i="8"/>
  <c r="E312" i="8"/>
  <c r="E288" i="8"/>
  <c r="E256" i="8"/>
  <c r="E240" i="8"/>
  <c r="E216" i="8"/>
  <c r="E184" i="8"/>
  <c r="E176" i="8"/>
  <c r="E152" i="8"/>
  <c r="E144" i="8"/>
  <c r="E120" i="8"/>
  <c r="E56" i="8"/>
  <c r="E32" i="8"/>
  <c r="E24" i="8"/>
  <c r="E16" i="8"/>
  <c r="E10" i="8"/>
  <c r="G340" i="8"/>
  <c r="G324" i="8"/>
  <c r="G316" i="8"/>
  <c r="G308" i="8"/>
  <c r="G300" i="8"/>
  <c r="G292" i="8"/>
  <c r="G268" i="8"/>
  <c r="G252" i="8"/>
  <c r="G244" i="8"/>
  <c r="G236" i="8"/>
  <c r="G228" i="8"/>
  <c r="G220" i="8"/>
  <c r="G212" i="8"/>
  <c r="G196" i="8"/>
  <c r="G188" i="8"/>
  <c r="G180" i="8"/>
  <c r="G172" i="8"/>
  <c r="G164" i="8"/>
  <c r="G140" i="8"/>
  <c r="G124" i="8"/>
  <c r="G116" i="8"/>
  <c r="G108" i="8"/>
  <c r="G100" i="8"/>
  <c r="G92" i="8"/>
  <c r="G84" i="8"/>
  <c r="G68" i="8"/>
  <c r="G60" i="8"/>
  <c r="G52" i="8"/>
  <c r="G44" i="8"/>
  <c r="G36" i="8"/>
  <c r="G12" i="8"/>
  <c r="E310" i="8"/>
  <c r="E254" i="8"/>
  <c r="E191" i="8"/>
  <c r="E150" i="8"/>
  <c r="E119" i="8"/>
  <c r="E46" i="8"/>
  <c r="G278" i="8"/>
  <c r="G241" i="8"/>
  <c r="G168" i="8"/>
  <c r="G95" i="8"/>
  <c r="G22" i="8"/>
  <c r="G334" i="8"/>
  <c r="G326" i="8"/>
  <c r="G318" i="8"/>
  <c r="G310" i="8"/>
  <c r="G270" i="8"/>
  <c r="G262" i="8"/>
  <c r="G254" i="8"/>
  <c r="G246" i="8"/>
  <c r="G206" i="8"/>
  <c r="G198" i="8"/>
  <c r="G190" i="8"/>
  <c r="G182" i="8"/>
  <c r="G142" i="8"/>
  <c r="G134" i="8"/>
  <c r="G126" i="8"/>
  <c r="G118" i="8"/>
  <c r="G78" i="8"/>
  <c r="G70" i="8"/>
  <c r="G62" i="8"/>
  <c r="G54" i="8"/>
  <c r="G14" i="8"/>
  <c r="G6" i="8"/>
  <c r="E231" i="8"/>
  <c r="E167" i="8"/>
  <c r="E111" i="8"/>
  <c r="E103" i="8"/>
  <c r="E95" i="8"/>
  <c r="E87" i="8"/>
  <c r="E47" i="8"/>
  <c r="E39" i="8"/>
  <c r="E31" i="8"/>
  <c r="E23" i="8"/>
  <c r="G337" i="8"/>
  <c r="G297" i="8"/>
  <c r="G289" i="8"/>
  <c r="G281" i="8"/>
  <c r="G273" i="8"/>
  <c r="G233" i="8"/>
  <c r="G225" i="8"/>
  <c r="G217" i="8"/>
  <c r="G209" i="8"/>
  <c r="G169" i="8"/>
  <c r="G161" i="8"/>
  <c r="G153" i="8"/>
  <c r="G145" i="8"/>
  <c r="G105" i="8"/>
  <c r="G97" i="8"/>
  <c r="G89" i="8"/>
  <c r="G81" i="8"/>
  <c r="G41" i="8"/>
  <c r="G33" i="8"/>
  <c r="G25" i="8"/>
  <c r="G17" i="8"/>
  <c r="G165" i="8"/>
  <c r="E222" i="8"/>
  <c r="E158" i="8"/>
  <c r="E102" i="8"/>
  <c r="E94" i="8"/>
  <c r="E86" i="8"/>
  <c r="E78" i="8"/>
  <c r="E38" i="8"/>
  <c r="E30" i="8"/>
  <c r="E22" i="8"/>
  <c r="E14" i="8"/>
  <c r="G2" i="8"/>
  <c r="G336" i="8"/>
  <c r="G328" i="8"/>
  <c r="G288" i="8"/>
  <c r="G280" i="8"/>
  <c r="G272" i="8"/>
  <c r="G264" i="8"/>
  <c r="G224" i="8"/>
  <c r="G216" i="8"/>
  <c r="G208" i="8"/>
  <c r="G200" i="8"/>
  <c r="G160" i="8"/>
  <c r="G152" i="8"/>
  <c r="G144" i="8"/>
  <c r="G136" i="8"/>
  <c r="G96" i="8"/>
  <c r="G88" i="8"/>
  <c r="G80" i="8"/>
  <c r="G72" i="8"/>
  <c r="G32" i="8"/>
  <c r="G24" i="8"/>
  <c r="G16" i="8"/>
  <c r="G8" i="8"/>
  <c r="G141" i="8"/>
  <c r="G13" i="8"/>
  <c r="E213" i="8"/>
  <c r="E149" i="8"/>
  <c r="E133" i="8"/>
  <c r="E93" i="8"/>
  <c r="E85" i="8"/>
  <c r="E77" i="8"/>
  <c r="E69" i="8"/>
  <c r="E29" i="8"/>
  <c r="E21" i="8"/>
  <c r="E13" i="8"/>
  <c r="E5" i="8"/>
  <c r="G343" i="8"/>
  <c r="G335" i="8"/>
  <c r="G327" i="8"/>
  <c r="G319" i="8"/>
  <c r="G279" i="8"/>
  <c r="G271" i="8"/>
  <c r="G263" i="8"/>
  <c r="G255" i="8"/>
  <c r="G215" i="8"/>
  <c r="G207" i="8"/>
  <c r="G199" i="8"/>
  <c r="G191" i="8"/>
  <c r="G151" i="8"/>
  <c r="G143" i="8"/>
  <c r="G135" i="8"/>
  <c r="G127" i="8"/>
  <c r="G87" i="8"/>
  <c r="G79" i="8"/>
  <c r="G71" i="8"/>
  <c r="G63" i="8"/>
  <c r="G23" i="8"/>
  <c r="G15" i="8"/>
  <c r="G7" i="8"/>
  <c r="G85" i="8"/>
  <c r="C203" i="6" l="1"/>
  <c r="C235" i="6"/>
  <c r="C107" i="6"/>
  <c r="C314" i="6"/>
  <c r="C186" i="6"/>
  <c r="C343" i="6"/>
  <c r="C215" i="6"/>
  <c r="C291" i="6"/>
  <c r="C163" i="6"/>
  <c r="C35" i="6"/>
  <c r="C242" i="6"/>
  <c r="C114" i="6"/>
  <c r="C321" i="6"/>
  <c r="C271" i="6"/>
  <c r="C143" i="6"/>
  <c r="C15" i="6"/>
  <c r="C240" i="6"/>
  <c r="C176" i="6"/>
  <c r="C112" i="6"/>
  <c r="C48" i="6"/>
  <c r="C324" i="6"/>
  <c r="C293" i="6"/>
  <c r="C229" i="6"/>
  <c r="C316" i="6"/>
  <c r="C252" i="6"/>
  <c r="C301" i="6"/>
  <c r="C154" i="6"/>
  <c r="C26" i="6"/>
  <c r="C279" i="6"/>
  <c r="C151" i="6"/>
  <c r="C227" i="6"/>
  <c r="C99" i="6"/>
  <c r="C178" i="6"/>
  <c r="C50" i="6"/>
  <c r="C55" i="6"/>
  <c r="C315" i="6"/>
  <c r="C329" i="6"/>
  <c r="C75" i="6"/>
  <c r="C331" i="6"/>
  <c r="C251" i="6"/>
  <c r="C123" i="6"/>
  <c r="C330" i="6"/>
  <c r="C202" i="6"/>
  <c r="C74" i="6"/>
  <c r="C281" i="6"/>
  <c r="C153" i="6"/>
  <c r="C231" i="6"/>
  <c r="C103" i="6"/>
  <c r="C258" i="6"/>
  <c r="C36" i="6"/>
  <c r="C100" i="6"/>
  <c r="C164" i="6"/>
  <c r="C228" i="6"/>
  <c r="C29" i="6"/>
  <c r="C93" i="6"/>
  <c r="C157" i="6"/>
  <c r="C221" i="6"/>
  <c r="C22" i="6"/>
  <c r="C86" i="6"/>
  <c r="C150" i="6"/>
  <c r="C214" i="6"/>
  <c r="C278" i="6"/>
  <c r="C342" i="6"/>
  <c r="C255" i="6"/>
  <c r="C328" i="6"/>
  <c r="C39" i="6"/>
  <c r="C199" i="6"/>
  <c r="C327" i="6"/>
  <c r="C16" i="6"/>
  <c r="C80" i="6"/>
  <c r="C144" i="6"/>
  <c r="C208" i="6"/>
  <c r="C288" i="6"/>
  <c r="C17" i="6"/>
  <c r="C81" i="6"/>
  <c r="C145" i="6"/>
  <c r="C209" i="6"/>
  <c r="C273" i="6"/>
  <c r="C10" i="6"/>
  <c r="C138" i="6"/>
  <c r="C59" i="6"/>
  <c r="C187" i="6"/>
  <c r="C284" i="6"/>
  <c r="C253" i="6"/>
  <c r="C341" i="6"/>
  <c r="C92" i="6"/>
  <c r="C220" i="6"/>
  <c r="C85" i="6"/>
  <c r="C213" i="6"/>
  <c r="C78" i="6"/>
  <c r="C206" i="6"/>
  <c r="C334" i="6"/>
  <c r="C239" i="6"/>
  <c r="C31" i="6"/>
  <c r="C183" i="6"/>
  <c r="C8" i="6"/>
  <c r="C136" i="6"/>
  <c r="C264" i="6"/>
  <c r="C73" i="6"/>
  <c r="C201" i="6"/>
  <c r="C322" i="6"/>
  <c r="C130" i="6"/>
  <c r="C282" i="6"/>
  <c r="C115" i="6"/>
  <c r="C276" i="6"/>
  <c r="C338" i="6"/>
  <c r="C108" i="6"/>
  <c r="C236" i="6"/>
  <c r="C101" i="6"/>
  <c r="C30" i="6"/>
  <c r="C94" i="6"/>
  <c r="C222" i="6"/>
  <c r="C313" i="6"/>
  <c r="C111" i="6"/>
  <c r="C24" i="6"/>
  <c r="C152" i="6"/>
  <c r="C216" i="6"/>
  <c r="C296" i="6"/>
  <c r="C25" i="6"/>
  <c r="C89" i="6"/>
  <c r="C217" i="6"/>
  <c r="C18" i="6"/>
  <c r="C82" i="6"/>
  <c r="C146" i="6"/>
  <c r="C210" i="6"/>
  <c r="C67" i="6"/>
  <c r="C131" i="6"/>
  <c r="C195" i="6"/>
  <c r="C259" i="6"/>
  <c r="C323" i="6"/>
  <c r="C292" i="6"/>
  <c r="C52" i="6"/>
  <c r="C116" i="6"/>
  <c r="C180" i="6"/>
  <c r="C244" i="6"/>
  <c r="C45" i="6"/>
  <c r="C109" i="6"/>
  <c r="C173" i="6"/>
  <c r="C237" i="6"/>
  <c r="C38" i="6"/>
  <c r="C102" i="6"/>
  <c r="C166" i="6"/>
  <c r="C230" i="6"/>
  <c r="C294" i="6"/>
  <c r="C159" i="6"/>
  <c r="C287" i="6"/>
  <c r="C119" i="6"/>
  <c r="C280" i="6"/>
  <c r="C32" i="6"/>
  <c r="C96" i="6"/>
  <c r="C160" i="6"/>
  <c r="C224" i="6"/>
  <c r="C320" i="6"/>
  <c r="C33" i="6"/>
  <c r="C97" i="6"/>
  <c r="C161" i="6"/>
  <c r="C225" i="6"/>
  <c r="C289" i="6"/>
  <c r="C90" i="6"/>
  <c r="C218" i="6"/>
  <c r="C11" i="6"/>
  <c r="C139" i="6"/>
  <c r="C267" i="6"/>
  <c r="C300" i="6"/>
  <c r="C269" i="6"/>
  <c r="C28" i="6"/>
  <c r="C156" i="6"/>
  <c r="C21" i="6"/>
  <c r="C149" i="6"/>
  <c r="C14" i="6"/>
  <c r="C142" i="6"/>
  <c r="C270" i="6"/>
  <c r="C304" i="6"/>
  <c r="C95" i="6"/>
  <c r="C311" i="6"/>
  <c r="C72" i="6"/>
  <c r="C200" i="6"/>
  <c r="C9" i="6"/>
  <c r="C137" i="6"/>
  <c r="C265" i="6"/>
  <c r="C66" i="6"/>
  <c r="C194" i="6"/>
  <c r="C51" i="6"/>
  <c r="C179" i="6"/>
  <c r="C243" i="6"/>
  <c r="C307" i="6"/>
  <c r="C340" i="6"/>
  <c r="C325" i="6"/>
  <c r="C60" i="6"/>
  <c r="C124" i="6"/>
  <c r="C188" i="6"/>
  <c r="C317" i="6"/>
  <c r="C53" i="6"/>
  <c r="C117" i="6"/>
  <c r="C181" i="6"/>
  <c r="C245" i="6"/>
  <c r="C46" i="6"/>
  <c r="C110" i="6"/>
  <c r="C174" i="6"/>
  <c r="C238" i="6"/>
  <c r="C302" i="6"/>
  <c r="C175" i="6"/>
  <c r="C303" i="6"/>
  <c r="C298" i="6"/>
  <c r="C63" i="6"/>
  <c r="C127" i="6"/>
  <c r="C247" i="6"/>
  <c r="C312" i="6"/>
  <c r="C40" i="6"/>
  <c r="C104" i="6"/>
  <c r="C168" i="6"/>
  <c r="C232" i="6"/>
  <c r="C41" i="6"/>
  <c r="C105" i="6"/>
  <c r="C169" i="6"/>
  <c r="C233" i="6"/>
  <c r="C297" i="6"/>
  <c r="C34" i="6"/>
  <c r="C98" i="6"/>
  <c r="C162" i="6"/>
  <c r="C226" i="6"/>
  <c r="C19" i="6"/>
  <c r="C83" i="6"/>
  <c r="C147" i="6"/>
  <c r="C211" i="6"/>
  <c r="C275" i="6"/>
  <c r="C339" i="6"/>
  <c r="C308" i="6"/>
  <c r="C277" i="6"/>
  <c r="C44" i="6"/>
  <c r="C172" i="6"/>
  <c r="C37" i="6"/>
  <c r="C165" i="6"/>
  <c r="C158" i="6"/>
  <c r="C286" i="6"/>
  <c r="C47" i="6"/>
  <c r="C88" i="6"/>
  <c r="C261" i="6"/>
  <c r="C68" i="6"/>
  <c r="C132" i="6"/>
  <c r="C196" i="6"/>
  <c r="C61" i="6"/>
  <c r="C125" i="6"/>
  <c r="C189" i="6"/>
  <c r="C309" i="6"/>
  <c r="C54" i="6"/>
  <c r="C118" i="6"/>
  <c r="C182" i="6"/>
  <c r="C246" i="6"/>
  <c r="C310" i="6"/>
  <c r="C191" i="6"/>
  <c r="C319" i="6"/>
  <c r="C7" i="6"/>
  <c r="C71" i="6"/>
  <c r="C135" i="6"/>
  <c r="C263" i="6"/>
  <c r="C336" i="6"/>
  <c r="C49" i="6"/>
  <c r="C113" i="6"/>
  <c r="C177" i="6"/>
  <c r="C241" i="6"/>
  <c r="C305" i="6"/>
  <c r="C42" i="6"/>
  <c r="C106" i="6"/>
  <c r="C170" i="6"/>
  <c r="C234" i="6"/>
  <c r="C27" i="6"/>
  <c r="C91" i="6"/>
  <c r="C155" i="6"/>
  <c r="C219" i="6"/>
  <c r="C283" i="6"/>
  <c r="C285" i="6"/>
  <c r="C12" i="6"/>
  <c r="C76" i="6"/>
  <c r="C140" i="6"/>
  <c r="C204" i="6"/>
  <c r="C69" i="6"/>
  <c r="C133" i="6"/>
  <c r="C197" i="6"/>
  <c r="C333" i="6"/>
  <c r="C62" i="6"/>
  <c r="C126" i="6"/>
  <c r="C190" i="6"/>
  <c r="C254" i="6"/>
  <c r="C318" i="6"/>
  <c r="C207" i="6"/>
  <c r="C335" i="6"/>
  <c r="C79" i="6"/>
  <c r="C337" i="6"/>
  <c r="C56" i="6"/>
  <c r="C120" i="6"/>
  <c r="C184" i="6"/>
  <c r="C248" i="6"/>
  <c r="C274" i="6"/>
  <c r="C57" i="6"/>
  <c r="C121" i="6"/>
  <c r="C185" i="6"/>
  <c r="C249" i="6"/>
  <c r="C260" i="6"/>
  <c r="C20" i="6"/>
  <c r="C84" i="6"/>
  <c r="C148" i="6"/>
  <c r="C212" i="6"/>
  <c r="C13" i="6"/>
  <c r="C77" i="6"/>
  <c r="C141" i="6"/>
  <c r="C205" i="6"/>
  <c r="C70" i="6"/>
  <c r="C134" i="6"/>
  <c r="C198" i="6"/>
  <c r="C262" i="6"/>
  <c r="C326" i="6"/>
  <c r="C223" i="6"/>
  <c r="C272" i="6"/>
  <c r="C23" i="6"/>
  <c r="C87" i="6"/>
  <c r="C167" i="6"/>
  <c r="C295" i="6"/>
  <c r="C290" i="6"/>
  <c r="C64" i="6"/>
  <c r="C128" i="6"/>
  <c r="C192" i="6"/>
  <c r="C256" i="6"/>
  <c r="C306" i="6"/>
  <c r="C65" i="6"/>
  <c r="C129" i="6"/>
  <c r="C193" i="6"/>
  <c r="C257" i="6"/>
  <c r="C266" i="6"/>
  <c r="C58" i="6"/>
  <c r="C122" i="6"/>
  <c r="C250" i="6"/>
  <c r="C43" i="6"/>
  <c r="C171" i="6"/>
  <c r="C299" i="6"/>
  <c r="C268" i="6"/>
  <c r="C332" i="6"/>
</calcChain>
</file>

<file path=xl/sharedStrings.xml><?xml version="1.0" encoding="utf-8"?>
<sst xmlns="http://schemas.openxmlformats.org/spreadsheetml/2006/main" count="4230" uniqueCount="1522">
  <si>
    <t>Aalten</t>
  </si>
  <si>
    <t>Alkmaar</t>
  </si>
  <si>
    <t>Almelo</t>
  </si>
  <si>
    <t>Alphen aan den Rijn</t>
  </si>
  <si>
    <t>Amersfoort</t>
  </si>
  <si>
    <t>Amsterdam</t>
  </si>
  <si>
    <t>Apeldoorn</t>
  </si>
  <si>
    <t>Arnhem</t>
  </si>
  <si>
    <t>Assen</t>
  </si>
  <si>
    <t>Baarn</t>
  </si>
  <si>
    <t>Barendrecht</t>
  </si>
  <si>
    <t>Barneveld</t>
  </si>
  <si>
    <t>Bergen op Zoom</t>
  </si>
  <si>
    <t>Best</t>
  </si>
  <si>
    <t>Beverwijk</t>
  </si>
  <si>
    <t>Bloemendaal</t>
  </si>
  <si>
    <t>Borne</t>
  </si>
  <si>
    <t>Boxtel</t>
  </si>
  <si>
    <t>Breda</t>
  </si>
  <si>
    <t>Brummen</t>
  </si>
  <si>
    <t>Bunnik</t>
  </si>
  <si>
    <t>Capelle aan den IJssel</t>
  </si>
  <si>
    <t>Castricum</t>
  </si>
  <si>
    <t>Kerkrade</t>
  </si>
  <si>
    <t>Coevorden</t>
  </si>
  <si>
    <t>Culemborg</t>
  </si>
  <si>
    <t>Dalfsen</t>
  </si>
  <si>
    <t>Delft</t>
  </si>
  <si>
    <t>Den Helder</t>
  </si>
  <si>
    <t>Deurne</t>
  </si>
  <si>
    <t>Deventer</t>
  </si>
  <si>
    <t>Diemen</t>
  </si>
  <si>
    <t>Doetinchem</t>
  </si>
  <si>
    <t>Dordrecht</t>
  </si>
  <si>
    <t>Dronten</t>
  </si>
  <si>
    <t>Duiven</t>
  </si>
  <si>
    <t>Ede</t>
  </si>
  <si>
    <t>Eindhoven</t>
  </si>
  <si>
    <t>Emmen</t>
  </si>
  <si>
    <t>Enkhuizen</t>
  </si>
  <si>
    <t>Enschede</t>
  </si>
  <si>
    <t>Ermelo</t>
  </si>
  <si>
    <t>Etten-Leur</t>
  </si>
  <si>
    <t>Goes</t>
  </si>
  <si>
    <t>Gorinchem</t>
  </si>
  <si>
    <t>Gouda</t>
  </si>
  <si>
    <t>Groningen</t>
  </si>
  <si>
    <t>Haarlem</t>
  </si>
  <si>
    <t>Hardenberg</t>
  </si>
  <si>
    <t>Harderwijk</t>
  </si>
  <si>
    <t>Hardinxveld-Giessendam</t>
  </si>
  <si>
    <t>Harlingen</t>
  </si>
  <si>
    <t>Heemskerk</t>
  </si>
  <si>
    <t>Heemstede</t>
  </si>
  <si>
    <t>Heerenveen</t>
  </si>
  <si>
    <t>Heerlen</t>
  </si>
  <si>
    <t>Heiloo</t>
  </si>
  <si>
    <t>Helmond</t>
  </si>
  <si>
    <t>Hengelo</t>
  </si>
  <si>
    <t>'s-Hertogenbosch</t>
  </si>
  <si>
    <t>Hillegom</t>
  </si>
  <si>
    <t>Hilversum</t>
  </si>
  <si>
    <t>Hoogeveen</t>
  </si>
  <si>
    <t>Hoorn</t>
  </si>
  <si>
    <t>Houten</t>
  </si>
  <si>
    <t>Kampen</t>
  </si>
  <si>
    <t>Landgraaf</t>
  </si>
  <si>
    <t>Leeuwarden</t>
  </si>
  <si>
    <t>Leiden</t>
  </si>
  <si>
    <t>Lelystad</t>
  </si>
  <si>
    <t>Lochem</t>
  </si>
  <si>
    <t>Maastricht</t>
  </si>
  <si>
    <t>Meerssen</t>
  </si>
  <si>
    <t>Meppel</t>
  </si>
  <si>
    <t>Middelburg</t>
  </si>
  <si>
    <t>Nijkerk</t>
  </si>
  <si>
    <t>Nijmegen</t>
  </si>
  <si>
    <t>Nunspeet</t>
  </si>
  <si>
    <t>Oisterwijk</t>
  </si>
  <si>
    <t>Oldenzaal</t>
  </si>
  <si>
    <t>Ommen</t>
  </si>
  <si>
    <t>Oss</t>
  </si>
  <si>
    <t>Purmerend</t>
  </si>
  <si>
    <t>Putten</t>
  </si>
  <si>
    <t>Raalte</t>
  </si>
  <si>
    <t>Rheden</t>
  </si>
  <si>
    <t>Rhenen</t>
  </si>
  <si>
    <t>Rijswijk</t>
  </si>
  <si>
    <t>Roermond</t>
  </si>
  <si>
    <t>Roosendaal</t>
  </si>
  <si>
    <t>Rotterdam</t>
  </si>
  <si>
    <t>Schagen</t>
  </si>
  <si>
    <t>Schiedam</t>
  </si>
  <si>
    <t>Sliedrecht</t>
  </si>
  <si>
    <t>Soest</t>
  </si>
  <si>
    <t>Tiel</t>
  </si>
  <si>
    <t>Tilburg</t>
  </si>
  <si>
    <t>Uitgeest</t>
  </si>
  <si>
    <t>Utrecht</t>
  </si>
  <si>
    <t>Veendam</t>
  </si>
  <si>
    <t>Veenendaal</t>
  </si>
  <si>
    <t>Venlo</t>
  </si>
  <si>
    <t>Venray</t>
  </si>
  <si>
    <t>Vlissingen</t>
  </si>
  <si>
    <t>Voerendaal</t>
  </si>
  <si>
    <t>Voorschoten</t>
  </si>
  <si>
    <t>Vught</t>
  </si>
  <si>
    <t>Waddinxveen</t>
  </si>
  <si>
    <t>Weert</t>
  </si>
  <si>
    <t>Westervoort</t>
  </si>
  <si>
    <t>Wierden</t>
  </si>
  <si>
    <t>Wijchen</t>
  </si>
  <si>
    <t>Winterswijk</t>
  </si>
  <si>
    <t>Woerden</t>
  </si>
  <si>
    <t>Zaltbommel</t>
  </si>
  <si>
    <t>Zandvoort</t>
  </si>
  <si>
    <t>Zevenaar</t>
  </si>
  <si>
    <t>Zoetermeer</t>
  </si>
  <si>
    <t>Zutphen</t>
  </si>
  <si>
    <t>Zwijndrecht</t>
  </si>
  <si>
    <t>Zwolle</t>
  </si>
  <si>
    <t>Gemeentecode</t>
  </si>
  <si>
    <t>GemeentecodeGM</t>
  </si>
  <si>
    <t>Gemeentenaam</t>
  </si>
  <si>
    <t>Provinciecode</t>
  </si>
  <si>
    <t>ProvinciecodePV</t>
  </si>
  <si>
    <t>Provincienaam</t>
  </si>
  <si>
    <t>1680</t>
  </si>
  <si>
    <t>GM1680</t>
  </si>
  <si>
    <t>Aa en Hunze</t>
  </si>
  <si>
    <t>22</t>
  </si>
  <si>
    <t>PV22</t>
  </si>
  <si>
    <t>Drenthe</t>
  </si>
  <si>
    <t>0358</t>
  </si>
  <si>
    <t>GM0358</t>
  </si>
  <si>
    <t>Aalsmeer</t>
  </si>
  <si>
    <t>27</t>
  </si>
  <si>
    <t>PV27</t>
  </si>
  <si>
    <t>Noord-Holland</t>
  </si>
  <si>
    <t>0197</t>
  </si>
  <si>
    <t>GM0197</t>
  </si>
  <si>
    <t>25</t>
  </si>
  <si>
    <t>PV25</t>
  </si>
  <si>
    <t>Gelderland</t>
  </si>
  <si>
    <t>0059</t>
  </si>
  <si>
    <t>GM0059</t>
  </si>
  <si>
    <t>Achtkarspelen</t>
  </si>
  <si>
    <t>21</t>
  </si>
  <si>
    <t>PV21</t>
  </si>
  <si>
    <t>Fryslân</t>
  </si>
  <si>
    <t>0482</t>
  </si>
  <si>
    <t>GM0482</t>
  </si>
  <si>
    <t>Alblasserdam</t>
  </si>
  <si>
    <t>28</t>
  </si>
  <si>
    <t>PV28</t>
  </si>
  <si>
    <t>Zuid-Holland</t>
  </si>
  <si>
    <t>0613</t>
  </si>
  <si>
    <t>GM0613</t>
  </si>
  <si>
    <t>Albrandswaard</t>
  </si>
  <si>
    <t>0361</t>
  </si>
  <si>
    <t>GM0361</t>
  </si>
  <si>
    <t>0141</t>
  </si>
  <si>
    <t>GM0141</t>
  </si>
  <si>
    <t>23</t>
  </si>
  <si>
    <t>PV23</t>
  </si>
  <si>
    <t>Overijssel</t>
  </si>
  <si>
    <t>0034</t>
  </si>
  <si>
    <t>GM0034</t>
  </si>
  <si>
    <t>Almere</t>
  </si>
  <si>
    <t>24</t>
  </si>
  <si>
    <t>PV24</t>
  </si>
  <si>
    <t>Flevoland</t>
  </si>
  <si>
    <t>0484</t>
  </si>
  <si>
    <t>GM0484</t>
  </si>
  <si>
    <t>1723</t>
  </si>
  <si>
    <t>GM1723</t>
  </si>
  <si>
    <t>Alphen-Chaam</t>
  </si>
  <si>
    <t>30</t>
  </si>
  <si>
    <t>PV30</t>
  </si>
  <si>
    <t>Noord-Brabant</t>
  </si>
  <si>
    <t>1959</t>
  </si>
  <si>
    <t>GM1959</t>
  </si>
  <si>
    <t>Altena</t>
  </si>
  <si>
    <t>0060</t>
  </si>
  <si>
    <t>GM0060</t>
  </si>
  <si>
    <t>Ameland</t>
  </si>
  <si>
    <t>0307</t>
  </si>
  <si>
    <t>GM0307</t>
  </si>
  <si>
    <t>26</t>
  </si>
  <si>
    <t>PV26</t>
  </si>
  <si>
    <t>0362</t>
  </si>
  <si>
    <t>GM0362</t>
  </si>
  <si>
    <t>Amstelveen</t>
  </si>
  <si>
    <t>0363</t>
  </si>
  <si>
    <t>GM0363</t>
  </si>
  <si>
    <t>0200</t>
  </si>
  <si>
    <t>GM0200</t>
  </si>
  <si>
    <t>0202</t>
  </si>
  <si>
    <t>GM0202</t>
  </si>
  <si>
    <t>0106</t>
  </si>
  <si>
    <t>GM0106</t>
  </si>
  <si>
    <t>0743</t>
  </si>
  <si>
    <t>GM0743</t>
  </si>
  <si>
    <t>Asten</t>
  </si>
  <si>
    <t>0744</t>
  </si>
  <si>
    <t>GM0744</t>
  </si>
  <si>
    <t>Baarle-Nassau</t>
  </si>
  <si>
    <t>0308</t>
  </si>
  <si>
    <t>GM0308</t>
  </si>
  <si>
    <t>0489</t>
  </si>
  <si>
    <t>GM0489</t>
  </si>
  <si>
    <t>0203</t>
  </si>
  <si>
    <t>GM0203</t>
  </si>
  <si>
    <t>0888</t>
  </si>
  <si>
    <t>GM0888</t>
  </si>
  <si>
    <t>Beek</t>
  </si>
  <si>
    <t>31</t>
  </si>
  <si>
    <t>PV31</t>
  </si>
  <si>
    <t>Limburg</t>
  </si>
  <si>
    <t>1954</t>
  </si>
  <si>
    <t>GM1954</t>
  </si>
  <si>
    <t>Beekdaelen</t>
  </si>
  <si>
    <t>0889</t>
  </si>
  <si>
    <t>GM0889</t>
  </si>
  <si>
    <t>Beesel</t>
  </si>
  <si>
    <t>1945</t>
  </si>
  <si>
    <t>GM1945</t>
  </si>
  <si>
    <t>Berg en Dal</t>
  </si>
  <si>
    <t>1724</t>
  </si>
  <si>
    <t>GM1724</t>
  </si>
  <si>
    <t>Bergeijk</t>
  </si>
  <si>
    <t>0893</t>
  </si>
  <si>
    <t>GM0893</t>
  </si>
  <si>
    <t>Bergen (L.)</t>
  </si>
  <si>
    <t>0373</t>
  </si>
  <si>
    <t>GM0373</t>
  </si>
  <si>
    <t>Bergen (NH.)</t>
  </si>
  <si>
    <t>0748</t>
  </si>
  <si>
    <t>GM0748</t>
  </si>
  <si>
    <t>1859</t>
  </si>
  <si>
    <t>GM1859</t>
  </si>
  <si>
    <t>Berkelland</t>
  </si>
  <si>
    <t>1721</t>
  </si>
  <si>
    <t>GM1721</t>
  </si>
  <si>
    <t>Bernheze</t>
  </si>
  <si>
    <t>0753</t>
  </si>
  <si>
    <t>GM0753</t>
  </si>
  <si>
    <t>0209</t>
  </si>
  <si>
    <t>GM0209</t>
  </si>
  <si>
    <t>Beuningen</t>
  </si>
  <si>
    <t>0375</t>
  </si>
  <si>
    <t>GM0375</t>
  </si>
  <si>
    <t>0310</t>
  </si>
  <si>
    <t>GM0310</t>
  </si>
  <si>
    <t>De Bilt</t>
  </si>
  <si>
    <t>1728</t>
  </si>
  <si>
    <t>GM1728</t>
  </si>
  <si>
    <t>Bladel</t>
  </si>
  <si>
    <t>0376</t>
  </si>
  <si>
    <t>GM0376</t>
  </si>
  <si>
    <t>Blaricum</t>
  </si>
  <si>
    <t>0377</t>
  </si>
  <si>
    <t>GM0377</t>
  </si>
  <si>
    <t>1901</t>
  </si>
  <si>
    <t>GM1901</t>
  </si>
  <si>
    <t>Bodegraven-Reeuwijk</t>
  </si>
  <si>
    <t>0755</t>
  </si>
  <si>
    <t>GM0755</t>
  </si>
  <si>
    <t>Boekel</t>
  </si>
  <si>
    <t>1681</t>
  </si>
  <si>
    <t>GM1681</t>
  </si>
  <si>
    <t>Borger-Odoorn</t>
  </si>
  <si>
    <t>0147</t>
  </si>
  <si>
    <t>GM0147</t>
  </si>
  <si>
    <t>0654</t>
  </si>
  <si>
    <t>GM0654</t>
  </si>
  <si>
    <t>Borsele</t>
  </si>
  <si>
    <t>29</t>
  </si>
  <si>
    <t>PV29</t>
  </si>
  <si>
    <t>Zeeland</t>
  </si>
  <si>
    <t>0757</t>
  </si>
  <si>
    <t>GM0757</t>
  </si>
  <si>
    <t>0758</t>
  </si>
  <si>
    <t>GM0758</t>
  </si>
  <si>
    <t>1876</t>
  </si>
  <si>
    <t>GM1876</t>
  </si>
  <si>
    <t>Bronckhorst</t>
  </si>
  <si>
    <t>0213</t>
  </si>
  <si>
    <t>GM0213</t>
  </si>
  <si>
    <t>0899</t>
  </si>
  <si>
    <t>GM0899</t>
  </si>
  <si>
    <t>Brunssum</t>
  </si>
  <si>
    <t>0312</t>
  </si>
  <si>
    <t>GM0312</t>
  </si>
  <si>
    <t>0313</t>
  </si>
  <si>
    <t>GM0313</t>
  </si>
  <si>
    <t>Bunschoten</t>
  </si>
  <si>
    <t>0214</t>
  </si>
  <si>
    <t>GM0214</t>
  </si>
  <si>
    <t>Buren</t>
  </si>
  <si>
    <t>0502</t>
  </si>
  <si>
    <t>GM0502</t>
  </si>
  <si>
    <t>0383</t>
  </si>
  <si>
    <t>GM0383</t>
  </si>
  <si>
    <t>0109</t>
  </si>
  <si>
    <t>GM0109</t>
  </si>
  <si>
    <t>1706</t>
  </si>
  <si>
    <t>GM1706</t>
  </si>
  <si>
    <t>Cranendonck</t>
  </si>
  <si>
    <t>0216</t>
  </si>
  <si>
    <t>GM0216</t>
  </si>
  <si>
    <t>0148</t>
  </si>
  <si>
    <t>GM0148</t>
  </si>
  <si>
    <t>1891</t>
  </si>
  <si>
    <t>GM1891</t>
  </si>
  <si>
    <t>Dantumadiel</t>
  </si>
  <si>
    <t>0503</t>
  </si>
  <si>
    <t>GM0503</t>
  </si>
  <si>
    <t>0762</t>
  </si>
  <si>
    <t>GM0762</t>
  </si>
  <si>
    <t>0150</t>
  </si>
  <si>
    <t>GM0150</t>
  </si>
  <si>
    <t>0384</t>
  </si>
  <si>
    <t>GM0384</t>
  </si>
  <si>
    <t>1980</t>
  </si>
  <si>
    <t>GM1980</t>
  </si>
  <si>
    <t>Dijk en Waard</t>
  </si>
  <si>
    <t>1774</t>
  </si>
  <si>
    <t>GM1774</t>
  </si>
  <si>
    <t>Dinkelland</t>
  </si>
  <si>
    <t>0221</t>
  </si>
  <si>
    <t>GM0221</t>
  </si>
  <si>
    <t>Doesburg</t>
  </si>
  <si>
    <t>0222</t>
  </si>
  <si>
    <t>GM0222</t>
  </si>
  <si>
    <t>0766</t>
  </si>
  <si>
    <t>GM0766</t>
  </si>
  <si>
    <t>Dongen</t>
  </si>
  <si>
    <t>0505</t>
  </si>
  <si>
    <t>GM0505</t>
  </si>
  <si>
    <t>0498</t>
  </si>
  <si>
    <t>GM0498</t>
  </si>
  <si>
    <t>Drechterland</t>
  </si>
  <si>
    <t>1719</t>
  </si>
  <si>
    <t>GM1719</t>
  </si>
  <si>
    <t>Drimmelen</t>
  </si>
  <si>
    <t>0303</t>
  </si>
  <si>
    <t>GM0303</t>
  </si>
  <si>
    <t>0225</t>
  </si>
  <si>
    <t>GM0225</t>
  </si>
  <si>
    <t>Druten</t>
  </si>
  <si>
    <t>0226</t>
  </si>
  <si>
    <t>GM0226</t>
  </si>
  <si>
    <t>1711</t>
  </si>
  <si>
    <t>GM1711</t>
  </si>
  <si>
    <t>Echt-Susteren</t>
  </si>
  <si>
    <t>0385</t>
  </si>
  <si>
    <t>GM0385</t>
  </si>
  <si>
    <t>Edam-Volendam</t>
  </si>
  <si>
    <t>0228</t>
  </si>
  <si>
    <t>GM0228</t>
  </si>
  <si>
    <t>0317</t>
  </si>
  <si>
    <t>GM0317</t>
  </si>
  <si>
    <t>Eemnes</t>
  </si>
  <si>
    <t>1979</t>
  </si>
  <si>
    <t>GM1979</t>
  </si>
  <si>
    <t>Eemsdelta</t>
  </si>
  <si>
    <t>20</t>
  </si>
  <si>
    <t>PV20</t>
  </si>
  <si>
    <t>0770</t>
  </si>
  <si>
    <t>GM0770</t>
  </si>
  <si>
    <t>Eersel</t>
  </si>
  <si>
    <t>1903</t>
  </si>
  <si>
    <t>GM1903</t>
  </si>
  <si>
    <t>Eijsden-Margraten</t>
  </si>
  <si>
    <t>0772</t>
  </si>
  <si>
    <t>GM0772</t>
  </si>
  <si>
    <t>0230</t>
  </si>
  <si>
    <t>GM0230</t>
  </si>
  <si>
    <t>Elburg</t>
  </si>
  <si>
    <t>0114</t>
  </si>
  <si>
    <t>GM0114</t>
  </si>
  <si>
    <t>0388</t>
  </si>
  <si>
    <t>GM0388</t>
  </si>
  <si>
    <t>0153</t>
  </si>
  <si>
    <t>GM0153</t>
  </si>
  <si>
    <t>0232</t>
  </si>
  <si>
    <t>GM0232</t>
  </si>
  <si>
    <t>Epe</t>
  </si>
  <si>
    <t>0233</t>
  </si>
  <si>
    <t>GM0233</t>
  </si>
  <si>
    <t>0777</t>
  </si>
  <si>
    <t>GM0777</t>
  </si>
  <si>
    <t>1940</t>
  </si>
  <si>
    <t>GM1940</t>
  </si>
  <si>
    <t>De Fryske Marren</t>
  </si>
  <si>
    <t>0779</t>
  </si>
  <si>
    <t>GM0779</t>
  </si>
  <si>
    <t>Geertruidenberg</t>
  </si>
  <si>
    <t>1771</t>
  </si>
  <si>
    <t>GM1771</t>
  </si>
  <si>
    <t>Geldrop-Mierlo</t>
  </si>
  <si>
    <t>1652</t>
  </si>
  <si>
    <t>GM1652</t>
  </si>
  <si>
    <t>Gemert-Bakel</t>
  </si>
  <si>
    <t>0907</t>
  </si>
  <si>
    <t>GM0907</t>
  </si>
  <si>
    <t>Gennep</t>
  </si>
  <si>
    <t>0784</t>
  </si>
  <si>
    <t>GM0784</t>
  </si>
  <si>
    <t>Gilze en Rijen</t>
  </si>
  <si>
    <t>1924</t>
  </si>
  <si>
    <t>GM1924</t>
  </si>
  <si>
    <t>Goeree-Overflakkee</t>
  </si>
  <si>
    <t>0664</t>
  </si>
  <si>
    <t>GM0664</t>
  </si>
  <si>
    <t>0785</t>
  </si>
  <si>
    <t>GM0785</t>
  </si>
  <si>
    <t>Goirle</t>
  </si>
  <si>
    <t>1942</t>
  </si>
  <si>
    <t>GM1942</t>
  </si>
  <si>
    <t>Gooise Meren</t>
  </si>
  <si>
    <t>0512</t>
  </si>
  <si>
    <t>GM0512</t>
  </si>
  <si>
    <t>0513</t>
  </si>
  <si>
    <t>GM0513</t>
  </si>
  <si>
    <t>0518</t>
  </si>
  <si>
    <t>GM0518</t>
  </si>
  <si>
    <t>'s-Gravenhage</t>
  </si>
  <si>
    <t>0014</t>
  </si>
  <si>
    <t>GM0014</t>
  </si>
  <si>
    <t>1729</t>
  </si>
  <si>
    <t>GM1729</t>
  </si>
  <si>
    <t>Gulpen-Wittem</t>
  </si>
  <si>
    <t>0158</t>
  </si>
  <si>
    <t>GM0158</t>
  </si>
  <si>
    <t>Haaksbergen</t>
  </si>
  <si>
    <t>0392</t>
  </si>
  <si>
    <t>GM0392</t>
  </si>
  <si>
    <t>0394</t>
  </si>
  <si>
    <t>GM0394</t>
  </si>
  <si>
    <t>Haarlemmermeer</t>
  </si>
  <si>
    <t>1655</t>
  </si>
  <si>
    <t>GM1655</t>
  </si>
  <si>
    <t>Halderberge</t>
  </si>
  <si>
    <t>0160</t>
  </si>
  <si>
    <t>GM0160</t>
  </si>
  <si>
    <t>0243</t>
  </si>
  <si>
    <t>GM0243</t>
  </si>
  <si>
    <t>0523</t>
  </si>
  <si>
    <t>GM0523</t>
  </si>
  <si>
    <t>0072</t>
  </si>
  <si>
    <t>GM0072</t>
  </si>
  <si>
    <t>0244</t>
  </si>
  <si>
    <t>GM0244</t>
  </si>
  <si>
    <t>Hattem</t>
  </si>
  <si>
    <t>0396</t>
  </si>
  <si>
    <t>GM0396</t>
  </si>
  <si>
    <t>0397</t>
  </si>
  <si>
    <t>GM0397</t>
  </si>
  <si>
    <t>0246</t>
  </si>
  <si>
    <t>GM0246</t>
  </si>
  <si>
    <t>Heerde</t>
  </si>
  <si>
    <t>0074</t>
  </si>
  <si>
    <t>GM0074</t>
  </si>
  <si>
    <t>0917</t>
  </si>
  <si>
    <t>GM0917</t>
  </si>
  <si>
    <t>1658</t>
  </si>
  <si>
    <t>GM1658</t>
  </si>
  <si>
    <t>Heeze-Leende</t>
  </si>
  <si>
    <t>0399</t>
  </si>
  <si>
    <t>GM0399</t>
  </si>
  <si>
    <t>0400</t>
  </si>
  <si>
    <t>GM0400</t>
  </si>
  <si>
    <t>0163</t>
  </si>
  <si>
    <t>GM0163</t>
  </si>
  <si>
    <t>Hellendoorn</t>
  </si>
  <si>
    <t>0794</t>
  </si>
  <si>
    <t>GM0794</t>
  </si>
  <si>
    <t>0531</t>
  </si>
  <si>
    <t>GM0531</t>
  </si>
  <si>
    <t>Hendrik-Ido-Ambacht</t>
  </si>
  <si>
    <t>0164</t>
  </si>
  <si>
    <t>GM0164</t>
  </si>
  <si>
    <t>0796</t>
  </si>
  <si>
    <t>GM0796</t>
  </si>
  <si>
    <t>0252</t>
  </si>
  <si>
    <t>GM0252</t>
  </si>
  <si>
    <t>Heumen</t>
  </si>
  <si>
    <t>0797</t>
  </si>
  <si>
    <t>GM0797</t>
  </si>
  <si>
    <t>Heusden</t>
  </si>
  <si>
    <t>0534</t>
  </si>
  <si>
    <t>GM0534</t>
  </si>
  <si>
    <t>0798</t>
  </si>
  <si>
    <t>GM0798</t>
  </si>
  <si>
    <t>Hilvarenbeek</t>
  </si>
  <si>
    <t>0402</t>
  </si>
  <si>
    <t>GM0402</t>
  </si>
  <si>
    <t>1963</t>
  </si>
  <si>
    <t>GM1963</t>
  </si>
  <si>
    <t>Hoeksche Waard</t>
  </si>
  <si>
    <t>1735</t>
  </si>
  <si>
    <t>GM1735</t>
  </si>
  <si>
    <t>Hof van Twente</t>
  </si>
  <si>
    <t>1966</t>
  </si>
  <si>
    <t>GM1966</t>
  </si>
  <si>
    <t>Het Hogeland</t>
  </si>
  <si>
    <t>1911</t>
  </si>
  <si>
    <t>GM1911</t>
  </si>
  <si>
    <t>Hollands Kroon</t>
  </si>
  <si>
    <t>0118</t>
  </si>
  <si>
    <t>GM0118</t>
  </si>
  <si>
    <t>0405</t>
  </si>
  <si>
    <t>GM0405</t>
  </si>
  <si>
    <t>1507</t>
  </si>
  <si>
    <t>GM1507</t>
  </si>
  <si>
    <t>Horst aan de Maas</t>
  </si>
  <si>
    <t>0321</t>
  </si>
  <si>
    <t>GM0321</t>
  </si>
  <si>
    <t>0406</t>
  </si>
  <si>
    <t>GM0406</t>
  </si>
  <si>
    <t>Huizen</t>
  </si>
  <si>
    <t>0677</t>
  </si>
  <si>
    <t>GM0677</t>
  </si>
  <si>
    <t>Hulst</t>
  </si>
  <si>
    <t>0353</t>
  </si>
  <si>
    <t>GM0353</t>
  </si>
  <si>
    <t>IJsselstein</t>
  </si>
  <si>
    <t>1884</t>
  </si>
  <si>
    <t>GM1884</t>
  </si>
  <si>
    <t>Kaag en Braassem</t>
  </si>
  <si>
    <t>0166</t>
  </si>
  <si>
    <t>GM0166</t>
  </si>
  <si>
    <t>0678</t>
  </si>
  <si>
    <t>GM0678</t>
  </si>
  <si>
    <t>Kapelle</t>
  </si>
  <si>
    <t>0537</t>
  </si>
  <si>
    <t>GM0537</t>
  </si>
  <si>
    <t>Katwijk</t>
  </si>
  <si>
    <t>0928</t>
  </si>
  <si>
    <t>GM0928</t>
  </si>
  <si>
    <t>1598</t>
  </si>
  <si>
    <t>GM1598</t>
  </si>
  <si>
    <t>Koggenland</t>
  </si>
  <si>
    <t>0542</t>
  </si>
  <si>
    <t>GM0542</t>
  </si>
  <si>
    <t>Krimpen aan den IJssel</t>
  </si>
  <si>
    <t>1931</t>
  </si>
  <si>
    <t>GM1931</t>
  </si>
  <si>
    <t>Krimpenerwaard</t>
  </si>
  <si>
    <t>1659</t>
  </si>
  <si>
    <t>GM1659</t>
  </si>
  <si>
    <t>Laarbeek</t>
  </si>
  <si>
    <t>1982</t>
  </si>
  <si>
    <t>GM1982</t>
  </si>
  <si>
    <t>Land van Cuijk</t>
  </si>
  <si>
    <t>0882</t>
  </si>
  <si>
    <t>GM0882</t>
  </si>
  <si>
    <t>0415</t>
  </si>
  <si>
    <t>GM0415</t>
  </si>
  <si>
    <t>Landsmeer</t>
  </si>
  <si>
    <t>1621</t>
  </si>
  <si>
    <t>GM1621</t>
  </si>
  <si>
    <t>Lansingerland</t>
  </si>
  <si>
    <t>0417</t>
  </si>
  <si>
    <t>GM0417</t>
  </si>
  <si>
    <t>Laren</t>
  </si>
  <si>
    <t>0080</t>
  </si>
  <si>
    <t>GM0080</t>
  </si>
  <si>
    <t>0546</t>
  </si>
  <si>
    <t>GM0546</t>
  </si>
  <si>
    <t>0547</t>
  </si>
  <si>
    <t>GM0547</t>
  </si>
  <si>
    <t>Leiderdorp</t>
  </si>
  <si>
    <t>1916</t>
  </si>
  <si>
    <t>GM1916</t>
  </si>
  <si>
    <t>Leidschendam-Voorburg</t>
  </si>
  <si>
    <t>0995</t>
  </si>
  <si>
    <t>GM0995</t>
  </si>
  <si>
    <t>1640</t>
  </si>
  <si>
    <t>GM1640</t>
  </si>
  <si>
    <t>Leudal</t>
  </si>
  <si>
    <t>0327</t>
  </si>
  <si>
    <t>GM0327</t>
  </si>
  <si>
    <t>Leusden</t>
  </si>
  <si>
    <t>1705</t>
  </si>
  <si>
    <t>GM1705</t>
  </si>
  <si>
    <t>Lingewaard</t>
  </si>
  <si>
    <t>0553</t>
  </si>
  <si>
    <t>GM0553</t>
  </si>
  <si>
    <t>Lisse</t>
  </si>
  <si>
    <t>0262</t>
  </si>
  <si>
    <t>GM0262</t>
  </si>
  <si>
    <t>0809</t>
  </si>
  <si>
    <t>GM0809</t>
  </si>
  <si>
    <t>Loon op Zand</t>
  </si>
  <si>
    <t>0331</t>
  </si>
  <si>
    <t>GM0331</t>
  </si>
  <si>
    <t>Lopik</t>
  </si>
  <si>
    <t>0168</t>
  </si>
  <si>
    <t>GM0168</t>
  </si>
  <si>
    <t>Losser</t>
  </si>
  <si>
    <t>0263</t>
  </si>
  <si>
    <t>GM0263</t>
  </si>
  <si>
    <t>Maasdriel</t>
  </si>
  <si>
    <t>1641</t>
  </si>
  <si>
    <t>GM1641</t>
  </si>
  <si>
    <t>Maasgouw</t>
  </si>
  <si>
    <t>1991</t>
  </si>
  <si>
    <t>GM1991</t>
  </si>
  <si>
    <t>Maashorst</t>
  </si>
  <si>
    <t>0556</t>
  </si>
  <si>
    <t>GM0556</t>
  </si>
  <si>
    <t>Maassluis</t>
  </si>
  <si>
    <t>0935</t>
  </si>
  <si>
    <t>GM0935</t>
  </si>
  <si>
    <t>0420</t>
  </si>
  <si>
    <t>GM0420</t>
  </si>
  <si>
    <t>Medemblik</t>
  </si>
  <si>
    <t>0938</t>
  </si>
  <si>
    <t>GM0938</t>
  </si>
  <si>
    <t>1948</t>
  </si>
  <si>
    <t>GM1948</t>
  </si>
  <si>
    <t>Meierijstad</t>
  </si>
  <si>
    <t>0119</t>
  </si>
  <si>
    <t>GM0119</t>
  </si>
  <si>
    <t>0687</t>
  </si>
  <si>
    <t>GM0687</t>
  </si>
  <si>
    <t>1842</t>
  </si>
  <si>
    <t>GM1842</t>
  </si>
  <si>
    <t>Midden-Delfland</t>
  </si>
  <si>
    <t>1731</t>
  </si>
  <si>
    <t>GM1731</t>
  </si>
  <si>
    <t>Midden-Drenthe</t>
  </si>
  <si>
    <t>1952</t>
  </si>
  <si>
    <t>GM1952</t>
  </si>
  <si>
    <t>Midden-Groningen</t>
  </si>
  <si>
    <t>1709</t>
  </si>
  <si>
    <t>GM1709</t>
  </si>
  <si>
    <t>Moerdijk</t>
  </si>
  <si>
    <t>1978</t>
  </si>
  <si>
    <t>GM1978</t>
  </si>
  <si>
    <t>Molenlanden</t>
  </si>
  <si>
    <t>1955</t>
  </si>
  <si>
    <t>GM1955</t>
  </si>
  <si>
    <t>Montferland</t>
  </si>
  <si>
    <t>0335</t>
  </si>
  <si>
    <t>GM0335</t>
  </si>
  <si>
    <t>Montfoort</t>
  </si>
  <si>
    <t>0944</t>
  </si>
  <si>
    <t>GM0944</t>
  </si>
  <si>
    <t>Mook en Middelaar</t>
  </si>
  <si>
    <t>1740</t>
  </si>
  <si>
    <t>GM1740</t>
  </si>
  <si>
    <t>Neder-Betuwe</t>
  </si>
  <si>
    <t>0946</t>
  </si>
  <si>
    <t>GM0946</t>
  </si>
  <si>
    <t>Nederweert</t>
  </si>
  <si>
    <t>0356</t>
  </si>
  <si>
    <t>GM0356</t>
  </si>
  <si>
    <t>Nieuwegein</t>
  </si>
  <si>
    <t>0569</t>
  </si>
  <si>
    <t>GM0569</t>
  </si>
  <si>
    <t>Nieuwkoop</t>
  </si>
  <si>
    <t>0267</t>
  </si>
  <si>
    <t>GM0267</t>
  </si>
  <si>
    <t>0268</t>
  </si>
  <si>
    <t>GM0268</t>
  </si>
  <si>
    <t>1930</t>
  </si>
  <si>
    <t>GM1930</t>
  </si>
  <si>
    <t>Nissewaard</t>
  </si>
  <si>
    <t>1970</t>
  </si>
  <si>
    <t>GM1970</t>
  </si>
  <si>
    <t>Noardeast-Fryslân</t>
  </si>
  <si>
    <t>1695</t>
  </si>
  <si>
    <t>GM1695</t>
  </si>
  <si>
    <t>Noord-Beveland</t>
  </si>
  <si>
    <t>1699</t>
  </si>
  <si>
    <t>GM1699</t>
  </si>
  <si>
    <t>Noordenveld</t>
  </si>
  <si>
    <t>0171</t>
  </si>
  <si>
    <t>GM0171</t>
  </si>
  <si>
    <t>Noordoostpolder</t>
  </si>
  <si>
    <t>0575</t>
  </si>
  <si>
    <t>GM0575</t>
  </si>
  <si>
    <t>Noordwijk</t>
  </si>
  <si>
    <t>0820</t>
  </si>
  <si>
    <t>GM0820</t>
  </si>
  <si>
    <t>Nuenen, Gerwen en Nederwetten</t>
  </si>
  <si>
    <t>0302</t>
  </si>
  <si>
    <t>GM0302</t>
  </si>
  <si>
    <t>0579</t>
  </si>
  <si>
    <t>GM0579</t>
  </si>
  <si>
    <t>Oegstgeest</t>
  </si>
  <si>
    <t>0823</t>
  </si>
  <si>
    <t>GM0823</t>
  </si>
  <si>
    <t>Oirschot</t>
  </si>
  <si>
    <t>0824</t>
  </si>
  <si>
    <t>GM0824</t>
  </si>
  <si>
    <t>1895</t>
  </si>
  <si>
    <t>GM1895</t>
  </si>
  <si>
    <t>Oldambt</t>
  </si>
  <si>
    <t>0269</t>
  </si>
  <si>
    <t>GM0269</t>
  </si>
  <si>
    <t>Oldebroek</t>
  </si>
  <si>
    <t>0173</t>
  </si>
  <si>
    <t>GM0173</t>
  </si>
  <si>
    <t>1773</t>
  </si>
  <si>
    <t>GM1773</t>
  </si>
  <si>
    <t>Olst-Wijhe</t>
  </si>
  <si>
    <t>0175</t>
  </si>
  <si>
    <t>GM0175</t>
  </si>
  <si>
    <t>1586</t>
  </si>
  <si>
    <t>GM1586</t>
  </si>
  <si>
    <t>Oost Gelre</t>
  </si>
  <si>
    <t>0826</t>
  </si>
  <si>
    <t>GM0826</t>
  </si>
  <si>
    <t>Oosterhout</t>
  </si>
  <si>
    <t>0085</t>
  </si>
  <si>
    <t>GM0085</t>
  </si>
  <si>
    <t>Ooststellingwerf</t>
  </si>
  <si>
    <t>0431</t>
  </si>
  <si>
    <t>GM0431</t>
  </si>
  <si>
    <t>Oostzaan</t>
  </si>
  <si>
    <t>0432</t>
  </si>
  <si>
    <t>GM0432</t>
  </si>
  <si>
    <t>Opmeer</t>
  </si>
  <si>
    <t>0086</t>
  </si>
  <si>
    <t>GM0086</t>
  </si>
  <si>
    <t>Opsterland</t>
  </si>
  <si>
    <t>0828</t>
  </si>
  <si>
    <t>GM0828</t>
  </si>
  <si>
    <t>1509</t>
  </si>
  <si>
    <t>GM1509</t>
  </si>
  <si>
    <t>Oude IJsselstreek</t>
  </si>
  <si>
    <t>0437</t>
  </si>
  <si>
    <t>GM0437</t>
  </si>
  <si>
    <t>Ouder-Amstel</t>
  </si>
  <si>
    <t>0589</t>
  </si>
  <si>
    <t>GM0589</t>
  </si>
  <si>
    <t>Oudewater</t>
  </si>
  <si>
    <t>1734</t>
  </si>
  <si>
    <t>GM1734</t>
  </si>
  <si>
    <t>Overbetuwe</t>
  </si>
  <si>
    <t>0590</t>
  </si>
  <si>
    <t>GM0590</t>
  </si>
  <si>
    <t>Papendrecht</t>
  </si>
  <si>
    <t>1894</t>
  </si>
  <si>
    <t>GM1894</t>
  </si>
  <si>
    <t>Peel en Maas</t>
  </si>
  <si>
    <t>0765</t>
  </si>
  <si>
    <t>GM0765</t>
  </si>
  <si>
    <t>Pekela</t>
  </si>
  <si>
    <t>1926</t>
  </si>
  <si>
    <t>GM1926</t>
  </si>
  <si>
    <t>Pijnacker-Nootdorp</t>
  </si>
  <si>
    <t>0439</t>
  </si>
  <si>
    <t>GM0439</t>
  </si>
  <si>
    <t>0273</t>
  </si>
  <si>
    <t>GM0273</t>
  </si>
  <si>
    <t>0177</t>
  </si>
  <si>
    <t>GM0177</t>
  </si>
  <si>
    <t>0703</t>
  </si>
  <si>
    <t>GM0703</t>
  </si>
  <si>
    <t>Reimerswaal</t>
  </si>
  <si>
    <t>0274</t>
  </si>
  <si>
    <t>GM0274</t>
  </si>
  <si>
    <t>Renkum</t>
  </si>
  <si>
    <t>0339</t>
  </si>
  <si>
    <t>GM0339</t>
  </si>
  <si>
    <t>Renswoude</t>
  </si>
  <si>
    <t>1667</t>
  </si>
  <si>
    <t>GM1667</t>
  </si>
  <si>
    <t>Reusel-De Mierden</t>
  </si>
  <si>
    <t>0275</t>
  </si>
  <si>
    <t>GM0275</t>
  </si>
  <si>
    <t>0340</t>
  </si>
  <si>
    <t>GM0340</t>
  </si>
  <si>
    <t>0597</t>
  </si>
  <si>
    <t>GM0597</t>
  </si>
  <si>
    <t>Ridderkerk</t>
  </si>
  <si>
    <t>1742</t>
  </si>
  <si>
    <t>GM1742</t>
  </si>
  <si>
    <t>Rijssen-Holten</t>
  </si>
  <si>
    <t>0603</t>
  </si>
  <si>
    <t>GM0603</t>
  </si>
  <si>
    <t>1669</t>
  </si>
  <si>
    <t>GM1669</t>
  </si>
  <si>
    <t>Roerdalen</t>
  </si>
  <si>
    <t>0957</t>
  </si>
  <si>
    <t>GM0957</t>
  </si>
  <si>
    <t>0736</t>
  </si>
  <si>
    <t>GM0736</t>
  </si>
  <si>
    <t>De Ronde Venen</t>
  </si>
  <si>
    <t>1674</t>
  </si>
  <si>
    <t>GM1674</t>
  </si>
  <si>
    <t>0599</t>
  </si>
  <si>
    <t>GM0599</t>
  </si>
  <si>
    <t>0277</t>
  </si>
  <si>
    <t>GM0277</t>
  </si>
  <si>
    <t>Rozendaal</t>
  </si>
  <si>
    <t>0840</t>
  </si>
  <si>
    <t>GM0840</t>
  </si>
  <si>
    <t>Rucphen</t>
  </si>
  <si>
    <t>0441</t>
  </si>
  <si>
    <t>GM0441</t>
  </si>
  <si>
    <t>0279</t>
  </si>
  <si>
    <t>GM0279</t>
  </si>
  <si>
    <t>Scherpenzeel</t>
  </si>
  <si>
    <t>0606</t>
  </si>
  <si>
    <t>GM0606</t>
  </si>
  <si>
    <t>0088</t>
  </si>
  <si>
    <t>GM0088</t>
  </si>
  <si>
    <t>Schiermonnikoog</t>
  </si>
  <si>
    <t>1676</t>
  </si>
  <si>
    <t>GM1676</t>
  </si>
  <si>
    <t>Schouwen-Duiveland</t>
  </si>
  <si>
    <t>0965</t>
  </si>
  <si>
    <t>GM0965</t>
  </si>
  <si>
    <t>Simpelveld</t>
  </si>
  <si>
    <t>0845</t>
  </si>
  <si>
    <t>GM0845</t>
  </si>
  <si>
    <t>Sint-Michielsgestel</t>
  </si>
  <si>
    <t>1883</t>
  </si>
  <si>
    <t>GM1883</t>
  </si>
  <si>
    <t>Sittard-Geleen</t>
  </si>
  <si>
    <t>0610</t>
  </si>
  <si>
    <t>GM0610</t>
  </si>
  <si>
    <t>1714</t>
  </si>
  <si>
    <t>GM1714</t>
  </si>
  <si>
    <t>Sluis</t>
  </si>
  <si>
    <t>0090</t>
  </si>
  <si>
    <t>GM0090</t>
  </si>
  <si>
    <t>Smallingerland</t>
  </si>
  <si>
    <t>0342</t>
  </si>
  <si>
    <t>GM0342</t>
  </si>
  <si>
    <t>0847</t>
  </si>
  <si>
    <t>GM0847</t>
  </si>
  <si>
    <t>Someren</t>
  </si>
  <si>
    <t>0848</t>
  </si>
  <si>
    <t>GM0848</t>
  </si>
  <si>
    <t>Son en Breugel</t>
  </si>
  <si>
    <t>0037</t>
  </si>
  <si>
    <t>GM0037</t>
  </si>
  <si>
    <t>Stadskanaal</t>
  </si>
  <si>
    <t>0180</t>
  </si>
  <si>
    <t>GM0180</t>
  </si>
  <si>
    <t>Staphorst</t>
  </si>
  <si>
    <t>0532</t>
  </si>
  <si>
    <t>GM0532</t>
  </si>
  <si>
    <t>Stede Broec</t>
  </si>
  <si>
    <t>0851</t>
  </si>
  <si>
    <t>GM0851</t>
  </si>
  <si>
    <t>Steenbergen</t>
  </si>
  <si>
    <t>1708</t>
  </si>
  <si>
    <t>GM1708</t>
  </si>
  <si>
    <t>Steenwijkerland</t>
  </si>
  <si>
    <t>0971</t>
  </si>
  <si>
    <t>GM0971</t>
  </si>
  <si>
    <t>Stein</t>
  </si>
  <si>
    <t>1904</t>
  </si>
  <si>
    <t>GM1904</t>
  </si>
  <si>
    <t>Stichtse Vecht</t>
  </si>
  <si>
    <t>1900</t>
  </si>
  <si>
    <t>GM1900</t>
  </si>
  <si>
    <t>Súdwest-Fryslân</t>
  </si>
  <si>
    <t>0715</t>
  </si>
  <si>
    <t>GM0715</t>
  </si>
  <si>
    <t>Terneuzen</t>
  </si>
  <si>
    <t>0093</t>
  </si>
  <si>
    <t>GM0093</t>
  </si>
  <si>
    <t>Terschelling</t>
  </si>
  <si>
    <t>0448</t>
  </si>
  <si>
    <t>GM0448</t>
  </si>
  <si>
    <t>Texel</t>
  </si>
  <si>
    <t>1525</t>
  </si>
  <si>
    <t>GM1525</t>
  </si>
  <si>
    <t>Teylingen</t>
  </si>
  <si>
    <t>0716</t>
  </si>
  <si>
    <t>GM0716</t>
  </si>
  <si>
    <t>Tholen</t>
  </si>
  <si>
    <t>0281</t>
  </si>
  <si>
    <t>GM0281</t>
  </si>
  <si>
    <t>0855</t>
  </si>
  <si>
    <t>GM0855</t>
  </si>
  <si>
    <t>0183</t>
  </si>
  <si>
    <t>GM0183</t>
  </si>
  <si>
    <t>Tubbergen</t>
  </si>
  <si>
    <t>1700</t>
  </si>
  <si>
    <t>GM1700</t>
  </si>
  <si>
    <t>Twenterand</t>
  </si>
  <si>
    <t>1730</t>
  </si>
  <si>
    <t>GM1730</t>
  </si>
  <si>
    <t>Tynaarlo</t>
  </si>
  <si>
    <t>0737</t>
  </si>
  <si>
    <t>GM0737</t>
  </si>
  <si>
    <t>Tytsjerksteradiel</t>
  </si>
  <si>
    <t>0450</t>
  </si>
  <si>
    <t>GM0450</t>
  </si>
  <si>
    <t>0451</t>
  </si>
  <si>
    <t>GM0451</t>
  </si>
  <si>
    <t>Uithoorn</t>
  </si>
  <si>
    <t>0184</t>
  </si>
  <si>
    <t>GM0184</t>
  </si>
  <si>
    <t>Urk</t>
  </si>
  <si>
    <t>0344</t>
  </si>
  <si>
    <t>GM0344</t>
  </si>
  <si>
    <t>1581</t>
  </si>
  <si>
    <t>GM1581</t>
  </si>
  <si>
    <t>Utrechtse Heuvelrug</t>
  </si>
  <si>
    <t>0981</t>
  </si>
  <si>
    <t>GM0981</t>
  </si>
  <si>
    <t>Vaals</t>
  </si>
  <si>
    <t>0994</t>
  </si>
  <si>
    <t>GM0994</t>
  </si>
  <si>
    <t>Valkenburg aan de Geul</t>
  </si>
  <si>
    <t>0858</t>
  </si>
  <si>
    <t>GM0858</t>
  </si>
  <si>
    <t>Valkenswaard</t>
  </si>
  <si>
    <t>0047</t>
  </si>
  <si>
    <t>GM0047</t>
  </si>
  <si>
    <t>0345</t>
  </si>
  <si>
    <t>GM0345</t>
  </si>
  <si>
    <t>0717</t>
  </si>
  <si>
    <t>GM0717</t>
  </si>
  <si>
    <t>Veere</t>
  </si>
  <si>
    <t>0861</t>
  </si>
  <si>
    <t>GM0861</t>
  </si>
  <si>
    <t>Veldhoven</t>
  </si>
  <si>
    <t>0453</t>
  </si>
  <si>
    <t>GM0453</t>
  </si>
  <si>
    <t>Velsen</t>
  </si>
  <si>
    <t>0983</t>
  </si>
  <si>
    <t>GM0983</t>
  </si>
  <si>
    <t>0984</t>
  </si>
  <si>
    <t>GM0984</t>
  </si>
  <si>
    <t>1961</t>
  </si>
  <si>
    <t>GM1961</t>
  </si>
  <si>
    <t>Vijfheerenlanden</t>
  </si>
  <si>
    <t>0622</t>
  </si>
  <si>
    <t>GM0622</t>
  </si>
  <si>
    <t>Vlaardingen</t>
  </si>
  <si>
    <t>0096</t>
  </si>
  <si>
    <t>GM0096</t>
  </si>
  <si>
    <t>Vlieland</t>
  </si>
  <si>
    <t>0718</t>
  </si>
  <si>
    <t>GM0718</t>
  </si>
  <si>
    <t>0986</t>
  </si>
  <si>
    <t>GM0986</t>
  </si>
  <si>
    <t>1992</t>
  </si>
  <si>
    <t>GM1992</t>
  </si>
  <si>
    <t>Voorne aan Zee</t>
  </si>
  <si>
    <t>0626</t>
  </si>
  <si>
    <t>GM0626</t>
  </si>
  <si>
    <t>0285</t>
  </si>
  <si>
    <t>GM0285</t>
  </si>
  <si>
    <t>Voorst</t>
  </si>
  <si>
    <t>0865</t>
  </si>
  <si>
    <t>GM0865</t>
  </si>
  <si>
    <t>1949</t>
  </si>
  <si>
    <t>GM1949</t>
  </si>
  <si>
    <t>Waadhoeke</t>
  </si>
  <si>
    <t>0866</t>
  </si>
  <si>
    <t>GM0866</t>
  </si>
  <si>
    <t>Waalre</t>
  </si>
  <si>
    <t>0867</t>
  </si>
  <si>
    <t>GM0867</t>
  </si>
  <si>
    <t>Waalwijk</t>
  </si>
  <si>
    <t>0627</t>
  </si>
  <si>
    <t>GM0627</t>
  </si>
  <si>
    <t>0289</t>
  </si>
  <si>
    <t>GM0289</t>
  </si>
  <si>
    <t>Wageningen</t>
  </si>
  <si>
    <t>0629</t>
  </si>
  <si>
    <t>GM0629</t>
  </si>
  <si>
    <t>Wassenaar</t>
  </si>
  <si>
    <t>0852</t>
  </si>
  <si>
    <t>GM0852</t>
  </si>
  <si>
    <t>Waterland</t>
  </si>
  <si>
    <t>0988</t>
  </si>
  <si>
    <t>GM0988</t>
  </si>
  <si>
    <t>1960</t>
  </si>
  <si>
    <t>GM1960</t>
  </si>
  <si>
    <t>West Betuwe</t>
  </si>
  <si>
    <t>0668</t>
  </si>
  <si>
    <t>GM0668</t>
  </si>
  <si>
    <t>West Maas en Waal</t>
  </si>
  <si>
    <t>1969</t>
  </si>
  <si>
    <t>GM1969</t>
  </si>
  <si>
    <t>Westerkwartier</t>
  </si>
  <si>
    <t>1701</t>
  </si>
  <si>
    <t>GM1701</t>
  </si>
  <si>
    <t>Westerveld</t>
  </si>
  <si>
    <t>0293</t>
  </si>
  <si>
    <t>GM0293</t>
  </si>
  <si>
    <t>1950</t>
  </si>
  <si>
    <t>GM1950</t>
  </si>
  <si>
    <t>Westerwolde</t>
  </si>
  <si>
    <t>1783</t>
  </si>
  <si>
    <t>GM1783</t>
  </si>
  <si>
    <t>Westland</t>
  </si>
  <si>
    <t>0098</t>
  </si>
  <si>
    <t>GM0098</t>
  </si>
  <si>
    <t>Weststellingwerf</t>
  </si>
  <si>
    <t>0189</t>
  </si>
  <si>
    <t>GM0189</t>
  </si>
  <si>
    <t>0296</t>
  </si>
  <si>
    <t>GM0296</t>
  </si>
  <si>
    <t>1696</t>
  </si>
  <si>
    <t>GM1696</t>
  </si>
  <si>
    <t>Wijdemeren</t>
  </si>
  <si>
    <t>0352</t>
  </si>
  <si>
    <t>GM0352</t>
  </si>
  <si>
    <t>Wijk bij Duurstede</t>
  </si>
  <si>
    <t>0294</t>
  </si>
  <si>
    <t>GM0294</t>
  </si>
  <si>
    <t>0873</t>
  </si>
  <si>
    <t>GM0873</t>
  </si>
  <si>
    <t>Woensdrecht</t>
  </si>
  <si>
    <t>0632</t>
  </si>
  <si>
    <t>GM0632</t>
  </si>
  <si>
    <t>1690</t>
  </si>
  <si>
    <t>GM1690</t>
  </si>
  <si>
    <t>De Wolden</t>
  </si>
  <si>
    <t>0880</t>
  </si>
  <si>
    <t>GM0880</t>
  </si>
  <si>
    <t>Wormerland</t>
  </si>
  <si>
    <t>0351</t>
  </si>
  <si>
    <t>GM0351</t>
  </si>
  <si>
    <t>Woudenberg</t>
  </si>
  <si>
    <t>0479</t>
  </si>
  <si>
    <t>GM0479</t>
  </si>
  <si>
    <t>Zaanstad</t>
  </si>
  <si>
    <t>0297</t>
  </si>
  <si>
    <t>GM0297</t>
  </si>
  <si>
    <t>0473</t>
  </si>
  <si>
    <t>GM0473</t>
  </si>
  <si>
    <t>0050</t>
  </si>
  <si>
    <t>GM0050</t>
  </si>
  <si>
    <t>Zeewolde</t>
  </si>
  <si>
    <t>0355</t>
  </si>
  <si>
    <t>GM0355</t>
  </si>
  <si>
    <t>Zeist</t>
  </si>
  <si>
    <t>0299</t>
  </si>
  <si>
    <t>GM0299</t>
  </si>
  <si>
    <t>0637</t>
  </si>
  <si>
    <t>GM0637</t>
  </si>
  <si>
    <t>0638</t>
  </si>
  <si>
    <t>GM0638</t>
  </si>
  <si>
    <t>Zoeterwoude</t>
  </si>
  <si>
    <t>1892</t>
  </si>
  <si>
    <t>GM1892</t>
  </si>
  <si>
    <t>Zuidplas</t>
  </si>
  <si>
    <t>0879</t>
  </si>
  <si>
    <t>GM0879</t>
  </si>
  <si>
    <t>Zundert</t>
  </si>
  <si>
    <t>0301</t>
  </si>
  <si>
    <t>GM0301</t>
  </si>
  <si>
    <t>1896</t>
  </si>
  <si>
    <t>GM1896</t>
  </si>
  <si>
    <t>Zwartewaterland</t>
  </si>
  <si>
    <t>0642</t>
  </si>
  <si>
    <t>GM0642</t>
  </si>
  <si>
    <t>0193</t>
  </si>
  <si>
    <t>GM0193</t>
  </si>
  <si>
    <t>GM_code</t>
  </si>
  <si>
    <t>Gecorrigeerd bodemgebruik 1996-2017 naar regio van het jaar 2023</t>
  </si>
  <si>
    <t>Totaal land (excl. buitenland)</t>
  </si>
  <si>
    <t>Totaal water (excl. buitenland)</t>
  </si>
  <si>
    <t>Verkeersterrein</t>
  </si>
  <si>
    <t>Bebouwd terrein</t>
  </si>
  <si>
    <t>Semi-bebouwd terrein</t>
  </si>
  <si>
    <t>Recreatieterrein</t>
  </si>
  <si>
    <t>Agrarisch terrein</t>
  </si>
  <si>
    <t>Bos en open natuurlijk terrein</t>
  </si>
  <si>
    <t>Binnenwater</t>
  </si>
  <si>
    <t>Buitenwater</t>
  </si>
  <si>
    <t>Buitenland</t>
  </si>
  <si>
    <t>Spoorterrein</t>
  </si>
  <si>
    <t>Hoofdweg</t>
  </si>
  <si>
    <t>Vliegveld</t>
  </si>
  <si>
    <t>Woonterrein</t>
  </si>
  <si>
    <t>Detailhandel en horeca</t>
  </si>
  <si>
    <t>Openbare voorziening</t>
  </si>
  <si>
    <t>Sociaal-culturele voorziening</t>
  </si>
  <si>
    <t>Bedrijfsterrein</t>
  </si>
  <si>
    <t>Stortplaats</t>
  </si>
  <si>
    <t>Wrakkenopslagplaats</t>
  </si>
  <si>
    <t>Begraafplaats</t>
  </si>
  <si>
    <t>Delfstofwinplaats</t>
  </si>
  <si>
    <t>Bouwterrein</t>
  </si>
  <si>
    <t>Semi-verhard overig terrein</t>
  </si>
  <si>
    <t>Park en plantsoen</t>
  </si>
  <si>
    <t>Sportterrein</t>
  </si>
  <si>
    <t>Volkstuin</t>
  </si>
  <si>
    <t>Dagrecreatief terrein</t>
  </si>
  <si>
    <t>Verblijfsrecreatief terrein</t>
  </si>
  <si>
    <t>Glastuinbouw</t>
  </si>
  <si>
    <t>Overig agrarisch terrein</t>
  </si>
  <si>
    <t>Bos</t>
  </si>
  <si>
    <t>Open droog natuurlijk terrein</t>
  </si>
  <si>
    <t>Open nat natuurlijk terrein</t>
  </si>
  <si>
    <t>IJsselmeer &amp; Markermeer</t>
  </si>
  <si>
    <t>Afgesloten zeearm</t>
  </si>
  <si>
    <t>Rijn &amp; Maas</t>
  </si>
  <si>
    <t>Randmeer</t>
  </si>
  <si>
    <t>Spaarbekken</t>
  </si>
  <si>
    <t>Recreatief binnenwater</t>
  </si>
  <si>
    <t>Binnenwater voor delfstofwinning</t>
  </si>
  <si>
    <t>Vloei- en/of slibveld</t>
  </si>
  <si>
    <t>Overig binnenwater</t>
  </si>
  <si>
    <t>Waddenzee, Eems &amp; Dollard</t>
  </si>
  <si>
    <t>Oosterschelde</t>
  </si>
  <si>
    <t>Westerschelde</t>
  </si>
  <si>
    <t>Noordzee</t>
  </si>
  <si>
    <t>Jaarstatcode</t>
  </si>
  <si>
    <t>Regiosoort</t>
  </si>
  <si>
    <t>Regionaam</t>
  </si>
  <si>
    <t>Periode</t>
  </si>
  <si>
    <t>Methode</t>
  </si>
  <si>
    <t>Eenheid</t>
  </si>
  <si>
    <t>Totaal</t>
  </si>
  <si>
    <t>Land</t>
  </si>
  <si>
    <t>Water</t>
  </si>
  <si>
    <t>HG_1</t>
  </si>
  <si>
    <t>HG_2</t>
  </si>
  <si>
    <t>HG_3</t>
  </si>
  <si>
    <t>HG_4</t>
  </si>
  <si>
    <t>HG_5</t>
  </si>
  <si>
    <t>HG_6</t>
  </si>
  <si>
    <t>HG_7</t>
  </si>
  <si>
    <t>HG_8</t>
  </si>
  <si>
    <t>HG_9</t>
  </si>
  <si>
    <t>CAT_10</t>
  </si>
  <si>
    <t>CAT_11</t>
  </si>
  <si>
    <t>CAT_12</t>
  </si>
  <si>
    <t>CAT_20</t>
  </si>
  <si>
    <t>CAT_21</t>
  </si>
  <si>
    <t>CAT_22</t>
  </si>
  <si>
    <t>CAT_23</t>
  </si>
  <si>
    <t>CAT_24</t>
  </si>
  <si>
    <t>CAT_30</t>
  </si>
  <si>
    <t>CAT_31</t>
  </si>
  <si>
    <t>CAT_32</t>
  </si>
  <si>
    <t>CAT_33</t>
  </si>
  <si>
    <t>CAT_34</t>
  </si>
  <si>
    <t>CAT_35</t>
  </si>
  <si>
    <t>CAT_40</t>
  </si>
  <si>
    <t>CAT_41</t>
  </si>
  <si>
    <t>CAT_42</t>
  </si>
  <si>
    <t>CAT_43</t>
  </si>
  <si>
    <t>CAT_44</t>
  </si>
  <si>
    <t>CAT_50</t>
  </si>
  <si>
    <t>CAT_51</t>
  </si>
  <si>
    <t>CAT_60</t>
  </si>
  <si>
    <t>CAT_61</t>
  </si>
  <si>
    <t>CAT_62</t>
  </si>
  <si>
    <t>CAT_70</t>
  </si>
  <si>
    <t>CAT_71</t>
  </si>
  <si>
    <t>CAT_72</t>
  </si>
  <si>
    <t>CAT_73</t>
  </si>
  <si>
    <t>CAT_74</t>
  </si>
  <si>
    <t>CAT_75</t>
  </si>
  <si>
    <t>CAT_76</t>
  </si>
  <si>
    <t>CAT_77</t>
  </si>
  <si>
    <t>CAT_78</t>
  </si>
  <si>
    <t>CAT_80</t>
  </si>
  <si>
    <t>CAT_81</t>
  </si>
  <si>
    <t>CAT_82</t>
  </si>
  <si>
    <t>CAT_83</t>
  </si>
  <si>
    <t>CAT_90</t>
  </si>
  <si>
    <t>2023GM0014</t>
  </si>
  <si>
    <t>GM</t>
  </si>
  <si>
    <t>BBG</t>
  </si>
  <si>
    <t>ha</t>
  </si>
  <si>
    <t>2023GM0034</t>
  </si>
  <si>
    <t>2023GM0037</t>
  </si>
  <si>
    <t>2023GM0047</t>
  </si>
  <si>
    <t>2023GM0050</t>
  </si>
  <si>
    <t>2023GM0059</t>
  </si>
  <si>
    <t>2023GM0060</t>
  </si>
  <si>
    <t>2023GM0072</t>
  </si>
  <si>
    <t>2023GM0074</t>
  </si>
  <si>
    <t>2023GM0080</t>
  </si>
  <si>
    <t>2023GM0085</t>
  </si>
  <si>
    <t>2023GM0086</t>
  </si>
  <si>
    <t>2023GM0088</t>
  </si>
  <si>
    <t>2023GM0090</t>
  </si>
  <si>
    <t>2023GM0093</t>
  </si>
  <si>
    <t>2023GM0096</t>
  </si>
  <si>
    <t>2023GM0098</t>
  </si>
  <si>
    <t>2023GM0106</t>
  </si>
  <si>
    <t>2023GM0109</t>
  </si>
  <si>
    <t>2023GM0114</t>
  </si>
  <si>
    <t>2023GM0118</t>
  </si>
  <si>
    <t>2023GM0119</t>
  </si>
  <si>
    <t>2023GM0141</t>
  </si>
  <si>
    <t>2023GM0147</t>
  </si>
  <si>
    <t>2023GM0148</t>
  </si>
  <si>
    <t>2023GM0150</t>
  </si>
  <si>
    <t>2023GM0153</t>
  </si>
  <si>
    <t>2023GM0158</t>
  </si>
  <si>
    <t>2023GM0160</t>
  </si>
  <si>
    <t>2023GM0163</t>
  </si>
  <si>
    <t>2023GM0164</t>
  </si>
  <si>
    <t>2023GM0166</t>
  </si>
  <si>
    <t>2023GM0168</t>
  </si>
  <si>
    <t>2023GM0171</t>
  </si>
  <si>
    <t>2023GM0173</t>
  </si>
  <si>
    <t>2023GM0175</t>
  </si>
  <si>
    <t>2023GM0177</t>
  </si>
  <si>
    <t>2023GM0180</t>
  </si>
  <si>
    <t>2023GM0183</t>
  </si>
  <si>
    <t>2023GM0184</t>
  </si>
  <si>
    <t>2023GM0189</t>
  </si>
  <si>
    <t>2023GM0193</t>
  </si>
  <si>
    <t>2023GM0197</t>
  </si>
  <si>
    <t>2023GM0200</t>
  </si>
  <si>
    <t>2023GM0202</t>
  </si>
  <si>
    <t>2023GM0203</t>
  </si>
  <si>
    <t>2023GM0209</t>
  </si>
  <si>
    <t>2023GM0213</t>
  </si>
  <si>
    <t>2023GM0214</t>
  </si>
  <si>
    <t>2023GM0216</t>
  </si>
  <si>
    <t>2023GM0221</t>
  </si>
  <si>
    <t>2023GM0222</t>
  </si>
  <si>
    <t>2023GM0225</t>
  </si>
  <si>
    <t>2023GM0226</t>
  </si>
  <si>
    <t>2023GM0228</t>
  </si>
  <si>
    <t>2023GM0230</t>
  </si>
  <si>
    <t>2023GM0232</t>
  </si>
  <si>
    <t>2023GM0233</t>
  </si>
  <si>
    <t>2023GM0243</t>
  </si>
  <si>
    <t>2023GM0244</t>
  </si>
  <si>
    <t>2023GM0246</t>
  </si>
  <si>
    <t>2023GM0252</t>
  </si>
  <si>
    <t>2023GM0262</t>
  </si>
  <si>
    <t>2023GM0263</t>
  </si>
  <si>
    <t>2023GM0267</t>
  </si>
  <si>
    <t>2023GM0268</t>
  </si>
  <si>
    <t>2023GM0269</t>
  </si>
  <si>
    <t>2023GM0273</t>
  </si>
  <si>
    <t>2023GM0274</t>
  </si>
  <si>
    <t>2023GM0275</t>
  </si>
  <si>
    <t>2023GM0277</t>
  </si>
  <si>
    <t>2023GM0279</t>
  </si>
  <si>
    <t>2023GM0281</t>
  </si>
  <si>
    <t>2023GM0285</t>
  </si>
  <si>
    <t>2023GM0289</t>
  </si>
  <si>
    <t>2023GM0293</t>
  </si>
  <si>
    <t>2023GM0294</t>
  </si>
  <si>
    <t>2023GM0296</t>
  </si>
  <si>
    <t>2023GM0297</t>
  </si>
  <si>
    <t>2023GM0299</t>
  </si>
  <si>
    <t>2023GM0301</t>
  </si>
  <si>
    <t>2023GM0302</t>
  </si>
  <si>
    <t>2023GM0303</t>
  </si>
  <si>
    <t>2023GM0307</t>
  </si>
  <si>
    <t>2023GM0308</t>
  </si>
  <si>
    <t>2023GM0310</t>
  </si>
  <si>
    <t>2023GM0312</t>
  </si>
  <si>
    <t>2023GM0313</t>
  </si>
  <si>
    <t>2023GM0317</t>
  </si>
  <si>
    <t>2023GM0321</t>
  </si>
  <si>
    <t>2023GM0327</t>
  </si>
  <si>
    <t>2023GM0331</t>
  </si>
  <si>
    <t>2023GM0335</t>
  </si>
  <si>
    <t>2023GM0339</t>
  </si>
  <si>
    <t>2023GM0340</t>
  </si>
  <si>
    <t>2023GM0342</t>
  </si>
  <si>
    <t>2023GM0344</t>
  </si>
  <si>
    <t>2023GM0345</t>
  </si>
  <si>
    <t>2023GM0351</t>
  </si>
  <si>
    <t>2023GM0352</t>
  </si>
  <si>
    <t>2023GM0353</t>
  </si>
  <si>
    <t>2023GM0355</t>
  </si>
  <si>
    <t>2023GM0356</t>
  </si>
  <si>
    <t>2023GM0358</t>
  </si>
  <si>
    <t>2023GM0361</t>
  </si>
  <si>
    <t>2023GM0362</t>
  </si>
  <si>
    <t>2023GM0363</t>
  </si>
  <si>
    <t>2023GM0373</t>
  </si>
  <si>
    <t>2023GM0375</t>
  </si>
  <si>
    <t>2023GM0376</t>
  </si>
  <si>
    <t>2023GM0377</t>
  </si>
  <si>
    <t>2023GM0383</t>
  </si>
  <si>
    <t>2023GM0384</t>
  </si>
  <si>
    <t>2023GM0385</t>
  </si>
  <si>
    <t>2023GM0388</t>
  </si>
  <si>
    <t>2023GM0392</t>
  </si>
  <si>
    <t>2023GM0394</t>
  </si>
  <si>
    <t>2023GM0396</t>
  </si>
  <si>
    <t>2023GM0397</t>
  </si>
  <si>
    <t>2023GM0399</t>
  </si>
  <si>
    <t>2023GM0400</t>
  </si>
  <si>
    <t>2023GM0402</t>
  </si>
  <si>
    <t>2023GM0405</t>
  </si>
  <si>
    <t>2023GM0406</t>
  </si>
  <si>
    <t>2023GM0415</t>
  </si>
  <si>
    <t>2023GM0417</t>
  </si>
  <si>
    <t>2023GM0420</t>
  </si>
  <si>
    <t>2023GM0431</t>
  </si>
  <si>
    <t>2023GM0432</t>
  </si>
  <si>
    <t>2023GM0437</t>
  </si>
  <si>
    <t>2023GM0439</t>
  </si>
  <si>
    <t>2023GM0441</t>
  </si>
  <si>
    <t>2023GM0448</t>
  </si>
  <si>
    <t>2023GM0450</t>
  </si>
  <si>
    <t>2023GM0451</t>
  </si>
  <si>
    <t>2023GM0453</t>
  </si>
  <si>
    <t>2023GM0473</t>
  </si>
  <si>
    <t>2023GM0479</t>
  </si>
  <si>
    <t>2023GM0482</t>
  </si>
  <si>
    <t>2023GM0484</t>
  </si>
  <si>
    <t>2023GM0489</t>
  </si>
  <si>
    <t>2023GM0498</t>
  </si>
  <si>
    <t>2023GM0502</t>
  </si>
  <si>
    <t>2023GM0503</t>
  </si>
  <si>
    <t>2023GM0505</t>
  </si>
  <si>
    <t>2023GM0512</t>
  </si>
  <si>
    <t>2023GM0513</t>
  </si>
  <si>
    <t>2023GM0518</t>
  </si>
  <si>
    <t>2023GM0523</t>
  </si>
  <si>
    <t>2023GM0531</t>
  </si>
  <si>
    <t>2023GM0532</t>
  </si>
  <si>
    <t>2023GM0534</t>
  </si>
  <si>
    <t>2023GM0537</t>
  </si>
  <si>
    <t>2023GM0542</t>
  </si>
  <si>
    <t>2023GM0546</t>
  </si>
  <si>
    <t>2023GM0547</t>
  </si>
  <si>
    <t>2023GM0553</t>
  </si>
  <si>
    <t>2023GM0556</t>
  </si>
  <si>
    <t>2023GM0569</t>
  </si>
  <si>
    <t>2023GM0575</t>
  </si>
  <si>
    <t>2023GM0579</t>
  </si>
  <si>
    <t>2023GM0589</t>
  </si>
  <si>
    <t>2023GM0590</t>
  </si>
  <si>
    <t>2023GM0597</t>
  </si>
  <si>
    <t>2023GM0599</t>
  </si>
  <si>
    <t>2023GM0603</t>
  </si>
  <si>
    <t>2023GM0606</t>
  </si>
  <si>
    <t>2023GM0610</t>
  </si>
  <si>
    <t>2023GM0613</t>
  </si>
  <si>
    <t>2023GM0622</t>
  </si>
  <si>
    <t>2023GM0626</t>
  </si>
  <si>
    <t>2023GM0627</t>
  </si>
  <si>
    <t>2023GM0629</t>
  </si>
  <si>
    <t>2023GM0632</t>
  </si>
  <si>
    <t>2023GM0637</t>
  </si>
  <si>
    <t>2023GM0638</t>
  </si>
  <si>
    <t>2023GM0642</t>
  </si>
  <si>
    <t>2023GM0654</t>
  </si>
  <si>
    <t>2023GM0664</t>
  </si>
  <si>
    <t>2023GM0668</t>
  </si>
  <si>
    <t>2023GM0677</t>
  </si>
  <si>
    <t>2023GM0678</t>
  </si>
  <si>
    <t>2023GM0687</t>
  </si>
  <si>
    <t>2023GM0703</t>
  </si>
  <si>
    <t>2023GM0715</t>
  </si>
  <si>
    <t>2023GM0716</t>
  </si>
  <si>
    <t>2023GM0717</t>
  </si>
  <si>
    <t>2023GM0718</t>
  </si>
  <si>
    <t>2023GM0736</t>
  </si>
  <si>
    <t>2023GM0737</t>
  </si>
  <si>
    <t>2023GM0743</t>
  </si>
  <si>
    <t>2023GM0744</t>
  </si>
  <si>
    <t>2023GM0748</t>
  </si>
  <si>
    <t>2023GM0753</t>
  </si>
  <si>
    <t>2023GM0755</t>
  </si>
  <si>
    <t>2023GM0757</t>
  </si>
  <si>
    <t>2023GM0758</t>
  </si>
  <si>
    <t>2023GM0762</t>
  </si>
  <si>
    <t>2023GM0765</t>
  </si>
  <si>
    <t>2023GM0766</t>
  </si>
  <si>
    <t>2023GM0770</t>
  </si>
  <si>
    <t>2023GM0772</t>
  </si>
  <si>
    <t>2023GM0777</t>
  </si>
  <si>
    <t>2023GM0779</t>
  </si>
  <si>
    <t>2023GM0784</t>
  </si>
  <si>
    <t>2023GM0785</t>
  </si>
  <si>
    <t>2023GM0794</t>
  </si>
  <si>
    <t>2023GM0796</t>
  </si>
  <si>
    <t>2023GM0797</t>
  </si>
  <si>
    <t>2023GM0798</t>
  </si>
  <si>
    <t>2023GM0809</t>
  </si>
  <si>
    <t>2023GM0820</t>
  </si>
  <si>
    <t>2023GM0823</t>
  </si>
  <si>
    <t>2023GM0824</t>
  </si>
  <si>
    <t>2023GM0826</t>
  </si>
  <si>
    <t>2023GM0828</t>
  </si>
  <si>
    <t>2023GM0840</t>
  </si>
  <si>
    <t>2023GM0845</t>
  </si>
  <si>
    <t>2023GM0847</t>
  </si>
  <si>
    <t>2023GM0848</t>
  </si>
  <si>
    <t>2023GM0851</t>
  </si>
  <si>
    <t>2023GM0852</t>
  </si>
  <si>
    <t>2023GM0855</t>
  </si>
  <si>
    <t>2023GM0858</t>
  </si>
  <si>
    <t>2023GM0861</t>
  </si>
  <si>
    <t>2023GM0865</t>
  </si>
  <si>
    <t>2023GM0866</t>
  </si>
  <si>
    <t>2023GM0867</t>
  </si>
  <si>
    <t>2023GM0873</t>
  </si>
  <si>
    <t>2023GM0879</t>
  </si>
  <si>
    <t>2023GM0880</t>
  </si>
  <si>
    <t>2023GM0882</t>
  </si>
  <si>
    <t>2023GM0888</t>
  </si>
  <si>
    <t>2023GM0889</t>
  </si>
  <si>
    <t>2023GM0893</t>
  </si>
  <si>
    <t>2023GM0899</t>
  </si>
  <si>
    <t>2023GM0907</t>
  </si>
  <si>
    <t>2023GM0917</t>
  </si>
  <si>
    <t>2023GM0928</t>
  </si>
  <si>
    <t>2023GM0935</t>
  </si>
  <si>
    <t>2023GM0938</t>
  </si>
  <si>
    <t>2023GM0944</t>
  </si>
  <si>
    <t>2023GM0946</t>
  </si>
  <si>
    <t>2023GM0957</t>
  </si>
  <si>
    <t>2023GM0965</t>
  </si>
  <si>
    <t>2023GM0971</t>
  </si>
  <si>
    <t>2023GM0981</t>
  </si>
  <si>
    <t>2023GM0983</t>
  </si>
  <si>
    <t>2023GM0984</t>
  </si>
  <si>
    <t>2023GM0986</t>
  </si>
  <si>
    <t>2023GM0988</t>
  </si>
  <si>
    <t>2023GM0994</t>
  </si>
  <si>
    <t>2023GM0995</t>
  </si>
  <si>
    <t>2023GM1507</t>
  </si>
  <si>
    <t>2023GM1509</t>
  </si>
  <si>
    <t>2023GM1525</t>
  </si>
  <si>
    <t>2023GM1581</t>
  </si>
  <si>
    <t>2023GM1586</t>
  </si>
  <si>
    <t>2023GM1598</t>
  </si>
  <si>
    <t>2023GM1621</t>
  </si>
  <si>
    <t>2023GM1640</t>
  </si>
  <si>
    <t>2023GM1641</t>
  </si>
  <si>
    <t>2023GM1652</t>
  </si>
  <si>
    <t>2023GM1655</t>
  </si>
  <si>
    <t>2023GM1658</t>
  </si>
  <si>
    <t>2023GM1659</t>
  </si>
  <si>
    <t>2023GM1667</t>
  </si>
  <si>
    <t>2023GM1669</t>
  </si>
  <si>
    <t>2023GM1674</t>
  </si>
  <si>
    <t>2023GM1676</t>
  </si>
  <si>
    <t>2023GM1680</t>
  </si>
  <si>
    <t>2023GM1681</t>
  </si>
  <si>
    <t>2023GM1690</t>
  </si>
  <si>
    <t>2023GM1695</t>
  </si>
  <si>
    <t>2023GM1696</t>
  </si>
  <si>
    <t>2023GM1699</t>
  </si>
  <si>
    <t>2023GM1700</t>
  </si>
  <si>
    <t>2023GM1701</t>
  </si>
  <si>
    <t>2023GM1705</t>
  </si>
  <si>
    <t>2023GM1706</t>
  </si>
  <si>
    <t>2023GM1708</t>
  </si>
  <si>
    <t>2023GM1709</t>
  </si>
  <si>
    <t>2023GM1711</t>
  </si>
  <si>
    <t>2023GM1714</t>
  </si>
  <si>
    <t>2023GM1719</t>
  </si>
  <si>
    <t>2023GM1721</t>
  </si>
  <si>
    <t>2023GM1723</t>
  </si>
  <si>
    <t>2023GM1724</t>
  </si>
  <si>
    <t>2023GM1728</t>
  </si>
  <si>
    <t>2023GM1729</t>
  </si>
  <si>
    <t>2023GM1730</t>
  </si>
  <si>
    <t>2023GM1731</t>
  </si>
  <si>
    <t>2023GM1734</t>
  </si>
  <si>
    <t>2023GM1735</t>
  </si>
  <si>
    <t>2023GM1740</t>
  </si>
  <si>
    <t>2023GM1742</t>
  </si>
  <si>
    <t>2023GM1771</t>
  </si>
  <si>
    <t>2023GM1773</t>
  </si>
  <si>
    <t>2023GM1774</t>
  </si>
  <si>
    <t>2023GM1783</t>
  </si>
  <si>
    <t>2023GM1842</t>
  </si>
  <si>
    <t>2023GM1859</t>
  </si>
  <si>
    <t>2023GM1876</t>
  </si>
  <si>
    <t>2023GM1883</t>
  </si>
  <si>
    <t>2023GM1884</t>
  </si>
  <si>
    <t>2023GM1891</t>
  </si>
  <si>
    <t>2023GM1892</t>
  </si>
  <si>
    <t>2023GM1894</t>
  </si>
  <si>
    <t>2023GM1895</t>
  </si>
  <si>
    <t>2023GM1896</t>
  </si>
  <si>
    <t>2023GM1900</t>
  </si>
  <si>
    <t>2023GM1901</t>
  </si>
  <si>
    <t>2023GM1903</t>
  </si>
  <si>
    <t>2023GM1904</t>
  </si>
  <si>
    <t>2023GM1911</t>
  </si>
  <si>
    <t>2023GM1916</t>
  </si>
  <si>
    <t>2023GM1924</t>
  </si>
  <si>
    <t>2023GM1926</t>
  </si>
  <si>
    <t>2023GM1930</t>
  </si>
  <si>
    <t>2023GM1931</t>
  </si>
  <si>
    <t>2023GM1940</t>
  </si>
  <si>
    <t>2023GM1942</t>
  </si>
  <si>
    <t>2023GM1945</t>
  </si>
  <si>
    <t>2023GM1948</t>
  </si>
  <si>
    <t>2023GM1949</t>
  </si>
  <si>
    <t>2023GM1950</t>
  </si>
  <si>
    <t>2023GM1952</t>
  </si>
  <si>
    <t>2023GM1954</t>
  </si>
  <si>
    <t>2023GM1955</t>
  </si>
  <si>
    <t>2023GM1959</t>
  </si>
  <si>
    <t>2023GM1960</t>
  </si>
  <si>
    <t>2023GM1961</t>
  </si>
  <si>
    <t>2023GM1963</t>
  </si>
  <si>
    <t>2023GM1966</t>
  </si>
  <si>
    <t>2023GM1969</t>
  </si>
  <si>
    <t>2023GM1970</t>
  </si>
  <si>
    <t>2023GM1978</t>
  </si>
  <si>
    <t>2023GM1979</t>
  </si>
  <si>
    <t>2023GM1980</t>
  </si>
  <si>
    <t>2023GM1982</t>
  </si>
  <si>
    <t>2023GM1991</t>
  </si>
  <si>
    <t>2023GM1992</t>
  </si>
  <si>
    <t>greenhouse_scaled</t>
  </si>
  <si>
    <t>coast_line_km</t>
  </si>
  <si>
    <t>total_land_area_km2</t>
  </si>
  <si>
    <t>arable_land_km2</t>
  </si>
  <si>
    <t>arable_land_scaled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</si>
</sst>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"/>
    <numFmt numFmtId="166" formatCode="0.00000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0" xfId="0" applyFont="1" applyFill="1"/>
    <xf numFmtId="0" fontId="0" fillId="3" borderId="0" xfId="0" applyFill="1"/>
    <xf numFmtId="166" fontId="0" fillId="3" borderId="0" xfId="0" applyNumberFormat="1" applyFill="1"/>
    <xf numFmtId="167" fontId="0" fillId="3" borderId="0" xfId="0" applyNumberFormat="1" applyFill="1"/>
    <xf numFmtId="0" fontId="3" fillId="4" borderId="0" xfId="0" applyFont="1" applyFill="1"/>
    <xf numFmtId="0" fontId="0" fillId="4" borderId="0" xfId="0" applyFill="1"/>
  </cellXfs>
  <cellStyles count="2">
    <cellStyle name="Normal" xfId="0" builtinId="0"/>
    <cellStyle name="Standaard_Gemeenten_alfabetisch_2022" xfId="1" xr:uid="{7C59DCEE-E33F-5149-9A8B-9F5CC17CFF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9</xdr:row>
      <xdr:rowOff>38100</xdr:rowOff>
    </xdr:from>
    <xdr:to>
      <xdr:col>5</xdr:col>
      <xdr:colOff>508000</xdr:colOff>
      <xdr:row>21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DBEA7D-B6C1-BC44-9302-27A46968AC56}"/>
            </a:ext>
          </a:extLst>
        </xdr:cNvPr>
        <xdr:cNvSpPr txBox="1"/>
      </xdr:nvSpPr>
      <xdr:spPr>
        <a:xfrm>
          <a:off x="444500" y="1752600"/>
          <a:ext cx="4191000" cy="23114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Bodemgebruik</a:t>
          </a:r>
          <a:r>
            <a:rPr lang="en-US" sz="1100" baseline="0"/>
            <a:t> uit 2017 gecorrigeerd naar gemeenten volgens 2023 (CBS)</a:t>
          </a:r>
          <a:endParaRPr lang="en-US" sz="1100"/>
        </a:p>
        <a:p>
          <a:endParaRPr lang="en-US" sz="1100"/>
        </a:p>
        <a:p>
          <a:r>
            <a:rPr lang="en-US" sz="1100"/>
            <a:t>https://www.cbs.nl/nl-nl/dossier/nederland-regionaal/geografische-data/bestand-bodemgebruik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63500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D04938-8F12-264B-BB4E-D95419A20C28}"/>
            </a:ext>
          </a:extLst>
        </xdr:cNvPr>
        <xdr:cNvSpPr txBox="1"/>
      </xdr:nvSpPr>
      <xdr:spPr>
        <a:xfrm>
          <a:off x="7327900" y="3937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 codes en namen volgens</a:t>
          </a:r>
          <a:r>
            <a:rPr lang="en-US" sz="1100" baseline="0"/>
            <a:t> CBS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F9D5-3369-B74A-9F5A-3F1F0BC06335}">
  <sheetPr>
    <tabColor rgb="FF92D050"/>
  </sheetPr>
  <dimension ref="A1:F343"/>
  <sheetViews>
    <sheetView tabSelected="1" zoomScale="171" workbookViewId="0">
      <selection activeCell="F2" sqref="F2"/>
    </sheetView>
  </sheetViews>
  <sheetFormatPr baseColWidth="10" defaultRowHeight="15" x14ac:dyDescent="0.2"/>
  <cols>
    <col min="2" max="2" width="15.33203125" bestFit="1" customWidth="1"/>
    <col min="3" max="3" width="17" bestFit="1" customWidth="1"/>
    <col min="4" max="4" width="16" bestFit="1" customWidth="1"/>
    <col min="5" max="5" width="13.83203125" bestFit="1" customWidth="1"/>
    <col min="6" max="6" width="11.6640625" bestFit="1" customWidth="1"/>
  </cols>
  <sheetData>
    <row r="1" spans="1:6" x14ac:dyDescent="0.2">
      <c r="A1" s="3" t="s">
        <v>1066</v>
      </c>
      <c r="B1" s="3" t="s">
        <v>1520</v>
      </c>
      <c r="C1" s="3" t="s">
        <v>1521</v>
      </c>
      <c r="D1" s="3" t="s">
        <v>1517</v>
      </c>
      <c r="E1" s="3" t="s">
        <v>1519</v>
      </c>
      <c r="F1" s="3" t="s">
        <v>1518</v>
      </c>
    </row>
    <row r="2" spans="1:6" ht="16" x14ac:dyDescent="0.2">
      <c r="A2" s="2" t="s">
        <v>128</v>
      </c>
      <c r="B2" s="5">
        <f>INDEX(Calculation!$A$1:$K$343,MATCH($A2,Calculation!$B:$B,0),MATCH(B$1,Calculation!$1:$1,0))</f>
        <v>187.48842647030909</v>
      </c>
      <c r="C2" s="6">
        <f>B2/SUM($B$2:$B$343)</f>
        <v>8.405868743878997E-3</v>
      </c>
      <c r="D2" s="4">
        <f>INDEX(Calculation!$A$1:$I$343,MATCH($A2,Calculation!$B:$B,0),MATCH(D$1,Calculation!$1:$1,0))</f>
        <v>0</v>
      </c>
      <c r="E2" s="4">
        <f>INDEX(Calculation!$A$1:$K$343,MATCH($A2,Calculation!$B:$B,0),MATCH(E$1,Calculation!$1:$1,0))</f>
        <v>276.06032316816174</v>
      </c>
      <c r="F2" s="4">
        <f>INDEX(Calculation!$A$1:$K$343,MATCH($A2,Calculation!$B:$B,0),MATCH(F$1,Calculation!$1:$1,0))</f>
        <v>0</v>
      </c>
    </row>
    <row r="3" spans="1:6" ht="16" x14ac:dyDescent="0.2">
      <c r="A3" s="2" t="s">
        <v>134</v>
      </c>
      <c r="B3" s="5">
        <f>INDEX(Calculation!$A$1:$K$343,MATCH($A3,Calculation!$B:$B,0),MATCH(B$1,Calculation!$1:$1,0))</f>
        <v>7.6329903408542199</v>
      </c>
      <c r="C3" s="6">
        <f t="shared" ref="C3:C66" si="0">B3/SUM($B$2:$B$343)</f>
        <v>3.4221800319326665E-4</v>
      </c>
      <c r="D3" s="4">
        <f>INDEX(Calculation!$A$1:$I$343,MATCH($A3,Calculation!$B:$B,0),MATCH(D$1,Calculation!$1:$1,0))</f>
        <v>1.1068605007412372E-2</v>
      </c>
      <c r="E3" s="4">
        <f>INDEX(Calculation!$A$1:$K$343,MATCH($A3,Calculation!$B:$B,0),MATCH(E$1,Calculation!$1:$1,0))</f>
        <v>20.098981930911101</v>
      </c>
      <c r="F3" s="4">
        <f>INDEX(Calculation!$A$1:$K$343,MATCH($A3,Calculation!$B:$B,0),MATCH(F$1,Calculation!$1:$1,0))</f>
        <v>0</v>
      </c>
    </row>
    <row r="4" spans="1:6" ht="16" x14ac:dyDescent="0.2">
      <c r="A4" s="2" t="s">
        <v>140</v>
      </c>
      <c r="B4" s="5">
        <f>INDEX(Calculation!$A$1:$K$343,MATCH($A4,Calculation!$B:$B,0),MATCH(B$1,Calculation!$1:$1,0))</f>
        <v>80.464677651704065</v>
      </c>
      <c r="C4" s="6">
        <f t="shared" si="0"/>
        <v>3.6075587789194535E-3</v>
      </c>
      <c r="D4" s="4">
        <f>INDEX(Calculation!$A$1:$I$343,MATCH($A4,Calculation!$B:$B,0),MATCH(D$1,Calculation!$1:$1,0))</f>
        <v>0</v>
      </c>
      <c r="E4" s="4">
        <f>INDEX(Calculation!$A$1:$K$343,MATCH($A4,Calculation!$B:$B,0),MATCH(E$1,Calculation!$1:$1,0))</f>
        <v>96.530352115103554</v>
      </c>
      <c r="F4" s="4">
        <f>INDEX(Calculation!$A$1:$K$343,MATCH($A4,Calculation!$B:$B,0),MATCH(F$1,Calculation!$1:$1,0))</f>
        <v>0</v>
      </c>
    </row>
    <row r="5" spans="1:6" ht="16" x14ac:dyDescent="0.2">
      <c r="A5" s="2" t="s">
        <v>145</v>
      </c>
      <c r="B5" s="5">
        <f>INDEX(Calculation!$A$1:$K$343,MATCH($A5,Calculation!$B:$B,0),MATCH(B$1,Calculation!$1:$1,0))</f>
        <v>85.163222537116724</v>
      </c>
      <c r="C5" s="6">
        <f t="shared" si="0"/>
        <v>3.8182136568633853E-3</v>
      </c>
      <c r="D5" s="4">
        <f>INDEX(Calculation!$A$1:$I$343,MATCH($A5,Calculation!$B:$B,0),MATCH(D$1,Calculation!$1:$1,0))</f>
        <v>8.091987041411256E-5</v>
      </c>
      <c r="E5" s="4">
        <f>INDEX(Calculation!$A$1:$K$343,MATCH($A5,Calculation!$B:$B,0),MATCH(E$1,Calculation!$1:$1,0))</f>
        <v>102.20595714229219</v>
      </c>
      <c r="F5" s="4">
        <f>INDEX(Calculation!$A$1:$K$343,MATCH($A5,Calculation!$B:$B,0),MATCH(F$1,Calculation!$1:$1,0))</f>
        <v>0</v>
      </c>
    </row>
    <row r="6" spans="1:6" ht="16" x14ac:dyDescent="0.2">
      <c r="A6" s="2" t="s">
        <v>151</v>
      </c>
      <c r="B6" s="5">
        <f>INDEX(Calculation!$A$1:$K$343,MATCH($A6,Calculation!$B:$B,0),MATCH(B$1,Calculation!$1:$1,0))</f>
        <v>2.9173258002609002</v>
      </c>
      <c r="C6" s="6">
        <f t="shared" si="0"/>
        <v>1.3079558147557614E-4</v>
      </c>
      <c r="D6" s="4">
        <f>INDEX(Calculation!$A$1:$I$343,MATCH($A6,Calculation!$B:$B,0),MATCH(D$1,Calculation!$1:$1,0))</f>
        <v>0</v>
      </c>
      <c r="E6" s="4">
        <f>INDEX(Calculation!$A$1:$K$343,MATCH($A6,Calculation!$B:$B,0),MATCH(E$1,Calculation!$1:$1,0))</f>
        <v>8.7726386295683465</v>
      </c>
      <c r="F6" s="4">
        <f>INDEX(Calculation!$A$1:$K$343,MATCH($A6,Calculation!$B:$B,0),MATCH(F$1,Calculation!$1:$1,0))</f>
        <v>0</v>
      </c>
    </row>
    <row r="7" spans="1:6" ht="16" x14ac:dyDescent="0.2">
      <c r="A7" s="2" t="s">
        <v>157</v>
      </c>
      <c r="B7" s="5">
        <f>INDEX(Calculation!$A$1:$K$343,MATCH($A7,Calculation!$B:$B,0),MATCH(B$1,Calculation!$1:$1,0))</f>
        <v>10.912898559213502</v>
      </c>
      <c r="C7" s="6">
        <f t="shared" si="0"/>
        <v>4.8926962922984354E-4</v>
      </c>
      <c r="D7" s="4">
        <f>INDEX(Calculation!$A$1:$I$343,MATCH($A7,Calculation!$B:$B,0),MATCH(D$1,Calculation!$1:$1,0))</f>
        <v>3.0093901027849031E-4</v>
      </c>
      <c r="E7" s="4">
        <f>INDEX(Calculation!$A$1:$K$343,MATCH($A7,Calculation!$B:$B,0),MATCH(E$1,Calculation!$1:$1,0))</f>
        <v>21.665085701468293</v>
      </c>
      <c r="F7" s="4">
        <f>INDEX(Calculation!$A$1:$K$343,MATCH($A7,Calculation!$B:$B,0),MATCH(F$1,Calculation!$1:$1,0))</f>
        <v>0</v>
      </c>
    </row>
    <row r="8" spans="1:6" ht="16" x14ac:dyDescent="0.2">
      <c r="A8" s="2" t="s">
        <v>160</v>
      </c>
      <c r="B8" s="5">
        <f>INDEX(Calculation!$A$1:$K$343,MATCH($A8,Calculation!$B:$B,0),MATCH(B$1,Calculation!$1:$1,0))</f>
        <v>77.929015513536655</v>
      </c>
      <c r="C8" s="6">
        <f t="shared" si="0"/>
        <v>3.4938747317837006E-3</v>
      </c>
      <c r="D8" s="4">
        <f>INDEX(Calculation!$A$1:$I$343,MATCH($A8,Calculation!$B:$B,0),MATCH(D$1,Calculation!$1:$1,0))</f>
        <v>3.3622706952999524E-4</v>
      </c>
      <c r="E8" s="4">
        <f>INDEX(Calculation!$A$1:$K$343,MATCH($A8,Calculation!$B:$B,0),MATCH(E$1,Calculation!$1:$1,0))</f>
        <v>110.31265219516035</v>
      </c>
      <c r="F8" s="4">
        <f>INDEX(Calculation!$A$1:$K$343,MATCH($A8,Calculation!$B:$B,0),MATCH(F$1,Calculation!$1:$1,0))</f>
        <v>0</v>
      </c>
    </row>
    <row r="9" spans="1:6" ht="16" x14ac:dyDescent="0.2">
      <c r="A9" s="2" t="s">
        <v>162</v>
      </c>
      <c r="B9" s="5">
        <f>INDEX(Calculation!$A$1:$K$343,MATCH($A9,Calculation!$B:$B,0),MATCH(B$1,Calculation!$1:$1,0))</f>
        <v>35.396501019881278</v>
      </c>
      <c r="C9" s="6">
        <f t="shared" si="0"/>
        <v>1.5869691114657662E-3</v>
      </c>
      <c r="D9" s="4">
        <f>INDEX(Calculation!$A$1:$I$343,MATCH($A9,Calculation!$B:$B,0),MATCH(D$1,Calculation!$1:$1,0))</f>
        <v>0</v>
      </c>
      <c r="E9" s="4">
        <f>INDEX(Calculation!$A$1:$K$343,MATCH($A9,Calculation!$B:$B,0),MATCH(E$1,Calculation!$1:$1,0))</f>
        <v>67.180698665028871</v>
      </c>
      <c r="F9" s="4">
        <f>INDEX(Calculation!$A$1:$K$343,MATCH($A9,Calculation!$B:$B,0),MATCH(F$1,Calculation!$1:$1,0))</f>
        <v>0</v>
      </c>
    </row>
    <row r="10" spans="1:6" ht="16" x14ac:dyDescent="0.2">
      <c r="A10" s="2" t="s">
        <v>167</v>
      </c>
      <c r="B10" s="5">
        <f>INDEX(Calculation!$A$1:$K$343,MATCH($A10,Calculation!$B:$B,0),MATCH(B$1,Calculation!$1:$1,0))</f>
        <v>32.413440059292292</v>
      </c>
      <c r="C10" s="6">
        <f t="shared" si="0"/>
        <v>1.4532263553833178E-3</v>
      </c>
      <c r="D10" s="4">
        <f>INDEX(Calculation!$A$1:$I$343,MATCH($A10,Calculation!$B:$B,0),MATCH(D$1,Calculation!$1:$1,0))</f>
        <v>8.9035873779613316E-3</v>
      </c>
      <c r="E10" s="4">
        <f>INDEX(Calculation!$A$1:$K$343,MATCH($A10,Calculation!$B:$B,0),MATCH(E$1,Calculation!$1:$1,0))</f>
        <v>129.17945664968752</v>
      </c>
      <c r="F10" s="4">
        <f>INDEX(Calculation!$A$1:$K$343,MATCH($A10,Calculation!$B:$B,0),MATCH(F$1,Calculation!$1:$1,0))</f>
        <v>0</v>
      </c>
    </row>
    <row r="11" spans="1:6" ht="16" x14ac:dyDescent="0.2">
      <c r="A11" s="2" t="s">
        <v>173</v>
      </c>
      <c r="B11" s="5">
        <f>INDEX(Calculation!$A$1:$K$343,MATCH($A11,Calculation!$B:$B,0),MATCH(B$1,Calculation!$1:$1,0))</f>
        <v>93.385315180046817</v>
      </c>
      <c r="C11" s="6">
        <f t="shared" si="0"/>
        <v>4.1868435123570439E-3</v>
      </c>
      <c r="D11" s="4">
        <f>INDEX(Calculation!$A$1:$I$343,MATCH($A11,Calculation!$B:$B,0),MATCH(D$1,Calculation!$1:$1,0))</f>
        <v>4.7111813387507272E-3</v>
      </c>
      <c r="E11" s="4">
        <f>INDEX(Calculation!$A$1:$K$343,MATCH($A11,Calculation!$B:$B,0),MATCH(E$1,Calculation!$1:$1,0))</f>
        <v>125.92551873681799</v>
      </c>
      <c r="F11" s="4">
        <f>INDEX(Calculation!$A$1:$K$343,MATCH($A11,Calculation!$B:$B,0),MATCH(F$1,Calculation!$1:$1,0))</f>
        <v>0</v>
      </c>
    </row>
    <row r="12" spans="1:6" ht="16" x14ac:dyDescent="0.2">
      <c r="A12" s="2" t="s">
        <v>175</v>
      </c>
      <c r="B12" s="5">
        <f>INDEX(Calculation!$A$1:$K$343,MATCH($A12,Calculation!$B:$B,0),MATCH(B$1,Calculation!$1:$1,0))</f>
        <v>65.508470443524118</v>
      </c>
      <c r="C12" s="6">
        <f t="shared" si="0"/>
        <v>2.9370111773152196E-3</v>
      </c>
      <c r="D12" s="4">
        <f>INDEX(Calculation!$A$1:$I$343,MATCH($A12,Calculation!$B:$B,0),MATCH(D$1,Calculation!$1:$1,0))</f>
        <v>1.16567595994736E-3</v>
      </c>
      <c r="E12" s="4">
        <f>INDEX(Calculation!$A$1:$K$343,MATCH($A12,Calculation!$B:$B,0),MATCH(E$1,Calculation!$1:$1,0))</f>
        <v>92.980240047021994</v>
      </c>
      <c r="F12" s="4">
        <f>INDEX(Calculation!$A$1:$K$343,MATCH($A12,Calculation!$B:$B,0),MATCH(F$1,Calculation!$1:$1,0))</f>
        <v>0</v>
      </c>
    </row>
    <row r="13" spans="1:6" ht="16" x14ac:dyDescent="0.2">
      <c r="A13" s="2" t="s">
        <v>181</v>
      </c>
      <c r="B13" s="5">
        <f>INDEX(Calculation!$A$1:$K$343,MATCH($A13,Calculation!$B:$B,0),MATCH(B$1,Calculation!$1:$1,0))</f>
        <v>154.74114158246991</v>
      </c>
      <c r="C13" s="6">
        <f t="shared" si="0"/>
        <v>6.9376747669607445E-3</v>
      </c>
      <c r="D13" s="4">
        <f>INDEX(Calculation!$A$1:$I$343,MATCH($A13,Calculation!$B:$B,0),MATCH(D$1,Calculation!$1:$1,0))</f>
        <v>2.3249888521817432E-3</v>
      </c>
      <c r="E13" s="4">
        <f>INDEX(Calculation!$A$1:$K$343,MATCH($A13,Calculation!$B:$B,0),MATCH(E$1,Calculation!$1:$1,0))</f>
        <v>199.7398075973073</v>
      </c>
      <c r="F13" s="4">
        <f>INDEX(Calculation!$A$1:$K$343,MATCH($A13,Calculation!$B:$B,0),MATCH(F$1,Calculation!$1:$1,0))</f>
        <v>0</v>
      </c>
    </row>
    <row r="14" spans="1:6" ht="16" x14ac:dyDescent="0.2">
      <c r="A14" s="2" t="s">
        <v>184</v>
      </c>
      <c r="B14" s="5">
        <f>INDEX(Calculation!$A$1:$K$343,MATCH($A14,Calculation!$B:$B,0),MATCH(B$1,Calculation!$1:$1,0))</f>
        <v>19.245650355670733</v>
      </c>
      <c r="C14" s="6">
        <f t="shared" si="0"/>
        <v>8.6286078466808953E-4</v>
      </c>
      <c r="D14" s="4">
        <f>INDEX(Calculation!$A$1:$I$343,MATCH($A14,Calculation!$B:$B,0),MATCH(D$1,Calculation!$1:$1,0))</f>
        <v>0</v>
      </c>
      <c r="E14" s="4">
        <f>INDEX(Calculation!$A$1:$K$343,MATCH($A14,Calculation!$B:$B,0),MATCH(E$1,Calculation!$1:$1,0))</f>
        <v>56.591981678304556</v>
      </c>
      <c r="F14" s="4">
        <f>INDEX(Calculation!$A$1:$K$343,MATCH($A14,Calculation!$B:$B,0),MATCH(F$1,Calculation!$1:$1,0))</f>
        <v>211.14660931307256</v>
      </c>
    </row>
    <row r="15" spans="1:6" ht="16" x14ac:dyDescent="0.2">
      <c r="A15" s="2" t="s">
        <v>187</v>
      </c>
      <c r="B15" s="5">
        <f>INDEX(Calculation!$A$1:$K$343,MATCH($A15,Calculation!$B:$B,0),MATCH(B$1,Calculation!$1:$1,0))</f>
        <v>19.368912306528866</v>
      </c>
      <c r="C15" s="6">
        <f t="shared" si="0"/>
        <v>8.6838711927729277E-4</v>
      </c>
      <c r="D15" s="4">
        <f>INDEX(Calculation!$A$1:$I$343,MATCH($A15,Calculation!$B:$B,0),MATCH(D$1,Calculation!$1:$1,0))</f>
        <v>0</v>
      </c>
      <c r="E15" s="4">
        <f>INDEX(Calculation!$A$1:$K$343,MATCH($A15,Calculation!$B:$B,0),MATCH(E$1,Calculation!$1:$1,0))</f>
        <v>62.491849067000828</v>
      </c>
      <c r="F15" s="4">
        <f>INDEX(Calculation!$A$1:$K$343,MATCH($A15,Calculation!$B:$B,0),MATCH(F$1,Calculation!$1:$1,0))</f>
        <v>0</v>
      </c>
    </row>
    <row r="16" spans="1:6" ht="16" x14ac:dyDescent="0.2">
      <c r="A16" s="2" t="s">
        <v>191</v>
      </c>
      <c r="B16" s="5">
        <f>INDEX(Calculation!$A$1:$K$343,MATCH($A16,Calculation!$B:$B,0),MATCH(B$1,Calculation!$1:$1,0))</f>
        <v>15.8029984682228</v>
      </c>
      <c r="C16" s="6">
        <f t="shared" si="0"/>
        <v>7.0851269800719188E-4</v>
      </c>
      <c r="D16" s="4">
        <f>INDEX(Calculation!$A$1:$I$343,MATCH($A16,Calculation!$B:$B,0),MATCH(D$1,Calculation!$1:$1,0))</f>
        <v>7.9027909013034709E-3</v>
      </c>
      <c r="E16" s="4">
        <f>INDEX(Calculation!$A$1:$K$343,MATCH($A16,Calculation!$B:$B,0),MATCH(E$1,Calculation!$1:$1,0))</f>
        <v>41.113715183294232</v>
      </c>
      <c r="F16" s="4">
        <f>INDEX(Calculation!$A$1:$K$343,MATCH($A16,Calculation!$B:$B,0),MATCH(F$1,Calculation!$1:$1,0))</f>
        <v>0</v>
      </c>
    </row>
    <row r="17" spans="1:6" ht="16" x14ac:dyDescent="0.2">
      <c r="A17" s="2" t="s">
        <v>194</v>
      </c>
      <c r="B17" s="5">
        <f>INDEX(Calculation!$A$1:$K$343,MATCH($A17,Calculation!$B:$B,0),MATCH(B$1,Calculation!$1:$1,0))</f>
        <v>44.152688492926117</v>
      </c>
      <c r="C17" s="6">
        <f t="shared" si="0"/>
        <v>1.9795446105559372E-3</v>
      </c>
      <c r="D17" s="4">
        <f>INDEX(Calculation!$A$1:$I$343,MATCH($A17,Calculation!$B:$B,0),MATCH(D$1,Calculation!$1:$1,0))</f>
        <v>1.8033875056239651E-3</v>
      </c>
      <c r="E17" s="4">
        <f>INDEX(Calculation!$A$1:$K$343,MATCH($A17,Calculation!$B:$B,0),MATCH(E$1,Calculation!$1:$1,0))</f>
        <v>188.12228878629364</v>
      </c>
      <c r="F17" s="4">
        <f>INDEX(Calculation!$A$1:$K$343,MATCH($A17,Calculation!$B:$B,0),MATCH(F$1,Calculation!$1:$1,0))</f>
        <v>0</v>
      </c>
    </row>
    <row r="18" spans="1:6" ht="16" x14ac:dyDescent="0.2">
      <c r="A18" s="2" t="s">
        <v>196</v>
      </c>
      <c r="B18" s="5">
        <f>INDEX(Calculation!$A$1:$K$343,MATCH($A18,Calculation!$B:$B,0),MATCH(B$1,Calculation!$1:$1,0))</f>
        <v>82.736473716488405</v>
      </c>
      <c r="C18" s="6">
        <f t="shared" si="0"/>
        <v>3.7094126367439102E-3</v>
      </c>
      <c r="D18" s="4">
        <f>INDEX(Calculation!$A$1:$I$343,MATCH($A18,Calculation!$B:$B,0),MATCH(D$1,Calculation!$1:$1,0))</f>
        <v>3.3438636068200796E-4</v>
      </c>
      <c r="E18" s="4">
        <f>INDEX(Calculation!$A$1:$K$343,MATCH($A18,Calculation!$B:$B,0),MATCH(E$1,Calculation!$1:$1,0))</f>
        <v>339.86101313860593</v>
      </c>
      <c r="F18" s="4">
        <f>INDEX(Calculation!$A$1:$K$343,MATCH($A18,Calculation!$B:$B,0),MATCH(F$1,Calculation!$1:$1,0))</f>
        <v>0</v>
      </c>
    </row>
    <row r="19" spans="1:6" ht="16" x14ac:dyDescent="0.2">
      <c r="A19" s="2" t="s">
        <v>198</v>
      </c>
      <c r="B19" s="5">
        <f>INDEX(Calculation!$A$1:$K$343,MATCH($A19,Calculation!$B:$B,0),MATCH(B$1,Calculation!$1:$1,0))</f>
        <v>15.721138042859431</v>
      </c>
      <c r="C19" s="6">
        <f t="shared" si="0"/>
        <v>7.0484256218133296E-4</v>
      </c>
      <c r="D19" s="4">
        <f>INDEX(Calculation!$A$1:$I$343,MATCH($A19,Calculation!$B:$B,0),MATCH(D$1,Calculation!$1:$1,0))</f>
        <v>8.9847798190023593E-5</v>
      </c>
      <c r="E19" s="4">
        <f>INDEX(Calculation!$A$1:$K$343,MATCH($A19,Calculation!$B:$B,0),MATCH(E$1,Calculation!$1:$1,0))</f>
        <v>97.739964257544329</v>
      </c>
      <c r="F19" s="4">
        <f>INDEX(Calculation!$A$1:$K$343,MATCH($A19,Calculation!$B:$B,0),MATCH(F$1,Calculation!$1:$1,0))</f>
        <v>0</v>
      </c>
    </row>
    <row r="20" spans="1:6" ht="16" x14ac:dyDescent="0.2">
      <c r="A20" s="2" t="s">
        <v>200</v>
      </c>
      <c r="B20" s="5">
        <f>INDEX(Calculation!$A$1:$K$343,MATCH($A20,Calculation!$B:$B,0),MATCH(B$1,Calculation!$1:$1,0))</f>
        <v>39.647122560302755</v>
      </c>
      <c r="C20" s="6">
        <f t="shared" si="0"/>
        <v>1.7775417639827788E-3</v>
      </c>
      <c r="D20" s="4">
        <f>INDEX(Calculation!$A$1:$I$343,MATCH($A20,Calculation!$B:$B,0),MATCH(D$1,Calculation!$1:$1,0))</f>
        <v>0</v>
      </c>
      <c r="E20" s="4">
        <f>INDEX(Calculation!$A$1:$K$343,MATCH($A20,Calculation!$B:$B,0),MATCH(E$1,Calculation!$1:$1,0))</f>
        <v>81.877477601711831</v>
      </c>
      <c r="F20" s="4">
        <f>INDEX(Calculation!$A$1:$K$343,MATCH($A20,Calculation!$B:$B,0),MATCH(F$1,Calculation!$1:$1,0))</f>
        <v>0</v>
      </c>
    </row>
    <row r="21" spans="1:6" ht="16" x14ac:dyDescent="0.2">
      <c r="A21" s="2" t="s">
        <v>202</v>
      </c>
      <c r="B21" s="5">
        <f>INDEX(Calculation!$A$1:$K$343,MATCH($A21,Calculation!$B:$B,0),MATCH(B$1,Calculation!$1:$1,0))</f>
        <v>45.879823398899745</v>
      </c>
      <c r="C21" s="6">
        <f t="shared" si="0"/>
        <v>2.0569790932912502E-3</v>
      </c>
      <c r="D21" s="4">
        <f>INDEX(Calculation!$A$1:$I$343,MATCH($A21,Calculation!$B:$B,0),MATCH(D$1,Calculation!$1:$1,0))</f>
        <v>9.790721306175719E-3</v>
      </c>
      <c r="E21" s="4">
        <f>INDEX(Calculation!$A$1:$K$343,MATCH($A21,Calculation!$B:$B,0),MATCH(E$1,Calculation!$1:$1,0))</f>
        <v>70.211320655465073</v>
      </c>
      <c r="F21" s="4">
        <f>INDEX(Calculation!$A$1:$K$343,MATCH($A21,Calculation!$B:$B,0),MATCH(F$1,Calculation!$1:$1,0))</f>
        <v>0</v>
      </c>
    </row>
    <row r="22" spans="1:6" ht="16" x14ac:dyDescent="0.2">
      <c r="A22" s="2" t="s">
        <v>205</v>
      </c>
      <c r="B22" s="5">
        <f>INDEX(Calculation!$A$1:$K$343,MATCH($A22,Calculation!$B:$B,0),MATCH(B$1,Calculation!$1:$1,0))</f>
        <v>62.805504733055677</v>
      </c>
      <c r="C22" s="6">
        <f t="shared" si="0"/>
        <v>2.8158262305473108E-3</v>
      </c>
      <c r="D22" s="4">
        <f>INDEX(Calculation!$A$1:$I$343,MATCH($A22,Calculation!$B:$B,0),MATCH(D$1,Calculation!$1:$1,0))</f>
        <v>2.9409068778588483E-4</v>
      </c>
      <c r="E22" s="4">
        <f>INDEX(Calculation!$A$1:$K$343,MATCH($A22,Calculation!$B:$B,0),MATCH(E$1,Calculation!$1:$1,0))</f>
        <v>76.124566310967509</v>
      </c>
      <c r="F22" s="4">
        <f>INDEX(Calculation!$A$1:$K$343,MATCH($A22,Calculation!$B:$B,0),MATCH(F$1,Calculation!$1:$1,0))</f>
        <v>0</v>
      </c>
    </row>
    <row r="23" spans="1:6" ht="16" x14ac:dyDescent="0.2">
      <c r="A23" s="2" t="s">
        <v>208</v>
      </c>
      <c r="B23" s="5">
        <f>INDEX(Calculation!$A$1:$K$343,MATCH($A23,Calculation!$B:$B,0),MATCH(B$1,Calculation!$1:$1,0))</f>
        <v>7.6360630522261026</v>
      </c>
      <c r="C23" s="6">
        <f t="shared" si="0"/>
        <v>3.4235576534192896E-4</v>
      </c>
      <c r="D23" s="4">
        <f>INDEX(Calculation!$A$1:$I$343,MATCH($A23,Calculation!$B:$B,0),MATCH(D$1,Calculation!$1:$1,0))</f>
        <v>0</v>
      </c>
      <c r="E23" s="4">
        <f>INDEX(Calculation!$A$1:$K$343,MATCH($A23,Calculation!$B:$B,0),MATCH(E$1,Calculation!$1:$1,0))</f>
        <v>32.540049408747294</v>
      </c>
      <c r="F23" s="4">
        <f>INDEX(Calculation!$A$1:$K$343,MATCH($A23,Calculation!$B:$B,0),MATCH(F$1,Calculation!$1:$1,0))</f>
        <v>0</v>
      </c>
    </row>
    <row r="24" spans="1:6" ht="16" x14ac:dyDescent="0.2">
      <c r="A24" s="2" t="s">
        <v>210</v>
      </c>
      <c r="B24" s="5">
        <f>INDEX(Calculation!$A$1:$K$343,MATCH($A24,Calculation!$B:$B,0),MATCH(B$1,Calculation!$1:$1,0))</f>
        <v>3.472410552611743</v>
      </c>
      <c r="C24" s="6">
        <f t="shared" si="0"/>
        <v>1.5568228865975892E-4</v>
      </c>
      <c r="D24" s="4">
        <f>INDEX(Calculation!$A$1:$I$343,MATCH($A24,Calculation!$B:$B,0),MATCH(D$1,Calculation!$1:$1,0))</f>
        <v>1.2320904253928188E-3</v>
      </c>
      <c r="E24" s="4">
        <f>INDEX(Calculation!$A$1:$K$343,MATCH($A24,Calculation!$B:$B,0),MATCH(E$1,Calculation!$1:$1,0))</f>
        <v>19.577332271842522</v>
      </c>
      <c r="F24" s="4">
        <f>INDEX(Calculation!$A$1:$K$343,MATCH($A24,Calculation!$B:$B,0),MATCH(F$1,Calculation!$1:$1,0))</f>
        <v>0</v>
      </c>
    </row>
    <row r="25" spans="1:6" ht="16" x14ac:dyDescent="0.2">
      <c r="A25" s="2" t="s">
        <v>212</v>
      </c>
      <c r="B25" s="5">
        <f>INDEX(Calculation!$A$1:$K$343,MATCH($A25,Calculation!$B:$B,0),MATCH(B$1,Calculation!$1:$1,0))</f>
        <v>93.89116633491183</v>
      </c>
      <c r="C25" s="6">
        <f t="shared" si="0"/>
        <v>4.2095228771145713E-3</v>
      </c>
      <c r="D25" s="4">
        <f>INDEX(Calculation!$A$1:$I$343,MATCH($A25,Calculation!$B:$B,0),MATCH(D$1,Calculation!$1:$1,0))</f>
        <v>0</v>
      </c>
      <c r="E25" s="4">
        <f>INDEX(Calculation!$A$1:$K$343,MATCH($A25,Calculation!$B:$B,0),MATCH(E$1,Calculation!$1:$1,0))</f>
        <v>175.83656621749662</v>
      </c>
      <c r="F25" s="4">
        <f>INDEX(Calculation!$A$1:$K$343,MATCH($A25,Calculation!$B:$B,0),MATCH(F$1,Calculation!$1:$1,0))</f>
        <v>0</v>
      </c>
    </row>
    <row r="26" spans="1:6" ht="16" x14ac:dyDescent="0.2">
      <c r="A26" s="2" t="s">
        <v>214</v>
      </c>
      <c r="B26" s="5">
        <f>INDEX(Calculation!$A$1:$K$343,MATCH($A26,Calculation!$B:$B,0),MATCH(B$1,Calculation!$1:$1,0))</f>
        <v>13.094854510543357</v>
      </c>
      <c r="C26" s="6">
        <f t="shared" si="0"/>
        <v>5.8709558935495518E-4</v>
      </c>
      <c r="D26" s="4">
        <f>INDEX(Calculation!$A$1:$I$343,MATCH($A26,Calculation!$B:$B,0),MATCH(D$1,Calculation!$1:$1,0))</f>
        <v>0</v>
      </c>
      <c r="E26" s="4">
        <f>INDEX(Calculation!$A$1:$K$343,MATCH($A26,Calculation!$B:$B,0),MATCH(E$1,Calculation!$1:$1,0))</f>
        <v>21.069002795312784</v>
      </c>
      <c r="F26" s="4">
        <f>INDEX(Calculation!$A$1:$K$343,MATCH($A26,Calculation!$B:$B,0),MATCH(F$1,Calculation!$1:$1,0))</f>
        <v>0</v>
      </c>
    </row>
    <row r="27" spans="1:6" ht="16" x14ac:dyDescent="0.2">
      <c r="A27" s="2" t="s">
        <v>220</v>
      </c>
      <c r="B27" s="5">
        <f>INDEX(Calculation!$A$1:$K$343,MATCH($A27,Calculation!$B:$B,0),MATCH(B$1,Calculation!$1:$1,0))</f>
        <v>56.037879543541884</v>
      </c>
      <c r="C27" s="6">
        <f t="shared" si="0"/>
        <v>2.5124060668508014E-3</v>
      </c>
      <c r="D27" s="4">
        <f>INDEX(Calculation!$A$1:$I$343,MATCH($A27,Calculation!$B:$B,0),MATCH(D$1,Calculation!$1:$1,0))</f>
        <v>0</v>
      </c>
      <c r="E27" s="4">
        <f>INDEX(Calculation!$A$1:$K$343,MATCH($A27,Calculation!$B:$B,0),MATCH(E$1,Calculation!$1:$1,0))</f>
        <v>78.301319703964325</v>
      </c>
      <c r="F27" s="4">
        <f>INDEX(Calculation!$A$1:$K$343,MATCH($A27,Calculation!$B:$B,0),MATCH(F$1,Calculation!$1:$1,0))</f>
        <v>0</v>
      </c>
    </row>
    <row r="28" spans="1:6" ht="16" x14ac:dyDescent="0.2">
      <c r="A28" s="2" t="s">
        <v>223</v>
      </c>
      <c r="B28" s="5">
        <f>INDEX(Calculation!$A$1:$K$343,MATCH($A28,Calculation!$B:$B,0),MATCH(B$1,Calculation!$1:$1,0))</f>
        <v>18.157155003734339</v>
      </c>
      <c r="C28" s="6">
        <f t="shared" si="0"/>
        <v>8.1405911072503863E-4</v>
      </c>
      <c r="D28" s="4">
        <f>INDEX(Calculation!$A$1:$I$343,MATCH($A28,Calculation!$B:$B,0),MATCH(D$1,Calculation!$1:$1,0))</f>
        <v>7.7136291036807231E-4</v>
      </c>
      <c r="E28" s="4">
        <f>INDEX(Calculation!$A$1:$K$343,MATCH($A28,Calculation!$B:$B,0),MATCH(E$1,Calculation!$1:$1,0))</f>
        <v>27.877943974300692</v>
      </c>
      <c r="F28" s="4">
        <f>INDEX(Calculation!$A$1:$K$343,MATCH($A28,Calculation!$B:$B,0),MATCH(F$1,Calculation!$1:$1,0))</f>
        <v>0</v>
      </c>
    </row>
    <row r="29" spans="1:6" ht="16" x14ac:dyDescent="0.2">
      <c r="A29" s="2" t="s">
        <v>226</v>
      </c>
      <c r="B29" s="5">
        <f>INDEX(Calculation!$A$1:$K$343,MATCH($A29,Calculation!$B:$B,0),MATCH(B$1,Calculation!$1:$1,0))</f>
        <v>49.718076912374457</v>
      </c>
      <c r="C29" s="6">
        <f t="shared" si="0"/>
        <v>2.2290636099059871E-3</v>
      </c>
      <c r="D29" s="4">
        <f>INDEX(Calculation!$A$1:$I$343,MATCH($A29,Calculation!$B:$B,0),MATCH(D$1,Calculation!$1:$1,0))</f>
        <v>1.4159861359514995E-4</v>
      </c>
      <c r="E29" s="4">
        <f>INDEX(Calculation!$A$1:$K$343,MATCH($A29,Calculation!$B:$B,0),MATCH(E$1,Calculation!$1:$1,0))</f>
        <v>86.388698940498799</v>
      </c>
      <c r="F29" s="4">
        <f>INDEX(Calculation!$A$1:$K$343,MATCH($A29,Calculation!$B:$B,0),MATCH(F$1,Calculation!$1:$1,0))</f>
        <v>0</v>
      </c>
    </row>
    <row r="30" spans="1:6" ht="16" x14ac:dyDescent="0.2">
      <c r="A30" s="2" t="s">
        <v>229</v>
      </c>
      <c r="B30" s="5">
        <f>INDEX(Calculation!$A$1:$K$343,MATCH($A30,Calculation!$B:$B,0),MATCH(B$1,Calculation!$1:$1,0))</f>
        <v>61.664193836879448</v>
      </c>
      <c r="C30" s="6">
        <f t="shared" si="0"/>
        <v>2.7646566209355112E-3</v>
      </c>
      <c r="D30" s="4">
        <f>INDEX(Calculation!$A$1:$I$343,MATCH($A30,Calculation!$B:$B,0),MATCH(D$1,Calculation!$1:$1,0))</f>
        <v>0</v>
      </c>
      <c r="E30" s="4">
        <f>INDEX(Calculation!$A$1:$K$343,MATCH($A30,Calculation!$B:$B,0),MATCH(E$1,Calculation!$1:$1,0))</f>
        <v>101.01835181391904</v>
      </c>
      <c r="F30" s="4">
        <f>INDEX(Calculation!$A$1:$K$343,MATCH($A30,Calculation!$B:$B,0),MATCH(F$1,Calculation!$1:$1,0))</f>
        <v>0</v>
      </c>
    </row>
    <row r="31" spans="1:6" ht="16" x14ac:dyDescent="0.2">
      <c r="A31" s="2" t="s">
        <v>232</v>
      </c>
      <c r="B31" s="5">
        <f>INDEX(Calculation!$A$1:$K$343,MATCH($A31,Calculation!$B:$B,0),MATCH(B$1,Calculation!$1:$1,0))</f>
        <v>55.174813507274308</v>
      </c>
      <c r="C31" s="6">
        <f t="shared" si="0"/>
        <v>2.4737113060341169E-3</v>
      </c>
      <c r="D31" s="4">
        <f>INDEX(Calculation!$A$1:$I$343,MATCH($A31,Calculation!$B:$B,0),MATCH(D$1,Calculation!$1:$1,0))</f>
        <v>2.9173257815689494E-3</v>
      </c>
      <c r="E31" s="4">
        <f>INDEX(Calculation!$A$1:$K$343,MATCH($A31,Calculation!$B:$B,0),MATCH(E$1,Calculation!$1:$1,0))</f>
        <v>103.25586194339063</v>
      </c>
      <c r="F31" s="4">
        <f>INDEX(Calculation!$A$1:$K$343,MATCH($A31,Calculation!$B:$B,0),MATCH(F$1,Calculation!$1:$1,0))</f>
        <v>0</v>
      </c>
    </row>
    <row r="32" spans="1:6" ht="16" x14ac:dyDescent="0.2">
      <c r="A32" s="2" t="s">
        <v>235</v>
      </c>
      <c r="B32" s="5">
        <f>INDEX(Calculation!$A$1:$K$343,MATCH($A32,Calculation!$B:$B,0),MATCH(B$1,Calculation!$1:$1,0))</f>
        <v>41.800120272919791</v>
      </c>
      <c r="C32" s="6">
        <f t="shared" si="0"/>
        <v>1.8740694084824596E-3</v>
      </c>
      <c r="D32" s="4">
        <f>INDEX(Calculation!$A$1:$I$343,MATCH($A32,Calculation!$B:$B,0),MATCH(D$1,Calculation!$1:$1,0))</f>
        <v>0</v>
      </c>
      <c r="E32" s="4">
        <f>INDEX(Calculation!$A$1:$K$343,MATCH($A32,Calculation!$B:$B,0),MATCH(E$1,Calculation!$1:$1,0))</f>
        <v>98.999711780138199</v>
      </c>
      <c r="F32" s="4">
        <f>INDEX(Calculation!$A$1:$K$343,MATCH($A32,Calculation!$B:$B,0),MATCH(F$1,Calculation!$1:$1,0))</f>
        <v>20.296734018036435</v>
      </c>
    </row>
    <row r="33" spans="1:6" ht="16" x14ac:dyDescent="0.2">
      <c r="A33" s="2" t="s">
        <v>238</v>
      </c>
      <c r="B33" s="5">
        <f>INDEX(Calculation!$A$1:$K$343,MATCH($A33,Calculation!$B:$B,0),MATCH(B$1,Calculation!$1:$1,0))</f>
        <v>33.293888855412249</v>
      </c>
      <c r="C33" s="6">
        <f t="shared" si="0"/>
        <v>1.4927004560263389E-3</v>
      </c>
      <c r="D33" s="4">
        <f>INDEX(Calculation!$A$1:$I$343,MATCH($A33,Calculation!$B:$B,0),MATCH(D$1,Calculation!$1:$1,0))</f>
        <v>2.6551087230351949E-3</v>
      </c>
      <c r="E33" s="4">
        <f>INDEX(Calculation!$A$1:$K$343,MATCH($A33,Calculation!$B:$B,0),MATCH(E$1,Calculation!$1:$1,0))</f>
        <v>79.969802861501392</v>
      </c>
      <c r="F33" s="4">
        <f>INDEX(Calculation!$A$1:$K$343,MATCH($A33,Calculation!$B:$B,0),MATCH(F$1,Calculation!$1:$1,0))</f>
        <v>0</v>
      </c>
    </row>
    <row r="34" spans="1:6" ht="16" x14ac:dyDescent="0.2">
      <c r="A34" s="2" t="s">
        <v>240</v>
      </c>
      <c r="B34" s="5">
        <f>INDEX(Calculation!$A$1:$K$343,MATCH($A34,Calculation!$B:$B,0),MATCH(B$1,Calculation!$1:$1,0))</f>
        <v>211.59115296449113</v>
      </c>
      <c r="C34" s="6">
        <f t="shared" si="0"/>
        <v>9.486492007373044E-3</v>
      </c>
      <c r="D34" s="4">
        <f>INDEX(Calculation!$A$1:$I$343,MATCH($A34,Calculation!$B:$B,0),MATCH(D$1,Calculation!$1:$1,0))</f>
        <v>0</v>
      </c>
      <c r="E34" s="4">
        <f>INDEX(Calculation!$A$1:$K$343,MATCH($A34,Calculation!$B:$B,0),MATCH(E$1,Calculation!$1:$1,0))</f>
        <v>258.09175602602704</v>
      </c>
      <c r="F34" s="4">
        <f>INDEX(Calculation!$A$1:$K$343,MATCH($A34,Calculation!$B:$B,0),MATCH(F$1,Calculation!$1:$1,0))</f>
        <v>0</v>
      </c>
    </row>
    <row r="35" spans="1:6" ht="16" x14ac:dyDescent="0.2">
      <c r="A35" s="2" t="s">
        <v>243</v>
      </c>
      <c r="B35" s="5">
        <f>INDEX(Calculation!$A$1:$K$343,MATCH($A35,Calculation!$B:$B,0),MATCH(B$1,Calculation!$1:$1,0))</f>
        <v>65.648802624006819</v>
      </c>
      <c r="C35" s="6">
        <f t="shared" si="0"/>
        <v>2.9433028397494697E-3</v>
      </c>
      <c r="D35" s="4">
        <f>INDEX(Calculation!$A$1:$I$343,MATCH($A35,Calculation!$B:$B,0),MATCH(D$1,Calculation!$1:$1,0))</f>
        <v>1.0183709804024246E-4</v>
      </c>
      <c r="E35" s="4">
        <f>INDEX(Calculation!$A$1:$K$343,MATCH($A35,Calculation!$B:$B,0),MATCH(E$1,Calculation!$1:$1,0))</f>
        <v>89.726368383071133</v>
      </c>
      <c r="F35" s="4">
        <f>INDEX(Calculation!$A$1:$K$343,MATCH($A35,Calculation!$B:$B,0),MATCH(F$1,Calculation!$1:$1,0))</f>
        <v>0</v>
      </c>
    </row>
    <row r="36" spans="1:6" ht="16" x14ac:dyDescent="0.2">
      <c r="A36" s="2" t="s">
        <v>246</v>
      </c>
      <c r="B36" s="5">
        <f>INDEX(Calculation!$A$1:$K$343,MATCH($A36,Calculation!$B:$B,0),MATCH(B$1,Calculation!$1:$1,0))</f>
        <v>14.800787365309784</v>
      </c>
      <c r="C36" s="6">
        <f t="shared" si="0"/>
        <v>6.6357949789801532E-4</v>
      </c>
      <c r="D36" s="4">
        <f>INDEX(Calculation!$A$1:$I$343,MATCH($A36,Calculation!$B:$B,0),MATCH(D$1,Calculation!$1:$1,0))</f>
        <v>0</v>
      </c>
      <c r="E36" s="4">
        <f>INDEX(Calculation!$A$1:$K$343,MATCH($A36,Calculation!$B:$B,0),MATCH(E$1,Calculation!$1:$1,0))</f>
        <v>33.888595099105039</v>
      </c>
      <c r="F36" s="4">
        <f>INDEX(Calculation!$A$1:$K$343,MATCH($A36,Calculation!$B:$B,0),MATCH(F$1,Calculation!$1:$1,0))</f>
        <v>0</v>
      </c>
    </row>
    <row r="37" spans="1:6" ht="16" x14ac:dyDescent="0.2">
      <c r="A37" s="2" t="s">
        <v>248</v>
      </c>
      <c r="B37" s="5">
        <f>INDEX(Calculation!$A$1:$K$343,MATCH($A37,Calculation!$B:$B,0),MATCH(B$1,Calculation!$1:$1,0))</f>
        <v>30.438715086614931</v>
      </c>
      <c r="C37" s="6">
        <f t="shared" si="0"/>
        <v>1.3646914029167205E-3</v>
      </c>
      <c r="D37" s="4">
        <f>INDEX(Calculation!$A$1:$I$343,MATCH($A37,Calculation!$B:$B,0),MATCH(D$1,Calculation!$1:$1,0))</f>
        <v>1.0875759204316408E-4</v>
      </c>
      <c r="E37" s="4">
        <f>INDEX(Calculation!$A$1:$K$343,MATCH($A37,Calculation!$B:$B,0),MATCH(E$1,Calculation!$1:$1,0))</f>
        <v>43.604271207553353</v>
      </c>
      <c r="F37" s="4">
        <f>INDEX(Calculation!$A$1:$K$343,MATCH($A37,Calculation!$B:$B,0),MATCH(F$1,Calculation!$1:$1,0))</f>
        <v>0</v>
      </c>
    </row>
    <row r="38" spans="1:6" ht="16" x14ac:dyDescent="0.2">
      <c r="A38" s="2" t="s">
        <v>251</v>
      </c>
      <c r="B38" s="5">
        <f>INDEX(Calculation!$A$1:$K$343,MATCH($A38,Calculation!$B:$B,0),MATCH(B$1,Calculation!$1:$1,0))</f>
        <v>3.896434836818603</v>
      </c>
      <c r="C38" s="6">
        <f t="shared" si="0"/>
        <v>1.7469302198534133E-4</v>
      </c>
      <c r="D38" s="4">
        <f>INDEX(Calculation!$A$1:$I$343,MATCH($A38,Calculation!$B:$B,0),MATCH(D$1,Calculation!$1:$1,0))</f>
        <v>0</v>
      </c>
      <c r="E38" s="4">
        <f>INDEX(Calculation!$A$1:$K$343,MATCH($A38,Calculation!$B:$B,0),MATCH(E$1,Calculation!$1:$1,0))</f>
        <v>18.352453268056934</v>
      </c>
      <c r="F38" s="4">
        <f>INDEX(Calculation!$A$1:$K$343,MATCH($A38,Calculation!$B:$B,0),MATCH(F$1,Calculation!$1:$1,0))</f>
        <v>1.2003536019062</v>
      </c>
    </row>
    <row r="39" spans="1:6" ht="16" x14ac:dyDescent="0.2">
      <c r="A39" s="2" t="s">
        <v>253</v>
      </c>
      <c r="B39" s="5">
        <f>INDEX(Calculation!$A$1:$K$343,MATCH($A39,Calculation!$B:$B,0),MATCH(B$1,Calculation!$1:$1,0))</f>
        <v>33.915299134301947</v>
      </c>
      <c r="C39" s="6">
        <f t="shared" si="0"/>
        <v>1.5205608063358618E-3</v>
      </c>
      <c r="D39" s="4">
        <f>INDEX(Calculation!$A$1:$I$343,MATCH($A39,Calculation!$B:$B,0),MATCH(D$1,Calculation!$1:$1,0))</f>
        <v>2.451447570227613E-4</v>
      </c>
      <c r="E39" s="4">
        <f>INDEX(Calculation!$A$1:$K$343,MATCH($A39,Calculation!$B:$B,0),MATCH(E$1,Calculation!$1:$1,0))</f>
        <v>66.187747761261704</v>
      </c>
      <c r="F39" s="4">
        <f>INDEX(Calculation!$A$1:$K$343,MATCH($A39,Calculation!$B:$B,0),MATCH(F$1,Calculation!$1:$1,0))</f>
        <v>0</v>
      </c>
    </row>
    <row r="40" spans="1:6" ht="16" x14ac:dyDescent="0.2">
      <c r="A40" s="2" t="s">
        <v>256</v>
      </c>
      <c r="B40" s="5">
        <f>INDEX(Calculation!$A$1:$K$343,MATCH($A40,Calculation!$B:$B,0),MATCH(B$1,Calculation!$1:$1,0))</f>
        <v>42.144051132953692</v>
      </c>
      <c r="C40" s="6">
        <f t="shared" si="0"/>
        <v>1.8894892278326007E-3</v>
      </c>
      <c r="D40" s="4">
        <f>INDEX(Calculation!$A$1:$I$343,MATCH($A40,Calculation!$B:$B,0),MATCH(D$1,Calculation!$1:$1,0))</f>
        <v>6.3624024115880912E-4</v>
      </c>
      <c r="E40" s="4">
        <f>INDEX(Calculation!$A$1:$K$343,MATCH($A40,Calculation!$B:$B,0),MATCH(E$1,Calculation!$1:$1,0))</f>
        <v>75.333985082654308</v>
      </c>
      <c r="F40" s="4">
        <f>INDEX(Calculation!$A$1:$K$343,MATCH($A40,Calculation!$B:$B,0),MATCH(F$1,Calculation!$1:$1,0))</f>
        <v>0</v>
      </c>
    </row>
    <row r="41" spans="1:6" ht="16" x14ac:dyDescent="0.2">
      <c r="A41" s="2" t="s">
        <v>259</v>
      </c>
      <c r="B41" s="5">
        <f>INDEX(Calculation!$A$1:$K$343,MATCH($A41,Calculation!$B:$B,0),MATCH(B$1,Calculation!$1:$1,0))</f>
        <v>3.323177235779406</v>
      </c>
      <c r="C41" s="6">
        <f t="shared" si="0"/>
        <v>1.4899155207871994E-4</v>
      </c>
      <c r="D41" s="4">
        <f>INDEX(Calculation!$A$1:$I$343,MATCH($A41,Calculation!$B:$B,0),MATCH(D$1,Calculation!$1:$1,0))</f>
        <v>0</v>
      </c>
      <c r="E41" s="4">
        <f>INDEX(Calculation!$A$1:$K$343,MATCH($A41,Calculation!$B:$B,0),MATCH(E$1,Calculation!$1:$1,0))</f>
        <v>11.073163251155338</v>
      </c>
      <c r="F41" s="4">
        <f>INDEX(Calculation!$A$1:$K$343,MATCH($A41,Calculation!$B:$B,0),MATCH(F$1,Calculation!$1:$1,0))</f>
        <v>0</v>
      </c>
    </row>
    <row r="42" spans="1:6" ht="16" x14ac:dyDescent="0.2">
      <c r="A42" s="2" t="s">
        <v>262</v>
      </c>
      <c r="B42" s="5">
        <f>INDEX(Calculation!$A$1:$K$343,MATCH($A42,Calculation!$B:$B,0),MATCH(B$1,Calculation!$1:$1,0))</f>
        <v>4.2183270317021622</v>
      </c>
      <c r="C42" s="6">
        <f t="shared" si="0"/>
        <v>1.8912475833733852E-4</v>
      </c>
      <c r="D42" s="4">
        <f>INDEX(Calculation!$A$1:$I$343,MATCH($A42,Calculation!$B:$B,0),MATCH(D$1,Calculation!$1:$1,0))</f>
        <v>0</v>
      </c>
      <c r="E42" s="4">
        <f>INDEX(Calculation!$A$1:$K$343,MATCH($A42,Calculation!$B:$B,0),MATCH(E$1,Calculation!$1:$1,0))</f>
        <v>39.767135226923749</v>
      </c>
      <c r="F42" s="4">
        <f>INDEX(Calculation!$A$1:$K$343,MATCH($A42,Calculation!$B:$B,0),MATCH(F$1,Calculation!$1:$1,0))</f>
        <v>4.6858478766222564</v>
      </c>
    </row>
    <row r="43" spans="1:6" ht="16" x14ac:dyDescent="0.2">
      <c r="A43" s="2" t="s">
        <v>264</v>
      </c>
      <c r="B43" s="5">
        <f>INDEX(Calculation!$A$1:$K$343,MATCH($A43,Calculation!$B:$B,0),MATCH(B$1,Calculation!$1:$1,0))</f>
        <v>62.890349826545737</v>
      </c>
      <c r="C43" s="6">
        <f t="shared" si="0"/>
        <v>2.8196301811850453E-3</v>
      </c>
      <c r="D43" s="4">
        <f>INDEX(Calculation!$A$1:$I$343,MATCH($A43,Calculation!$B:$B,0),MATCH(D$1,Calculation!$1:$1,0))</f>
        <v>5.8230773797331658E-4</v>
      </c>
      <c r="E43" s="4">
        <f>INDEX(Calculation!$A$1:$K$343,MATCH($A43,Calculation!$B:$B,0),MATCH(E$1,Calculation!$1:$1,0))</f>
        <v>75.403604197481215</v>
      </c>
      <c r="F43" s="4">
        <f>INDEX(Calculation!$A$1:$K$343,MATCH($A43,Calculation!$B:$B,0),MATCH(F$1,Calculation!$1:$1,0))</f>
        <v>0</v>
      </c>
    </row>
    <row r="44" spans="1:6" ht="16" x14ac:dyDescent="0.2">
      <c r="A44" s="2" t="s">
        <v>267</v>
      </c>
      <c r="B44" s="5">
        <f>INDEX(Calculation!$A$1:$K$343,MATCH($A44,Calculation!$B:$B,0),MATCH(B$1,Calculation!$1:$1,0))</f>
        <v>28.917915191156524</v>
      </c>
      <c r="C44" s="6">
        <f t="shared" si="0"/>
        <v>1.2965077579440924E-3</v>
      </c>
      <c r="D44" s="4">
        <f>INDEX(Calculation!$A$1:$I$343,MATCH($A44,Calculation!$B:$B,0),MATCH(D$1,Calculation!$1:$1,0))</f>
        <v>1.444352311622914E-3</v>
      </c>
      <c r="E44" s="4">
        <f>INDEX(Calculation!$A$1:$K$343,MATCH($A44,Calculation!$B:$B,0),MATCH(E$1,Calculation!$1:$1,0))</f>
        <v>34.499204836138439</v>
      </c>
      <c r="F44" s="4">
        <f>INDEX(Calculation!$A$1:$K$343,MATCH($A44,Calculation!$B:$B,0),MATCH(F$1,Calculation!$1:$1,0))</f>
        <v>0</v>
      </c>
    </row>
    <row r="45" spans="1:6" ht="16" x14ac:dyDescent="0.2">
      <c r="A45" s="2" t="s">
        <v>270</v>
      </c>
      <c r="B45" s="5">
        <f>INDEX(Calculation!$A$1:$K$343,MATCH($A45,Calculation!$B:$B,0),MATCH(B$1,Calculation!$1:$1,0))</f>
        <v>213.11438554296328</v>
      </c>
      <c r="C45" s="6">
        <f t="shared" si="0"/>
        <v>9.5547847194198052E-3</v>
      </c>
      <c r="D45" s="4">
        <f>INDEX(Calculation!$A$1:$I$343,MATCH($A45,Calculation!$B:$B,0),MATCH(D$1,Calculation!$1:$1,0))</f>
        <v>0</v>
      </c>
      <c r="E45" s="4">
        <f>INDEX(Calculation!$A$1:$K$343,MATCH($A45,Calculation!$B:$B,0),MATCH(E$1,Calculation!$1:$1,0))</f>
        <v>274.68570220411311</v>
      </c>
      <c r="F45" s="4">
        <f>INDEX(Calculation!$A$1:$K$343,MATCH($A45,Calculation!$B:$B,0),MATCH(F$1,Calculation!$1:$1,0))</f>
        <v>0</v>
      </c>
    </row>
    <row r="46" spans="1:6" ht="16" x14ac:dyDescent="0.2">
      <c r="A46" s="2" t="s">
        <v>273</v>
      </c>
      <c r="B46" s="5">
        <f>INDEX(Calculation!$A$1:$K$343,MATCH($A46,Calculation!$B:$B,0),MATCH(B$1,Calculation!$1:$1,0))</f>
        <v>16.082348313810243</v>
      </c>
      <c r="C46" s="6">
        <f t="shared" si="0"/>
        <v>7.2103708780467499E-4</v>
      </c>
      <c r="D46" s="4">
        <f>INDEX(Calculation!$A$1:$I$343,MATCH($A46,Calculation!$B:$B,0),MATCH(D$1,Calculation!$1:$1,0))</f>
        <v>0</v>
      </c>
      <c r="E46" s="4">
        <f>INDEX(Calculation!$A$1:$K$343,MATCH($A46,Calculation!$B:$B,0),MATCH(E$1,Calculation!$1:$1,0))</f>
        <v>25.989929172112774</v>
      </c>
      <c r="F46" s="4">
        <f>INDEX(Calculation!$A$1:$K$343,MATCH($A46,Calculation!$B:$B,0),MATCH(F$1,Calculation!$1:$1,0))</f>
        <v>0</v>
      </c>
    </row>
    <row r="47" spans="1:6" ht="16" x14ac:dyDescent="0.2">
      <c r="A47" s="2" t="s">
        <v>275</v>
      </c>
      <c r="B47" s="5">
        <f>INDEX(Calculation!$A$1:$K$343,MATCH($A47,Calculation!$B:$B,0),MATCH(B$1,Calculation!$1:$1,0))</f>
        <v>116.63885880063927</v>
      </c>
      <c r="C47" s="6">
        <f t="shared" si="0"/>
        <v>5.2293944536852509E-3</v>
      </c>
      <c r="D47" s="4">
        <f>INDEX(Calculation!$A$1:$I$343,MATCH($A47,Calculation!$B:$B,0),MATCH(D$1,Calculation!$1:$1,0))</f>
        <v>0</v>
      </c>
      <c r="E47" s="4">
        <f>INDEX(Calculation!$A$1:$K$343,MATCH($A47,Calculation!$B:$B,0),MATCH(E$1,Calculation!$1:$1,0))</f>
        <v>141.47138525996314</v>
      </c>
      <c r="F47" s="4">
        <f>INDEX(Calculation!$A$1:$K$343,MATCH($A47,Calculation!$B:$B,0),MATCH(F$1,Calculation!$1:$1,0))</f>
        <v>51.74009659251444</v>
      </c>
    </row>
    <row r="48" spans="1:6" ht="16" x14ac:dyDescent="0.2">
      <c r="A48" s="2" t="s">
        <v>281</v>
      </c>
      <c r="B48" s="5">
        <f>INDEX(Calculation!$A$1:$K$343,MATCH($A48,Calculation!$B:$B,0),MATCH(B$1,Calculation!$1:$1,0))</f>
        <v>39.671449985230183</v>
      </c>
      <c r="C48" s="6">
        <f t="shared" si="0"/>
        <v>1.7786324613909676E-3</v>
      </c>
      <c r="D48" s="4">
        <f>INDEX(Calculation!$A$1:$I$343,MATCH($A48,Calculation!$B:$B,0),MATCH(D$1,Calculation!$1:$1,0))</f>
        <v>6.1011728409160525E-4</v>
      </c>
      <c r="E48" s="4">
        <f>INDEX(Calculation!$A$1:$K$343,MATCH($A48,Calculation!$B:$B,0),MATCH(E$1,Calculation!$1:$1,0))</f>
        <v>69.012860605230387</v>
      </c>
      <c r="F48" s="4">
        <f>INDEX(Calculation!$A$1:$K$343,MATCH($A48,Calculation!$B:$B,0),MATCH(F$1,Calculation!$1:$1,0))</f>
        <v>0</v>
      </c>
    </row>
    <row r="49" spans="1:6" ht="16" x14ac:dyDescent="0.2">
      <c r="A49" s="2" t="s">
        <v>283</v>
      </c>
      <c r="B49" s="5">
        <f>INDEX(Calculation!$A$1:$K$343,MATCH($A49,Calculation!$B:$B,0),MATCH(B$1,Calculation!$1:$1,0))</f>
        <v>56.117209650110809</v>
      </c>
      <c r="C49" s="6">
        <f t="shared" si="0"/>
        <v>2.5159627581933571E-3</v>
      </c>
      <c r="D49" s="4">
        <f>INDEX(Calculation!$A$1:$I$343,MATCH($A49,Calculation!$B:$B,0),MATCH(D$1,Calculation!$1:$1,0))</f>
        <v>7.2127880363927546E-3</v>
      </c>
      <c r="E49" s="4">
        <f>INDEX(Calculation!$A$1:$K$343,MATCH($A49,Calculation!$B:$B,0),MATCH(E$1,Calculation!$1:$1,0))</f>
        <v>125.69177392806185</v>
      </c>
      <c r="F49" s="4">
        <f>INDEX(Calculation!$A$1:$K$343,MATCH($A49,Calculation!$B:$B,0),MATCH(F$1,Calculation!$1:$1,0))</f>
        <v>0</v>
      </c>
    </row>
    <row r="50" spans="1:6" ht="16" x14ac:dyDescent="0.2">
      <c r="A50" s="2" t="s">
        <v>285</v>
      </c>
      <c r="B50" s="5">
        <f>INDEX(Calculation!$A$1:$K$343,MATCH($A50,Calculation!$B:$B,0),MATCH(B$1,Calculation!$1:$1,0))</f>
        <v>226.66500350547471</v>
      </c>
      <c r="C50" s="6">
        <f t="shared" si="0"/>
        <v>1.0162314038086087E-2</v>
      </c>
      <c r="D50" s="4">
        <f>INDEX(Calculation!$A$1:$I$343,MATCH($A50,Calculation!$B:$B,0),MATCH(D$1,Calculation!$1:$1,0))</f>
        <v>1.7506629236517762E-4</v>
      </c>
      <c r="E50" s="4">
        <f>INDEX(Calculation!$A$1:$K$343,MATCH($A50,Calculation!$B:$B,0),MATCH(E$1,Calculation!$1:$1,0))</f>
        <v>283.53268988271174</v>
      </c>
      <c r="F50" s="4">
        <f>INDEX(Calculation!$A$1:$K$343,MATCH($A50,Calculation!$B:$B,0),MATCH(F$1,Calculation!$1:$1,0))</f>
        <v>0</v>
      </c>
    </row>
    <row r="51" spans="1:6" ht="16" x14ac:dyDescent="0.2">
      <c r="A51" s="2" t="s">
        <v>288</v>
      </c>
      <c r="B51" s="5">
        <f>INDEX(Calculation!$A$1:$K$343,MATCH($A51,Calculation!$B:$B,0),MATCH(B$1,Calculation!$1:$1,0))</f>
        <v>57.798325303934917</v>
      </c>
      <c r="C51" s="6">
        <f t="shared" si="0"/>
        <v>2.5913340106773794E-3</v>
      </c>
      <c r="D51" s="4">
        <f>INDEX(Calculation!$A$1:$I$343,MATCH($A51,Calculation!$B:$B,0),MATCH(D$1,Calculation!$1:$1,0))</f>
        <v>0</v>
      </c>
      <c r="E51" s="4">
        <f>INDEX(Calculation!$A$1:$K$343,MATCH($A51,Calculation!$B:$B,0),MATCH(E$1,Calculation!$1:$1,0))</f>
        <v>83.62839585000296</v>
      </c>
      <c r="F51" s="4">
        <f>INDEX(Calculation!$A$1:$K$343,MATCH($A51,Calculation!$B:$B,0),MATCH(F$1,Calculation!$1:$1,0))</f>
        <v>0</v>
      </c>
    </row>
    <row r="52" spans="1:6" ht="16" x14ac:dyDescent="0.2">
      <c r="A52" s="2" t="s">
        <v>290</v>
      </c>
      <c r="B52" s="5">
        <f>INDEX(Calculation!$A$1:$K$343,MATCH($A52,Calculation!$B:$B,0),MATCH(B$1,Calculation!$1:$1,0))</f>
        <v>1.7687564282447295</v>
      </c>
      <c r="C52" s="6">
        <f t="shared" si="0"/>
        <v>7.9300544868949184E-5</v>
      </c>
      <c r="D52" s="4">
        <f>INDEX(Calculation!$A$1:$I$343,MATCH($A52,Calculation!$B:$B,0),MATCH(D$1,Calculation!$1:$1,0))</f>
        <v>0</v>
      </c>
      <c r="E52" s="4">
        <f>INDEX(Calculation!$A$1:$K$343,MATCH($A52,Calculation!$B:$B,0),MATCH(E$1,Calculation!$1:$1,0))</f>
        <v>17.239431235819094</v>
      </c>
      <c r="F52" s="4">
        <f>INDEX(Calculation!$A$1:$K$343,MATCH($A52,Calculation!$B:$B,0),MATCH(F$1,Calculation!$1:$1,0))</f>
        <v>0</v>
      </c>
    </row>
    <row r="53" spans="1:6" ht="16" x14ac:dyDescent="0.2">
      <c r="A53" s="2" t="s">
        <v>293</v>
      </c>
      <c r="B53" s="5">
        <f>INDEX(Calculation!$A$1:$K$343,MATCH($A53,Calculation!$B:$B,0),MATCH(B$1,Calculation!$1:$1,0))</f>
        <v>28.238290334213676</v>
      </c>
      <c r="C53" s="6">
        <f t="shared" si="0"/>
        <v>1.2660374113200898E-3</v>
      </c>
      <c r="D53" s="4">
        <f>INDEX(Calculation!$A$1:$I$343,MATCH($A53,Calculation!$B:$B,0),MATCH(D$1,Calculation!$1:$1,0))</f>
        <v>0</v>
      </c>
      <c r="E53" s="4">
        <f>INDEX(Calculation!$A$1:$K$343,MATCH($A53,Calculation!$B:$B,0),MATCH(E$1,Calculation!$1:$1,0))</f>
        <v>36.930307777284426</v>
      </c>
      <c r="F53" s="4">
        <f>INDEX(Calculation!$A$1:$K$343,MATCH($A53,Calculation!$B:$B,0),MATCH(F$1,Calculation!$1:$1,0))</f>
        <v>0</v>
      </c>
    </row>
    <row r="54" spans="1:6" ht="16" x14ac:dyDescent="0.2">
      <c r="A54" s="2" t="s">
        <v>295</v>
      </c>
      <c r="B54" s="5">
        <f>INDEX(Calculation!$A$1:$K$343,MATCH($A54,Calculation!$B:$B,0),MATCH(B$1,Calculation!$1:$1,0))</f>
        <v>24.271383752774774</v>
      </c>
      <c r="C54" s="6">
        <f t="shared" si="0"/>
        <v>1.0881848543886051E-3</v>
      </c>
      <c r="D54" s="4">
        <f>INDEX(Calculation!$A$1:$I$343,MATCH($A54,Calculation!$B:$B,0),MATCH(D$1,Calculation!$1:$1,0))</f>
        <v>0</v>
      </c>
      <c r="E54" s="4">
        <f>INDEX(Calculation!$A$1:$K$343,MATCH($A54,Calculation!$B:$B,0),MATCH(E$1,Calculation!$1:$1,0))</f>
        <v>30.388726066727529</v>
      </c>
      <c r="F54" s="4">
        <f>INDEX(Calculation!$A$1:$K$343,MATCH($A54,Calculation!$B:$B,0),MATCH(F$1,Calculation!$1:$1,0))</f>
        <v>0</v>
      </c>
    </row>
    <row r="55" spans="1:6" ht="16" x14ac:dyDescent="0.2">
      <c r="A55" s="2" t="s">
        <v>298</v>
      </c>
      <c r="B55" s="5">
        <f>INDEX(Calculation!$A$1:$K$343,MATCH($A55,Calculation!$B:$B,0),MATCH(B$1,Calculation!$1:$1,0))</f>
        <v>114.61844772712739</v>
      </c>
      <c r="C55" s="6">
        <f t="shared" si="0"/>
        <v>5.1388112074958652E-3</v>
      </c>
      <c r="D55" s="4">
        <f>INDEX(Calculation!$A$1:$I$343,MATCH($A55,Calculation!$B:$B,0),MATCH(D$1,Calculation!$1:$1,0))</f>
        <v>3.0284779999746391E-4</v>
      </c>
      <c r="E55" s="4">
        <f>INDEX(Calculation!$A$1:$K$343,MATCH($A55,Calculation!$B:$B,0),MATCH(E$1,Calculation!$1:$1,0))</f>
        <v>133.59676144534848</v>
      </c>
      <c r="F55" s="4">
        <f>INDEX(Calculation!$A$1:$K$343,MATCH($A55,Calculation!$B:$B,0),MATCH(F$1,Calculation!$1:$1,0))</f>
        <v>0</v>
      </c>
    </row>
    <row r="56" spans="1:6" ht="16" x14ac:dyDescent="0.2">
      <c r="A56" s="2" t="s">
        <v>301</v>
      </c>
      <c r="B56" s="5">
        <f>INDEX(Calculation!$A$1:$K$343,MATCH($A56,Calculation!$B:$B,0),MATCH(B$1,Calculation!$1:$1,0))</f>
        <v>0.75160596028947535</v>
      </c>
      <c r="C56" s="6">
        <f t="shared" si="0"/>
        <v>3.3697552260971003E-5</v>
      </c>
      <c r="D56" s="4">
        <f>INDEX(Calculation!$A$1:$I$343,MATCH($A56,Calculation!$B:$B,0),MATCH(D$1,Calculation!$1:$1,0))</f>
        <v>0</v>
      </c>
      <c r="E56" s="4">
        <f>INDEX(Calculation!$A$1:$K$343,MATCH($A56,Calculation!$B:$B,0),MATCH(E$1,Calculation!$1:$1,0))</f>
        <v>14.14249361314101</v>
      </c>
      <c r="F56" s="4">
        <f>INDEX(Calculation!$A$1:$K$343,MATCH($A56,Calculation!$B:$B,0),MATCH(F$1,Calculation!$1:$1,0))</f>
        <v>0</v>
      </c>
    </row>
    <row r="57" spans="1:6" ht="16" x14ac:dyDescent="0.2">
      <c r="A57" s="2" t="s">
        <v>303</v>
      </c>
      <c r="B57" s="5">
        <f>INDEX(Calculation!$A$1:$K$343,MATCH($A57,Calculation!$B:$B,0),MATCH(B$1,Calculation!$1:$1,0))</f>
        <v>22.990972658267424</v>
      </c>
      <c r="C57" s="6">
        <f t="shared" si="0"/>
        <v>1.0307788171133407E-3</v>
      </c>
      <c r="D57" s="4">
        <f>INDEX(Calculation!$A$1:$I$343,MATCH($A57,Calculation!$B:$B,0),MATCH(D$1,Calculation!$1:$1,0))</f>
        <v>7.1424673092829695E-5</v>
      </c>
      <c r="E57" s="4">
        <f>INDEX(Calculation!$A$1:$K$343,MATCH($A57,Calculation!$B:$B,0),MATCH(E$1,Calculation!$1:$1,0))</f>
        <v>49.642566430448042</v>
      </c>
      <c r="F57" s="4">
        <f>INDEX(Calculation!$A$1:$K$343,MATCH($A57,Calculation!$B:$B,0),MATCH(F$1,Calculation!$1:$1,0))</f>
        <v>5.1866627521989832</v>
      </c>
    </row>
    <row r="58" spans="1:6" ht="16" x14ac:dyDescent="0.2">
      <c r="A58" s="2" t="s">
        <v>305</v>
      </c>
      <c r="B58" s="5">
        <f>INDEX(Calculation!$A$1:$K$343,MATCH($A58,Calculation!$B:$B,0),MATCH(B$1,Calculation!$1:$1,0))</f>
        <v>229.74050034112162</v>
      </c>
      <c r="C58" s="6">
        <f t="shared" si="0"/>
        <v>1.0300201070418491E-2</v>
      </c>
      <c r="D58" s="4">
        <f>INDEX(Calculation!$A$1:$I$343,MATCH($A58,Calculation!$B:$B,0),MATCH(D$1,Calculation!$1:$1,0))</f>
        <v>7.2464947098750204E-5</v>
      </c>
      <c r="E58" s="4">
        <f>INDEX(Calculation!$A$1:$K$343,MATCH($A58,Calculation!$B:$B,0),MATCH(E$1,Calculation!$1:$1,0))</f>
        <v>296.11387458970103</v>
      </c>
      <c r="F58" s="4">
        <f>INDEX(Calculation!$A$1:$K$343,MATCH($A58,Calculation!$B:$B,0),MATCH(F$1,Calculation!$1:$1,0))</f>
        <v>0</v>
      </c>
    </row>
    <row r="59" spans="1:6" ht="16" x14ac:dyDescent="0.2">
      <c r="A59" s="2" t="s">
        <v>307</v>
      </c>
      <c r="B59" s="5">
        <f>INDEX(Calculation!$A$1:$K$343,MATCH($A59,Calculation!$B:$B,0),MATCH(B$1,Calculation!$1:$1,0))</f>
        <v>37.226199936978063</v>
      </c>
      <c r="C59" s="6">
        <f t="shared" si="0"/>
        <v>1.6690019559857385E-3</v>
      </c>
      <c r="D59" s="4">
        <f>INDEX(Calculation!$A$1:$I$343,MATCH($A59,Calculation!$B:$B,0),MATCH(D$1,Calculation!$1:$1,0))</f>
        <v>7.1105958141008847E-4</v>
      </c>
      <c r="E59" s="4">
        <f>INDEX(Calculation!$A$1:$K$343,MATCH($A59,Calculation!$B:$B,0),MATCH(E$1,Calculation!$1:$1,0))</f>
        <v>76.49641500477405</v>
      </c>
      <c r="F59" s="4">
        <f>INDEX(Calculation!$A$1:$K$343,MATCH($A59,Calculation!$B:$B,0),MATCH(F$1,Calculation!$1:$1,0))</f>
        <v>0</v>
      </c>
    </row>
    <row r="60" spans="1:6" ht="16" x14ac:dyDescent="0.2">
      <c r="A60" s="2" t="s">
        <v>310</v>
      </c>
      <c r="B60" s="5">
        <f>INDEX(Calculation!$A$1:$K$343,MATCH($A60,Calculation!$B:$B,0),MATCH(B$1,Calculation!$1:$1,0))</f>
        <v>18.068999347389084</v>
      </c>
      <c r="C60" s="6">
        <f t="shared" si="0"/>
        <v>8.1010673408921433E-4</v>
      </c>
      <c r="D60" s="4">
        <f>INDEX(Calculation!$A$1:$I$343,MATCH($A60,Calculation!$B:$B,0),MATCH(D$1,Calculation!$1:$1,0))</f>
        <v>0</v>
      </c>
      <c r="E60" s="4">
        <f>INDEX(Calculation!$A$1:$K$343,MATCH($A60,Calculation!$B:$B,0),MATCH(E$1,Calculation!$1:$1,0))</f>
        <v>29.271603488733248</v>
      </c>
      <c r="F60" s="4">
        <f>INDEX(Calculation!$A$1:$K$343,MATCH($A60,Calculation!$B:$B,0),MATCH(F$1,Calculation!$1:$1,0))</f>
        <v>0</v>
      </c>
    </row>
    <row r="61" spans="1:6" ht="16" x14ac:dyDescent="0.2">
      <c r="A61" s="2" t="s">
        <v>312</v>
      </c>
      <c r="B61" s="5">
        <f>INDEX(Calculation!$A$1:$K$343,MATCH($A61,Calculation!$B:$B,0),MATCH(B$1,Calculation!$1:$1,0))</f>
        <v>133.96546414328535</v>
      </c>
      <c r="C61" s="6">
        <f t="shared" si="0"/>
        <v>6.0062166449490941E-3</v>
      </c>
      <c r="D61" s="4">
        <f>INDEX(Calculation!$A$1:$I$343,MATCH($A61,Calculation!$B:$B,0),MATCH(D$1,Calculation!$1:$1,0))</f>
        <v>0</v>
      </c>
      <c r="E61" s="4">
        <f>INDEX(Calculation!$A$1:$K$343,MATCH($A61,Calculation!$B:$B,0),MATCH(E$1,Calculation!$1:$1,0))</f>
        <v>165.01939242129069</v>
      </c>
      <c r="F61" s="4">
        <f>INDEX(Calculation!$A$1:$K$343,MATCH($A61,Calculation!$B:$B,0),MATCH(F$1,Calculation!$1:$1,0))</f>
        <v>0</v>
      </c>
    </row>
    <row r="62" spans="1:6" ht="16" x14ac:dyDescent="0.2">
      <c r="A62" s="2" t="s">
        <v>314</v>
      </c>
      <c r="B62" s="5">
        <f>INDEX(Calculation!$A$1:$K$343,MATCH($A62,Calculation!$B:$B,0),MATCH(B$1,Calculation!$1:$1,0))</f>
        <v>69.908518525795756</v>
      </c>
      <c r="C62" s="6">
        <f t="shared" si="0"/>
        <v>3.1342832294767383E-3</v>
      </c>
      <c r="D62" s="4">
        <f>INDEX(Calculation!$A$1:$I$343,MATCH($A62,Calculation!$B:$B,0),MATCH(D$1,Calculation!$1:$1,0))</f>
        <v>1.7926534665015404E-4</v>
      </c>
      <c r="E62" s="4">
        <f>INDEX(Calculation!$A$1:$K$343,MATCH($A62,Calculation!$B:$B,0),MATCH(E$1,Calculation!$1:$1,0))</f>
        <v>84.597145207571472</v>
      </c>
      <c r="F62" s="4">
        <f>INDEX(Calculation!$A$1:$K$343,MATCH($A62,Calculation!$B:$B,0),MATCH(F$1,Calculation!$1:$1,0))</f>
        <v>0</v>
      </c>
    </row>
    <row r="63" spans="1:6" ht="16" x14ac:dyDescent="0.2">
      <c r="A63" s="2" t="s">
        <v>317</v>
      </c>
      <c r="B63" s="5">
        <f>INDEX(Calculation!$A$1:$K$343,MATCH($A63,Calculation!$B:$B,0),MATCH(B$1,Calculation!$1:$1,0))</f>
        <v>2.0863086763951362</v>
      </c>
      <c r="C63" s="6">
        <f t="shared" si="0"/>
        <v>9.3537703756720443E-5</v>
      </c>
      <c r="D63" s="4">
        <f>INDEX(Calculation!$A$1:$I$343,MATCH($A63,Calculation!$B:$B,0),MATCH(D$1,Calculation!$1:$1,0))</f>
        <v>0</v>
      </c>
      <c r="E63" s="4">
        <f>INDEX(Calculation!$A$1:$K$343,MATCH($A63,Calculation!$B:$B,0),MATCH(E$1,Calculation!$1:$1,0))</f>
        <v>22.664705743726717</v>
      </c>
      <c r="F63" s="4">
        <f>INDEX(Calculation!$A$1:$K$343,MATCH($A63,Calculation!$B:$B,0),MATCH(F$1,Calculation!$1:$1,0))</f>
        <v>0</v>
      </c>
    </row>
    <row r="64" spans="1:6" ht="16" x14ac:dyDescent="0.2">
      <c r="A64" s="2" t="s">
        <v>319</v>
      </c>
      <c r="B64" s="5">
        <f>INDEX(Calculation!$A$1:$K$343,MATCH($A64,Calculation!$B:$B,0),MATCH(B$1,Calculation!$1:$1,0))</f>
        <v>74.741215986881841</v>
      </c>
      <c r="C64" s="6">
        <f t="shared" si="0"/>
        <v>3.3509527130365676E-3</v>
      </c>
      <c r="D64" s="4">
        <f>INDEX(Calculation!$A$1:$I$343,MATCH($A64,Calculation!$B:$B,0),MATCH(D$1,Calculation!$1:$1,0))</f>
        <v>2.5192580951178263E-3</v>
      </c>
      <c r="E64" s="4">
        <f>INDEX(Calculation!$A$1:$K$343,MATCH($A64,Calculation!$B:$B,0),MATCH(E$1,Calculation!$1:$1,0))</f>
        <v>116.75841898270235</v>
      </c>
      <c r="F64" s="4">
        <f>INDEX(Calculation!$A$1:$K$343,MATCH($A64,Calculation!$B:$B,0),MATCH(F$1,Calculation!$1:$1,0))</f>
        <v>0</v>
      </c>
    </row>
    <row r="65" spans="1:6" ht="16" x14ac:dyDescent="0.2">
      <c r="A65" s="2" t="s">
        <v>321</v>
      </c>
      <c r="B65" s="5">
        <f>INDEX(Calculation!$A$1:$K$343,MATCH($A65,Calculation!$B:$B,0),MATCH(B$1,Calculation!$1:$1,0))</f>
        <v>85.02104926751727</v>
      </c>
      <c r="C65" s="6">
        <f t="shared" si="0"/>
        <v>3.8118394509156365E-3</v>
      </c>
      <c r="D65" s="4">
        <f>INDEX(Calculation!$A$1:$I$343,MATCH($A65,Calculation!$B:$B,0),MATCH(D$1,Calculation!$1:$1,0))</f>
        <v>0</v>
      </c>
      <c r="E65" s="4">
        <f>INDEX(Calculation!$A$1:$K$343,MATCH($A65,Calculation!$B:$B,0),MATCH(E$1,Calculation!$1:$1,0))</f>
        <v>130.56337774726845</v>
      </c>
      <c r="F65" s="4">
        <f>INDEX(Calculation!$A$1:$K$343,MATCH($A65,Calculation!$B:$B,0),MATCH(F$1,Calculation!$1:$1,0))</f>
        <v>0</v>
      </c>
    </row>
    <row r="66" spans="1:6" ht="16" x14ac:dyDescent="0.2">
      <c r="A66" s="2" t="s">
        <v>323</v>
      </c>
      <c r="B66" s="5">
        <f>INDEX(Calculation!$A$1:$K$343,MATCH($A66,Calculation!$B:$B,0),MATCH(B$1,Calculation!$1:$1,0))</f>
        <v>2.3259500399698432</v>
      </c>
      <c r="C66" s="6">
        <f t="shared" si="0"/>
        <v>1.0428180079639652E-4</v>
      </c>
      <c r="D66" s="4">
        <f>INDEX(Calculation!$A$1:$I$343,MATCH($A66,Calculation!$B:$B,0),MATCH(D$1,Calculation!$1:$1,0))</f>
        <v>0</v>
      </c>
      <c r="E66" s="4">
        <f>INDEX(Calculation!$A$1:$K$343,MATCH($A66,Calculation!$B:$B,0),MATCH(E$1,Calculation!$1:$1,0))</f>
        <v>11.946556089097003</v>
      </c>
      <c r="F66" s="4">
        <f>INDEX(Calculation!$A$1:$K$343,MATCH($A66,Calculation!$B:$B,0),MATCH(F$1,Calculation!$1:$1,0))</f>
        <v>0</v>
      </c>
    </row>
    <row r="67" spans="1:6" ht="16" x14ac:dyDescent="0.2">
      <c r="A67" s="2" t="s">
        <v>325</v>
      </c>
      <c r="B67" s="5">
        <f>INDEX(Calculation!$A$1:$K$343,MATCH($A67,Calculation!$B:$B,0),MATCH(B$1,Calculation!$1:$1,0))</f>
        <v>32.636212308831958</v>
      </c>
      <c r="C67" s="6">
        <f t="shared" ref="C67:C130" si="1">B67/SUM($B$2:$B$343)</f>
        <v>1.4632141414278373E-3</v>
      </c>
      <c r="D67" s="4">
        <f>INDEX(Calculation!$A$1:$I$343,MATCH($A67,Calculation!$B:$B,0),MATCH(D$1,Calculation!$1:$1,0))</f>
        <v>1.2775756525396167E-2</v>
      </c>
      <c r="E67" s="4">
        <f>INDEX(Calculation!$A$1:$K$343,MATCH($A67,Calculation!$B:$B,0),MATCH(E$1,Calculation!$1:$1,0))</f>
        <v>61.899244763458292</v>
      </c>
      <c r="F67" s="4">
        <f>INDEX(Calculation!$A$1:$K$343,MATCH($A67,Calculation!$B:$B,0),MATCH(F$1,Calculation!$1:$1,0))</f>
        <v>0</v>
      </c>
    </row>
    <row r="68" spans="1:6" ht="16" x14ac:dyDescent="0.2">
      <c r="A68" s="2" t="s">
        <v>328</v>
      </c>
      <c r="B68" s="5">
        <f>INDEX(Calculation!$A$1:$K$343,MATCH($A68,Calculation!$B:$B,0),MATCH(B$1,Calculation!$1:$1,0))</f>
        <v>142.77948547957766</v>
      </c>
      <c r="C68" s="6">
        <f t="shared" si="1"/>
        <v>6.4013850713604973E-3</v>
      </c>
      <c r="D68" s="4">
        <f>INDEX(Calculation!$A$1:$I$343,MATCH($A68,Calculation!$B:$B,0),MATCH(D$1,Calculation!$1:$1,0))</f>
        <v>2.3833223008975606E-3</v>
      </c>
      <c r="E68" s="4">
        <f>INDEX(Calculation!$A$1:$K$343,MATCH($A68,Calculation!$B:$B,0),MATCH(E$1,Calculation!$1:$1,0))</f>
        <v>175.72407305876598</v>
      </c>
      <c r="F68" s="4">
        <f>INDEX(Calculation!$A$1:$K$343,MATCH($A68,Calculation!$B:$B,0),MATCH(F$1,Calculation!$1:$1,0))</f>
        <v>0</v>
      </c>
    </row>
    <row r="69" spans="1:6" ht="16" x14ac:dyDescent="0.2">
      <c r="A69" s="2" t="s">
        <v>331</v>
      </c>
      <c r="B69" s="5">
        <f>INDEX(Calculation!$A$1:$K$343,MATCH($A69,Calculation!$B:$B,0),MATCH(B$1,Calculation!$1:$1,0))</f>
        <v>7.3697778263580851</v>
      </c>
      <c r="C69" s="6">
        <f t="shared" si="1"/>
        <v>3.304171155851388E-4</v>
      </c>
      <c r="D69" s="4">
        <f>INDEX(Calculation!$A$1:$I$343,MATCH($A69,Calculation!$B:$B,0),MATCH(D$1,Calculation!$1:$1,0))</f>
        <v>0</v>
      </c>
      <c r="E69" s="4">
        <f>INDEX(Calculation!$A$1:$K$343,MATCH($A69,Calculation!$B:$B,0),MATCH(E$1,Calculation!$1:$1,0))</f>
        <v>11.558612893386517</v>
      </c>
      <c r="F69" s="4">
        <f>INDEX(Calculation!$A$1:$K$343,MATCH($A69,Calculation!$B:$B,0),MATCH(F$1,Calculation!$1:$1,0))</f>
        <v>0</v>
      </c>
    </row>
    <row r="70" spans="1:6" ht="16" x14ac:dyDescent="0.2">
      <c r="A70" s="2" t="s">
        <v>334</v>
      </c>
      <c r="B70" s="5">
        <f>INDEX(Calculation!$A$1:$K$343,MATCH($A70,Calculation!$B:$B,0),MATCH(B$1,Calculation!$1:$1,0))</f>
        <v>49.567186036563818</v>
      </c>
      <c r="C70" s="6">
        <f t="shared" si="1"/>
        <v>2.2222985582140416E-3</v>
      </c>
      <c r="D70" s="4">
        <f>INDEX(Calculation!$A$1:$I$343,MATCH($A70,Calculation!$B:$B,0),MATCH(D$1,Calculation!$1:$1,0))</f>
        <v>2.475509978991396E-4</v>
      </c>
      <c r="E70" s="4">
        <f>INDEX(Calculation!$A$1:$K$343,MATCH($A70,Calculation!$B:$B,0),MATCH(E$1,Calculation!$1:$1,0))</f>
        <v>79.043058876808658</v>
      </c>
      <c r="F70" s="4">
        <f>INDEX(Calculation!$A$1:$K$343,MATCH($A70,Calculation!$B:$B,0),MATCH(F$1,Calculation!$1:$1,0))</f>
        <v>0</v>
      </c>
    </row>
    <row r="71" spans="1:6" ht="16" x14ac:dyDescent="0.2">
      <c r="A71" s="2" t="s">
        <v>336</v>
      </c>
      <c r="B71" s="5">
        <f>INDEX(Calculation!$A$1:$K$343,MATCH($A71,Calculation!$B:$B,0),MATCH(B$1,Calculation!$1:$1,0))</f>
        <v>19.970988155547762</v>
      </c>
      <c r="C71" s="6">
        <f t="shared" si="1"/>
        <v>8.9538062845538494E-4</v>
      </c>
      <c r="D71" s="4">
        <f>INDEX(Calculation!$A$1:$I$343,MATCH($A71,Calculation!$B:$B,0),MATCH(D$1,Calculation!$1:$1,0))</f>
        <v>4.2619409896332014E-3</v>
      </c>
      <c r="E71" s="4">
        <f>INDEX(Calculation!$A$1:$K$343,MATCH($A71,Calculation!$B:$B,0),MATCH(E$1,Calculation!$1:$1,0))</f>
        <v>29.233524637715423</v>
      </c>
      <c r="F71" s="4">
        <f>INDEX(Calculation!$A$1:$K$343,MATCH($A71,Calculation!$B:$B,0),MATCH(F$1,Calculation!$1:$1,0))</f>
        <v>0</v>
      </c>
    </row>
    <row r="72" spans="1:6" ht="16" x14ac:dyDescent="0.2">
      <c r="A72" s="2" t="s">
        <v>339</v>
      </c>
      <c r="B72" s="5">
        <f>INDEX(Calculation!$A$1:$K$343,MATCH($A72,Calculation!$B:$B,0),MATCH(B$1,Calculation!$1:$1,0))</f>
        <v>27.780238336877005</v>
      </c>
      <c r="C72" s="6">
        <f t="shared" si="1"/>
        <v>1.2455010772115234E-3</v>
      </c>
      <c r="D72" s="4">
        <f>INDEX(Calculation!$A$1:$I$343,MATCH($A72,Calculation!$B:$B,0),MATCH(D$1,Calculation!$1:$1,0))</f>
        <v>3.8533499366728038E-4</v>
      </c>
      <c r="E72" s="4">
        <f>INDEX(Calculation!$A$1:$K$343,MATCH($A72,Calculation!$B:$B,0),MATCH(E$1,Calculation!$1:$1,0))</f>
        <v>77.556489524521737</v>
      </c>
      <c r="F72" s="4">
        <f>INDEX(Calculation!$A$1:$K$343,MATCH($A72,Calculation!$B:$B,0),MATCH(F$1,Calculation!$1:$1,0))</f>
        <v>0</v>
      </c>
    </row>
    <row r="73" spans="1:6" ht="16" x14ac:dyDescent="0.2">
      <c r="A73" s="2" t="s">
        <v>341</v>
      </c>
      <c r="B73" s="5">
        <f>INDEX(Calculation!$A$1:$K$343,MATCH($A73,Calculation!$B:$B,0),MATCH(B$1,Calculation!$1:$1,0))</f>
        <v>50.688441534376572</v>
      </c>
      <c r="C73" s="6">
        <f t="shared" si="1"/>
        <v>2.2725690027444365E-3</v>
      </c>
      <c r="D73" s="4">
        <f>INDEX(Calculation!$A$1:$I$343,MATCH($A73,Calculation!$B:$B,0),MATCH(D$1,Calculation!$1:$1,0))</f>
        <v>2.5905683668519608E-3</v>
      </c>
      <c r="E73" s="4">
        <f>INDEX(Calculation!$A$1:$K$343,MATCH($A73,Calculation!$B:$B,0),MATCH(E$1,Calculation!$1:$1,0))</f>
        <v>58.884886834287855</v>
      </c>
      <c r="F73" s="4">
        <f>INDEX(Calculation!$A$1:$K$343,MATCH($A73,Calculation!$B:$B,0),MATCH(F$1,Calculation!$1:$1,0))</f>
        <v>0</v>
      </c>
    </row>
    <row r="74" spans="1:6" ht="16" x14ac:dyDescent="0.2">
      <c r="A74" s="2" t="s">
        <v>344</v>
      </c>
      <c r="B74" s="5">
        <f>INDEX(Calculation!$A$1:$K$343,MATCH($A74,Calculation!$B:$B,0),MATCH(B$1,Calculation!$1:$1,0))</f>
        <v>66.908414458408657</v>
      </c>
      <c r="C74" s="6">
        <f t="shared" si="1"/>
        <v>2.9997763615958713E-3</v>
      </c>
      <c r="D74" s="4">
        <f>INDEX(Calculation!$A$1:$I$343,MATCH($A74,Calculation!$B:$B,0),MATCH(D$1,Calculation!$1:$1,0))</f>
        <v>1.2638126457752004E-2</v>
      </c>
      <c r="E74" s="4">
        <f>INDEX(Calculation!$A$1:$K$343,MATCH($A74,Calculation!$B:$B,0),MATCH(E$1,Calculation!$1:$1,0))</f>
        <v>95.051225358775667</v>
      </c>
      <c r="F74" s="4">
        <f>INDEX(Calculation!$A$1:$K$343,MATCH($A74,Calculation!$B:$B,0),MATCH(F$1,Calculation!$1:$1,0))</f>
        <v>0</v>
      </c>
    </row>
    <row r="75" spans="1:6" ht="16" x14ac:dyDescent="0.2">
      <c r="A75" s="2" t="s">
        <v>347</v>
      </c>
      <c r="B75" s="5">
        <f>INDEX(Calculation!$A$1:$K$343,MATCH($A75,Calculation!$B:$B,0),MATCH(B$1,Calculation!$1:$1,0))</f>
        <v>264.18229805317816</v>
      </c>
      <c r="C75" s="6">
        <f t="shared" si="1"/>
        <v>1.1844366949460774E-2</v>
      </c>
      <c r="D75" s="4">
        <f>INDEX(Calculation!$A$1:$I$343,MATCH($A75,Calculation!$B:$B,0),MATCH(D$1,Calculation!$1:$1,0))</f>
        <v>0</v>
      </c>
      <c r="E75" s="4">
        <f>INDEX(Calculation!$A$1:$K$343,MATCH($A75,Calculation!$B:$B,0),MATCH(E$1,Calculation!$1:$1,0))</f>
        <v>333.60196039364638</v>
      </c>
      <c r="F75" s="4">
        <f>INDEX(Calculation!$A$1:$K$343,MATCH($A75,Calculation!$B:$B,0),MATCH(F$1,Calculation!$1:$1,0))</f>
        <v>0</v>
      </c>
    </row>
    <row r="76" spans="1:6" ht="16" x14ac:dyDescent="0.2">
      <c r="A76" s="2" t="s">
        <v>349</v>
      </c>
      <c r="B76" s="5">
        <f>INDEX(Calculation!$A$1:$K$343,MATCH($A76,Calculation!$B:$B,0),MATCH(B$1,Calculation!$1:$1,0))</f>
        <v>27.540796667033007</v>
      </c>
      <c r="C76" s="6">
        <f t="shared" si="1"/>
        <v>1.2347659332540236E-3</v>
      </c>
      <c r="D76" s="4">
        <f>INDEX(Calculation!$A$1:$I$343,MATCH($A76,Calculation!$B:$B,0),MATCH(D$1,Calculation!$1:$1,0))</f>
        <v>2.1684844320682894E-4</v>
      </c>
      <c r="E76" s="4">
        <f>INDEX(Calculation!$A$1:$K$343,MATCH($A76,Calculation!$B:$B,0),MATCH(E$1,Calculation!$1:$1,0))</f>
        <v>37.521089857453191</v>
      </c>
      <c r="F76" s="4">
        <f>INDEX(Calculation!$A$1:$K$343,MATCH($A76,Calculation!$B:$B,0),MATCH(F$1,Calculation!$1:$1,0))</f>
        <v>0</v>
      </c>
    </row>
    <row r="77" spans="1:6" ht="16" x14ac:dyDescent="0.2">
      <c r="A77" s="2" t="s">
        <v>352</v>
      </c>
      <c r="B77" s="5">
        <f>INDEX(Calculation!$A$1:$K$343,MATCH($A77,Calculation!$B:$B,0),MATCH(B$1,Calculation!$1:$1,0))</f>
        <v>23.037099570399395</v>
      </c>
      <c r="C77" s="6">
        <f t="shared" si="1"/>
        <v>1.0328468741995372E-3</v>
      </c>
      <c r="D77" s="4">
        <f>INDEX(Calculation!$A$1:$I$343,MATCH($A77,Calculation!$B:$B,0),MATCH(D$1,Calculation!$1:$1,0))</f>
        <v>8.1793632199424551E-4</v>
      </c>
      <c r="E77" s="4">
        <f>INDEX(Calculation!$A$1:$K$343,MATCH($A77,Calculation!$B:$B,0),MATCH(E$1,Calculation!$1:$1,0))</f>
        <v>33.87941234209503</v>
      </c>
      <c r="F77" s="4">
        <f>INDEX(Calculation!$A$1:$K$343,MATCH($A77,Calculation!$B:$B,0),MATCH(F$1,Calculation!$1:$1,0))</f>
        <v>0</v>
      </c>
    </row>
    <row r="78" spans="1:6" ht="16" x14ac:dyDescent="0.2">
      <c r="A78" s="2" t="s">
        <v>354</v>
      </c>
      <c r="B78" s="5">
        <f>INDEX(Calculation!$A$1:$K$343,MATCH($A78,Calculation!$B:$B,0),MATCH(B$1,Calculation!$1:$1,0))</f>
        <v>70.471523382832117</v>
      </c>
      <c r="C78" s="6">
        <f t="shared" si="1"/>
        <v>3.1595250271679864E-3</v>
      </c>
      <c r="D78" s="4">
        <f>INDEX(Calculation!$A$1:$I$343,MATCH($A78,Calculation!$B:$B,0),MATCH(D$1,Calculation!$1:$1,0))</f>
        <v>0</v>
      </c>
      <c r="E78" s="4">
        <f>INDEX(Calculation!$A$1:$K$343,MATCH($A78,Calculation!$B:$B,0),MATCH(E$1,Calculation!$1:$1,0))</f>
        <v>103.02282996085204</v>
      </c>
      <c r="F78" s="4">
        <f>INDEX(Calculation!$A$1:$K$343,MATCH($A78,Calculation!$B:$B,0),MATCH(F$1,Calculation!$1:$1,0))</f>
        <v>0</v>
      </c>
    </row>
    <row r="79" spans="1:6" ht="16" x14ac:dyDescent="0.2">
      <c r="A79" s="2" t="s">
        <v>357</v>
      </c>
      <c r="B79" s="5">
        <f>INDEX(Calculation!$A$1:$K$343,MATCH($A79,Calculation!$B:$B,0),MATCH(B$1,Calculation!$1:$1,0))</f>
        <v>43.913922188083532</v>
      </c>
      <c r="C79" s="6">
        <f t="shared" si="1"/>
        <v>1.9688397459584118E-3</v>
      </c>
      <c r="D79" s="4">
        <f>INDEX(Calculation!$A$1:$I$343,MATCH($A79,Calculation!$B:$B,0),MATCH(D$1,Calculation!$1:$1,0))</f>
        <v>0</v>
      </c>
      <c r="E79" s="4">
        <f>INDEX(Calculation!$A$1:$K$343,MATCH($A79,Calculation!$B:$B,0),MATCH(E$1,Calculation!$1:$1,0))</f>
        <v>54.321552169300546</v>
      </c>
      <c r="F79" s="4">
        <f>INDEX(Calculation!$A$1:$K$343,MATCH($A79,Calculation!$B:$B,0),MATCH(F$1,Calculation!$1:$1,0))</f>
        <v>0</v>
      </c>
    </row>
    <row r="80" spans="1:6" ht="16" x14ac:dyDescent="0.2">
      <c r="A80" s="2" t="s">
        <v>360</v>
      </c>
      <c r="B80" s="5">
        <f>INDEX(Calculation!$A$1:$K$343,MATCH($A80,Calculation!$B:$B,0),MATCH(B$1,Calculation!$1:$1,0))</f>
        <v>108.04053468842739</v>
      </c>
      <c r="C80" s="6">
        <f t="shared" si="1"/>
        <v>4.843896611150267E-3</v>
      </c>
      <c r="D80" s="4">
        <f>INDEX(Calculation!$A$1:$I$343,MATCH($A80,Calculation!$B:$B,0),MATCH(D$1,Calculation!$1:$1,0))</f>
        <v>0</v>
      </c>
      <c r="E80" s="4">
        <f>INDEX(Calculation!$A$1:$K$343,MATCH($A80,Calculation!$B:$B,0),MATCH(E$1,Calculation!$1:$1,0))</f>
        <v>318.14513928119197</v>
      </c>
      <c r="F80" s="4">
        <f>INDEX(Calculation!$A$1:$K$343,MATCH($A80,Calculation!$B:$B,0),MATCH(F$1,Calculation!$1:$1,0))</f>
        <v>0</v>
      </c>
    </row>
    <row r="81" spans="1:6" ht="16" x14ac:dyDescent="0.2">
      <c r="A81" s="2" t="s">
        <v>362</v>
      </c>
      <c r="B81" s="5">
        <f>INDEX(Calculation!$A$1:$K$343,MATCH($A81,Calculation!$B:$B,0),MATCH(B$1,Calculation!$1:$1,0))</f>
        <v>25.359512190481809</v>
      </c>
      <c r="C81" s="6">
        <f t="shared" si="1"/>
        <v>1.136970078074377E-3</v>
      </c>
      <c r="D81" s="4">
        <f>INDEX(Calculation!$A$1:$I$343,MATCH($A81,Calculation!$B:$B,0),MATCH(D$1,Calculation!$1:$1,0))</f>
        <v>0</v>
      </c>
      <c r="E81" s="4">
        <f>INDEX(Calculation!$A$1:$K$343,MATCH($A81,Calculation!$B:$B,0),MATCH(E$1,Calculation!$1:$1,0))</f>
        <v>31.038686315206046</v>
      </c>
      <c r="F81" s="4">
        <f>INDEX(Calculation!$A$1:$K$343,MATCH($A81,Calculation!$B:$B,0),MATCH(F$1,Calculation!$1:$1,0))</f>
        <v>0</v>
      </c>
    </row>
    <row r="82" spans="1:6" ht="16" x14ac:dyDescent="0.2">
      <c r="A82" s="2" t="s">
        <v>365</v>
      </c>
      <c r="B82" s="5">
        <f>INDEX(Calculation!$A$1:$K$343,MATCH($A82,Calculation!$B:$B,0),MATCH(B$1,Calculation!$1:$1,0))</f>
        <v>225.54356009591081</v>
      </c>
      <c r="C82" s="6">
        <f t="shared" si="1"/>
        <v>1.0112035168707581E-2</v>
      </c>
      <c r="D82" s="4">
        <f>INDEX(Calculation!$A$1:$I$343,MATCH($A82,Calculation!$B:$B,0),MATCH(D$1,Calculation!$1:$1,0))</f>
        <v>0</v>
      </c>
      <c r="E82" s="4">
        <f>INDEX(Calculation!$A$1:$K$343,MATCH($A82,Calculation!$B:$B,0),MATCH(E$1,Calculation!$1:$1,0))</f>
        <v>268.07011451303754</v>
      </c>
      <c r="F82" s="4">
        <f>INDEX(Calculation!$A$1:$K$343,MATCH($A82,Calculation!$B:$B,0),MATCH(F$1,Calculation!$1:$1,0))</f>
        <v>91.198267377227452</v>
      </c>
    </row>
    <row r="83" spans="1:6" ht="16" x14ac:dyDescent="0.2">
      <c r="A83" s="2" t="s">
        <v>370</v>
      </c>
      <c r="B83" s="5">
        <f>INDEX(Calculation!$A$1:$K$343,MATCH($A83,Calculation!$B:$B,0),MATCH(B$1,Calculation!$1:$1,0))</f>
        <v>49.947112432116384</v>
      </c>
      <c r="C83" s="6">
        <f t="shared" si="1"/>
        <v>2.2393322038287253E-3</v>
      </c>
      <c r="D83" s="4">
        <f>INDEX(Calculation!$A$1:$I$343,MATCH($A83,Calculation!$B:$B,0),MATCH(D$1,Calculation!$1:$1,0))</f>
        <v>0</v>
      </c>
      <c r="E83" s="4">
        <f>INDEX(Calculation!$A$1:$K$343,MATCH($A83,Calculation!$B:$B,0),MATCH(E$1,Calculation!$1:$1,0))</f>
        <v>82.466347572362977</v>
      </c>
      <c r="F83" s="4">
        <f>INDEX(Calculation!$A$1:$K$343,MATCH($A83,Calculation!$B:$B,0),MATCH(F$1,Calculation!$1:$1,0))</f>
        <v>0</v>
      </c>
    </row>
    <row r="84" spans="1:6" ht="16" x14ac:dyDescent="0.2">
      <c r="A84" s="2" t="s">
        <v>373</v>
      </c>
      <c r="B84" s="5">
        <f>INDEX(Calculation!$A$1:$K$343,MATCH($A84,Calculation!$B:$B,0),MATCH(B$1,Calculation!$1:$1,0))</f>
        <v>60.620538576157429</v>
      </c>
      <c r="C84" s="6">
        <f t="shared" si="1"/>
        <v>2.7178653106629419E-3</v>
      </c>
      <c r="D84" s="4">
        <f>INDEX(Calculation!$A$1:$I$343,MATCH($A84,Calculation!$B:$B,0),MATCH(D$1,Calculation!$1:$1,0))</f>
        <v>0</v>
      </c>
      <c r="E84" s="4">
        <f>INDEX(Calculation!$A$1:$K$343,MATCH($A84,Calculation!$B:$B,0),MATCH(E$1,Calculation!$1:$1,0))</f>
        <v>77.556931684694405</v>
      </c>
      <c r="F84" s="4">
        <f>INDEX(Calculation!$A$1:$K$343,MATCH($A84,Calculation!$B:$B,0),MATCH(F$1,Calculation!$1:$1,0))</f>
        <v>0</v>
      </c>
    </row>
    <row r="85" spans="1:6" ht="16" x14ac:dyDescent="0.2">
      <c r="A85" s="2" t="s">
        <v>376</v>
      </c>
      <c r="B85" s="5">
        <f>INDEX(Calculation!$A$1:$K$343,MATCH($A85,Calculation!$B:$B,0),MATCH(B$1,Calculation!$1:$1,0))</f>
        <v>12.943546540523357</v>
      </c>
      <c r="C85" s="6">
        <f t="shared" si="1"/>
        <v>5.8031183763312662E-4</v>
      </c>
      <c r="D85" s="4">
        <f>INDEX(Calculation!$A$1:$I$343,MATCH($A85,Calculation!$B:$B,0),MATCH(D$1,Calculation!$1:$1,0))</f>
        <v>6.7088750333715034E-5</v>
      </c>
      <c r="E85" s="4">
        <f>INDEX(Calculation!$A$1:$K$343,MATCH($A85,Calculation!$B:$B,0),MATCH(E$1,Calculation!$1:$1,0))</f>
        <v>88.015589266133986</v>
      </c>
      <c r="F85" s="4">
        <f>INDEX(Calculation!$A$1:$K$343,MATCH($A85,Calculation!$B:$B,0),MATCH(F$1,Calculation!$1:$1,0))</f>
        <v>0</v>
      </c>
    </row>
    <row r="86" spans="1:6" ht="16" x14ac:dyDescent="0.2">
      <c r="A86" s="2" t="s">
        <v>378</v>
      </c>
      <c r="B86" s="5">
        <f>INDEX(Calculation!$A$1:$K$343,MATCH($A86,Calculation!$B:$B,0),MATCH(B$1,Calculation!$1:$1,0))</f>
        <v>29.478345059071092</v>
      </c>
      <c r="C86" s="6">
        <f t="shared" si="1"/>
        <v>1.3216341083995714E-3</v>
      </c>
      <c r="D86" s="4">
        <f>INDEX(Calculation!$A$1:$I$343,MATCH($A86,Calculation!$B:$B,0),MATCH(D$1,Calculation!$1:$1,0))</f>
        <v>0</v>
      </c>
      <c r="E86" s="4">
        <f>INDEX(Calculation!$A$1:$K$343,MATCH($A86,Calculation!$B:$B,0),MATCH(E$1,Calculation!$1:$1,0))</f>
        <v>63.815822310179165</v>
      </c>
      <c r="F86" s="4">
        <f>INDEX(Calculation!$A$1:$K$343,MATCH($A86,Calculation!$B:$B,0),MATCH(F$1,Calculation!$1:$1,0))</f>
        <v>0</v>
      </c>
    </row>
    <row r="87" spans="1:6" ht="16" x14ac:dyDescent="0.2">
      <c r="A87" s="2" t="s">
        <v>381</v>
      </c>
      <c r="B87" s="5">
        <f>INDEX(Calculation!$A$1:$K$343,MATCH($A87,Calculation!$B:$B,0),MATCH(B$1,Calculation!$1:$1,0))</f>
        <v>234.60203403556403</v>
      </c>
      <c r="C87" s="6">
        <f t="shared" si="1"/>
        <v>1.0518163399607379E-2</v>
      </c>
      <c r="D87" s="4">
        <f>INDEX(Calculation!$A$1:$I$343,MATCH($A87,Calculation!$B:$B,0),MATCH(D$1,Calculation!$1:$1,0))</f>
        <v>2.0579550253819402E-2</v>
      </c>
      <c r="E87" s="4">
        <f>INDEX(Calculation!$A$1:$K$343,MATCH($A87,Calculation!$B:$B,0),MATCH(E$1,Calculation!$1:$1,0))</f>
        <v>335.33164429722126</v>
      </c>
      <c r="F87" s="4">
        <f>INDEX(Calculation!$A$1:$K$343,MATCH($A87,Calculation!$B:$B,0),MATCH(F$1,Calculation!$1:$1,0))</f>
        <v>0</v>
      </c>
    </row>
    <row r="88" spans="1:6" ht="16" x14ac:dyDescent="0.2">
      <c r="A88" s="2" t="s">
        <v>383</v>
      </c>
      <c r="B88" s="5">
        <f>INDEX(Calculation!$A$1:$K$343,MATCH($A88,Calculation!$B:$B,0),MATCH(B$1,Calculation!$1:$1,0))</f>
        <v>6.8381019794170985</v>
      </c>
      <c r="C88" s="6">
        <f t="shared" si="1"/>
        <v>3.065799248432112E-4</v>
      </c>
      <c r="D88" s="4">
        <f>INDEX(Calculation!$A$1:$I$343,MATCH($A88,Calculation!$B:$B,0),MATCH(D$1,Calculation!$1:$1,0))</f>
        <v>1.5354029460427233E-3</v>
      </c>
      <c r="E88" s="4">
        <f>INDEX(Calculation!$A$1:$K$343,MATCH($A88,Calculation!$B:$B,0),MATCH(E$1,Calculation!$1:$1,0))</f>
        <v>12.664444396442176</v>
      </c>
      <c r="F88" s="4">
        <f>INDEX(Calculation!$A$1:$K$343,MATCH($A88,Calculation!$B:$B,0),MATCH(F$1,Calculation!$1:$1,0))</f>
        <v>0</v>
      </c>
    </row>
    <row r="89" spans="1:6" ht="16" x14ac:dyDescent="0.2">
      <c r="A89" s="2" t="s">
        <v>385</v>
      </c>
      <c r="B89" s="5">
        <f>INDEX(Calculation!$A$1:$K$343,MATCH($A89,Calculation!$B:$B,0),MATCH(B$1,Calculation!$1:$1,0))</f>
        <v>68.372859143868766</v>
      </c>
      <c r="C89" s="6">
        <f t="shared" si="1"/>
        <v>3.0654333732866609E-3</v>
      </c>
      <c r="D89" s="4">
        <f>INDEX(Calculation!$A$1:$I$343,MATCH($A89,Calculation!$B:$B,0),MATCH(D$1,Calculation!$1:$1,0))</f>
        <v>1.0442342791484661E-4</v>
      </c>
      <c r="E89" s="4">
        <f>INDEX(Calculation!$A$1:$K$343,MATCH($A89,Calculation!$B:$B,0),MATCH(E$1,Calculation!$1:$1,0))</f>
        <v>140.7280983291613</v>
      </c>
      <c r="F89" s="4">
        <f>INDEX(Calculation!$A$1:$K$343,MATCH($A89,Calculation!$B:$B,0),MATCH(F$1,Calculation!$1:$1,0))</f>
        <v>0</v>
      </c>
    </row>
    <row r="90" spans="1:6" ht="16" x14ac:dyDescent="0.2">
      <c r="A90" s="2" t="s">
        <v>387</v>
      </c>
      <c r="B90" s="5">
        <f>INDEX(Calculation!$A$1:$K$343,MATCH($A90,Calculation!$B:$B,0),MATCH(B$1,Calculation!$1:$1,0))</f>
        <v>68.195269578597461</v>
      </c>
      <c r="C90" s="6">
        <f t="shared" si="1"/>
        <v>3.0574713107526866E-3</v>
      </c>
      <c r="D90" s="4">
        <f>INDEX(Calculation!$A$1:$I$343,MATCH($A90,Calculation!$B:$B,0),MATCH(D$1,Calculation!$1:$1,0))</f>
        <v>2.0396660695850061E-4</v>
      </c>
      <c r="E90" s="4">
        <f>INDEX(Calculation!$A$1:$K$343,MATCH($A90,Calculation!$B:$B,0),MATCH(E$1,Calculation!$1:$1,0))</f>
        <v>156.12126957288288</v>
      </c>
      <c r="F90" s="4">
        <f>INDEX(Calculation!$A$1:$K$343,MATCH($A90,Calculation!$B:$B,0),MATCH(F$1,Calculation!$1:$1,0))</f>
        <v>0</v>
      </c>
    </row>
    <row r="91" spans="1:6" ht="16" x14ac:dyDescent="0.2">
      <c r="A91" s="2" t="s">
        <v>390</v>
      </c>
      <c r="B91" s="5">
        <f>INDEX(Calculation!$A$1:$K$343,MATCH($A91,Calculation!$B:$B,0),MATCH(B$1,Calculation!$1:$1,0))</f>
        <v>19.845070440298077</v>
      </c>
      <c r="C91" s="6">
        <f t="shared" si="1"/>
        <v>8.8973522512652615E-4</v>
      </c>
      <c r="D91" s="4">
        <f>INDEX(Calculation!$A$1:$I$343,MATCH($A91,Calculation!$B:$B,0),MATCH(D$1,Calculation!$1:$1,0))</f>
        <v>8.7412265478302193E-5</v>
      </c>
      <c r="E91" s="4">
        <f>INDEX(Calculation!$A$1:$K$343,MATCH($A91,Calculation!$B:$B,0),MATCH(E$1,Calculation!$1:$1,0))</f>
        <v>85.636074431539157</v>
      </c>
      <c r="F91" s="4">
        <f>INDEX(Calculation!$A$1:$K$343,MATCH($A91,Calculation!$B:$B,0),MATCH(F$1,Calculation!$1:$1,0))</f>
        <v>0</v>
      </c>
    </row>
    <row r="92" spans="1:6" ht="16" x14ac:dyDescent="0.2">
      <c r="A92" s="2" t="s">
        <v>392</v>
      </c>
      <c r="B92" s="5">
        <f>INDEX(Calculation!$A$1:$K$343,MATCH($A92,Calculation!$B:$B,0),MATCH(B$1,Calculation!$1:$1,0))</f>
        <v>37.975767092614724</v>
      </c>
      <c r="C92" s="6">
        <f t="shared" si="1"/>
        <v>1.7026081003415465E-3</v>
      </c>
      <c r="D92" s="4">
        <f>INDEX(Calculation!$A$1:$I$343,MATCH($A92,Calculation!$B:$B,0),MATCH(D$1,Calculation!$1:$1,0))</f>
        <v>6.1815701787597353E-3</v>
      </c>
      <c r="E92" s="4">
        <f>INDEX(Calculation!$A$1:$K$343,MATCH($A92,Calculation!$B:$B,0),MATCH(E$1,Calculation!$1:$1,0))</f>
        <v>55.291716216490322</v>
      </c>
      <c r="F92" s="4">
        <f>INDEX(Calculation!$A$1:$K$343,MATCH($A92,Calculation!$B:$B,0),MATCH(F$1,Calculation!$1:$1,0))</f>
        <v>0</v>
      </c>
    </row>
    <row r="93" spans="1:6" ht="16" x14ac:dyDescent="0.2">
      <c r="A93" s="2" t="s">
        <v>394</v>
      </c>
      <c r="B93" s="5">
        <f>INDEX(Calculation!$A$1:$K$343,MATCH($A93,Calculation!$B:$B,0),MATCH(B$1,Calculation!$1:$1,0))</f>
        <v>291.76625501540428</v>
      </c>
      <c r="C93" s="6">
        <f t="shared" si="1"/>
        <v>1.3081067934297289E-2</v>
      </c>
      <c r="D93" s="4">
        <f>INDEX(Calculation!$A$1:$I$343,MATCH($A93,Calculation!$B:$B,0),MATCH(D$1,Calculation!$1:$1,0))</f>
        <v>1.9532312921577659E-5</v>
      </c>
      <c r="E93" s="4">
        <f>INDEX(Calculation!$A$1:$K$343,MATCH($A93,Calculation!$B:$B,0),MATCH(E$1,Calculation!$1:$1,0))</f>
        <v>351.21015657638969</v>
      </c>
      <c r="F93" s="4">
        <f>INDEX(Calculation!$A$1:$K$343,MATCH($A93,Calculation!$B:$B,0),MATCH(F$1,Calculation!$1:$1,0))</f>
        <v>0</v>
      </c>
    </row>
    <row r="94" spans="1:6" ht="16" x14ac:dyDescent="0.2">
      <c r="A94" s="2" t="s">
        <v>397</v>
      </c>
      <c r="B94" s="5">
        <f>INDEX(Calculation!$A$1:$K$343,MATCH($A94,Calculation!$B:$B,0),MATCH(B$1,Calculation!$1:$1,0))</f>
        <v>15.982406857325334</v>
      </c>
      <c r="C94" s="6">
        <f t="shared" si="1"/>
        <v>7.1655630581135402E-4</v>
      </c>
      <c r="D94" s="4">
        <f>INDEX(Calculation!$A$1:$I$343,MATCH($A94,Calculation!$B:$B,0),MATCH(D$1,Calculation!$1:$1,0))</f>
        <v>2.7863547692586843E-4</v>
      </c>
      <c r="E94" s="4">
        <f>INDEX(Calculation!$A$1:$K$343,MATCH($A94,Calculation!$B:$B,0),MATCH(E$1,Calculation!$1:$1,0))</f>
        <v>26.597301943185716</v>
      </c>
      <c r="F94" s="4">
        <f>INDEX(Calculation!$A$1:$K$343,MATCH($A94,Calculation!$B:$B,0),MATCH(F$1,Calculation!$1:$1,0))</f>
        <v>0</v>
      </c>
    </row>
    <row r="95" spans="1:6" ht="16" x14ac:dyDescent="0.2">
      <c r="A95" s="2" t="s">
        <v>400</v>
      </c>
      <c r="B95" s="5">
        <f>INDEX(Calculation!$A$1:$K$343,MATCH($A95,Calculation!$B:$B,0),MATCH(B$1,Calculation!$1:$1,0))</f>
        <v>10.393079603125441</v>
      </c>
      <c r="C95" s="6">
        <f t="shared" si="1"/>
        <v>4.659640311312409E-4</v>
      </c>
      <c r="D95" s="4">
        <f>INDEX(Calculation!$A$1:$I$343,MATCH($A95,Calculation!$B:$B,0),MATCH(D$1,Calculation!$1:$1,0))</f>
        <v>0</v>
      </c>
      <c r="E95" s="4">
        <f>INDEX(Calculation!$A$1:$K$343,MATCH($A95,Calculation!$B:$B,0),MATCH(E$1,Calculation!$1:$1,0))</f>
        <v>31.014497218788883</v>
      </c>
      <c r="F95" s="4">
        <f>INDEX(Calculation!$A$1:$K$343,MATCH($A95,Calculation!$B:$B,0),MATCH(F$1,Calculation!$1:$1,0))</f>
        <v>0</v>
      </c>
    </row>
    <row r="96" spans="1:6" ht="16" x14ac:dyDescent="0.2">
      <c r="A96" s="2" t="s">
        <v>403</v>
      </c>
      <c r="B96" s="5">
        <f>INDEX(Calculation!$A$1:$K$343,MATCH($A96,Calculation!$B:$B,0),MATCH(B$1,Calculation!$1:$1,0))</f>
        <v>77.698565718055946</v>
      </c>
      <c r="C96" s="6">
        <f t="shared" si="1"/>
        <v>3.483542730127207E-3</v>
      </c>
      <c r="D96" s="4">
        <f>INDEX(Calculation!$A$1:$I$343,MATCH($A96,Calculation!$B:$B,0),MATCH(D$1,Calculation!$1:$1,0))</f>
        <v>1.018132738297136E-3</v>
      </c>
      <c r="E96" s="4">
        <f>INDEX(Calculation!$A$1:$K$343,MATCH($A96,Calculation!$B:$B,0),MATCH(E$1,Calculation!$1:$1,0))</f>
        <v>122.06547014241615</v>
      </c>
      <c r="F96" s="4">
        <f>INDEX(Calculation!$A$1:$K$343,MATCH($A96,Calculation!$B:$B,0),MATCH(F$1,Calculation!$1:$1,0))</f>
        <v>0</v>
      </c>
    </row>
    <row r="97" spans="1:6" ht="16" x14ac:dyDescent="0.2">
      <c r="A97" s="2" t="s">
        <v>406</v>
      </c>
      <c r="B97" s="5">
        <f>INDEX(Calculation!$A$1:$K$343,MATCH($A97,Calculation!$B:$B,0),MATCH(B$1,Calculation!$1:$1,0))</f>
        <v>31.754765849001853</v>
      </c>
      <c r="C97" s="6">
        <f t="shared" si="1"/>
        <v>1.4236953114628208E-3</v>
      </c>
      <c r="D97" s="4">
        <f>INDEX(Calculation!$A$1:$I$343,MATCH($A97,Calculation!$B:$B,0),MATCH(D$1,Calculation!$1:$1,0))</f>
        <v>9.2719896746656374E-5</v>
      </c>
      <c r="E97" s="4">
        <f>INDEX(Calculation!$A$1:$K$343,MATCH($A97,Calculation!$B:$B,0),MATCH(E$1,Calculation!$1:$1,0))</f>
        <v>47.568142549713954</v>
      </c>
      <c r="F97" s="4">
        <f>INDEX(Calculation!$A$1:$K$343,MATCH($A97,Calculation!$B:$B,0),MATCH(F$1,Calculation!$1:$1,0))</f>
        <v>0</v>
      </c>
    </row>
    <row r="98" spans="1:6" ht="16" x14ac:dyDescent="0.2">
      <c r="A98" s="2" t="s">
        <v>409</v>
      </c>
      <c r="B98" s="5">
        <f>INDEX(Calculation!$A$1:$K$343,MATCH($A98,Calculation!$B:$B,0),MATCH(B$1,Calculation!$1:$1,0))</f>
        <v>36.554573052491605</v>
      </c>
      <c r="C98" s="6">
        <f t="shared" si="1"/>
        <v>1.6388901909976869E-3</v>
      </c>
      <c r="D98" s="4">
        <f>INDEX(Calculation!$A$1:$I$343,MATCH($A98,Calculation!$B:$B,0),MATCH(D$1,Calculation!$1:$1,0))</f>
        <v>6.8443333146412245E-4</v>
      </c>
      <c r="E98" s="4">
        <f>INDEX(Calculation!$A$1:$K$343,MATCH($A98,Calculation!$B:$B,0),MATCH(E$1,Calculation!$1:$1,0))</f>
        <v>65.383203546074625</v>
      </c>
      <c r="F98" s="4">
        <f>INDEX(Calculation!$A$1:$K$343,MATCH($A98,Calculation!$B:$B,0),MATCH(F$1,Calculation!$1:$1,0))</f>
        <v>0</v>
      </c>
    </row>
    <row r="99" spans="1:6" ht="16" x14ac:dyDescent="0.2">
      <c r="A99" s="2" t="s">
        <v>412</v>
      </c>
      <c r="B99" s="5">
        <f>INDEX(Calculation!$A$1:$K$343,MATCH($A99,Calculation!$B:$B,0),MATCH(B$1,Calculation!$1:$1,0))</f>
        <v>180.32958511372794</v>
      </c>
      <c r="C99" s="6">
        <f t="shared" si="1"/>
        <v>8.0849087681910924E-3</v>
      </c>
      <c r="D99" s="4">
        <f>INDEX(Calculation!$A$1:$I$343,MATCH($A99,Calculation!$B:$B,0),MATCH(D$1,Calculation!$1:$1,0))</f>
        <v>2.4462142707077014E-3</v>
      </c>
      <c r="E99" s="4">
        <f>INDEX(Calculation!$A$1:$K$343,MATCH($A99,Calculation!$B:$B,0),MATCH(E$1,Calculation!$1:$1,0))</f>
        <v>262.20188414135885</v>
      </c>
      <c r="F99" s="4">
        <f>INDEX(Calculation!$A$1:$K$343,MATCH($A99,Calculation!$B:$B,0),MATCH(F$1,Calculation!$1:$1,0))</f>
        <v>43.968544754637925</v>
      </c>
    </row>
    <row r="100" spans="1:6" ht="16" x14ac:dyDescent="0.2">
      <c r="A100" s="2" t="s">
        <v>415</v>
      </c>
      <c r="B100" s="5">
        <f>INDEX(Calculation!$A$1:$K$343,MATCH($A100,Calculation!$B:$B,0),MATCH(B$1,Calculation!$1:$1,0))</f>
        <v>69.325287362814791</v>
      </c>
      <c r="C100" s="6">
        <f t="shared" si="1"/>
        <v>3.1081346042220789E-3</v>
      </c>
      <c r="D100" s="4">
        <f>INDEX(Calculation!$A$1:$I$343,MATCH($A100,Calculation!$B:$B,0),MATCH(D$1,Calculation!$1:$1,0))</f>
        <v>0</v>
      </c>
      <c r="E100" s="4">
        <f>INDEX(Calculation!$A$1:$K$343,MATCH($A100,Calculation!$B:$B,0),MATCH(E$1,Calculation!$1:$1,0))</f>
        <v>92.475490921089019</v>
      </c>
      <c r="F100" s="4">
        <f>INDEX(Calculation!$A$1:$K$343,MATCH($A100,Calculation!$B:$B,0),MATCH(F$1,Calculation!$1:$1,0))</f>
        <v>3.1201733050502747</v>
      </c>
    </row>
    <row r="101" spans="1:6" ht="16" x14ac:dyDescent="0.2">
      <c r="A101" s="2" t="s">
        <v>417</v>
      </c>
      <c r="B101" s="5">
        <f>INDEX(Calculation!$A$1:$K$343,MATCH($A101,Calculation!$B:$B,0),MATCH(B$1,Calculation!$1:$1,0))</f>
        <v>24.550024974905469</v>
      </c>
      <c r="C101" s="6">
        <f t="shared" si="1"/>
        <v>1.1006774737142868E-3</v>
      </c>
      <c r="D101" s="4">
        <f>INDEX(Calculation!$A$1:$I$343,MATCH($A101,Calculation!$B:$B,0),MATCH(D$1,Calculation!$1:$1,0))</f>
        <v>0</v>
      </c>
      <c r="E101" s="4">
        <f>INDEX(Calculation!$A$1:$K$343,MATCH($A101,Calculation!$B:$B,0),MATCH(E$1,Calculation!$1:$1,0))</f>
        <v>42.973911882014633</v>
      </c>
      <c r="F101" s="4">
        <f>INDEX(Calculation!$A$1:$K$343,MATCH($A101,Calculation!$B:$B,0),MATCH(F$1,Calculation!$1:$1,0))</f>
        <v>0</v>
      </c>
    </row>
    <row r="102" spans="1:6" ht="16" x14ac:dyDescent="0.2">
      <c r="A102" s="2" t="s">
        <v>420</v>
      </c>
      <c r="B102" s="5">
        <f>INDEX(Calculation!$A$1:$K$343,MATCH($A102,Calculation!$B:$B,0),MATCH(B$1,Calculation!$1:$1,0))</f>
        <v>13.222762612256536</v>
      </c>
      <c r="C102" s="6">
        <f t="shared" si="1"/>
        <v>5.9283022980461504E-4</v>
      </c>
      <c r="D102" s="4">
        <f>INDEX(Calculation!$A$1:$I$343,MATCH($A102,Calculation!$B:$B,0),MATCH(D$1,Calculation!$1:$1,0))</f>
        <v>0</v>
      </c>
      <c r="E102" s="4">
        <f>INDEX(Calculation!$A$1:$K$343,MATCH($A102,Calculation!$B:$B,0),MATCH(E$1,Calculation!$1:$1,0))</f>
        <v>41.434410523423395</v>
      </c>
      <c r="F102" s="4">
        <f>INDEX(Calculation!$A$1:$K$343,MATCH($A102,Calculation!$B:$B,0),MATCH(F$1,Calculation!$1:$1,0))</f>
        <v>0</v>
      </c>
    </row>
    <row r="103" spans="1:6" ht="16" x14ac:dyDescent="0.2">
      <c r="A103" s="2" t="s">
        <v>423</v>
      </c>
      <c r="B103" s="5">
        <f>INDEX(Calculation!$A$1:$K$343,MATCH($A103,Calculation!$B:$B,0),MATCH(B$1,Calculation!$1:$1,0))</f>
        <v>7.1139992714291145</v>
      </c>
      <c r="C103" s="6">
        <f t="shared" si="1"/>
        <v>3.1894952262108748E-4</v>
      </c>
      <c r="D103" s="4">
        <f>INDEX(Calculation!$A$1:$I$343,MATCH($A103,Calculation!$B:$B,0),MATCH(D$1,Calculation!$1:$1,0))</f>
        <v>0</v>
      </c>
      <c r="E103" s="4">
        <f>INDEX(Calculation!$A$1:$K$343,MATCH($A103,Calculation!$B:$B,0),MATCH(E$1,Calculation!$1:$1,0))</f>
        <v>18.713698779777406</v>
      </c>
      <c r="F103" s="4">
        <f>INDEX(Calculation!$A$1:$K$343,MATCH($A103,Calculation!$B:$B,0),MATCH(F$1,Calculation!$1:$1,0))</f>
        <v>0</v>
      </c>
    </row>
    <row r="104" spans="1:6" ht="16" x14ac:dyDescent="0.2">
      <c r="A104" s="2" t="s">
        <v>425</v>
      </c>
      <c r="B104" s="5">
        <f>INDEX(Calculation!$A$1:$K$343,MATCH($A104,Calculation!$B:$B,0),MATCH(B$1,Calculation!$1:$1,0))</f>
        <v>2.9848483640896148</v>
      </c>
      <c r="C104" s="6">
        <f t="shared" si="1"/>
        <v>1.3382289265141692E-4</v>
      </c>
      <c r="D104" s="4">
        <f>INDEX(Calculation!$A$1:$I$343,MATCH($A104,Calculation!$B:$B,0),MATCH(D$1,Calculation!$1:$1,0))</f>
        <v>0</v>
      </c>
      <c r="E104" s="4">
        <f>INDEX(Calculation!$A$1:$K$343,MATCH($A104,Calculation!$B:$B,0),MATCH(E$1,Calculation!$1:$1,0))</f>
        <v>16.498846295895035</v>
      </c>
      <c r="F104" s="4">
        <f>INDEX(Calculation!$A$1:$K$343,MATCH($A104,Calculation!$B:$B,0),MATCH(F$1,Calculation!$1:$1,0))</f>
        <v>0</v>
      </c>
    </row>
    <row r="105" spans="1:6" ht="16" x14ac:dyDescent="0.2">
      <c r="A105" s="2" t="s">
        <v>427</v>
      </c>
      <c r="B105" s="5">
        <f>INDEX(Calculation!$A$1:$K$343,MATCH($A105,Calculation!$B:$B,0),MATCH(B$1,Calculation!$1:$1,0))</f>
        <v>1.7675393427219539</v>
      </c>
      <c r="C105" s="6">
        <f t="shared" si="1"/>
        <v>7.9245977974623326E-5</v>
      </c>
      <c r="D105" s="4">
        <f>INDEX(Calculation!$A$1:$I$343,MATCH($A105,Calculation!$B:$B,0),MATCH(D$1,Calculation!$1:$1,0))</f>
        <v>5.8318693867423456E-4</v>
      </c>
      <c r="E105" s="4">
        <f>INDEX(Calculation!$A$1:$K$343,MATCH($A105,Calculation!$B:$B,0),MATCH(E$1,Calculation!$1:$1,0))</f>
        <v>82.441743355257017</v>
      </c>
      <c r="F105" s="4">
        <f>INDEX(Calculation!$A$1:$K$343,MATCH($A105,Calculation!$B:$B,0),MATCH(F$1,Calculation!$1:$1,0))</f>
        <v>12.52226543498686</v>
      </c>
    </row>
    <row r="106" spans="1:6" ht="16" x14ac:dyDescent="0.2">
      <c r="A106" s="2" t="s">
        <v>430</v>
      </c>
      <c r="B106" s="5">
        <f>INDEX(Calculation!$A$1:$K$343,MATCH($A106,Calculation!$B:$B,0),MATCH(B$1,Calculation!$1:$1,0))</f>
        <v>107.77586438640375</v>
      </c>
      <c r="C106" s="6">
        <f t="shared" si="1"/>
        <v>4.8320303649979175E-3</v>
      </c>
      <c r="D106" s="4">
        <f>INDEX(Calculation!$A$1:$I$343,MATCH($A106,Calculation!$B:$B,0),MATCH(D$1,Calculation!$1:$1,0))</f>
        <v>7.3827627326495881E-5</v>
      </c>
      <c r="E106" s="4">
        <f>INDEX(Calculation!$A$1:$K$343,MATCH($A106,Calculation!$B:$B,0),MATCH(E$1,Calculation!$1:$1,0))</f>
        <v>185.52543901989941</v>
      </c>
      <c r="F106" s="4">
        <f>INDEX(Calculation!$A$1:$K$343,MATCH($A106,Calculation!$B:$B,0),MATCH(F$1,Calculation!$1:$1,0))</f>
        <v>0</v>
      </c>
    </row>
    <row r="107" spans="1:6" ht="16" x14ac:dyDescent="0.2">
      <c r="A107" s="2" t="s">
        <v>432</v>
      </c>
      <c r="B107" s="5">
        <f>INDEX(Calculation!$A$1:$K$343,MATCH($A107,Calculation!$B:$B,0),MATCH(B$1,Calculation!$1:$1,0))</f>
        <v>58.417349020811969</v>
      </c>
      <c r="C107" s="6">
        <f t="shared" si="1"/>
        <v>2.6190873617048397E-3</v>
      </c>
      <c r="D107" s="4">
        <f>INDEX(Calculation!$A$1:$I$343,MATCH($A107,Calculation!$B:$B,0),MATCH(D$1,Calculation!$1:$1,0))</f>
        <v>0</v>
      </c>
      <c r="E107" s="4">
        <f>INDEX(Calculation!$A$1:$K$343,MATCH($A107,Calculation!$B:$B,0),MATCH(E$1,Calculation!$1:$1,0))</f>
        <v>73.180766813427468</v>
      </c>
      <c r="F107" s="4">
        <f>INDEX(Calculation!$A$1:$K$343,MATCH($A107,Calculation!$B:$B,0),MATCH(F$1,Calculation!$1:$1,0))</f>
        <v>0</v>
      </c>
    </row>
    <row r="108" spans="1:6" ht="16" x14ac:dyDescent="0.2">
      <c r="A108" s="2" t="s">
        <v>435</v>
      </c>
      <c r="B108" s="5">
        <f>INDEX(Calculation!$A$1:$K$343,MATCH($A108,Calculation!$B:$B,0),MATCH(B$1,Calculation!$1:$1,0))</f>
        <v>71.193729035508113</v>
      </c>
      <c r="C108" s="6">
        <f t="shared" si="1"/>
        <v>3.191904444056651E-3</v>
      </c>
      <c r="D108" s="4">
        <f>INDEX(Calculation!$A$1:$I$343,MATCH($A108,Calculation!$B:$B,0),MATCH(D$1,Calculation!$1:$1,0))</f>
        <v>0</v>
      </c>
      <c r="E108" s="4">
        <f>INDEX(Calculation!$A$1:$K$343,MATCH($A108,Calculation!$B:$B,0),MATCH(E$1,Calculation!$1:$1,0))</f>
        <v>104.78101760147196</v>
      </c>
      <c r="F108" s="4">
        <f>INDEX(Calculation!$A$1:$K$343,MATCH($A108,Calculation!$B:$B,0),MATCH(F$1,Calculation!$1:$1,0))</f>
        <v>0</v>
      </c>
    </row>
    <row r="109" spans="1:6" ht="16" x14ac:dyDescent="0.2">
      <c r="A109" s="2" t="s">
        <v>438</v>
      </c>
      <c r="B109" s="5">
        <f>INDEX(Calculation!$A$1:$K$343,MATCH($A109,Calculation!$B:$B,0),MATCH(B$1,Calculation!$1:$1,0))</f>
        <v>4.0949479066104022</v>
      </c>
      <c r="C109" s="6">
        <f t="shared" si="1"/>
        <v>1.8359317033065056E-4</v>
      </c>
      <c r="D109" s="4">
        <f>INDEX(Calculation!$A$1:$I$343,MATCH($A109,Calculation!$B:$B,0),MATCH(D$1,Calculation!$1:$1,0))</f>
        <v>6.6248161985937826E-5</v>
      </c>
      <c r="E109" s="4">
        <f>INDEX(Calculation!$A$1:$K$343,MATCH($A109,Calculation!$B:$B,0),MATCH(E$1,Calculation!$1:$1,0))</f>
        <v>29.212163456993313</v>
      </c>
      <c r="F109" s="4">
        <f>INDEX(Calculation!$A$1:$K$343,MATCH($A109,Calculation!$B:$B,0),MATCH(F$1,Calculation!$1:$1,0))</f>
        <v>0</v>
      </c>
    </row>
    <row r="110" spans="1:6" ht="16" x14ac:dyDescent="0.2">
      <c r="A110" s="2" t="s">
        <v>440</v>
      </c>
      <c r="B110" s="5">
        <f>INDEX(Calculation!$A$1:$K$343,MATCH($A110,Calculation!$B:$B,0),MATCH(B$1,Calculation!$1:$1,0))</f>
        <v>115.14336187119153</v>
      </c>
      <c r="C110" s="6">
        <f t="shared" si="1"/>
        <v>5.1623452435954611E-3</v>
      </c>
      <c r="D110" s="4">
        <f>INDEX(Calculation!$A$1:$I$343,MATCH($A110,Calculation!$B:$B,0),MATCH(D$1,Calculation!$1:$1,0))</f>
        <v>1.0920586724130994E-2</v>
      </c>
      <c r="E110" s="4">
        <f>INDEX(Calculation!$A$1:$K$343,MATCH($A110,Calculation!$B:$B,0),MATCH(E$1,Calculation!$1:$1,0))</f>
        <v>197.21476682005294</v>
      </c>
      <c r="F110" s="4">
        <f>INDEX(Calculation!$A$1:$K$343,MATCH($A110,Calculation!$B:$B,0),MATCH(F$1,Calculation!$1:$1,0))</f>
        <v>0</v>
      </c>
    </row>
    <row r="111" spans="1:6" ht="16" x14ac:dyDescent="0.2">
      <c r="A111" s="2" t="s">
        <v>443</v>
      </c>
      <c r="B111" s="5">
        <f>INDEX(Calculation!$A$1:$K$343,MATCH($A111,Calculation!$B:$B,0),MATCH(B$1,Calculation!$1:$1,0))</f>
        <v>57.756972043825499</v>
      </c>
      <c r="C111" s="6">
        <f t="shared" si="1"/>
        <v>2.5894799758275737E-3</v>
      </c>
      <c r="D111" s="4">
        <f>INDEX(Calculation!$A$1:$I$343,MATCH($A111,Calculation!$B:$B,0),MATCH(D$1,Calculation!$1:$1,0))</f>
        <v>2.1069706180160512E-3</v>
      </c>
      <c r="E111" s="4">
        <f>INDEX(Calculation!$A$1:$K$343,MATCH($A111,Calculation!$B:$B,0),MATCH(E$1,Calculation!$1:$1,0))</f>
        <v>74.443246769027752</v>
      </c>
      <c r="F111" s="4">
        <f>INDEX(Calculation!$A$1:$K$343,MATCH($A111,Calculation!$B:$B,0),MATCH(F$1,Calculation!$1:$1,0))</f>
        <v>0</v>
      </c>
    </row>
    <row r="112" spans="1:6" ht="16" x14ac:dyDescent="0.2">
      <c r="A112" s="2" t="s">
        <v>446</v>
      </c>
      <c r="B112" s="5">
        <f>INDEX(Calculation!$A$1:$K$343,MATCH($A112,Calculation!$B:$B,0),MATCH(B$1,Calculation!$1:$1,0))</f>
        <v>254.73029249563788</v>
      </c>
      <c r="C112" s="6">
        <f t="shared" si="1"/>
        <v>1.1420595095491533E-2</v>
      </c>
      <c r="D112" s="4">
        <f>INDEX(Calculation!$A$1:$I$343,MATCH($A112,Calculation!$B:$B,0),MATCH(D$1,Calculation!$1:$1,0))</f>
        <v>4.4400212717631136E-5</v>
      </c>
      <c r="E112" s="4">
        <f>INDEX(Calculation!$A$1:$K$343,MATCH($A112,Calculation!$B:$B,0),MATCH(E$1,Calculation!$1:$1,0))</f>
        <v>312.159552631049</v>
      </c>
      <c r="F112" s="4">
        <f>INDEX(Calculation!$A$1:$K$343,MATCH($A112,Calculation!$B:$B,0),MATCH(F$1,Calculation!$1:$1,0))</f>
        <v>0</v>
      </c>
    </row>
    <row r="113" spans="1:6" ht="16" x14ac:dyDescent="0.2">
      <c r="A113" s="2" t="s">
        <v>448</v>
      </c>
      <c r="B113" s="5">
        <f>INDEX(Calculation!$A$1:$K$343,MATCH($A113,Calculation!$B:$B,0),MATCH(B$1,Calculation!$1:$1,0))</f>
        <v>8.4131240697540406</v>
      </c>
      <c r="C113" s="6">
        <f t="shared" si="1"/>
        <v>3.7719457135409264E-4</v>
      </c>
      <c r="D113" s="4">
        <f>INDEX(Calculation!$A$1:$I$343,MATCH($A113,Calculation!$B:$B,0),MATCH(D$1,Calculation!$1:$1,0))</f>
        <v>2.8061070065552691E-4</v>
      </c>
      <c r="E113" s="4">
        <f>INDEX(Calculation!$A$1:$K$343,MATCH($A113,Calculation!$B:$B,0),MATCH(E$1,Calculation!$1:$1,0))</f>
        <v>38.924963627040476</v>
      </c>
      <c r="F113" s="4">
        <f>INDEX(Calculation!$A$1:$K$343,MATCH($A113,Calculation!$B:$B,0),MATCH(F$1,Calculation!$1:$1,0))</f>
        <v>0</v>
      </c>
    </row>
    <row r="114" spans="1:6" ht="16" x14ac:dyDescent="0.2">
      <c r="A114" s="2" t="s">
        <v>450</v>
      </c>
      <c r="B114" s="5">
        <f>INDEX(Calculation!$A$1:$K$343,MATCH($A114,Calculation!$B:$B,0),MATCH(B$1,Calculation!$1:$1,0))</f>
        <v>10.777038092795975</v>
      </c>
      <c r="C114" s="6">
        <f t="shared" si="1"/>
        <v>4.8317845192526057E-4</v>
      </c>
      <c r="D114" s="4">
        <f>INDEX(Calculation!$A$1:$I$343,MATCH($A114,Calculation!$B:$B,0),MATCH(D$1,Calculation!$1:$1,0))</f>
        <v>0</v>
      </c>
      <c r="E114" s="4">
        <f>INDEX(Calculation!$A$1:$K$343,MATCH($A114,Calculation!$B:$B,0),MATCH(E$1,Calculation!$1:$1,0))</f>
        <v>16.857726296777663</v>
      </c>
      <c r="F114" s="4">
        <f>INDEX(Calculation!$A$1:$K$343,MATCH($A114,Calculation!$B:$B,0),MATCH(F$1,Calculation!$1:$1,0))</f>
        <v>0</v>
      </c>
    </row>
    <row r="115" spans="1:6" ht="16" x14ac:dyDescent="0.2">
      <c r="A115" s="2" t="s">
        <v>452</v>
      </c>
      <c r="B115" s="5">
        <f>INDEX(Calculation!$A$1:$K$343,MATCH($A115,Calculation!$B:$B,0),MATCH(B$1,Calculation!$1:$1,0))</f>
        <v>16.643181453467498</v>
      </c>
      <c r="C115" s="6">
        <f t="shared" si="1"/>
        <v>7.4618151857263498E-4</v>
      </c>
      <c r="D115" s="4">
        <f>INDEX(Calculation!$A$1:$I$343,MATCH($A115,Calculation!$B:$B,0),MATCH(D$1,Calculation!$1:$1,0))</f>
        <v>0</v>
      </c>
      <c r="E115" s="4">
        <f>INDEX(Calculation!$A$1:$K$343,MATCH($A115,Calculation!$B:$B,0),MATCH(E$1,Calculation!$1:$1,0))</f>
        <v>24.961534998076878</v>
      </c>
      <c r="F115" s="4">
        <f>INDEX(Calculation!$A$1:$K$343,MATCH($A115,Calculation!$B:$B,0),MATCH(F$1,Calculation!$1:$1,0))</f>
        <v>361.83092671452499</v>
      </c>
    </row>
    <row r="116" spans="1:6" ht="16" x14ac:dyDescent="0.2">
      <c r="A116" s="2" t="s">
        <v>454</v>
      </c>
      <c r="B116" s="5">
        <f>INDEX(Calculation!$A$1:$K$343,MATCH($A116,Calculation!$B:$B,0),MATCH(B$1,Calculation!$1:$1,0))</f>
        <v>12.485283717108954</v>
      </c>
      <c r="C116" s="6">
        <f t="shared" si="1"/>
        <v>5.5976605133398725E-4</v>
      </c>
      <c r="D116" s="4">
        <f>INDEX(Calculation!$A$1:$I$343,MATCH($A116,Calculation!$B:$B,0),MATCH(D$1,Calculation!$1:$1,0))</f>
        <v>0</v>
      </c>
      <c r="E116" s="4">
        <f>INDEX(Calculation!$A$1:$K$343,MATCH($A116,Calculation!$B:$B,0),MATCH(E$1,Calculation!$1:$1,0))</f>
        <v>23.069233376110265</v>
      </c>
      <c r="F116" s="4">
        <f>INDEX(Calculation!$A$1:$K$343,MATCH($A116,Calculation!$B:$B,0),MATCH(F$1,Calculation!$1:$1,0))</f>
        <v>0</v>
      </c>
    </row>
    <row r="117" spans="1:6" ht="16" x14ac:dyDescent="0.2">
      <c r="A117" s="2" t="s">
        <v>457</v>
      </c>
      <c r="B117" s="5">
        <f>INDEX(Calculation!$A$1:$K$343,MATCH($A117,Calculation!$B:$B,0),MATCH(B$1,Calculation!$1:$1,0))</f>
        <v>6.6699013840182388</v>
      </c>
      <c r="C117" s="6">
        <f t="shared" si="1"/>
        <v>2.9903880801705328E-4</v>
      </c>
      <c r="D117" s="4">
        <f>INDEX(Calculation!$A$1:$I$343,MATCH($A117,Calculation!$B:$B,0),MATCH(D$1,Calculation!$1:$1,0))</f>
        <v>1.6256203105506947E-3</v>
      </c>
      <c r="E117" s="4">
        <f>INDEX(Calculation!$A$1:$K$343,MATCH($A117,Calculation!$B:$B,0),MATCH(E$1,Calculation!$1:$1,0))</f>
        <v>27.271261407577803</v>
      </c>
      <c r="F117" s="4">
        <f>INDEX(Calculation!$A$1:$K$343,MATCH($A117,Calculation!$B:$B,0),MATCH(F$1,Calculation!$1:$1,0))</f>
        <v>3.9718404139393599</v>
      </c>
    </row>
    <row r="118" spans="1:6" ht="16" x14ac:dyDescent="0.2">
      <c r="A118" s="2" t="s">
        <v>459</v>
      </c>
      <c r="B118" s="5">
        <f>INDEX(Calculation!$A$1:$K$343,MATCH($A118,Calculation!$B:$B,0),MATCH(B$1,Calculation!$1:$1,0))</f>
        <v>1.5018102715469872</v>
      </c>
      <c r="C118" s="6">
        <f t="shared" si="1"/>
        <v>6.7332262894810764E-5</v>
      </c>
      <c r="D118" s="4">
        <f>INDEX(Calculation!$A$1:$I$343,MATCH($A118,Calculation!$B:$B,0),MATCH(D$1,Calculation!$1:$1,0))</f>
        <v>1.2403108814267581E-4</v>
      </c>
      <c r="E118" s="4">
        <f>INDEX(Calculation!$A$1:$K$343,MATCH($A118,Calculation!$B:$B,0),MATCH(E$1,Calculation!$1:$1,0))</f>
        <v>9.1717099360630243</v>
      </c>
      <c r="F118" s="4">
        <f>INDEX(Calculation!$A$1:$K$343,MATCH($A118,Calculation!$B:$B,0),MATCH(F$1,Calculation!$1:$1,0))</f>
        <v>0</v>
      </c>
    </row>
    <row r="119" spans="1:6" ht="16" x14ac:dyDescent="0.2">
      <c r="A119" s="2" t="s">
        <v>461</v>
      </c>
      <c r="B119" s="5">
        <f>INDEX(Calculation!$A$1:$K$343,MATCH($A119,Calculation!$B:$B,0),MATCH(B$1,Calculation!$1:$1,0))</f>
        <v>39.613484231427499</v>
      </c>
      <c r="C119" s="6">
        <f t="shared" si="1"/>
        <v>1.7760336208796973E-3</v>
      </c>
      <c r="D119" s="4">
        <f>INDEX(Calculation!$A$1:$I$343,MATCH($A119,Calculation!$B:$B,0),MATCH(D$1,Calculation!$1:$1,0))</f>
        <v>3.7948282222082869E-4</v>
      </c>
      <c r="E119" s="4">
        <f>INDEX(Calculation!$A$1:$K$343,MATCH($A119,Calculation!$B:$B,0),MATCH(E$1,Calculation!$1:$1,0))</f>
        <v>78.545222122870285</v>
      </c>
      <c r="F119" s="4">
        <f>INDEX(Calculation!$A$1:$K$343,MATCH($A119,Calculation!$B:$B,0),MATCH(F$1,Calculation!$1:$1,0))</f>
        <v>0</v>
      </c>
    </row>
    <row r="120" spans="1:6" ht="16" x14ac:dyDescent="0.2">
      <c r="A120" s="2" t="s">
        <v>464</v>
      </c>
      <c r="B120" s="5">
        <f>INDEX(Calculation!$A$1:$K$343,MATCH($A120,Calculation!$B:$B,0),MATCH(B$1,Calculation!$1:$1,0))</f>
        <v>146.15501373964958</v>
      </c>
      <c r="C120" s="6">
        <f t="shared" si="1"/>
        <v>6.5527237327893516E-3</v>
      </c>
      <c r="D120" s="4">
        <f>INDEX(Calculation!$A$1:$I$343,MATCH($A120,Calculation!$B:$B,0),MATCH(D$1,Calculation!$1:$1,0))</f>
        <v>0</v>
      </c>
      <c r="E120" s="4">
        <f>INDEX(Calculation!$A$1:$K$343,MATCH($A120,Calculation!$B:$B,0),MATCH(E$1,Calculation!$1:$1,0))</f>
        <v>189.96621279943272</v>
      </c>
      <c r="F120" s="4">
        <f>INDEX(Calculation!$A$1:$K$343,MATCH($A120,Calculation!$B:$B,0),MATCH(F$1,Calculation!$1:$1,0))</f>
        <v>0</v>
      </c>
    </row>
    <row r="121" spans="1:6" ht="16" x14ac:dyDescent="0.2">
      <c r="A121" s="2" t="s">
        <v>466</v>
      </c>
      <c r="B121" s="5">
        <f>INDEX(Calculation!$A$1:$K$343,MATCH($A121,Calculation!$B:$B,0),MATCH(B$1,Calculation!$1:$1,0))</f>
        <v>7.8080097987348935</v>
      </c>
      <c r="C121" s="6">
        <f t="shared" si="1"/>
        <v>3.5006483735933598E-4</v>
      </c>
      <c r="D121" s="4">
        <f>INDEX(Calculation!$A$1:$I$343,MATCH($A121,Calculation!$B:$B,0),MATCH(D$1,Calculation!$1:$1,0))</f>
        <v>0</v>
      </c>
      <c r="E121" s="4">
        <f>INDEX(Calculation!$A$1:$K$343,MATCH($A121,Calculation!$B:$B,0),MATCH(E$1,Calculation!$1:$1,0))</f>
        <v>44.906352551259531</v>
      </c>
      <c r="F121" s="4">
        <f>INDEX(Calculation!$A$1:$K$343,MATCH($A121,Calculation!$B:$B,0),MATCH(F$1,Calculation!$1:$1,0))</f>
        <v>0</v>
      </c>
    </row>
    <row r="122" spans="1:6" ht="16" x14ac:dyDescent="0.2">
      <c r="A122" s="2" t="s">
        <v>468</v>
      </c>
      <c r="B122" s="5">
        <f>INDEX(Calculation!$A$1:$K$343,MATCH($A122,Calculation!$B:$B,0),MATCH(B$1,Calculation!$1:$1,0))</f>
        <v>44.360953184083982</v>
      </c>
      <c r="C122" s="6">
        <f t="shared" si="1"/>
        <v>1.9888819637505608E-3</v>
      </c>
      <c r="D122" s="4">
        <f>INDEX(Calculation!$A$1:$I$343,MATCH($A122,Calculation!$B:$B,0),MATCH(D$1,Calculation!$1:$1,0))</f>
        <v>0</v>
      </c>
      <c r="E122" s="4">
        <f>INDEX(Calculation!$A$1:$K$343,MATCH($A122,Calculation!$B:$B,0),MATCH(E$1,Calculation!$1:$1,0))</f>
        <v>103.9230460680202</v>
      </c>
      <c r="F122" s="4">
        <f>INDEX(Calculation!$A$1:$K$343,MATCH($A122,Calculation!$B:$B,0),MATCH(F$1,Calculation!$1:$1,0))</f>
        <v>0</v>
      </c>
    </row>
    <row r="123" spans="1:6" ht="16" x14ac:dyDescent="0.2">
      <c r="A123" s="2" t="s">
        <v>471</v>
      </c>
      <c r="B123" s="5">
        <f>INDEX(Calculation!$A$1:$K$343,MATCH($A123,Calculation!$B:$B,0),MATCH(B$1,Calculation!$1:$1,0))</f>
        <v>9.5512160500175654</v>
      </c>
      <c r="C123" s="6">
        <f t="shared" si="1"/>
        <v>4.2821986387299644E-4</v>
      </c>
      <c r="D123" s="4">
        <f>INDEX(Calculation!$A$1:$I$343,MATCH($A123,Calculation!$B:$B,0),MATCH(D$1,Calculation!$1:$1,0))</f>
        <v>3.0222916374783636E-4</v>
      </c>
      <c r="E123" s="4">
        <f>INDEX(Calculation!$A$1:$K$343,MATCH($A123,Calculation!$B:$B,0),MATCH(E$1,Calculation!$1:$1,0))</f>
        <v>18.705400839253159</v>
      </c>
      <c r="F123" s="4">
        <f>INDEX(Calculation!$A$1:$K$343,MATCH($A123,Calculation!$B:$B,0),MATCH(F$1,Calculation!$1:$1,0))</f>
        <v>0</v>
      </c>
    </row>
    <row r="124" spans="1:6" ht="16" x14ac:dyDescent="0.2">
      <c r="A124" s="2" t="s">
        <v>473</v>
      </c>
      <c r="B124" s="5">
        <f>INDEX(Calculation!$A$1:$K$343,MATCH($A124,Calculation!$B:$B,0),MATCH(B$1,Calculation!$1:$1,0))</f>
        <v>17.20185698426717</v>
      </c>
      <c r="C124" s="6">
        <f t="shared" si="1"/>
        <v>7.7122921495971128E-4</v>
      </c>
      <c r="D124" s="4">
        <f>INDEX(Calculation!$A$1:$I$343,MATCH($A124,Calculation!$B:$B,0),MATCH(D$1,Calculation!$1:$1,0))</f>
        <v>0</v>
      </c>
      <c r="E124" s="4">
        <f>INDEX(Calculation!$A$1:$K$343,MATCH($A124,Calculation!$B:$B,0),MATCH(E$1,Calculation!$1:$1,0))</f>
        <v>45.10239665611639</v>
      </c>
      <c r="F124" s="4">
        <f>INDEX(Calculation!$A$1:$K$343,MATCH($A124,Calculation!$B:$B,0),MATCH(F$1,Calculation!$1:$1,0))</f>
        <v>131.45155982945974</v>
      </c>
    </row>
    <row r="125" spans="1:6" ht="16" x14ac:dyDescent="0.2">
      <c r="A125" s="2" t="s">
        <v>475</v>
      </c>
      <c r="B125" s="5">
        <f>INDEX(Calculation!$A$1:$K$343,MATCH($A125,Calculation!$B:$B,0),MATCH(B$1,Calculation!$1:$1,0))</f>
        <v>81.584624491643751</v>
      </c>
      <c r="C125" s="6">
        <f t="shared" si="1"/>
        <v>3.6577705509946005E-3</v>
      </c>
      <c r="D125" s="4">
        <f>INDEX(Calculation!$A$1:$I$343,MATCH($A125,Calculation!$B:$B,0),MATCH(D$1,Calculation!$1:$1,0))</f>
        <v>0</v>
      </c>
      <c r="E125" s="4">
        <f>INDEX(Calculation!$A$1:$K$343,MATCH($A125,Calculation!$B:$B,0),MATCH(E$1,Calculation!$1:$1,0))</f>
        <v>137.93113188372433</v>
      </c>
      <c r="F125" s="4">
        <f>INDEX(Calculation!$A$1:$K$343,MATCH($A125,Calculation!$B:$B,0),MATCH(F$1,Calculation!$1:$1,0))</f>
        <v>0</v>
      </c>
    </row>
    <row r="126" spans="1:6" ht="16" x14ac:dyDescent="0.2">
      <c r="A126" s="2" t="s">
        <v>478</v>
      </c>
      <c r="B126" s="5">
        <f>INDEX(Calculation!$A$1:$K$343,MATCH($A126,Calculation!$B:$B,0),MATCH(B$1,Calculation!$1:$1,0))</f>
        <v>14.93424421215655</v>
      </c>
      <c r="C126" s="6">
        <f t="shared" si="1"/>
        <v>6.6956291116082567E-4</v>
      </c>
      <c r="D126" s="4">
        <f>INDEX(Calculation!$A$1:$I$343,MATCH($A126,Calculation!$B:$B,0),MATCH(D$1,Calculation!$1:$1,0))</f>
        <v>1.9965504122548424E-3</v>
      </c>
      <c r="E126" s="4">
        <f>INDEX(Calculation!$A$1:$K$343,MATCH($A126,Calculation!$B:$B,0),MATCH(E$1,Calculation!$1:$1,0))</f>
        <v>53.166478627600107</v>
      </c>
      <c r="F126" s="4">
        <f>INDEX(Calculation!$A$1:$K$343,MATCH($A126,Calculation!$B:$B,0),MATCH(F$1,Calculation!$1:$1,0))</f>
        <v>0</v>
      </c>
    </row>
    <row r="127" spans="1:6" ht="16" x14ac:dyDescent="0.2">
      <c r="A127" s="2" t="s">
        <v>480</v>
      </c>
      <c r="B127" s="5">
        <f>INDEX(Calculation!$A$1:$K$343,MATCH($A127,Calculation!$B:$B,0),MATCH(B$1,Calculation!$1:$1,0))</f>
        <v>2.3477819112961953</v>
      </c>
      <c r="C127" s="6">
        <f t="shared" si="1"/>
        <v>1.0526061238630355E-4</v>
      </c>
      <c r="D127" s="4">
        <f>INDEX(Calculation!$A$1:$I$343,MATCH($A127,Calculation!$B:$B,0),MATCH(D$1,Calculation!$1:$1,0))</f>
        <v>1.7901130134020716E-3</v>
      </c>
      <c r="E127" s="4">
        <f>INDEX(Calculation!$A$1:$K$343,MATCH($A127,Calculation!$B:$B,0),MATCH(E$1,Calculation!$1:$1,0))</f>
        <v>10.186659609621266</v>
      </c>
      <c r="F127" s="4">
        <f>INDEX(Calculation!$A$1:$K$343,MATCH($A127,Calculation!$B:$B,0),MATCH(F$1,Calculation!$1:$1,0))</f>
        <v>0</v>
      </c>
    </row>
    <row r="128" spans="1:6" ht="16" x14ac:dyDescent="0.2">
      <c r="A128" s="2" t="s">
        <v>483</v>
      </c>
      <c r="B128" s="5">
        <f>INDEX(Calculation!$A$1:$K$343,MATCH($A128,Calculation!$B:$B,0),MATCH(B$1,Calculation!$1:$1,0))</f>
        <v>25.266086644476403</v>
      </c>
      <c r="C128" s="6">
        <f t="shared" si="1"/>
        <v>1.1327814308504853E-3</v>
      </c>
      <c r="D128" s="4">
        <f>INDEX(Calculation!$A$1:$I$343,MATCH($A128,Calculation!$B:$B,0),MATCH(D$1,Calculation!$1:$1,0))</f>
        <v>7.5085423906853118E-5</v>
      </c>
      <c r="E128" s="4">
        <f>INDEX(Calculation!$A$1:$K$343,MATCH($A128,Calculation!$B:$B,0),MATCH(E$1,Calculation!$1:$1,0))</f>
        <v>60.841271004611514</v>
      </c>
      <c r="F128" s="4">
        <f>INDEX(Calculation!$A$1:$K$343,MATCH($A128,Calculation!$B:$B,0),MATCH(F$1,Calculation!$1:$1,0))</f>
        <v>0</v>
      </c>
    </row>
    <row r="129" spans="1:6" ht="16" x14ac:dyDescent="0.2">
      <c r="A129" s="2" t="s">
        <v>485</v>
      </c>
      <c r="B129" s="5">
        <f>INDEX(Calculation!$A$1:$K$343,MATCH($A129,Calculation!$B:$B,0),MATCH(B$1,Calculation!$1:$1,0))</f>
        <v>54.350588042539755</v>
      </c>
      <c r="C129" s="6">
        <f t="shared" si="1"/>
        <v>2.4367579260183188E-3</v>
      </c>
      <c r="D129" s="4">
        <f>INDEX(Calculation!$A$1:$I$343,MATCH($A129,Calculation!$B:$B,0),MATCH(D$1,Calculation!$1:$1,0))</f>
        <v>2.0593934024335262E-4</v>
      </c>
      <c r="E129" s="4">
        <f>INDEX(Calculation!$A$1:$K$343,MATCH($A129,Calculation!$B:$B,0),MATCH(E$1,Calculation!$1:$1,0))</f>
        <v>109.48325302416399</v>
      </c>
      <c r="F129" s="4">
        <f>INDEX(Calculation!$A$1:$K$343,MATCH($A129,Calculation!$B:$B,0),MATCH(F$1,Calculation!$1:$1,0))</f>
        <v>0</v>
      </c>
    </row>
    <row r="130" spans="1:6" ht="16" x14ac:dyDescent="0.2">
      <c r="A130" s="2" t="s">
        <v>487</v>
      </c>
      <c r="B130" s="5">
        <f>INDEX(Calculation!$A$1:$K$343,MATCH($A130,Calculation!$B:$B,0),MATCH(B$1,Calculation!$1:$1,0))</f>
        <v>23.253884326115948</v>
      </c>
      <c r="C130" s="6">
        <f t="shared" si="1"/>
        <v>1.0425662165426009E-3</v>
      </c>
      <c r="D130" s="4">
        <f>INDEX(Calculation!$A$1:$I$343,MATCH($A130,Calculation!$B:$B,0),MATCH(D$1,Calculation!$1:$1,0))</f>
        <v>0</v>
      </c>
      <c r="E130" s="4">
        <f>INDEX(Calculation!$A$1:$K$343,MATCH($A130,Calculation!$B:$B,0),MATCH(E$1,Calculation!$1:$1,0))</f>
        <v>39.728603710473436</v>
      </c>
      <c r="F130" s="4">
        <f>INDEX(Calculation!$A$1:$K$343,MATCH($A130,Calculation!$B:$B,0),MATCH(F$1,Calculation!$1:$1,0))</f>
        <v>0</v>
      </c>
    </row>
    <row r="131" spans="1:6" ht="16" x14ac:dyDescent="0.2">
      <c r="A131" s="2" t="s">
        <v>490</v>
      </c>
      <c r="B131" s="5">
        <f>INDEX(Calculation!$A$1:$K$343,MATCH($A131,Calculation!$B:$B,0),MATCH(B$1,Calculation!$1:$1,0))</f>
        <v>46.082515523278644</v>
      </c>
      <c r="C131" s="6">
        <f t="shared" ref="C131:C194" si="2">B131/SUM($B$2:$B$343)</f>
        <v>2.0660666056514696E-3</v>
      </c>
      <c r="D131" s="4">
        <f>INDEX(Calculation!$A$1:$I$343,MATCH($A131,Calculation!$B:$B,0),MATCH(D$1,Calculation!$1:$1,0))</f>
        <v>6.6810350378554246E-3</v>
      </c>
      <c r="E131" s="4">
        <f>INDEX(Calculation!$A$1:$K$343,MATCH($A131,Calculation!$B:$B,0),MATCH(E$1,Calculation!$1:$1,0))</f>
        <v>78.856163840336592</v>
      </c>
      <c r="F131" s="4">
        <f>INDEX(Calculation!$A$1:$K$343,MATCH($A131,Calculation!$B:$B,0),MATCH(F$1,Calculation!$1:$1,0))</f>
        <v>0</v>
      </c>
    </row>
    <row r="132" spans="1:6" ht="16" x14ac:dyDescent="0.2">
      <c r="A132" s="2" t="s">
        <v>493</v>
      </c>
      <c r="B132" s="5">
        <f>INDEX(Calculation!$A$1:$K$343,MATCH($A132,Calculation!$B:$B,0),MATCH(B$1,Calculation!$1:$1,0))</f>
        <v>7.4634289259606099</v>
      </c>
      <c r="C132" s="6">
        <f t="shared" si="2"/>
        <v>3.3461587529419972E-4</v>
      </c>
      <c r="D132" s="4">
        <f>INDEX(Calculation!$A$1:$I$343,MATCH($A132,Calculation!$B:$B,0),MATCH(D$1,Calculation!$1:$1,0))</f>
        <v>7.1124982662144887E-4</v>
      </c>
      <c r="E132" s="4">
        <f>INDEX(Calculation!$A$1:$K$343,MATCH($A132,Calculation!$B:$B,0),MATCH(E$1,Calculation!$1:$1,0))</f>
        <v>12.855136969305642</v>
      </c>
      <c r="F132" s="4">
        <f>INDEX(Calculation!$A$1:$K$343,MATCH($A132,Calculation!$B:$B,0),MATCH(F$1,Calculation!$1:$1,0))</f>
        <v>0</v>
      </c>
    </row>
    <row r="133" spans="1:6" ht="16" x14ac:dyDescent="0.2">
      <c r="A133" s="2" t="s">
        <v>495</v>
      </c>
      <c r="B133" s="5">
        <f>INDEX(Calculation!$A$1:$K$343,MATCH($A133,Calculation!$B:$B,0),MATCH(B$1,Calculation!$1:$1,0))</f>
        <v>56.579512307153273</v>
      </c>
      <c r="C133" s="6">
        <f t="shared" si="2"/>
        <v>2.5366896666655491E-3</v>
      </c>
      <c r="D133" s="4">
        <f>INDEX(Calculation!$A$1:$I$343,MATCH($A133,Calculation!$B:$B,0),MATCH(D$1,Calculation!$1:$1,0))</f>
        <v>1.359943342107794E-4</v>
      </c>
      <c r="E133" s="4">
        <f>INDEX(Calculation!$A$1:$K$343,MATCH($A133,Calculation!$B:$B,0),MATCH(E$1,Calculation!$1:$1,0))</f>
        <v>94.866811394775596</v>
      </c>
      <c r="F133" s="4">
        <f>INDEX(Calculation!$A$1:$K$343,MATCH($A133,Calculation!$B:$B,0),MATCH(F$1,Calculation!$1:$1,0))</f>
        <v>0</v>
      </c>
    </row>
    <row r="134" spans="1:6" ht="16" x14ac:dyDescent="0.2">
      <c r="A134" s="2" t="s">
        <v>498</v>
      </c>
      <c r="B134" s="5">
        <f>INDEX(Calculation!$A$1:$K$343,MATCH($A134,Calculation!$B:$B,0),MATCH(B$1,Calculation!$1:$1,0))</f>
        <v>5.7028829498417943</v>
      </c>
      <c r="C134" s="6">
        <f t="shared" si="2"/>
        <v>2.5568343838902006E-4</v>
      </c>
      <c r="D134" s="4">
        <f>INDEX(Calculation!$A$1:$I$343,MATCH($A134,Calculation!$B:$B,0),MATCH(D$1,Calculation!$1:$1,0))</f>
        <v>0</v>
      </c>
      <c r="E134" s="4">
        <f>INDEX(Calculation!$A$1:$K$343,MATCH($A134,Calculation!$B:$B,0),MATCH(E$1,Calculation!$1:$1,0))</f>
        <v>45.609861533720768</v>
      </c>
      <c r="F134" s="4">
        <f>INDEX(Calculation!$A$1:$K$343,MATCH($A134,Calculation!$B:$B,0),MATCH(F$1,Calculation!$1:$1,0))</f>
        <v>0</v>
      </c>
    </row>
    <row r="135" spans="1:6" ht="16" x14ac:dyDescent="0.2">
      <c r="A135" s="2" t="s">
        <v>500</v>
      </c>
      <c r="B135" s="5">
        <f>INDEX(Calculation!$A$1:$K$343,MATCH($A135,Calculation!$B:$B,0),MATCH(B$1,Calculation!$1:$1,0))</f>
        <v>213.97384359388656</v>
      </c>
      <c r="C135" s="6">
        <f t="shared" si="2"/>
        <v>9.5933177195784858E-3</v>
      </c>
      <c r="D135" s="4">
        <f>INDEX(Calculation!$A$1:$I$343,MATCH($A135,Calculation!$B:$B,0),MATCH(D$1,Calculation!$1:$1,0))</f>
        <v>5.0332208207168033E-3</v>
      </c>
      <c r="E135" s="4">
        <f>INDEX(Calculation!$A$1:$K$343,MATCH($A135,Calculation!$B:$B,0),MATCH(E$1,Calculation!$1:$1,0))</f>
        <v>268.54000919820652</v>
      </c>
      <c r="F135" s="4">
        <f>INDEX(Calculation!$A$1:$K$343,MATCH($A135,Calculation!$B:$B,0),MATCH(F$1,Calculation!$1:$1,0))</f>
        <v>0</v>
      </c>
    </row>
    <row r="136" spans="1:6" ht="16" x14ac:dyDescent="0.2">
      <c r="A136" s="2" t="s">
        <v>503</v>
      </c>
      <c r="B136" s="5">
        <f>INDEX(Calculation!$A$1:$K$343,MATCH($A136,Calculation!$B:$B,0),MATCH(B$1,Calculation!$1:$1,0))</f>
        <v>156.85794790346876</v>
      </c>
      <c r="C136" s="6">
        <f t="shared" si="2"/>
        <v>7.0325798041703212E-3</v>
      </c>
      <c r="D136" s="4">
        <f>INDEX(Calculation!$A$1:$I$343,MATCH($A136,Calculation!$B:$B,0),MATCH(D$1,Calculation!$1:$1,0))</f>
        <v>0</v>
      </c>
      <c r="E136" s="4">
        <f>INDEX(Calculation!$A$1:$K$343,MATCH($A136,Calculation!$B:$B,0),MATCH(E$1,Calculation!$1:$1,0))</f>
        <v>212.43296672545057</v>
      </c>
      <c r="F136" s="4">
        <f>INDEX(Calculation!$A$1:$K$343,MATCH($A136,Calculation!$B:$B,0),MATCH(F$1,Calculation!$1:$1,0))</f>
        <v>0</v>
      </c>
    </row>
    <row r="137" spans="1:6" ht="16" x14ac:dyDescent="0.2">
      <c r="A137" s="2" t="s">
        <v>506</v>
      </c>
      <c r="B137" s="5">
        <f>INDEX(Calculation!$A$1:$K$343,MATCH($A137,Calculation!$B:$B,0),MATCH(B$1,Calculation!$1:$1,0))</f>
        <v>385.2723773471227</v>
      </c>
      <c r="C137" s="6">
        <f t="shared" si="2"/>
        <v>1.7273327722631421E-2</v>
      </c>
      <c r="D137" s="4">
        <f>INDEX(Calculation!$A$1:$I$343,MATCH($A137,Calculation!$B:$B,0),MATCH(D$1,Calculation!$1:$1,0))</f>
        <v>5.85775335416607E-4</v>
      </c>
      <c r="E137" s="4">
        <f>INDEX(Calculation!$A$1:$K$343,MATCH($A137,Calculation!$B:$B,0),MATCH(E$1,Calculation!$1:$1,0))</f>
        <v>476.74325988701298</v>
      </c>
      <c r="F137" s="4">
        <f>INDEX(Calculation!$A$1:$K$343,MATCH($A137,Calculation!$B:$B,0),MATCH(F$1,Calculation!$1:$1,0))</f>
        <v>408.51588145626062</v>
      </c>
    </row>
    <row r="138" spans="1:6" ht="16" x14ac:dyDescent="0.2">
      <c r="A138" s="2" t="s">
        <v>509</v>
      </c>
      <c r="B138" s="5">
        <f>INDEX(Calculation!$A$1:$K$343,MATCH($A138,Calculation!$B:$B,0),MATCH(B$1,Calculation!$1:$1,0))</f>
        <v>316.63735138222785</v>
      </c>
      <c r="C138" s="6">
        <f t="shared" si="2"/>
        <v>1.4196140344428121E-2</v>
      </c>
      <c r="D138" s="4">
        <f>INDEX(Calculation!$A$1:$I$343,MATCH($A138,Calculation!$B:$B,0),MATCH(D$1,Calculation!$1:$1,0))</f>
        <v>2.704745803167324E-2</v>
      </c>
      <c r="E138" s="4">
        <f>INDEX(Calculation!$A$1:$K$343,MATCH($A138,Calculation!$B:$B,0),MATCH(E$1,Calculation!$1:$1,0))</f>
        <v>357.63239796268215</v>
      </c>
      <c r="F138" s="4">
        <f>INDEX(Calculation!$A$1:$K$343,MATCH($A138,Calculation!$B:$B,0),MATCH(F$1,Calculation!$1:$1,0))</f>
        <v>178.48801292899211</v>
      </c>
    </row>
    <row r="139" spans="1:6" ht="16" x14ac:dyDescent="0.2">
      <c r="A139" s="2" t="s">
        <v>512</v>
      </c>
      <c r="B139" s="5">
        <f>INDEX(Calculation!$A$1:$K$343,MATCH($A139,Calculation!$B:$B,0),MATCH(B$1,Calculation!$1:$1,0))</f>
        <v>87.706570186718039</v>
      </c>
      <c r="C139" s="6">
        <f t="shared" si="2"/>
        <v>3.9322422767365563E-3</v>
      </c>
      <c r="D139" s="4">
        <f>INDEX(Calculation!$A$1:$I$343,MATCH($A139,Calculation!$B:$B,0),MATCH(D$1,Calculation!$1:$1,0))</f>
        <v>0</v>
      </c>
      <c r="E139" s="4">
        <f>INDEX(Calculation!$A$1:$K$343,MATCH($A139,Calculation!$B:$B,0),MATCH(E$1,Calculation!$1:$1,0))</f>
        <v>127.54361879986234</v>
      </c>
      <c r="F139" s="4">
        <f>INDEX(Calculation!$A$1:$K$343,MATCH($A139,Calculation!$B:$B,0),MATCH(F$1,Calculation!$1:$1,0))</f>
        <v>0</v>
      </c>
    </row>
    <row r="140" spans="1:6" ht="16" x14ac:dyDescent="0.2">
      <c r="A140" s="2" t="s">
        <v>514</v>
      </c>
      <c r="B140" s="5">
        <f>INDEX(Calculation!$A$1:$K$343,MATCH($A140,Calculation!$B:$B,0),MATCH(B$1,Calculation!$1:$1,0))</f>
        <v>2.3357524402259489</v>
      </c>
      <c r="C140" s="6">
        <f t="shared" si="2"/>
        <v>1.047212822698881E-4</v>
      </c>
      <c r="D140" s="4">
        <f>INDEX(Calculation!$A$1:$I$343,MATCH($A140,Calculation!$B:$B,0),MATCH(D$1,Calculation!$1:$1,0))</f>
        <v>7.5595561383202278E-5</v>
      </c>
      <c r="E140" s="4">
        <f>INDEX(Calculation!$A$1:$K$343,MATCH($A140,Calculation!$B:$B,0),MATCH(E$1,Calculation!$1:$1,0))</f>
        <v>20.374904995172518</v>
      </c>
      <c r="F140" s="4">
        <f>INDEX(Calculation!$A$1:$K$343,MATCH($A140,Calculation!$B:$B,0),MATCH(F$1,Calculation!$1:$1,0))</f>
        <v>0</v>
      </c>
    </row>
    <row r="141" spans="1:6" ht="16" x14ac:dyDescent="0.2">
      <c r="A141" s="2" t="s">
        <v>516</v>
      </c>
      <c r="B141" s="5">
        <f>INDEX(Calculation!$A$1:$K$343,MATCH($A141,Calculation!$B:$B,0),MATCH(B$1,Calculation!$1:$1,0))</f>
        <v>130.84153334230703</v>
      </c>
      <c r="C141" s="6">
        <f t="shared" si="2"/>
        <v>5.8661581209519184E-3</v>
      </c>
      <c r="D141" s="4">
        <f>INDEX(Calculation!$A$1:$I$343,MATCH($A141,Calculation!$B:$B,0),MATCH(D$1,Calculation!$1:$1,0))</f>
        <v>2.441188433909542E-2</v>
      </c>
      <c r="E141" s="4">
        <f>INDEX(Calculation!$A$1:$K$343,MATCH($A141,Calculation!$B:$B,0),MATCH(E$1,Calculation!$1:$1,0))</f>
        <v>188.67493216300332</v>
      </c>
      <c r="F141" s="4">
        <f>INDEX(Calculation!$A$1:$K$343,MATCH($A141,Calculation!$B:$B,0),MATCH(F$1,Calculation!$1:$1,0))</f>
        <v>0</v>
      </c>
    </row>
    <row r="142" spans="1:6" ht="16" x14ac:dyDescent="0.2">
      <c r="A142" s="2" t="s">
        <v>519</v>
      </c>
      <c r="B142" s="5">
        <f>INDEX(Calculation!$A$1:$K$343,MATCH($A142,Calculation!$B:$B,0),MATCH(B$1,Calculation!$1:$1,0))</f>
        <v>38.758069212991387</v>
      </c>
      <c r="C142" s="6">
        <f t="shared" si="2"/>
        <v>1.7376818863119345E-3</v>
      </c>
      <c r="D142" s="4">
        <f>INDEX(Calculation!$A$1:$I$343,MATCH($A142,Calculation!$B:$B,0),MATCH(D$1,Calculation!$1:$1,0))</f>
        <v>2.0470098856857342E-3</v>
      </c>
      <c r="E142" s="4">
        <f>INDEX(Calculation!$A$1:$K$343,MATCH($A142,Calculation!$B:$B,0),MATCH(E$1,Calculation!$1:$1,0))</f>
        <v>54.901557039245539</v>
      </c>
      <c r="F142" s="4">
        <f>INDEX(Calculation!$A$1:$K$343,MATCH($A142,Calculation!$B:$B,0),MATCH(F$1,Calculation!$1:$1,0))</f>
        <v>0</v>
      </c>
    </row>
    <row r="143" spans="1:6" ht="16" x14ac:dyDescent="0.2">
      <c r="A143" s="2" t="s">
        <v>521</v>
      </c>
      <c r="B143" s="5">
        <f>INDEX(Calculation!$A$1:$K$343,MATCH($A143,Calculation!$B:$B,0),MATCH(B$1,Calculation!$1:$1,0))</f>
        <v>1.0885681727547294</v>
      </c>
      <c r="C143" s="6">
        <f t="shared" si="2"/>
        <v>4.8804938796526272E-5</v>
      </c>
      <c r="D143" s="4">
        <f>INDEX(Calculation!$A$1:$I$343,MATCH($A143,Calculation!$B:$B,0),MATCH(D$1,Calculation!$1:$1,0))</f>
        <v>0</v>
      </c>
      <c r="E143" s="4">
        <f>INDEX(Calculation!$A$1:$K$343,MATCH($A143,Calculation!$B:$B,0),MATCH(E$1,Calculation!$1:$1,0))</f>
        <v>15.81048946783582</v>
      </c>
      <c r="F143" s="4">
        <f>INDEX(Calculation!$A$1:$K$343,MATCH($A143,Calculation!$B:$B,0),MATCH(F$1,Calculation!$1:$1,0))</f>
        <v>0</v>
      </c>
    </row>
    <row r="144" spans="1:6" ht="16" x14ac:dyDescent="0.2">
      <c r="A144" s="2" t="s">
        <v>524</v>
      </c>
      <c r="B144" s="5">
        <f>INDEX(Calculation!$A$1:$K$343,MATCH($A144,Calculation!$B:$B,0),MATCH(B$1,Calculation!$1:$1,0))</f>
        <v>154.1930040090414</v>
      </c>
      <c r="C144" s="6">
        <f t="shared" si="2"/>
        <v>6.9130995300644123E-3</v>
      </c>
      <c r="D144" s="4">
        <f>INDEX(Calculation!$A$1:$I$343,MATCH($A144,Calculation!$B:$B,0),MATCH(D$1,Calculation!$1:$1,0))</f>
        <v>0</v>
      </c>
      <c r="E144" s="4">
        <f>INDEX(Calculation!$A$1:$K$343,MATCH($A144,Calculation!$B:$B,0),MATCH(E$1,Calculation!$1:$1,0))</f>
        <v>201.26175456169352</v>
      </c>
      <c r="F144" s="4">
        <f>INDEX(Calculation!$A$1:$K$343,MATCH($A144,Calculation!$B:$B,0),MATCH(F$1,Calculation!$1:$1,0))</f>
        <v>47.28585368325237</v>
      </c>
    </row>
    <row r="145" spans="1:6" ht="16" x14ac:dyDescent="0.2">
      <c r="A145" s="2" t="s">
        <v>527</v>
      </c>
      <c r="B145" s="5">
        <f>INDEX(Calculation!$A$1:$K$343,MATCH($A145,Calculation!$B:$B,0),MATCH(B$1,Calculation!$1:$1,0))</f>
        <v>13.126999965480509</v>
      </c>
      <c r="C145" s="6">
        <f t="shared" si="2"/>
        <v>5.8853680084731779E-4</v>
      </c>
      <c r="D145" s="4">
        <f>INDEX(Calculation!$A$1:$I$343,MATCH($A145,Calculation!$B:$B,0),MATCH(D$1,Calculation!$1:$1,0))</f>
        <v>0</v>
      </c>
      <c r="E145" s="4">
        <f>INDEX(Calculation!$A$1:$K$343,MATCH($A145,Calculation!$B:$B,0),MATCH(E$1,Calculation!$1:$1,0))</f>
        <v>21.011514657808466</v>
      </c>
      <c r="F145" s="4">
        <f>INDEX(Calculation!$A$1:$K$343,MATCH($A145,Calculation!$B:$B,0),MATCH(F$1,Calculation!$1:$1,0))</f>
        <v>0</v>
      </c>
    </row>
    <row r="146" spans="1:6" ht="16" x14ac:dyDescent="0.2">
      <c r="A146" s="2" t="s">
        <v>530</v>
      </c>
      <c r="B146" s="5">
        <f>INDEX(Calculation!$A$1:$K$343,MATCH($A146,Calculation!$B:$B,0),MATCH(B$1,Calculation!$1:$1,0))</f>
        <v>53.803730457071673</v>
      </c>
      <c r="C146" s="6">
        <f t="shared" si="2"/>
        <v>2.4122400761884401E-3</v>
      </c>
      <c r="D146" s="4">
        <f>INDEX(Calculation!$A$1:$I$343,MATCH($A146,Calculation!$B:$B,0),MATCH(D$1,Calculation!$1:$1,0))</f>
        <v>1.039177422750176E-2</v>
      </c>
      <c r="E146" s="4">
        <f>INDEX(Calculation!$A$1:$K$343,MATCH($A146,Calculation!$B:$B,0),MATCH(E$1,Calculation!$1:$1,0))</f>
        <v>63.134650204362835</v>
      </c>
      <c r="F146" s="4">
        <f>INDEX(Calculation!$A$1:$K$343,MATCH($A146,Calculation!$B:$B,0),MATCH(F$1,Calculation!$1:$1,0))</f>
        <v>0</v>
      </c>
    </row>
    <row r="147" spans="1:6" ht="16" x14ac:dyDescent="0.2">
      <c r="A147" s="2" t="s">
        <v>533</v>
      </c>
      <c r="B147" s="5">
        <f>INDEX(Calculation!$A$1:$K$343,MATCH($A147,Calculation!$B:$B,0),MATCH(B$1,Calculation!$1:$1,0))</f>
        <v>112.6527669652222</v>
      </c>
      <c r="C147" s="6">
        <f t="shared" si="2"/>
        <v>5.0506817437843557E-3</v>
      </c>
      <c r="D147" s="4">
        <f>INDEX(Calculation!$A$1:$I$343,MATCH($A147,Calculation!$B:$B,0),MATCH(D$1,Calculation!$1:$1,0))</f>
        <v>8.0714793975219853E-3</v>
      </c>
      <c r="E147" s="4">
        <f>INDEX(Calculation!$A$1:$K$343,MATCH($A147,Calculation!$B:$B,0),MATCH(E$1,Calculation!$1:$1,0))</f>
        <v>141.2331602236732</v>
      </c>
      <c r="F147" s="4">
        <f>INDEX(Calculation!$A$1:$K$343,MATCH($A147,Calculation!$B:$B,0),MATCH(F$1,Calculation!$1:$1,0))</f>
        <v>0</v>
      </c>
    </row>
    <row r="148" spans="1:6" ht="16" x14ac:dyDescent="0.2">
      <c r="A148" s="2" t="s">
        <v>535</v>
      </c>
      <c r="B148" s="5">
        <f>INDEX(Calculation!$A$1:$K$343,MATCH($A148,Calculation!$B:$B,0),MATCH(B$1,Calculation!$1:$1,0))</f>
        <v>27.763022170847037</v>
      </c>
      <c r="C148" s="6">
        <f t="shared" si="2"/>
        <v>1.2447292064638447E-3</v>
      </c>
      <c r="D148" s="4">
        <f>INDEX(Calculation!$A$1:$I$343,MATCH($A148,Calculation!$B:$B,0),MATCH(D$1,Calculation!$1:$1,0))</f>
        <v>5.6220187966384639E-3</v>
      </c>
      <c r="E148" s="4">
        <f>INDEX(Calculation!$A$1:$K$343,MATCH($A148,Calculation!$B:$B,0),MATCH(E$1,Calculation!$1:$1,0))</f>
        <v>37.13450101268775</v>
      </c>
      <c r="F148" s="4">
        <f>INDEX(Calculation!$A$1:$K$343,MATCH($A148,Calculation!$B:$B,0),MATCH(F$1,Calculation!$1:$1,0))</f>
        <v>11.514021110197374</v>
      </c>
    </row>
    <row r="149" spans="1:6" ht="16" x14ac:dyDescent="0.2">
      <c r="A149" s="2" t="s">
        <v>538</v>
      </c>
      <c r="B149" s="5">
        <f>INDEX(Calculation!$A$1:$K$343,MATCH($A149,Calculation!$B:$B,0),MATCH(B$1,Calculation!$1:$1,0))</f>
        <v>6.1847245583206014</v>
      </c>
      <c r="C149" s="6">
        <f t="shared" si="2"/>
        <v>2.7728635752629168E-4</v>
      </c>
      <c r="D149" s="4">
        <f>INDEX(Calculation!$A$1:$I$343,MATCH($A149,Calculation!$B:$B,0),MATCH(D$1,Calculation!$1:$1,0))</f>
        <v>7.0013731121634252E-3</v>
      </c>
      <c r="E149" s="4">
        <f>INDEX(Calculation!$A$1:$K$343,MATCH($A149,Calculation!$B:$B,0),MATCH(E$1,Calculation!$1:$1,0))</f>
        <v>24.806679359597901</v>
      </c>
      <c r="F149" s="4">
        <f>INDEX(Calculation!$A$1:$K$343,MATCH($A149,Calculation!$B:$B,0),MATCH(F$1,Calculation!$1:$1,0))</f>
        <v>4.787786228875091</v>
      </c>
    </row>
    <row r="150" spans="1:6" ht="16" x14ac:dyDescent="0.2">
      <c r="A150" s="2" t="s">
        <v>541</v>
      </c>
      <c r="B150" s="5">
        <f>INDEX(Calculation!$A$1:$K$343,MATCH($A150,Calculation!$B:$B,0),MATCH(B$1,Calculation!$1:$1,0))</f>
        <v>3.7006355368719199</v>
      </c>
      <c r="C150" s="6">
        <f t="shared" si="2"/>
        <v>1.6591454298010068E-4</v>
      </c>
      <c r="D150" s="4">
        <f>INDEX(Calculation!$A$1:$I$343,MATCH($A150,Calculation!$B:$B,0),MATCH(D$1,Calculation!$1:$1,0))</f>
        <v>0</v>
      </c>
      <c r="E150" s="4">
        <f>INDEX(Calculation!$A$1:$K$343,MATCH($A150,Calculation!$B:$B,0),MATCH(E$1,Calculation!$1:$1,0))</f>
        <v>21.908525979752362</v>
      </c>
      <c r="F150" s="4">
        <f>INDEX(Calculation!$A$1:$K$343,MATCH($A150,Calculation!$B:$B,0),MATCH(F$1,Calculation!$1:$1,0))</f>
        <v>0</v>
      </c>
    </row>
    <row r="151" spans="1:6" ht="16" x14ac:dyDescent="0.2">
      <c r="A151" s="2" t="s">
        <v>543</v>
      </c>
      <c r="B151" s="5">
        <f>INDEX(Calculation!$A$1:$K$343,MATCH($A151,Calculation!$B:$B,0),MATCH(B$1,Calculation!$1:$1,0))</f>
        <v>69.457288852798911</v>
      </c>
      <c r="C151" s="6">
        <f t="shared" si="2"/>
        <v>3.1140527679172584E-3</v>
      </c>
      <c r="D151" s="4">
        <f>INDEX(Calculation!$A$1:$I$343,MATCH($A151,Calculation!$B:$B,0),MATCH(D$1,Calculation!$1:$1,0))</f>
        <v>3.8218233079480553E-3</v>
      </c>
      <c r="E151" s="4">
        <f>INDEX(Calculation!$A$1:$K$343,MATCH($A151,Calculation!$B:$B,0),MATCH(E$1,Calculation!$1:$1,0))</f>
        <v>80.255394285738632</v>
      </c>
      <c r="F151" s="4">
        <f>INDEX(Calculation!$A$1:$K$343,MATCH($A151,Calculation!$B:$B,0),MATCH(F$1,Calculation!$1:$1,0))</f>
        <v>0</v>
      </c>
    </row>
    <row r="152" spans="1:6" ht="16" x14ac:dyDescent="0.2">
      <c r="A152" s="2" t="s">
        <v>546</v>
      </c>
      <c r="B152" s="5">
        <f>INDEX(Calculation!$A$1:$K$343,MATCH($A152,Calculation!$B:$B,0),MATCH(B$1,Calculation!$1:$1,0))</f>
        <v>0.41330670143927117</v>
      </c>
      <c r="C152" s="6">
        <f t="shared" si="2"/>
        <v>1.8530220497713106E-5</v>
      </c>
      <c r="D152" s="4">
        <f>INDEX(Calculation!$A$1:$I$343,MATCH($A152,Calculation!$B:$B,0),MATCH(D$1,Calculation!$1:$1,0))</f>
        <v>0</v>
      </c>
      <c r="E152" s="4">
        <f>INDEX(Calculation!$A$1:$K$343,MATCH($A152,Calculation!$B:$B,0),MATCH(E$1,Calculation!$1:$1,0))</f>
        <v>7.6736574001028783</v>
      </c>
      <c r="F152" s="4">
        <f>INDEX(Calculation!$A$1:$K$343,MATCH($A152,Calculation!$B:$B,0),MATCH(F$1,Calculation!$1:$1,0))</f>
        <v>0</v>
      </c>
    </row>
    <row r="153" spans="1:6" ht="16" x14ac:dyDescent="0.2">
      <c r="A153" s="2" t="s">
        <v>549</v>
      </c>
      <c r="B153" s="5">
        <f>INDEX(Calculation!$A$1:$K$343,MATCH($A153,Calculation!$B:$B,0),MATCH(B$1,Calculation!$1:$1,0))</f>
        <v>128.32422063175952</v>
      </c>
      <c r="C153" s="6">
        <f t="shared" si="2"/>
        <v>5.753296753290317E-3</v>
      </c>
      <c r="D153" s="4">
        <f>INDEX(Calculation!$A$1:$I$343,MATCH($A153,Calculation!$B:$B,0),MATCH(D$1,Calculation!$1:$1,0))</f>
        <v>0</v>
      </c>
      <c r="E153" s="4">
        <f>INDEX(Calculation!$A$1:$K$343,MATCH($A153,Calculation!$B:$B,0),MATCH(E$1,Calculation!$1:$1,0))</f>
        <v>148.31997927308242</v>
      </c>
      <c r="F153" s="4">
        <f>INDEX(Calculation!$A$1:$K$343,MATCH($A153,Calculation!$B:$B,0),MATCH(F$1,Calculation!$1:$1,0))</f>
        <v>0</v>
      </c>
    </row>
    <row r="154" spans="1:6" ht="16" x14ac:dyDescent="0.2">
      <c r="A154" s="2" t="s">
        <v>552</v>
      </c>
      <c r="B154" s="5">
        <f>INDEX(Calculation!$A$1:$K$343,MATCH($A154,Calculation!$B:$B,0),MATCH(B$1,Calculation!$1:$1,0))</f>
        <v>38.442436606368467</v>
      </c>
      <c r="C154" s="6">
        <f t="shared" si="2"/>
        <v>1.7235307927617369E-3</v>
      </c>
      <c r="D154" s="4">
        <f>INDEX(Calculation!$A$1:$I$343,MATCH($A154,Calculation!$B:$B,0),MATCH(D$1,Calculation!$1:$1,0))</f>
        <v>2.5483411960367411E-3</v>
      </c>
      <c r="E154" s="4">
        <f>INDEX(Calculation!$A$1:$K$343,MATCH($A154,Calculation!$B:$B,0),MATCH(E$1,Calculation!$1:$1,0))</f>
        <v>55.351120704882035</v>
      </c>
      <c r="F154" s="4">
        <f>INDEX(Calculation!$A$1:$K$343,MATCH($A154,Calculation!$B:$B,0),MATCH(F$1,Calculation!$1:$1,0))</f>
        <v>0</v>
      </c>
    </row>
    <row r="155" spans="1:6" ht="16" x14ac:dyDescent="0.2">
      <c r="A155" s="2" t="s">
        <v>555</v>
      </c>
      <c r="B155" s="5">
        <f>INDEX(Calculation!$A$1:$K$343,MATCH($A155,Calculation!$B:$B,0),MATCH(B$1,Calculation!$1:$1,0))</f>
        <v>252.35299424517959</v>
      </c>
      <c r="C155" s="6">
        <f t="shared" si="2"/>
        <v>1.1314011145566655E-2</v>
      </c>
      <c r="D155" s="4">
        <f>INDEX(Calculation!$A$1:$I$343,MATCH($A155,Calculation!$B:$B,0),MATCH(D$1,Calculation!$1:$1,0))</f>
        <v>1.8875727009770786E-3</v>
      </c>
      <c r="E155" s="4">
        <f>INDEX(Calculation!$A$1:$K$343,MATCH($A155,Calculation!$B:$B,0),MATCH(E$1,Calculation!$1:$1,0))</f>
        <v>341.26222393210134</v>
      </c>
      <c r="F155" s="4">
        <f>INDEX(Calculation!$A$1:$K$343,MATCH($A155,Calculation!$B:$B,0),MATCH(F$1,Calculation!$1:$1,0))</f>
        <v>0</v>
      </c>
    </row>
    <row r="156" spans="1:6" ht="16" x14ac:dyDescent="0.2">
      <c r="A156" s="2" t="s">
        <v>558</v>
      </c>
      <c r="B156" s="5">
        <f>INDEX(Calculation!$A$1:$K$343,MATCH($A156,Calculation!$B:$B,0),MATCH(B$1,Calculation!$1:$1,0))</f>
        <v>7.4389564098424641</v>
      </c>
      <c r="C156" s="6">
        <f t="shared" si="2"/>
        <v>3.3351867285779134E-4</v>
      </c>
      <c r="D156" s="4">
        <f>INDEX(Calculation!$A$1:$I$343,MATCH($A156,Calculation!$B:$B,0),MATCH(D$1,Calculation!$1:$1,0))</f>
        <v>0</v>
      </c>
      <c r="E156" s="4">
        <f>INDEX(Calculation!$A$1:$K$343,MATCH($A156,Calculation!$B:$B,0),MATCH(E$1,Calculation!$1:$1,0))</f>
        <v>24.58345798594452</v>
      </c>
      <c r="F156" s="4">
        <f>INDEX(Calculation!$A$1:$K$343,MATCH($A156,Calculation!$B:$B,0),MATCH(F$1,Calculation!$1:$1,0))</f>
        <v>0</v>
      </c>
    </row>
    <row r="157" spans="1:6" ht="16" x14ac:dyDescent="0.2">
      <c r="A157" s="2" t="s">
        <v>560</v>
      </c>
      <c r="B157" s="5">
        <f>INDEX(Calculation!$A$1:$K$343,MATCH($A157,Calculation!$B:$B,0),MATCH(B$1,Calculation!$1:$1,0))</f>
        <v>15.152176129077624</v>
      </c>
      <c r="C157" s="6">
        <f t="shared" si="2"/>
        <v>6.7933368540661944E-4</v>
      </c>
      <c r="D157" s="4">
        <f>INDEX(Calculation!$A$1:$I$343,MATCH($A157,Calculation!$B:$B,0),MATCH(D$1,Calculation!$1:$1,0))</f>
        <v>0</v>
      </c>
      <c r="E157" s="4">
        <f>INDEX(Calculation!$A$1:$K$343,MATCH($A157,Calculation!$B:$B,0),MATCH(E$1,Calculation!$1:$1,0))</f>
        <v>22.438720314639351</v>
      </c>
      <c r="F157" s="4">
        <f>INDEX(Calculation!$A$1:$K$343,MATCH($A157,Calculation!$B:$B,0),MATCH(F$1,Calculation!$1:$1,0))</f>
        <v>0</v>
      </c>
    </row>
    <row r="158" spans="1:6" ht="16" x14ac:dyDescent="0.2">
      <c r="A158" s="2" t="s">
        <v>563</v>
      </c>
      <c r="B158" s="5">
        <f>INDEX(Calculation!$A$1:$K$343,MATCH($A158,Calculation!$B:$B,0),MATCH(B$1,Calculation!$1:$1,0))</f>
        <v>29.464497123292986</v>
      </c>
      <c r="C158" s="6">
        <f t="shared" si="2"/>
        <v>1.3210132491139298E-3</v>
      </c>
      <c r="D158" s="4">
        <f>INDEX(Calculation!$A$1:$I$343,MATCH($A158,Calculation!$B:$B,0),MATCH(D$1,Calculation!$1:$1,0))</f>
        <v>7.5475284078914032E-2</v>
      </c>
      <c r="E158" s="4">
        <f>INDEX(Calculation!$A$1:$K$343,MATCH($A158,Calculation!$B:$B,0),MATCH(E$1,Calculation!$1:$1,0))</f>
        <v>53.272435617192123</v>
      </c>
      <c r="F158" s="4">
        <f>INDEX(Calculation!$A$1:$K$343,MATCH($A158,Calculation!$B:$B,0),MATCH(F$1,Calculation!$1:$1,0))</f>
        <v>0</v>
      </c>
    </row>
    <row r="159" spans="1:6" ht="16" x14ac:dyDescent="0.2">
      <c r="A159" s="2" t="s">
        <v>566</v>
      </c>
      <c r="B159" s="5">
        <f>INDEX(Calculation!$A$1:$K$343,MATCH($A159,Calculation!$B:$B,0),MATCH(B$1,Calculation!$1:$1,0))</f>
        <v>0.46107839081198276</v>
      </c>
      <c r="C159" s="6">
        <f t="shared" si="2"/>
        <v>2.0672019637533422E-5</v>
      </c>
      <c r="D159" s="4">
        <f>INDEX(Calculation!$A$1:$I$343,MATCH($A159,Calculation!$B:$B,0),MATCH(D$1,Calculation!$1:$1,0))</f>
        <v>0</v>
      </c>
      <c r="E159" s="4">
        <f>INDEX(Calculation!$A$1:$K$343,MATCH($A159,Calculation!$B:$B,0),MATCH(E$1,Calculation!$1:$1,0))</f>
        <v>12.410486094763888</v>
      </c>
      <c r="F159" s="4">
        <f>INDEX(Calculation!$A$1:$K$343,MATCH($A159,Calculation!$B:$B,0),MATCH(F$1,Calculation!$1:$1,0))</f>
        <v>0</v>
      </c>
    </row>
    <row r="160" spans="1:6" ht="16" x14ac:dyDescent="0.2">
      <c r="A160" s="2" t="s">
        <v>569</v>
      </c>
      <c r="B160" s="5">
        <f>INDEX(Calculation!$A$1:$K$343,MATCH($A160,Calculation!$B:$B,0),MATCH(B$1,Calculation!$1:$1,0))</f>
        <v>178.47708403311091</v>
      </c>
      <c r="C160" s="6">
        <f t="shared" si="2"/>
        <v>8.0018536099356209E-3</v>
      </c>
      <c r="D160" s="4">
        <f>INDEX(Calculation!$A$1:$I$343,MATCH($A160,Calculation!$B:$B,0),MATCH(D$1,Calculation!$1:$1,0))</f>
        <v>1.5601957724502007E-4</v>
      </c>
      <c r="E160" s="4">
        <f>INDEX(Calculation!$A$1:$K$343,MATCH($A160,Calculation!$B:$B,0),MATCH(E$1,Calculation!$1:$1,0))</f>
        <v>237.55444095273234</v>
      </c>
      <c r="F160" s="4">
        <f>INDEX(Calculation!$A$1:$K$343,MATCH($A160,Calculation!$B:$B,0),MATCH(F$1,Calculation!$1:$1,0))</f>
        <v>0</v>
      </c>
    </row>
    <row r="161" spans="1:6" ht="16" x14ac:dyDescent="0.2">
      <c r="A161" s="2" t="s">
        <v>571</v>
      </c>
      <c r="B161" s="5">
        <f>INDEX(Calculation!$A$1:$K$343,MATCH($A161,Calculation!$B:$B,0),MATCH(B$1,Calculation!$1:$1,0))</f>
        <v>2.1568463157632816</v>
      </c>
      <c r="C161" s="6">
        <f t="shared" si="2"/>
        <v>9.6700193032428345E-5</v>
      </c>
      <c r="D161" s="4">
        <f>INDEX(Calculation!$A$1:$I$343,MATCH($A161,Calculation!$B:$B,0),MATCH(D$1,Calculation!$1:$1,0))</f>
        <v>0</v>
      </c>
      <c r="E161" s="4">
        <f>INDEX(Calculation!$A$1:$K$343,MATCH($A161,Calculation!$B:$B,0),MATCH(E$1,Calculation!$1:$1,0))</f>
        <v>21.852276839843668</v>
      </c>
      <c r="F161" s="4">
        <f>INDEX(Calculation!$A$1:$K$343,MATCH($A161,Calculation!$B:$B,0),MATCH(F$1,Calculation!$1:$1,0))</f>
        <v>0</v>
      </c>
    </row>
    <row r="162" spans="1:6" ht="16" x14ac:dyDescent="0.2">
      <c r="A162" s="2" t="s">
        <v>573</v>
      </c>
      <c r="B162" s="5">
        <f>INDEX(Calculation!$A$1:$K$343,MATCH($A162,Calculation!$B:$B,0),MATCH(B$1,Calculation!$1:$1,0))</f>
        <v>5.2055787249715149</v>
      </c>
      <c r="C162" s="6">
        <f t="shared" si="2"/>
        <v>2.3338726726670255E-4</v>
      </c>
      <c r="D162" s="4">
        <f>INDEX(Calculation!$A$1:$I$343,MATCH($A162,Calculation!$B:$B,0),MATCH(D$1,Calculation!$1:$1,0))</f>
        <v>0</v>
      </c>
      <c r="E162" s="4">
        <f>INDEX(Calculation!$A$1:$K$343,MATCH($A162,Calculation!$B:$B,0),MATCH(E$1,Calculation!$1:$1,0))</f>
        <v>11.496369052972273</v>
      </c>
      <c r="F162" s="4">
        <f>INDEX(Calculation!$A$1:$K$343,MATCH($A162,Calculation!$B:$B,0),MATCH(F$1,Calculation!$1:$1,0))</f>
        <v>0</v>
      </c>
    </row>
    <row r="163" spans="1:6" ht="16" x14ac:dyDescent="0.2">
      <c r="A163" s="2" t="s">
        <v>576</v>
      </c>
      <c r="B163" s="5">
        <f>INDEX(Calculation!$A$1:$K$343,MATCH($A163,Calculation!$B:$B,0),MATCH(B$1,Calculation!$1:$1,0))</f>
        <v>16.919892105692096</v>
      </c>
      <c r="C163" s="6">
        <f t="shared" si="2"/>
        <v>7.5858758259708008E-4</v>
      </c>
      <c r="D163" s="4">
        <f>INDEX(Calculation!$A$1:$I$343,MATCH($A163,Calculation!$B:$B,0),MATCH(D$1,Calculation!$1:$1,0))</f>
        <v>1.9417433891766333E-3</v>
      </c>
      <c r="E163" s="4">
        <f>INDEX(Calculation!$A$1:$K$343,MATCH($A163,Calculation!$B:$B,0),MATCH(E$1,Calculation!$1:$1,0))</f>
        <v>32.609868564741127</v>
      </c>
      <c r="F163" s="4">
        <f>INDEX(Calculation!$A$1:$K$343,MATCH($A163,Calculation!$B:$B,0),MATCH(F$1,Calculation!$1:$1,0))</f>
        <v>0</v>
      </c>
    </row>
    <row r="164" spans="1:6" ht="16" x14ac:dyDescent="0.2">
      <c r="A164" s="2" t="s">
        <v>579</v>
      </c>
      <c r="B164" s="5">
        <f>INDEX(Calculation!$A$1:$K$343,MATCH($A164,Calculation!$B:$B,0),MATCH(B$1,Calculation!$1:$1,0))</f>
        <v>113.24555219365075</v>
      </c>
      <c r="C164" s="6">
        <f t="shared" si="2"/>
        <v>5.0772587166529708E-3</v>
      </c>
      <c r="D164" s="4">
        <f>INDEX(Calculation!$A$1:$I$343,MATCH($A164,Calculation!$B:$B,0),MATCH(D$1,Calculation!$1:$1,0))</f>
        <v>0</v>
      </c>
      <c r="E164" s="4">
        <f>INDEX(Calculation!$A$1:$K$343,MATCH($A164,Calculation!$B:$B,0),MATCH(E$1,Calculation!$1:$1,0))</f>
        <v>228.99871207083163</v>
      </c>
      <c r="F164" s="4">
        <f>INDEX(Calculation!$A$1:$K$343,MATCH($A164,Calculation!$B:$B,0),MATCH(F$1,Calculation!$1:$1,0))</f>
        <v>0</v>
      </c>
    </row>
    <row r="165" spans="1:6" ht="16" x14ac:dyDescent="0.2">
      <c r="A165" s="2" t="s">
        <v>581</v>
      </c>
      <c r="B165" s="5">
        <f>INDEX(Calculation!$A$1:$K$343,MATCH($A165,Calculation!$B:$B,0),MATCH(B$1,Calculation!$1:$1,0))</f>
        <v>112.90387718679402</v>
      </c>
      <c r="C165" s="6">
        <f t="shared" si="2"/>
        <v>5.0619400363761564E-3</v>
      </c>
      <c r="D165" s="4">
        <f>INDEX(Calculation!$A$1:$I$343,MATCH($A165,Calculation!$B:$B,0),MATCH(D$1,Calculation!$1:$1,0))</f>
        <v>2.7846929576483964E-3</v>
      </c>
      <c r="E165" s="4">
        <f>INDEX(Calculation!$A$1:$K$343,MATCH($A165,Calculation!$B:$B,0),MATCH(E$1,Calculation!$1:$1,0))</f>
        <v>162.5081077402875</v>
      </c>
      <c r="F165" s="4">
        <f>INDEX(Calculation!$A$1:$K$343,MATCH($A165,Calculation!$B:$B,0),MATCH(F$1,Calculation!$1:$1,0))</f>
        <v>0</v>
      </c>
    </row>
    <row r="166" spans="1:6" ht="16" x14ac:dyDescent="0.2">
      <c r="A166" s="2" t="s">
        <v>584</v>
      </c>
      <c r="B166" s="5">
        <f>INDEX(Calculation!$A$1:$K$343,MATCH($A166,Calculation!$B:$B,0),MATCH(B$1,Calculation!$1:$1,0))</f>
        <v>27.992906957828197</v>
      </c>
      <c r="C166" s="6">
        <f t="shared" si="2"/>
        <v>1.2550358764912034E-3</v>
      </c>
      <c r="D166" s="4">
        <f>INDEX(Calculation!$A$1:$I$343,MATCH($A166,Calculation!$B:$B,0),MATCH(D$1,Calculation!$1:$1,0))</f>
        <v>0</v>
      </c>
      <c r="E166" s="4">
        <f>INDEX(Calculation!$A$1:$K$343,MATCH($A166,Calculation!$B:$B,0),MATCH(E$1,Calculation!$1:$1,0))</f>
        <v>58.506151853970067</v>
      </c>
      <c r="F166" s="4">
        <f>INDEX(Calculation!$A$1:$K$343,MATCH($A166,Calculation!$B:$B,0),MATCH(F$1,Calculation!$1:$1,0))</f>
        <v>0</v>
      </c>
    </row>
    <row r="167" spans="1:6" ht="16" x14ac:dyDescent="0.2">
      <c r="A167" s="2" t="s">
        <v>587</v>
      </c>
      <c r="B167" s="5">
        <f>INDEX(Calculation!$A$1:$K$343,MATCH($A167,Calculation!$B:$B,0),MATCH(B$1,Calculation!$1:$1,0))</f>
        <v>45.447439605994987</v>
      </c>
      <c r="C167" s="6">
        <f t="shared" si="2"/>
        <v>2.0375935691895075E-3</v>
      </c>
      <c r="D167" s="4">
        <f>INDEX(Calculation!$A$1:$I$343,MATCH($A167,Calculation!$B:$B,0),MATCH(D$1,Calculation!$1:$1,0))</f>
        <v>1.4314388682204898E-2</v>
      </c>
      <c r="E167" s="4">
        <f>INDEX(Calculation!$A$1:$K$343,MATCH($A167,Calculation!$B:$B,0),MATCH(E$1,Calculation!$1:$1,0))</f>
        <v>61.964813203863599</v>
      </c>
      <c r="F167" s="4">
        <f>INDEX(Calculation!$A$1:$K$343,MATCH($A167,Calculation!$B:$B,0),MATCH(F$1,Calculation!$1:$1,0))</f>
        <v>0</v>
      </c>
    </row>
    <row r="168" spans="1:6" ht="16" x14ac:dyDescent="0.2">
      <c r="A168" s="2" t="s">
        <v>590</v>
      </c>
      <c r="B168" s="5">
        <f>INDEX(Calculation!$A$1:$K$343,MATCH($A168,Calculation!$B:$B,0),MATCH(B$1,Calculation!$1:$1,0))</f>
        <v>8.1966495584660954</v>
      </c>
      <c r="C168" s="6">
        <f t="shared" si="2"/>
        <v>3.6748913853064321E-4</v>
      </c>
      <c r="D168" s="4">
        <f>INDEX(Calculation!$A$1:$I$343,MATCH($A168,Calculation!$B:$B,0),MATCH(D$1,Calculation!$1:$1,0))</f>
        <v>5.9848930141499334E-4</v>
      </c>
      <c r="E168" s="4">
        <f>INDEX(Calculation!$A$1:$K$343,MATCH($A168,Calculation!$B:$B,0),MATCH(E$1,Calculation!$1:$1,0))</f>
        <v>15.698628687520124</v>
      </c>
      <c r="F168" s="4">
        <f>INDEX(Calculation!$A$1:$K$343,MATCH($A168,Calculation!$B:$B,0),MATCH(F$1,Calculation!$1:$1,0))</f>
        <v>0</v>
      </c>
    </row>
    <row r="169" spans="1:6" ht="16" x14ac:dyDescent="0.2">
      <c r="A169" s="2" t="s">
        <v>593</v>
      </c>
      <c r="B169" s="5">
        <f>INDEX(Calculation!$A$1:$K$343,MATCH($A169,Calculation!$B:$B,0),MATCH(B$1,Calculation!$1:$1,0))</f>
        <v>159.17027934000811</v>
      </c>
      <c r="C169" s="6">
        <f t="shared" si="2"/>
        <v>7.1362510275829998E-3</v>
      </c>
      <c r="D169" s="4">
        <f>INDEX(Calculation!$A$1:$I$343,MATCH($A169,Calculation!$B:$B,0),MATCH(D$1,Calculation!$1:$1,0))</f>
        <v>6.8713219530129987E-5</v>
      </c>
      <c r="E169" s="4">
        <f>INDEX(Calculation!$A$1:$K$343,MATCH($A169,Calculation!$B:$B,0),MATCH(E$1,Calculation!$1:$1,0))</f>
        <v>213.0462125088057</v>
      </c>
      <c r="F169" s="4">
        <f>INDEX(Calculation!$A$1:$K$343,MATCH($A169,Calculation!$B:$B,0),MATCH(F$1,Calculation!$1:$1,0))</f>
        <v>0</v>
      </c>
    </row>
    <row r="170" spans="1:6" ht="16" x14ac:dyDescent="0.2">
      <c r="A170" s="2" t="s">
        <v>595</v>
      </c>
      <c r="B170" s="5">
        <f>INDEX(Calculation!$A$1:$K$343,MATCH($A170,Calculation!$B:$B,0),MATCH(B$1,Calculation!$1:$1,0))</f>
        <v>22.229211685034475</v>
      </c>
      <c r="C170" s="6">
        <f t="shared" si="2"/>
        <v>9.9662597431789623E-4</v>
      </c>
      <c r="D170" s="4">
        <f>INDEX(Calculation!$A$1:$I$343,MATCH($A170,Calculation!$B:$B,0),MATCH(D$1,Calculation!$1:$1,0))</f>
        <v>5.864794376518104E-4</v>
      </c>
      <c r="E170" s="4">
        <f>INDEX(Calculation!$A$1:$K$343,MATCH($A170,Calculation!$B:$B,0),MATCH(E$1,Calculation!$1:$1,0))</f>
        <v>49.91612835321591</v>
      </c>
      <c r="F170" s="4">
        <f>INDEX(Calculation!$A$1:$K$343,MATCH($A170,Calculation!$B:$B,0),MATCH(F$1,Calculation!$1:$1,0))</f>
        <v>0</v>
      </c>
    </row>
    <row r="171" spans="1:6" ht="16" x14ac:dyDescent="0.2">
      <c r="A171" s="2" t="s">
        <v>598</v>
      </c>
      <c r="B171" s="5">
        <f>INDEX(Calculation!$A$1:$K$343,MATCH($A171,Calculation!$B:$B,0),MATCH(B$1,Calculation!$1:$1,0))</f>
        <v>69.374152225855141</v>
      </c>
      <c r="C171" s="6">
        <f t="shared" si="2"/>
        <v>3.1103254147837635E-3</v>
      </c>
      <c r="D171" s="4">
        <f>INDEX(Calculation!$A$1:$I$343,MATCH($A171,Calculation!$B:$B,0),MATCH(D$1,Calculation!$1:$1,0))</f>
        <v>0</v>
      </c>
      <c r="E171" s="4">
        <f>INDEX(Calculation!$A$1:$K$343,MATCH($A171,Calculation!$B:$B,0),MATCH(E$1,Calculation!$1:$1,0))</f>
        <v>75.558797198209348</v>
      </c>
      <c r="F171" s="4">
        <f>INDEX(Calculation!$A$1:$K$343,MATCH($A171,Calculation!$B:$B,0),MATCH(F$1,Calculation!$1:$1,0))</f>
        <v>0</v>
      </c>
    </row>
    <row r="172" spans="1:6" ht="16" x14ac:dyDescent="0.2">
      <c r="A172" s="2" t="s">
        <v>601</v>
      </c>
      <c r="B172" s="5">
        <f>INDEX(Calculation!$A$1:$K$343,MATCH($A172,Calculation!$B:$B,0),MATCH(B$1,Calculation!$1:$1,0))</f>
        <v>71.243911351778081</v>
      </c>
      <c r="C172" s="6">
        <f t="shared" si="2"/>
        <v>3.1941543214051922E-3</v>
      </c>
      <c r="D172" s="4">
        <f>INDEX(Calculation!$A$1:$I$343,MATCH($A172,Calculation!$B:$B,0),MATCH(D$1,Calculation!$1:$1,0))</f>
        <v>0</v>
      </c>
      <c r="E172" s="4">
        <f>INDEX(Calculation!$A$1:$K$343,MATCH($A172,Calculation!$B:$B,0),MATCH(E$1,Calculation!$1:$1,0))</f>
        <v>98.742866490514132</v>
      </c>
      <c r="F172" s="4">
        <f>INDEX(Calculation!$A$1:$K$343,MATCH($A172,Calculation!$B:$B,0),MATCH(F$1,Calculation!$1:$1,0))</f>
        <v>0</v>
      </c>
    </row>
    <row r="173" spans="1:6" ht="16" x14ac:dyDescent="0.2">
      <c r="A173" s="2" t="s">
        <v>604</v>
      </c>
      <c r="B173" s="5">
        <f>INDEX(Calculation!$A$1:$K$343,MATCH($A173,Calculation!$B:$B,0),MATCH(B$1,Calculation!$1:$1,0))</f>
        <v>52.667351654943623</v>
      </c>
      <c r="C173" s="6">
        <f t="shared" si="2"/>
        <v>2.361291592413483E-3</v>
      </c>
      <c r="D173" s="4">
        <f>INDEX(Calculation!$A$1:$I$343,MATCH($A173,Calculation!$B:$B,0),MATCH(D$1,Calculation!$1:$1,0))</f>
        <v>2.7418496687357675E-3</v>
      </c>
      <c r="E173" s="4">
        <f>INDEX(Calculation!$A$1:$K$343,MATCH($A173,Calculation!$B:$B,0),MATCH(E$1,Calculation!$1:$1,0))</f>
        <v>65.884396143661519</v>
      </c>
      <c r="F173" s="4">
        <f>INDEX(Calculation!$A$1:$K$343,MATCH($A173,Calculation!$B:$B,0),MATCH(F$1,Calculation!$1:$1,0))</f>
        <v>0</v>
      </c>
    </row>
    <row r="174" spans="1:6" ht="16" x14ac:dyDescent="0.2">
      <c r="A174" s="2" t="s">
        <v>607</v>
      </c>
      <c r="B174" s="5">
        <f>INDEX(Calculation!$A$1:$K$343,MATCH($A174,Calculation!$B:$B,0),MATCH(B$1,Calculation!$1:$1,0))</f>
        <v>23.805486051911362</v>
      </c>
      <c r="C174" s="6">
        <f t="shared" si="2"/>
        <v>1.0672967654795384E-3</v>
      </c>
      <c r="D174" s="4">
        <f>INDEX(Calculation!$A$1:$I$343,MATCH($A174,Calculation!$B:$B,0),MATCH(D$1,Calculation!$1:$1,0))</f>
        <v>6.8755398476388552E-5</v>
      </c>
      <c r="E174" s="4">
        <f>INDEX(Calculation!$A$1:$K$343,MATCH($A174,Calculation!$B:$B,0),MATCH(E$1,Calculation!$1:$1,0))</f>
        <v>45.697993736308334</v>
      </c>
      <c r="F174" s="4">
        <f>INDEX(Calculation!$A$1:$K$343,MATCH($A174,Calculation!$B:$B,0),MATCH(F$1,Calculation!$1:$1,0))</f>
        <v>0</v>
      </c>
    </row>
    <row r="175" spans="1:6" ht="16" x14ac:dyDescent="0.2">
      <c r="A175" s="2" t="s">
        <v>610</v>
      </c>
      <c r="B175" s="5">
        <f>INDEX(Calculation!$A$1:$K$343,MATCH($A175,Calculation!$B:$B,0),MATCH(B$1,Calculation!$1:$1,0))</f>
        <v>85.570524336528749</v>
      </c>
      <c r="C175" s="6">
        <f t="shared" si="2"/>
        <v>3.8364746531790454E-3</v>
      </c>
      <c r="D175" s="4">
        <f>INDEX(Calculation!$A$1:$I$343,MATCH($A175,Calculation!$B:$B,0),MATCH(D$1,Calculation!$1:$1,0))</f>
        <v>7.876253757349447E-4</v>
      </c>
      <c r="E175" s="4">
        <f>INDEX(Calculation!$A$1:$K$343,MATCH($A175,Calculation!$B:$B,0),MATCH(E$1,Calculation!$1:$1,0))</f>
        <v>137.32534014430576</v>
      </c>
      <c r="F175" s="4">
        <f>INDEX(Calculation!$A$1:$K$343,MATCH($A175,Calculation!$B:$B,0),MATCH(F$1,Calculation!$1:$1,0))</f>
        <v>0</v>
      </c>
    </row>
    <row r="176" spans="1:6" ht="16" x14ac:dyDescent="0.2">
      <c r="A176" s="2" t="s">
        <v>613</v>
      </c>
      <c r="B176" s="5">
        <f>INDEX(Calculation!$A$1:$K$343,MATCH($A176,Calculation!$B:$B,0),MATCH(B$1,Calculation!$1:$1,0))</f>
        <v>1.6293798700883035</v>
      </c>
      <c r="C176" s="6">
        <f t="shared" si="2"/>
        <v>7.3051726870457598E-5</v>
      </c>
      <c r="D176" s="4">
        <f>INDEX(Calculation!$A$1:$I$343,MATCH($A176,Calculation!$B:$B,0),MATCH(D$1,Calculation!$1:$1,0))</f>
        <v>3.3153174231491129E-4</v>
      </c>
      <c r="E176" s="4">
        <f>INDEX(Calculation!$A$1:$K$343,MATCH($A176,Calculation!$B:$B,0),MATCH(E$1,Calculation!$1:$1,0))</f>
        <v>8.4448119826037971</v>
      </c>
      <c r="F176" s="4">
        <f>INDEX(Calculation!$A$1:$K$343,MATCH($A176,Calculation!$B:$B,0),MATCH(F$1,Calculation!$1:$1,0))</f>
        <v>0</v>
      </c>
    </row>
    <row r="177" spans="1:6" ht="16" x14ac:dyDescent="0.2">
      <c r="A177" s="2" t="s">
        <v>616</v>
      </c>
      <c r="B177" s="5">
        <f>INDEX(Calculation!$A$1:$K$343,MATCH($A177,Calculation!$B:$B,0),MATCH(B$1,Calculation!$1:$1,0))</f>
        <v>19.180618936374433</v>
      </c>
      <c r="C177" s="6">
        <f t="shared" si="2"/>
        <v>8.599451616340489E-4</v>
      </c>
      <c r="D177" s="4">
        <f>INDEX(Calculation!$A$1:$I$343,MATCH($A177,Calculation!$B:$B,0),MATCH(D$1,Calculation!$1:$1,0))</f>
        <v>0</v>
      </c>
      <c r="E177" s="4">
        <f>INDEX(Calculation!$A$1:$K$343,MATCH($A177,Calculation!$B:$B,0),MATCH(E$1,Calculation!$1:$1,0))</f>
        <v>55.786464130134299</v>
      </c>
      <c r="F177" s="4">
        <f>INDEX(Calculation!$A$1:$K$343,MATCH($A177,Calculation!$B:$B,0),MATCH(F$1,Calculation!$1:$1,0))</f>
        <v>0</v>
      </c>
    </row>
    <row r="178" spans="1:6" ht="16" x14ac:dyDescent="0.2">
      <c r="A178" s="2" t="s">
        <v>618</v>
      </c>
      <c r="B178" s="5">
        <f>INDEX(Calculation!$A$1:$K$343,MATCH($A178,Calculation!$B:$B,0),MATCH(B$1,Calculation!$1:$1,0))</f>
        <v>98.986246342503108</v>
      </c>
      <c r="C178" s="6">
        <f t="shared" si="2"/>
        <v>4.4379560374417058E-3</v>
      </c>
      <c r="D178" s="4">
        <f>INDEX(Calculation!$A$1:$I$343,MATCH($A178,Calculation!$B:$B,0),MATCH(D$1,Calculation!$1:$1,0))</f>
        <v>1.629233264538257E-2</v>
      </c>
      <c r="E178" s="4">
        <f>INDEX(Calculation!$A$1:$K$343,MATCH($A178,Calculation!$B:$B,0),MATCH(E$1,Calculation!$1:$1,0))</f>
        <v>121.22861131374538</v>
      </c>
      <c r="F178" s="4">
        <f>INDEX(Calculation!$A$1:$K$343,MATCH($A178,Calculation!$B:$B,0),MATCH(F$1,Calculation!$1:$1,0))</f>
        <v>0</v>
      </c>
    </row>
    <row r="179" spans="1:6" ht="16" x14ac:dyDescent="0.2">
      <c r="A179" s="2" t="s">
        <v>621</v>
      </c>
      <c r="B179" s="5">
        <f>INDEX(Calculation!$A$1:$K$343,MATCH($A179,Calculation!$B:$B,0),MATCH(B$1,Calculation!$1:$1,0))</f>
        <v>16.041037854423237</v>
      </c>
      <c r="C179" s="6">
        <f t="shared" si="2"/>
        <v>7.1918497188534119E-4</v>
      </c>
      <c r="D179" s="4">
        <f>INDEX(Calculation!$A$1:$I$343,MATCH($A179,Calculation!$B:$B,0),MATCH(D$1,Calculation!$1:$1,0))</f>
        <v>0</v>
      </c>
      <c r="E179" s="4">
        <f>INDEX(Calculation!$A$1:$K$343,MATCH($A179,Calculation!$B:$B,0),MATCH(E$1,Calculation!$1:$1,0))</f>
        <v>26.725124934616751</v>
      </c>
      <c r="F179" s="4">
        <f>INDEX(Calculation!$A$1:$K$343,MATCH($A179,Calculation!$B:$B,0),MATCH(F$1,Calculation!$1:$1,0))</f>
        <v>0</v>
      </c>
    </row>
    <row r="180" spans="1:6" ht="16" x14ac:dyDescent="0.2">
      <c r="A180" s="2" t="s">
        <v>623</v>
      </c>
      <c r="B180" s="5">
        <f>INDEX(Calculation!$A$1:$K$343,MATCH($A180,Calculation!$B:$B,0),MATCH(B$1,Calculation!$1:$1,0))</f>
        <v>131.84250120611532</v>
      </c>
      <c r="C180" s="6">
        <f t="shared" si="2"/>
        <v>5.9110355815953138E-3</v>
      </c>
      <c r="D180" s="4">
        <f>INDEX(Calculation!$A$1:$I$343,MATCH($A180,Calculation!$B:$B,0),MATCH(D$1,Calculation!$1:$1,0))</f>
        <v>2.1067406664521662E-3</v>
      </c>
      <c r="E180" s="4">
        <f>INDEX(Calculation!$A$1:$K$343,MATCH($A180,Calculation!$B:$B,0),MATCH(E$1,Calculation!$1:$1,0))</f>
        <v>183.99811843584408</v>
      </c>
      <c r="F180" s="4">
        <f>INDEX(Calculation!$A$1:$K$343,MATCH($A180,Calculation!$B:$B,0),MATCH(F$1,Calculation!$1:$1,0))</f>
        <v>0</v>
      </c>
    </row>
    <row r="181" spans="1:6" ht="16" x14ac:dyDescent="0.2">
      <c r="A181" s="2" t="s">
        <v>626</v>
      </c>
      <c r="B181" s="5">
        <f>INDEX(Calculation!$A$1:$K$343,MATCH($A181,Calculation!$B:$B,0),MATCH(B$1,Calculation!$1:$1,0))</f>
        <v>39.567474212972819</v>
      </c>
      <c r="C181" s="6">
        <f t="shared" si="2"/>
        <v>1.7739708046125035E-3</v>
      </c>
      <c r="D181" s="4">
        <f>INDEX(Calculation!$A$1:$I$343,MATCH($A181,Calculation!$B:$B,0),MATCH(D$1,Calculation!$1:$1,0))</f>
        <v>0</v>
      </c>
      <c r="E181" s="4">
        <f>INDEX(Calculation!$A$1:$K$343,MATCH($A181,Calculation!$B:$B,0),MATCH(E$1,Calculation!$1:$1,0))</f>
        <v>55.502037195783608</v>
      </c>
      <c r="F181" s="4">
        <f>INDEX(Calculation!$A$1:$K$343,MATCH($A181,Calculation!$B:$B,0),MATCH(F$1,Calculation!$1:$1,0))</f>
        <v>0</v>
      </c>
    </row>
    <row r="182" spans="1:6" ht="16" x14ac:dyDescent="0.2">
      <c r="A182" s="2" t="s">
        <v>628</v>
      </c>
      <c r="B182" s="5">
        <f>INDEX(Calculation!$A$1:$K$343,MATCH($A182,Calculation!$B:$B,0),MATCH(B$1,Calculation!$1:$1,0))</f>
        <v>28.400538226649743</v>
      </c>
      <c r="C182" s="6">
        <f t="shared" si="2"/>
        <v>1.273311644260567E-3</v>
      </c>
      <c r="D182" s="4">
        <f>INDEX(Calculation!$A$1:$I$343,MATCH($A182,Calculation!$B:$B,0),MATCH(D$1,Calculation!$1:$1,0))</f>
        <v>6.7057094155311911E-4</v>
      </c>
      <c r="E182" s="4">
        <f>INDEX(Calculation!$A$1:$K$343,MATCH($A182,Calculation!$B:$B,0),MATCH(E$1,Calculation!$1:$1,0))</f>
        <v>48.377411119913468</v>
      </c>
      <c r="F182" s="4">
        <f>INDEX(Calculation!$A$1:$K$343,MATCH($A182,Calculation!$B:$B,0),MATCH(F$1,Calculation!$1:$1,0))</f>
        <v>0</v>
      </c>
    </row>
    <row r="183" spans="1:6" ht="16" x14ac:dyDescent="0.2">
      <c r="A183" s="2" t="s">
        <v>630</v>
      </c>
      <c r="B183" s="5">
        <f>INDEX(Calculation!$A$1:$K$343,MATCH($A183,Calculation!$B:$B,0),MATCH(B$1,Calculation!$1:$1,0))</f>
        <v>37.970401325165057</v>
      </c>
      <c r="C183" s="6">
        <f t="shared" si="2"/>
        <v>1.7023675311622045E-3</v>
      </c>
      <c r="D183" s="4">
        <f>INDEX(Calculation!$A$1:$I$343,MATCH($A183,Calculation!$B:$B,0),MATCH(D$1,Calculation!$1:$1,0))</f>
        <v>1.7161708500724536E-2</v>
      </c>
      <c r="E183" s="4">
        <f>INDEX(Calculation!$A$1:$K$343,MATCH($A183,Calculation!$B:$B,0),MATCH(E$1,Calculation!$1:$1,0))</f>
        <v>47.187210399273901</v>
      </c>
      <c r="F183" s="4">
        <f>INDEX(Calculation!$A$1:$K$343,MATCH($A183,Calculation!$B:$B,0),MATCH(F$1,Calculation!$1:$1,0))</f>
        <v>0</v>
      </c>
    </row>
    <row r="184" spans="1:6" ht="16" x14ac:dyDescent="0.2">
      <c r="A184" s="2" t="s">
        <v>633</v>
      </c>
      <c r="B184" s="5">
        <f>INDEX(Calculation!$A$1:$K$343,MATCH($A184,Calculation!$B:$B,0),MATCH(B$1,Calculation!$1:$1,0))</f>
        <v>250.52427178323668</v>
      </c>
      <c r="C184" s="6">
        <f t="shared" si="2"/>
        <v>1.1232022079502838E-2</v>
      </c>
      <c r="D184" s="4">
        <f>INDEX(Calculation!$A$1:$I$343,MATCH($A184,Calculation!$B:$B,0),MATCH(D$1,Calculation!$1:$1,0))</f>
        <v>0</v>
      </c>
      <c r="E184" s="4">
        <f>INDEX(Calculation!$A$1:$K$343,MATCH($A184,Calculation!$B:$B,0),MATCH(E$1,Calculation!$1:$1,0))</f>
        <v>340.62237937351966</v>
      </c>
      <c r="F184" s="4">
        <f>INDEX(Calculation!$A$1:$K$343,MATCH($A184,Calculation!$B:$B,0),MATCH(F$1,Calculation!$1:$1,0))</f>
        <v>0</v>
      </c>
    </row>
    <row r="185" spans="1:6" ht="16" x14ac:dyDescent="0.2">
      <c r="A185" s="2" t="s">
        <v>636</v>
      </c>
      <c r="B185" s="5">
        <f>INDEX(Calculation!$A$1:$K$343,MATCH($A185,Calculation!$B:$B,0),MATCH(B$1,Calculation!$1:$1,0))</f>
        <v>221.23261056275518</v>
      </c>
      <c r="C185" s="6">
        <f t="shared" si="2"/>
        <v>9.9187577668998946E-3</v>
      </c>
      <c r="D185" s="4">
        <f>INDEX(Calculation!$A$1:$I$343,MATCH($A185,Calculation!$B:$B,0),MATCH(D$1,Calculation!$1:$1,0))</f>
        <v>4.7740303327194217E-3</v>
      </c>
      <c r="E185" s="4">
        <f>INDEX(Calculation!$A$1:$K$343,MATCH($A185,Calculation!$B:$B,0),MATCH(E$1,Calculation!$1:$1,0))</f>
        <v>277.94869258319193</v>
      </c>
      <c r="F185" s="4">
        <f>INDEX(Calculation!$A$1:$K$343,MATCH($A185,Calculation!$B:$B,0),MATCH(F$1,Calculation!$1:$1,0))</f>
        <v>0</v>
      </c>
    </row>
    <row r="186" spans="1:6" ht="16" x14ac:dyDescent="0.2">
      <c r="A186" s="2" t="s">
        <v>639</v>
      </c>
      <c r="B186" s="5">
        <f>INDEX(Calculation!$A$1:$K$343,MATCH($A186,Calculation!$B:$B,0),MATCH(B$1,Calculation!$1:$1,0))</f>
        <v>116.2407236177786</v>
      </c>
      <c r="C186" s="6">
        <f t="shared" si="2"/>
        <v>5.2115444340736288E-3</v>
      </c>
      <c r="D186" s="4">
        <f>INDEX(Calculation!$A$1:$I$343,MATCH($A186,Calculation!$B:$B,0),MATCH(D$1,Calculation!$1:$1,0))</f>
        <v>4.3631785626598481E-3</v>
      </c>
      <c r="E186" s="4">
        <f>INDEX(Calculation!$A$1:$K$343,MATCH($A186,Calculation!$B:$B,0),MATCH(E$1,Calculation!$1:$1,0))</f>
        <v>159.16854328541569</v>
      </c>
      <c r="F186" s="4">
        <f>INDEX(Calculation!$A$1:$K$343,MATCH($A186,Calculation!$B:$B,0),MATCH(F$1,Calculation!$1:$1,0))</f>
        <v>0</v>
      </c>
    </row>
    <row r="187" spans="1:6" ht="16" x14ac:dyDescent="0.2">
      <c r="A187" s="2" t="s">
        <v>642</v>
      </c>
      <c r="B187" s="5">
        <f>INDEX(Calculation!$A$1:$K$343,MATCH($A187,Calculation!$B:$B,0),MATCH(B$1,Calculation!$1:$1,0))</f>
        <v>161.29092439487934</v>
      </c>
      <c r="C187" s="6">
        <f t="shared" si="2"/>
        <v>7.2313281708456349E-3</v>
      </c>
      <c r="D187" s="4">
        <f>INDEX(Calculation!$A$1:$I$343,MATCH($A187,Calculation!$B:$B,0),MATCH(D$1,Calculation!$1:$1,0))</f>
        <v>0</v>
      </c>
      <c r="E187" s="4">
        <f>INDEX(Calculation!$A$1:$K$343,MATCH($A187,Calculation!$B:$B,0),MATCH(E$1,Calculation!$1:$1,0))</f>
        <v>181.57231895099846</v>
      </c>
      <c r="F187" s="4">
        <f>INDEX(Calculation!$A$1:$K$343,MATCH($A187,Calculation!$B:$B,0),MATCH(F$1,Calculation!$1:$1,0))</f>
        <v>0</v>
      </c>
    </row>
    <row r="188" spans="1:6" ht="16" x14ac:dyDescent="0.2">
      <c r="A188" s="2" t="s">
        <v>645</v>
      </c>
      <c r="B188" s="5">
        <f>INDEX(Calculation!$A$1:$K$343,MATCH($A188,Calculation!$B:$B,0),MATCH(B$1,Calculation!$1:$1,0))</f>
        <v>73.414357671488375</v>
      </c>
      <c r="C188" s="6">
        <f t="shared" si="2"/>
        <v>3.2914642579308434E-3</v>
      </c>
      <c r="D188" s="4">
        <f>INDEX(Calculation!$A$1:$I$343,MATCH($A188,Calculation!$B:$B,0),MATCH(D$1,Calculation!$1:$1,0))</f>
        <v>0</v>
      </c>
      <c r="E188" s="4">
        <f>INDEX(Calculation!$A$1:$K$343,MATCH($A188,Calculation!$B:$B,0),MATCH(E$1,Calculation!$1:$1,0))</f>
        <v>105.69816483051811</v>
      </c>
      <c r="F188" s="4">
        <f>INDEX(Calculation!$A$1:$K$343,MATCH($A188,Calculation!$B:$B,0),MATCH(F$1,Calculation!$1:$1,0))</f>
        <v>0</v>
      </c>
    </row>
    <row r="189" spans="1:6" ht="16" x14ac:dyDescent="0.2">
      <c r="A189" s="2" t="s">
        <v>648</v>
      </c>
      <c r="B189" s="5">
        <f>INDEX(Calculation!$A$1:$K$343,MATCH($A189,Calculation!$B:$B,0),MATCH(B$1,Calculation!$1:$1,0))</f>
        <v>32.880596067674212</v>
      </c>
      <c r="C189" s="6">
        <f t="shared" si="2"/>
        <v>1.4741708593364444E-3</v>
      </c>
      <c r="D189" s="4">
        <f>INDEX(Calculation!$A$1:$I$343,MATCH($A189,Calculation!$B:$B,0),MATCH(D$1,Calculation!$1:$1,0))</f>
        <v>0</v>
      </c>
      <c r="E189" s="4">
        <f>INDEX(Calculation!$A$1:$K$343,MATCH($A189,Calculation!$B:$B,0),MATCH(E$1,Calculation!$1:$1,0))</f>
        <v>37.579012697804302</v>
      </c>
      <c r="F189" s="4">
        <f>INDEX(Calculation!$A$1:$K$343,MATCH($A189,Calculation!$B:$B,0),MATCH(F$1,Calculation!$1:$1,0))</f>
        <v>0</v>
      </c>
    </row>
    <row r="190" spans="1:6" ht="16" x14ac:dyDescent="0.2">
      <c r="A190" s="2" t="s">
        <v>651</v>
      </c>
      <c r="B190" s="5">
        <f>INDEX(Calculation!$A$1:$K$343,MATCH($A190,Calculation!$B:$B,0),MATCH(B$1,Calculation!$1:$1,0))</f>
        <v>7.0331301279001543</v>
      </c>
      <c r="C190" s="6">
        <f t="shared" si="2"/>
        <v>3.153238299917774E-4</v>
      </c>
      <c r="D190" s="4">
        <f>INDEX(Calculation!$A$1:$I$343,MATCH($A190,Calculation!$B:$B,0),MATCH(D$1,Calculation!$1:$1,0))</f>
        <v>0</v>
      </c>
      <c r="E190" s="4">
        <f>INDEX(Calculation!$A$1:$K$343,MATCH($A190,Calculation!$B:$B,0),MATCH(E$1,Calculation!$1:$1,0))</f>
        <v>17.388613028468896</v>
      </c>
      <c r="F190" s="4">
        <f>INDEX(Calculation!$A$1:$K$343,MATCH($A190,Calculation!$B:$B,0),MATCH(F$1,Calculation!$1:$1,0))</f>
        <v>0</v>
      </c>
    </row>
    <row r="191" spans="1:6" ht="16" x14ac:dyDescent="0.2">
      <c r="A191" s="2" t="s">
        <v>654</v>
      </c>
      <c r="B191" s="5">
        <f>INDEX(Calculation!$A$1:$K$343,MATCH($A191,Calculation!$B:$B,0),MATCH(B$1,Calculation!$1:$1,0))</f>
        <v>47.459706199440433</v>
      </c>
      <c r="C191" s="6">
        <f t="shared" si="2"/>
        <v>2.1278116652108832E-3</v>
      </c>
      <c r="D191" s="4">
        <f>INDEX(Calculation!$A$1:$I$343,MATCH($A191,Calculation!$B:$B,0),MATCH(D$1,Calculation!$1:$1,0))</f>
        <v>6.5846136244346798E-4</v>
      </c>
      <c r="E191" s="4">
        <f>INDEX(Calculation!$A$1:$K$343,MATCH($A191,Calculation!$B:$B,0),MATCH(E$1,Calculation!$1:$1,0))</f>
        <v>59.99001404733319</v>
      </c>
      <c r="F191" s="4">
        <f>INDEX(Calculation!$A$1:$K$343,MATCH($A191,Calculation!$B:$B,0),MATCH(F$1,Calculation!$1:$1,0))</f>
        <v>0</v>
      </c>
    </row>
    <row r="192" spans="1:6" ht="16" x14ac:dyDescent="0.2">
      <c r="A192" s="2" t="s">
        <v>657</v>
      </c>
      <c r="B192" s="5">
        <f>INDEX(Calculation!$A$1:$K$343,MATCH($A192,Calculation!$B:$B,0),MATCH(B$1,Calculation!$1:$1,0))</f>
        <v>73.140400394459164</v>
      </c>
      <c r="C192" s="6">
        <f t="shared" si="2"/>
        <v>3.2791816389154092E-3</v>
      </c>
      <c r="D192" s="4">
        <f>INDEX(Calculation!$A$1:$I$343,MATCH($A192,Calculation!$B:$B,0),MATCH(D$1,Calculation!$1:$1,0))</f>
        <v>2.0465621061410374E-4</v>
      </c>
      <c r="E192" s="4">
        <f>INDEX(Calculation!$A$1:$K$343,MATCH($A192,Calculation!$B:$B,0),MATCH(E$1,Calculation!$1:$1,0))</f>
        <v>99.899996817692809</v>
      </c>
      <c r="F192" s="4">
        <f>INDEX(Calculation!$A$1:$K$343,MATCH($A192,Calculation!$B:$B,0),MATCH(F$1,Calculation!$1:$1,0))</f>
        <v>0</v>
      </c>
    </row>
    <row r="193" spans="1:6" ht="16" x14ac:dyDescent="0.2">
      <c r="A193" s="2" t="s">
        <v>660</v>
      </c>
      <c r="B193" s="5">
        <f>INDEX(Calculation!$A$1:$K$343,MATCH($A193,Calculation!$B:$B,0),MATCH(B$1,Calculation!$1:$1,0))</f>
        <v>2.8074751971689125</v>
      </c>
      <c r="C193" s="6">
        <f t="shared" si="2"/>
        <v>1.2587053213567237E-4</v>
      </c>
      <c r="D193" s="4">
        <f>INDEX(Calculation!$A$1:$I$343,MATCH($A193,Calculation!$B:$B,0),MATCH(D$1,Calculation!$1:$1,0))</f>
        <v>0</v>
      </c>
      <c r="E193" s="4">
        <f>INDEX(Calculation!$A$1:$K$343,MATCH($A193,Calculation!$B:$B,0),MATCH(E$1,Calculation!$1:$1,0))</f>
        <v>23.415277937566756</v>
      </c>
      <c r="F193" s="4">
        <f>INDEX(Calculation!$A$1:$K$343,MATCH($A193,Calculation!$B:$B,0),MATCH(F$1,Calculation!$1:$1,0))</f>
        <v>0</v>
      </c>
    </row>
    <row r="194" spans="1:6" ht="16" x14ac:dyDescent="0.2">
      <c r="A194" s="2" t="s">
        <v>663</v>
      </c>
      <c r="B194" s="5">
        <f>INDEX(Calculation!$A$1:$K$343,MATCH($A194,Calculation!$B:$B,0),MATCH(B$1,Calculation!$1:$1,0))</f>
        <v>60.6534529355609</v>
      </c>
      <c r="C194" s="6">
        <f t="shared" si="2"/>
        <v>2.71934099526995E-3</v>
      </c>
      <c r="D194" s="4">
        <f>INDEX(Calculation!$A$1:$I$343,MATCH($A194,Calculation!$B:$B,0),MATCH(D$1,Calculation!$1:$1,0))</f>
        <v>1.0286544520517535E-2</v>
      </c>
      <c r="E194" s="4">
        <f>INDEX(Calculation!$A$1:$K$343,MATCH($A194,Calculation!$B:$B,0),MATCH(E$1,Calculation!$1:$1,0))</f>
        <v>78.464440180716807</v>
      </c>
      <c r="F194" s="4">
        <f>INDEX(Calculation!$A$1:$K$343,MATCH($A194,Calculation!$B:$B,0),MATCH(F$1,Calculation!$1:$1,0))</f>
        <v>0</v>
      </c>
    </row>
    <row r="195" spans="1:6" ht="16" x14ac:dyDescent="0.2">
      <c r="A195" s="2" t="s">
        <v>666</v>
      </c>
      <c r="B195" s="5">
        <f>INDEX(Calculation!$A$1:$K$343,MATCH($A195,Calculation!$B:$B,0),MATCH(B$1,Calculation!$1:$1,0))</f>
        <v>48.718468439537958</v>
      </c>
      <c r="C195" s="6">
        <f t="shared" ref="C195:C258" si="3">B195/SUM($B$2:$B$343)</f>
        <v>2.1842470962890061E-3</v>
      </c>
      <c r="D195" s="4">
        <f>INDEX(Calculation!$A$1:$I$343,MATCH($A195,Calculation!$B:$B,0),MATCH(D$1,Calculation!$1:$1,0))</f>
        <v>0</v>
      </c>
      <c r="E195" s="4">
        <f>INDEX(Calculation!$A$1:$K$343,MATCH($A195,Calculation!$B:$B,0),MATCH(E$1,Calculation!$1:$1,0))</f>
        <v>69.320915213225149</v>
      </c>
      <c r="F195" s="4">
        <f>INDEX(Calculation!$A$1:$K$343,MATCH($A195,Calculation!$B:$B,0),MATCH(F$1,Calculation!$1:$1,0))</f>
        <v>0</v>
      </c>
    </row>
    <row r="196" spans="1:6" ht="16" x14ac:dyDescent="0.2">
      <c r="A196" s="2" t="s">
        <v>668</v>
      </c>
      <c r="B196" s="5">
        <f>INDEX(Calculation!$A$1:$K$343,MATCH($A196,Calculation!$B:$B,0),MATCH(B$1,Calculation!$1:$1,0))</f>
        <v>8.6007247079805218</v>
      </c>
      <c r="C196" s="6">
        <f t="shared" si="3"/>
        <v>3.8560547100740779E-4</v>
      </c>
      <c r="D196" s="4">
        <f>INDEX(Calculation!$A$1:$I$343,MATCH($A196,Calculation!$B:$B,0),MATCH(D$1,Calculation!$1:$1,0))</f>
        <v>2.2742514520910197E-4</v>
      </c>
      <c r="E196" s="4">
        <f>INDEX(Calculation!$A$1:$K$343,MATCH($A196,Calculation!$B:$B,0),MATCH(E$1,Calculation!$1:$1,0))</f>
        <v>52.805701808352318</v>
      </c>
      <c r="F196" s="4">
        <f>INDEX(Calculation!$A$1:$K$343,MATCH($A196,Calculation!$B:$B,0),MATCH(F$1,Calculation!$1:$1,0))</f>
        <v>0</v>
      </c>
    </row>
    <row r="197" spans="1:6" ht="16" x14ac:dyDescent="0.2">
      <c r="A197" s="2" t="s">
        <v>670</v>
      </c>
      <c r="B197" s="5">
        <f>INDEX(Calculation!$A$1:$K$343,MATCH($A197,Calculation!$B:$B,0),MATCH(B$1,Calculation!$1:$1,0))</f>
        <v>45.929861105711119</v>
      </c>
      <c r="C197" s="6">
        <f t="shared" si="3"/>
        <v>2.059222487209582E-3</v>
      </c>
      <c r="D197" s="4">
        <f>INDEX(Calculation!$A$1:$I$343,MATCH($A197,Calculation!$B:$B,0),MATCH(D$1,Calculation!$1:$1,0))</f>
        <v>2.033994887191899E-4</v>
      </c>
      <c r="E197" s="4">
        <f>INDEX(Calculation!$A$1:$K$343,MATCH($A197,Calculation!$B:$B,0),MATCH(E$1,Calculation!$1:$1,0))</f>
        <v>73.310007029954733</v>
      </c>
      <c r="F197" s="4">
        <f>INDEX(Calculation!$A$1:$K$343,MATCH($A197,Calculation!$B:$B,0),MATCH(F$1,Calculation!$1:$1,0))</f>
        <v>0</v>
      </c>
    </row>
    <row r="198" spans="1:6" ht="16" x14ac:dyDescent="0.2">
      <c r="A198" s="2" t="s">
        <v>673</v>
      </c>
      <c r="B198" s="5">
        <f>INDEX(Calculation!$A$1:$K$343,MATCH($A198,Calculation!$B:$B,0),MATCH(B$1,Calculation!$1:$1,0))</f>
        <v>305.28036712279987</v>
      </c>
      <c r="C198" s="6">
        <f t="shared" si="3"/>
        <v>1.3686960546995827E-2</v>
      </c>
      <c r="D198" s="4">
        <f>INDEX(Calculation!$A$1:$I$343,MATCH($A198,Calculation!$B:$B,0),MATCH(D$1,Calculation!$1:$1,0))</f>
        <v>1.438510502573361E-4</v>
      </c>
      <c r="E198" s="4">
        <f>INDEX(Calculation!$A$1:$K$343,MATCH($A198,Calculation!$B:$B,0),MATCH(E$1,Calculation!$1:$1,0))</f>
        <v>379.21898426288868</v>
      </c>
      <c r="F198" s="4">
        <f>INDEX(Calculation!$A$1:$K$343,MATCH($A198,Calculation!$B:$B,0),MATCH(F$1,Calculation!$1:$1,0))</f>
        <v>119.62832621901303</v>
      </c>
    </row>
    <row r="199" spans="1:6" ht="16" x14ac:dyDescent="0.2">
      <c r="A199" s="2" t="s">
        <v>676</v>
      </c>
      <c r="B199" s="5">
        <f>INDEX(Calculation!$A$1:$K$343,MATCH($A199,Calculation!$B:$B,0),MATCH(B$1,Calculation!$1:$1,0))</f>
        <v>69.657006687351398</v>
      </c>
      <c r="C199" s="6">
        <f t="shared" si="3"/>
        <v>3.1230069307670162E-3</v>
      </c>
      <c r="D199" s="4">
        <f>INDEX(Calculation!$A$1:$I$343,MATCH($A199,Calculation!$B:$B,0),MATCH(D$1,Calculation!$1:$1,0))</f>
        <v>0</v>
      </c>
      <c r="E199" s="4">
        <f>INDEX(Calculation!$A$1:$K$343,MATCH($A199,Calculation!$B:$B,0),MATCH(E$1,Calculation!$1:$1,0))</f>
        <v>86.002673332098553</v>
      </c>
      <c r="F199" s="4">
        <f>INDEX(Calculation!$A$1:$K$343,MATCH($A199,Calculation!$B:$B,0),MATCH(F$1,Calculation!$1:$1,0))</f>
        <v>28.50564473681327</v>
      </c>
    </row>
    <row r="200" spans="1:6" ht="16" x14ac:dyDescent="0.2">
      <c r="A200" s="2" t="s">
        <v>679</v>
      </c>
      <c r="B200" s="5">
        <f>INDEX(Calculation!$A$1:$K$343,MATCH($A200,Calculation!$B:$B,0),MATCH(B$1,Calculation!$1:$1,0))</f>
        <v>129.99740980609741</v>
      </c>
      <c r="C200" s="6">
        <f t="shared" si="3"/>
        <v>5.8283126294590305E-3</v>
      </c>
      <c r="D200" s="4">
        <f>INDEX(Calculation!$A$1:$I$343,MATCH($A200,Calculation!$B:$B,0),MATCH(D$1,Calculation!$1:$1,0))</f>
        <v>0</v>
      </c>
      <c r="E200" s="4">
        <f>INDEX(Calculation!$A$1:$K$343,MATCH($A200,Calculation!$B:$B,0),MATCH(E$1,Calculation!$1:$1,0))</f>
        <v>199.01244382452845</v>
      </c>
      <c r="F200" s="4">
        <f>INDEX(Calculation!$A$1:$K$343,MATCH($A200,Calculation!$B:$B,0),MATCH(F$1,Calculation!$1:$1,0))</f>
        <v>0</v>
      </c>
    </row>
    <row r="201" spans="1:6" ht="16" x14ac:dyDescent="0.2">
      <c r="A201" s="2" t="s">
        <v>682</v>
      </c>
      <c r="B201" s="5">
        <f>INDEX(Calculation!$A$1:$K$343,MATCH($A201,Calculation!$B:$B,0),MATCH(B$1,Calculation!$1:$1,0))</f>
        <v>401.74496380629063</v>
      </c>
      <c r="C201" s="6">
        <f t="shared" si="3"/>
        <v>1.8011860773736271E-2</v>
      </c>
      <c r="D201" s="4">
        <f>INDEX(Calculation!$A$1:$I$343,MATCH($A201,Calculation!$B:$B,0),MATCH(D$1,Calculation!$1:$1,0))</f>
        <v>2.670692165681296E-2</v>
      </c>
      <c r="E201" s="4">
        <f>INDEX(Calculation!$A$1:$K$343,MATCH($A201,Calculation!$B:$B,0),MATCH(E$1,Calculation!$1:$1,0))</f>
        <v>458.08871973132926</v>
      </c>
      <c r="F201" s="4">
        <f>INDEX(Calculation!$A$1:$K$343,MATCH($A201,Calculation!$B:$B,0),MATCH(F$1,Calculation!$1:$1,0))</f>
        <v>0</v>
      </c>
    </row>
    <row r="202" spans="1:6" ht="16" x14ac:dyDescent="0.2">
      <c r="A202" s="2" t="s">
        <v>685</v>
      </c>
      <c r="B202" s="5">
        <f>INDEX(Calculation!$A$1:$K$343,MATCH($A202,Calculation!$B:$B,0),MATCH(B$1,Calculation!$1:$1,0))</f>
        <v>22.322168099840884</v>
      </c>
      <c r="C202" s="6">
        <f t="shared" si="3"/>
        <v>1.0007935884820058E-3</v>
      </c>
      <c r="D202" s="4">
        <f>INDEX(Calculation!$A$1:$I$343,MATCH($A202,Calculation!$B:$B,0),MATCH(D$1,Calculation!$1:$1,0))</f>
        <v>1.7609135099917906E-3</v>
      </c>
      <c r="E202" s="4">
        <f>INDEX(Calculation!$A$1:$K$343,MATCH($A202,Calculation!$B:$B,0),MATCH(E$1,Calculation!$1:$1,0))</f>
        <v>58.337582826424367</v>
      </c>
      <c r="F202" s="4">
        <f>INDEX(Calculation!$A$1:$K$343,MATCH($A202,Calculation!$B:$B,0),MATCH(F$1,Calculation!$1:$1,0))</f>
        <v>15.544459230618022</v>
      </c>
    </row>
    <row r="203" spans="1:6" ht="16" x14ac:dyDescent="0.2">
      <c r="A203" s="2" t="s">
        <v>688</v>
      </c>
      <c r="B203" s="5">
        <f>INDEX(Calculation!$A$1:$K$343,MATCH($A203,Calculation!$B:$B,0),MATCH(B$1,Calculation!$1:$1,0))</f>
        <v>19.194983419478046</v>
      </c>
      <c r="C203" s="6">
        <f t="shared" si="3"/>
        <v>8.6058917983728323E-4</v>
      </c>
      <c r="D203" s="4">
        <f>INDEX(Calculation!$A$1:$I$343,MATCH($A203,Calculation!$B:$B,0),MATCH(D$1,Calculation!$1:$1,0))</f>
        <v>0</v>
      </c>
      <c r="E203" s="4">
        <f>INDEX(Calculation!$A$1:$K$343,MATCH($A203,Calculation!$B:$B,0),MATCH(E$1,Calculation!$1:$1,0))</f>
        <v>33.646021190652164</v>
      </c>
      <c r="F203" s="4">
        <f>INDEX(Calculation!$A$1:$K$343,MATCH($A203,Calculation!$B:$B,0),MATCH(F$1,Calculation!$1:$1,0))</f>
        <v>0</v>
      </c>
    </row>
    <row r="204" spans="1:6" ht="16" x14ac:dyDescent="0.2">
      <c r="A204" s="2" t="s">
        <v>691</v>
      </c>
      <c r="B204" s="5">
        <f>INDEX(Calculation!$A$1:$K$343,MATCH($A204,Calculation!$B:$B,0),MATCH(B$1,Calculation!$1:$1,0))</f>
        <v>29.625902153856838</v>
      </c>
      <c r="C204" s="6">
        <f t="shared" si="3"/>
        <v>1.3282496931284428E-3</v>
      </c>
      <c r="D204" s="4">
        <f>INDEX(Calculation!$A$1:$I$343,MATCH($A204,Calculation!$B:$B,0),MATCH(D$1,Calculation!$1:$1,0))</f>
        <v>0</v>
      </c>
      <c r="E204" s="4">
        <f>INDEX(Calculation!$A$1:$K$343,MATCH($A204,Calculation!$B:$B,0),MATCH(E$1,Calculation!$1:$1,0))</f>
        <v>128.73210375990257</v>
      </c>
      <c r="F204" s="4">
        <f>INDEX(Calculation!$A$1:$K$343,MATCH($A204,Calculation!$B:$B,0),MATCH(F$1,Calculation!$1:$1,0))</f>
        <v>0</v>
      </c>
    </row>
    <row r="205" spans="1:6" ht="16" x14ac:dyDescent="0.2">
      <c r="A205" s="2" t="s">
        <v>693</v>
      </c>
      <c r="B205" s="5">
        <f>INDEX(Calculation!$A$1:$K$343,MATCH($A205,Calculation!$B:$B,0),MATCH(B$1,Calculation!$1:$1,0))</f>
        <v>1.1030543953467149</v>
      </c>
      <c r="C205" s="6">
        <f t="shared" si="3"/>
        <v>4.9454415076184149E-5</v>
      </c>
      <c r="D205" s="4">
        <f>INDEX(Calculation!$A$1:$I$343,MATCH($A205,Calculation!$B:$B,0),MATCH(D$1,Calculation!$1:$1,0))</f>
        <v>3.2424641754033064E-4</v>
      </c>
      <c r="E205" s="4">
        <f>INDEX(Calculation!$A$1:$K$343,MATCH($A205,Calculation!$B:$B,0),MATCH(E$1,Calculation!$1:$1,0))</f>
        <v>7.2940108777987698</v>
      </c>
      <c r="F205" s="4">
        <f>INDEX(Calculation!$A$1:$K$343,MATCH($A205,Calculation!$B:$B,0),MATCH(F$1,Calculation!$1:$1,0))</f>
        <v>0</v>
      </c>
    </row>
    <row r="206" spans="1:6" ht="16" x14ac:dyDescent="0.2">
      <c r="A206" s="2" t="s">
        <v>696</v>
      </c>
      <c r="B206" s="5">
        <f>INDEX(Calculation!$A$1:$K$343,MATCH($A206,Calculation!$B:$B,0),MATCH(B$1,Calculation!$1:$1,0))</f>
        <v>57.772467431733951</v>
      </c>
      <c r="C206" s="6">
        <f t="shared" si="3"/>
        <v>2.5901746970930194E-3</v>
      </c>
      <c r="D206" s="4">
        <f>INDEX(Calculation!$A$1:$I$343,MATCH($A206,Calculation!$B:$B,0),MATCH(D$1,Calculation!$1:$1,0))</f>
        <v>1.1486424851013814E-3</v>
      </c>
      <c r="E206" s="4">
        <f>INDEX(Calculation!$A$1:$K$343,MATCH($A206,Calculation!$B:$B,0),MATCH(E$1,Calculation!$1:$1,0))</f>
        <v>101.79264190041796</v>
      </c>
      <c r="F206" s="4">
        <f>INDEX(Calculation!$A$1:$K$343,MATCH($A206,Calculation!$B:$B,0),MATCH(F$1,Calculation!$1:$1,0))</f>
        <v>0</v>
      </c>
    </row>
    <row r="207" spans="1:6" ht="16" x14ac:dyDescent="0.2">
      <c r="A207" s="2" t="s">
        <v>699</v>
      </c>
      <c r="B207" s="5">
        <f>INDEX(Calculation!$A$1:$K$343,MATCH($A207,Calculation!$B:$B,0),MATCH(B$1,Calculation!$1:$1,0))</f>
        <v>48.82234847435501</v>
      </c>
      <c r="C207" s="6">
        <f t="shared" si="3"/>
        <v>2.1889044607686214E-3</v>
      </c>
      <c r="D207" s="4">
        <f>INDEX(Calculation!$A$1:$I$343,MATCH($A207,Calculation!$B:$B,0),MATCH(D$1,Calculation!$1:$1,0))</f>
        <v>1.1024217885081396E-3</v>
      </c>
      <c r="E207" s="4">
        <f>INDEX(Calculation!$A$1:$K$343,MATCH($A207,Calculation!$B:$B,0),MATCH(E$1,Calculation!$1:$1,0))</f>
        <v>80.107242685163115</v>
      </c>
      <c r="F207" s="4">
        <f>INDEX(Calculation!$A$1:$K$343,MATCH($A207,Calculation!$B:$B,0),MATCH(F$1,Calculation!$1:$1,0))</f>
        <v>0</v>
      </c>
    </row>
    <row r="208" spans="1:6" ht="16" x14ac:dyDescent="0.2">
      <c r="A208" s="2" t="s">
        <v>701</v>
      </c>
      <c r="B208" s="5">
        <f>INDEX(Calculation!$A$1:$K$343,MATCH($A208,Calculation!$B:$B,0),MATCH(B$1,Calculation!$1:$1,0))</f>
        <v>183.31891870372525</v>
      </c>
      <c r="C208" s="6">
        <f t="shared" si="3"/>
        <v>8.2189327517630337E-3</v>
      </c>
      <c r="D208" s="4">
        <f>INDEX(Calculation!$A$1:$I$343,MATCH($A208,Calculation!$B:$B,0),MATCH(D$1,Calculation!$1:$1,0))</f>
        <v>0</v>
      </c>
      <c r="E208" s="4">
        <f>INDEX(Calculation!$A$1:$K$343,MATCH($A208,Calculation!$B:$B,0),MATCH(E$1,Calculation!$1:$1,0))</f>
        <v>226.57229571942244</v>
      </c>
      <c r="F208" s="4">
        <f>INDEX(Calculation!$A$1:$K$343,MATCH($A208,Calculation!$B:$B,0),MATCH(F$1,Calculation!$1:$1,0))</f>
        <v>55.465779255462273</v>
      </c>
    </row>
    <row r="209" spans="1:6" ht="16" x14ac:dyDescent="0.2">
      <c r="A209" s="2" t="s">
        <v>704</v>
      </c>
      <c r="B209" s="5">
        <f>INDEX(Calculation!$A$1:$K$343,MATCH($A209,Calculation!$B:$B,0),MATCH(B$1,Calculation!$1:$1,0))</f>
        <v>57.440159440792307</v>
      </c>
      <c r="C209" s="6">
        <f t="shared" si="3"/>
        <v>2.5752759782388191E-3</v>
      </c>
      <c r="D209" s="4">
        <f>INDEX(Calculation!$A$1:$I$343,MATCH($A209,Calculation!$B:$B,0),MATCH(D$1,Calculation!$1:$1,0))</f>
        <v>1.4128552953320895E-4</v>
      </c>
      <c r="E209" s="4">
        <f>INDEX(Calculation!$A$1:$K$343,MATCH($A209,Calculation!$B:$B,0),MATCH(E$1,Calculation!$1:$1,0))</f>
        <v>97.661283425882232</v>
      </c>
      <c r="F209" s="4">
        <f>INDEX(Calculation!$A$1:$K$343,MATCH($A209,Calculation!$B:$B,0),MATCH(F$1,Calculation!$1:$1,0))</f>
        <v>0</v>
      </c>
    </row>
    <row r="210" spans="1:6" ht="16" x14ac:dyDescent="0.2">
      <c r="A210" s="2" t="s">
        <v>707</v>
      </c>
      <c r="B210" s="5">
        <f>INDEX(Calculation!$A$1:$K$343,MATCH($A210,Calculation!$B:$B,0),MATCH(B$1,Calculation!$1:$1,0))</f>
        <v>6.9612213368906621</v>
      </c>
      <c r="C210" s="6">
        <f t="shared" si="3"/>
        <v>3.1209986641100385E-4</v>
      </c>
      <c r="D210" s="4">
        <f>INDEX(Calculation!$A$1:$I$343,MATCH($A210,Calculation!$B:$B,0),MATCH(D$1,Calculation!$1:$1,0))</f>
        <v>0</v>
      </c>
      <c r="E210" s="4">
        <f>INDEX(Calculation!$A$1:$K$343,MATCH($A210,Calculation!$B:$B,0),MATCH(E$1,Calculation!$1:$1,0))</f>
        <v>21.553756492206873</v>
      </c>
      <c r="F210" s="4">
        <f>INDEX(Calculation!$A$1:$K$343,MATCH($A210,Calculation!$B:$B,0),MATCH(F$1,Calculation!$1:$1,0))</f>
        <v>0</v>
      </c>
    </row>
    <row r="211" spans="1:6" ht="16" x14ac:dyDescent="0.2">
      <c r="A211" s="2" t="s">
        <v>709</v>
      </c>
      <c r="B211" s="5">
        <f>INDEX(Calculation!$A$1:$K$343,MATCH($A211,Calculation!$B:$B,0),MATCH(B$1,Calculation!$1:$1,0))</f>
        <v>96.325354846887564</v>
      </c>
      <c r="C211" s="6">
        <f t="shared" si="3"/>
        <v>4.3186574488571442E-3</v>
      </c>
      <c r="D211" s="4">
        <f>INDEX(Calculation!$A$1:$I$343,MATCH($A211,Calculation!$B:$B,0),MATCH(D$1,Calculation!$1:$1,0))</f>
        <v>0</v>
      </c>
      <c r="E211" s="4">
        <f>INDEX(Calculation!$A$1:$K$343,MATCH($A211,Calculation!$B:$B,0),MATCH(E$1,Calculation!$1:$1,0))</f>
        <v>113.66240249113329</v>
      </c>
      <c r="F211" s="4">
        <f>INDEX(Calculation!$A$1:$K$343,MATCH($A211,Calculation!$B:$B,0),MATCH(F$1,Calculation!$1:$1,0))</f>
        <v>0</v>
      </c>
    </row>
    <row r="212" spans="1:6" ht="16" x14ac:dyDescent="0.2">
      <c r="A212" s="2" t="s">
        <v>712</v>
      </c>
      <c r="B212" s="5">
        <f>INDEX(Calculation!$A$1:$K$343,MATCH($A212,Calculation!$B:$B,0),MATCH(B$1,Calculation!$1:$1,0))</f>
        <v>113.19300548932807</v>
      </c>
      <c r="C212" s="6">
        <f t="shared" si="3"/>
        <v>5.0749028341711801E-3</v>
      </c>
      <c r="D212" s="4">
        <f>INDEX(Calculation!$A$1:$I$343,MATCH($A212,Calculation!$B:$B,0),MATCH(D$1,Calculation!$1:$1,0))</f>
        <v>0</v>
      </c>
      <c r="E212" s="4">
        <f>INDEX(Calculation!$A$1:$K$343,MATCH($A212,Calculation!$B:$B,0),MATCH(E$1,Calculation!$1:$1,0))</f>
        <v>179.84682429915236</v>
      </c>
      <c r="F212" s="4">
        <f>INDEX(Calculation!$A$1:$K$343,MATCH($A212,Calculation!$B:$B,0),MATCH(F$1,Calculation!$1:$1,0))</f>
        <v>0</v>
      </c>
    </row>
    <row r="213" spans="1:6" ht="16" x14ac:dyDescent="0.2">
      <c r="A213" s="2" t="s">
        <v>714</v>
      </c>
      <c r="B213" s="5">
        <f>INDEX(Calculation!$A$1:$K$343,MATCH($A213,Calculation!$B:$B,0),MATCH(B$1,Calculation!$1:$1,0))</f>
        <v>89.549354183022345</v>
      </c>
      <c r="C213" s="6">
        <f t="shared" si="3"/>
        <v>4.0148617785792894E-3</v>
      </c>
      <c r="D213" s="4">
        <f>INDEX(Calculation!$A$1:$I$343,MATCH($A213,Calculation!$B:$B,0),MATCH(D$1,Calculation!$1:$1,0))</f>
        <v>0</v>
      </c>
      <c r="E213" s="4">
        <f>INDEX(Calculation!$A$1:$K$343,MATCH($A213,Calculation!$B:$B,0),MATCH(E$1,Calculation!$1:$1,0))</f>
        <v>109.93418037384318</v>
      </c>
      <c r="F213" s="4">
        <f>INDEX(Calculation!$A$1:$K$343,MATCH($A213,Calculation!$B:$B,0),MATCH(F$1,Calculation!$1:$1,0))</f>
        <v>0</v>
      </c>
    </row>
    <row r="214" spans="1:6" ht="16" x14ac:dyDescent="0.2">
      <c r="A214" s="2" t="s">
        <v>717</v>
      </c>
      <c r="B214" s="5">
        <f>INDEX(Calculation!$A$1:$K$343,MATCH($A214,Calculation!$B:$B,0),MATCH(B$1,Calculation!$1:$1,0))</f>
        <v>33.133846913489954</v>
      </c>
      <c r="C214" s="6">
        <f t="shared" si="3"/>
        <v>1.4855251248198159E-3</v>
      </c>
      <c r="D214" s="4">
        <f>INDEX(Calculation!$A$1:$I$343,MATCH($A214,Calculation!$B:$B,0),MATCH(D$1,Calculation!$1:$1,0))</f>
        <v>1.7376672970907702E-3</v>
      </c>
      <c r="E214" s="4">
        <f>INDEX(Calculation!$A$1:$K$343,MATCH($A214,Calculation!$B:$B,0),MATCH(E$1,Calculation!$1:$1,0))</f>
        <v>71.429403186695879</v>
      </c>
      <c r="F214" s="4">
        <f>INDEX(Calculation!$A$1:$K$343,MATCH($A214,Calculation!$B:$B,0),MATCH(F$1,Calculation!$1:$1,0))</f>
        <v>0</v>
      </c>
    </row>
    <row r="215" spans="1:6" ht="16" x14ac:dyDescent="0.2">
      <c r="A215" s="2" t="s">
        <v>720</v>
      </c>
      <c r="B215" s="5">
        <f>INDEX(Calculation!$A$1:$K$343,MATCH($A215,Calculation!$B:$B,0),MATCH(B$1,Calculation!$1:$1,0))</f>
        <v>162.76547658993019</v>
      </c>
      <c r="C215" s="6">
        <f t="shared" si="3"/>
        <v>7.2974383433023812E-3</v>
      </c>
      <c r="D215" s="4">
        <f>INDEX(Calculation!$A$1:$I$343,MATCH($A215,Calculation!$B:$B,0),MATCH(D$1,Calculation!$1:$1,0))</f>
        <v>0</v>
      </c>
      <c r="E215" s="4">
        <f>INDEX(Calculation!$A$1:$K$343,MATCH($A215,Calculation!$B:$B,0),MATCH(E$1,Calculation!$1:$1,0))</f>
        <v>223.29610828652088</v>
      </c>
      <c r="F215" s="4">
        <f>INDEX(Calculation!$A$1:$K$343,MATCH($A215,Calculation!$B:$B,0),MATCH(F$1,Calculation!$1:$1,0))</f>
        <v>0</v>
      </c>
    </row>
    <row r="216" spans="1:6" ht="16" x14ac:dyDescent="0.2">
      <c r="A216" s="2" t="s">
        <v>723</v>
      </c>
      <c r="B216" s="5">
        <f>INDEX(Calculation!$A$1:$K$343,MATCH($A216,Calculation!$B:$B,0),MATCH(B$1,Calculation!$1:$1,0))</f>
        <v>5.1236880022893185</v>
      </c>
      <c r="C216" s="6">
        <f t="shared" si="3"/>
        <v>2.2971577308881022E-4</v>
      </c>
      <c r="D216" s="4">
        <f>INDEX(Calculation!$A$1:$I$343,MATCH($A216,Calculation!$B:$B,0),MATCH(D$1,Calculation!$1:$1,0))</f>
        <v>0</v>
      </c>
      <c r="E216" s="4">
        <f>INDEX(Calculation!$A$1:$K$343,MATCH($A216,Calculation!$B:$B,0),MATCH(E$1,Calculation!$1:$1,0))</f>
        <v>11.558012265981404</v>
      </c>
      <c r="F216" s="4">
        <f>INDEX(Calculation!$A$1:$K$343,MATCH($A216,Calculation!$B:$B,0),MATCH(F$1,Calculation!$1:$1,0))</f>
        <v>0</v>
      </c>
    </row>
    <row r="217" spans="1:6" ht="16" x14ac:dyDescent="0.2">
      <c r="A217" s="2" t="s">
        <v>726</v>
      </c>
      <c r="B217" s="5">
        <f>INDEX(Calculation!$A$1:$K$343,MATCH($A217,Calculation!$B:$B,0),MATCH(B$1,Calculation!$1:$1,0))</f>
        <v>36.382363786448785</v>
      </c>
      <c r="C217" s="6">
        <f t="shared" si="3"/>
        <v>1.6311693491618047E-3</v>
      </c>
      <c r="D217" s="4">
        <f>INDEX(Calculation!$A$1:$I$343,MATCH($A217,Calculation!$B:$B,0),MATCH(D$1,Calculation!$1:$1,0))</f>
        <v>1.1783461355332387E-3</v>
      </c>
      <c r="E217" s="4">
        <f>INDEX(Calculation!$A$1:$K$343,MATCH($A217,Calculation!$B:$B,0),MATCH(E$1,Calculation!$1:$1,0))</f>
        <v>41.479109162414609</v>
      </c>
      <c r="F217" s="4">
        <f>INDEX(Calculation!$A$1:$K$343,MATCH($A217,Calculation!$B:$B,0),MATCH(F$1,Calculation!$1:$1,0))</f>
        <v>0</v>
      </c>
    </row>
    <row r="218" spans="1:6" ht="16" x14ac:dyDescent="0.2">
      <c r="A218" s="2" t="s">
        <v>729</v>
      </c>
      <c r="B218" s="5">
        <f>INDEX(Calculation!$A$1:$K$343,MATCH($A218,Calculation!$B:$B,0),MATCH(B$1,Calculation!$1:$1,0))</f>
        <v>177.71202434809831</v>
      </c>
      <c r="C218" s="6">
        <f t="shared" si="3"/>
        <v>7.9675528724740072E-3</v>
      </c>
      <c r="D218" s="4">
        <f>INDEX(Calculation!$A$1:$I$343,MATCH($A218,Calculation!$B:$B,0),MATCH(D$1,Calculation!$1:$1,0))</f>
        <v>0</v>
      </c>
      <c r="E218" s="4">
        <f>INDEX(Calculation!$A$1:$K$343,MATCH($A218,Calculation!$B:$B,0),MATCH(E$1,Calculation!$1:$1,0))</f>
        <v>224.40128957216035</v>
      </c>
      <c r="F218" s="4">
        <f>INDEX(Calculation!$A$1:$K$343,MATCH($A218,Calculation!$B:$B,0),MATCH(F$1,Calculation!$1:$1,0))</f>
        <v>0</v>
      </c>
    </row>
    <row r="219" spans="1:6" ht="16" x14ac:dyDescent="0.2">
      <c r="A219" s="2" t="s">
        <v>732</v>
      </c>
      <c r="B219" s="5">
        <f>INDEX(Calculation!$A$1:$K$343,MATCH($A219,Calculation!$B:$B,0),MATCH(B$1,Calculation!$1:$1,0))</f>
        <v>116.17715909407946</v>
      </c>
      <c r="C219" s="6">
        <f t="shared" si="3"/>
        <v>5.2086945779356193E-3</v>
      </c>
      <c r="D219" s="4">
        <f>INDEX(Calculation!$A$1:$I$343,MATCH($A219,Calculation!$B:$B,0),MATCH(D$1,Calculation!$1:$1,0))</f>
        <v>3.468296663120504E-4</v>
      </c>
      <c r="E219" s="4">
        <f>INDEX(Calculation!$A$1:$K$343,MATCH($A219,Calculation!$B:$B,0),MATCH(E$1,Calculation!$1:$1,0))</f>
        <v>162.00936549364616</v>
      </c>
      <c r="F219" s="4">
        <f>INDEX(Calculation!$A$1:$K$343,MATCH($A219,Calculation!$B:$B,0),MATCH(F$1,Calculation!$1:$1,0))</f>
        <v>0</v>
      </c>
    </row>
    <row r="220" spans="1:6" ht="16" x14ac:dyDescent="0.2">
      <c r="A220" s="2" t="s">
        <v>734</v>
      </c>
      <c r="B220" s="5">
        <f>INDEX(Calculation!$A$1:$K$343,MATCH($A220,Calculation!$B:$B,0),MATCH(B$1,Calculation!$1:$1,0))</f>
        <v>112.05882636565133</v>
      </c>
      <c r="C220" s="6">
        <f t="shared" si="3"/>
        <v>5.0240529709281063E-3</v>
      </c>
      <c r="D220" s="4">
        <f>INDEX(Calculation!$A$1:$I$343,MATCH($A220,Calculation!$B:$B,0),MATCH(D$1,Calculation!$1:$1,0))</f>
        <v>6.8907551624271471E-5</v>
      </c>
      <c r="E220" s="4">
        <f>INDEX(Calculation!$A$1:$K$343,MATCH($A220,Calculation!$B:$B,0),MATCH(E$1,Calculation!$1:$1,0))</f>
        <v>136.0706565024874</v>
      </c>
      <c r="F220" s="4">
        <f>INDEX(Calculation!$A$1:$K$343,MATCH($A220,Calculation!$B:$B,0),MATCH(F$1,Calculation!$1:$1,0))</f>
        <v>0</v>
      </c>
    </row>
    <row r="221" spans="1:6" ht="16" x14ac:dyDescent="0.2">
      <c r="A221" s="2" t="s">
        <v>737</v>
      </c>
      <c r="B221" s="5">
        <f>INDEX(Calculation!$A$1:$K$343,MATCH($A221,Calculation!$B:$B,0),MATCH(B$1,Calculation!$1:$1,0))</f>
        <v>15.803288646680848</v>
      </c>
      <c r="C221" s="6">
        <f t="shared" si="3"/>
        <v>7.0852570788772988E-4</v>
      </c>
      <c r="D221" s="4">
        <f>INDEX(Calculation!$A$1:$I$343,MATCH($A221,Calculation!$B:$B,0),MATCH(D$1,Calculation!$1:$1,0))</f>
        <v>0</v>
      </c>
      <c r="E221" s="4">
        <f>INDEX(Calculation!$A$1:$K$343,MATCH($A221,Calculation!$B:$B,0),MATCH(E$1,Calculation!$1:$1,0))</f>
        <v>23.950611649182861</v>
      </c>
      <c r="F221" s="4">
        <f>INDEX(Calculation!$A$1:$K$343,MATCH($A221,Calculation!$B:$B,0),MATCH(F$1,Calculation!$1:$1,0))</f>
        <v>0</v>
      </c>
    </row>
    <row r="222" spans="1:6" ht="16" x14ac:dyDescent="0.2">
      <c r="A222" s="2" t="s">
        <v>740</v>
      </c>
      <c r="B222" s="5">
        <f>INDEX(Calculation!$A$1:$K$343,MATCH($A222,Calculation!$B:$B,0),MATCH(B$1,Calculation!$1:$1,0))</f>
        <v>35.783161484426984</v>
      </c>
      <c r="C222" s="6">
        <f t="shared" si="3"/>
        <v>1.6043046727833774E-3</v>
      </c>
      <c r="D222" s="4">
        <f>INDEX(Calculation!$A$1:$I$343,MATCH($A222,Calculation!$B:$B,0),MATCH(D$1,Calculation!$1:$1,0))</f>
        <v>1.5760358817876375E-4</v>
      </c>
      <c r="E222" s="4">
        <f>INDEX(Calculation!$A$1:$K$343,MATCH($A222,Calculation!$B:$B,0),MATCH(E$1,Calculation!$1:$1,0))</f>
        <v>38.896476701651252</v>
      </c>
      <c r="F222" s="4">
        <f>INDEX(Calculation!$A$1:$K$343,MATCH($A222,Calculation!$B:$B,0),MATCH(F$1,Calculation!$1:$1,0))</f>
        <v>0</v>
      </c>
    </row>
    <row r="223" spans="1:6" ht="16" x14ac:dyDescent="0.2">
      <c r="A223" s="2" t="s">
        <v>743</v>
      </c>
      <c r="B223" s="5">
        <f>INDEX(Calculation!$A$1:$K$343,MATCH($A223,Calculation!$B:$B,0),MATCH(B$1,Calculation!$1:$1,0))</f>
        <v>85.051550261996084</v>
      </c>
      <c r="C223" s="6">
        <f t="shared" si="3"/>
        <v>3.813206934557019E-3</v>
      </c>
      <c r="D223" s="4">
        <f>INDEX(Calculation!$A$1:$I$343,MATCH($A223,Calculation!$B:$B,0),MATCH(D$1,Calculation!$1:$1,0))</f>
        <v>1.579045477605305E-3</v>
      </c>
      <c r="E223" s="4">
        <f>INDEX(Calculation!$A$1:$K$343,MATCH($A223,Calculation!$B:$B,0),MATCH(E$1,Calculation!$1:$1,0))</f>
        <v>109.03315126384106</v>
      </c>
      <c r="F223" s="4">
        <f>INDEX(Calculation!$A$1:$K$343,MATCH($A223,Calculation!$B:$B,0),MATCH(F$1,Calculation!$1:$1,0))</f>
        <v>0</v>
      </c>
    </row>
    <row r="224" spans="1:6" ht="16" x14ac:dyDescent="0.2">
      <c r="A224" s="2" t="s">
        <v>746</v>
      </c>
      <c r="B224" s="5">
        <f>INDEX(Calculation!$A$1:$K$343,MATCH($A224,Calculation!$B:$B,0),MATCH(B$1,Calculation!$1:$1,0))</f>
        <v>1.3451919358840316</v>
      </c>
      <c r="C224" s="6">
        <f t="shared" si="3"/>
        <v>6.0310425881974811E-5</v>
      </c>
      <c r="D224" s="4">
        <f>INDEX(Calculation!$A$1:$I$343,MATCH($A224,Calculation!$B:$B,0),MATCH(D$1,Calculation!$1:$1,0))</f>
        <v>0</v>
      </c>
      <c r="E224" s="4">
        <f>INDEX(Calculation!$A$1:$K$343,MATCH($A224,Calculation!$B:$B,0),MATCH(E$1,Calculation!$1:$1,0))</f>
        <v>9.4144587294146689</v>
      </c>
      <c r="F224" s="4">
        <f>INDEX(Calculation!$A$1:$K$343,MATCH($A224,Calculation!$B:$B,0),MATCH(F$1,Calculation!$1:$1,0))</f>
        <v>0</v>
      </c>
    </row>
    <row r="225" spans="1:6" ht="16" x14ac:dyDescent="0.2">
      <c r="A225" s="2" t="s">
        <v>749</v>
      </c>
      <c r="B225" s="5">
        <f>INDEX(Calculation!$A$1:$K$343,MATCH($A225,Calculation!$B:$B,0),MATCH(B$1,Calculation!$1:$1,0))</f>
        <v>112.27331713860941</v>
      </c>
      <c r="C225" s="6">
        <f t="shared" si="3"/>
        <v>5.0336694646936258E-3</v>
      </c>
      <c r="D225" s="4">
        <f>INDEX(Calculation!$A$1:$I$343,MATCH($A225,Calculation!$B:$B,0),MATCH(D$1,Calculation!$1:$1,0))</f>
        <v>3.0004634210870313E-2</v>
      </c>
      <c r="E225" s="4">
        <f>INDEX(Calculation!$A$1:$K$343,MATCH($A225,Calculation!$B:$B,0),MATCH(E$1,Calculation!$1:$1,0))</f>
        <v>159.35150731342793</v>
      </c>
      <c r="F225" s="4">
        <f>INDEX(Calculation!$A$1:$K$343,MATCH($A225,Calculation!$B:$B,0),MATCH(F$1,Calculation!$1:$1,0))</f>
        <v>0</v>
      </c>
    </row>
    <row r="226" spans="1:6" ht="16" x14ac:dyDescent="0.2">
      <c r="A226" s="2" t="s">
        <v>752</v>
      </c>
      <c r="B226" s="5">
        <f>INDEX(Calculation!$A$1:$K$343,MATCH($A226,Calculation!$B:$B,0),MATCH(B$1,Calculation!$1:$1,0))</f>
        <v>40.344083434442354</v>
      </c>
      <c r="C226" s="6">
        <f t="shared" si="3"/>
        <v>1.8087893547697462E-3</v>
      </c>
      <c r="D226" s="4">
        <f>INDEX(Calculation!$A$1:$I$343,MATCH($A226,Calculation!$B:$B,0),MATCH(D$1,Calculation!$1:$1,0))</f>
        <v>0</v>
      </c>
      <c r="E226" s="4">
        <f>INDEX(Calculation!$A$1:$K$343,MATCH($A226,Calculation!$B:$B,0),MATCH(E$1,Calculation!$1:$1,0))</f>
        <v>49.038409560194523</v>
      </c>
      <c r="F226" s="4">
        <f>INDEX(Calculation!$A$1:$K$343,MATCH($A226,Calculation!$B:$B,0),MATCH(F$1,Calculation!$1:$1,0))</f>
        <v>0</v>
      </c>
    </row>
    <row r="227" spans="1:6" ht="16" x14ac:dyDescent="0.2">
      <c r="A227" s="2" t="s">
        <v>755</v>
      </c>
      <c r="B227" s="5">
        <f>INDEX(Calculation!$A$1:$K$343,MATCH($A227,Calculation!$B:$B,0),MATCH(B$1,Calculation!$1:$1,0))</f>
        <v>21.414706423111042</v>
      </c>
      <c r="C227" s="6">
        <f t="shared" si="3"/>
        <v>9.6010839052980369E-4</v>
      </c>
      <c r="D227" s="4">
        <f>INDEX(Calculation!$A$1:$I$343,MATCH($A227,Calculation!$B:$B,0),MATCH(D$1,Calculation!$1:$1,0))</f>
        <v>3.383350195385975E-2</v>
      </c>
      <c r="E227" s="4">
        <f>INDEX(Calculation!$A$1:$K$343,MATCH($A227,Calculation!$B:$B,0),MATCH(E$1,Calculation!$1:$1,0))</f>
        <v>36.873674565120417</v>
      </c>
      <c r="F227" s="4">
        <f>INDEX(Calculation!$A$1:$K$343,MATCH($A227,Calculation!$B:$B,0),MATCH(F$1,Calculation!$1:$1,0))</f>
        <v>0</v>
      </c>
    </row>
    <row r="228" spans="1:6" ht="16" x14ac:dyDescent="0.2">
      <c r="A228" s="2" t="s">
        <v>758</v>
      </c>
      <c r="B228" s="5">
        <f>INDEX(Calculation!$A$1:$K$343,MATCH($A228,Calculation!$B:$B,0),MATCH(B$1,Calculation!$1:$1,0))</f>
        <v>67.250476313111733</v>
      </c>
      <c r="C228" s="6">
        <f t="shared" si="3"/>
        <v>3.0151123858350912E-3</v>
      </c>
      <c r="D228" s="4">
        <f>INDEX(Calculation!$A$1:$I$343,MATCH($A228,Calculation!$B:$B,0),MATCH(D$1,Calculation!$1:$1,0))</f>
        <v>1.1604631000694708E-3</v>
      </c>
      <c r="E228" s="4">
        <f>INDEX(Calculation!$A$1:$K$343,MATCH($A228,Calculation!$B:$B,0),MATCH(E$1,Calculation!$1:$1,0))</f>
        <v>93.607461975491987</v>
      </c>
      <c r="F228" s="4">
        <f>INDEX(Calculation!$A$1:$K$343,MATCH($A228,Calculation!$B:$B,0),MATCH(F$1,Calculation!$1:$1,0))</f>
        <v>0</v>
      </c>
    </row>
    <row r="229" spans="1:6" ht="16" x14ac:dyDescent="0.2">
      <c r="A229" s="2" t="s">
        <v>760</v>
      </c>
      <c r="B229" s="5">
        <f>INDEX(Calculation!$A$1:$K$343,MATCH($A229,Calculation!$B:$B,0),MATCH(B$1,Calculation!$1:$1,0))</f>
        <v>46.917532334335192</v>
      </c>
      <c r="C229" s="6">
        <f t="shared" si="3"/>
        <v>2.1035038056153046E-3</v>
      </c>
      <c r="D229" s="4">
        <f>INDEX(Calculation!$A$1:$I$343,MATCH($A229,Calculation!$B:$B,0),MATCH(D$1,Calculation!$1:$1,0))</f>
        <v>0</v>
      </c>
      <c r="E229" s="4">
        <f>INDEX(Calculation!$A$1:$K$343,MATCH($A229,Calculation!$B:$B,0),MATCH(E$1,Calculation!$1:$1,0))</f>
        <v>85.213350190751427</v>
      </c>
      <c r="F229" s="4">
        <f>INDEX(Calculation!$A$1:$K$343,MATCH($A229,Calculation!$B:$B,0),MATCH(F$1,Calculation!$1:$1,0))</f>
        <v>0</v>
      </c>
    </row>
    <row r="230" spans="1:6" ht="16" x14ac:dyDescent="0.2">
      <c r="A230" s="2" t="s">
        <v>762</v>
      </c>
      <c r="B230" s="5">
        <f>INDEX(Calculation!$A$1:$K$343,MATCH($A230,Calculation!$B:$B,0),MATCH(B$1,Calculation!$1:$1,0))</f>
        <v>139.51551140098155</v>
      </c>
      <c r="C230" s="6">
        <f t="shared" si="3"/>
        <v>6.255047837619581E-3</v>
      </c>
      <c r="D230" s="4">
        <f>INDEX(Calculation!$A$1:$I$343,MATCH($A230,Calculation!$B:$B,0),MATCH(D$1,Calculation!$1:$1,0))</f>
        <v>2.2116431812832583E-4</v>
      </c>
      <c r="E230" s="4">
        <f>INDEX(Calculation!$A$1:$K$343,MATCH($A230,Calculation!$B:$B,0),MATCH(E$1,Calculation!$1:$1,0))</f>
        <v>170.97205575674539</v>
      </c>
      <c r="F230" s="4">
        <f>INDEX(Calculation!$A$1:$K$343,MATCH($A230,Calculation!$B:$B,0),MATCH(F$1,Calculation!$1:$1,0))</f>
        <v>0</v>
      </c>
    </row>
    <row r="231" spans="1:6" ht="16" x14ac:dyDescent="0.2">
      <c r="A231" s="2" t="s">
        <v>764</v>
      </c>
      <c r="B231" s="5">
        <f>INDEX(Calculation!$A$1:$K$343,MATCH($A231,Calculation!$B:$B,0),MATCH(B$1,Calculation!$1:$1,0))</f>
        <v>74.838578036741524</v>
      </c>
      <c r="C231" s="6">
        <f t="shared" si="3"/>
        <v>3.3553178497394728E-3</v>
      </c>
      <c r="D231" s="4">
        <f>INDEX(Calculation!$A$1:$I$343,MATCH($A231,Calculation!$B:$B,0),MATCH(D$1,Calculation!$1:$1,0))</f>
        <v>8.2089439811770387E-3</v>
      </c>
      <c r="E231" s="4">
        <f>INDEX(Calculation!$A$1:$K$343,MATCH($A231,Calculation!$B:$B,0),MATCH(E$1,Calculation!$1:$1,0))</f>
        <v>101.76005235897857</v>
      </c>
      <c r="F231" s="4">
        <f>INDEX(Calculation!$A$1:$K$343,MATCH($A231,Calculation!$B:$B,0),MATCH(F$1,Calculation!$1:$1,0))</f>
        <v>129.52333747125442</v>
      </c>
    </row>
    <row r="232" spans="1:6" ht="16" x14ac:dyDescent="0.2">
      <c r="A232" s="2" t="s">
        <v>767</v>
      </c>
      <c r="B232" s="5">
        <f>INDEX(Calculation!$A$1:$K$343,MATCH($A232,Calculation!$B:$B,0),MATCH(B$1,Calculation!$1:$1,0))</f>
        <v>15.303768768759674</v>
      </c>
      <c r="C232" s="6">
        <f t="shared" si="3"/>
        <v>6.8613020002725525E-4</v>
      </c>
      <c r="D232" s="4">
        <f>INDEX(Calculation!$A$1:$I$343,MATCH($A232,Calculation!$B:$B,0),MATCH(D$1,Calculation!$1:$1,0))</f>
        <v>0</v>
      </c>
      <c r="E232" s="4">
        <f>INDEX(Calculation!$A$1:$K$343,MATCH($A232,Calculation!$B:$B,0),MATCH(E$1,Calculation!$1:$1,0))</f>
        <v>45.95756518330171</v>
      </c>
      <c r="F232" s="4">
        <f>INDEX(Calculation!$A$1:$K$343,MATCH($A232,Calculation!$B:$B,0),MATCH(F$1,Calculation!$1:$1,0))</f>
        <v>0</v>
      </c>
    </row>
    <row r="233" spans="1:6" ht="16" x14ac:dyDescent="0.2">
      <c r="A233" s="2" t="s">
        <v>770</v>
      </c>
      <c r="B233" s="5">
        <f>INDEX(Calculation!$A$1:$K$343,MATCH($A233,Calculation!$B:$B,0),MATCH(B$1,Calculation!$1:$1,0))</f>
        <v>14.977226747028578</v>
      </c>
      <c r="C233" s="6">
        <f t="shared" si="3"/>
        <v>6.7148999302510642E-4</v>
      </c>
      <c r="D233" s="4">
        <f>INDEX(Calculation!$A$1:$I$343,MATCH($A233,Calculation!$B:$B,0),MATCH(D$1,Calculation!$1:$1,0))</f>
        <v>0</v>
      </c>
      <c r="E233" s="4">
        <f>INDEX(Calculation!$A$1:$K$343,MATCH($A233,Calculation!$B:$B,0),MATCH(E$1,Calculation!$1:$1,0))</f>
        <v>18.388676730749498</v>
      </c>
      <c r="F233" s="4">
        <f>INDEX(Calculation!$A$1:$K$343,MATCH($A233,Calculation!$B:$B,0),MATCH(F$1,Calculation!$1:$1,0))</f>
        <v>0</v>
      </c>
    </row>
    <row r="234" spans="1:6" ht="16" x14ac:dyDescent="0.2">
      <c r="A234" s="2" t="s">
        <v>773</v>
      </c>
      <c r="B234" s="5">
        <f>INDEX(Calculation!$A$1:$K$343,MATCH($A234,Calculation!$B:$B,0),MATCH(B$1,Calculation!$1:$1,0))</f>
        <v>48.252667209077792</v>
      </c>
      <c r="C234" s="6">
        <f t="shared" si="3"/>
        <v>2.1633633325404979E-3</v>
      </c>
      <c r="D234" s="4">
        <f>INDEX(Calculation!$A$1:$I$343,MATCH($A234,Calculation!$B:$B,0),MATCH(D$1,Calculation!$1:$1,0))</f>
        <v>2.0292956419772591E-4</v>
      </c>
      <c r="E234" s="4">
        <f>INDEX(Calculation!$A$1:$K$343,MATCH($A234,Calculation!$B:$B,0),MATCH(E$1,Calculation!$1:$1,0))</f>
        <v>77.811141929752239</v>
      </c>
      <c r="F234" s="4">
        <f>INDEX(Calculation!$A$1:$K$343,MATCH($A234,Calculation!$B:$B,0),MATCH(F$1,Calculation!$1:$1,0))</f>
        <v>0</v>
      </c>
    </row>
    <row r="235" spans="1:6" ht="16" x14ac:dyDescent="0.2">
      <c r="A235" s="2" t="s">
        <v>776</v>
      </c>
      <c r="B235" s="5">
        <f>INDEX(Calculation!$A$1:$K$343,MATCH($A235,Calculation!$B:$B,0),MATCH(B$1,Calculation!$1:$1,0))</f>
        <v>24.772888473378636</v>
      </c>
      <c r="C235" s="6">
        <f t="shared" si="3"/>
        <v>1.1106693508196386E-3</v>
      </c>
      <c r="D235" s="4">
        <f>INDEX(Calculation!$A$1:$I$343,MATCH($A235,Calculation!$B:$B,0),MATCH(D$1,Calculation!$1:$1,0))</f>
        <v>0</v>
      </c>
      <c r="E235" s="4">
        <f>INDEX(Calculation!$A$1:$K$343,MATCH($A235,Calculation!$B:$B,0),MATCH(E$1,Calculation!$1:$1,0))</f>
        <v>81.774750970587903</v>
      </c>
      <c r="F235" s="4">
        <f>INDEX(Calculation!$A$1:$K$343,MATCH($A235,Calculation!$B:$B,0),MATCH(F$1,Calculation!$1:$1,0))</f>
        <v>0</v>
      </c>
    </row>
    <row r="236" spans="1:6" ht="16" x14ac:dyDescent="0.2">
      <c r="A236" s="2" t="s">
        <v>778</v>
      </c>
      <c r="B236" s="5">
        <f>INDEX(Calculation!$A$1:$K$343,MATCH($A236,Calculation!$B:$B,0),MATCH(B$1,Calculation!$1:$1,0))</f>
        <v>21.796704303347891</v>
      </c>
      <c r="C236" s="6">
        <f t="shared" si="3"/>
        <v>9.7723490922838291E-4</v>
      </c>
      <c r="D236" s="4">
        <f>INDEX(Calculation!$A$1:$I$343,MATCH($A236,Calculation!$B:$B,0),MATCH(D$1,Calculation!$1:$1,0))</f>
        <v>1.3892250004072292E-4</v>
      </c>
      <c r="E236" s="4">
        <f>INDEX(Calculation!$A$1:$K$343,MATCH($A236,Calculation!$B:$B,0),MATCH(E$1,Calculation!$1:$1,0))</f>
        <v>42.022657775035789</v>
      </c>
      <c r="F236" s="4">
        <f>INDEX(Calculation!$A$1:$K$343,MATCH($A236,Calculation!$B:$B,0),MATCH(F$1,Calculation!$1:$1,0))</f>
        <v>0</v>
      </c>
    </row>
    <row r="237" spans="1:6" ht="16" x14ac:dyDescent="0.2">
      <c r="A237" s="2" t="s">
        <v>780</v>
      </c>
      <c r="B237" s="5">
        <f>INDEX(Calculation!$A$1:$K$343,MATCH($A237,Calculation!$B:$B,0),MATCH(B$1,Calculation!$1:$1,0))</f>
        <v>8.3827307102095183</v>
      </c>
      <c r="C237" s="6">
        <f t="shared" si="3"/>
        <v>3.7583191342460578E-4</v>
      </c>
      <c r="D237" s="4">
        <f>INDEX(Calculation!$A$1:$I$343,MATCH($A237,Calculation!$B:$B,0),MATCH(D$1,Calculation!$1:$1,0))</f>
        <v>5.1985241260445935E-3</v>
      </c>
      <c r="E237" s="4">
        <f>INDEX(Calculation!$A$1:$K$343,MATCH($A237,Calculation!$B:$B,0),MATCH(E$1,Calculation!$1:$1,0))</f>
        <v>23.475635983516927</v>
      </c>
      <c r="F237" s="4">
        <f>INDEX(Calculation!$A$1:$K$343,MATCH($A237,Calculation!$B:$B,0),MATCH(F$1,Calculation!$1:$1,0))</f>
        <v>0</v>
      </c>
    </row>
    <row r="238" spans="1:6" ht="16" x14ac:dyDescent="0.2">
      <c r="A238" s="2" t="s">
        <v>783</v>
      </c>
      <c r="B238" s="5">
        <f>INDEX(Calculation!$A$1:$K$343,MATCH($A238,Calculation!$B:$B,0),MATCH(B$1,Calculation!$1:$1,0))</f>
        <v>53.432074349639372</v>
      </c>
      <c r="C238" s="6">
        <f t="shared" si="3"/>
        <v>2.395577221228528E-3</v>
      </c>
      <c r="D238" s="4">
        <f>INDEX(Calculation!$A$1:$I$343,MATCH($A238,Calculation!$B:$B,0),MATCH(D$1,Calculation!$1:$1,0))</f>
        <v>0</v>
      </c>
      <c r="E238" s="4">
        <f>INDEX(Calculation!$A$1:$K$343,MATCH($A238,Calculation!$B:$B,0),MATCH(E$1,Calculation!$1:$1,0))</f>
        <v>94.123212033832999</v>
      </c>
      <c r="F238" s="4">
        <f>INDEX(Calculation!$A$1:$K$343,MATCH($A238,Calculation!$B:$B,0),MATCH(F$1,Calculation!$1:$1,0))</f>
        <v>0</v>
      </c>
    </row>
    <row r="239" spans="1:6" ht="16" x14ac:dyDescent="0.2">
      <c r="A239" s="2" t="s">
        <v>786</v>
      </c>
      <c r="B239" s="5">
        <f>INDEX(Calculation!$A$1:$K$343,MATCH($A239,Calculation!$B:$B,0),MATCH(B$1,Calculation!$1:$1,0))</f>
        <v>0.81476292713890142</v>
      </c>
      <c r="C239" s="6">
        <f t="shared" si="3"/>
        <v>3.6529135967722442E-5</v>
      </c>
      <c r="D239" s="4">
        <f>INDEX(Calculation!$A$1:$I$343,MATCH($A239,Calculation!$B:$B,0),MATCH(D$1,Calculation!$1:$1,0))</f>
        <v>5.3152457279473809E-4</v>
      </c>
      <c r="E239" s="4">
        <f>INDEX(Calculation!$A$1:$K$343,MATCH($A239,Calculation!$B:$B,0),MATCH(E$1,Calculation!$1:$1,0))</f>
        <v>13.976406873865631</v>
      </c>
      <c r="F239" s="4">
        <f>INDEX(Calculation!$A$1:$K$343,MATCH($A239,Calculation!$B:$B,0),MATCH(F$1,Calculation!$1:$1,0))</f>
        <v>0</v>
      </c>
    </row>
    <row r="240" spans="1:6" ht="16" x14ac:dyDescent="0.2">
      <c r="A240" s="2" t="s">
        <v>788</v>
      </c>
      <c r="B240" s="5">
        <f>INDEX(Calculation!$A$1:$K$343,MATCH($A240,Calculation!$B:$B,0),MATCH(B$1,Calculation!$1:$1,0))</f>
        <v>49.19136952704622</v>
      </c>
      <c r="C240" s="6">
        <f t="shared" si="3"/>
        <v>2.2054491755067419E-3</v>
      </c>
      <c r="D240" s="4">
        <f>INDEX(Calculation!$A$1:$I$343,MATCH($A240,Calculation!$B:$B,0),MATCH(D$1,Calculation!$1:$1,0))</f>
        <v>3.7430191362905279E-4</v>
      </c>
      <c r="E240" s="4">
        <f>INDEX(Calculation!$A$1:$K$343,MATCH($A240,Calculation!$B:$B,0),MATCH(E$1,Calculation!$1:$1,0))</f>
        <v>88.214096759287713</v>
      </c>
      <c r="F240" s="4">
        <f>INDEX(Calculation!$A$1:$K$343,MATCH($A240,Calculation!$B:$B,0),MATCH(F$1,Calculation!$1:$1,0))</f>
        <v>0</v>
      </c>
    </row>
    <row r="241" spans="1:6" ht="16" x14ac:dyDescent="0.2">
      <c r="A241" s="2" t="s">
        <v>791</v>
      </c>
      <c r="B241" s="5">
        <f>INDEX(Calculation!$A$1:$K$343,MATCH($A241,Calculation!$B:$B,0),MATCH(B$1,Calculation!$1:$1,0))</f>
        <v>27.81822960691547</v>
      </c>
      <c r="C241" s="6">
        <f t="shared" si="3"/>
        <v>1.2472043803719835E-3</v>
      </c>
      <c r="D241" s="4">
        <f>INDEX(Calculation!$A$1:$I$343,MATCH($A241,Calculation!$B:$B,0),MATCH(D$1,Calculation!$1:$1,0))</f>
        <v>0</v>
      </c>
      <c r="E241" s="4">
        <f>INDEX(Calculation!$A$1:$K$343,MATCH($A241,Calculation!$B:$B,0),MATCH(E$1,Calculation!$1:$1,0))</f>
        <v>60.635630335639064</v>
      </c>
      <c r="F241" s="4">
        <f>INDEX(Calculation!$A$1:$K$343,MATCH($A241,Calculation!$B:$B,0),MATCH(F$1,Calculation!$1:$1,0))</f>
        <v>0</v>
      </c>
    </row>
    <row r="242" spans="1:6" ht="16" x14ac:dyDescent="0.2">
      <c r="A242" s="2" t="s">
        <v>793</v>
      </c>
      <c r="B242" s="5">
        <f>INDEX(Calculation!$A$1:$K$343,MATCH($A242,Calculation!$B:$B,0),MATCH(B$1,Calculation!$1:$1,0))</f>
        <v>80.405993075657634</v>
      </c>
      <c r="C242" s="6">
        <f t="shared" si="3"/>
        <v>3.6049277106832787E-3</v>
      </c>
      <c r="D242" s="4">
        <f>INDEX(Calculation!$A$1:$I$343,MATCH($A242,Calculation!$B:$B,0),MATCH(D$1,Calculation!$1:$1,0))</f>
        <v>2.3337950438773584E-3</v>
      </c>
      <c r="E242" s="4">
        <f>INDEX(Calculation!$A$1:$K$343,MATCH($A242,Calculation!$B:$B,0),MATCH(E$1,Calculation!$1:$1,0))</f>
        <v>99.678007899269176</v>
      </c>
      <c r="F242" s="4">
        <f>INDEX(Calculation!$A$1:$K$343,MATCH($A242,Calculation!$B:$B,0),MATCH(F$1,Calculation!$1:$1,0))</f>
        <v>0</v>
      </c>
    </row>
    <row r="243" spans="1:6" ht="16" x14ac:dyDescent="0.2">
      <c r="A243" s="2" t="s">
        <v>796</v>
      </c>
      <c r="B243" s="5">
        <f>INDEX(Calculation!$A$1:$K$343,MATCH($A243,Calculation!$B:$B,0),MATCH(B$1,Calculation!$1:$1,0))</f>
        <v>71.244131360695633</v>
      </c>
      <c r="C243" s="6">
        <f t="shared" si="3"/>
        <v>3.1941641852998243E-3</v>
      </c>
      <c r="D243" s="4">
        <f>INDEX(Calculation!$A$1:$I$343,MATCH($A243,Calculation!$B:$B,0),MATCH(D$1,Calculation!$1:$1,0))</f>
        <v>3.3421497658994879E-3</v>
      </c>
      <c r="E243" s="4">
        <f>INDEX(Calculation!$A$1:$K$343,MATCH($A243,Calculation!$B:$B,0),MATCH(E$1,Calculation!$1:$1,0))</f>
        <v>106.49715796851181</v>
      </c>
      <c r="F243" s="4">
        <f>INDEX(Calculation!$A$1:$K$343,MATCH($A243,Calculation!$B:$B,0),MATCH(F$1,Calculation!$1:$1,0))</f>
        <v>0</v>
      </c>
    </row>
    <row r="244" spans="1:6" ht="16" x14ac:dyDescent="0.2">
      <c r="A244" s="2" t="s">
        <v>798</v>
      </c>
      <c r="B244" s="5">
        <f>INDEX(Calculation!$A$1:$K$343,MATCH($A244,Calculation!$B:$B,0),MATCH(B$1,Calculation!$1:$1,0))</f>
        <v>23.190115586050243</v>
      </c>
      <c r="C244" s="6">
        <f t="shared" si="3"/>
        <v>1.0397072045542541E-3</v>
      </c>
      <c r="D244" s="4">
        <f>INDEX(Calculation!$A$1:$I$343,MATCH($A244,Calculation!$B:$B,0),MATCH(D$1,Calculation!$1:$1,0))</f>
        <v>9.5212559640770935E-3</v>
      </c>
      <c r="E244" s="4">
        <f>INDEX(Calculation!$A$1:$K$343,MATCH($A244,Calculation!$B:$B,0),MATCH(E$1,Calculation!$1:$1,0))</f>
        <v>218.42384208055719</v>
      </c>
      <c r="F244" s="4">
        <f>INDEX(Calculation!$A$1:$K$343,MATCH($A244,Calculation!$B:$B,0),MATCH(F$1,Calculation!$1:$1,0))</f>
        <v>30.112469722496026</v>
      </c>
    </row>
    <row r="245" spans="1:6" ht="16" x14ac:dyDescent="0.2">
      <c r="A245" s="2" t="s">
        <v>800</v>
      </c>
      <c r="B245" s="5">
        <f>INDEX(Calculation!$A$1:$K$343,MATCH($A245,Calculation!$B:$B,0),MATCH(B$1,Calculation!$1:$1,0))</f>
        <v>0.6132842723617028</v>
      </c>
      <c r="C245" s="6">
        <f t="shared" si="3"/>
        <v>2.7496028385379793E-5</v>
      </c>
      <c r="D245" s="4">
        <f>INDEX(Calculation!$A$1:$I$343,MATCH($A245,Calculation!$B:$B,0),MATCH(D$1,Calculation!$1:$1,0))</f>
        <v>0</v>
      </c>
      <c r="E245" s="4">
        <f>INDEX(Calculation!$A$1:$K$343,MATCH($A245,Calculation!$B:$B,0),MATCH(E$1,Calculation!$1:$1,0))</f>
        <v>27.895860362621061</v>
      </c>
      <c r="F245" s="4">
        <f>INDEX(Calculation!$A$1:$K$343,MATCH($A245,Calculation!$B:$B,0),MATCH(F$1,Calculation!$1:$1,0))</f>
        <v>0</v>
      </c>
    </row>
    <row r="246" spans="1:6" ht="16" x14ac:dyDescent="0.2">
      <c r="A246" s="2" t="s">
        <v>803</v>
      </c>
      <c r="B246" s="5">
        <f>INDEX(Calculation!$A$1:$K$343,MATCH($A246,Calculation!$B:$B,0),MATCH(B$1,Calculation!$1:$1,0))</f>
        <v>42.120844937605582</v>
      </c>
      <c r="C246" s="6">
        <f t="shared" si="3"/>
        <v>1.888448799706911E-3</v>
      </c>
      <c r="D246" s="4">
        <f>INDEX(Calculation!$A$1:$I$343,MATCH($A246,Calculation!$B:$B,0),MATCH(D$1,Calculation!$1:$1,0))</f>
        <v>1.0220024429085409E-3</v>
      </c>
      <c r="E246" s="4">
        <f>INDEX(Calculation!$A$1:$K$343,MATCH($A246,Calculation!$B:$B,0),MATCH(E$1,Calculation!$1:$1,0))</f>
        <v>64.380361000806147</v>
      </c>
      <c r="F246" s="4">
        <f>INDEX(Calculation!$A$1:$K$343,MATCH($A246,Calculation!$B:$B,0),MATCH(F$1,Calculation!$1:$1,0))</f>
        <v>0</v>
      </c>
    </row>
    <row r="247" spans="1:6" ht="16" x14ac:dyDescent="0.2">
      <c r="A247" s="2" t="s">
        <v>806</v>
      </c>
      <c r="B247" s="5">
        <f>INDEX(Calculation!$A$1:$K$343,MATCH($A247,Calculation!$B:$B,0),MATCH(B$1,Calculation!$1:$1,0))</f>
        <v>132.09316224054498</v>
      </c>
      <c r="C247" s="6">
        <f t="shared" si="3"/>
        <v>5.9222737353005206E-3</v>
      </c>
      <c r="D247" s="4">
        <f>INDEX(Calculation!$A$1:$I$343,MATCH($A247,Calculation!$B:$B,0),MATCH(D$1,Calculation!$1:$1,0))</f>
        <v>1.5577895231477193E-3</v>
      </c>
      <c r="E247" s="4">
        <f>INDEX(Calculation!$A$1:$K$343,MATCH($A247,Calculation!$B:$B,0),MATCH(E$1,Calculation!$1:$1,0))</f>
        <v>167.99046125332146</v>
      </c>
      <c r="F247" s="4">
        <f>INDEX(Calculation!$A$1:$K$343,MATCH($A247,Calculation!$B:$B,0),MATCH(F$1,Calculation!$1:$1,0))</f>
        <v>15.276746839212278</v>
      </c>
    </row>
    <row r="248" spans="1:6" ht="16" x14ac:dyDescent="0.2">
      <c r="A248" s="2" t="s">
        <v>808</v>
      </c>
      <c r="B248" s="5">
        <f>INDEX(Calculation!$A$1:$K$343,MATCH($A248,Calculation!$B:$B,0),MATCH(B$1,Calculation!$1:$1,0))</f>
        <v>9.2583777462016155</v>
      </c>
      <c r="C248" s="6">
        <f t="shared" si="3"/>
        <v>4.1509073163054923E-4</v>
      </c>
      <c r="D248" s="4">
        <f>INDEX(Calculation!$A$1:$I$343,MATCH($A248,Calculation!$B:$B,0),MATCH(D$1,Calculation!$1:$1,0))</f>
        <v>0</v>
      </c>
      <c r="E248" s="4">
        <f>INDEX(Calculation!$A$1:$K$343,MATCH($A248,Calculation!$B:$B,0),MATCH(E$1,Calculation!$1:$1,0))</f>
        <v>13.785649335721184</v>
      </c>
      <c r="F248" s="4">
        <f>INDEX(Calculation!$A$1:$K$343,MATCH($A248,Calculation!$B:$B,0),MATCH(F$1,Calculation!$1:$1,0))</f>
        <v>0</v>
      </c>
    </row>
    <row r="249" spans="1:6" ht="16" x14ac:dyDescent="0.2">
      <c r="A249" s="2" t="s">
        <v>811</v>
      </c>
      <c r="B249" s="5">
        <f>INDEX(Calculation!$A$1:$K$343,MATCH($A249,Calculation!$B:$B,0),MATCH(B$1,Calculation!$1:$1,0))</f>
        <v>2.759298091266237</v>
      </c>
      <c r="C249" s="6">
        <f t="shared" si="3"/>
        <v>1.2371055652383385E-4</v>
      </c>
      <c r="D249" s="4">
        <f>INDEX(Calculation!$A$1:$I$343,MATCH($A249,Calculation!$B:$B,0),MATCH(D$1,Calculation!$1:$1,0))</f>
        <v>0</v>
      </c>
      <c r="E249" s="4">
        <f>INDEX(Calculation!$A$1:$K$343,MATCH($A249,Calculation!$B:$B,0),MATCH(E$1,Calculation!$1:$1,0))</f>
        <v>17.807586076247375</v>
      </c>
      <c r="F249" s="4">
        <f>INDEX(Calculation!$A$1:$K$343,MATCH($A249,Calculation!$B:$B,0),MATCH(F$1,Calculation!$1:$1,0))</f>
        <v>0</v>
      </c>
    </row>
    <row r="250" spans="1:6" ht="16" x14ac:dyDescent="0.2">
      <c r="A250" s="2" t="s">
        <v>813</v>
      </c>
      <c r="B250" s="5">
        <f>INDEX(Calculation!$A$1:$K$343,MATCH($A250,Calculation!$B:$B,0),MATCH(B$1,Calculation!$1:$1,0))</f>
        <v>3.0582549677748148</v>
      </c>
      <c r="C250" s="6">
        <f t="shared" si="3"/>
        <v>1.3711400926660411E-4</v>
      </c>
      <c r="D250" s="4">
        <f>INDEX(Calculation!$A$1:$I$343,MATCH($A250,Calculation!$B:$B,0),MATCH(D$1,Calculation!$1:$1,0))</f>
        <v>0</v>
      </c>
      <c r="E250" s="4">
        <f>INDEX(Calculation!$A$1:$K$343,MATCH($A250,Calculation!$B:$B,0),MATCH(E$1,Calculation!$1:$1,0))</f>
        <v>42.933024053928314</v>
      </c>
      <c r="F250" s="4">
        <f>INDEX(Calculation!$A$1:$K$343,MATCH($A250,Calculation!$B:$B,0),MATCH(F$1,Calculation!$1:$1,0))</f>
        <v>160.23018511576078</v>
      </c>
    </row>
    <row r="251" spans="1:6" ht="16" x14ac:dyDescent="0.2">
      <c r="A251" s="2" t="s">
        <v>816</v>
      </c>
      <c r="B251" s="5">
        <f>INDEX(Calculation!$A$1:$K$343,MATCH($A251,Calculation!$B:$B,0),MATCH(B$1,Calculation!$1:$1,0))</f>
        <v>154.01477534142393</v>
      </c>
      <c r="C251" s="6">
        <f t="shared" si="3"/>
        <v>6.905108813972792E-3</v>
      </c>
      <c r="D251" s="4">
        <f>INDEX(Calculation!$A$1:$I$343,MATCH($A251,Calculation!$B:$B,0),MATCH(D$1,Calculation!$1:$1,0))</f>
        <v>4.7766697404976795E-3</v>
      </c>
      <c r="E251" s="4">
        <f>INDEX(Calculation!$A$1:$K$343,MATCH($A251,Calculation!$B:$B,0),MATCH(E$1,Calculation!$1:$1,0))</f>
        <v>228.59786185108095</v>
      </c>
      <c r="F251" s="4">
        <f>INDEX(Calculation!$A$1:$K$343,MATCH($A251,Calculation!$B:$B,0),MATCH(F$1,Calculation!$1:$1,0))</f>
        <v>187.11200533192539</v>
      </c>
    </row>
    <row r="252" spans="1:6" ht="16" x14ac:dyDescent="0.2">
      <c r="A252" s="2" t="s">
        <v>819</v>
      </c>
      <c r="B252" s="5">
        <f>INDEX(Calculation!$A$1:$K$343,MATCH($A252,Calculation!$B:$B,0),MATCH(B$1,Calculation!$1:$1,0))</f>
        <v>11.971203154428121</v>
      </c>
      <c r="C252" s="6">
        <f t="shared" si="3"/>
        <v>5.3671772875201243E-4</v>
      </c>
      <c r="D252" s="4">
        <f>INDEX(Calculation!$A$1:$I$343,MATCH($A252,Calculation!$B:$B,0),MATCH(D$1,Calculation!$1:$1,0))</f>
        <v>0</v>
      </c>
      <c r="E252" s="4">
        <f>INDEX(Calculation!$A$1:$K$343,MATCH($A252,Calculation!$B:$B,0),MATCH(E$1,Calculation!$1:$1,0))</f>
        <v>16.029947167813383</v>
      </c>
      <c r="F252" s="4">
        <f>INDEX(Calculation!$A$1:$K$343,MATCH($A252,Calculation!$B:$B,0),MATCH(F$1,Calculation!$1:$1,0))</f>
        <v>0</v>
      </c>
    </row>
    <row r="253" spans="1:6" ht="16" x14ac:dyDescent="0.2">
      <c r="A253" s="2" t="s">
        <v>822</v>
      </c>
      <c r="B253" s="5">
        <f>INDEX(Calculation!$A$1:$K$343,MATCH($A253,Calculation!$B:$B,0),MATCH(B$1,Calculation!$1:$1,0))</f>
        <v>43.867168107030473</v>
      </c>
      <c r="C253" s="6">
        <f t="shared" si="3"/>
        <v>1.9667435703385533E-3</v>
      </c>
      <c r="D253" s="4">
        <f>INDEX(Calculation!$A$1:$I$343,MATCH($A253,Calculation!$B:$B,0),MATCH(D$1,Calculation!$1:$1,0))</f>
        <v>8.4851304198300533E-5</v>
      </c>
      <c r="E253" s="4">
        <f>INDEX(Calculation!$A$1:$K$343,MATCH($A253,Calculation!$B:$B,0),MATCH(E$1,Calculation!$1:$1,0))</f>
        <v>58.349857361826018</v>
      </c>
      <c r="F253" s="4">
        <f>INDEX(Calculation!$A$1:$K$343,MATCH($A253,Calculation!$B:$B,0),MATCH(F$1,Calculation!$1:$1,0))</f>
        <v>0</v>
      </c>
    </row>
    <row r="254" spans="1:6" ht="16" x14ac:dyDescent="0.2">
      <c r="A254" s="2" t="s">
        <v>825</v>
      </c>
      <c r="B254" s="5">
        <f>INDEX(Calculation!$A$1:$K$343,MATCH($A254,Calculation!$B:$B,0),MATCH(B$1,Calculation!$1:$1,0))</f>
        <v>30.382369830481188</v>
      </c>
      <c r="C254" s="6">
        <f t="shared" si="3"/>
        <v>1.362165215907116E-3</v>
      </c>
      <c r="D254" s="4">
        <f>INDEX(Calculation!$A$1:$I$343,MATCH($A254,Calculation!$B:$B,0),MATCH(D$1,Calculation!$1:$1,0))</f>
        <v>0</v>
      </c>
      <c r="E254" s="4">
        <f>INDEX(Calculation!$A$1:$K$343,MATCH($A254,Calculation!$B:$B,0),MATCH(E$1,Calculation!$1:$1,0))</f>
        <v>78.614331958728101</v>
      </c>
      <c r="F254" s="4">
        <f>INDEX(Calculation!$A$1:$K$343,MATCH($A254,Calculation!$B:$B,0),MATCH(F$1,Calculation!$1:$1,0))</f>
        <v>0</v>
      </c>
    </row>
    <row r="255" spans="1:6" ht="16" x14ac:dyDescent="0.2">
      <c r="A255" s="2" t="s">
        <v>828</v>
      </c>
      <c r="B255" s="5">
        <f>INDEX(Calculation!$A$1:$K$343,MATCH($A255,Calculation!$B:$B,0),MATCH(B$1,Calculation!$1:$1,0))</f>
        <v>6.4834640603700882</v>
      </c>
      <c r="C255" s="6">
        <f t="shared" si="3"/>
        <v>2.9068006448791807E-4</v>
      </c>
      <c r="D255" s="4">
        <f>INDEX(Calculation!$A$1:$I$343,MATCH($A255,Calculation!$B:$B,0),MATCH(D$1,Calculation!$1:$1,0))</f>
        <v>0</v>
      </c>
      <c r="E255" s="4">
        <f>INDEX(Calculation!$A$1:$K$343,MATCH($A255,Calculation!$B:$B,0),MATCH(E$1,Calculation!$1:$1,0))</f>
        <v>12.846620532337219</v>
      </c>
      <c r="F255" s="4">
        <f>INDEX(Calculation!$A$1:$K$343,MATCH($A255,Calculation!$B:$B,0),MATCH(F$1,Calculation!$1:$1,0))</f>
        <v>0</v>
      </c>
    </row>
    <row r="256" spans="1:6" ht="16" x14ac:dyDescent="0.2">
      <c r="A256" s="2" t="s">
        <v>830</v>
      </c>
      <c r="B256" s="5">
        <f>INDEX(Calculation!$A$1:$K$343,MATCH($A256,Calculation!$B:$B,0),MATCH(B$1,Calculation!$1:$1,0))</f>
        <v>245.71999436789957</v>
      </c>
      <c r="C256" s="6">
        <f t="shared" si="3"/>
        <v>1.101662678218884E-2</v>
      </c>
      <c r="D256" s="4">
        <f>INDEX(Calculation!$A$1:$I$343,MATCH($A256,Calculation!$B:$B,0),MATCH(D$1,Calculation!$1:$1,0))</f>
        <v>6.7755984100286589E-5</v>
      </c>
      <c r="E256" s="4">
        <f>INDEX(Calculation!$A$1:$K$343,MATCH($A256,Calculation!$B:$B,0),MATCH(E$1,Calculation!$1:$1,0))</f>
        <v>278.60275138777598</v>
      </c>
      <c r="F256" s="4">
        <f>INDEX(Calculation!$A$1:$K$343,MATCH($A256,Calculation!$B:$B,0),MATCH(F$1,Calculation!$1:$1,0))</f>
        <v>23.93333179013398</v>
      </c>
    </row>
    <row r="257" spans="1:6" ht="16" x14ac:dyDescent="0.2">
      <c r="A257" s="2" t="s">
        <v>833</v>
      </c>
      <c r="B257" s="5">
        <f>INDEX(Calculation!$A$1:$K$343,MATCH($A257,Calculation!$B:$B,0),MATCH(B$1,Calculation!$1:$1,0))</f>
        <v>87.889217028001809</v>
      </c>
      <c r="C257" s="6">
        <f t="shared" si="3"/>
        <v>3.9404310775239936E-3</v>
      </c>
      <c r="D257" s="4">
        <f>INDEX(Calculation!$A$1:$I$343,MATCH($A257,Calculation!$B:$B,0),MATCH(D$1,Calculation!$1:$1,0))</f>
        <v>1.7509891707047498E-4</v>
      </c>
      <c r="E257" s="4">
        <f>INDEX(Calculation!$A$1:$K$343,MATCH($A257,Calculation!$B:$B,0),MATCH(E$1,Calculation!$1:$1,0))</f>
        <v>117.17254397770004</v>
      </c>
      <c r="F257" s="4">
        <f>INDEX(Calculation!$A$1:$K$343,MATCH($A257,Calculation!$B:$B,0),MATCH(F$1,Calculation!$1:$1,0))</f>
        <v>0</v>
      </c>
    </row>
    <row r="258" spans="1:6" ht="16" x14ac:dyDescent="0.2">
      <c r="A258" s="2" t="s">
        <v>836</v>
      </c>
      <c r="B258" s="5">
        <f>INDEX(Calculation!$A$1:$K$343,MATCH($A258,Calculation!$B:$B,0),MATCH(B$1,Calculation!$1:$1,0))</f>
        <v>12.583857270657667</v>
      </c>
      <c r="C258" s="6">
        <f t="shared" si="3"/>
        <v>5.6418550467490813E-4</v>
      </c>
      <c r="D258" s="4">
        <f>INDEX(Calculation!$A$1:$I$343,MATCH($A258,Calculation!$B:$B,0),MATCH(D$1,Calculation!$1:$1,0))</f>
        <v>0</v>
      </c>
      <c r="E258" s="4">
        <f>INDEX(Calculation!$A$1:$K$343,MATCH($A258,Calculation!$B:$B,0),MATCH(E$1,Calculation!$1:$1,0))</f>
        <v>46.249763595312267</v>
      </c>
      <c r="F258" s="4">
        <f>INDEX(Calculation!$A$1:$K$343,MATCH($A258,Calculation!$B:$B,0),MATCH(F$1,Calculation!$1:$1,0))</f>
        <v>0</v>
      </c>
    </row>
    <row r="259" spans="1:6" ht="16" x14ac:dyDescent="0.2">
      <c r="A259" s="2" t="s">
        <v>838</v>
      </c>
      <c r="B259" s="5">
        <f>INDEX(Calculation!$A$1:$K$343,MATCH($A259,Calculation!$B:$B,0),MATCH(B$1,Calculation!$1:$1,0))</f>
        <v>54.224823241943177</v>
      </c>
      <c r="C259" s="6">
        <f t="shared" ref="C259:C322" si="4">B259/SUM($B$2:$B$343)</f>
        <v>2.4311193784753199E-3</v>
      </c>
      <c r="D259" s="4">
        <f>INDEX(Calculation!$A$1:$I$343,MATCH($A259,Calculation!$B:$B,0),MATCH(D$1,Calculation!$1:$1,0))</f>
        <v>6.6913052418041581E-3</v>
      </c>
      <c r="E259" s="4">
        <f>INDEX(Calculation!$A$1:$K$343,MATCH($A259,Calculation!$B:$B,0),MATCH(E$1,Calculation!$1:$1,0))</f>
        <v>80.097911278764627</v>
      </c>
      <c r="F259" s="4">
        <f>INDEX(Calculation!$A$1:$K$343,MATCH($A259,Calculation!$B:$B,0),MATCH(F$1,Calculation!$1:$1,0))</f>
        <v>0</v>
      </c>
    </row>
    <row r="260" spans="1:6" ht="16" x14ac:dyDescent="0.2">
      <c r="A260" s="2" t="s">
        <v>841</v>
      </c>
      <c r="B260" s="5">
        <f>INDEX(Calculation!$A$1:$K$343,MATCH($A260,Calculation!$B:$B,0),MATCH(B$1,Calculation!$1:$1,0))</f>
        <v>11.78907430033869</v>
      </c>
      <c r="C260" s="6">
        <f t="shared" si="4"/>
        <v>5.2855215143734406E-4</v>
      </c>
      <c r="D260" s="4">
        <f>INDEX(Calculation!$A$1:$I$343,MATCH($A260,Calculation!$B:$B,0),MATCH(D$1,Calculation!$1:$1,0))</f>
        <v>0</v>
      </c>
      <c r="E260" s="4">
        <f>INDEX(Calculation!$A$1:$K$343,MATCH($A260,Calculation!$B:$B,0),MATCH(E$1,Calculation!$1:$1,0))</f>
        <v>25.951398759788152</v>
      </c>
      <c r="F260" s="4">
        <f>INDEX(Calculation!$A$1:$K$343,MATCH($A260,Calculation!$B:$B,0),MATCH(F$1,Calculation!$1:$1,0))</f>
        <v>0</v>
      </c>
    </row>
    <row r="261" spans="1:6" ht="16" x14ac:dyDescent="0.2">
      <c r="A261" s="2" t="s">
        <v>844</v>
      </c>
      <c r="B261" s="5">
        <f>INDEX(Calculation!$A$1:$K$343,MATCH($A261,Calculation!$B:$B,0),MATCH(B$1,Calculation!$1:$1,0))</f>
        <v>93.094045293367415</v>
      </c>
      <c r="C261" s="6">
        <f t="shared" si="4"/>
        <v>4.1737846986341651E-3</v>
      </c>
      <c r="D261" s="4">
        <f>INDEX(Calculation!$A$1:$I$343,MATCH($A261,Calculation!$B:$B,0),MATCH(D$1,Calculation!$1:$1,0))</f>
        <v>0</v>
      </c>
      <c r="E261" s="4">
        <f>INDEX(Calculation!$A$1:$K$343,MATCH($A261,Calculation!$B:$B,0),MATCH(E$1,Calculation!$1:$1,0))</f>
        <v>117.62989040439302</v>
      </c>
      <c r="F261" s="4">
        <f>INDEX(Calculation!$A$1:$K$343,MATCH($A261,Calculation!$B:$B,0),MATCH(F$1,Calculation!$1:$1,0))</f>
        <v>0</v>
      </c>
    </row>
    <row r="262" spans="1:6" ht="16" x14ac:dyDescent="0.2">
      <c r="A262" s="2" t="s">
        <v>847</v>
      </c>
      <c r="B262" s="5">
        <f>INDEX(Calculation!$A$1:$K$343,MATCH($A262,Calculation!$B:$B,0),MATCH(B$1,Calculation!$1:$1,0))</f>
        <v>111.40319181976514</v>
      </c>
      <c r="C262" s="6">
        <f t="shared" si="4"/>
        <v>4.9946582075262981E-3</v>
      </c>
      <c r="D262" s="4">
        <f>INDEX(Calculation!$A$1:$I$343,MATCH($A262,Calculation!$B:$B,0),MATCH(D$1,Calculation!$1:$1,0))</f>
        <v>0</v>
      </c>
      <c r="E262" s="4">
        <f>INDEX(Calculation!$A$1:$K$343,MATCH($A262,Calculation!$B:$B,0),MATCH(E$1,Calculation!$1:$1,0))</f>
        <v>133.94303559151425</v>
      </c>
      <c r="F262" s="4">
        <f>INDEX(Calculation!$A$1:$K$343,MATCH($A262,Calculation!$B:$B,0),MATCH(F$1,Calculation!$1:$1,0))</f>
        <v>0</v>
      </c>
    </row>
    <row r="263" spans="1:6" ht="16" x14ac:dyDescent="0.2">
      <c r="A263" s="2" t="s">
        <v>850</v>
      </c>
      <c r="B263" s="5">
        <f>INDEX(Calculation!$A$1:$K$343,MATCH($A263,Calculation!$B:$B,0),MATCH(B$1,Calculation!$1:$1,0))</f>
        <v>7.1666868206774623</v>
      </c>
      <c r="C263" s="6">
        <f t="shared" si="4"/>
        <v>3.2131171975376442E-4</v>
      </c>
      <c r="D263" s="4">
        <f>INDEX(Calculation!$A$1:$I$343,MATCH($A263,Calculation!$B:$B,0),MATCH(D$1,Calculation!$1:$1,0))</f>
        <v>1.5680642771454827E-3</v>
      </c>
      <c r="E263" s="4">
        <f>INDEX(Calculation!$A$1:$K$343,MATCH($A263,Calculation!$B:$B,0),MATCH(E$1,Calculation!$1:$1,0))</f>
        <v>14.48271731834199</v>
      </c>
      <c r="F263" s="4">
        <f>INDEX(Calculation!$A$1:$K$343,MATCH($A263,Calculation!$B:$B,0),MATCH(F$1,Calculation!$1:$1,0))</f>
        <v>0</v>
      </c>
    </row>
    <row r="264" spans="1:6" ht="16" x14ac:dyDescent="0.2">
      <c r="A264" s="2" t="s">
        <v>853</v>
      </c>
      <c r="B264" s="5">
        <f>INDEX(Calculation!$A$1:$K$343,MATCH($A264,Calculation!$B:$B,0),MATCH(B$1,Calculation!$1:$1,0))</f>
        <v>124.93523882467851</v>
      </c>
      <c r="C264" s="6">
        <f t="shared" si="4"/>
        <v>5.6013549146284617E-3</v>
      </c>
      <c r="D264" s="4">
        <f>INDEX(Calculation!$A$1:$I$343,MATCH($A264,Calculation!$B:$B,0),MATCH(D$1,Calculation!$1:$1,0))</f>
        <v>1.259515903095401E-2</v>
      </c>
      <c r="E264" s="4">
        <f>INDEX(Calculation!$A$1:$K$343,MATCH($A264,Calculation!$B:$B,0),MATCH(E$1,Calculation!$1:$1,0))</f>
        <v>146.50394029482462</v>
      </c>
      <c r="F264" s="4">
        <f>INDEX(Calculation!$A$1:$K$343,MATCH($A264,Calculation!$B:$B,0),MATCH(F$1,Calculation!$1:$1,0))</f>
        <v>0</v>
      </c>
    </row>
    <row r="265" spans="1:6" ht="16" x14ac:dyDescent="0.2">
      <c r="A265" s="2" t="s">
        <v>856</v>
      </c>
      <c r="B265" s="5">
        <f>INDEX(Calculation!$A$1:$K$343,MATCH($A265,Calculation!$B:$B,0),MATCH(B$1,Calculation!$1:$1,0))</f>
        <v>190.39263370568565</v>
      </c>
      <c r="C265" s="6">
        <f t="shared" si="4"/>
        <v>8.5360761667327215E-3</v>
      </c>
      <c r="D265" s="4">
        <f>INDEX(Calculation!$A$1:$I$343,MATCH($A265,Calculation!$B:$B,0),MATCH(D$1,Calculation!$1:$1,0))</f>
        <v>0</v>
      </c>
      <c r="E265" s="4">
        <f>INDEX(Calculation!$A$1:$K$343,MATCH($A265,Calculation!$B:$B,0),MATCH(E$1,Calculation!$1:$1,0))</f>
        <v>288.31323997483116</v>
      </c>
      <c r="F265" s="4">
        <f>INDEX(Calculation!$A$1:$K$343,MATCH($A265,Calculation!$B:$B,0),MATCH(F$1,Calculation!$1:$1,0))</f>
        <v>0</v>
      </c>
    </row>
    <row r="266" spans="1:6" ht="16" x14ac:dyDescent="0.2">
      <c r="A266" s="2" t="s">
        <v>859</v>
      </c>
      <c r="B266" s="5">
        <f>INDEX(Calculation!$A$1:$K$343,MATCH($A266,Calculation!$B:$B,0),MATCH(B$1,Calculation!$1:$1,0))</f>
        <v>9.0476565594173515</v>
      </c>
      <c r="C266" s="6">
        <f t="shared" si="4"/>
        <v>4.0564324374551202E-4</v>
      </c>
      <c r="D266" s="4">
        <f>INDEX(Calculation!$A$1:$I$343,MATCH($A266,Calculation!$B:$B,0),MATCH(D$1,Calculation!$1:$1,0))</f>
        <v>0</v>
      </c>
      <c r="E266" s="4">
        <f>INDEX(Calculation!$A$1:$K$343,MATCH($A266,Calculation!$B:$B,0),MATCH(E$1,Calculation!$1:$1,0))</f>
        <v>20.923456959324767</v>
      </c>
      <c r="F266" s="4">
        <f>INDEX(Calculation!$A$1:$K$343,MATCH($A266,Calculation!$B:$B,0),MATCH(F$1,Calculation!$1:$1,0))</f>
        <v>0</v>
      </c>
    </row>
    <row r="267" spans="1:6" ht="16" x14ac:dyDescent="0.2">
      <c r="A267" s="2" t="s">
        <v>862</v>
      </c>
      <c r="B267" s="5">
        <f>INDEX(Calculation!$A$1:$K$343,MATCH($A267,Calculation!$B:$B,0),MATCH(B$1,Calculation!$1:$1,0))</f>
        <v>70.385292907979903</v>
      </c>
      <c r="C267" s="6">
        <f t="shared" si="4"/>
        <v>3.1556589642489246E-3</v>
      </c>
      <c r="D267" s="4">
        <f>INDEX(Calculation!$A$1:$I$343,MATCH($A267,Calculation!$B:$B,0),MATCH(D$1,Calculation!$1:$1,0))</f>
        <v>9.9621642703396577E-4</v>
      </c>
      <c r="E267" s="4">
        <f>INDEX(Calculation!$A$1:$K$343,MATCH($A267,Calculation!$B:$B,0),MATCH(E$1,Calculation!$1:$1,0))</f>
        <v>96.035702615040734</v>
      </c>
      <c r="F267" s="4">
        <f>INDEX(Calculation!$A$1:$K$343,MATCH($A267,Calculation!$B:$B,0),MATCH(F$1,Calculation!$1:$1,0))</f>
        <v>0</v>
      </c>
    </row>
    <row r="268" spans="1:6" ht="16" x14ac:dyDescent="0.2">
      <c r="A268" s="2" t="s">
        <v>865</v>
      </c>
      <c r="B268" s="5">
        <f>INDEX(Calculation!$A$1:$K$343,MATCH($A268,Calculation!$B:$B,0),MATCH(B$1,Calculation!$1:$1,0))</f>
        <v>458.42838755790234</v>
      </c>
      <c r="C268" s="6">
        <f t="shared" si="4"/>
        <v>2.0553209213103413E-2</v>
      </c>
      <c r="D268" s="4">
        <f>INDEX(Calculation!$A$1:$I$343,MATCH($A268,Calculation!$B:$B,0),MATCH(D$1,Calculation!$1:$1,0))</f>
        <v>5.9787719585110716E-4</v>
      </c>
      <c r="E268" s="4">
        <f>INDEX(Calculation!$A$1:$K$343,MATCH($A268,Calculation!$B:$B,0),MATCH(E$1,Calculation!$1:$1,0))</f>
        <v>522.69709907260881</v>
      </c>
      <c r="F268" s="4">
        <f>INDEX(Calculation!$A$1:$K$343,MATCH($A268,Calculation!$B:$B,0),MATCH(F$1,Calculation!$1:$1,0))</f>
        <v>6.4258047457232896</v>
      </c>
    </row>
    <row r="269" spans="1:6" ht="16" x14ac:dyDescent="0.2">
      <c r="A269" s="2" t="s">
        <v>868</v>
      </c>
      <c r="B269" s="5">
        <f>INDEX(Calculation!$A$1:$K$343,MATCH($A269,Calculation!$B:$B,0),MATCH(B$1,Calculation!$1:$1,0))</f>
        <v>196.92188747256648</v>
      </c>
      <c r="C269" s="6">
        <f t="shared" si="4"/>
        <v>8.8288091700072964E-3</v>
      </c>
      <c r="D269" s="4">
        <f>INDEX(Calculation!$A$1:$I$343,MATCH($A269,Calculation!$B:$B,0),MATCH(D$1,Calculation!$1:$1,0))</f>
        <v>7.6106033360343632E-3</v>
      </c>
      <c r="E269" s="4">
        <f>INDEX(Calculation!$A$1:$K$343,MATCH($A269,Calculation!$B:$B,0),MATCH(E$1,Calculation!$1:$1,0))</f>
        <v>250.1269694493979</v>
      </c>
      <c r="F269" s="4">
        <f>INDEX(Calculation!$A$1:$K$343,MATCH($A269,Calculation!$B:$B,0),MATCH(F$1,Calculation!$1:$1,0))</f>
        <v>56.780498612498043</v>
      </c>
    </row>
    <row r="270" spans="1:6" ht="16" x14ac:dyDescent="0.2">
      <c r="A270" s="2" t="s">
        <v>871</v>
      </c>
      <c r="B270" s="5">
        <f>INDEX(Calculation!$A$1:$K$343,MATCH($A270,Calculation!$B:$B,0),MATCH(B$1,Calculation!$1:$1,0))</f>
        <v>13.644874630284004</v>
      </c>
      <c r="C270" s="6">
        <f t="shared" si="4"/>
        <v>6.1175522845947699E-4</v>
      </c>
      <c r="D270" s="4">
        <f>INDEX(Calculation!$A$1:$I$343,MATCH($A270,Calculation!$B:$B,0),MATCH(D$1,Calculation!$1:$1,0))</f>
        <v>0</v>
      </c>
      <c r="E270" s="4">
        <f>INDEX(Calculation!$A$1:$K$343,MATCH($A270,Calculation!$B:$B,0),MATCH(E$1,Calculation!$1:$1,0))</f>
        <v>87.205653423271485</v>
      </c>
      <c r="F270" s="4">
        <f>INDEX(Calculation!$A$1:$K$343,MATCH($A270,Calculation!$B:$B,0),MATCH(F$1,Calculation!$1:$1,0))</f>
        <v>586.28317035020518</v>
      </c>
    </row>
    <row r="271" spans="1:6" ht="16" x14ac:dyDescent="0.2">
      <c r="A271" s="2" t="s">
        <v>874</v>
      </c>
      <c r="B271" s="5">
        <f>INDEX(Calculation!$A$1:$K$343,MATCH($A271,Calculation!$B:$B,0),MATCH(B$1,Calculation!$1:$1,0))</f>
        <v>99.954986057802657</v>
      </c>
      <c r="C271" s="6">
        <f t="shared" si="4"/>
        <v>4.4813885791035787E-3</v>
      </c>
      <c r="D271" s="4">
        <f>INDEX(Calculation!$A$1:$I$343,MATCH($A271,Calculation!$B:$B,0),MATCH(D$1,Calculation!$1:$1,0))</f>
        <v>0</v>
      </c>
      <c r="E271" s="4">
        <f>INDEX(Calculation!$A$1:$K$343,MATCH($A271,Calculation!$B:$B,0),MATCH(E$1,Calculation!$1:$1,0))</f>
        <v>162.25837290647615</v>
      </c>
      <c r="F271" s="4">
        <f>INDEX(Calculation!$A$1:$K$343,MATCH($A271,Calculation!$B:$B,0),MATCH(F$1,Calculation!$1:$1,0))</f>
        <v>298.21901326165863</v>
      </c>
    </row>
    <row r="272" spans="1:6" ht="16" x14ac:dyDescent="0.2">
      <c r="A272" s="2" t="s">
        <v>877</v>
      </c>
      <c r="B272" s="5">
        <f>INDEX(Calculation!$A$1:$K$343,MATCH($A272,Calculation!$B:$B,0),MATCH(B$1,Calculation!$1:$1,0))</f>
        <v>17.371558293032379</v>
      </c>
      <c r="C272" s="6">
        <f t="shared" si="4"/>
        <v>7.7883761487004236E-4</v>
      </c>
      <c r="D272" s="4">
        <f>INDEX(Calculation!$A$1:$I$343,MATCH($A272,Calculation!$B:$B,0),MATCH(D$1,Calculation!$1:$1,0))</f>
        <v>5.4092897487572288E-4</v>
      </c>
      <c r="E272" s="4">
        <f>INDEX(Calculation!$A$1:$K$343,MATCH($A272,Calculation!$B:$B,0),MATCH(E$1,Calculation!$1:$1,0))</f>
        <v>28.318744341808955</v>
      </c>
      <c r="F272" s="4">
        <f>INDEX(Calculation!$A$1:$K$343,MATCH($A272,Calculation!$B:$B,0),MATCH(F$1,Calculation!$1:$1,0))</f>
        <v>0</v>
      </c>
    </row>
    <row r="273" spans="1:6" ht="16" x14ac:dyDescent="0.2">
      <c r="A273" s="2" t="s">
        <v>880</v>
      </c>
      <c r="B273" s="5">
        <f>INDEX(Calculation!$A$1:$K$343,MATCH($A273,Calculation!$B:$B,0),MATCH(B$1,Calculation!$1:$1,0))</f>
        <v>119.76671444038601</v>
      </c>
      <c r="C273" s="6">
        <f t="shared" si="4"/>
        <v>5.3696289441681946E-3</v>
      </c>
      <c r="D273" s="4">
        <f>INDEX(Calculation!$A$1:$I$343,MATCH($A273,Calculation!$B:$B,0),MATCH(D$1,Calculation!$1:$1,0))</f>
        <v>3.7004364809228411E-3</v>
      </c>
      <c r="E273" s="4">
        <f>INDEX(Calculation!$A$1:$K$343,MATCH($A273,Calculation!$B:$B,0),MATCH(E$1,Calculation!$1:$1,0))</f>
        <v>146.71827172796301</v>
      </c>
      <c r="F273" s="4">
        <f>INDEX(Calculation!$A$1:$K$343,MATCH($A273,Calculation!$B:$B,0),MATCH(F$1,Calculation!$1:$1,0))</f>
        <v>91.679182788379464</v>
      </c>
    </row>
    <row r="274" spans="1:6" ht="16" x14ac:dyDescent="0.2">
      <c r="A274" s="2" t="s">
        <v>883</v>
      </c>
      <c r="B274" s="5">
        <f>INDEX(Calculation!$A$1:$K$343,MATCH($A274,Calculation!$B:$B,0),MATCH(B$1,Calculation!$1:$1,0))</f>
        <v>17.551191595242816</v>
      </c>
      <c r="C274" s="6">
        <f t="shared" si="4"/>
        <v>7.8689130644363724E-4</v>
      </c>
      <c r="D274" s="4">
        <f>INDEX(Calculation!$A$1:$I$343,MATCH($A274,Calculation!$B:$B,0),MATCH(D$1,Calculation!$1:$1,0))</f>
        <v>0</v>
      </c>
      <c r="E274" s="4">
        <f>INDEX(Calculation!$A$1:$K$343,MATCH($A274,Calculation!$B:$B,0),MATCH(E$1,Calculation!$1:$1,0))</f>
        <v>32.798899056443688</v>
      </c>
      <c r="F274" s="4">
        <f>INDEX(Calculation!$A$1:$K$343,MATCH($A274,Calculation!$B:$B,0),MATCH(F$1,Calculation!$1:$1,0))</f>
        <v>0</v>
      </c>
    </row>
    <row r="275" spans="1:6" ht="16" x14ac:dyDescent="0.2">
      <c r="A275" s="2" t="s">
        <v>885</v>
      </c>
      <c r="B275" s="5">
        <f>INDEX(Calculation!$A$1:$K$343,MATCH($A275,Calculation!$B:$B,0),MATCH(B$1,Calculation!$1:$1,0))</f>
        <v>44.961327815006683</v>
      </c>
      <c r="C275" s="6">
        <f t="shared" si="4"/>
        <v>2.0157992004019134E-3</v>
      </c>
      <c r="D275" s="4">
        <f>INDEX(Calculation!$A$1:$I$343,MATCH($A275,Calculation!$B:$B,0),MATCH(D$1,Calculation!$1:$1,0))</f>
        <v>5.4827876773059982E-4</v>
      </c>
      <c r="E275" s="4">
        <f>INDEX(Calculation!$A$1:$K$343,MATCH($A275,Calculation!$B:$B,0),MATCH(E$1,Calculation!$1:$1,0))</f>
        <v>125.8860606700889</v>
      </c>
      <c r="F275" s="4">
        <f>INDEX(Calculation!$A$1:$K$343,MATCH($A275,Calculation!$B:$B,0),MATCH(F$1,Calculation!$1:$1,0))</f>
        <v>0</v>
      </c>
    </row>
    <row r="276" spans="1:6" ht="16" x14ac:dyDescent="0.2">
      <c r="A276" s="2" t="s">
        <v>887</v>
      </c>
      <c r="B276" s="5">
        <f>INDEX(Calculation!$A$1:$K$343,MATCH($A276,Calculation!$B:$B,0),MATCH(B$1,Calculation!$1:$1,0))</f>
        <v>125.82809852220208</v>
      </c>
      <c r="C276" s="6">
        <f t="shared" si="4"/>
        <v>5.6413854464611628E-3</v>
      </c>
      <c r="D276" s="4">
        <f>INDEX(Calculation!$A$1:$I$343,MATCH($A276,Calculation!$B:$B,0),MATCH(D$1,Calculation!$1:$1,0))</f>
        <v>0</v>
      </c>
      <c r="E276" s="4">
        <f>INDEX(Calculation!$A$1:$K$343,MATCH($A276,Calculation!$B:$B,0),MATCH(E$1,Calculation!$1:$1,0))</f>
        <v>147.0020894180993</v>
      </c>
      <c r="F276" s="4">
        <f>INDEX(Calculation!$A$1:$K$343,MATCH($A276,Calculation!$B:$B,0),MATCH(F$1,Calculation!$1:$1,0))</f>
        <v>0</v>
      </c>
    </row>
    <row r="277" spans="1:6" ht="16" x14ac:dyDescent="0.2">
      <c r="A277" s="2" t="s">
        <v>890</v>
      </c>
      <c r="B277" s="5">
        <f>INDEX(Calculation!$A$1:$K$343,MATCH($A277,Calculation!$B:$B,0),MATCH(B$1,Calculation!$1:$1,0))</f>
        <v>79.285878196972519</v>
      </c>
      <c r="C277" s="6">
        <f t="shared" si="4"/>
        <v>3.5547084047476982E-3</v>
      </c>
      <c r="D277" s="4">
        <f>INDEX(Calculation!$A$1:$I$343,MATCH($A277,Calculation!$B:$B,0),MATCH(D$1,Calculation!$1:$1,0))</f>
        <v>0</v>
      </c>
      <c r="E277" s="4">
        <f>INDEX(Calculation!$A$1:$K$343,MATCH($A277,Calculation!$B:$B,0),MATCH(E$1,Calculation!$1:$1,0))</f>
        <v>106.14005126260699</v>
      </c>
      <c r="F277" s="4">
        <f>INDEX(Calculation!$A$1:$K$343,MATCH($A277,Calculation!$B:$B,0),MATCH(F$1,Calculation!$1:$1,0))</f>
        <v>0</v>
      </c>
    </row>
    <row r="278" spans="1:6" ht="16" x14ac:dyDescent="0.2">
      <c r="A278" s="2" t="s">
        <v>893</v>
      </c>
      <c r="B278" s="5">
        <f>INDEX(Calculation!$A$1:$K$343,MATCH($A278,Calculation!$B:$B,0),MATCH(B$1,Calculation!$1:$1,0))</f>
        <v>107.78626123630511</v>
      </c>
      <c r="C278" s="6">
        <f t="shared" si="4"/>
        <v>4.8324964980668537E-3</v>
      </c>
      <c r="D278" s="4">
        <f>INDEX(Calculation!$A$1:$I$343,MATCH($A278,Calculation!$B:$B,0),MATCH(D$1,Calculation!$1:$1,0))</f>
        <v>5.1215116468341705E-4</v>
      </c>
      <c r="E278" s="4">
        <f>INDEX(Calculation!$A$1:$K$343,MATCH($A278,Calculation!$B:$B,0),MATCH(E$1,Calculation!$1:$1,0))</f>
        <v>142.87738400862835</v>
      </c>
      <c r="F278" s="4">
        <f>INDEX(Calculation!$A$1:$K$343,MATCH($A278,Calculation!$B:$B,0),MATCH(F$1,Calculation!$1:$1,0))</f>
        <v>0</v>
      </c>
    </row>
    <row r="279" spans="1:6" ht="16" x14ac:dyDescent="0.2">
      <c r="A279" s="2" t="s">
        <v>896</v>
      </c>
      <c r="B279" s="5">
        <f>INDEX(Calculation!$A$1:$K$343,MATCH($A279,Calculation!$B:$B,0),MATCH(B$1,Calculation!$1:$1,0))</f>
        <v>120.16582801032355</v>
      </c>
      <c r="C279" s="6">
        <f t="shared" si="4"/>
        <v>5.3875228288519372E-3</v>
      </c>
      <c r="D279" s="4">
        <f>INDEX(Calculation!$A$1:$I$343,MATCH($A279,Calculation!$B:$B,0),MATCH(D$1,Calculation!$1:$1,0))</f>
        <v>0</v>
      </c>
      <c r="E279" s="4">
        <f>INDEX(Calculation!$A$1:$K$343,MATCH($A279,Calculation!$B:$B,0),MATCH(E$1,Calculation!$1:$1,0))</f>
        <v>148.6322716869291</v>
      </c>
      <c r="F279" s="4">
        <f>INDEX(Calculation!$A$1:$K$343,MATCH($A279,Calculation!$B:$B,0),MATCH(F$1,Calculation!$1:$1,0))</f>
        <v>0</v>
      </c>
    </row>
    <row r="280" spans="1:6" ht="16" x14ac:dyDescent="0.2">
      <c r="A280" s="2" t="s">
        <v>899</v>
      </c>
      <c r="B280" s="5">
        <f>INDEX(Calculation!$A$1:$K$343,MATCH($A280,Calculation!$B:$B,0),MATCH(B$1,Calculation!$1:$1,0))</f>
        <v>14.689519814531875</v>
      </c>
      <c r="C280" s="6">
        <f t="shared" si="4"/>
        <v>6.5859092103009813E-4</v>
      </c>
      <c r="D280" s="4">
        <f>INDEX(Calculation!$A$1:$I$343,MATCH($A280,Calculation!$B:$B,0),MATCH(D$1,Calculation!$1:$1,0))</f>
        <v>0</v>
      </c>
      <c r="E280" s="4">
        <f>INDEX(Calculation!$A$1:$K$343,MATCH($A280,Calculation!$B:$B,0),MATCH(E$1,Calculation!$1:$1,0))</f>
        <v>19.155918747205835</v>
      </c>
      <c r="F280" s="4">
        <f>INDEX(Calculation!$A$1:$K$343,MATCH($A280,Calculation!$B:$B,0),MATCH(F$1,Calculation!$1:$1,0))</f>
        <v>0</v>
      </c>
    </row>
    <row r="281" spans="1:6" ht="16" x14ac:dyDescent="0.2">
      <c r="A281" s="2" t="s">
        <v>901</v>
      </c>
      <c r="B281" s="5">
        <f>INDEX(Calculation!$A$1:$K$343,MATCH($A281,Calculation!$B:$B,0),MATCH(B$1,Calculation!$1:$1,0))</f>
        <v>10.108921604368057</v>
      </c>
      <c r="C281" s="6">
        <f t="shared" si="4"/>
        <v>4.5322407227060065E-4</v>
      </c>
      <c r="D281" s="4">
        <f>INDEX(Calculation!$A$1:$I$343,MATCH($A281,Calculation!$B:$B,0),MATCH(D$1,Calculation!$1:$1,0))</f>
        <v>1.797856878763323E-2</v>
      </c>
      <c r="E281" s="4">
        <f>INDEX(Calculation!$A$1:$K$343,MATCH($A281,Calculation!$B:$B,0),MATCH(E$1,Calculation!$1:$1,0))</f>
        <v>18.121113987190732</v>
      </c>
      <c r="F281" s="4">
        <f>INDEX(Calculation!$A$1:$K$343,MATCH($A281,Calculation!$B:$B,0),MATCH(F$1,Calculation!$1:$1,0))</f>
        <v>0</v>
      </c>
    </row>
    <row r="282" spans="1:6" ht="16" x14ac:dyDescent="0.2">
      <c r="A282" s="2" t="s">
        <v>904</v>
      </c>
      <c r="B282" s="5">
        <f>INDEX(Calculation!$A$1:$K$343,MATCH($A282,Calculation!$B:$B,0),MATCH(B$1,Calculation!$1:$1,0))</f>
        <v>5.4687318499400259</v>
      </c>
      <c r="C282" s="6">
        <f t="shared" si="4"/>
        <v>2.4518549220074769E-4</v>
      </c>
      <c r="D282" s="4">
        <f>INDEX(Calculation!$A$1:$I$343,MATCH($A282,Calculation!$B:$B,0),MATCH(D$1,Calculation!$1:$1,0))</f>
        <v>0</v>
      </c>
      <c r="E282" s="4">
        <f>INDEX(Calculation!$A$1:$K$343,MATCH($A282,Calculation!$B:$B,0),MATCH(E$1,Calculation!$1:$1,0))</f>
        <v>13.142182843566651</v>
      </c>
      <c r="F282" s="4">
        <f>INDEX(Calculation!$A$1:$K$343,MATCH($A282,Calculation!$B:$B,0),MATCH(F$1,Calculation!$1:$1,0))</f>
        <v>0</v>
      </c>
    </row>
    <row r="283" spans="1:6" ht="16" x14ac:dyDescent="0.2">
      <c r="A283" s="2" t="s">
        <v>907</v>
      </c>
      <c r="B283" s="5">
        <f>INDEX(Calculation!$A$1:$K$343,MATCH($A283,Calculation!$B:$B,0),MATCH(B$1,Calculation!$1:$1,0))</f>
        <v>24.168896984966114</v>
      </c>
      <c r="C283" s="6">
        <f t="shared" si="4"/>
        <v>1.0835899557359119E-3</v>
      </c>
      <c r="D283" s="4">
        <f>INDEX(Calculation!$A$1:$I$343,MATCH($A283,Calculation!$B:$B,0),MATCH(D$1,Calculation!$1:$1,0))</f>
        <v>4.7767760755188307E-4</v>
      </c>
      <c r="E283" s="4">
        <f>INDEX(Calculation!$A$1:$K$343,MATCH($A283,Calculation!$B:$B,0),MATCH(E$1,Calculation!$1:$1,0))</f>
        <v>93.770644439743378</v>
      </c>
      <c r="F283" s="4">
        <f>INDEX(Calculation!$A$1:$K$343,MATCH($A283,Calculation!$B:$B,0),MATCH(F$1,Calculation!$1:$1,0))</f>
        <v>0</v>
      </c>
    </row>
    <row r="284" spans="1:6" ht="16" x14ac:dyDescent="0.2">
      <c r="A284" s="2" t="s">
        <v>909</v>
      </c>
      <c r="B284" s="5">
        <f>INDEX(Calculation!$A$1:$K$343,MATCH($A284,Calculation!$B:$B,0),MATCH(B$1,Calculation!$1:$1,0))</f>
        <v>48.403433726017937</v>
      </c>
      <c r="C284" s="6">
        <f t="shared" si="4"/>
        <v>2.1701228087184655E-3</v>
      </c>
      <c r="D284" s="4">
        <f>INDEX(Calculation!$A$1:$I$343,MATCH($A284,Calculation!$B:$B,0),MATCH(D$1,Calculation!$1:$1,0))</f>
        <v>1.1999015763122914E-4</v>
      </c>
      <c r="E284" s="4">
        <f>INDEX(Calculation!$A$1:$K$343,MATCH($A284,Calculation!$B:$B,0),MATCH(E$1,Calculation!$1:$1,0))</f>
        <v>132.01797916509736</v>
      </c>
      <c r="F284" s="4">
        <f>INDEX(Calculation!$A$1:$K$343,MATCH($A284,Calculation!$B:$B,0),MATCH(F$1,Calculation!$1:$1,0))</f>
        <v>0</v>
      </c>
    </row>
    <row r="285" spans="1:6" ht="16" x14ac:dyDescent="0.2">
      <c r="A285" s="2" t="s">
        <v>912</v>
      </c>
      <c r="B285" s="5">
        <f>INDEX(Calculation!$A$1:$K$343,MATCH($A285,Calculation!$B:$B,0),MATCH(B$1,Calculation!$1:$1,0))</f>
        <v>14.649799003799721</v>
      </c>
      <c r="C285" s="6">
        <f t="shared" si="4"/>
        <v>6.5681007552565395E-4</v>
      </c>
      <c r="D285" s="4">
        <f>INDEX(Calculation!$A$1:$I$343,MATCH($A285,Calculation!$B:$B,0),MATCH(D$1,Calculation!$1:$1,0))</f>
        <v>0</v>
      </c>
      <c r="E285" s="4">
        <f>INDEX(Calculation!$A$1:$K$343,MATCH($A285,Calculation!$B:$B,0),MATCH(E$1,Calculation!$1:$1,0))</f>
        <v>23.888343522103025</v>
      </c>
      <c r="F285" s="4">
        <f>INDEX(Calculation!$A$1:$K$343,MATCH($A285,Calculation!$B:$B,0),MATCH(F$1,Calculation!$1:$1,0))</f>
        <v>0</v>
      </c>
    </row>
    <row r="286" spans="1:6" ht="16" x14ac:dyDescent="0.2">
      <c r="A286" s="2" t="s">
        <v>915</v>
      </c>
      <c r="B286" s="5">
        <f>INDEX(Calculation!$A$1:$K$343,MATCH($A286,Calculation!$B:$B,0),MATCH(B$1,Calculation!$1:$1,0))</f>
        <v>24.210698376742585</v>
      </c>
      <c r="C286" s="6">
        <f t="shared" si="4"/>
        <v>1.0854640821510702E-3</v>
      </c>
      <c r="D286" s="4">
        <f>INDEX(Calculation!$A$1:$I$343,MATCH($A286,Calculation!$B:$B,0),MATCH(D$1,Calculation!$1:$1,0))</f>
        <v>0</v>
      </c>
      <c r="E286" s="4">
        <f>INDEX(Calculation!$A$1:$K$343,MATCH($A286,Calculation!$B:$B,0),MATCH(E$1,Calculation!$1:$1,0))</f>
        <v>36.727231305331294</v>
      </c>
      <c r="F286" s="4">
        <f>INDEX(Calculation!$A$1:$K$343,MATCH($A286,Calculation!$B:$B,0),MATCH(F$1,Calculation!$1:$1,0))</f>
        <v>0</v>
      </c>
    </row>
    <row r="287" spans="1:6" ht="16" x14ac:dyDescent="0.2">
      <c r="A287" s="2" t="s">
        <v>918</v>
      </c>
      <c r="B287" s="5">
        <f>INDEX(Calculation!$A$1:$K$343,MATCH($A287,Calculation!$B:$B,0),MATCH(B$1,Calculation!$1:$1,0))</f>
        <v>24.687510973752868</v>
      </c>
      <c r="C287" s="6">
        <f t="shared" si="4"/>
        <v>1.1068415302493463E-3</v>
      </c>
      <c r="D287" s="4">
        <f>INDEX(Calculation!$A$1:$I$343,MATCH($A287,Calculation!$B:$B,0),MATCH(D$1,Calculation!$1:$1,0))</f>
        <v>0</v>
      </c>
      <c r="E287" s="4">
        <f>INDEX(Calculation!$A$1:$K$343,MATCH($A287,Calculation!$B:$B,0),MATCH(E$1,Calculation!$1:$1,0))</f>
        <v>54.905285608962686</v>
      </c>
      <c r="F287" s="4">
        <f>INDEX(Calculation!$A$1:$K$343,MATCH($A287,Calculation!$B:$B,0),MATCH(F$1,Calculation!$1:$1,0))</f>
        <v>0</v>
      </c>
    </row>
    <row r="288" spans="1:6" ht="16" x14ac:dyDescent="0.2">
      <c r="A288" s="2" t="s">
        <v>921</v>
      </c>
      <c r="B288" s="5">
        <f>INDEX(Calculation!$A$1:$K$343,MATCH($A288,Calculation!$B:$B,0),MATCH(B$1,Calculation!$1:$1,0))</f>
        <v>57.000793770357859</v>
      </c>
      <c r="C288" s="6">
        <f t="shared" si="4"/>
        <v>2.5555774281695257E-3</v>
      </c>
      <c r="D288" s="4">
        <f>INDEX(Calculation!$A$1:$I$343,MATCH($A288,Calculation!$B:$B,0),MATCH(D$1,Calculation!$1:$1,0))</f>
        <v>0</v>
      </c>
      <c r="E288" s="4">
        <f>INDEX(Calculation!$A$1:$K$343,MATCH($A288,Calculation!$B:$B,0),MATCH(E$1,Calculation!$1:$1,0))</f>
        <v>75.933264679493092</v>
      </c>
      <c r="F288" s="4">
        <f>INDEX(Calculation!$A$1:$K$343,MATCH($A288,Calculation!$B:$B,0),MATCH(F$1,Calculation!$1:$1,0))</f>
        <v>0</v>
      </c>
    </row>
    <row r="289" spans="1:6" ht="16" x14ac:dyDescent="0.2">
      <c r="A289" s="2" t="s">
        <v>923</v>
      </c>
      <c r="B289" s="5">
        <f>INDEX(Calculation!$A$1:$K$343,MATCH($A289,Calculation!$B:$B,0),MATCH(B$1,Calculation!$1:$1,0))</f>
        <v>3.7933490567361439</v>
      </c>
      <c r="C289" s="6">
        <f t="shared" si="4"/>
        <v>1.7007126717600779E-4</v>
      </c>
      <c r="D289" s="4">
        <f>INDEX(Calculation!$A$1:$I$343,MATCH($A289,Calculation!$B:$B,0),MATCH(D$1,Calculation!$1:$1,0))</f>
        <v>0</v>
      </c>
      <c r="E289" s="4">
        <f>INDEX(Calculation!$A$1:$K$343,MATCH($A289,Calculation!$B:$B,0),MATCH(E$1,Calculation!$1:$1,0))</f>
        <v>19.424255307376242</v>
      </c>
      <c r="F289" s="4">
        <f>INDEX(Calculation!$A$1:$K$343,MATCH($A289,Calculation!$B:$B,0),MATCH(F$1,Calculation!$1:$1,0))</f>
        <v>0</v>
      </c>
    </row>
    <row r="290" spans="1:6" ht="16" x14ac:dyDescent="0.2">
      <c r="A290" s="2" t="s">
        <v>925</v>
      </c>
      <c r="B290" s="5">
        <f>INDEX(Calculation!$A$1:$K$343,MATCH($A290,Calculation!$B:$B,0),MATCH(B$1,Calculation!$1:$1,0))</f>
        <v>94.087580447047927</v>
      </c>
      <c r="C290" s="6">
        <f t="shared" si="4"/>
        <v>4.2183289206509334E-3</v>
      </c>
      <c r="D290" s="4">
        <f>INDEX(Calculation!$A$1:$I$343,MATCH($A290,Calculation!$B:$B,0),MATCH(D$1,Calculation!$1:$1,0))</f>
        <v>7.9107169885616669E-4</v>
      </c>
      <c r="E290" s="4">
        <f>INDEX(Calculation!$A$1:$K$343,MATCH($A290,Calculation!$B:$B,0),MATCH(E$1,Calculation!$1:$1,0))</f>
        <v>132.98760972867646</v>
      </c>
      <c r="F290" s="4">
        <f>INDEX(Calculation!$A$1:$K$343,MATCH($A290,Calculation!$B:$B,0),MATCH(F$1,Calculation!$1:$1,0))</f>
        <v>63.918137882753328</v>
      </c>
    </row>
    <row r="291" spans="1:6" ht="16" x14ac:dyDescent="0.2">
      <c r="A291" s="2" t="s">
        <v>928</v>
      </c>
      <c r="B291" s="5">
        <f>INDEX(Calculation!$A$1:$K$343,MATCH($A291,Calculation!$B:$B,0),MATCH(B$1,Calculation!$1:$1,0))</f>
        <v>11.799494530524873</v>
      </c>
      <c r="C291" s="6">
        <f t="shared" si="4"/>
        <v>5.2901933273954527E-4</v>
      </c>
      <c r="D291" s="4">
        <f>INDEX(Calculation!$A$1:$I$343,MATCH($A291,Calculation!$B:$B,0),MATCH(D$1,Calculation!$1:$1,0))</f>
        <v>2.547696669016826E-4</v>
      </c>
      <c r="E291" s="4">
        <f>INDEX(Calculation!$A$1:$K$343,MATCH($A291,Calculation!$B:$B,0),MATCH(E$1,Calculation!$1:$1,0))</f>
        <v>31.678849915651945</v>
      </c>
      <c r="F291" s="4">
        <f>INDEX(Calculation!$A$1:$K$343,MATCH($A291,Calculation!$B:$B,0),MATCH(F$1,Calculation!$1:$1,0))</f>
        <v>0</v>
      </c>
    </row>
    <row r="292" spans="1:6" ht="16" x14ac:dyDescent="0.2">
      <c r="A292" s="2" t="s">
        <v>931</v>
      </c>
      <c r="B292" s="5">
        <f>INDEX(Calculation!$A$1:$K$343,MATCH($A292,Calculation!$B:$B,0),MATCH(B$1,Calculation!$1:$1,0))</f>
        <v>3.3217045958995626</v>
      </c>
      <c r="C292" s="6">
        <f t="shared" si="4"/>
        <v>1.4892552764313204E-4</v>
      </c>
      <c r="D292" s="4">
        <f>INDEX(Calculation!$A$1:$I$343,MATCH($A292,Calculation!$B:$B,0),MATCH(D$1,Calculation!$1:$1,0))</f>
        <v>0</v>
      </c>
      <c r="E292" s="4">
        <f>INDEX(Calculation!$A$1:$K$343,MATCH($A292,Calculation!$B:$B,0),MATCH(E$1,Calculation!$1:$1,0))</f>
        <v>45.028299914721529</v>
      </c>
      <c r="F292" s="4">
        <f>INDEX(Calculation!$A$1:$K$343,MATCH($A292,Calculation!$B:$B,0),MATCH(F$1,Calculation!$1:$1,0))</f>
        <v>13.878990041315232</v>
      </c>
    </row>
    <row r="293" spans="1:6" ht="16" x14ac:dyDescent="0.2">
      <c r="A293" s="2" t="s">
        <v>934</v>
      </c>
      <c r="B293" s="5">
        <f>INDEX(Calculation!$A$1:$K$343,MATCH($A293,Calculation!$B:$B,0),MATCH(B$1,Calculation!$1:$1,0))</f>
        <v>47.511277424639374</v>
      </c>
      <c r="C293" s="6">
        <f t="shared" si="4"/>
        <v>2.1301238129959195E-3</v>
      </c>
      <c r="D293" s="4">
        <f>INDEX(Calculation!$A$1:$I$343,MATCH($A293,Calculation!$B:$B,0),MATCH(D$1,Calculation!$1:$1,0))</f>
        <v>1.9849041028057783E-2</v>
      </c>
      <c r="E293" s="4">
        <f>INDEX(Calculation!$A$1:$K$343,MATCH($A293,Calculation!$B:$B,0),MATCH(E$1,Calculation!$1:$1,0))</f>
        <v>124.16002405088699</v>
      </c>
      <c r="F293" s="4">
        <f>INDEX(Calculation!$A$1:$K$343,MATCH($A293,Calculation!$B:$B,0),MATCH(F$1,Calculation!$1:$1,0))</f>
        <v>0</v>
      </c>
    </row>
    <row r="294" spans="1:6" ht="16" x14ac:dyDescent="0.2">
      <c r="A294" s="2" t="s">
        <v>936</v>
      </c>
      <c r="B294" s="5">
        <f>INDEX(Calculation!$A$1:$K$343,MATCH($A294,Calculation!$B:$B,0),MATCH(B$1,Calculation!$1:$1,0))</f>
        <v>108.83513371311894</v>
      </c>
      <c r="C294" s="6">
        <f t="shared" si="4"/>
        <v>4.8795217173571784E-3</v>
      </c>
      <c r="D294" s="4">
        <f>INDEX(Calculation!$A$1:$I$343,MATCH($A294,Calculation!$B:$B,0),MATCH(D$1,Calculation!$1:$1,0))</f>
        <v>1.6353329676124316E-3</v>
      </c>
      <c r="E294" s="4">
        <f>INDEX(Calculation!$A$1:$K$343,MATCH($A294,Calculation!$B:$B,0),MATCH(E$1,Calculation!$1:$1,0))</f>
        <v>163.18068076707871</v>
      </c>
      <c r="F294" s="4">
        <f>INDEX(Calculation!$A$1:$K$343,MATCH($A294,Calculation!$B:$B,0),MATCH(F$1,Calculation!$1:$1,0))</f>
        <v>0</v>
      </c>
    </row>
    <row r="295" spans="1:6" ht="16" x14ac:dyDescent="0.2">
      <c r="A295" s="2" t="s">
        <v>938</v>
      </c>
      <c r="B295" s="5">
        <f>INDEX(Calculation!$A$1:$K$343,MATCH($A295,Calculation!$B:$B,0),MATCH(B$1,Calculation!$1:$1,0))</f>
        <v>117.58892481876423</v>
      </c>
      <c r="C295" s="6">
        <f t="shared" si="4"/>
        <v>5.2719897775499094E-3</v>
      </c>
      <c r="D295" s="4">
        <f>INDEX(Calculation!$A$1:$I$343,MATCH($A295,Calculation!$B:$B,0),MATCH(D$1,Calculation!$1:$1,0))</f>
        <v>0</v>
      </c>
      <c r="E295" s="4">
        <f>INDEX(Calculation!$A$1:$K$343,MATCH($A295,Calculation!$B:$B,0),MATCH(E$1,Calculation!$1:$1,0))</f>
        <v>146.27989976866104</v>
      </c>
      <c r="F295" s="4">
        <f>INDEX(Calculation!$A$1:$K$343,MATCH($A295,Calculation!$B:$B,0),MATCH(F$1,Calculation!$1:$1,0))</f>
        <v>0</v>
      </c>
    </row>
    <row r="296" spans="1:6" ht="16" x14ac:dyDescent="0.2">
      <c r="A296" s="2" t="s">
        <v>941</v>
      </c>
      <c r="B296" s="5">
        <f>INDEX(Calculation!$A$1:$K$343,MATCH($A296,Calculation!$B:$B,0),MATCH(B$1,Calculation!$1:$1,0))</f>
        <v>4.0848190491694769</v>
      </c>
      <c r="C296" s="6">
        <f t="shared" si="4"/>
        <v>1.8313905245374062E-4</v>
      </c>
      <c r="D296" s="4">
        <f>INDEX(Calculation!$A$1:$I$343,MATCH($A296,Calculation!$B:$B,0),MATCH(D$1,Calculation!$1:$1,0))</f>
        <v>0</v>
      </c>
      <c r="E296" s="4">
        <f>INDEX(Calculation!$A$1:$K$343,MATCH($A296,Calculation!$B:$B,0),MATCH(E$1,Calculation!$1:$1,0))</f>
        <v>23.36311165888544</v>
      </c>
      <c r="F296" s="4">
        <f>INDEX(Calculation!$A$1:$K$343,MATCH($A296,Calculation!$B:$B,0),MATCH(F$1,Calculation!$1:$1,0))</f>
        <v>0</v>
      </c>
    </row>
    <row r="297" spans="1:6" ht="16" x14ac:dyDescent="0.2">
      <c r="A297" s="2" t="s">
        <v>944</v>
      </c>
      <c r="B297" s="5">
        <f>INDEX(Calculation!$A$1:$K$343,MATCH($A297,Calculation!$B:$B,0),MATCH(B$1,Calculation!$1:$1,0))</f>
        <v>0.12533647833412301</v>
      </c>
      <c r="C297" s="6">
        <f t="shared" si="4"/>
        <v>5.6193441138272877E-6</v>
      </c>
      <c r="D297" s="4">
        <f>INDEX(Calculation!$A$1:$I$343,MATCH($A297,Calculation!$B:$B,0),MATCH(D$1,Calculation!$1:$1,0))</f>
        <v>0</v>
      </c>
      <c r="E297" s="4">
        <f>INDEX(Calculation!$A$1:$K$343,MATCH($A297,Calculation!$B:$B,0),MATCH(E$1,Calculation!$1:$1,0))</f>
        <v>41.839636666572375</v>
      </c>
      <c r="F297" s="4">
        <f>INDEX(Calculation!$A$1:$K$343,MATCH($A297,Calculation!$B:$B,0),MATCH(F$1,Calculation!$1:$1,0))</f>
        <v>273.26182887549066</v>
      </c>
    </row>
    <row r="298" spans="1:6" ht="16" x14ac:dyDescent="0.2">
      <c r="A298" s="2" t="s">
        <v>947</v>
      </c>
      <c r="B298" s="5">
        <f>INDEX(Calculation!$A$1:$K$343,MATCH($A298,Calculation!$B:$B,0),MATCH(B$1,Calculation!$1:$1,0))</f>
        <v>12.315865574517327</v>
      </c>
      <c r="C298" s="6">
        <f t="shared" si="4"/>
        <v>5.5217034691496002E-4</v>
      </c>
      <c r="D298" s="4">
        <f>INDEX(Calculation!$A$1:$I$343,MATCH($A298,Calculation!$B:$B,0),MATCH(D$1,Calculation!$1:$1,0))</f>
        <v>0</v>
      </c>
      <c r="E298" s="4">
        <f>INDEX(Calculation!$A$1:$K$343,MATCH($A298,Calculation!$B:$B,0),MATCH(E$1,Calculation!$1:$1,0))</f>
        <v>34.369799467935195</v>
      </c>
      <c r="F298" s="4">
        <f>INDEX(Calculation!$A$1:$K$343,MATCH($A298,Calculation!$B:$B,0),MATCH(F$1,Calculation!$1:$1,0))</f>
        <v>309.38197168126425</v>
      </c>
    </row>
    <row r="299" spans="1:6" ht="16" x14ac:dyDescent="0.2">
      <c r="A299" s="2" t="s">
        <v>949</v>
      </c>
      <c r="B299" s="5">
        <f>INDEX(Calculation!$A$1:$K$343,MATCH($A299,Calculation!$B:$B,0),MATCH(B$1,Calculation!$1:$1,0))</f>
        <v>25.309496447822688</v>
      </c>
      <c r="C299" s="6">
        <f t="shared" si="4"/>
        <v>1.134727668898327E-3</v>
      </c>
      <c r="D299" s="4">
        <f>INDEX(Calculation!$A$1:$I$343,MATCH($A299,Calculation!$B:$B,0),MATCH(D$1,Calculation!$1:$1,0))</f>
        <v>0</v>
      </c>
      <c r="E299" s="4">
        <f>INDEX(Calculation!$A$1:$K$343,MATCH($A299,Calculation!$B:$B,0),MATCH(E$1,Calculation!$1:$1,0))</f>
        <v>31.510423735834607</v>
      </c>
      <c r="F299" s="4">
        <f>INDEX(Calculation!$A$1:$K$343,MATCH($A299,Calculation!$B:$B,0),MATCH(F$1,Calculation!$1:$1,0))</f>
        <v>0</v>
      </c>
    </row>
    <row r="300" spans="1:6" ht="16" x14ac:dyDescent="0.2">
      <c r="A300" s="2" t="s">
        <v>951</v>
      </c>
      <c r="B300" s="5">
        <f>INDEX(Calculation!$A$1:$K$343,MATCH($A300,Calculation!$B:$B,0),MATCH(B$1,Calculation!$1:$1,0))</f>
        <v>74.91465142633497</v>
      </c>
      <c r="C300" s="6">
        <f t="shared" si="4"/>
        <v>3.3587285292137376E-3</v>
      </c>
      <c r="D300" s="4">
        <f>INDEX(Calculation!$A$1:$I$343,MATCH($A300,Calculation!$B:$B,0),MATCH(D$1,Calculation!$1:$1,0))</f>
        <v>1.9816229834304356E-2</v>
      </c>
      <c r="E300" s="4">
        <f>INDEX(Calculation!$A$1:$K$343,MATCH($A300,Calculation!$B:$B,0),MATCH(E$1,Calculation!$1:$1,0))</f>
        <v>121.76937325163375</v>
      </c>
      <c r="F300" s="4">
        <f>INDEX(Calculation!$A$1:$K$343,MATCH($A300,Calculation!$B:$B,0),MATCH(F$1,Calculation!$1:$1,0))</f>
        <v>40.204921049117019</v>
      </c>
    </row>
    <row r="301" spans="1:6" ht="16" x14ac:dyDescent="0.2">
      <c r="A301" s="2" t="s">
        <v>954</v>
      </c>
      <c r="B301" s="5">
        <f>INDEX(Calculation!$A$1:$K$343,MATCH($A301,Calculation!$B:$B,0),MATCH(B$1,Calculation!$1:$1,0))</f>
        <v>4.4923288341065266</v>
      </c>
      <c r="C301" s="6">
        <f t="shared" si="4"/>
        <v>2.0140937360644206E-4</v>
      </c>
      <c r="D301" s="4">
        <f>INDEX(Calculation!$A$1:$I$343,MATCH($A301,Calculation!$B:$B,0),MATCH(D$1,Calculation!$1:$1,0))</f>
        <v>1.2587619842860821E-4</v>
      </c>
      <c r="E301" s="4">
        <f>INDEX(Calculation!$A$1:$K$343,MATCH($A301,Calculation!$B:$B,0),MATCH(E$1,Calculation!$1:$1,0))</f>
        <v>11.113149500134433</v>
      </c>
      <c r="F301" s="4">
        <f>INDEX(Calculation!$A$1:$K$343,MATCH($A301,Calculation!$B:$B,0),MATCH(F$1,Calculation!$1:$1,0))</f>
        <v>0</v>
      </c>
    </row>
    <row r="302" spans="1:6" ht="16" x14ac:dyDescent="0.2">
      <c r="A302" s="2" t="s">
        <v>956</v>
      </c>
      <c r="B302" s="5">
        <f>INDEX(Calculation!$A$1:$K$343,MATCH($A302,Calculation!$B:$B,0),MATCH(B$1,Calculation!$1:$1,0))</f>
        <v>99.296049400517816</v>
      </c>
      <c r="C302" s="6">
        <f t="shared" si="4"/>
        <v>4.4518457686168527E-3</v>
      </c>
      <c r="D302" s="4">
        <f>INDEX(Calculation!$A$1:$I$343,MATCH($A302,Calculation!$B:$B,0),MATCH(D$1,Calculation!$1:$1,0))</f>
        <v>1.1975112158339679E-3</v>
      </c>
      <c r="E302" s="4">
        <f>INDEX(Calculation!$A$1:$K$343,MATCH($A302,Calculation!$B:$B,0),MATCH(E$1,Calculation!$1:$1,0))</f>
        <v>122.92537781597855</v>
      </c>
      <c r="F302" s="4">
        <f>INDEX(Calculation!$A$1:$K$343,MATCH($A302,Calculation!$B:$B,0),MATCH(F$1,Calculation!$1:$1,0))</f>
        <v>0</v>
      </c>
    </row>
    <row r="303" spans="1:6" ht="16" x14ac:dyDescent="0.2">
      <c r="A303" s="2" t="s">
        <v>959</v>
      </c>
      <c r="B303" s="5">
        <f>INDEX(Calculation!$A$1:$K$343,MATCH($A303,Calculation!$B:$B,0),MATCH(B$1,Calculation!$1:$1,0))</f>
        <v>32.382535129029705</v>
      </c>
      <c r="C303" s="6">
        <f t="shared" si="4"/>
        <v>1.4518407616577916E-3</v>
      </c>
      <c r="D303" s="4">
        <f>INDEX(Calculation!$A$1:$I$343,MATCH($A303,Calculation!$B:$B,0),MATCH(D$1,Calculation!$1:$1,0))</f>
        <v>0</v>
      </c>
      <c r="E303" s="4">
        <f>INDEX(Calculation!$A$1:$K$343,MATCH($A303,Calculation!$B:$B,0),MATCH(E$1,Calculation!$1:$1,0))</f>
        <v>60.018943589764604</v>
      </c>
      <c r="F303" s="4">
        <f>INDEX(Calculation!$A$1:$K$343,MATCH($A303,Calculation!$B:$B,0),MATCH(F$1,Calculation!$1:$1,0))</f>
        <v>0</v>
      </c>
    </row>
    <row r="304" spans="1:6" ht="16" x14ac:dyDescent="0.2">
      <c r="A304" s="2" t="s">
        <v>961</v>
      </c>
      <c r="B304" s="5">
        <f>INDEX(Calculation!$A$1:$K$343,MATCH($A304,Calculation!$B:$B,0),MATCH(B$1,Calculation!$1:$1,0))</f>
        <v>253.55730038482849</v>
      </c>
      <c r="C304" s="6">
        <f t="shared" si="4"/>
        <v>1.1368005088168438E-2</v>
      </c>
      <c r="D304" s="4">
        <f>INDEX(Calculation!$A$1:$I$343,MATCH($A304,Calculation!$B:$B,0),MATCH(D$1,Calculation!$1:$1,0))</f>
        <v>1.0442034744836846E-2</v>
      </c>
      <c r="E304" s="4">
        <f>INDEX(Calculation!$A$1:$K$343,MATCH($A304,Calculation!$B:$B,0),MATCH(E$1,Calculation!$1:$1,0))</f>
        <v>285.41815132724531</v>
      </c>
      <c r="F304" s="4">
        <f>INDEX(Calculation!$A$1:$K$343,MATCH($A304,Calculation!$B:$B,0),MATCH(F$1,Calculation!$1:$1,0))</f>
        <v>26.42682589659044</v>
      </c>
    </row>
    <row r="305" spans="1:6" ht="16" x14ac:dyDescent="0.2">
      <c r="A305" s="2" t="s">
        <v>964</v>
      </c>
      <c r="B305" s="5">
        <f>INDEX(Calculation!$A$1:$K$343,MATCH($A305,Calculation!$B:$B,0),MATCH(B$1,Calculation!$1:$1,0))</f>
        <v>8.510152710807338</v>
      </c>
      <c r="C305" s="6">
        <f t="shared" si="4"/>
        <v>3.8154475998410987E-4</v>
      </c>
      <c r="D305" s="4">
        <f>INDEX(Calculation!$A$1:$I$343,MATCH($A305,Calculation!$B:$B,0),MATCH(D$1,Calculation!$1:$1,0))</f>
        <v>0</v>
      </c>
      <c r="E305" s="4">
        <f>INDEX(Calculation!$A$1:$K$343,MATCH($A305,Calculation!$B:$B,0),MATCH(E$1,Calculation!$1:$1,0))</f>
        <v>22.384666474732402</v>
      </c>
      <c r="F305" s="4">
        <f>INDEX(Calculation!$A$1:$K$343,MATCH($A305,Calculation!$B:$B,0),MATCH(F$1,Calculation!$1:$1,0))</f>
        <v>0</v>
      </c>
    </row>
    <row r="306" spans="1:6" ht="16" x14ac:dyDescent="0.2">
      <c r="A306" s="2" t="s">
        <v>967</v>
      </c>
      <c r="B306" s="5">
        <f>INDEX(Calculation!$A$1:$K$343,MATCH($A306,Calculation!$B:$B,0),MATCH(B$1,Calculation!$1:$1,0))</f>
        <v>42.522184680624832</v>
      </c>
      <c r="C306" s="6">
        <f t="shared" si="4"/>
        <v>1.9064424927845804E-3</v>
      </c>
      <c r="D306" s="4">
        <f>INDEX(Calculation!$A$1:$I$343,MATCH($A306,Calculation!$B:$B,0),MATCH(D$1,Calculation!$1:$1,0))</f>
        <v>1.0929282517171482E-3</v>
      </c>
      <c r="E306" s="4">
        <f>INDEX(Calculation!$A$1:$K$343,MATCH($A306,Calculation!$B:$B,0),MATCH(E$1,Calculation!$1:$1,0))</f>
        <v>64.538438794393301</v>
      </c>
      <c r="F306" s="4">
        <f>INDEX(Calculation!$A$1:$K$343,MATCH($A306,Calculation!$B:$B,0),MATCH(F$1,Calculation!$1:$1,0))</f>
        <v>0</v>
      </c>
    </row>
    <row r="307" spans="1:6" ht="16" x14ac:dyDescent="0.2">
      <c r="A307" s="2" t="s">
        <v>970</v>
      </c>
      <c r="B307" s="5">
        <f>INDEX(Calculation!$A$1:$K$343,MATCH($A307,Calculation!$B:$B,0),MATCH(B$1,Calculation!$1:$1,0))</f>
        <v>17.270449975235778</v>
      </c>
      <c r="C307" s="6">
        <f t="shared" si="4"/>
        <v>7.7430451773805899E-4</v>
      </c>
      <c r="D307" s="4">
        <f>INDEX(Calculation!$A$1:$I$343,MATCH($A307,Calculation!$B:$B,0),MATCH(D$1,Calculation!$1:$1,0))</f>
        <v>7.6960637228445381E-3</v>
      </c>
      <c r="E307" s="4">
        <f>INDEX(Calculation!$A$1:$K$343,MATCH($A307,Calculation!$B:$B,0),MATCH(E$1,Calculation!$1:$1,0))</f>
        <v>27.754262898080455</v>
      </c>
      <c r="F307" s="4">
        <f>INDEX(Calculation!$A$1:$K$343,MATCH($A307,Calculation!$B:$B,0),MATCH(F$1,Calculation!$1:$1,0))</f>
        <v>0</v>
      </c>
    </row>
    <row r="308" spans="1:6" ht="16" x14ac:dyDescent="0.2">
      <c r="A308" s="2" t="s">
        <v>972</v>
      </c>
      <c r="B308" s="5">
        <f>INDEX(Calculation!$A$1:$K$343,MATCH($A308,Calculation!$B:$B,0),MATCH(B$1,Calculation!$1:$1,0))</f>
        <v>15.096172294992988</v>
      </c>
      <c r="C308" s="6">
        <f t="shared" si="4"/>
        <v>6.7682280573616691E-4</v>
      </c>
      <c r="D308" s="4">
        <f>INDEX(Calculation!$A$1:$I$343,MATCH($A308,Calculation!$B:$B,0),MATCH(D$1,Calculation!$1:$1,0))</f>
        <v>2.5616031247493532E-4</v>
      </c>
      <c r="E308" s="4">
        <f>INDEX(Calculation!$A$1:$K$343,MATCH($A308,Calculation!$B:$B,0),MATCH(E$1,Calculation!$1:$1,0))</f>
        <v>30.419446429110263</v>
      </c>
      <c r="F308" s="4">
        <f>INDEX(Calculation!$A$1:$K$343,MATCH($A308,Calculation!$B:$B,0),MATCH(F$1,Calculation!$1:$1,0))</f>
        <v>0</v>
      </c>
    </row>
    <row r="309" spans="1:6" ht="16" x14ac:dyDescent="0.2">
      <c r="A309" s="2" t="s">
        <v>975</v>
      </c>
      <c r="B309" s="5">
        <f>INDEX(Calculation!$A$1:$K$343,MATCH($A309,Calculation!$B:$B,0),MATCH(B$1,Calculation!$1:$1,0))</f>
        <v>12.001746818896486</v>
      </c>
      <c r="C309" s="6">
        <f t="shared" si="4"/>
        <v>5.3808712546258121E-4</v>
      </c>
      <c r="D309" s="4">
        <f>INDEX(Calculation!$A$1:$I$343,MATCH($A309,Calculation!$B:$B,0),MATCH(D$1,Calculation!$1:$1,0))</f>
        <v>0</v>
      </c>
      <c r="E309" s="4">
        <f>INDEX(Calculation!$A$1:$K$343,MATCH($A309,Calculation!$B:$B,0),MATCH(E$1,Calculation!$1:$1,0))</f>
        <v>51.175797610308408</v>
      </c>
      <c r="F309" s="4">
        <f>INDEX(Calculation!$A$1:$K$343,MATCH($A309,Calculation!$B:$B,0),MATCH(F$1,Calculation!$1:$1,0))</f>
        <v>9.453494428750119</v>
      </c>
    </row>
    <row r="310" spans="1:6" ht="16" x14ac:dyDescent="0.2">
      <c r="A310" s="2" t="s">
        <v>978</v>
      </c>
      <c r="B310" s="5">
        <f>INDEX(Calculation!$A$1:$K$343,MATCH($A310,Calculation!$B:$B,0),MATCH(B$1,Calculation!$1:$1,0))</f>
        <v>44.940159662524017</v>
      </c>
      <c r="C310" s="6">
        <f t="shared" si="4"/>
        <v>2.0148501460273607E-3</v>
      </c>
      <c r="D310" s="4">
        <f>INDEX(Calculation!$A$1:$I$343,MATCH($A310,Calculation!$B:$B,0),MATCH(D$1,Calculation!$1:$1,0))</f>
        <v>0</v>
      </c>
      <c r="E310" s="4">
        <f>INDEX(Calculation!$A$1:$K$343,MATCH($A310,Calculation!$B:$B,0),MATCH(E$1,Calculation!$1:$1,0))</f>
        <v>51.992611682177504</v>
      </c>
      <c r="F310" s="4">
        <f>INDEX(Calculation!$A$1:$K$343,MATCH($A310,Calculation!$B:$B,0),MATCH(F$1,Calculation!$1:$1,0))</f>
        <v>0</v>
      </c>
    </row>
    <row r="311" spans="1:6" ht="16" x14ac:dyDescent="0.2">
      <c r="A311" s="2" t="s">
        <v>981</v>
      </c>
      <c r="B311" s="5">
        <f>INDEX(Calculation!$A$1:$K$343,MATCH($A311,Calculation!$B:$B,0),MATCH(B$1,Calculation!$1:$1,0))</f>
        <v>56.714110072165177</v>
      </c>
      <c r="C311" s="6">
        <f t="shared" si="4"/>
        <v>2.5427242319302416E-3</v>
      </c>
      <c r="D311" s="4">
        <f>INDEX(Calculation!$A$1:$I$343,MATCH($A311,Calculation!$B:$B,0),MATCH(D$1,Calculation!$1:$1,0))</f>
        <v>4.325964569211488E-4</v>
      </c>
      <c r="E311" s="4">
        <f>INDEX(Calculation!$A$1:$K$343,MATCH($A311,Calculation!$B:$B,0),MATCH(E$1,Calculation!$1:$1,0))</f>
        <v>104.24572673911184</v>
      </c>
      <c r="F311" s="4">
        <f>INDEX(Calculation!$A$1:$K$343,MATCH($A311,Calculation!$B:$B,0),MATCH(F$1,Calculation!$1:$1,0))</f>
        <v>0</v>
      </c>
    </row>
    <row r="312" spans="1:6" ht="16" x14ac:dyDescent="0.2">
      <c r="A312" s="2" t="s">
        <v>983</v>
      </c>
      <c r="B312" s="5">
        <f>INDEX(Calculation!$A$1:$K$343,MATCH($A312,Calculation!$B:$B,0),MATCH(B$1,Calculation!$1:$1,0))</f>
        <v>171.51023507211309</v>
      </c>
      <c r="C312" s="6">
        <f t="shared" si="4"/>
        <v>7.6895014342462523E-3</v>
      </c>
      <c r="D312" s="4">
        <f>INDEX(Calculation!$A$1:$I$343,MATCH($A312,Calculation!$B:$B,0),MATCH(D$1,Calculation!$1:$1,0))</f>
        <v>6.6800274116733428E-3</v>
      </c>
      <c r="E312" s="4">
        <f>INDEX(Calculation!$A$1:$K$343,MATCH($A312,Calculation!$B:$B,0),MATCH(E$1,Calculation!$1:$1,0))</f>
        <v>215.92656314578923</v>
      </c>
      <c r="F312" s="4">
        <f>INDEX(Calculation!$A$1:$K$343,MATCH($A312,Calculation!$B:$B,0),MATCH(F$1,Calculation!$1:$1,0))</f>
        <v>0</v>
      </c>
    </row>
    <row r="313" spans="1:6" ht="16" x14ac:dyDescent="0.2">
      <c r="A313" s="2" t="s">
        <v>986</v>
      </c>
      <c r="B313" s="5">
        <f>INDEX(Calculation!$A$1:$K$343,MATCH($A313,Calculation!$B:$B,0),MATCH(B$1,Calculation!$1:$1,0))</f>
        <v>61.974435547039377</v>
      </c>
      <c r="C313" s="6">
        <f t="shared" si="4"/>
        <v>2.7785660186704906E-3</v>
      </c>
      <c r="D313" s="4">
        <f>INDEX(Calculation!$A$1:$I$343,MATCH($A313,Calculation!$B:$B,0),MATCH(D$1,Calculation!$1:$1,0))</f>
        <v>5.6560267214239102E-4</v>
      </c>
      <c r="E313" s="4">
        <f>INDEX(Calculation!$A$1:$K$343,MATCH($A313,Calculation!$B:$B,0),MATCH(E$1,Calculation!$1:$1,0))</f>
        <v>76.186741513368219</v>
      </c>
      <c r="F313" s="4">
        <f>INDEX(Calculation!$A$1:$K$343,MATCH($A313,Calculation!$B:$B,0),MATCH(F$1,Calculation!$1:$1,0))</f>
        <v>0</v>
      </c>
    </row>
    <row r="314" spans="1:6" ht="16" x14ac:dyDescent="0.2">
      <c r="A314" s="2" t="s">
        <v>989</v>
      </c>
      <c r="B314" s="5">
        <f>INDEX(Calculation!$A$1:$K$343,MATCH($A314,Calculation!$B:$B,0),MATCH(B$1,Calculation!$1:$1,0))</f>
        <v>322.48695665562815</v>
      </c>
      <c r="C314" s="6">
        <f t="shared" si="4"/>
        <v>1.445840194135657E-2</v>
      </c>
      <c r="D314" s="4">
        <f>INDEX(Calculation!$A$1:$I$343,MATCH($A314,Calculation!$B:$B,0),MATCH(D$1,Calculation!$1:$1,0))</f>
        <v>1.702603933218354E-4</v>
      </c>
      <c r="E314" s="4">
        <f>INDEX(Calculation!$A$1:$K$343,MATCH($A314,Calculation!$B:$B,0),MATCH(E$1,Calculation!$1:$1,0))</f>
        <v>362.63370295940894</v>
      </c>
      <c r="F314" s="4">
        <f>INDEX(Calculation!$A$1:$K$343,MATCH($A314,Calculation!$B:$B,0),MATCH(F$1,Calculation!$1:$1,0))</f>
        <v>0</v>
      </c>
    </row>
    <row r="315" spans="1:6" ht="16" x14ac:dyDescent="0.2">
      <c r="A315" s="2" t="s">
        <v>992</v>
      </c>
      <c r="B315" s="5">
        <f>INDEX(Calculation!$A$1:$K$343,MATCH($A315,Calculation!$B:$B,0),MATCH(B$1,Calculation!$1:$1,0))</f>
        <v>155.81363250161948</v>
      </c>
      <c r="C315" s="6">
        <f t="shared" si="4"/>
        <v>6.9857588970859774E-3</v>
      </c>
      <c r="D315" s="4">
        <f>INDEX(Calculation!$A$1:$I$343,MATCH($A315,Calculation!$B:$B,0),MATCH(D$1,Calculation!$1:$1,0))</f>
        <v>0</v>
      </c>
      <c r="E315" s="4">
        <f>INDEX(Calculation!$A$1:$K$343,MATCH($A315,Calculation!$B:$B,0),MATCH(E$1,Calculation!$1:$1,0))</f>
        <v>278.64917093156777</v>
      </c>
      <c r="F315" s="4">
        <f>INDEX(Calculation!$A$1:$K$343,MATCH($A315,Calculation!$B:$B,0),MATCH(F$1,Calculation!$1:$1,0))</f>
        <v>0</v>
      </c>
    </row>
    <row r="316" spans="1:6" ht="16" x14ac:dyDescent="0.2">
      <c r="A316" s="2" t="s">
        <v>995</v>
      </c>
      <c r="B316" s="5">
        <f>INDEX(Calculation!$A$1:$K$343,MATCH($A316,Calculation!$B:$B,0),MATCH(B$1,Calculation!$1:$1,0))</f>
        <v>2.8999181689944491</v>
      </c>
      <c r="C316" s="6">
        <f t="shared" si="4"/>
        <v>1.3001512656258553E-4</v>
      </c>
      <c r="D316" s="4">
        <f>INDEX(Calculation!$A$1:$I$343,MATCH($A316,Calculation!$B:$B,0),MATCH(D$1,Calculation!$1:$1,0))</f>
        <v>0</v>
      </c>
      <c r="E316" s="4">
        <f>INDEX(Calculation!$A$1:$K$343,MATCH($A316,Calculation!$B:$B,0),MATCH(E$1,Calculation!$1:$1,0))</f>
        <v>7.0139626509463291</v>
      </c>
      <c r="F316" s="4">
        <f>INDEX(Calculation!$A$1:$K$343,MATCH($A316,Calculation!$B:$B,0),MATCH(F$1,Calculation!$1:$1,0))</f>
        <v>0</v>
      </c>
    </row>
    <row r="317" spans="1:6" ht="16" x14ac:dyDescent="0.2">
      <c r="A317" s="2" t="s">
        <v>997</v>
      </c>
      <c r="B317" s="5">
        <f>INDEX(Calculation!$A$1:$K$343,MATCH($A317,Calculation!$B:$B,0),MATCH(B$1,Calculation!$1:$1,0))</f>
        <v>236.18015426930305</v>
      </c>
      <c r="C317" s="6">
        <f t="shared" si="4"/>
        <v>1.0588916948488278E-2</v>
      </c>
      <c r="D317" s="4">
        <f>INDEX(Calculation!$A$1:$I$343,MATCH($A317,Calculation!$B:$B,0),MATCH(D$1,Calculation!$1:$1,0))</f>
        <v>0</v>
      </c>
      <c r="E317" s="4">
        <f>INDEX(Calculation!$A$1:$K$343,MATCH($A317,Calculation!$B:$B,0),MATCH(E$1,Calculation!$1:$1,0))</f>
        <v>275.76967489501271</v>
      </c>
      <c r="F317" s="4">
        <f>INDEX(Calculation!$A$1:$K$343,MATCH($A317,Calculation!$B:$B,0),MATCH(F$1,Calculation!$1:$1,0))</f>
        <v>0</v>
      </c>
    </row>
    <row r="318" spans="1:6" ht="16" x14ac:dyDescent="0.2">
      <c r="A318" s="2" t="s">
        <v>1000</v>
      </c>
      <c r="B318" s="5">
        <f>INDEX(Calculation!$A$1:$K$343,MATCH($A318,Calculation!$B:$B,0),MATCH(B$1,Calculation!$1:$1,0))</f>
        <v>48.191679960875938</v>
      </c>
      <c r="C318" s="6">
        <f t="shared" si="4"/>
        <v>2.1606290261457707E-3</v>
      </c>
      <c r="D318" s="4">
        <f>INDEX(Calculation!$A$1:$I$343,MATCH($A318,Calculation!$B:$B,0),MATCH(D$1,Calculation!$1:$1,0))</f>
        <v>0.24398550613679393</v>
      </c>
      <c r="E318" s="4">
        <f>INDEX(Calculation!$A$1:$K$343,MATCH($A318,Calculation!$B:$B,0),MATCH(E$1,Calculation!$1:$1,0))</f>
        <v>80.756371234754752</v>
      </c>
      <c r="F318" s="4">
        <f>INDEX(Calculation!$A$1:$K$343,MATCH($A318,Calculation!$B:$B,0),MATCH(F$1,Calculation!$1:$1,0))</f>
        <v>7.7257993766131365</v>
      </c>
    </row>
    <row r="319" spans="1:6" ht="16" x14ac:dyDescent="0.2">
      <c r="A319" s="2" t="s">
        <v>1003</v>
      </c>
      <c r="B319" s="5">
        <f>INDEX(Calculation!$A$1:$K$343,MATCH($A319,Calculation!$B:$B,0),MATCH(B$1,Calculation!$1:$1,0))</f>
        <v>182.23760561892138</v>
      </c>
      <c r="C319" s="6">
        <f t="shared" si="4"/>
        <v>8.1704530880684877E-3</v>
      </c>
      <c r="D319" s="4">
        <f>INDEX(Calculation!$A$1:$I$343,MATCH($A319,Calculation!$B:$B,0),MATCH(D$1,Calculation!$1:$1,0))</f>
        <v>4.0041795354533715E-6</v>
      </c>
      <c r="E319" s="4">
        <f>INDEX(Calculation!$A$1:$K$343,MATCH($A319,Calculation!$B:$B,0),MATCH(E$1,Calculation!$1:$1,0))</f>
        <v>220.19973053383598</v>
      </c>
      <c r="F319" s="4">
        <f>INDEX(Calculation!$A$1:$K$343,MATCH($A319,Calculation!$B:$B,0),MATCH(F$1,Calculation!$1:$1,0))</f>
        <v>0</v>
      </c>
    </row>
    <row r="320" spans="1:6" ht="16" x14ac:dyDescent="0.2">
      <c r="A320" s="2" t="s">
        <v>1006</v>
      </c>
      <c r="B320" s="5">
        <f>INDEX(Calculation!$A$1:$K$343,MATCH($A320,Calculation!$B:$B,0),MATCH(B$1,Calculation!$1:$1,0))</f>
        <v>72.894301317410736</v>
      </c>
      <c r="C320" s="6">
        <f t="shared" si="4"/>
        <v>3.2681480163147818E-3</v>
      </c>
      <c r="D320" s="4">
        <f>INDEX(Calculation!$A$1:$I$343,MATCH($A320,Calculation!$B:$B,0),MATCH(D$1,Calculation!$1:$1,0))</f>
        <v>0</v>
      </c>
      <c r="E320" s="4">
        <f>INDEX(Calculation!$A$1:$K$343,MATCH($A320,Calculation!$B:$B,0),MATCH(E$1,Calculation!$1:$1,0))</f>
        <v>94.604629557619447</v>
      </c>
      <c r="F320" s="4">
        <f>INDEX(Calculation!$A$1:$K$343,MATCH($A320,Calculation!$B:$B,0),MATCH(F$1,Calculation!$1:$1,0))</f>
        <v>0</v>
      </c>
    </row>
    <row r="321" spans="1:6" ht="16" x14ac:dyDescent="0.2">
      <c r="A321" s="2" t="s">
        <v>1008</v>
      </c>
      <c r="B321" s="5">
        <f>INDEX(Calculation!$A$1:$K$343,MATCH($A321,Calculation!$B:$B,0),MATCH(B$1,Calculation!$1:$1,0))</f>
        <v>43.811593243833507</v>
      </c>
      <c r="C321" s="6">
        <f t="shared" si="4"/>
        <v>1.9642519231777792E-3</v>
      </c>
      <c r="D321" s="4">
        <f>INDEX(Calculation!$A$1:$I$343,MATCH($A321,Calculation!$B:$B,0),MATCH(D$1,Calculation!$1:$1,0))</f>
        <v>2.0304464311120642E-4</v>
      </c>
      <c r="E321" s="4">
        <f>INDEX(Calculation!$A$1:$K$343,MATCH($A321,Calculation!$B:$B,0),MATCH(E$1,Calculation!$1:$1,0))</f>
        <v>66.038940891860733</v>
      </c>
      <c r="F321" s="4">
        <f>INDEX(Calculation!$A$1:$K$343,MATCH($A321,Calculation!$B:$B,0),MATCH(F$1,Calculation!$1:$1,0))</f>
        <v>0</v>
      </c>
    </row>
    <row r="322" spans="1:6" ht="16" x14ac:dyDescent="0.2">
      <c r="A322" s="2" t="s">
        <v>1010</v>
      </c>
      <c r="B322" s="5">
        <f>INDEX(Calculation!$A$1:$K$343,MATCH($A322,Calculation!$B:$B,0),MATCH(B$1,Calculation!$1:$1,0))</f>
        <v>26.555891440253532</v>
      </c>
      <c r="C322" s="6">
        <f t="shared" si="4"/>
        <v>1.1906086259613534E-3</v>
      </c>
      <c r="D322" s="4">
        <f>INDEX(Calculation!$A$1:$I$343,MATCH($A322,Calculation!$B:$B,0),MATCH(D$1,Calculation!$1:$1,0))</f>
        <v>1.7358270842796593E-4</v>
      </c>
      <c r="E322" s="4">
        <f>INDEX(Calculation!$A$1:$K$343,MATCH($A322,Calculation!$B:$B,0),MATCH(E$1,Calculation!$1:$1,0))</f>
        <v>47.537373663341249</v>
      </c>
      <c r="F322" s="4">
        <f>INDEX(Calculation!$A$1:$K$343,MATCH($A322,Calculation!$B:$B,0),MATCH(F$1,Calculation!$1:$1,0))</f>
        <v>0</v>
      </c>
    </row>
    <row r="323" spans="1:6" ht="16" x14ac:dyDescent="0.2">
      <c r="A323" s="2" t="s">
        <v>1013</v>
      </c>
      <c r="B323" s="5">
        <f>INDEX(Calculation!$A$1:$K$343,MATCH($A323,Calculation!$B:$B,0),MATCH(B$1,Calculation!$1:$1,0))</f>
        <v>36.721000621928752</v>
      </c>
      <c r="C323" s="6">
        <f t="shared" ref="C323:C343" si="5">B323/SUM($B$2:$B$343)</f>
        <v>1.6463518158584245E-3</v>
      </c>
      <c r="D323" s="4">
        <f>INDEX(Calculation!$A$1:$I$343,MATCH($A323,Calculation!$B:$B,0),MATCH(D$1,Calculation!$1:$1,0))</f>
        <v>0</v>
      </c>
      <c r="E323" s="4">
        <f>INDEX(Calculation!$A$1:$K$343,MATCH($A323,Calculation!$B:$B,0),MATCH(E$1,Calculation!$1:$1,0))</f>
        <v>47.576909339130488</v>
      </c>
      <c r="F323" s="4">
        <f>INDEX(Calculation!$A$1:$K$343,MATCH($A323,Calculation!$B:$B,0),MATCH(F$1,Calculation!$1:$1,0))</f>
        <v>0</v>
      </c>
    </row>
    <row r="324" spans="1:6" ht="16" x14ac:dyDescent="0.2">
      <c r="A324" s="2" t="s">
        <v>1016</v>
      </c>
      <c r="B324" s="5">
        <f>INDEX(Calculation!$A$1:$K$343,MATCH($A324,Calculation!$B:$B,0),MATCH(B$1,Calculation!$1:$1,0))</f>
        <v>103.88615378696005</v>
      </c>
      <c r="C324" s="6">
        <f t="shared" si="5"/>
        <v>4.6576388179240692E-3</v>
      </c>
      <c r="D324" s="4">
        <f>INDEX(Calculation!$A$1:$I$343,MATCH($A324,Calculation!$B:$B,0),MATCH(D$1,Calculation!$1:$1,0))</f>
        <v>8.7749876643775641E-5</v>
      </c>
      <c r="E324" s="4">
        <f>INDEX(Calculation!$A$1:$K$343,MATCH($A324,Calculation!$B:$B,0),MATCH(E$1,Calculation!$1:$1,0))</f>
        <v>138.13066598874454</v>
      </c>
      <c r="F324" s="4">
        <f>INDEX(Calculation!$A$1:$K$343,MATCH($A324,Calculation!$B:$B,0),MATCH(F$1,Calculation!$1:$1,0))</f>
        <v>0</v>
      </c>
    </row>
    <row r="325" spans="1:6" ht="16" x14ac:dyDescent="0.2">
      <c r="A325" s="2" t="s">
        <v>1018</v>
      </c>
      <c r="B325" s="5">
        <f>INDEX(Calculation!$A$1:$K$343,MATCH($A325,Calculation!$B:$B,0),MATCH(B$1,Calculation!$1:$1,0))</f>
        <v>41.969524657993553</v>
      </c>
      <c r="C325" s="6">
        <f t="shared" si="5"/>
        <v>1.881664496096004E-3</v>
      </c>
      <c r="D325" s="4">
        <f>INDEX(Calculation!$A$1:$I$343,MATCH($A325,Calculation!$B:$B,0),MATCH(D$1,Calculation!$1:$1,0))</f>
        <v>1.2004130079114423E-4</v>
      </c>
      <c r="E325" s="4">
        <f>INDEX(Calculation!$A$1:$K$343,MATCH($A325,Calculation!$B:$B,0),MATCH(E$1,Calculation!$1:$1,0))</f>
        <v>91.656953548085298</v>
      </c>
      <c r="F325" s="4">
        <f>INDEX(Calculation!$A$1:$K$343,MATCH($A325,Calculation!$B:$B,0),MATCH(F$1,Calculation!$1:$1,0))</f>
        <v>0</v>
      </c>
    </row>
    <row r="326" spans="1:6" ht="16" x14ac:dyDescent="0.2">
      <c r="A326" s="2" t="s">
        <v>1021</v>
      </c>
      <c r="B326" s="5">
        <f>INDEX(Calculation!$A$1:$K$343,MATCH($A326,Calculation!$B:$B,0),MATCH(B$1,Calculation!$1:$1,0))</f>
        <v>71.75668119977118</v>
      </c>
      <c r="C326" s="6">
        <f t="shared" si="5"/>
        <v>3.2171438793165514E-3</v>
      </c>
      <c r="D326" s="4">
        <f>INDEX(Calculation!$A$1:$I$343,MATCH($A326,Calculation!$B:$B,0),MATCH(D$1,Calculation!$1:$1,0))</f>
        <v>5.4072587387796692E-3</v>
      </c>
      <c r="E326" s="4">
        <f>INDEX(Calculation!$A$1:$K$343,MATCH($A326,Calculation!$B:$B,0),MATCH(E$1,Calculation!$1:$1,0))</f>
        <v>88.554933079039515</v>
      </c>
      <c r="F326" s="4">
        <f>INDEX(Calculation!$A$1:$K$343,MATCH($A326,Calculation!$B:$B,0),MATCH(F$1,Calculation!$1:$1,0))</f>
        <v>0</v>
      </c>
    </row>
    <row r="327" spans="1:6" ht="16" x14ac:dyDescent="0.2">
      <c r="A327" s="2" t="s">
        <v>1023</v>
      </c>
      <c r="B327" s="5">
        <f>INDEX(Calculation!$A$1:$K$343,MATCH($A327,Calculation!$B:$B,0),MATCH(B$1,Calculation!$1:$1,0))</f>
        <v>185.01621224946857</v>
      </c>
      <c r="C327" s="6">
        <f t="shared" si="5"/>
        <v>8.2950293249433038E-3</v>
      </c>
      <c r="D327" s="4">
        <f>INDEX(Calculation!$A$1:$I$343,MATCH($A327,Calculation!$B:$B,0),MATCH(D$1,Calculation!$1:$1,0))</f>
        <v>0</v>
      </c>
      <c r="E327" s="4">
        <f>INDEX(Calculation!$A$1:$K$343,MATCH($A327,Calculation!$B:$B,0),MATCH(E$1,Calculation!$1:$1,0))</f>
        <v>224.3901197162661</v>
      </c>
      <c r="F327" s="4">
        <f>INDEX(Calculation!$A$1:$K$343,MATCH($A327,Calculation!$B:$B,0),MATCH(F$1,Calculation!$1:$1,0))</f>
        <v>0</v>
      </c>
    </row>
    <row r="328" spans="1:6" ht="16" x14ac:dyDescent="0.2">
      <c r="A328" s="2" t="s">
        <v>1026</v>
      </c>
      <c r="B328" s="5">
        <f>INDEX(Calculation!$A$1:$K$343,MATCH($A328,Calculation!$B:$B,0),MATCH(B$1,Calculation!$1:$1,0))</f>
        <v>32.273897267981049</v>
      </c>
      <c r="C328" s="6">
        <f t="shared" si="5"/>
        <v>1.4469700844763637E-3</v>
      </c>
      <c r="D328" s="4">
        <f>INDEX(Calculation!$A$1:$I$343,MATCH($A328,Calculation!$B:$B,0),MATCH(D$1,Calculation!$1:$1,0))</f>
        <v>0</v>
      </c>
      <c r="E328" s="4">
        <f>INDEX(Calculation!$A$1:$K$343,MATCH($A328,Calculation!$B:$B,0),MATCH(E$1,Calculation!$1:$1,0))</f>
        <v>38.514072935314282</v>
      </c>
      <c r="F328" s="4">
        <f>INDEX(Calculation!$A$1:$K$343,MATCH($A328,Calculation!$B:$B,0),MATCH(F$1,Calculation!$1:$1,0))</f>
        <v>0</v>
      </c>
    </row>
    <row r="329" spans="1:6" ht="16" x14ac:dyDescent="0.2">
      <c r="A329" s="2" t="s">
        <v>1029</v>
      </c>
      <c r="B329" s="5">
        <f>INDEX(Calculation!$A$1:$K$343,MATCH($A329,Calculation!$B:$B,0),MATCH(B$1,Calculation!$1:$1,0))</f>
        <v>22.522274810551043</v>
      </c>
      <c r="C329" s="6">
        <f t="shared" si="5"/>
        <v>1.0097651862316158E-3</v>
      </c>
      <c r="D329" s="4">
        <f>INDEX(Calculation!$A$1:$I$343,MATCH($A329,Calculation!$B:$B,0),MATCH(D$1,Calculation!$1:$1,0))</f>
        <v>0</v>
      </c>
      <c r="E329" s="4">
        <f>INDEX(Calculation!$A$1:$K$343,MATCH($A329,Calculation!$B:$B,0),MATCH(E$1,Calculation!$1:$1,0))</f>
        <v>36.521839908104205</v>
      </c>
      <c r="F329" s="4">
        <f>INDEX(Calculation!$A$1:$K$343,MATCH($A329,Calculation!$B:$B,0),MATCH(F$1,Calculation!$1:$1,0))</f>
        <v>0</v>
      </c>
    </row>
    <row r="330" spans="1:6" ht="16" x14ac:dyDescent="0.2">
      <c r="A330" s="2" t="s">
        <v>1032</v>
      </c>
      <c r="B330" s="5">
        <f>INDEX(Calculation!$A$1:$K$343,MATCH($A330,Calculation!$B:$B,0),MATCH(B$1,Calculation!$1:$1,0))</f>
        <v>35.943576317213264</v>
      </c>
      <c r="C330" s="6">
        <f t="shared" si="5"/>
        <v>1.6114967222040188E-3</v>
      </c>
      <c r="D330" s="4">
        <f>INDEX(Calculation!$A$1:$I$343,MATCH($A330,Calculation!$B:$B,0),MATCH(D$1,Calculation!$1:$1,0))</f>
        <v>5.5748341125544474E-4</v>
      </c>
      <c r="E330" s="4">
        <f>INDEX(Calculation!$A$1:$K$343,MATCH($A330,Calculation!$B:$B,0),MATCH(E$1,Calculation!$1:$1,0))</f>
        <v>73.740614898965731</v>
      </c>
      <c r="F330" s="4">
        <f>INDEX(Calculation!$A$1:$K$343,MATCH($A330,Calculation!$B:$B,0),MATCH(F$1,Calculation!$1:$1,0))</f>
        <v>0</v>
      </c>
    </row>
    <row r="331" spans="1:6" ht="16" x14ac:dyDescent="0.2">
      <c r="A331" s="2" t="s">
        <v>1035</v>
      </c>
      <c r="B331" s="5">
        <f>INDEX(Calculation!$A$1:$K$343,MATCH($A331,Calculation!$B:$B,0),MATCH(B$1,Calculation!$1:$1,0))</f>
        <v>59.471175130713945</v>
      </c>
      <c r="C331" s="6">
        <f t="shared" si="5"/>
        <v>2.6663346725147759E-3</v>
      </c>
      <c r="D331" s="4">
        <f>INDEX(Calculation!$A$1:$I$343,MATCH($A331,Calculation!$B:$B,0),MATCH(D$1,Calculation!$1:$1,0))</f>
        <v>2.5089957627346275E-2</v>
      </c>
      <c r="E331" s="4">
        <f>INDEX(Calculation!$A$1:$K$343,MATCH($A331,Calculation!$B:$B,0),MATCH(E$1,Calculation!$1:$1,0))</f>
        <v>78.649633474631059</v>
      </c>
      <c r="F331" s="4">
        <f>INDEX(Calculation!$A$1:$K$343,MATCH($A331,Calculation!$B:$B,0),MATCH(F$1,Calculation!$1:$1,0))</f>
        <v>0</v>
      </c>
    </row>
    <row r="332" spans="1:6" ht="16" x14ac:dyDescent="0.2">
      <c r="A332" s="2" t="s">
        <v>1037</v>
      </c>
      <c r="B332" s="5">
        <f>INDEX(Calculation!$A$1:$K$343,MATCH($A332,Calculation!$B:$B,0),MATCH(B$1,Calculation!$1:$1,0))</f>
        <v>0.10588171661845099</v>
      </c>
      <c r="C332" s="6">
        <f t="shared" si="5"/>
        <v>4.7471080163566069E-6</v>
      </c>
      <c r="D332" s="4">
        <f>INDEX(Calculation!$A$1:$I$343,MATCH($A332,Calculation!$B:$B,0),MATCH(D$1,Calculation!$1:$1,0))</f>
        <v>0</v>
      </c>
      <c r="E332" s="4">
        <f>INDEX(Calculation!$A$1:$K$343,MATCH($A332,Calculation!$B:$B,0),MATCH(E$1,Calculation!$1:$1,0))</f>
        <v>32.078735042693069</v>
      </c>
      <c r="F332" s="4">
        <f>INDEX(Calculation!$A$1:$K$343,MATCH($A332,Calculation!$B:$B,0),MATCH(F$1,Calculation!$1:$1,0))</f>
        <v>10.227055795381215</v>
      </c>
    </row>
    <row r="333" spans="1:6" ht="16" x14ac:dyDescent="0.2">
      <c r="A333" s="2" t="s">
        <v>1039</v>
      </c>
      <c r="B333" s="5">
        <f>INDEX(Calculation!$A$1:$K$343,MATCH($A333,Calculation!$B:$B,0),MATCH(B$1,Calculation!$1:$1,0))</f>
        <v>173.07825623075408</v>
      </c>
      <c r="C333" s="6">
        <f t="shared" si="5"/>
        <v>7.7598022005138092E-3</v>
      </c>
      <c r="D333" s="4">
        <f>INDEX(Calculation!$A$1:$I$343,MATCH($A333,Calculation!$B:$B,0),MATCH(D$1,Calculation!$1:$1,0))</f>
        <v>1.1355477828462859E-4</v>
      </c>
      <c r="E333" s="4">
        <f>INDEX(Calculation!$A$1:$K$343,MATCH($A333,Calculation!$B:$B,0),MATCH(E$1,Calculation!$1:$1,0))</f>
        <v>247.10788859716894</v>
      </c>
      <c r="F333" s="4">
        <f>INDEX(Calculation!$A$1:$K$343,MATCH($A333,Calculation!$B:$B,0),MATCH(F$1,Calculation!$1:$1,0))</f>
        <v>0</v>
      </c>
    </row>
    <row r="334" spans="1:6" ht="16" x14ac:dyDescent="0.2">
      <c r="A334" s="2" t="s">
        <v>1042</v>
      </c>
      <c r="B334" s="5">
        <f>INDEX(Calculation!$A$1:$K$343,MATCH($A334,Calculation!$B:$B,0),MATCH(B$1,Calculation!$1:$1,0))</f>
        <v>5.9056044434414581</v>
      </c>
      <c r="C334" s="6">
        <f t="shared" si="5"/>
        <v>2.647722674908619E-4</v>
      </c>
      <c r="D334" s="4">
        <f>INDEX(Calculation!$A$1:$I$343,MATCH($A334,Calculation!$B:$B,0),MATCH(D$1,Calculation!$1:$1,0))</f>
        <v>0</v>
      </c>
      <c r="E334" s="4">
        <f>INDEX(Calculation!$A$1:$K$343,MATCH($A334,Calculation!$B:$B,0),MATCH(E$1,Calculation!$1:$1,0))</f>
        <v>48.50066542818513</v>
      </c>
      <c r="F334" s="4">
        <f>INDEX(Calculation!$A$1:$K$343,MATCH($A334,Calculation!$B:$B,0),MATCH(F$1,Calculation!$1:$1,0))</f>
        <v>0</v>
      </c>
    </row>
    <row r="335" spans="1:6" ht="16" x14ac:dyDescent="0.2">
      <c r="A335" s="2" t="s">
        <v>1045</v>
      </c>
      <c r="B335" s="5">
        <f>INDEX(Calculation!$A$1:$K$343,MATCH($A335,Calculation!$B:$B,0),MATCH(B$1,Calculation!$1:$1,0))</f>
        <v>67.887294677694527</v>
      </c>
      <c r="C335" s="6">
        <f t="shared" si="5"/>
        <v>3.0436635432966553E-3</v>
      </c>
      <c r="D335" s="4">
        <f>INDEX(Calculation!$A$1:$I$343,MATCH($A335,Calculation!$B:$B,0),MATCH(D$1,Calculation!$1:$1,0))</f>
        <v>3.1412449661522886E-4</v>
      </c>
      <c r="E335" s="4">
        <f>INDEX(Calculation!$A$1:$K$343,MATCH($A335,Calculation!$B:$B,0),MATCH(E$1,Calculation!$1:$1,0))</f>
        <v>92.617458208151817</v>
      </c>
      <c r="F335" s="4">
        <f>INDEX(Calculation!$A$1:$K$343,MATCH($A335,Calculation!$B:$B,0),MATCH(F$1,Calculation!$1:$1,0))</f>
        <v>0</v>
      </c>
    </row>
    <row r="336" spans="1:6" ht="16" x14ac:dyDescent="0.2">
      <c r="A336" s="2" t="s">
        <v>1047</v>
      </c>
      <c r="B336" s="5">
        <f>INDEX(Calculation!$A$1:$K$343,MATCH($A336,Calculation!$B:$B,0),MATCH(B$1,Calculation!$1:$1,0))</f>
        <v>7.0123472418291701</v>
      </c>
      <c r="C336" s="6">
        <f t="shared" si="5"/>
        <v>3.1439204867748195E-4</v>
      </c>
      <c r="D336" s="4">
        <f>INDEX(Calculation!$A$1:$I$343,MATCH($A336,Calculation!$B:$B,0),MATCH(D$1,Calculation!$1:$1,0))</f>
        <v>3.4067701868579124E-6</v>
      </c>
      <c r="E336" s="4">
        <f>INDEX(Calculation!$A$1:$K$343,MATCH($A336,Calculation!$B:$B,0),MATCH(E$1,Calculation!$1:$1,0))</f>
        <v>34.429411935612272</v>
      </c>
      <c r="F336" s="4">
        <f>INDEX(Calculation!$A$1:$K$343,MATCH($A336,Calculation!$B:$B,0),MATCH(F$1,Calculation!$1:$1,0))</f>
        <v>0</v>
      </c>
    </row>
    <row r="337" spans="1:6" ht="16" x14ac:dyDescent="0.2">
      <c r="A337" s="2" t="s">
        <v>1049</v>
      </c>
      <c r="B337" s="5">
        <f>INDEX(Calculation!$A$1:$K$343,MATCH($A337,Calculation!$B:$B,0),MATCH(B$1,Calculation!$1:$1,0))</f>
        <v>17.504050345714013</v>
      </c>
      <c r="C337" s="6">
        <f t="shared" si="5"/>
        <v>7.8477777248625287E-4</v>
      </c>
      <c r="D337" s="4">
        <f>INDEX(Calculation!$A$1:$I$343,MATCH($A337,Calculation!$B:$B,0),MATCH(D$1,Calculation!$1:$1,0))</f>
        <v>3.3815680448214897E-4</v>
      </c>
      <c r="E337" s="4">
        <f>INDEX(Calculation!$A$1:$K$343,MATCH($A337,Calculation!$B:$B,0),MATCH(E$1,Calculation!$1:$1,0))</f>
        <v>21.155302027283316</v>
      </c>
      <c r="F337" s="4">
        <f>INDEX(Calculation!$A$1:$K$343,MATCH($A337,Calculation!$B:$B,0),MATCH(F$1,Calculation!$1:$1,0))</f>
        <v>0</v>
      </c>
    </row>
    <row r="338" spans="1:6" ht="16" x14ac:dyDescent="0.2">
      <c r="A338" s="2" t="s">
        <v>1052</v>
      </c>
      <c r="B338" s="5">
        <f>INDEX(Calculation!$A$1:$K$343,MATCH($A338,Calculation!$B:$B,0),MATCH(B$1,Calculation!$1:$1,0))</f>
        <v>41.035120228069154</v>
      </c>
      <c r="C338" s="6">
        <f t="shared" si="5"/>
        <v>1.8397713449318843E-3</v>
      </c>
      <c r="D338" s="4">
        <f>INDEX(Calculation!$A$1:$I$343,MATCH($A338,Calculation!$B:$B,0),MATCH(D$1,Calculation!$1:$1,0))</f>
        <v>2.6034767084697166E-2</v>
      </c>
      <c r="E338" s="4">
        <f>INDEX(Calculation!$A$1:$K$343,MATCH($A338,Calculation!$B:$B,0),MATCH(E$1,Calculation!$1:$1,0))</f>
        <v>57.956869085982227</v>
      </c>
      <c r="F338" s="4">
        <f>INDEX(Calculation!$A$1:$K$343,MATCH($A338,Calculation!$B:$B,0),MATCH(F$1,Calculation!$1:$1,0))</f>
        <v>0</v>
      </c>
    </row>
    <row r="339" spans="1:6" ht="16" x14ac:dyDescent="0.2">
      <c r="A339" s="2" t="s">
        <v>1055</v>
      </c>
      <c r="B339" s="5">
        <f>INDEX(Calculation!$A$1:$K$343,MATCH($A339,Calculation!$B:$B,0),MATCH(B$1,Calculation!$1:$1,0))</f>
        <v>95.355703057432564</v>
      </c>
      <c r="C339" s="6">
        <f t="shared" si="5"/>
        <v>4.2751840152011377E-3</v>
      </c>
      <c r="D339" s="4">
        <f>INDEX(Calculation!$A$1:$I$343,MATCH($A339,Calculation!$B:$B,0),MATCH(D$1,Calculation!$1:$1,0))</f>
        <v>7.1038658351898409E-3</v>
      </c>
      <c r="E339" s="4">
        <f>INDEX(Calculation!$A$1:$K$343,MATCH($A339,Calculation!$B:$B,0),MATCH(E$1,Calculation!$1:$1,0))</f>
        <v>120.59023146167999</v>
      </c>
      <c r="F339" s="4">
        <f>INDEX(Calculation!$A$1:$K$343,MATCH($A339,Calculation!$B:$B,0),MATCH(F$1,Calculation!$1:$1,0))</f>
        <v>0</v>
      </c>
    </row>
    <row r="340" spans="1:6" ht="16" x14ac:dyDescent="0.2">
      <c r="A340" s="2" t="s">
        <v>1058</v>
      </c>
      <c r="B340" s="5">
        <f>INDEX(Calculation!$A$1:$K$343,MATCH($A340,Calculation!$B:$B,0),MATCH(B$1,Calculation!$1:$1,0))</f>
        <v>19.444325423093904</v>
      </c>
      <c r="C340" s="6">
        <f t="shared" si="5"/>
        <v>8.7176819602611784E-4</v>
      </c>
      <c r="D340" s="4">
        <f>INDEX(Calculation!$A$1:$I$343,MATCH($A340,Calculation!$B:$B,0),MATCH(D$1,Calculation!$1:$1,0))</f>
        <v>8.6797016351081613E-4</v>
      </c>
      <c r="E340" s="4">
        <f>INDEX(Calculation!$A$1:$K$343,MATCH($A340,Calculation!$B:$B,0),MATCH(E$1,Calculation!$1:$1,0))</f>
        <v>40.919395823300988</v>
      </c>
      <c r="F340" s="4">
        <f>INDEX(Calculation!$A$1:$K$343,MATCH($A340,Calculation!$B:$B,0),MATCH(F$1,Calculation!$1:$1,0))</f>
        <v>0</v>
      </c>
    </row>
    <row r="341" spans="1:6" ht="16" x14ac:dyDescent="0.2">
      <c r="A341" s="2" t="s">
        <v>1060</v>
      </c>
      <c r="B341" s="5">
        <f>INDEX(Calculation!$A$1:$K$343,MATCH($A341,Calculation!$B:$B,0),MATCH(B$1,Calculation!$1:$1,0))</f>
        <v>67.651264291210239</v>
      </c>
      <c r="C341" s="6">
        <f t="shared" si="5"/>
        <v>3.0330813410471306E-3</v>
      </c>
      <c r="D341" s="4">
        <f>INDEX(Calculation!$A$1:$I$343,MATCH($A341,Calculation!$B:$B,0),MATCH(D$1,Calculation!$1:$1,0))</f>
        <v>0</v>
      </c>
      <c r="E341" s="4">
        <f>INDEX(Calculation!$A$1:$K$343,MATCH($A341,Calculation!$B:$B,0),MATCH(E$1,Calculation!$1:$1,0))</f>
        <v>82.355564280674443</v>
      </c>
      <c r="F341" s="4">
        <f>INDEX(Calculation!$A$1:$K$343,MATCH($A341,Calculation!$B:$B,0),MATCH(F$1,Calculation!$1:$1,0))</f>
        <v>0</v>
      </c>
    </row>
    <row r="342" spans="1:6" ht="16" x14ac:dyDescent="0.2">
      <c r="A342" s="2" t="s">
        <v>1063</v>
      </c>
      <c r="B342" s="5">
        <f>INDEX(Calculation!$A$1:$K$343,MATCH($A342,Calculation!$B:$B,0),MATCH(B$1,Calculation!$1:$1,0))</f>
        <v>5.4190718573044334</v>
      </c>
      <c r="C342" s="6">
        <f t="shared" si="5"/>
        <v>2.4295903274522022E-4</v>
      </c>
      <c r="D342" s="4">
        <f>INDEX(Calculation!$A$1:$I$343,MATCH($A342,Calculation!$B:$B,0),MATCH(D$1,Calculation!$1:$1,0))</f>
        <v>5.3880026227075197E-4</v>
      </c>
      <c r="E342" s="4">
        <f>INDEX(Calculation!$A$1:$K$343,MATCH($A342,Calculation!$B:$B,0),MATCH(E$1,Calculation!$1:$1,0))</f>
        <v>20.307321276012658</v>
      </c>
      <c r="F342" s="4">
        <f>INDEX(Calculation!$A$1:$K$343,MATCH($A342,Calculation!$B:$B,0),MATCH(F$1,Calculation!$1:$1,0))</f>
        <v>0</v>
      </c>
    </row>
    <row r="343" spans="1:6" ht="16" x14ac:dyDescent="0.2">
      <c r="A343" s="2" t="s">
        <v>1065</v>
      </c>
      <c r="B343" s="5">
        <f>INDEX(Calculation!$A$1:$K$343,MATCH($A343,Calculation!$B:$B,0),MATCH(B$1,Calculation!$1:$1,0))</f>
        <v>66.072161880123886</v>
      </c>
      <c r="C343" s="6">
        <f t="shared" si="5"/>
        <v>2.96228375716087E-3</v>
      </c>
      <c r="D343" s="4">
        <f>INDEX(Calculation!$A$1:$I$343,MATCH($A343,Calculation!$B:$B,0),MATCH(D$1,Calculation!$1:$1,0))</f>
        <v>9.3655252211002487E-5</v>
      </c>
      <c r="E343" s="4">
        <f>INDEX(Calculation!$A$1:$K$343,MATCH($A343,Calculation!$B:$B,0),MATCH(E$1,Calculation!$1:$1,0))</f>
        <v>110.67247223208489</v>
      </c>
      <c r="F343" s="4">
        <f>INDEX(Calculation!$A$1:$K$343,MATCH($A343,Calculation!$B:$B,0),MATCH(F$1,Calculation!$1:$1,0))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3B77-1ED7-7F40-BB6B-98134DCF8C82}">
  <sheetPr>
    <tabColor theme="9" tint="0.39997558519241921"/>
  </sheetPr>
  <dimension ref="A1:K343"/>
  <sheetViews>
    <sheetView zoomScale="137" workbookViewId="0">
      <selection activeCell="E2" sqref="E2"/>
    </sheetView>
  </sheetViews>
  <sheetFormatPr baseColWidth="10" defaultRowHeight="15" x14ac:dyDescent="0.2"/>
  <cols>
    <col min="1" max="1" width="11.83203125" style="13" bestFit="1" customWidth="1"/>
    <col min="2" max="2" width="10.83203125" style="13"/>
    <col min="3" max="3" width="12.1640625" bestFit="1" customWidth="1"/>
    <col min="4" max="4" width="10.83203125" style="9"/>
    <col min="5" max="5" width="12.6640625" style="9" bestFit="1" customWidth="1"/>
    <col min="9" max="9" width="10.83203125" style="9"/>
    <col min="11" max="11" width="10.83203125" style="9"/>
  </cols>
  <sheetData>
    <row r="1" spans="1:11" x14ac:dyDescent="0.2">
      <c r="A1" s="12" t="str">
        <f>Source_CBS_bodemgebruik!A3</f>
        <v>Jaarstatcode</v>
      </c>
      <c r="B1" s="12" t="s">
        <v>1066</v>
      </c>
      <c r="C1" s="3" t="str">
        <f>Source_CBS_bodemgebruik!N3</f>
        <v>HG_5</v>
      </c>
      <c r="D1" s="8" t="s">
        <v>1520</v>
      </c>
      <c r="E1" s="8" t="s">
        <v>1521</v>
      </c>
      <c r="F1" s="3" t="str">
        <f>Source_CBS_bodemgebruik!AL3</f>
        <v>CAT_50</v>
      </c>
      <c r="G1" s="3" t="s">
        <v>1517</v>
      </c>
      <c r="H1" s="3" t="s">
        <v>1068</v>
      </c>
      <c r="I1" s="8" t="s">
        <v>1519</v>
      </c>
      <c r="J1" s="3" t="s">
        <v>1132</v>
      </c>
      <c r="K1" s="8" t="s">
        <v>1518</v>
      </c>
    </row>
    <row r="2" spans="1:11" x14ac:dyDescent="0.2">
      <c r="A2" s="13" t="str">
        <f>Source_CBS_bodemgebruik!A4</f>
        <v>2023GM0014</v>
      </c>
      <c r="B2" s="13" t="str">
        <f>RIGHT(A2,6)</f>
        <v>GM0014</v>
      </c>
      <c r="C2">
        <f>Source_CBS_bodemgebruik!N4</f>
        <v>10777.586438640375</v>
      </c>
      <c r="D2" s="9">
        <f>C2/100</f>
        <v>107.77586438640375</v>
      </c>
      <c r="E2" s="10">
        <f>D2/SUM(D$2:D$343)</f>
        <v>4.8320303649979175E-3</v>
      </c>
      <c r="F2">
        <f>Source_CBS_bodemgebruik!AL4</f>
        <v>1.1639379456099999</v>
      </c>
      <c r="G2" s="7">
        <f>F2/SUM(F$2:F$343)</f>
        <v>7.3827627326495881E-5</v>
      </c>
      <c r="H2">
        <f>Source_CBS_bodemgebruik!H4</f>
        <v>18552.543901989942</v>
      </c>
      <c r="I2" s="9">
        <f>H2/100</f>
        <v>185.52543901989941</v>
      </c>
      <c r="J2">
        <f>Source_CBS_bodemgebruik!Q4</f>
        <v>0</v>
      </c>
      <c r="K2" s="11">
        <f>J2/100</f>
        <v>0</v>
      </c>
    </row>
    <row r="3" spans="1:11" x14ac:dyDescent="0.2">
      <c r="A3" s="13" t="str">
        <f>Source_CBS_bodemgebruik!A5</f>
        <v>2023GM0034</v>
      </c>
      <c r="B3" s="13" t="str">
        <f t="shared" ref="B3:B66" si="0">RIGHT(A3,6)</f>
        <v>GM0034</v>
      </c>
      <c r="C3">
        <f>Source_CBS_bodemgebruik!N5</f>
        <v>3241.3440059292293</v>
      </c>
      <c r="D3" s="9">
        <f t="shared" ref="D3:D66" si="1">C3/100</f>
        <v>32.413440059292292</v>
      </c>
      <c r="E3" s="10">
        <f t="shared" ref="E3:E66" si="2">D3/SUM(D$2:D$343)</f>
        <v>1.4532263553833178E-3</v>
      </c>
      <c r="F3">
        <f>Source_CBS_bodemgebruik!AL5</f>
        <v>140.37053033592747</v>
      </c>
      <c r="G3" s="7">
        <f t="shared" ref="G3:G66" si="3">F3/SUM(F$2:F$343)</f>
        <v>8.9035873779613316E-3</v>
      </c>
      <c r="H3">
        <f>Source_CBS_bodemgebruik!H5</f>
        <v>12917.945664968753</v>
      </c>
      <c r="I3" s="9">
        <f t="shared" ref="I3:I66" si="4">H3/100</f>
        <v>129.17945664968752</v>
      </c>
      <c r="J3">
        <f>Source_CBS_bodemgebruik!Q5</f>
        <v>0</v>
      </c>
      <c r="K3" s="11">
        <f t="shared" ref="K3:K66" si="5">J3/100</f>
        <v>0</v>
      </c>
    </row>
    <row r="4" spans="1:11" x14ac:dyDescent="0.2">
      <c r="A4" s="13" t="str">
        <f>Source_CBS_bodemgebruik!A6</f>
        <v>2023GM0037</v>
      </c>
      <c r="B4" s="13" t="str">
        <f t="shared" si="0"/>
        <v>GM0037</v>
      </c>
      <c r="C4">
        <f>Source_CBS_bodemgebruik!N6</f>
        <v>9309.4045293367417</v>
      </c>
      <c r="D4" s="9">
        <f t="shared" si="1"/>
        <v>93.094045293367415</v>
      </c>
      <c r="E4" s="10">
        <f t="shared" si="2"/>
        <v>4.1737846986341651E-3</v>
      </c>
      <c r="F4">
        <f>Source_CBS_bodemgebruik!AL6</f>
        <v>0</v>
      </c>
      <c r="G4" s="7">
        <f t="shared" si="3"/>
        <v>0</v>
      </c>
      <c r="H4">
        <f>Source_CBS_bodemgebruik!H6</f>
        <v>11762.989040439303</v>
      </c>
      <c r="I4" s="9">
        <f t="shared" si="4"/>
        <v>117.62989040439302</v>
      </c>
      <c r="J4">
        <f>Source_CBS_bodemgebruik!Q6</f>
        <v>0</v>
      </c>
      <c r="K4" s="11">
        <f t="shared" si="5"/>
        <v>0</v>
      </c>
    </row>
    <row r="5" spans="1:11" x14ac:dyDescent="0.2">
      <c r="A5" s="13" t="str">
        <f>Source_CBS_bodemgebruik!A7</f>
        <v>2023GM0047</v>
      </c>
      <c r="B5" s="13" t="str">
        <f t="shared" si="0"/>
        <v>GM0047</v>
      </c>
      <c r="C5">
        <f>Source_CBS_bodemgebruik!N7</f>
        <v>5700.0793770357859</v>
      </c>
      <c r="D5" s="9">
        <f t="shared" si="1"/>
        <v>57.000793770357859</v>
      </c>
      <c r="E5" s="10">
        <f t="shared" si="2"/>
        <v>2.5555774281695257E-3</v>
      </c>
      <c r="F5">
        <f>Source_CBS_bodemgebruik!AL7</f>
        <v>0</v>
      </c>
      <c r="G5" s="7">
        <f t="shared" si="3"/>
        <v>0</v>
      </c>
      <c r="H5">
        <f>Source_CBS_bodemgebruik!H7</f>
        <v>7593.3264679493095</v>
      </c>
      <c r="I5" s="9">
        <f t="shared" si="4"/>
        <v>75.933264679493092</v>
      </c>
      <c r="J5">
        <f>Source_CBS_bodemgebruik!Q7</f>
        <v>0</v>
      </c>
      <c r="K5" s="11">
        <f t="shared" si="5"/>
        <v>0</v>
      </c>
    </row>
    <row r="6" spans="1:11" x14ac:dyDescent="0.2">
      <c r="A6" s="13" t="str">
        <f>Source_CBS_bodemgebruik!A8</f>
        <v>2023GM0050</v>
      </c>
      <c r="B6" s="13" t="str">
        <f t="shared" si="0"/>
        <v>GM0050</v>
      </c>
      <c r="C6">
        <f>Source_CBS_bodemgebruik!N8</f>
        <v>17307.825623075409</v>
      </c>
      <c r="D6" s="9">
        <f t="shared" si="1"/>
        <v>173.07825623075408</v>
      </c>
      <c r="E6" s="10">
        <f t="shared" si="2"/>
        <v>7.7598022005138092E-3</v>
      </c>
      <c r="F6">
        <f>Source_CBS_bodemgebruik!AL8</f>
        <v>1.7902609109500001</v>
      </c>
      <c r="G6" s="7">
        <f t="shared" si="3"/>
        <v>1.1355477828462859E-4</v>
      </c>
      <c r="H6">
        <f>Source_CBS_bodemgebruik!H8</f>
        <v>24710.788859716893</v>
      </c>
      <c r="I6" s="9">
        <f t="shared" si="4"/>
        <v>247.10788859716894</v>
      </c>
      <c r="J6">
        <f>Source_CBS_bodemgebruik!Q8</f>
        <v>0</v>
      </c>
      <c r="K6" s="11">
        <f t="shared" si="5"/>
        <v>0</v>
      </c>
    </row>
    <row r="7" spans="1:11" x14ac:dyDescent="0.2">
      <c r="A7" s="13" t="str">
        <f>Source_CBS_bodemgebruik!A9</f>
        <v>2023GM0059</v>
      </c>
      <c r="B7" s="13" t="str">
        <f t="shared" si="0"/>
        <v>GM0059</v>
      </c>
      <c r="C7">
        <f>Source_CBS_bodemgebruik!N9</f>
        <v>8516.3222537116726</v>
      </c>
      <c r="D7" s="9">
        <f t="shared" si="1"/>
        <v>85.163222537116724</v>
      </c>
      <c r="E7" s="10">
        <f t="shared" si="2"/>
        <v>3.8182136568633853E-3</v>
      </c>
      <c r="F7">
        <f>Source_CBS_bodemgebruik!AL9</f>
        <v>1.27575151931</v>
      </c>
      <c r="G7" s="7">
        <f t="shared" si="3"/>
        <v>8.091987041411256E-5</v>
      </c>
      <c r="H7">
        <f>Source_CBS_bodemgebruik!H9</f>
        <v>10220.595714229219</v>
      </c>
      <c r="I7" s="9">
        <f t="shared" si="4"/>
        <v>102.20595714229219</v>
      </c>
      <c r="J7">
        <f>Source_CBS_bodemgebruik!Q9</f>
        <v>0</v>
      </c>
      <c r="K7" s="11">
        <f t="shared" si="5"/>
        <v>0</v>
      </c>
    </row>
    <row r="8" spans="1:11" x14ac:dyDescent="0.2">
      <c r="A8" s="13" t="str">
        <f>Source_CBS_bodemgebruik!A10</f>
        <v>2023GM0060</v>
      </c>
      <c r="B8" s="13" t="str">
        <f t="shared" si="0"/>
        <v>GM0060</v>
      </c>
      <c r="C8">
        <f>Source_CBS_bodemgebruik!N10</f>
        <v>1924.5650355670732</v>
      </c>
      <c r="D8" s="9">
        <f t="shared" si="1"/>
        <v>19.245650355670733</v>
      </c>
      <c r="E8" s="10">
        <f t="shared" si="2"/>
        <v>8.6286078466808953E-4</v>
      </c>
      <c r="F8">
        <f>Source_CBS_bodemgebruik!AL10</f>
        <v>0</v>
      </c>
      <c r="G8" s="7">
        <f t="shared" si="3"/>
        <v>0</v>
      </c>
      <c r="H8">
        <f>Source_CBS_bodemgebruik!H10</f>
        <v>5659.1981678304555</v>
      </c>
      <c r="I8" s="9">
        <f t="shared" si="4"/>
        <v>56.591981678304556</v>
      </c>
      <c r="J8">
        <f>Source_CBS_bodemgebruik!Q10</f>
        <v>21114.660931307255</v>
      </c>
      <c r="K8" s="11">
        <f t="shared" si="5"/>
        <v>211.14660931307256</v>
      </c>
    </row>
    <row r="9" spans="1:11" x14ac:dyDescent="0.2">
      <c r="A9" s="13" t="str">
        <f>Source_CBS_bodemgebruik!A11</f>
        <v>2023GM0072</v>
      </c>
      <c r="B9" s="13" t="str">
        <f t="shared" si="0"/>
        <v>GM0072</v>
      </c>
      <c r="C9">
        <f>Source_CBS_bodemgebruik!N11</f>
        <v>1664.3181453467498</v>
      </c>
      <c r="D9" s="9">
        <f t="shared" si="1"/>
        <v>16.643181453467498</v>
      </c>
      <c r="E9" s="10">
        <f t="shared" si="2"/>
        <v>7.4618151857263498E-4</v>
      </c>
      <c r="F9">
        <f>Source_CBS_bodemgebruik!AL11</f>
        <v>0</v>
      </c>
      <c r="G9" s="7">
        <f t="shared" si="3"/>
        <v>0</v>
      </c>
      <c r="H9">
        <f>Source_CBS_bodemgebruik!H11</f>
        <v>2496.1534998076877</v>
      </c>
      <c r="I9" s="9">
        <f t="shared" si="4"/>
        <v>24.961534998076878</v>
      </c>
      <c r="J9">
        <f>Source_CBS_bodemgebruik!Q11</f>
        <v>36183.092671452498</v>
      </c>
      <c r="K9" s="11">
        <f t="shared" si="5"/>
        <v>361.83092671452499</v>
      </c>
    </row>
    <row r="10" spans="1:11" x14ac:dyDescent="0.2">
      <c r="A10" s="13" t="str">
        <f>Source_CBS_bodemgebruik!A12</f>
        <v>2023GM0074</v>
      </c>
      <c r="B10" s="13" t="str">
        <f t="shared" si="0"/>
        <v>GM0074</v>
      </c>
      <c r="C10">
        <f>Source_CBS_bodemgebruik!N12</f>
        <v>14615.501373964957</v>
      </c>
      <c r="D10" s="9">
        <f t="shared" si="1"/>
        <v>146.15501373964958</v>
      </c>
      <c r="E10" s="10">
        <f t="shared" si="2"/>
        <v>6.5527237327893516E-3</v>
      </c>
      <c r="F10">
        <f>Source_CBS_bodemgebruik!AL12</f>
        <v>0</v>
      </c>
      <c r="G10" s="7">
        <f t="shared" si="3"/>
        <v>0</v>
      </c>
      <c r="H10">
        <f>Source_CBS_bodemgebruik!H12</f>
        <v>18996.621279943272</v>
      </c>
      <c r="I10" s="9">
        <f t="shared" si="4"/>
        <v>189.96621279943272</v>
      </c>
      <c r="J10">
        <f>Source_CBS_bodemgebruik!Q12</f>
        <v>0</v>
      </c>
      <c r="K10" s="11">
        <f t="shared" si="5"/>
        <v>0</v>
      </c>
    </row>
    <row r="11" spans="1:11" x14ac:dyDescent="0.2">
      <c r="A11" s="13" t="str">
        <f>Source_CBS_bodemgebruik!A13</f>
        <v>2023GM0080</v>
      </c>
      <c r="B11" s="13" t="str">
        <f t="shared" si="0"/>
        <v>GM0080</v>
      </c>
      <c r="C11">
        <f>Source_CBS_bodemgebruik!N13</f>
        <v>17847.708403311091</v>
      </c>
      <c r="D11" s="9">
        <f t="shared" si="1"/>
        <v>178.47708403311091</v>
      </c>
      <c r="E11" s="10">
        <f t="shared" si="2"/>
        <v>8.0018536099356209E-3</v>
      </c>
      <c r="F11">
        <f>Source_CBS_bodemgebruik!AL13</f>
        <v>2.4597445805810998</v>
      </c>
      <c r="G11" s="7">
        <f t="shared" si="3"/>
        <v>1.5601957724502007E-4</v>
      </c>
      <c r="H11">
        <f>Source_CBS_bodemgebruik!H13</f>
        <v>23755.444095273233</v>
      </c>
      <c r="I11" s="9">
        <f t="shared" si="4"/>
        <v>237.55444095273234</v>
      </c>
      <c r="J11">
        <f>Source_CBS_bodemgebruik!Q13</f>
        <v>0</v>
      </c>
      <c r="K11" s="11">
        <f t="shared" si="5"/>
        <v>0</v>
      </c>
    </row>
    <row r="12" spans="1:11" x14ac:dyDescent="0.2">
      <c r="A12" s="13" t="str">
        <f>Source_CBS_bodemgebruik!A14</f>
        <v>2023GM0085</v>
      </c>
      <c r="B12" s="13" t="str">
        <f t="shared" si="0"/>
        <v>GM0085</v>
      </c>
      <c r="C12">
        <f>Source_CBS_bodemgebruik!N14</f>
        <v>16276.547658993019</v>
      </c>
      <c r="D12" s="9">
        <f t="shared" si="1"/>
        <v>162.76547658993019</v>
      </c>
      <c r="E12" s="10">
        <f t="shared" si="2"/>
        <v>7.2974383433023812E-3</v>
      </c>
      <c r="F12">
        <f>Source_CBS_bodemgebruik!AL14</f>
        <v>0</v>
      </c>
      <c r="G12" s="7">
        <f t="shared" si="3"/>
        <v>0</v>
      </c>
      <c r="H12">
        <f>Source_CBS_bodemgebruik!H14</f>
        <v>22329.610828652087</v>
      </c>
      <c r="I12" s="9">
        <f t="shared" si="4"/>
        <v>223.29610828652088</v>
      </c>
      <c r="J12">
        <f>Source_CBS_bodemgebruik!Q14</f>
        <v>0</v>
      </c>
      <c r="K12" s="11">
        <f t="shared" si="5"/>
        <v>0</v>
      </c>
    </row>
    <row r="13" spans="1:11" x14ac:dyDescent="0.2">
      <c r="A13" s="13" t="str">
        <f>Source_CBS_bodemgebruik!A15</f>
        <v>2023GM0086</v>
      </c>
      <c r="B13" s="13" t="str">
        <f t="shared" si="0"/>
        <v>GM0086</v>
      </c>
      <c r="C13">
        <f>Source_CBS_bodemgebruik!N15</f>
        <v>17771.202434809831</v>
      </c>
      <c r="D13" s="9">
        <f t="shared" si="1"/>
        <v>177.71202434809831</v>
      </c>
      <c r="E13" s="10">
        <f t="shared" si="2"/>
        <v>7.9675528724740072E-3</v>
      </c>
      <c r="F13">
        <f>Source_CBS_bodemgebruik!AL15</f>
        <v>0</v>
      </c>
      <c r="G13" s="7">
        <f t="shared" si="3"/>
        <v>0</v>
      </c>
      <c r="H13">
        <f>Source_CBS_bodemgebruik!H15</f>
        <v>22440.128957216035</v>
      </c>
      <c r="I13" s="9">
        <f t="shared" si="4"/>
        <v>224.40128957216035</v>
      </c>
      <c r="J13">
        <f>Source_CBS_bodemgebruik!Q15</f>
        <v>0</v>
      </c>
      <c r="K13" s="11">
        <f t="shared" si="5"/>
        <v>0</v>
      </c>
    </row>
    <row r="14" spans="1:11" x14ac:dyDescent="0.2">
      <c r="A14" s="13" t="str">
        <f>Source_CBS_bodemgebruik!A16</f>
        <v>2023GM0088</v>
      </c>
      <c r="B14" s="13" t="str">
        <f t="shared" si="0"/>
        <v>GM0088</v>
      </c>
      <c r="C14">
        <f>Source_CBS_bodemgebruik!N16</f>
        <v>305.82549677748148</v>
      </c>
      <c r="D14" s="9">
        <f t="shared" si="1"/>
        <v>3.0582549677748148</v>
      </c>
      <c r="E14" s="10">
        <f t="shared" si="2"/>
        <v>1.3711400926660411E-4</v>
      </c>
      <c r="F14">
        <f>Source_CBS_bodemgebruik!AL16</f>
        <v>0</v>
      </c>
      <c r="G14" s="7">
        <f t="shared" si="3"/>
        <v>0</v>
      </c>
      <c r="H14">
        <f>Source_CBS_bodemgebruik!H16</f>
        <v>4293.3024053928311</v>
      </c>
      <c r="I14" s="9">
        <f t="shared" si="4"/>
        <v>42.933024053928314</v>
      </c>
      <c r="J14">
        <f>Source_CBS_bodemgebruik!Q16</f>
        <v>16023.018511576078</v>
      </c>
      <c r="K14" s="11">
        <f t="shared" si="5"/>
        <v>160.23018511576078</v>
      </c>
    </row>
    <row r="15" spans="1:11" x14ac:dyDescent="0.2">
      <c r="A15" s="13" t="str">
        <f>Source_CBS_bodemgebruik!A17</f>
        <v>2023GM0090</v>
      </c>
      <c r="B15" s="13" t="str">
        <f t="shared" si="0"/>
        <v>GM0090</v>
      </c>
      <c r="C15">
        <f>Source_CBS_bodemgebruik!N17</f>
        <v>8788.9217028001804</v>
      </c>
      <c r="D15" s="9">
        <f t="shared" si="1"/>
        <v>87.889217028001809</v>
      </c>
      <c r="E15" s="10">
        <f t="shared" si="2"/>
        <v>3.9404310775239936E-3</v>
      </c>
      <c r="F15">
        <f>Source_CBS_bodemgebruik!AL17</f>
        <v>2.7605421059008002</v>
      </c>
      <c r="G15" s="7">
        <f t="shared" si="3"/>
        <v>1.7509891707047498E-4</v>
      </c>
      <c r="H15">
        <f>Source_CBS_bodemgebruik!H17</f>
        <v>11717.254397770004</v>
      </c>
      <c r="I15" s="9">
        <f t="shared" si="4"/>
        <v>117.17254397770004</v>
      </c>
      <c r="J15">
        <f>Source_CBS_bodemgebruik!Q17</f>
        <v>0</v>
      </c>
      <c r="K15" s="11">
        <f t="shared" si="5"/>
        <v>0</v>
      </c>
    </row>
    <row r="16" spans="1:11" x14ac:dyDescent="0.2">
      <c r="A16" s="13" t="str">
        <f>Source_CBS_bodemgebruik!A18</f>
        <v>2023GM0093</v>
      </c>
      <c r="B16" s="13" t="str">
        <f t="shared" si="0"/>
        <v>GM0093</v>
      </c>
      <c r="C16">
        <f>Source_CBS_bodemgebruik!N18</f>
        <v>1364.4874630284005</v>
      </c>
      <c r="D16" s="9">
        <f t="shared" si="1"/>
        <v>13.644874630284004</v>
      </c>
      <c r="E16" s="10">
        <f t="shared" si="2"/>
        <v>6.1175522845947699E-4</v>
      </c>
      <c r="F16">
        <f>Source_CBS_bodemgebruik!AL18</f>
        <v>0</v>
      </c>
      <c r="G16" s="7">
        <f t="shared" si="3"/>
        <v>0</v>
      </c>
      <c r="H16">
        <f>Source_CBS_bodemgebruik!H18</f>
        <v>8720.5653423271488</v>
      </c>
      <c r="I16" s="9">
        <f t="shared" si="4"/>
        <v>87.205653423271485</v>
      </c>
      <c r="J16">
        <f>Source_CBS_bodemgebruik!Q18</f>
        <v>58628.317035020518</v>
      </c>
      <c r="K16" s="11">
        <f t="shared" si="5"/>
        <v>586.28317035020518</v>
      </c>
    </row>
    <row r="17" spans="1:11" x14ac:dyDescent="0.2">
      <c r="A17" s="13" t="str">
        <f>Source_CBS_bodemgebruik!A19</f>
        <v>2023GM0096</v>
      </c>
      <c r="B17" s="13" t="str">
        <f t="shared" si="0"/>
        <v>GM0096</v>
      </c>
      <c r="C17">
        <f>Source_CBS_bodemgebruik!N19</f>
        <v>12.533647833412301</v>
      </c>
      <c r="D17" s="9">
        <f t="shared" si="1"/>
        <v>0.12533647833412301</v>
      </c>
      <c r="E17" s="10">
        <f t="shared" si="2"/>
        <v>5.6193441138272877E-6</v>
      </c>
      <c r="F17">
        <f>Source_CBS_bodemgebruik!AL19</f>
        <v>0</v>
      </c>
      <c r="G17" s="7">
        <f t="shared" si="3"/>
        <v>0</v>
      </c>
      <c r="H17">
        <f>Source_CBS_bodemgebruik!H19</f>
        <v>4183.9636666572378</v>
      </c>
      <c r="I17" s="9">
        <f t="shared" si="4"/>
        <v>41.839636666572375</v>
      </c>
      <c r="J17">
        <f>Source_CBS_bodemgebruik!Q19</f>
        <v>27326.182887549068</v>
      </c>
      <c r="K17" s="11">
        <f t="shared" si="5"/>
        <v>273.26182887549066</v>
      </c>
    </row>
    <row r="18" spans="1:11" x14ac:dyDescent="0.2">
      <c r="A18" s="13" t="str">
        <f>Source_CBS_bodemgebruik!A20</f>
        <v>2023GM0098</v>
      </c>
      <c r="B18" s="13" t="str">
        <f t="shared" si="0"/>
        <v>GM0098</v>
      </c>
      <c r="C18">
        <f>Source_CBS_bodemgebruik!N20</f>
        <v>18223.760561892137</v>
      </c>
      <c r="D18" s="9">
        <f t="shared" si="1"/>
        <v>182.23760561892138</v>
      </c>
      <c r="E18" s="10">
        <f t="shared" si="2"/>
        <v>8.1704530880684877E-3</v>
      </c>
      <c r="F18">
        <f>Source_CBS_bodemgebruik!AL20</f>
        <v>6.3128352774200008E-2</v>
      </c>
      <c r="G18" s="7">
        <f t="shared" si="3"/>
        <v>4.0041795354533715E-6</v>
      </c>
      <c r="H18">
        <f>Source_CBS_bodemgebruik!H20</f>
        <v>22019.973053383597</v>
      </c>
      <c r="I18" s="9">
        <f t="shared" si="4"/>
        <v>220.19973053383598</v>
      </c>
      <c r="J18">
        <f>Source_CBS_bodemgebruik!Q20</f>
        <v>0</v>
      </c>
      <c r="K18" s="11">
        <f t="shared" si="5"/>
        <v>0</v>
      </c>
    </row>
    <row r="19" spans="1:11" x14ac:dyDescent="0.2">
      <c r="A19" s="13" t="str">
        <f>Source_CBS_bodemgebruik!A21</f>
        <v>2023GM0106</v>
      </c>
      <c r="B19" s="13" t="str">
        <f t="shared" si="0"/>
        <v>GM0106</v>
      </c>
      <c r="C19">
        <f>Source_CBS_bodemgebruik!N21</f>
        <v>3964.7122560302755</v>
      </c>
      <c r="D19" s="9">
        <f t="shared" si="1"/>
        <v>39.647122560302755</v>
      </c>
      <c r="E19" s="10">
        <f t="shared" si="2"/>
        <v>1.7775417639827788E-3</v>
      </c>
      <c r="F19">
        <f>Source_CBS_bodemgebruik!AL21</f>
        <v>0</v>
      </c>
      <c r="G19" s="7">
        <f t="shared" si="3"/>
        <v>0</v>
      </c>
      <c r="H19">
        <f>Source_CBS_bodemgebruik!H21</f>
        <v>8187.7477601711835</v>
      </c>
      <c r="I19" s="9">
        <f t="shared" si="4"/>
        <v>81.877477601711831</v>
      </c>
      <c r="J19">
        <f>Source_CBS_bodemgebruik!Q21</f>
        <v>0</v>
      </c>
      <c r="K19" s="11">
        <f t="shared" si="5"/>
        <v>0</v>
      </c>
    </row>
    <row r="20" spans="1:11" x14ac:dyDescent="0.2">
      <c r="A20" s="13" t="str">
        <f>Source_CBS_bodemgebruik!A22</f>
        <v>2023GM0109</v>
      </c>
      <c r="B20" s="13" t="str">
        <f t="shared" si="0"/>
        <v>GM0109</v>
      </c>
      <c r="C20">
        <f>Source_CBS_bodemgebruik!N22</f>
        <v>22974.050034112162</v>
      </c>
      <c r="D20" s="9">
        <f t="shared" si="1"/>
        <v>229.74050034112162</v>
      </c>
      <c r="E20" s="10">
        <f t="shared" si="2"/>
        <v>1.0300201070418491E-2</v>
      </c>
      <c r="F20">
        <f>Source_CBS_bodemgebruik!AL22</f>
        <v>1.1424544538300001</v>
      </c>
      <c r="G20" s="7">
        <f t="shared" si="3"/>
        <v>7.2464947098750204E-5</v>
      </c>
      <c r="H20">
        <f>Source_CBS_bodemgebruik!H22</f>
        <v>29611.387458970104</v>
      </c>
      <c r="I20" s="9">
        <f t="shared" si="4"/>
        <v>296.11387458970103</v>
      </c>
      <c r="J20">
        <f>Source_CBS_bodemgebruik!Q22</f>
        <v>0</v>
      </c>
      <c r="K20" s="11">
        <f t="shared" si="5"/>
        <v>0</v>
      </c>
    </row>
    <row r="21" spans="1:11" x14ac:dyDescent="0.2">
      <c r="A21" s="13" t="str">
        <f>Source_CBS_bodemgebruik!A23</f>
        <v>2023GM0114</v>
      </c>
      <c r="B21" s="13" t="str">
        <f t="shared" si="0"/>
        <v>GM0114</v>
      </c>
      <c r="C21">
        <f>Source_CBS_bodemgebruik!N23</f>
        <v>23460.203403556403</v>
      </c>
      <c r="D21" s="9">
        <f t="shared" si="1"/>
        <v>234.60203403556403</v>
      </c>
      <c r="E21" s="10">
        <f t="shared" si="2"/>
        <v>1.0518163399607379E-2</v>
      </c>
      <c r="F21">
        <f>Source_CBS_bodemgebruik!AL23</f>
        <v>324.4492652875997</v>
      </c>
      <c r="G21" s="7">
        <f t="shared" si="3"/>
        <v>2.0579550253819402E-2</v>
      </c>
      <c r="H21">
        <f>Source_CBS_bodemgebruik!H23</f>
        <v>33533.164429722128</v>
      </c>
      <c r="I21" s="9">
        <f t="shared" si="4"/>
        <v>335.33164429722126</v>
      </c>
      <c r="J21">
        <f>Source_CBS_bodemgebruik!Q23</f>
        <v>0</v>
      </c>
      <c r="K21" s="11">
        <f t="shared" si="5"/>
        <v>0</v>
      </c>
    </row>
    <row r="22" spans="1:11" x14ac:dyDescent="0.2">
      <c r="A22" s="13" t="str">
        <f>Source_CBS_bodemgebruik!A24</f>
        <v>2023GM0118</v>
      </c>
      <c r="B22" s="13" t="str">
        <f t="shared" si="0"/>
        <v>GM0118</v>
      </c>
      <c r="C22">
        <f>Source_CBS_bodemgebruik!N24</f>
        <v>8770.6570186718036</v>
      </c>
      <c r="D22" s="9">
        <f t="shared" si="1"/>
        <v>87.706570186718039</v>
      </c>
      <c r="E22" s="10">
        <f t="shared" si="2"/>
        <v>3.9322422767365563E-3</v>
      </c>
      <c r="F22">
        <f>Source_CBS_bodemgebruik!AL24</f>
        <v>0</v>
      </c>
      <c r="G22" s="7">
        <f t="shared" si="3"/>
        <v>0</v>
      </c>
      <c r="H22">
        <f>Source_CBS_bodemgebruik!H24</f>
        <v>12754.361879986234</v>
      </c>
      <c r="I22" s="9">
        <f t="shared" si="4"/>
        <v>127.54361879986234</v>
      </c>
      <c r="J22">
        <f>Source_CBS_bodemgebruik!Q24</f>
        <v>0</v>
      </c>
      <c r="K22" s="11">
        <f t="shared" si="5"/>
        <v>0</v>
      </c>
    </row>
    <row r="23" spans="1:11" x14ac:dyDescent="0.2">
      <c r="A23" s="13" t="str">
        <f>Source_CBS_bodemgebruik!A25</f>
        <v>2023GM0119</v>
      </c>
      <c r="B23" s="13" t="str">
        <f t="shared" si="0"/>
        <v>GM0119</v>
      </c>
      <c r="C23">
        <f>Source_CBS_bodemgebruik!N25</f>
        <v>3956.747421297282</v>
      </c>
      <c r="D23" s="9">
        <f t="shared" si="1"/>
        <v>39.567474212972819</v>
      </c>
      <c r="E23" s="10">
        <f t="shared" si="2"/>
        <v>1.7739708046125035E-3</v>
      </c>
      <c r="F23">
        <f>Source_CBS_bodemgebruik!AL25</f>
        <v>0</v>
      </c>
      <c r="G23" s="7">
        <f t="shared" si="3"/>
        <v>0</v>
      </c>
      <c r="H23">
        <f>Source_CBS_bodemgebruik!H25</f>
        <v>5550.2037195783605</v>
      </c>
      <c r="I23" s="9">
        <f t="shared" si="4"/>
        <v>55.502037195783608</v>
      </c>
      <c r="J23">
        <f>Source_CBS_bodemgebruik!Q25</f>
        <v>0</v>
      </c>
      <c r="K23" s="11">
        <f t="shared" si="5"/>
        <v>0</v>
      </c>
    </row>
    <row r="24" spans="1:11" x14ac:dyDescent="0.2">
      <c r="A24" s="13" t="str">
        <f>Source_CBS_bodemgebruik!A26</f>
        <v>2023GM0141</v>
      </c>
      <c r="B24" s="13" t="str">
        <f t="shared" si="0"/>
        <v>GM0141</v>
      </c>
      <c r="C24">
        <f>Source_CBS_bodemgebruik!N26</f>
        <v>3539.650101988128</v>
      </c>
      <c r="D24" s="9">
        <f t="shared" si="1"/>
        <v>35.396501019881278</v>
      </c>
      <c r="E24" s="10">
        <f t="shared" si="2"/>
        <v>1.5869691114657662E-3</v>
      </c>
      <c r="F24">
        <f>Source_CBS_bodemgebruik!AL26</f>
        <v>0</v>
      </c>
      <c r="G24" s="7">
        <f t="shared" si="3"/>
        <v>0</v>
      </c>
      <c r="H24">
        <f>Source_CBS_bodemgebruik!H26</f>
        <v>6718.0698665028876</v>
      </c>
      <c r="I24" s="9">
        <f t="shared" si="4"/>
        <v>67.180698665028871</v>
      </c>
      <c r="J24">
        <f>Source_CBS_bodemgebruik!Q26</f>
        <v>0</v>
      </c>
      <c r="K24" s="11">
        <f t="shared" si="5"/>
        <v>0</v>
      </c>
    </row>
    <row r="25" spans="1:11" x14ac:dyDescent="0.2">
      <c r="A25" s="13" t="str">
        <f>Source_CBS_bodemgebruik!A27</f>
        <v>2023GM0147</v>
      </c>
      <c r="B25" s="13" t="str">
        <f t="shared" si="0"/>
        <v>GM0147</v>
      </c>
      <c r="C25">
        <f>Source_CBS_bodemgebruik!N27</f>
        <v>1608.2348313810242</v>
      </c>
      <c r="D25" s="9">
        <f t="shared" si="1"/>
        <v>16.082348313810243</v>
      </c>
      <c r="E25" s="10">
        <f t="shared" si="2"/>
        <v>7.2103708780467499E-4</v>
      </c>
      <c r="F25">
        <f>Source_CBS_bodemgebruik!AL27</f>
        <v>0</v>
      </c>
      <c r="G25" s="7">
        <f t="shared" si="3"/>
        <v>0</v>
      </c>
      <c r="H25">
        <f>Source_CBS_bodemgebruik!H27</f>
        <v>2598.9929172112775</v>
      </c>
      <c r="I25" s="9">
        <f t="shared" si="4"/>
        <v>25.989929172112774</v>
      </c>
      <c r="J25">
        <f>Source_CBS_bodemgebruik!Q27</f>
        <v>0</v>
      </c>
      <c r="K25" s="11">
        <f t="shared" si="5"/>
        <v>0</v>
      </c>
    </row>
    <row r="26" spans="1:11" x14ac:dyDescent="0.2">
      <c r="A26" s="13" t="str">
        <f>Source_CBS_bodemgebruik!A28</f>
        <v>2023GM0148</v>
      </c>
      <c r="B26" s="13" t="str">
        <f t="shared" si="0"/>
        <v>GM0148</v>
      </c>
      <c r="C26">
        <f>Source_CBS_bodemgebruik!N28</f>
        <v>13396.546414328534</v>
      </c>
      <c r="D26" s="9">
        <f t="shared" si="1"/>
        <v>133.96546414328535</v>
      </c>
      <c r="E26" s="10">
        <f t="shared" si="2"/>
        <v>6.0062166449490941E-3</v>
      </c>
      <c r="F26">
        <f>Source_CBS_bodemgebruik!AL28</f>
        <v>0</v>
      </c>
      <c r="G26" s="7">
        <f t="shared" si="3"/>
        <v>0</v>
      </c>
      <c r="H26">
        <f>Source_CBS_bodemgebruik!H28</f>
        <v>16501.939242129069</v>
      </c>
      <c r="I26" s="9">
        <f t="shared" si="4"/>
        <v>165.01939242129069</v>
      </c>
      <c r="J26">
        <f>Source_CBS_bodemgebruik!Q28</f>
        <v>0</v>
      </c>
      <c r="K26" s="11">
        <f t="shared" si="5"/>
        <v>0</v>
      </c>
    </row>
    <row r="27" spans="1:11" x14ac:dyDescent="0.2">
      <c r="A27" s="13" t="str">
        <f>Source_CBS_bodemgebruik!A29</f>
        <v>2023GM0150</v>
      </c>
      <c r="B27" s="13" t="str">
        <f t="shared" si="0"/>
        <v>GM0150</v>
      </c>
      <c r="C27">
        <f>Source_CBS_bodemgebruik!N29</f>
        <v>8502.1049267517265</v>
      </c>
      <c r="D27" s="9">
        <f t="shared" si="1"/>
        <v>85.02104926751727</v>
      </c>
      <c r="E27" s="10">
        <f t="shared" si="2"/>
        <v>3.8118394509156365E-3</v>
      </c>
      <c r="F27">
        <f>Source_CBS_bodemgebruik!AL29</f>
        <v>0</v>
      </c>
      <c r="G27" s="7">
        <f t="shared" si="3"/>
        <v>0</v>
      </c>
      <c r="H27">
        <f>Source_CBS_bodemgebruik!H29</f>
        <v>13056.337774726846</v>
      </c>
      <c r="I27" s="9">
        <f t="shared" si="4"/>
        <v>130.56337774726845</v>
      </c>
      <c r="J27">
        <f>Source_CBS_bodemgebruik!Q29</f>
        <v>0</v>
      </c>
      <c r="K27" s="11">
        <f t="shared" si="5"/>
        <v>0</v>
      </c>
    </row>
    <row r="28" spans="1:11" x14ac:dyDescent="0.2">
      <c r="A28" s="13" t="str">
        <f>Source_CBS_bodemgebruik!A30</f>
        <v>2023GM0153</v>
      </c>
      <c r="B28" s="13" t="str">
        <f t="shared" si="0"/>
        <v>GM0153</v>
      </c>
      <c r="C28">
        <f>Source_CBS_bodemgebruik!N30</f>
        <v>6837.2859143868773</v>
      </c>
      <c r="D28" s="9">
        <f t="shared" si="1"/>
        <v>68.372859143868766</v>
      </c>
      <c r="E28" s="10">
        <f t="shared" si="2"/>
        <v>3.0654333732866609E-3</v>
      </c>
      <c r="F28">
        <f>Source_CBS_bodemgebruik!AL30</f>
        <v>1.6462995569835999</v>
      </c>
      <c r="G28" s="7">
        <f t="shared" si="3"/>
        <v>1.0442342791484661E-4</v>
      </c>
      <c r="H28">
        <f>Source_CBS_bodemgebruik!H30</f>
        <v>14072.809832916129</v>
      </c>
      <c r="I28" s="9">
        <f t="shared" si="4"/>
        <v>140.7280983291613</v>
      </c>
      <c r="J28">
        <f>Source_CBS_bodemgebruik!Q30</f>
        <v>0</v>
      </c>
      <c r="K28" s="11">
        <f t="shared" si="5"/>
        <v>0</v>
      </c>
    </row>
    <row r="29" spans="1:11" x14ac:dyDescent="0.2">
      <c r="A29" s="13" t="str">
        <f>Source_CBS_bodemgebruik!A31</f>
        <v>2023GM0158</v>
      </c>
      <c r="B29" s="13" t="str">
        <f t="shared" si="0"/>
        <v>GM0158</v>
      </c>
      <c r="C29">
        <f>Source_CBS_bodemgebruik!N31</f>
        <v>7119.3729035508113</v>
      </c>
      <c r="D29" s="9">
        <f t="shared" si="1"/>
        <v>71.193729035508113</v>
      </c>
      <c r="E29" s="10">
        <f t="shared" si="2"/>
        <v>3.191904444056651E-3</v>
      </c>
      <c r="F29">
        <f>Source_CBS_bodemgebruik!AL31</f>
        <v>0</v>
      </c>
      <c r="G29" s="7">
        <f t="shared" si="3"/>
        <v>0</v>
      </c>
      <c r="H29">
        <f>Source_CBS_bodemgebruik!H31</f>
        <v>10478.101760147196</v>
      </c>
      <c r="I29" s="9">
        <f t="shared" si="4"/>
        <v>104.78101760147196</v>
      </c>
      <c r="J29">
        <f>Source_CBS_bodemgebruik!Q31</f>
        <v>0</v>
      </c>
      <c r="K29" s="11">
        <f t="shared" si="5"/>
        <v>0</v>
      </c>
    </row>
    <row r="30" spans="1:11" x14ac:dyDescent="0.2">
      <c r="A30" s="13" t="str">
        <f>Source_CBS_bodemgebruik!A32</f>
        <v>2023GM0160</v>
      </c>
      <c r="B30" s="13" t="str">
        <f t="shared" si="0"/>
        <v>GM0160</v>
      </c>
      <c r="C30">
        <f>Source_CBS_bodemgebruik!N32</f>
        <v>25473.029249563788</v>
      </c>
      <c r="D30" s="9">
        <f t="shared" si="1"/>
        <v>254.73029249563788</v>
      </c>
      <c r="E30" s="10">
        <f t="shared" si="2"/>
        <v>1.1420595095491533E-2</v>
      </c>
      <c r="F30">
        <f>Source_CBS_bodemgebruik!AL32</f>
        <v>0.69999665770999997</v>
      </c>
      <c r="G30" s="7">
        <f t="shared" si="3"/>
        <v>4.4400212717631136E-5</v>
      </c>
      <c r="H30">
        <f>Source_CBS_bodemgebruik!H32</f>
        <v>31215.955263104901</v>
      </c>
      <c r="I30" s="9">
        <f t="shared" si="4"/>
        <v>312.159552631049</v>
      </c>
      <c r="J30">
        <f>Source_CBS_bodemgebruik!Q32</f>
        <v>0</v>
      </c>
      <c r="K30" s="11">
        <f t="shared" si="5"/>
        <v>0</v>
      </c>
    </row>
    <row r="31" spans="1:11" x14ac:dyDescent="0.2">
      <c r="A31" s="13" t="str">
        <f>Source_CBS_bodemgebruik!A33</f>
        <v>2023GM0163</v>
      </c>
      <c r="B31" s="13" t="str">
        <f t="shared" si="0"/>
        <v>GM0163</v>
      </c>
      <c r="C31">
        <f>Source_CBS_bodemgebruik!N33</f>
        <v>8158.4624491643744</v>
      </c>
      <c r="D31" s="9">
        <f t="shared" si="1"/>
        <v>81.584624491643751</v>
      </c>
      <c r="E31" s="10">
        <f t="shared" si="2"/>
        <v>3.6577705509946005E-3</v>
      </c>
      <c r="F31">
        <f>Source_CBS_bodemgebruik!AL33</f>
        <v>0</v>
      </c>
      <c r="G31" s="7">
        <f t="shared" si="3"/>
        <v>0</v>
      </c>
      <c r="H31">
        <f>Source_CBS_bodemgebruik!H33</f>
        <v>13793.113188372434</v>
      </c>
      <c r="I31" s="9">
        <f t="shared" si="4"/>
        <v>137.93113188372433</v>
      </c>
      <c r="J31">
        <f>Source_CBS_bodemgebruik!Q33</f>
        <v>0</v>
      </c>
      <c r="K31" s="11">
        <f t="shared" si="5"/>
        <v>0</v>
      </c>
    </row>
    <row r="32" spans="1:11" x14ac:dyDescent="0.2">
      <c r="A32" s="13" t="str">
        <f>Source_CBS_bodemgebruik!A34</f>
        <v>2023GM0164</v>
      </c>
      <c r="B32" s="13" t="str">
        <f t="shared" si="0"/>
        <v>GM0164</v>
      </c>
      <c r="C32">
        <f>Source_CBS_bodemgebruik!N34</f>
        <v>2526.6086644476404</v>
      </c>
      <c r="D32" s="9">
        <f t="shared" si="1"/>
        <v>25.266086644476403</v>
      </c>
      <c r="E32" s="10">
        <f t="shared" si="2"/>
        <v>1.1327814308504853E-3</v>
      </c>
      <c r="F32">
        <f>Source_CBS_bodemgebruik!AL34</f>
        <v>1.18376788219</v>
      </c>
      <c r="G32" s="7">
        <f t="shared" si="3"/>
        <v>7.5085423906853118E-5</v>
      </c>
      <c r="H32">
        <f>Source_CBS_bodemgebruik!H34</f>
        <v>6084.1271004611517</v>
      </c>
      <c r="I32" s="9">
        <f t="shared" si="4"/>
        <v>60.841271004611514</v>
      </c>
      <c r="J32">
        <f>Source_CBS_bodemgebruik!Q34</f>
        <v>0</v>
      </c>
      <c r="K32" s="11">
        <f t="shared" si="5"/>
        <v>0</v>
      </c>
    </row>
    <row r="33" spans="1:11" x14ac:dyDescent="0.2">
      <c r="A33" s="13" t="str">
        <f>Source_CBS_bodemgebruik!A35</f>
        <v>2023GM0166</v>
      </c>
      <c r="B33" s="13" t="str">
        <f t="shared" si="0"/>
        <v>GM0166</v>
      </c>
      <c r="C33">
        <f>Source_CBS_bodemgebruik!N35</f>
        <v>11265.27669652222</v>
      </c>
      <c r="D33" s="9">
        <f t="shared" si="1"/>
        <v>112.6527669652222</v>
      </c>
      <c r="E33" s="10">
        <f t="shared" si="2"/>
        <v>5.0506817437843557E-3</v>
      </c>
      <c r="F33">
        <f>Source_CBS_bodemgebruik!AL35</f>
        <v>127.25183631376882</v>
      </c>
      <c r="G33" s="7">
        <f t="shared" si="3"/>
        <v>8.0714793975219853E-3</v>
      </c>
      <c r="H33">
        <f>Source_CBS_bodemgebruik!H35</f>
        <v>14123.316022367319</v>
      </c>
      <c r="I33" s="9">
        <f t="shared" si="4"/>
        <v>141.2331602236732</v>
      </c>
      <c r="J33">
        <f>Source_CBS_bodemgebruik!Q35</f>
        <v>0</v>
      </c>
      <c r="K33" s="11">
        <f t="shared" si="5"/>
        <v>0</v>
      </c>
    </row>
    <row r="34" spans="1:11" x14ac:dyDescent="0.2">
      <c r="A34" s="13" t="str">
        <f>Source_CBS_bodemgebruik!A36</f>
        <v>2023GM0168</v>
      </c>
      <c r="B34" s="13" t="str">
        <f t="shared" si="0"/>
        <v>GM0168</v>
      </c>
      <c r="C34">
        <f>Source_CBS_bodemgebruik!N36</f>
        <v>7124.3911351778088</v>
      </c>
      <c r="D34" s="9">
        <f t="shared" si="1"/>
        <v>71.243911351778081</v>
      </c>
      <c r="E34" s="10">
        <f t="shared" si="2"/>
        <v>3.1941543214051922E-3</v>
      </c>
      <c r="F34">
        <f>Source_CBS_bodemgebruik!AL36</f>
        <v>0</v>
      </c>
      <c r="G34" s="7">
        <f t="shared" si="3"/>
        <v>0</v>
      </c>
      <c r="H34">
        <f>Source_CBS_bodemgebruik!H36</f>
        <v>9874.2866490514134</v>
      </c>
      <c r="I34" s="9">
        <f t="shared" si="4"/>
        <v>98.742866490514132</v>
      </c>
      <c r="J34">
        <f>Source_CBS_bodemgebruik!Q36</f>
        <v>0</v>
      </c>
      <c r="K34" s="11">
        <f t="shared" si="5"/>
        <v>0</v>
      </c>
    </row>
    <row r="35" spans="1:11" x14ac:dyDescent="0.2">
      <c r="A35" s="13" t="str">
        <f>Source_CBS_bodemgebruik!A37</f>
        <v>2023GM0171</v>
      </c>
      <c r="B35" s="13" t="str">
        <f t="shared" si="0"/>
        <v>GM0171</v>
      </c>
      <c r="C35">
        <f>Source_CBS_bodemgebruik!N37</f>
        <v>40174.496380629062</v>
      </c>
      <c r="D35" s="9">
        <f t="shared" si="1"/>
        <v>401.74496380629063</v>
      </c>
      <c r="E35" s="10">
        <f t="shared" si="2"/>
        <v>1.8011860773736271E-2</v>
      </c>
      <c r="F35">
        <f>Source_CBS_bodemgebruik!AL37</f>
        <v>421.05104352502974</v>
      </c>
      <c r="G35" s="7">
        <f t="shared" si="3"/>
        <v>2.670692165681296E-2</v>
      </c>
      <c r="H35">
        <f>Source_CBS_bodemgebruik!H37</f>
        <v>45808.871973132926</v>
      </c>
      <c r="I35" s="9">
        <f t="shared" si="4"/>
        <v>458.08871973132926</v>
      </c>
      <c r="J35">
        <f>Source_CBS_bodemgebruik!Q37</f>
        <v>0</v>
      </c>
      <c r="K35" s="11">
        <f t="shared" si="5"/>
        <v>0</v>
      </c>
    </row>
    <row r="36" spans="1:11" x14ac:dyDescent="0.2">
      <c r="A36" s="13" t="str">
        <f>Source_CBS_bodemgebruik!A38</f>
        <v>2023GM0173</v>
      </c>
      <c r="B36" s="13" t="str">
        <f t="shared" si="0"/>
        <v>GM0173</v>
      </c>
      <c r="C36">
        <f>Source_CBS_bodemgebruik!N38</f>
        <v>696.12213368906623</v>
      </c>
      <c r="D36" s="9">
        <f t="shared" si="1"/>
        <v>6.9612213368906621</v>
      </c>
      <c r="E36" s="10">
        <f t="shared" si="2"/>
        <v>3.1209986641100385E-4</v>
      </c>
      <c r="F36">
        <f>Source_CBS_bodemgebruik!AL38</f>
        <v>0</v>
      </c>
      <c r="G36" s="7">
        <f t="shared" si="3"/>
        <v>0</v>
      </c>
      <c r="H36">
        <f>Source_CBS_bodemgebruik!H38</f>
        <v>2155.3756492206871</v>
      </c>
      <c r="I36" s="9">
        <f t="shared" si="4"/>
        <v>21.553756492206873</v>
      </c>
      <c r="J36">
        <f>Source_CBS_bodemgebruik!Q38</f>
        <v>0</v>
      </c>
      <c r="K36" s="11">
        <f t="shared" si="5"/>
        <v>0</v>
      </c>
    </row>
    <row r="37" spans="1:11" x14ac:dyDescent="0.2">
      <c r="A37" s="13" t="str">
        <f>Source_CBS_bodemgebruik!A39</f>
        <v>2023GM0175</v>
      </c>
      <c r="B37" s="13" t="str">
        <f t="shared" si="0"/>
        <v>GM0175</v>
      </c>
      <c r="C37">
        <f>Source_CBS_bodemgebruik!N39</f>
        <v>11319.300548932808</v>
      </c>
      <c r="D37" s="9">
        <f t="shared" si="1"/>
        <v>113.19300548932807</v>
      </c>
      <c r="E37" s="10">
        <f t="shared" si="2"/>
        <v>5.0749028341711801E-3</v>
      </c>
      <c r="F37">
        <f>Source_CBS_bodemgebruik!AL39</f>
        <v>0</v>
      </c>
      <c r="G37" s="7">
        <f t="shared" si="3"/>
        <v>0</v>
      </c>
      <c r="H37">
        <f>Source_CBS_bodemgebruik!H39</f>
        <v>17984.682429915236</v>
      </c>
      <c r="I37" s="9">
        <f t="shared" si="4"/>
        <v>179.84682429915236</v>
      </c>
      <c r="J37">
        <f>Source_CBS_bodemgebruik!Q39</f>
        <v>0</v>
      </c>
      <c r="K37" s="11">
        <f t="shared" si="5"/>
        <v>0</v>
      </c>
    </row>
    <row r="38" spans="1:11" x14ac:dyDescent="0.2">
      <c r="A38" s="13" t="str">
        <f>Source_CBS_bodemgebruik!A40</f>
        <v>2023GM0177</v>
      </c>
      <c r="B38" s="13" t="str">
        <f t="shared" si="0"/>
        <v>GM0177</v>
      </c>
      <c r="C38">
        <f>Source_CBS_bodemgebruik!N40</f>
        <v>13951.551140098154</v>
      </c>
      <c r="D38" s="9">
        <f t="shared" si="1"/>
        <v>139.51551140098155</v>
      </c>
      <c r="E38" s="10">
        <f t="shared" si="2"/>
        <v>6.255047837619581E-3</v>
      </c>
      <c r="F38">
        <f>Source_CBS_bodemgebruik!AL40</f>
        <v>3.4867914818134</v>
      </c>
      <c r="G38" s="7">
        <f t="shared" si="3"/>
        <v>2.2116431812832583E-4</v>
      </c>
      <c r="H38">
        <f>Source_CBS_bodemgebruik!H40</f>
        <v>17097.205575674539</v>
      </c>
      <c r="I38" s="9">
        <f t="shared" si="4"/>
        <v>170.97205575674539</v>
      </c>
      <c r="J38">
        <f>Source_CBS_bodemgebruik!Q40</f>
        <v>0</v>
      </c>
      <c r="K38" s="11">
        <f t="shared" si="5"/>
        <v>0</v>
      </c>
    </row>
    <row r="39" spans="1:11" x14ac:dyDescent="0.2">
      <c r="A39" s="13" t="str">
        <f>Source_CBS_bodemgebruik!A41</f>
        <v>2023GM0180</v>
      </c>
      <c r="B39" s="13" t="str">
        <f t="shared" si="0"/>
        <v>GM0180</v>
      </c>
      <c r="C39">
        <f>Source_CBS_bodemgebruik!N41</f>
        <v>11140.319181976514</v>
      </c>
      <c r="D39" s="9">
        <f t="shared" si="1"/>
        <v>111.40319181976514</v>
      </c>
      <c r="E39" s="10">
        <f t="shared" si="2"/>
        <v>4.9946582075262981E-3</v>
      </c>
      <c r="F39">
        <f>Source_CBS_bodemgebruik!AL41</f>
        <v>0</v>
      </c>
      <c r="G39" s="7">
        <f t="shared" si="3"/>
        <v>0</v>
      </c>
      <c r="H39">
        <f>Source_CBS_bodemgebruik!H41</f>
        <v>13394.303559151425</v>
      </c>
      <c r="I39" s="9">
        <f t="shared" si="4"/>
        <v>133.94303559151425</v>
      </c>
      <c r="J39">
        <f>Source_CBS_bodemgebruik!Q41</f>
        <v>0</v>
      </c>
      <c r="K39" s="11">
        <f t="shared" si="5"/>
        <v>0</v>
      </c>
    </row>
    <row r="40" spans="1:11" x14ac:dyDescent="0.2">
      <c r="A40" s="13" t="str">
        <f>Source_CBS_bodemgebruik!A42</f>
        <v>2023GM0183</v>
      </c>
      <c r="B40" s="13" t="str">
        <f t="shared" si="0"/>
        <v>GM0183</v>
      </c>
      <c r="C40">
        <f>Source_CBS_bodemgebruik!N42</f>
        <v>12582.809852220209</v>
      </c>
      <c r="D40" s="9">
        <f t="shared" si="1"/>
        <v>125.82809852220208</v>
      </c>
      <c r="E40" s="10">
        <f t="shared" si="2"/>
        <v>5.6413854464611628E-3</v>
      </c>
      <c r="F40">
        <f>Source_CBS_bodemgebruik!AL42</f>
        <v>0</v>
      </c>
      <c r="G40" s="7">
        <f t="shared" si="3"/>
        <v>0</v>
      </c>
      <c r="H40">
        <f>Source_CBS_bodemgebruik!H42</f>
        <v>14700.208941809929</v>
      </c>
      <c r="I40" s="9">
        <f t="shared" si="4"/>
        <v>147.0020894180993</v>
      </c>
      <c r="J40">
        <f>Source_CBS_bodemgebruik!Q42</f>
        <v>0</v>
      </c>
      <c r="K40" s="11">
        <f t="shared" si="5"/>
        <v>0</v>
      </c>
    </row>
    <row r="41" spans="1:11" x14ac:dyDescent="0.2">
      <c r="A41" s="13" t="str">
        <f>Source_CBS_bodemgebruik!A43</f>
        <v>2023GM0184</v>
      </c>
      <c r="B41" s="13" t="str">
        <f t="shared" si="0"/>
        <v>GM0184</v>
      </c>
      <c r="C41">
        <f>Source_CBS_bodemgebruik!N43</f>
        <v>546.8731849940026</v>
      </c>
      <c r="D41" s="9">
        <f t="shared" si="1"/>
        <v>5.4687318499400259</v>
      </c>
      <c r="E41" s="10">
        <f t="shared" si="2"/>
        <v>2.4518549220074769E-4</v>
      </c>
      <c r="F41">
        <f>Source_CBS_bodemgebruik!AL43</f>
        <v>0</v>
      </c>
      <c r="G41" s="7">
        <f t="shared" si="3"/>
        <v>0</v>
      </c>
      <c r="H41">
        <f>Source_CBS_bodemgebruik!H43</f>
        <v>1314.2182843566652</v>
      </c>
      <c r="I41" s="9">
        <f t="shared" si="4"/>
        <v>13.142182843566651</v>
      </c>
      <c r="J41">
        <f>Source_CBS_bodemgebruik!Q43</f>
        <v>0</v>
      </c>
      <c r="K41" s="11">
        <f t="shared" si="5"/>
        <v>0</v>
      </c>
    </row>
    <row r="42" spans="1:11" x14ac:dyDescent="0.2">
      <c r="A42" s="13" t="str">
        <f>Source_CBS_bodemgebruik!A44</f>
        <v>2023GM0189</v>
      </c>
      <c r="B42" s="13" t="str">
        <f t="shared" si="0"/>
        <v>GM0189</v>
      </c>
      <c r="C42">
        <f>Source_CBS_bodemgebruik!N44</f>
        <v>7289.4301317410736</v>
      </c>
      <c r="D42" s="9">
        <f t="shared" si="1"/>
        <v>72.894301317410736</v>
      </c>
      <c r="E42" s="10">
        <f t="shared" si="2"/>
        <v>3.2681480163147818E-3</v>
      </c>
      <c r="F42">
        <f>Source_CBS_bodemgebruik!AL44</f>
        <v>0</v>
      </c>
      <c r="G42" s="7">
        <f t="shared" si="3"/>
        <v>0</v>
      </c>
      <c r="H42">
        <f>Source_CBS_bodemgebruik!H44</f>
        <v>9460.4629557619446</v>
      </c>
      <c r="I42" s="9">
        <f t="shared" si="4"/>
        <v>94.604629557619447</v>
      </c>
      <c r="J42">
        <f>Source_CBS_bodemgebruik!Q44</f>
        <v>0</v>
      </c>
      <c r="K42" s="11">
        <f t="shared" si="5"/>
        <v>0</v>
      </c>
    </row>
    <row r="43" spans="1:11" x14ac:dyDescent="0.2">
      <c r="A43" s="13" t="str">
        <f>Source_CBS_bodemgebruik!A45</f>
        <v>2023GM0193</v>
      </c>
      <c r="B43" s="13" t="str">
        <f t="shared" si="0"/>
        <v>GM0193</v>
      </c>
      <c r="C43">
        <f>Source_CBS_bodemgebruik!N45</f>
        <v>6607.2161880123886</v>
      </c>
      <c r="D43" s="9">
        <f t="shared" si="1"/>
        <v>66.072161880123886</v>
      </c>
      <c r="E43" s="10">
        <f t="shared" si="2"/>
        <v>2.96228375716087E-3</v>
      </c>
      <c r="F43">
        <f>Source_CBS_bodemgebruik!AL45</f>
        <v>1.4765326450486997</v>
      </c>
      <c r="G43" s="7">
        <f t="shared" si="3"/>
        <v>9.3655252211002487E-5</v>
      </c>
      <c r="H43">
        <f>Source_CBS_bodemgebruik!H45</f>
        <v>11067.247223208489</v>
      </c>
      <c r="I43" s="9">
        <f t="shared" si="4"/>
        <v>110.67247223208489</v>
      </c>
      <c r="J43">
        <f>Source_CBS_bodemgebruik!Q45</f>
        <v>0</v>
      </c>
      <c r="K43" s="11">
        <f t="shared" si="5"/>
        <v>0</v>
      </c>
    </row>
    <row r="44" spans="1:11" x14ac:dyDescent="0.2">
      <c r="A44" s="13" t="str">
        <f>Source_CBS_bodemgebruik!A46</f>
        <v>2023GM0197</v>
      </c>
      <c r="B44" s="13" t="str">
        <f t="shared" si="0"/>
        <v>GM0197</v>
      </c>
      <c r="C44">
        <f>Source_CBS_bodemgebruik!N46</f>
        <v>8046.467765170406</v>
      </c>
      <c r="D44" s="9">
        <f t="shared" si="1"/>
        <v>80.464677651704065</v>
      </c>
      <c r="E44" s="10">
        <f t="shared" si="2"/>
        <v>3.6075587789194535E-3</v>
      </c>
      <c r="F44">
        <f>Source_CBS_bodemgebruik!AL46</f>
        <v>0</v>
      </c>
      <c r="G44" s="7">
        <f t="shared" si="3"/>
        <v>0</v>
      </c>
      <c r="H44">
        <f>Source_CBS_bodemgebruik!H46</f>
        <v>9653.035211510356</v>
      </c>
      <c r="I44" s="9">
        <f t="shared" si="4"/>
        <v>96.530352115103554</v>
      </c>
      <c r="J44">
        <f>Source_CBS_bodemgebruik!Q46</f>
        <v>0</v>
      </c>
      <c r="K44" s="11">
        <f t="shared" si="5"/>
        <v>0</v>
      </c>
    </row>
    <row r="45" spans="1:11" x14ac:dyDescent="0.2">
      <c r="A45" s="13" t="str">
        <f>Source_CBS_bodemgebruik!A47</f>
        <v>2023GM0200</v>
      </c>
      <c r="B45" s="13" t="str">
        <f t="shared" si="0"/>
        <v>GM0200</v>
      </c>
      <c r="C45">
        <f>Source_CBS_bodemgebruik!N47</f>
        <v>8273.6473716488399</v>
      </c>
      <c r="D45" s="9">
        <f t="shared" si="1"/>
        <v>82.736473716488405</v>
      </c>
      <c r="E45" s="10">
        <f t="shared" si="2"/>
        <v>3.7094126367439102E-3</v>
      </c>
      <c r="F45">
        <f>Source_CBS_bodemgebruik!AL47</f>
        <v>5.2718066093468998</v>
      </c>
      <c r="G45" s="7">
        <f t="shared" si="3"/>
        <v>3.3438636068200796E-4</v>
      </c>
      <c r="H45">
        <f>Source_CBS_bodemgebruik!H47</f>
        <v>33986.101313860592</v>
      </c>
      <c r="I45" s="9">
        <f t="shared" si="4"/>
        <v>339.86101313860593</v>
      </c>
      <c r="J45">
        <f>Source_CBS_bodemgebruik!Q47</f>
        <v>0</v>
      </c>
      <c r="K45" s="11">
        <f t="shared" si="5"/>
        <v>0</v>
      </c>
    </row>
    <row r="46" spans="1:11" x14ac:dyDescent="0.2">
      <c r="A46" s="13" t="str">
        <f>Source_CBS_bodemgebruik!A48</f>
        <v>2023GM0202</v>
      </c>
      <c r="B46" s="13" t="str">
        <f t="shared" si="0"/>
        <v>GM0202</v>
      </c>
      <c r="C46">
        <f>Source_CBS_bodemgebruik!N48</f>
        <v>1572.1138042859432</v>
      </c>
      <c r="D46" s="9">
        <f t="shared" si="1"/>
        <v>15.721138042859431</v>
      </c>
      <c r="E46" s="10">
        <f t="shared" si="2"/>
        <v>7.0484256218133296E-4</v>
      </c>
      <c r="F46">
        <f>Source_CBS_bodemgebruik!AL48</f>
        <v>1.4165057909878997</v>
      </c>
      <c r="G46" s="7">
        <f t="shared" si="3"/>
        <v>8.9847798190023593E-5</v>
      </c>
      <c r="H46">
        <f>Source_CBS_bodemgebruik!H48</f>
        <v>9773.9964257544325</v>
      </c>
      <c r="I46" s="9">
        <f t="shared" si="4"/>
        <v>97.739964257544329</v>
      </c>
      <c r="J46">
        <f>Source_CBS_bodemgebruik!Q48</f>
        <v>0</v>
      </c>
      <c r="K46" s="11">
        <f t="shared" si="5"/>
        <v>0</v>
      </c>
    </row>
    <row r="47" spans="1:11" x14ac:dyDescent="0.2">
      <c r="A47" s="13" t="str">
        <f>Source_CBS_bodemgebruik!A49</f>
        <v>2023GM0203</v>
      </c>
      <c r="B47" s="13" t="str">
        <f t="shared" si="0"/>
        <v>GM0203</v>
      </c>
      <c r="C47">
        <f>Source_CBS_bodemgebruik!N49</f>
        <v>9389.1166334911832</v>
      </c>
      <c r="D47" s="9">
        <f t="shared" si="1"/>
        <v>93.89116633491183</v>
      </c>
      <c r="E47" s="10">
        <f t="shared" si="2"/>
        <v>4.2095228771145713E-3</v>
      </c>
      <c r="F47">
        <f>Source_CBS_bodemgebruik!AL49</f>
        <v>0</v>
      </c>
      <c r="G47" s="7">
        <f t="shared" si="3"/>
        <v>0</v>
      </c>
      <c r="H47">
        <f>Source_CBS_bodemgebruik!H49</f>
        <v>17583.656621749662</v>
      </c>
      <c r="I47" s="9">
        <f t="shared" si="4"/>
        <v>175.83656621749662</v>
      </c>
      <c r="J47">
        <f>Source_CBS_bodemgebruik!Q49</f>
        <v>0</v>
      </c>
      <c r="K47" s="11">
        <f t="shared" si="5"/>
        <v>0</v>
      </c>
    </row>
    <row r="48" spans="1:11" x14ac:dyDescent="0.2">
      <c r="A48" s="13" t="str">
        <f>Source_CBS_bodemgebruik!A50</f>
        <v>2023GM0209</v>
      </c>
      <c r="B48" s="13" t="str">
        <f t="shared" si="0"/>
        <v>GM0209</v>
      </c>
      <c r="C48">
        <f>Source_CBS_bodemgebruik!N50</f>
        <v>3043.871508661493</v>
      </c>
      <c r="D48" s="9">
        <f t="shared" si="1"/>
        <v>30.438715086614931</v>
      </c>
      <c r="E48" s="10">
        <f t="shared" si="2"/>
        <v>1.3646914029167205E-3</v>
      </c>
      <c r="F48">
        <f>Source_CBS_bodemgebruik!AL50</f>
        <v>1.7146303197905999</v>
      </c>
      <c r="G48" s="7">
        <f t="shared" si="3"/>
        <v>1.0875759204316408E-4</v>
      </c>
      <c r="H48">
        <f>Source_CBS_bodemgebruik!H50</f>
        <v>4360.4271207553356</v>
      </c>
      <c r="I48" s="9">
        <f t="shared" si="4"/>
        <v>43.604271207553353</v>
      </c>
      <c r="J48">
        <f>Source_CBS_bodemgebruik!Q50</f>
        <v>0</v>
      </c>
      <c r="K48" s="11">
        <f t="shared" si="5"/>
        <v>0</v>
      </c>
    </row>
    <row r="49" spans="1:11" x14ac:dyDescent="0.2">
      <c r="A49" s="13" t="str">
        <f>Source_CBS_bodemgebruik!A51</f>
        <v>2023GM0213</v>
      </c>
      <c r="B49" s="13" t="str">
        <f t="shared" si="0"/>
        <v>GM0213</v>
      </c>
      <c r="C49">
        <f>Source_CBS_bodemgebruik!N51</f>
        <v>5779.8325303934917</v>
      </c>
      <c r="D49" s="9">
        <f t="shared" si="1"/>
        <v>57.798325303934917</v>
      </c>
      <c r="E49" s="10">
        <f t="shared" si="2"/>
        <v>2.5913340106773794E-3</v>
      </c>
      <c r="F49">
        <f>Source_CBS_bodemgebruik!AL51</f>
        <v>0</v>
      </c>
      <c r="G49" s="7">
        <f t="shared" si="3"/>
        <v>0</v>
      </c>
      <c r="H49">
        <f>Source_CBS_bodemgebruik!H51</f>
        <v>8362.8395850002962</v>
      </c>
      <c r="I49" s="9">
        <f t="shared" si="4"/>
        <v>83.62839585000296</v>
      </c>
      <c r="J49">
        <f>Source_CBS_bodemgebruik!Q51</f>
        <v>0</v>
      </c>
      <c r="K49" s="11">
        <f t="shared" si="5"/>
        <v>0</v>
      </c>
    </row>
    <row r="50" spans="1:11" x14ac:dyDescent="0.2">
      <c r="A50" s="13" t="str">
        <f>Source_CBS_bodemgebruik!A52</f>
        <v>2023GM0214</v>
      </c>
      <c r="B50" s="13" t="str">
        <f t="shared" si="0"/>
        <v>GM0214</v>
      </c>
      <c r="C50">
        <f>Source_CBS_bodemgebruik!N52</f>
        <v>11461.844772712739</v>
      </c>
      <c r="D50" s="9">
        <f t="shared" si="1"/>
        <v>114.61844772712739</v>
      </c>
      <c r="E50" s="10">
        <f t="shared" si="2"/>
        <v>5.1388112074958652E-3</v>
      </c>
      <c r="F50">
        <f>Source_CBS_bodemgebruik!AL52</f>
        <v>4.7745818052999995</v>
      </c>
      <c r="G50" s="7">
        <f t="shared" si="3"/>
        <v>3.0284779999746391E-4</v>
      </c>
      <c r="H50">
        <f>Source_CBS_bodemgebruik!H52</f>
        <v>13359.676144534847</v>
      </c>
      <c r="I50" s="9">
        <f t="shared" si="4"/>
        <v>133.59676144534848</v>
      </c>
      <c r="J50">
        <f>Source_CBS_bodemgebruik!Q52</f>
        <v>0</v>
      </c>
      <c r="K50" s="11">
        <f t="shared" si="5"/>
        <v>0</v>
      </c>
    </row>
    <row r="51" spans="1:11" x14ac:dyDescent="0.2">
      <c r="A51" s="13" t="str">
        <f>Source_CBS_bodemgebruik!A53</f>
        <v>2023GM0216</v>
      </c>
      <c r="B51" s="13" t="str">
        <f t="shared" si="0"/>
        <v>GM0216</v>
      </c>
      <c r="C51">
        <f>Source_CBS_bodemgebruik!N53</f>
        <v>1806.8999347389083</v>
      </c>
      <c r="D51" s="9">
        <f t="shared" si="1"/>
        <v>18.068999347389084</v>
      </c>
      <c r="E51" s="10">
        <f t="shared" si="2"/>
        <v>8.1010673408921433E-4</v>
      </c>
      <c r="F51">
        <f>Source_CBS_bodemgebruik!AL53</f>
        <v>0</v>
      </c>
      <c r="G51" s="7">
        <f t="shared" si="3"/>
        <v>0</v>
      </c>
      <c r="H51">
        <f>Source_CBS_bodemgebruik!H53</f>
        <v>2927.1603488733249</v>
      </c>
      <c r="I51" s="9">
        <f t="shared" si="4"/>
        <v>29.271603488733248</v>
      </c>
      <c r="J51">
        <f>Source_CBS_bodemgebruik!Q53</f>
        <v>0</v>
      </c>
      <c r="K51" s="11">
        <f t="shared" si="5"/>
        <v>0</v>
      </c>
    </row>
    <row r="52" spans="1:11" x14ac:dyDescent="0.2">
      <c r="A52" s="13" t="str">
        <f>Source_CBS_bodemgebruik!A54</f>
        <v>2023GM0221</v>
      </c>
      <c r="B52" s="13" t="str">
        <f t="shared" si="0"/>
        <v>GM0221</v>
      </c>
      <c r="C52">
        <f>Source_CBS_bodemgebruik!N54</f>
        <v>736.97778263580847</v>
      </c>
      <c r="D52" s="9">
        <f t="shared" si="1"/>
        <v>7.3697778263580851</v>
      </c>
      <c r="E52" s="10">
        <f t="shared" si="2"/>
        <v>3.304171155851388E-4</v>
      </c>
      <c r="F52">
        <f>Source_CBS_bodemgebruik!AL54</f>
        <v>0</v>
      </c>
      <c r="G52" s="7">
        <f t="shared" si="3"/>
        <v>0</v>
      </c>
      <c r="H52">
        <f>Source_CBS_bodemgebruik!H54</f>
        <v>1155.8612893386517</v>
      </c>
      <c r="I52" s="9">
        <f t="shared" si="4"/>
        <v>11.558612893386517</v>
      </c>
      <c r="J52">
        <f>Source_CBS_bodemgebruik!Q54</f>
        <v>0</v>
      </c>
      <c r="K52" s="11">
        <f t="shared" si="5"/>
        <v>0</v>
      </c>
    </row>
    <row r="53" spans="1:11" x14ac:dyDescent="0.2">
      <c r="A53" s="13" t="str">
        <f>Source_CBS_bodemgebruik!A55</f>
        <v>2023GM0222</v>
      </c>
      <c r="B53" s="13" t="str">
        <f t="shared" si="0"/>
        <v>GM0222</v>
      </c>
      <c r="C53">
        <f>Source_CBS_bodemgebruik!N55</f>
        <v>4956.7186036563817</v>
      </c>
      <c r="D53" s="9">
        <f t="shared" si="1"/>
        <v>49.567186036563818</v>
      </c>
      <c r="E53" s="10">
        <f t="shared" si="2"/>
        <v>2.2222985582140416E-3</v>
      </c>
      <c r="F53">
        <f>Source_CBS_bodemgebruik!AL55</f>
        <v>3.9027937150706995</v>
      </c>
      <c r="G53" s="7">
        <f t="shared" si="3"/>
        <v>2.475509978991396E-4</v>
      </c>
      <c r="H53">
        <f>Source_CBS_bodemgebruik!H55</f>
        <v>7904.3058876808664</v>
      </c>
      <c r="I53" s="9">
        <f t="shared" si="4"/>
        <v>79.043058876808658</v>
      </c>
      <c r="J53">
        <f>Source_CBS_bodemgebruik!Q55</f>
        <v>0</v>
      </c>
      <c r="K53" s="11">
        <f t="shared" si="5"/>
        <v>0</v>
      </c>
    </row>
    <row r="54" spans="1:11" x14ac:dyDescent="0.2">
      <c r="A54" s="13" t="str">
        <f>Source_CBS_bodemgebruik!A56</f>
        <v>2023GM0225</v>
      </c>
      <c r="B54" s="13" t="str">
        <f t="shared" si="0"/>
        <v>GM0225</v>
      </c>
      <c r="C54">
        <f>Source_CBS_bodemgebruik!N56</f>
        <v>2754.0796667033005</v>
      </c>
      <c r="D54" s="9">
        <f t="shared" si="1"/>
        <v>27.540796667033007</v>
      </c>
      <c r="E54" s="10">
        <f t="shared" si="2"/>
        <v>1.2347659332540236E-3</v>
      </c>
      <c r="F54">
        <f>Source_CBS_bodemgebruik!AL56</f>
        <v>3.418749059599</v>
      </c>
      <c r="G54" s="7">
        <f t="shared" si="3"/>
        <v>2.1684844320682894E-4</v>
      </c>
      <c r="H54">
        <f>Source_CBS_bodemgebruik!H56</f>
        <v>3752.1089857453194</v>
      </c>
      <c r="I54" s="9">
        <f t="shared" si="4"/>
        <v>37.521089857453191</v>
      </c>
      <c r="J54">
        <f>Source_CBS_bodemgebruik!Q56</f>
        <v>0</v>
      </c>
      <c r="K54" s="11">
        <f t="shared" si="5"/>
        <v>0</v>
      </c>
    </row>
    <row r="55" spans="1:11" x14ac:dyDescent="0.2">
      <c r="A55" s="13" t="str">
        <f>Source_CBS_bodemgebruik!A57</f>
        <v>2023GM0226</v>
      </c>
      <c r="B55" s="13" t="str">
        <f t="shared" si="0"/>
        <v>GM0226</v>
      </c>
      <c r="C55">
        <f>Source_CBS_bodemgebruik!N57</f>
        <v>2303.7099570399396</v>
      </c>
      <c r="D55" s="9">
        <f t="shared" si="1"/>
        <v>23.037099570399395</v>
      </c>
      <c r="E55" s="10">
        <f t="shared" si="2"/>
        <v>1.0328468741995372E-3</v>
      </c>
      <c r="F55">
        <f>Source_CBS_bodemgebruik!AL57</f>
        <v>12.895269111812699</v>
      </c>
      <c r="G55" s="7">
        <f t="shared" si="3"/>
        <v>8.1793632199424551E-4</v>
      </c>
      <c r="H55">
        <f>Source_CBS_bodemgebruik!H57</f>
        <v>3387.9412342095029</v>
      </c>
      <c r="I55" s="9">
        <f t="shared" si="4"/>
        <v>33.87941234209503</v>
      </c>
      <c r="J55">
        <f>Source_CBS_bodemgebruik!Q57</f>
        <v>0</v>
      </c>
      <c r="K55" s="11">
        <f t="shared" si="5"/>
        <v>0</v>
      </c>
    </row>
    <row r="56" spans="1:11" x14ac:dyDescent="0.2">
      <c r="A56" s="13" t="str">
        <f>Source_CBS_bodemgebruik!A58</f>
        <v>2023GM0228</v>
      </c>
      <c r="B56" s="13" t="str">
        <f t="shared" si="0"/>
        <v>GM0228</v>
      </c>
      <c r="C56">
        <f>Source_CBS_bodemgebruik!N58</f>
        <v>10804.053468842738</v>
      </c>
      <c r="D56" s="9">
        <f t="shared" si="1"/>
        <v>108.04053468842739</v>
      </c>
      <c r="E56" s="10">
        <f t="shared" si="2"/>
        <v>4.843896611150267E-3</v>
      </c>
      <c r="F56">
        <f>Source_CBS_bodemgebruik!AL58</f>
        <v>0</v>
      </c>
      <c r="G56" s="7">
        <f t="shared" si="3"/>
        <v>0</v>
      </c>
      <c r="H56">
        <f>Source_CBS_bodemgebruik!H58</f>
        <v>31814.513928119199</v>
      </c>
      <c r="I56" s="9">
        <f t="shared" si="4"/>
        <v>318.14513928119197</v>
      </c>
      <c r="J56">
        <f>Source_CBS_bodemgebruik!Q58</f>
        <v>0</v>
      </c>
      <c r="K56" s="11">
        <f t="shared" si="5"/>
        <v>0</v>
      </c>
    </row>
    <row r="57" spans="1:11" x14ac:dyDescent="0.2">
      <c r="A57" s="13" t="str">
        <f>Source_CBS_bodemgebruik!A59</f>
        <v>2023GM0230</v>
      </c>
      <c r="B57" s="13" t="str">
        <f t="shared" si="0"/>
        <v>GM0230</v>
      </c>
      <c r="C57">
        <f>Source_CBS_bodemgebruik!N59</f>
        <v>2947.8345059071094</v>
      </c>
      <c r="D57" s="9">
        <f t="shared" si="1"/>
        <v>29.478345059071092</v>
      </c>
      <c r="E57" s="10">
        <f t="shared" si="2"/>
        <v>1.3216341083995714E-3</v>
      </c>
      <c r="F57">
        <f>Source_CBS_bodemgebruik!AL59</f>
        <v>0</v>
      </c>
      <c r="G57" s="7">
        <f t="shared" si="3"/>
        <v>0</v>
      </c>
      <c r="H57">
        <f>Source_CBS_bodemgebruik!H59</f>
        <v>6381.5822310179165</v>
      </c>
      <c r="I57" s="9">
        <f t="shared" si="4"/>
        <v>63.815822310179165</v>
      </c>
      <c r="J57">
        <f>Source_CBS_bodemgebruik!Q59</f>
        <v>0</v>
      </c>
      <c r="K57" s="11">
        <f t="shared" si="5"/>
        <v>0</v>
      </c>
    </row>
    <row r="58" spans="1:11" x14ac:dyDescent="0.2">
      <c r="A58" s="13" t="str">
        <f>Source_CBS_bodemgebruik!A60</f>
        <v>2023GM0232</v>
      </c>
      <c r="B58" s="13" t="str">
        <f t="shared" si="0"/>
        <v>GM0232</v>
      </c>
      <c r="C58">
        <f>Source_CBS_bodemgebruik!N60</f>
        <v>6819.5269578597463</v>
      </c>
      <c r="D58" s="9">
        <f t="shared" si="1"/>
        <v>68.195269578597461</v>
      </c>
      <c r="E58" s="10">
        <f t="shared" si="2"/>
        <v>3.0574713107526866E-3</v>
      </c>
      <c r="F58">
        <f>Source_CBS_bodemgebruik!AL60</f>
        <v>3.2156589893701999</v>
      </c>
      <c r="G58" s="7">
        <f t="shared" si="3"/>
        <v>2.0396660695850061E-4</v>
      </c>
      <c r="H58">
        <f>Source_CBS_bodemgebruik!H60</f>
        <v>15612.126957288288</v>
      </c>
      <c r="I58" s="9">
        <f t="shared" si="4"/>
        <v>156.12126957288288</v>
      </c>
      <c r="J58">
        <f>Source_CBS_bodemgebruik!Q60</f>
        <v>0</v>
      </c>
      <c r="K58" s="11">
        <f t="shared" si="5"/>
        <v>0</v>
      </c>
    </row>
    <row r="59" spans="1:11" x14ac:dyDescent="0.2">
      <c r="A59" s="13" t="str">
        <f>Source_CBS_bodemgebruik!A61</f>
        <v>2023GM0233</v>
      </c>
      <c r="B59" s="13" t="str">
        <f t="shared" si="0"/>
        <v>GM0233</v>
      </c>
      <c r="C59">
        <f>Source_CBS_bodemgebruik!N61</f>
        <v>1984.5070440298077</v>
      </c>
      <c r="D59" s="9">
        <f t="shared" si="1"/>
        <v>19.845070440298077</v>
      </c>
      <c r="E59" s="10">
        <f t="shared" si="2"/>
        <v>8.8973522512652615E-4</v>
      </c>
      <c r="F59">
        <f>Source_CBS_bodemgebruik!AL61</f>
        <v>1.3781081200400001</v>
      </c>
      <c r="G59" s="7">
        <f t="shared" si="3"/>
        <v>8.7412265478302193E-5</v>
      </c>
      <c r="H59">
        <f>Source_CBS_bodemgebruik!H61</f>
        <v>8563.6074431539164</v>
      </c>
      <c r="I59" s="9">
        <f t="shared" si="4"/>
        <v>85.636074431539157</v>
      </c>
      <c r="J59">
        <f>Source_CBS_bodemgebruik!Q61</f>
        <v>0</v>
      </c>
      <c r="K59" s="11">
        <f t="shared" si="5"/>
        <v>0</v>
      </c>
    </row>
    <row r="60" spans="1:11" x14ac:dyDescent="0.2">
      <c r="A60" s="13" t="str">
        <f>Source_CBS_bodemgebruik!A62</f>
        <v>2023GM0243</v>
      </c>
      <c r="B60" s="13" t="str">
        <f t="shared" si="0"/>
        <v>GM0243</v>
      </c>
      <c r="C60">
        <f>Source_CBS_bodemgebruik!N62</f>
        <v>841.31240697540397</v>
      </c>
      <c r="D60" s="9">
        <f t="shared" si="1"/>
        <v>8.4131240697540406</v>
      </c>
      <c r="E60" s="10">
        <f t="shared" si="2"/>
        <v>3.7719457135409264E-4</v>
      </c>
      <c r="F60">
        <f>Source_CBS_bodemgebruik!AL62</f>
        <v>4.4240002593170002</v>
      </c>
      <c r="G60" s="7">
        <f t="shared" si="3"/>
        <v>2.8061070065552691E-4</v>
      </c>
      <c r="H60">
        <f>Source_CBS_bodemgebruik!H62</f>
        <v>3892.4963627040474</v>
      </c>
      <c r="I60" s="9">
        <f t="shared" si="4"/>
        <v>38.924963627040476</v>
      </c>
      <c r="J60">
        <f>Source_CBS_bodemgebruik!Q62</f>
        <v>0</v>
      </c>
      <c r="K60" s="11">
        <f t="shared" si="5"/>
        <v>0</v>
      </c>
    </row>
    <row r="61" spans="1:11" x14ac:dyDescent="0.2">
      <c r="A61" s="13" t="str">
        <f>Source_CBS_bodemgebruik!A63</f>
        <v>2023GM0244</v>
      </c>
      <c r="B61" s="13" t="str">
        <f t="shared" si="0"/>
        <v>GM0244</v>
      </c>
      <c r="C61">
        <f>Source_CBS_bodemgebruik!N63</f>
        <v>1248.5283717108955</v>
      </c>
      <c r="D61" s="9">
        <f t="shared" si="1"/>
        <v>12.485283717108954</v>
      </c>
      <c r="E61" s="10">
        <f t="shared" si="2"/>
        <v>5.5976605133398725E-4</v>
      </c>
      <c r="F61">
        <f>Source_CBS_bodemgebruik!AL63</f>
        <v>0</v>
      </c>
      <c r="G61" s="7">
        <f t="shared" si="3"/>
        <v>0</v>
      </c>
      <c r="H61">
        <f>Source_CBS_bodemgebruik!H63</f>
        <v>2306.9233376110265</v>
      </c>
      <c r="I61" s="9">
        <f t="shared" si="4"/>
        <v>23.069233376110265</v>
      </c>
      <c r="J61">
        <f>Source_CBS_bodemgebruik!Q63</f>
        <v>0</v>
      </c>
      <c r="K61" s="11">
        <f t="shared" si="5"/>
        <v>0</v>
      </c>
    </row>
    <row r="62" spans="1:11" x14ac:dyDescent="0.2">
      <c r="A62" s="13" t="str">
        <f>Source_CBS_bodemgebruik!A64</f>
        <v>2023GM0246</v>
      </c>
      <c r="B62" s="13" t="str">
        <f t="shared" si="0"/>
        <v>GM0246</v>
      </c>
      <c r="C62">
        <f>Source_CBS_bodemgebruik!N64</f>
        <v>3961.3484231427497</v>
      </c>
      <c r="D62" s="9">
        <f t="shared" si="1"/>
        <v>39.613484231427499</v>
      </c>
      <c r="E62" s="10">
        <f t="shared" si="2"/>
        <v>1.7760336208796973E-3</v>
      </c>
      <c r="F62">
        <f>Source_CBS_bodemgebruik!AL64</f>
        <v>5.9827800578859609</v>
      </c>
      <c r="G62" s="7">
        <f t="shared" si="3"/>
        <v>3.7948282222082869E-4</v>
      </c>
      <c r="H62">
        <f>Source_CBS_bodemgebruik!H64</f>
        <v>7854.5222122870291</v>
      </c>
      <c r="I62" s="9">
        <f t="shared" si="4"/>
        <v>78.545222122870285</v>
      </c>
      <c r="J62">
        <f>Source_CBS_bodemgebruik!Q64</f>
        <v>0</v>
      </c>
      <c r="K62" s="11">
        <f t="shared" si="5"/>
        <v>0</v>
      </c>
    </row>
    <row r="63" spans="1:11" x14ac:dyDescent="0.2">
      <c r="A63" s="13" t="str">
        <f>Source_CBS_bodemgebruik!A65</f>
        <v>2023GM0252</v>
      </c>
      <c r="B63" s="13" t="str">
        <f t="shared" si="0"/>
        <v>GM0252</v>
      </c>
      <c r="C63">
        <f>Source_CBS_bodemgebruik!N65</f>
        <v>2325.3884326115949</v>
      </c>
      <c r="D63" s="9">
        <f t="shared" si="1"/>
        <v>23.253884326115948</v>
      </c>
      <c r="E63" s="10">
        <f t="shared" si="2"/>
        <v>1.0425662165426009E-3</v>
      </c>
      <c r="F63">
        <f>Source_CBS_bodemgebruik!AL65</f>
        <v>0</v>
      </c>
      <c r="G63" s="7">
        <f t="shared" si="3"/>
        <v>0</v>
      </c>
      <c r="H63">
        <f>Source_CBS_bodemgebruik!H65</f>
        <v>3972.860371047344</v>
      </c>
      <c r="I63" s="9">
        <f t="shared" si="4"/>
        <v>39.728603710473436</v>
      </c>
      <c r="J63">
        <f>Source_CBS_bodemgebruik!Q65</f>
        <v>0</v>
      </c>
      <c r="K63" s="11">
        <f t="shared" si="5"/>
        <v>0</v>
      </c>
    </row>
    <row r="64" spans="1:11" x14ac:dyDescent="0.2">
      <c r="A64" s="13" t="str">
        <f>Source_CBS_bodemgebruik!A66</f>
        <v>2023GM0262</v>
      </c>
      <c r="B64" s="13" t="str">
        <f t="shared" si="0"/>
        <v>GM0262</v>
      </c>
      <c r="C64">
        <f>Source_CBS_bodemgebruik!N66</f>
        <v>15917.027934000811</v>
      </c>
      <c r="D64" s="9">
        <f t="shared" si="1"/>
        <v>159.17027934000811</v>
      </c>
      <c r="E64" s="10">
        <f t="shared" si="2"/>
        <v>7.1362510275829998E-3</v>
      </c>
      <c r="F64">
        <f>Source_CBS_bodemgebruik!AL66</f>
        <v>1.0833061615599999</v>
      </c>
      <c r="G64" s="7">
        <f t="shared" si="3"/>
        <v>6.8713219530129987E-5</v>
      </c>
      <c r="H64">
        <f>Source_CBS_bodemgebruik!H66</f>
        <v>21304.621250880569</v>
      </c>
      <c r="I64" s="9">
        <f t="shared" si="4"/>
        <v>213.0462125088057</v>
      </c>
      <c r="J64">
        <f>Source_CBS_bodemgebruik!Q66</f>
        <v>0</v>
      </c>
      <c r="K64" s="11">
        <f t="shared" si="5"/>
        <v>0</v>
      </c>
    </row>
    <row r="65" spans="1:11" x14ac:dyDescent="0.2">
      <c r="A65" s="13" t="str">
        <f>Source_CBS_bodemgebruik!A67</f>
        <v>2023GM0263</v>
      </c>
      <c r="B65" s="13" t="str">
        <f t="shared" si="0"/>
        <v>GM0263</v>
      </c>
      <c r="C65">
        <f>Source_CBS_bodemgebruik!N67</f>
        <v>5266.7351654943623</v>
      </c>
      <c r="D65" s="9">
        <f t="shared" si="1"/>
        <v>52.667351654943623</v>
      </c>
      <c r="E65" s="10">
        <f t="shared" si="2"/>
        <v>2.361291592413483E-3</v>
      </c>
      <c r="F65">
        <f>Source_CBS_bodemgebruik!AL67</f>
        <v>43.226946146953203</v>
      </c>
      <c r="G65" s="7">
        <f t="shared" si="3"/>
        <v>2.7418496687357675E-3</v>
      </c>
      <c r="H65">
        <f>Source_CBS_bodemgebruik!H67</f>
        <v>6588.4396143661525</v>
      </c>
      <c r="I65" s="9">
        <f t="shared" si="4"/>
        <v>65.884396143661519</v>
      </c>
      <c r="J65">
        <f>Source_CBS_bodemgebruik!Q67</f>
        <v>0</v>
      </c>
      <c r="K65" s="11">
        <f t="shared" si="5"/>
        <v>0</v>
      </c>
    </row>
    <row r="66" spans="1:11" x14ac:dyDescent="0.2">
      <c r="A66" s="13" t="str">
        <f>Source_CBS_bodemgebruik!A68</f>
        <v>2023GM0267</v>
      </c>
      <c r="B66" s="13" t="str">
        <f t="shared" si="0"/>
        <v>GM0267</v>
      </c>
      <c r="C66">
        <f>Source_CBS_bodemgebruik!N68</f>
        <v>4871.8468439537955</v>
      </c>
      <c r="D66" s="9">
        <f t="shared" si="1"/>
        <v>48.718468439537958</v>
      </c>
      <c r="E66" s="10">
        <f t="shared" si="2"/>
        <v>2.1842470962890061E-3</v>
      </c>
      <c r="F66">
        <f>Source_CBS_bodemgebruik!AL68</f>
        <v>0</v>
      </c>
      <c r="G66" s="7">
        <f t="shared" si="3"/>
        <v>0</v>
      </c>
      <c r="H66">
        <f>Source_CBS_bodemgebruik!H68</f>
        <v>6932.0915213225153</v>
      </c>
      <c r="I66" s="9">
        <f t="shared" si="4"/>
        <v>69.320915213225149</v>
      </c>
      <c r="J66">
        <f>Source_CBS_bodemgebruik!Q68</f>
        <v>0</v>
      </c>
      <c r="K66" s="11">
        <f t="shared" si="5"/>
        <v>0</v>
      </c>
    </row>
    <row r="67" spans="1:11" x14ac:dyDescent="0.2">
      <c r="A67" s="13" t="str">
        <f>Source_CBS_bodemgebruik!A69</f>
        <v>2023GM0268</v>
      </c>
      <c r="B67" s="13" t="str">
        <f t="shared" ref="B67:B130" si="6">RIGHT(A67,6)</f>
        <v>GM0268</v>
      </c>
      <c r="C67">
        <f>Source_CBS_bodemgebruik!N69</f>
        <v>860.07247079805222</v>
      </c>
      <c r="D67" s="9">
        <f t="shared" ref="D67:D130" si="7">C67/100</f>
        <v>8.6007247079805218</v>
      </c>
      <c r="E67" s="10">
        <f t="shared" ref="E67:E130" si="8">D67/SUM(D$2:D$343)</f>
        <v>3.8560547100740779E-4</v>
      </c>
      <c r="F67">
        <f>Source_CBS_bodemgebruik!AL69</f>
        <v>3.5854972708805604</v>
      </c>
      <c r="G67" s="7">
        <f t="shared" ref="G67:G130" si="9">F67/SUM(F$2:F$343)</f>
        <v>2.2742514520910197E-4</v>
      </c>
      <c r="H67">
        <f>Source_CBS_bodemgebruik!H69</f>
        <v>5280.5701808352314</v>
      </c>
      <c r="I67" s="9">
        <f t="shared" ref="I67:I130" si="10">H67/100</f>
        <v>52.805701808352318</v>
      </c>
      <c r="J67">
        <f>Source_CBS_bodemgebruik!Q69</f>
        <v>0</v>
      </c>
      <c r="K67" s="11">
        <f t="shared" ref="K67:K130" si="11">J67/100</f>
        <v>0</v>
      </c>
    </row>
    <row r="68" spans="1:11" x14ac:dyDescent="0.2">
      <c r="A68" s="13" t="str">
        <f>Source_CBS_bodemgebruik!A70</f>
        <v>2023GM0269</v>
      </c>
      <c r="B68" s="13" t="str">
        <f t="shared" si="6"/>
        <v>GM0269</v>
      </c>
      <c r="C68">
        <f>Source_CBS_bodemgebruik!N70</f>
        <v>5744.0159440792304</v>
      </c>
      <c r="D68" s="9">
        <f t="shared" si="7"/>
        <v>57.440159440792307</v>
      </c>
      <c r="E68" s="10">
        <f t="shared" si="8"/>
        <v>2.5752759782388191E-3</v>
      </c>
      <c r="F68">
        <f>Source_CBS_bodemgebruik!AL70</f>
        <v>2.2274532576003003</v>
      </c>
      <c r="G68" s="7">
        <f t="shared" si="9"/>
        <v>1.4128552953320895E-4</v>
      </c>
      <c r="H68">
        <f>Source_CBS_bodemgebruik!H70</f>
        <v>9766.1283425882229</v>
      </c>
      <c r="I68" s="9">
        <f t="shared" si="10"/>
        <v>97.661283425882232</v>
      </c>
      <c r="J68">
        <f>Source_CBS_bodemgebruik!Q70</f>
        <v>0</v>
      </c>
      <c r="K68" s="11">
        <f t="shared" si="11"/>
        <v>0</v>
      </c>
    </row>
    <row r="69" spans="1:11" x14ac:dyDescent="0.2">
      <c r="A69" s="13" t="str">
        <f>Source_CBS_bodemgebruik!A71</f>
        <v>2023GM0273</v>
      </c>
      <c r="B69" s="13" t="str">
        <f t="shared" si="6"/>
        <v>GM0273</v>
      </c>
      <c r="C69">
        <f>Source_CBS_bodemgebruik!N71</f>
        <v>4691.7532334335192</v>
      </c>
      <c r="D69" s="9">
        <f t="shared" si="7"/>
        <v>46.917532334335192</v>
      </c>
      <c r="E69" s="10">
        <f t="shared" si="8"/>
        <v>2.1035038056153046E-3</v>
      </c>
      <c r="F69">
        <f>Source_CBS_bodemgebruik!AL71</f>
        <v>0</v>
      </c>
      <c r="G69" s="7">
        <f t="shared" si="9"/>
        <v>0</v>
      </c>
      <c r="H69">
        <f>Source_CBS_bodemgebruik!H71</f>
        <v>8521.3350190751426</v>
      </c>
      <c r="I69" s="9">
        <f t="shared" si="10"/>
        <v>85.213350190751427</v>
      </c>
      <c r="J69">
        <f>Source_CBS_bodemgebruik!Q71</f>
        <v>0</v>
      </c>
      <c r="K69" s="11">
        <f t="shared" si="11"/>
        <v>0</v>
      </c>
    </row>
    <row r="70" spans="1:11" x14ac:dyDescent="0.2">
      <c r="A70" s="13" t="str">
        <f>Source_CBS_bodemgebruik!A72</f>
        <v>2023GM0274</v>
      </c>
      <c r="B70" s="13" t="str">
        <f t="shared" si="6"/>
        <v>GM0274</v>
      </c>
      <c r="C70">
        <f>Source_CBS_bodemgebruik!N72</f>
        <v>1530.3768768759674</v>
      </c>
      <c r="D70" s="9">
        <f t="shared" si="7"/>
        <v>15.303768768759674</v>
      </c>
      <c r="E70" s="10">
        <f t="shared" si="8"/>
        <v>6.8613020002725525E-4</v>
      </c>
      <c r="F70">
        <f>Source_CBS_bodemgebruik!AL72</f>
        <v>0</v>
      </c>
      <c r="G70" s="7">
        <f t="shared" si="9"/>
        <v>0</v>
      </c>
      <c r="H70">
        <f>Source_CBS_bodemgebruik!H72</f>
        <v>4595.7565183301713</v>
      </c>
      <c r="I70" s="9">
        <f t="shared" si="10"/>
        <v>45.95756518330171</v>
      </c>
      <c r="J70">
        <f>Source_CBS_bodemgebruik!Q72</f>
        <v>0</v>
      </c>
      <c r="K70" s="11">
        <f t="shared" si="11"/>
        <v>0</v>
      </c>
    </row>
    <row r="71" spans="1:11" x14ac:dyDescent="0.2">
      <c r="A71" s="13" t="str">
        <f>Source_CBS_bodemgebruik!A73</f>
        <v>2023GM0275</v>
      </c>
      <c r="B71" s="13" t="str">
        <f t="shared" si="6"/>
        <v>GM0275</v>
      </c>
      <c r="C71">
        <f>Source_CBS_bodemgebruik!N73</f>
        <v>2477.2888473378634</v>
      </c>
      <c r="D71" s="9">
        <f t="shared" si="7"/>
        <v>24.772888473378636</v>
      </c>
      <c r="E71" s="10">
        <f t="shared" si="8"/>
        <v>1.1106693508196386E-3</v>
      </c>
      <c r="F71">
        <f>Source_CBS_bodemgebruik!AL73</f>
        <v>0</v>
      </c>
      <c r="G71" s="7">
        <f t="shared" si="9"/>
        <v>0</v>
      </c>
      <c r="H71">
        <f>Source_CBS_bodemgebruik!H73</f>
        <v>8177.4750970587902</v>
      </c>
      <c r="I71" s="9">
        <f t="shared" si="10"/>
        <v>81.774750970587903</v>
      </c>
      <c r="J71">
        <f>Source_CBS_bodemgebruik!Q73</f>
        <v>0</v>
      </c>
      <c r="K71" s="11">
        <f t="shared" si="11"/>
        <v>0</v>
      </c>
    </row>
    <row r="72" spans="1:11" x14ac:dyDescent="0.2">
      <c r="A72" s="13" t="str">
        <f>Source_CBS_bodemgebruik!A74</f>
        <v>2023GM0277</v>
      </c>
      <c r="B72" s="13" t="str">
        <f t="shared" si="6"/>
        <v>GM0277</v>
      </c>
      <c r="C72">
        <f>Source_CBS_bodemgebruik!N74</f>
        <v>61.328427236170285</v>
      </c>
      <c r="D72" s="9">
        <f t="shared" si="7"/>
        <v>0.6132842723617028</v>
      </c>
      <c r="E72" s="10">
        <f t="shared" si="8"/>
        <v>2.7496028385379793E-5</v>
      </c>
      <c r="F72">
        <f>Source_CBS_bodemgebruik!AL74</f>
        <v>0</v>
      </c>
      <c r="G72" s="7">
        <f t="shared" si="9"/>
        <v>0</v>
      </c>
      <c r="H72">
        <f>Source_CBS_bodemgebruik!H74</f>
        <v>2789.5860362621061</v>
      </c>
      <c r="I72" s="9">
        <f t="shared" si="10"/>
        <v>27.895860362621061</v>
      </c>
      <c r="J72">
        <f>Source_CBS_bodemgebruik!Q74</f>
        <v>0</v>
      </c>
      <c r="K72" s="11">
        <f t="shared" si="11"/>
        <v>0</v>
      </c>
    </row>
    <row r="73" spans="1:11" x14ac:dyDescent="0.2">
      <c r="A73" s="13" t="str">
        <f>Source_CBS_bodemgebruik!A75</f>
        <v>2023GM0279</v>
      </c>
      <c r="B73" s="13" t="str">
        <f t="shared" si="6"/>
        <v>GM0279</v>
      </c>
      <c r="C73">
        <f>Source_CBS_bodemgebruik!N75</f>
        <v>925.83777462016155</v>
      </c>
      <c r="D73" s="9">
        <f t="shared" si="7"/>
        <v>9.2583777462016155</v>
      </c>
      <c r="E73" s="10">
        <f t="shared" si="8"/>
        <v>4.1509073163054923E-4</v>
      </c>
      <c r="F73">
        <f>Source_CBS_bodemgebruik!AL75</f>
        <v>0</v>
      </c>
      <c r="G73" s="7">
        <f t="shared" si="9"/>
        <v>0</v>
      </c>
      <c r="H73">
        <f>Source_CBS_bodemgebruik!H75</f>
        <v>1378.5649335721184</v>
      </c>
      <c r="I73" s="9">
        <f t="shared" si="10"/>
        <v>13.785649335721184</v>
      </c>
      <c r="J73">
        <f>Source_CBS_bodemgebruik!Q75</f>
        <v>0</v>
      </c>
      <c r="K73" s="11">
        <f t="shared" si="11"/>
        <v>0</v>
      </c>
    </row>
    <row r="74" spans="1:11" x14ac:dyDescent="0.2">
      <c r="A74" s="13" t="str">
        <f>Source_CBS_bodemgebruik!A76</f>
        <v>2023GM0281</v>
      </c>
      <c r="B74" s="13" t="str">
        <f t="shared" si="6"/>
        <v>GM0281</v>
      </c>
      <c r="C74">
        <f>Source_CBS_bodemgebruik!N76</f>
        <v>1755.1191595242817</v>
      </c>
      <c r="D74" s="9">
        <f t="shared" si="7"/>
        <v>17.551191595242816</v>
      </c>
      <c r="E74" s="10">
        <f t="shared" si="8"/>
        <v>7.8689130644363724E-4</v>
      </c>
      <c r="F74">
        <f>Source_CBS_bodemgebruik!AL76</f>
        <v>0</v>
      </c>
      <c r="G74" s="7">
        <f t="shared" si="9"/>
        <v>0</v>
      </c>
      <c r="H74">
        <f>Source_CBS_bodemgebruik!H76</f>
        <v>3279.8899056443688</v>
      </c>
      <c r="I74" s="9">
        <f t="shared" si="10"/>
        <v>32.798899056443688</v>
      </c>
      <c r="J74">
        <f>Source_CBS_bodemgebruik!Q76</f>
        <v>0</v>
      </c>
      <c r="K74" s="11">
        <f t="shared" si="11"/>
        <v>0</v>
      </c>
    </row>
    <row r="75" spans="1:11" x14ac:dyDescent="0.2">
      <c r="A75" s="13" t="str">
        <f>Source_CBS_bodemgebruik!A77</f>
        <v>2023GM0285</v>
      </c>
      <c r="B75" s="13" t="str">
        <f t="shared" si="6"/>
        <v>GM0285</v>
      </c>
      <c r="C75">
        <f>Source_CBS_bodemgebruik!N77</f>
        <v>9929.6049400517823</v>
      </c>
      <c r="D75" s="9">
        <f t="shared" si="7"/>
        <v>99.296049400517816</v>
      </c>
      <c r="E75" s="10">
        <f t="shared" si="8"/>
        <v>4.4518457686168527E-3</v>
      </c>
      <c r="F75">
        <f>Source_CBS_bodemgebruik!AL77</f>
        <v>18.879500735390597</v>
      </c>
      <c r="G75" s="7">
        <f t="shared" si="9"/>
        <v>1.1975112158339679E-3</v>
      </c>
      <c r="H75">
        <f>Source_CBS_bodemgebruik!H77</f>
        <v>12292.537781597855</v>
      </c>
      <c r="I75" s="9">
        <f t="shared" si="10"/>
        <v>122.92537781597855</v>
      </c>
      <c r="J75">
        <f>Source_CBS_bodemgebruik!Q77</f>
        <v>0</v>
      </c>
      <c r="K75" s="11">
        <f t="shared" si="11"/>
        <v>0</v>
      </c>
    </row>
    <row r="76" spans="1:11" x14ac:dyDescent="0.2">
      <c r="A76" s="13" t="str">
        <f>Source_CBS_bodemgebruik!A78</f>
        <v>2023GM0289</v>
      </c>
      <c r="B76" s="13" t="str">
        <f t="shared" si="6"/>
        <v>GM0289</v>
      </c>
      <c r="C76">
        <f>Source_CBS_bodemgebruik!N78</f>
        <v>1509.6172294992987</v>
      </c>
      <c r="D76" s="9">
        <f t="shared" si="7"/>
        <v>15.096172294992988</v>
      </c>
      <c r="E76" s="10">
        <f t="shared" si="8"/>
        <v>6.7682280573616691E-4</v>
      </c>
      <c r="F76">
        <f>Source_CBS_bodemgebruik!AL78</f>
        <v>4.0385248537154004</v>
      </c>
      <c r="G76" s="7">
        <f t="shared" si="9"/>
        <v>2.5616031247493532E-4</v>
      </c>
      <c r="H76">
        <f>Source_CBS_bodemgebruik!H78</f>
        <v>3041.9446429110262</v>
      </c>
      <c r="I76" s="9">
        <f t="shared" si="10"/>
        <v>30.419446429110263</v>
      </c>
      <c r="J76">
        <f>Source_CBS_bodemgebruik!Q78</f>
        <v>0</v>
      </c>
      <c r="K76" s="11">
        <f t="shared" si="11"/>
        <v>0</v>
      </c>
    </row>
    <row r="77" spans="1:11" x14ac:dyDescent="0.2">
      <c r="A77" s="13" t="str">
        <f>Source_CBS_bodemgebruik!A79</f>
        <v>2023GM0293</v>
      </c>
      <c r="B77" s="13" t="str">
        <f t="shared" si="6"/>
        <v>GM0293</v>
      </c>
      <c r="C77">
        <f>Source_CBS_bodemgebruik!N79</f>
        <v>289.99181689944493</v>
      </c>
      <c r="D77" s="9">
        <f t="shared" si="7"/>
        <v>2.8999181689944491</v>
      </c>
      <c r="E77" s="10">
        <f t="shared" si="8"/>
        <v>1.3001512656258553E-4</v>
      </c>
      <c r="F77">
        <f>Source_CBS_bodemgebruik!AL79</f>
        <v>0</v>
      </c>
      <c r="G77" s="7">
        <f t="shared" si="9"/>
        <v>0</v>
      </c>
      <c r="H77">
        <f>Source_CBS_bodemgebruik!H79</f>
        <v>701.39626509463289</v>
      </c>
      <c r="I77" s="9">
        <f t="shared" si="10"/>
        <v>7.0139626509463291</v>
      </c>
      <c r="J77">
        <f>Source_CBS_bodemgebruik!Q79</f>
        <v>0</v>
      </c>
      <c r="K77" s="11">
        <f t="shared" si="11"/>
        <v>0</v>
      </c>
    </row>
    <row r="78" spans="1:11" x14ac:dyDescent="0.2">
      <c r="A78" s="13" t="str">
        <f>Source_CBS_bodemgebruik!A80</f>
        <v>2023GM0294</v>
      </c>
      <c r="B78" s="13" t="str">
        <f t="shared" si="6"/>
        <v>GM0294</v>
      </c>
      <c r="C78">
        <f>Source_CBS_bodemgebruik!N80</f>
        <v>10388.615378696006</v>
      </c>
      <c r="D78" s="9">
        <f t="shared" si="7"/>
        <v>103.88615378696005</v>
      </c>
      <c r="E78" s="10">
        <f t="shared" si="8"/>
        <v>4.6576388179240692E-3</v>
      </c>
      <c r="F78">
        <f>Source_CBS_bodemgebruik!AL80</f>
        <v>1.38343076768</v>
      </c>
      <c r="G78" s="7">
        <f t="shared" si="9"/>
        <v>8.7749876643775641E-5</v>
      </c>
      <c r="H78">
        <f>Source_CBS_bodemgebruik!H80</f>
        <v>13813.066598874455</v>
      </c>
      <c r="I78" s="9">
        <f t="shared" si="10"/>
        <v>138.13066598874454</v>
      </c>
      <c r="J78">
        <f>Source_CBS_bodemgebruik!Q80</f>
        <v>0</v>
      </c>
      <c r="K78" s="11">
        <f t="shared" si="11"/>
        <v>0</v>
      </c>
    </row>
    <row r="79" spans="1:11" x14ac:dyDescent="0.2">
      <c r="A79" s="13" t="str">
        <f>Source_CBS_bodemgebruik!A81</f>
        <v>2023GM0296</v>
      </c>
      <c r="B79" s="13" t="str">
        <f t="shared" si="6"/>
        <v>GM0296</v>
      </c>
      <c r="C79">
        <f>Source_CBS_bodemgebruik!N81</f>
        <v>4381.1593243833504</v>
      </c>
      <c r="D79" s="9">
        <f t="shared" si="7"/>
        <v>43.811593243833507</v>
      </c>
      <c r="E79" s="10">
        <f t="shared" si="8"/>
        <v>1.9642519231777792E-3</v>
      </c>
      <c r="F79">
        <f>Source_CBS_bodemgebruik!AL81</f>
        <v>3.2011236623495907</v>
      </c>
      <c r="G79" s="7">
        <f t="shared" si="9"/>
        <v>2.0304464311120642E-4</v>
      </c>
      <c r="H79">
        <f>Source_CBS_bodemgebruik!H81</f>
        <v>6603.894089186073</v>
      </c>
      <c r="I79" s="9">
        <f t="shared" si="10"/>
        <v>66.038940891860733</v>
      </c>
      <c r="J79">
        <f>Source_CBS_bodemgebruik!Q81</f>
        <v>0</v>
      </c>
      <c r="K79" s="11">
        <f t="shared" si="11"/>
        <v>0</v>
      </c>
    </row>
    <row r="80" spans="1:11" x14ac:dyDescent="0.2">
      <c r="A80" s="13" t="str">
        <f>Source_CBS_bodemgebruik!A82</f>
        <v>2023GM0297</v>
      </c>
      <c r="B80" s="13" t="str">
        <f t="shared" si="6"/>
        <v>GM0297</v>
      </c>
      <c r="C80">
        <f>Source_CBS_bodemgebruik!N82</f>
        <v>5947.1175130713946</v>
      </c>
      <c r="D80" s="9">
        <f t="shared" si="7"/>
        <v>59.471175130713945</v>
      </c>
      <c r="E80" s="10">
        <f t="shared" si="8"/>
        <v>2.6663346725147759E-3</v>
      </c>
      <c r="F80">
        <f>Source_CBS_bodemgebruik!AL82</f>
        <v>395.5586112373233</v>
      </c>
      <c r="G80" s="7">
        <f t="shared" si="9"/>
        <v>2.5089957627346275E-2</v>
      </c>
      <c r="H80">
        <f>Source_CBS_bodemgebruik!H82</f>
        <v>7864.9633474631064</v>
      </c>
      <c r="I80" s="9">
        <f t="shared" si="10"/>
        <v>78.649633474631059</v>
      </c>
      <c r="J80">
        <f>Source_CBS_bodemgebruik!Q82</f>
        <v>0</v>
      </c>
      <c r="K80" s="11">
        <f t="shared" si="11"/>
        <v>0</v>
      </c>
    </row>
    <row r="81" spans="1:11" x14ac:dyDescent="0.2">
      <c r="A81" s="13" t="str">
        <f>Source_CBS_bodemgebruik!A83</f>
        <v>2023GM0299</v>
      </c>
      <c r="B81" s="13" t="str">
        <f t="shared" si="6"/>
        <v>GM0299</v>
      </c>
      <c r="C81">
        <f>Source_CBS_bodemgebruik!N83</f>
        <v>6788.7294677694526</v>
      </c>
      <c r="D81" s="9">
        <f t="shared" si="7"/>
        <v>67.887294677694527</v>
      </c>
      <c r="E81" s="10">
        <f t="shared" si="8"/>
        <v>3.0436635432966553E-3</v>
      </c>
      <c r="F81">
        <f>Source_CBS_bodemgebruik!AL83</f>
        <v>4.9523658621612991</v>
      </c>
      <c r="G81" s="7">
        <f t="shared" si="9"/>
        <v>3.1412449661522886E-4</v>
      </c>
      <c r="H81">
        <f>Source_CBS_bodemgebruik!H83</f>
        <v>9261.745820815182</v>
      </c>
      <c r="I81" s="9">
        <f t="shared" si="10"/>
        <v>92.617458208151817</v>
      </c>
      <c r="J81">
        <f>Source_CBS_bodemgebruik!Q83</f>
        <v>0</v>
      </c>
      <c r="K81" s="11">
        <f t="shared" si="11"/>
        <v>0</v>
      </c>
    </row>
    <row r="82" spans="1:11" x14ac:dyDescent="0.2">
      <c r="A82" s="13" t="str">
        <f>Source_CBS_bodemgebruik!A84</f>
        <v>2023GM0301</v>
      </c>
      <c r="B82" s="13" t="str">
        <f t="shared" si="6"/>
        <v>GM0301</v>
      </c>
      <c r="C82">
        <f>Source_CBS_bodemgebruik!N84</f>
        <v>1944.4325423093906</v>
      </c>
      <c r="D82" s="9">
        <f t="shared" si="7"/>
        <v>19.444325423093904</v>
      </c>
      <c r="E82" s="10">
        <f t="shared" si="8"/>
        <v>8.7176819602611784E-4</v>
      </c>
      <c r="F82">
        <f>Source_CBS_bodemgebruik!AL84</f>
        <v>13.684083391976802</v>
      </c>
      <c r="G82" s="7">
        <f t="shared" si="9"/>
        <v>8.6797016351081613E-4</v>
      </c>
      <c r="H82">
        <f>Source_CBS_bodemgebruik!H84</f>
        <v>4091.9395823300988</v>
      </c>
      <c r="I82" s="9">
        <f t="shared" si="10"/>
        <v>40.919395823300988</v>
      </c>
      <c r="J82">
        <f>Source_CBS_bodemgebruik!Q84</f>
        <v>0</v>
      </c>
      <c r="K82" s="11">
        <f t="shared" si="11"/>
        <v>0</v>
      </c>
    </row>
    <row r="83" spans="1:11" x14ac:dyDescent="0.2">
      <c r="A83" s="13" t="str">
        <f>Source_CBS_bodemgebruik!A85</f>
        <v>2023GM0302</v>
      </c>
      <c r="B83" s="13" t="str">
        <f t="shared" si="6"/>
        <v>GM0302</v>
      </c>
      <c r="C83">
        <f>Source_CBS_bodemgebruik!N85</f>
        <v>2962.5902153856837</v>
      </c>
      <c r="D83" s="9">
        <f t="shared" si="7"/>
        <v>29.625902153856838</v>
      </c>
      <c r="E83" s="10">
        <f t="shared" si="8"/>
        <v>1.3282496931284428E-3</v>
      </c>
      <c r="F83">
        <f>Source_CBS_bodemgebruik!AL85</f>
        <v>0</v>
      </c>
      <c r="G83" s="7">
        <f t="shared" si="9"/>
        <v>0</v>
      </c>
      <c r="H83">
        <f>Source_CBS_bodemgebruik!H85</f>
        <v>12873.210375990258</v>
      </c>
      <c r="I83" s="9">
        <f t="shared" si="10"/>
        <v>128.73210375990257</v>
      </c>
      <c r="J83">
        <f>Source_CBS_bodemgebruik!Q85</f>
        <v>0</v>
      </c>
      <c r="K83" s="11">
        <f t="shared" si="11"/>
        <v>0</v>
      </c>
    </row>
    <row r="84" spans="1:11" x14ac:dyDescent="0.2">
      <c r="A84" s="13" t="str">
        <f>Source_CBS_bodemgebruik!A86</f>
        <v>2023GM0303</v>
      </c>
      <c r="B84" s="13" t="str">
        <f t="shared" si="6"/>
        <v>GM0303</v>
      </c>
      <c r="C84">
        <f>Source_CBS_bodemgebruik!N86</f>
        <v>26418.229805317816</v>
      </c>
      <c r="D84" s="9">
        <f t="shared" si="7"/>
        <v>264.18229805317816</v>
      </c>
      <c r="E84" s="10">
        <f t="shared" si="8"/>
        <v>1.1844366949460774E-2</v>
      </c>
      <c r="F84">
        <f>Source_CBS_bodemgebruik!AL86</f>
        <v>0</v>
      </c>
      <c r="G84" s="7">
        <f t="shared" si="9"/>
        <v>0</v>
      </c>
      <c r="H84">
        <f>Source_CBS_bodemgebruik!H86</f>
        <v>33360.196039364637</v>
      </c>
      <c r="I84" s="9">
        <f t="shared" si="10"/>
        <v>333.60196039364638</v>
      </c>
      <c r="J84">
        <f>Source_CBS_bodemgebruik!Q86</f>
        <v>0</v>
      </c>
      <c r="K84" s="11">
        <f t="shared" si="11"/>
        <v>0</v>
      </c>
    </row>
    <row r="85" spans="1:11" x14ac:dyDescent="0.2">
      <c r="A85" s="13" t="str">
        <f>Source_CBS_bodemgebruik!A87</f>
        <v>2023GM0307</v>
      </c>
      <c r="B85" s="13" t="str">
        <f t="shared" si="6"/>
        <v>GM0307</v>
      </c>
      <c r="C85">
        <f>Source_CBS_bodemgebruik!N87</f>
        <v>1936.8912306528866</v>
      </c>
      <c r="D85" s="9">
        <f t="shared" si="7"/>
        <v>19.368912306528866</v>
      </c>
      <c r="E85" s="10">
        <f t="shared" si="8"/>
        <v>8.6838711927729277E-4</v>
      </c>
      <c r="F85">
        <f>Source_CBS_bodemgebruik!AL87</f>
        <v>0</v>
      </c>
      <c r="G85" s="7">
        <f t="shared" si="9"/>
        <v>0</v>
      </c>
      <c r="H85">
        <f>Source_CBS_bodemgebruik!H87</f>
        <v>6249.184906700083</v>
      </c>
      <c r="I85" s="9">
        <f t="shared" si="10"/>
        <v>62.491849067000828</v>
      </c>
      <c r="J85">
        <f>Source_CBS_bodemgebruik!Q87</f>
        <v>0</v>
      </c>
      <c r="K85" s="11">
        <f t="shared" si="11"/>
        <v>0</v>
      </c>
    </row>
    <row r="86" spans="1:11" x14ac:dyDescent="0.2">
      <c r="A86" s="13" t="str">
        <f>Source_CBS_bodemgebruik!A88</f>
        <v>2023GM0308</v>
      </c>
      <c r="B86" s="13" t="str">
        <f t="shared" si="6"/>
        <v>GM0308</v>
      </c>
      <c r="C86">
        <f>Source_CBS_bodemgebruik!N88</f>
        <v>763.60630522261022</v>
      </c>
      <c r="D86" s="9">
        <f t="shared" si="7"/>
        <v>7.6360630522261026</v>
      </c>
      <c r="E86" s="10">
        <f t="shared" si="8"/>
        <v>3.4235576534192896E-4</v>
      </c>
      <c r="F86">
        <f>Source_CBS_bodemgebruik!AL88</f>
        <v>0</v>
      </c>
      <c r="G86" s="7">
        <f t="shared" si="9"/>
        <v>0</v>
      </c>
      <c r="H86">
        <f>Source_CBS_bodemgebruik!H88</f>
        <v>3254.0049408747291</v>
      </c>
      <c r="I86" s="9">
        <f t="shared" si="10"/>
        <v>32.540049408747294</v>
      </c>
      <c r="J86">
        <f>Source_CBS_bodemgebruik!Q88</f>
        <v>0</v>
      </c>
      <c r="K86" s="11">
        <f t="shared" si="11"/>
        <v>0</v>
      </c>
    </row>
    <row r="87" spans="1:11" x14ac:dyDescent="0.2">
      <c r="A87" s="13" t="str">
        <f>Source_CBS_bodemgebruik!A89</f>
        <v>2023GM0310</v>
      </c>
      <c r="B87" s="13" t="str">
        <f t="shared" si="6"/>
        <v>GM0310</v>
      </c>
      <c r="C87">
        <f>Source_CBS_bodemgebruik!N89</f>
        <v>3391.5299134301945</v>
      </c>
      <c r="D87" s="9">
        <f t="shared" si="7"/>
        <v>33.915299134301947</v>
      </c>
      <c r="E87" s="10">
        <f t="shared" si="8"/>
        <v>1.5205608063358618E-3</v>
      </c>
      <c r="F87">
        <f>Source_CBS_bodemgebruik!AL89</f>
        <v>3.8648578479201992</v>
      </c>
      <c r="G87" s="7">
        <f t="shared" si="9"/>
        <v>2.451447570227613E-4</v>
      </c>
      <c r="H87">
        <f>Source_CBS_bodemgebruik!H89</f>
        <v>6618.7747761261699</v>
      </c>
      <c r="I87" s="9">
        <f t="shared" si="10"/>
        <v>66.187747761261704</v>
      </c>
      <c r="J87">
        <f>Source_CBS_bodemgebruik!Q89</f>
        <v>0</v>
      </c>
      <c r="K87" s="11">
        <f t="shared" si="11"/>
        <v>0</v>
      </c>
    </row>
    <row r="88" spans="1:11" x14ac:dyDescent="0.2">
      <c r="A88" s="13" t="str">
        <f>Source_CBS_bodemgebruik!A90</f>
        <v>2023GM0312</v>
      </c>
      <c r="B88" s="13" t="str">
        <f t="shared" si="6"/>
        <v>GM0312</v>
      </c>
      <c r="C88">
        <f>Source_CBS_bodemgebruik!N90</f>
        <v>2823.8290334213675</v>
      </c>
      <c r="D88" s="9">
        <f t="shared" si="7"/>
        <v>28.238290334213676</v>
      </c>
      <c r="E88" s="10">
        <f t="shared" si="8"/>
        <v>1.2660374113200898E-3</v>
      </c>
      <c r="F88">
        <f>Source_CBS_bodemgebruik!AL90</f>
        <v>0</v>
      </c>
      <c r="G88" s="7">
        <f t="shared" si="9"/>
        <v>0</v>
      </c>
      <c r="H88">
        <f>Source_CBS_bodemgebruik!H90</f>
        <v>3693.0307777284424</v>
      </c>
      <c r="I88" s="9">
        <f t="shared" si="10"/>
        <v>36.930307777284426</v>
      </c>
      <c r="J88">
        <f>Source_CBS_bodemgebruik!Q90</f>
        <v>0</v>
      </c>
      <c r="K88" s="11">
        <f t="shared" si="11"/>
        <v>0</v>
      </c>
    </row>
    <row r="89" spans="1:11" x14ac:dyDescent="0.2">
      <c r="A89" s="13" t="str">
        <f>Source_CBS_bodemgebruik!A91</f>
        <v>2023GM0313</v>
      </c>
      <c r="B89" s="13" t="str">
        <f t="shared" si="6"/>
        <v>GM0313</v>
      </c>
      <c r="C89">
        <f>Source_CBS_bodemgebruik!N91</f>
        <v>2427.1383752774773</v>
      </c>
      <c r="D89" s="9">
        <f t="shared" si="7"/>
        <v>24.271383752774774</v>
      </c>
      <c r="E89" s="10">
        <f t="shared" si="8"/>
        <v>1.0881848543886051E-3</v>
      </c>
      <c r="F89">
        <f>Source_CBS_bodemgebruik!AL91</f>
        <v>0</v>
      </c>
      <c r="G89" s="7">
        <f t="shared" si="9"/>
        <v>0</v>
      </c>
      <c r="H89">
        <f>Source_CBS_bodemgebruik!H91</f>
        <v>3038.8726066727527</v>
      </c>
      <c r="I89" s="9">
        <f t="shared" si="10"/>
        <v>30.388726066727529</v>
      </c>
      <c r="J89">
        <f>Source_CBS_bodemgebruik!Q91</f>
        <v>0</v>
      </c>
      <c r="K89" s="11">
        <f t="shared" si="11"/>
        <v>0</v>
      </c>
    </row>
    <row r="90" spans="1:11" x14ac:dyDescent="0.2">
      <c r="A90" s="13" t="str">
        <f>Source_CBS_bodemgebruik!A92</f>
        <v>2023GM0317</v>
      </c>
      <c r="B90" s="13" t="str">
        <f t="shared" si="6"/>
        <v>GM0317</v>
      </c>
      <c r="C90">
        <f>Source_CBS_bodemgebruik!N92</f>
        <v>2535.951219048181</v>
      </c>
      <c r="D90" s="9">
        <f t="shared" si="7"/>
        <v>25.359512190481809</v>
      </c>
      <c r="E90" s="10">
        <f t="shared" si="8"/>
        <v>1.136970078074377E-3</v>
      </c>
      <c r="F90">
        <f>Source_CBS_bodemgebruik!AL92</f>
        <v>0</v>
      </c>
      <c r="G90" s="7">
        <f t="shared" si="9"/>
        <v>0</v>
      </c>
      <c r="H90">
        <f>Source_CBS_bodemgebruik!H92</f>
        <v>3103.8686315206046</v>
      </c>
      <c r="I90" s="9">
        <f t="shared" si="10"/>
        <v>31.038686315206046</v>
      </c>
      <c r="J90">
        <f>Source_CBS_bodemgebruik!Q92</f>
        <v>0</v>
      </c>
      <c r="K90" s="11">
        <f t="shared" si="11"/>
        <v>0</v>
      </c>
    </row>
    <row r="91" spans="1:11" x14ac:dyDescent="0.2">
      <c r="A91" s="13" t="str">
        <f>Source_CBS_bodemgebruik!A93</f>
        <v>2023GM0321</v>
      </c>
      <c r="B91" s="13" t="str">
        <f t="shared" si="6"/>
        <v>GM0321</v>
      </c>
      <c r="C91">
        <f>Source_CBS_bodemgebruik!N93</f>
        <v>3875.806921299139</v>
      </c>
      <c r="D91" s="9">
        <f t="shared" si="7"/>
        <v>38.758069212991387</v>
      </c>
      <c r="E91" s="10">
        <f t="shared" si="8"/>
        <v>1.7376818863119345E-3</v>
      </c>
      <c r="F91">
        <f>Source_CBS_bodemgebruik!AL93</f>
        <v>32.272369670660261</v>
      </c>
      <c r="G91" s="7">
        <f t="shared" si="9"/>
        <v>2.0470098856857342E-3</v>
      </c>
      <c r="H91">
        <f>Source_CBS_bodemgebruik!H93</f>
        <v>5490.1557039245536</v>
      </c>
      <c r="I91" s="9">
        <f t="shared" si="10"/>
        <v>54.901557039245539</v>
      </c>
      <c r="J91">
        <f>Source_CBS_bodemgebruik!Q93</f>
        <v>0</v>
      </c>
      <c r="K91" s="11">
        <f t="shared" si="11"/>
        <v>0</v>
      </c>
    </row>
    <row r="92" spans="1:11" x14ac:dyDescent="0.2">
      <c r="A92" s="13" t="str">
        <f>Source_CBS_bodemgebruik!A94</f>
        <v>2023GM0327</v>
      </c>
      <c r="B92" s="13" t="str">
        <f t="shared" si="6"/>
        <v>GM0327</v>
      </c>
      <c r="C92">
        <f>Source_CBS_bodemgebruik!N94</f>
        <v>2799.2906957828195</v>
      </c>
      <c r="D92" s="9">
        <f t="shared" si="7"/>
        <v>27.992906957828197</v>
      </c>
      <c r="E92" s="10">
        <f t="shared" si="8"/>
        <v>1.2550358764912034E-3</v>
      </c>
      <c r="F92">
        <f>Source_CBS_bodemgebruik!AL94</f>
        <v>0</v>
      </c>
      <c r="G92" s="7">
        <f t="shared" si="9"/>
        <v>0</v>
      </c>
      <c r="H92">
        <f>Source_CBS_bodemgebruik!H94</f>
        <v>5850.6151853970068</v>
      </c>
      <c r="I92" s="9">
        <f t="shared" si="10"/>
        <v>58.506151853970067</v>
      </c>
      <c r="J92">
        <f>Source_CBS_bodemgebruik!Q94</f>
        <v>0</v>
      </c>
      <c r="K92" s="11">
        <f t="shared" si="11"/>
        <v>0</v>
      </c>
    </row>
    <row r="93" spans="1:11" x14ac:dyDescent="0.2">
      <c r="A93" s="13" t="str">
        <f>Source_CBS_bodemgebruik!A95</f>
        <v>2023GM0331</v>
      </c>
      <c r="B93" s="13" t="str">
        <f t="shared" si="6"/>
        <v>GM0331</v>
      </c>
      <c r="C93">
        <f>Source_CBS_bodemgebruik!N95</f>
        <v>6937.4152225855141</v>
      </c>
      <c r="D93" s="9">
        <f t="shared" si="7"/>
        <v>69.374152225855141</v>
      </c>
      <c r="E93" s="10">
        <f t="shared" si="8"/>
        <v>3.1103254147837635E-3</v>
      </c>
      <c r="F93">
        <f>Source_CBS_bodemgebruik!AL95</f>
        <v>0</v>
      </c>
      <c r="G93" s="7">
        <f t="shared" si="9"/>
        <v>0</v>
      </c>
      <c r="H93">
        <f>Source_CBS_bodemgebruik!H95</f>
        <v>7555.879719820935</v>
      </c>
      <c r="I93" s="9">
        <f t="shared" si="10"/>
        <v>75.558797198209348</v>
      </c>
      <c r="J93">
        <f>Source_CBS_bodemgebruik!Q95</f>
        <v>0</v>
      </c>
      <c r="K93" s="11">
        <f t="shared" si="11"/>
        <v>0</v>
      </c>
    </row>
    <row r="94" spans="1:11" x14ac:dyDescent="0.2">
      <c r="A94" s="13" t="str">
        <f>Source_CBS_bodemgebruik!A96</f>
        <v>2023GM0335</v>
      </c>
      <c r="B94" s="13" t="str">
        <f t="shared" si="6"/>
        <v>GM0335</v>
      </c>
      <c r="C94">
        <f>Source_CBS_bodemgebruik!N96</f>
        <v>3288.059606767421</v>
      </c>
      <c r="D94" s="9">
        <f t="shared" si="7"/>
        <v>32.880596067674212</v>
      </c>
      <c r="E94" s="10">
        <f t="shared" si="8"/>
        <v>1.4741708593364444E-3</v>
      </c>
      <c r="F94">
        <f>Source_CBS_bodemgebruik!AL96</f>
        <v>0</v>
      </c>
      <c r="G94" s="7">
        <f t="shared" si="9"/>
        <v>0</v>
      </c>
      <c r="H94">
        <f>Source_CBS_bodemgebruik!H96</f>
        <v>3757.9012697804305</v>
      </c>
      <c r="I94" s="9">
        <f t="shared" si="10"/>
        <v>37.579012697804302</v>
      </c>
      <c r="J94">
        <f>Source_CBS_bodemgebruik!Q96</f>
        <v>0</v>
      </c>
      <c r="K94" s="11">
        <f t="shared" si="11"/>
        <v>0</v>
      </c>
    </row>
    <row r="95" spans="1:11" x14ac:dyDescent="0.2">
      <c r="A95" s="13" t="str">
        <f>Source_CBS_bodemgebruik!A97</f>
        <v>2023GM0339</v>
      </c>
      <c r="B95" s="13" t="str">
        <f t="shared" si="6"/>
        <v>GM0339</v>
      </c>
      <c r="C95">
        <f>Source_CBS_bodemgebruik!N97</f>
        <v>1497.7226747028578</v>
      </c>
      <c r="D95" s="9">
        <f t="shared" si="7"/>
        <v>14.977226747028578</v>
      </c>
      <c r="E95" s="10">
        <f t="shared" si="8"/>
        <v>6.7148999302510642E-4</v>
      </c>
      <c r="F95">
        <f>Source_CBS_bodemgebruik!AL97</f>
        <v>0</v>
      </c>
      <c r="G95" s="7">
        <f t="shared" si="9"/>
        <v>0</v>
      </c>
      <c r="H95">
        <f>Source_CBS_bodemgebruik!H97</f>
        <v>1838.8676730749498</v>
      </c>
      <c r="I95" s="9">
        <f t="shared" si="10"/>
        <v>18.388676730749498</v>
      </c>
      <c r="J95">
        <f>Source_CBS_bodemgebruik!Q97</f>
        <v>0</v>
      </c>
      <c r="K95" s="11">
        <f t="shared" si="11"/>
        <v>0</v>
      </c>
    </row>
    <row r="96" spans="1:11" x14ac:dyDescent="0.2">
      <c r="A96" s="13" t="str">
        <f>Source_CBS_bodemgebruik!A98</f>
        <v>2023GM0340</v>
      </c>
      <c r="B96" s="13" t="str">
        <f t="shared" si="6"/>
        <v>GM0340</v>
      </c>
      <c r="C96">
        <f>Source_CBS_bodemgebruik!N98</f>
        <v>2179.6704303347892</v>
      </c>
      <c r="D96" s="9">
        <f t="shared" si="7"/>
        <v>21.796704303347891</v>
      </c>
      <c r="E96" s="10">
        <f t="shared" si="8"/>
        <v>9.7723490922838291E-4</v>
      </c>
      <c r="F96">
        <f>Source_CBS_bodemgebruik!AL98</f>
        <v>2.1901986444900001</v>
      </c>
      <c r="G96" s="7">
        <f t="shared" si="9"/>
        <v>1.3892250004072292E-4</v>
      </c>
      <c r="H96">
        <f>Source_CBS_bodemgebruik!H98</f>
        <v>4202.2657775035786</v>
      </c>
      <c r="I96" s="9">
        <f t="shared" si="10"/>
        <v>42.022657775035789</v>
      </c>
      <c r="J96">
        <f>Source_CBS_bodemgebruik!Q98</f>
        <v>0</v>
      </c>
      <c r="K96" s="11">
        <f t="shared" si="11"/>
        <v>0</v>
      </c>
    </row>
    <row r="97" spans="1:11" x14ac:dyDescent="0.2">
      <c r="A97" s="13" t="str">
        <f>Source_CBS_bodemgebruik!A99</f>
        <v>2023GM0342</v>
      </c>
      <c r="B97" s="13" t="str">
        <f t="shared" si="6"/>
        <v>GM0342</v>
      </c>
      <c r="C97">
        <f>Source_CBS_bodemgebruik!N99</f>
        <v>1258.3857270657668</v>
      </c>
      <c r="D97" s="9">
        <f t="shared" si="7"/>
        <v>12.583857270657667</v>
      </c>
      <c r="E97" s="10">
        <f t="shared" si="8"/>
        <v>5.6418550467490813E-4</v>
      </c>
      <c r="F97">
        <f>Source_CBS_bodemgebruik!AL99</f>
        <v>0</v>
      </c>
      <c r="G97" s="7">
        <f t="shared" si="9"/>
        <v>0</v>
      </c>
      <c r="H97">
        <f>Source_CBS_bodemgebruik!H99</f>
        <v>4624.976359531227</v>
      </c>
      <c r="I97" s="9">
        <f t="shared" si="10"/>
        <v>46.249763595312267</v>
      </c>
      <c r="J97">
        <f>Source_CBS_bodemgebruik!Q99</f>
        <v>0</v>
      </c>
      <c r="K97" s="11">
        <f t="shared" si="11"/>
        <v>0</v>
      </c>
    </row>
    <row r="98" spans="1:11" x14ac:dyDescent="0.2">
      <c r="A98" s="13" t="str">
        <f>Source_CBS_bodemgebruik!A100</f>
        <v>2023GM0344</v>
      </c>
      <c r="B98" s="13" t="str">
        <f t="shared" si="6"/>
        <v>GM0344</v>
      </c>
      <c r="C98">
        <f>Source_CBS_bodemgebruik!N100</f>
        <v>2416.8896984966113</v>
      </c>
      <c r="D98" s="9">
        <f t="shared" si="7"/>
        <v>24.168896984966114</v>
      </c>
      <c r="E98" s="10">
        <f t="shared" si="8"/>
        <v>1.0835899557359119E-3</v>
      </c>
      <c r="F98">
        <f>Source_CBS_bodemgebruik!AL100</f>
        <v>7.5308812341894296</v>
      </c>
      <c r="G98" s="7">
        <f t="shared" si="9"/>
        <v>4.7767760755188307E-4</v>
      </c>
      <c r="H98">
        <f>Source_CBS_bodemgebruik!H100</f>
        <v>9377.0644439743373</v>
      </c>
      <c r="I98" s="9">
        <f t="shared" si="10"/>
        <v>93.770644439743378</v>
      </c>
      <c r="J98">
        <f>Source_CBS_bodemgebruik!Q100</f>
        <v>0</v>
      </c>
      <c r="K98" s="11">
        <f t="shared" si="11"/>
        <v>0</v>
      </c>
    </row>
    <row r="99" spans="1:11" x14ac:dyDescent="0.2">
      <c r="A99" s="13" t="str">
        <f>Source_CBS_bodemgebruik!A101</f>
        <v>2023GM0345</v>
      </c>
      <c r="B99" s="13" t="str">
        <f t="shared" si="6"/>
        <v>GM0345</v>
      </c>
      <c r="C99">
        <f>Source_CBS_bodemgebruik!N101</f>
        <v>379.3349056736144</v>
      </c>
      <c r="D99" s="9">
        <f t="shared" si="7"/>
        <v>3.7933490567361439</v>
      </c>
      <c r="E99" s="10">
        <f t="shared" si="8"/>
        <v>1.7007126717600779E-4</v>
      </c>
      <c r="F99">
        <f>Source_CBS_bodemgebruik!AL101</f>
        <v>0</v>
      </c>
      <c r="G99" s="7">
        <f t="shared" si="9"/>
        <v>0</v>
      </c>
      <c r="H99">
        <f>Source_CBS_bodemgebruik!H101</f>
        <v>1942.4255307376243</v>
      </c>
      <c r="I99" s="9">
        <f t="shared" si="10"/>
        <v>19.424255307376242</v>
      </c>
      <c r="J99">
        <f>Source_CBS_bodemgebruik!Q101</f>
        <v>0</v>
      </c>
      <c r="K99" s="11">
        <f t="shared" si="11"/>
        <v>0</v>
      </c>
    </row>
    <row r="100" spans="1:11" x14ac:dyDescent="0.2">
      <c r="A100" s="13" t="str">
        <f>Source_CBS_bodemgebruik!A102</f>
        <v>2023GM0351</v>
      </c>
      <c r="B100" s="13" t="str">
        <f t="shared" si="6"/>
        <v>GM0351</v>
      </c>
      <c r="C100">
        <f>Source_CBS_bodemgebruik!N102</f>
        <v>2252.2274810551044</v>
      </c>
      <c r="D100" s="9">
        <f t="shared" si="7"/>
        <v>22.522274810551043</v>
      </c>
      <c r="E100" s="10">
        <f t="shared" si="8"/>
        <v>1.0097651862316158E-3</v>
      </c>
      <c r="F100">
        <f>Source_CBS_bodemgebruik!AL102</f>
        <v>0</v>
      </c>
      <c r="G100" s="7">
        <f t="shared" si="9"/>
        <v>0</v>
      </c>
      <c r="H100">
        <f>Source_CBS_bodemgebruik!H102</f>
        <v>3652.1839908104203</v>
      </c>
      <c r="I100" s="9">
        <f t="shared" si="10"/>
        <v>36.521839908104205</v>
      </c>
      <c r="J100">
        <f>Source_CBS_bodemgebruik!Q102</f>
        <v>0</v>
      </c>
      <c r="K100" s="11">
        <f t="shared" si="11"/>
        <v>0</v>
      </c>
    </row>
    <row r="101" spans="1:11" x14ac:dyDescent="0.2">
      <c r="A101" s="13" t="str">
        <f>Source_CBS_bodemgebruik!A103</f>
        <v>2023GM0352</v>
      </c>
      <c r="B101" s="13" t="str">
        <f t="shared" si="6"/>
        <v>GM0352</v>
      </c>
      <c r="C101">
        <f>Source_CBS_bodemgebruik!N103</f>
        <v>3672.1000621928752</v>
      </c>
      <c r="D101" s="9">
        <f t="shared" si="7"/>
        <v>36.721000621928752</v>
      </c>
      <c r="E101" s="10">
        <f t="shared" si="8"/>
        <v>1.6463518158584245E-3</v>
      </c>
      <c r="F101">
        <f>Source_CBS_bodemgebruik!AL103</f>
        <v>0</v>
      </c>
      <c r="G101" s="7">
        <f t="shared" si="9"/>
        <v>0</v>
      </c>
      <c r="H101">
        <f>Source_CBS_bodemgebruik!H103</f>
        <v>4757.6909339130489</v>
      </c>
      <c r="I101" s="9">
        <f t="shared" si="10"/>
        <v>47.576909339130488</v>
      </c>
      <c r="J101">
        <f>Source_CBS_bodemgebruik!Q103</f>
        <v>0</v>
      </c>
      <c r="K101" s="11">
        <f t="shared" si="11"/>
        <v>0</v>
      </c>
    </row>
    <row r="102" spans="1:11" x14ac:dyDescent="0.2">
      <c r="A102" s="13" t="str">
        <f>Source_CBS_bodemgebruik!A104</f>
        <v>2023GM0353</v>
      </c>
      <c r="B102" s="13" t="str">
        <f t="shared" si="6"/>
        <v>GM0353</v>
      </c>
      <c r="C102">
        <f>Source_CBS_bodemgebruik!N104</f>
        <v>1312.6999965480509</v>
      </c>
      <c r="D102" s="9">
        <f t="shared" si="7"/>
        <v>13.126999965480509</v>
      </c>
      <c r="E102" s="10">
        <f t="shared" si="8"/>
        <v>5.8853680084731779E-4</v>
      </c>
      <c r="F102">
        <f>Source_CBS_bodemgebruik!AL104</f>
        <v>0</v>
      </c>
      <c r="G102" s="7">
        <f t="shared" si="9"/>
        <v>0</v>
      </c>
      <c r="H102">
        <f>Source_CBS_bodemgebruik!H104</f>
        <v>2101.1514657808466</v>
      </c>
      <c r="I102" s="9">
        <f t="shared" si="10"/>
        <v>21.011514657808466</v>
      </c>
      <c r="J102">
        <f>Source_CBS_bodemgebruik!Q104</f>
        <v>0</v>
      </c>
      <c r="K102" s="11">
        <f t="shared" si="11"/>
        <v>0</v>
      </c>
    </row>
    <row r="103" spans="1:11" x14ac:dyDescent="0.2">
      <c r="A103" s="13" t="str">
        <f>Source_CBS_bodemgebruik!A105</f>
        <v>2023GM0355</v>
      </c>
      <c r="B103" s="13" t="str">
        <f t="shared" si="6"/>
        <v>GM0355</v>
      </c>
      <c r="C103">
        <f>Source_CBS_bodemgebruik!N105</f>
        <v>590.56044434414582</v>
      </c>
      <c r="D103" s="9">
        <f t="shared" si="7"/>
        <v>5.9056044434414581</v>
      </c>
      <c r="E103" s="10">
        <f t="shared" si="8"/>
        <v>2.647722674908619E-4</v>
      </c>
      <c r="F103">
        <f>Source_CBS_bodemgebruik!AL105</f>
        <v>0</v>
      </c>
      <c r="G103" s="7">
        <f t="shared" si="9"/>
        <v>0</v>
      </c>
      <c r="H103">
        <f>Source_CBS_bodemgebruik!H105</f>
        <v>4850.066542818513</v>
      </c>
      <c r="I103" s="9">
        <f t="shared" si="10"/>
        <v>48.50066542818513</v>
      </c>
      <c r="J103">
        <f>Source_CBS_bodemgebruik!Q105</f>
        <v>0</v>
      </c>
      <c r="K103" s="11">
        <f t="shared" si="11"/>
        <v>0</v>
      </c>
    </row>
    <row r="104" spans="1:11" x14ac:dyDescent="0.2">
      <c r="A104" s="13" t="str">
        <f>Source_CBS_bodemgebruik!A106</f>
        <v>2023GM0356</v>
      </c>
      <c r="B104" s="13" t="str">
        <f t="shared" si="6"/>
        <v>GM0356</v>
      </c>
      <c r="C104">
        <f>Source_CBS_bodemgebruik!N106</f>
        <v>280.74751971689125</v>
      </c>
      <c r="D104" s="9">
        <f t="shared" si="7"/>
        <v>2.8074751971689125</v>
      </c>
      <c r="E104" s="10">
        <f t="shared" si="8"/>
        <v>1.2587053213567237E-4</v>
      </c>
      <c r="F104">
        <f>Source_CBS_bodemgebruik!AL106</f>
        <v>0</v>
      </c>
      <c r="G104" s="7">
        <f t="shared" si="9"/>
        <v>0</v>
      </c>
      <c r="H104">
        <f>Source_CBS_bodemgebruik!H106</f>
        <v>2341.5277937566757</v>
      </c>
      <c r="I104" s="9">
        <f t="shared" si="10"/>
        <v>23.415277937566756</v>
      </c>
      <c r="J104">
        <f>Source_CBS_bodemgebruik!Q106</f>
        <v>0</v>
      </c>
      <c r="K104" s="11">
        <f t="shared" si="11"/>
        <v>0</v>
      </c>
    </row>
    <row r="105" spans="1:11" x14ac:dyDescent="0.2">
      <c r="A105" s="13" t="str">
        <f>Source_CBS_bodemgebruik!A107</f>
        <v>2023GM0358</v>
      </c>
      <c r="B105" s="13" t="str">
        <f t="shared" si="6"/>
        <v>GM0358</v>
      </c>
      <c r="C105">
        <f>Source_CBS_bodemgebruik!N107</f>
        <v>763.29903408542202</v>
      </c>
      <c r="D105" s="9">
        <f t="shared" si="7"/>
        <v>7.6329903408542199</v>
      </c>
      <c r="E105" s="10">
        <f t="shared" si="8"/>
        <v>3.4221800319326665E-4</v>
      </c>
      <c r="F105">
        <f>Source_CBS_bodemgebruik!AL107</f>
        <v>174.5033646567224</v>
      </c>
      <c r="G105" s="7">
        <f t="shared" si="9"/>
        <v>1.1068605007412372E-2</v>
      </c>
      <c r="H105">
        <f>Source_CBS_bodemgebruik!H107</f>
        <v>2009.89819309111</v>
      </c>
      <c r="I105" s="9">
        <f t="shared" si="10"/>
        <v>20.098981930911101</v>
      </c>
      <c r="J105">
        <f>Source_CBS_bodemgebruik!Q107</f>
        <v>0</v>
      </c>
      <c r="K105" s="11">
        <f t="shared" si="11"/>
        <v>0</v>
      </c>
    </row>
    <row r="106" spans="1:11" x14ac:dyDescent="0.2">
      <c r="A106" s="13" t="str">
        <f>Source_CBS_bodemgebruik!A108</f>
        <v>2023GM0361</v>
      </c>
      <c r="B106" s="13" t="str">
        <f t="shared" si="6"/>
        <v>GM0361</v>
      </c>
      <c r="C106">
        <f>Source_CBS_bodemgebruik!N108</f>
        <v>7792.901551353666</v>
      </c>
      <c r="D106" s="9">
        <f t="shared" si="7"/>
        <v>77.929015513536655</v>
      </c>
      <c r="E106" s="10">
        <f t="shared" si="8"/>
        <v>3.4938747317837006E-3</v>
      </c>
      <c r="F106">
        <f>Source_CBS_bodemgebruik!AL108</f>
        <v>5.3008265162920001</v>
      </c>
      <c r="G106" s="7">
        <f t="shared" si="9"/>
        <v>3.3622706952999524E-4</v>
      </c>
      <c r="H106">
        <f>Source_CBS_bodemgebruik!H108</f>
        <v>11031.265219516035</v>
      </c>
      <c r="I106" s="9">
        <f t="shared" si="10"/>
        <v>110.31265219516035</v>
      </c>
      <c r="J106">
        <f>Source_CBS_bodemgebruik!Q108</f>
        <v>0</v>
      </c>
      <c r="K106" s="11">
        <f t="shared" si="11"/>
        <v>0</v>
      </c>
    </row>
    <row r="107" spans="1:11" x14ac:dyDescent="0.2">
      <c r="A107" s="13" t="str">
        <f>Source_CBS_bodemgebruik!A109</f>
        <v>2023GM0362</v>
      </c>
      <c r="B107" s="13" t="str">
        <f t="shared" si="6"/>
        <v>GM0362</v>
      </c>
      <c r="C107">
        <f>Source_CBS_bodemgebruik!N109</f>
        <v>1580.29984682228</v>
      </c>
      <c r="D107" s="9">
        <f t="shared" si="7"/>
        <v>15.8029984682228</v>
      </c>
      <c r="E107" s="10">
        <f t="shared" si="8"/>
        <v>7.0851269800719188E-4</v>
      </c>
      <c r="F107">
        <f>Source_CBS_bodemgebruik!AL109</f>
        <v>124.59235843473161</v>
      </c>
      <c r="G107" s="7">
        <f t="shared" si="9"/>
        <v>7.9027909013034709E-3</v>
      </c>
      <c r="H107">
        <f>Source_CBS_bodemgebruik!H109</f>
        <v>4111.3715183294235</v>
      </c>
      <c r="I107" s="9">
        <f t="shared" si="10"/>
        <v>41.113715183294232</v>
      </c>
      <c r="J107">
        <f>Source_CBS_bodemgebruik!Q109</f>
        <v>0</v>
      </c>
      <c r="K107" s="11">
        <f t="shared" si="11"/>
        <v>0</v>
      </c>
    </row>
    <row r="108" spans="1:11" x14ac:dyDescent="0.2">
      <c r="A108" s="13" t="str">
        <f>Source_CBS_bodemgebruik!A110</f>
        <v>2023GM0363</v>
      </c>
      <c r="B108" s="13" t="str">
        <f t="shared" si="6"/>
        <v>GM0363</v>
      </c>
      <c r="C108">
        <f>Source_CBS_bodemgebruik!N110</f>
        <v>4415.2688492926118</v>
      </c>
      <c r="D108" s="9">
        <f t="shared" si="7"/>
        <v>44.152688492926117</v>
      </c>
      <c r="E108" s="10">
        <f t="shared" si="8"/>
        <v>1.9795446105559372E-3</v>
      </c>
      <c r="F108">
        <f>Source_CBS_bodemgebruik!AL110</f>
        <v>28.431513031726297</v>
      </c>
      <c r="G108" s="7">
        <f t="shared" si="9"/>
        <v>1.8033875056239651E-3</v>
      </c>
      <c r="H108">
        <f>Source_CBS_bodemgebruik!H110</f>
        <v>18812.228878629365</v>
      </c>
      <c r="I108" s="9">
        <f t="shared" si="10"/>
        <v>188.12228878629364</v>
      </c>
      <c r="J108">
        <f>Source_CBS_bodemgebruik!Q110</f>
        <v>0</v>
      </c>
      <c r="K108" s="11">
        <f t="shared" si="11"/>
        <v>0</v>
      </c>
    </row>
    <row r="109" spans="1:11" x14ac:dyDescent="0.2">
      <c r="A109" s="13" t="str">
        <f>Source_CBS_bodemgebruik!A111</f>
        <v>2023GM0373</v>
      </c>
      <c r="B109" s="13" t="str">
        <f t="shared" si="6"/>
        <v>GM0373</v>
      </c>
      <c r="C109">
        <f>Source_CBS_bodemgebruik!N111</f>
        <v>4180.0120272919794</v>
      </c>
      <c r="D109" s="9">
        <f t="shared" si="7"/>
        <v>41.800120272919791</v>
      </c>
      <c r="E109" s="10">
        <f t="shared" si="8"/>
        <v>1.8740694084824596E-3</v>
      </c>
      <c r="F109">
        <f>Source_CBS_bodemgebruik!AL111</f>
        <v>0</v>
      </c>
      <c r="G109" s="7">
        <f t="shared" si="9"/>
        <v>0</v>
      </c>
      <c r="H109">
        <f>Source_CBS_bodemgebruik!H111</f>
        <v>9899.9711780138205</v>
      </c>
      <c r="I109" s="9">
        <f t="shared" si="10"/>
        <v>98.999711780138199</v>
      </c>
      <c r="J109">
        <f>Source_CBS_bodemgebruik!Q111</f>
        <v>2029.6734018036436</v>
      </c>
      <c r="K109" s="11">
        <f t="shared" si="11"/>
        <v>20.296734018036435</v>
      </c>
    </row>
    <row r="110" spans="1:11" x14ac:dyDescent="0.2">
      <c r="A110" s="13" t="str">
        <f>Source_CBS_bodemgebruik!A112</f>
        <v>2023GM0375</v>
      </c>
      <c r="B110" s="13" t="str">
        <f t="shared" si="6"/>
        <v>GM0375</v>
      </c>
      <c r="C110">
        <f>Source_CBS_bodemgebruik!N112</f>
        <v>389.64348368186029</v>
      </c>
      <c r="D110" s="9">
        <f t="shared" si="7"/>
        <v>3.896434836818603</v>
      </c>
      <c r="E110" s="10">
        <f t="shared" si="8"/>
        <v>1.7469302198534133E-4</v>
      </c>
      <c r="F110">
        <f>Source_CBS_bodemgebruik!AL112</f>
        <v>0</v>
      </c>
      <c r="G110" s="7">
        <f t="shared" si="9"/>
        <v>0</v>
      </c>
      <c r="H110">
        <f>Source_CBS_bodemgebruik!H112</f>
        <v>1835.2453268056934</v>
      </c>
      <c r="I110" s="9">
        <f t="shared" si="10"/>
        <v>18.352453268056934</v>
      </c>
      <c r="J110">
        <f>Source_CBS_bodemgebruik!Q112</f>
        <v>120.03536019062</v>
      </c>
      <c r="K110" s="11">
        <f t="shared" si="11"/>
        <v>1.2003536019062</v>
      </c>
    </row>
    <row r="111" spans="1:11" x14ac:dyDescent="0.2">
      <c r="A111" s="13" t="str">
        <f>Source_CBS_bodemgebruik!A113</f>
        <v>2023GM0376</v>
      </c>
      <c r="B111" s="13" t="str">
        <f t="shared" si="6"/>
        <v>GM0376</v>
      </c>
      <c r="C111">
        <f>Source_CBS_bodemgebruik!N113</f>
        <v>332.31772357794063</v>
      </c>
      <c r="D111" s="9">
        <f t="shared" si="7"/>
        <v>3.323177235779406</v>
      </c>
      <c r="E111" s="10">
        <f t="shared" si="8"/>
        <v>1.4899155207871994E-4</v>
      </c>
      <c r="F111">
        <f>Source_CBS_bodemgebruik!AL113</f>
        <v>0</v>
      </c>
      <c r="G111" s="7">
        <f t="shared" si="9"/>
        <v>0</v>
      </c>
      <c r="H111">
        <f>Source_CBS_bodemgebruik!H113</f>
        <v>1107.3163251155338</v>
      </c>
      <c r="I111" s="9">
        <f t="shared" si="10"/>
        <v>11.073163251155338</v>
      </c>
      <c r="J111">
        <f>Source_CBS_bodemgebruik!Q113</f>
        <v>0</v>
      </c>
      <c r="K111" s="11">
        <f t="shared" si="11"/>
        <v>0</v>
      </c>
    </row>
    <row r="112" spans="1:11" x14ac:dyDescent="0.2">
      <c r="A112" s="13" t="str">
        <f>Source_CBS_bodemgebruik!A114</f>
        <v>2023GM0377</v>
      </c>
      <c r="B112" s="13" t="str">
        <f t="shared" si="6"/>
        <v>GM0377</v>
      </c>
      <c r="C112">
        <f>Source_CBS_bodemgebruik!N114</f>
        <v>421.83270317021618</v>
      </c>
      <c r="D112" s="9">
        <f t="shared" si="7"/>
        <v>4.2183270317021622</v>
      </c>
      <c r="E112" s="10">
        <f t="shared" si="8"/>
        <v>1.8912475833733852E-4</v>
      </c>
      <c r="F112">
        <f>Source_CBS_bodemgebruik!AL114</f>
        <v>0</v>
      </c>
      <c r="G112" s="7">
        <f t="shared" si="9"/>
        <v>0</v>
      </c>
      <c r="H112">
        <f>Source_CBS_bodemgebruik!H114</f>
        <v>3976.7135226923747</v>
      </c>
      <c r="I112" s="9">
        <f t="shared" si="10"/>
        <v>39.767135226923749</v>
      </c>
      <c r="J112">
        <f>Source_CBS_bodemgebruik!Q114</f>
        <v>468.58478766222566</v>
      </c>
      <c r="K112" s="11">
        <f t="shared" si="11"/>
        <v>4.6858478766222564</v>
      </c>
    </row>
    <row r="113" spans="1:11" x14ac:dyDescent="0.2">
      <c r="A113" s="13" t="str">
        <f>Source_CBS_bodemgebruik!A115</f>
        <v>2023GM0383</v>
      </c>
      <c r="B113" s="13" t="str">
        <f t="shared" si="6"/>
        <v>GM0383</v>
      </c>
      <c r="C113">
        <f>Source_CBS_bodemgebruik!N115</f>
        <v>2299.0972658267424</v>
      </c>
      <c r="D113" s="9">
        <f t="shared" si="7"/>
        <v>22.990972658267424</v>
      </c>
      <c r="E113" s="10">
        <f t="shared" si="8"/>
        <v>1.0307788171133407E-3</v>
      </c>
      <c r="F113">
        <f>Source_CBS_bodemgebruik!AL115</f>
        <v>1.1260538944030001</v>
      </c>
      <c r="G113" s="7">
        <f t="shared" si="9"/>
        <v>7.1424673092829695E-5</v>
      </c>
      <c r="H113">
        <f>Source_CBS_bodemgebruik!H115</f>
        <v>4964.2566430448042</v>
      </c>
      <c r="I113" s="9">
        <f t="shared" si="10"/>
        <v>49.642566430448042</v>
      </c>
      <c r="J113">
        <f>Source_CBS_bodemgebruik!Q115</f>
        <v>518.66627521989835</v>
      </c>
      <c r="K113" s="11">
        <f t="shared" si="11"/>
        <v>5.1866627521989832</v>
      </c>
    </row>
    <row r="114" spans="1:11" x14ac:dyDescent="0.2">
      <c r="A114" s="13" t="str">
        <f>Source_CBS_bodemgebruik!A116</f>
        <v>2023GM0384</v>
      </c>
      <c r="B114" s="13" t="str">
        <f t="shared" si="6"/>
        <v>GM0384</v>
      </c>
      <c r="C114">
        <f>Source_CBS_bodemgebruik!N116</f>
        <v>232.59500399698433</v>
      </c>
      <c r="D114" s="9">
        <f t="shared" si="7"/>
        <v>2.3259500399698432</v>
      </c>
      <c r="E114" s="10">
        <f t="shared" si="8"/>
        <v>1.0428180079639652E-4</v>
      </c>
      <c r="F114">
        <f>Source_CBS_bodemgebruik!AL116</f>
        <v>0</v>
      </c>
      <c r="G114" s="7">
        <f t="shared" si="9"/>
        <v>0</v>
      </c>
      <c r="H114">
        <f>Source_CBS_bodemgebruik!H116</f>
        <v>1194.6556089097003</v>
      </c>
      <c r="I114" s="9">
        <f t="shared" si="10"/>
        <v>11.946556089097003</v>
      </c>
      <c r="J114">
        <f>Source_CBS_bodemgebruik!Q116</f>
        <v>0</v>
      </c>
      <c r="K114" s="11">
        <f t="shared" si="11"/>
        <v>0</v>
      </c>
    </row>
    <row r="115" spans="1:11" x14ac:dyDescent="0.2">
      <c r="A115" s="13" t="str">
        <f>Source_CBS_bodemgebruik!A117</f>
        <v>2023GM0385</v>
      </c>
      <c r="B115" s="13" t="str">
        <f t="shared" si="6"/>
        <v>GM0385</v>
      </c>
      <c r="C115">
        <f>Source_CBS_bodemgebruik!N117</f>
        <v>4391.3922188083534</v>
      </c>
      <c r="D115" s="9">
        <f t="shared" si="7"/>
        <v>43.913922188083532</v>
      </c>
      <c r="E115" s="10">
        <f t="shared" si="8"/>
        <v>1.9688397459584118E-3</v>
      </c>
      <c r="F115">
        <f>Source_CBS_bodemgebruik!AL117</f>
        <v>0</v>
      </c>
      <c r="G115" s="7">
        <f t="shared" si="9"/>
        <v>0</v>
      </c>
      <c r="H115">
        <f>Source_CBS_bodemgebruik!H117</f>
        <v>5432.1552169300548</v>
      </c>
      <c r="I115" s="9">
        <f t="shared" si="10"/>
        <v>54.321552169300546</v>
      </c>
      <c r="J115">
        <f>Source_CBS_bodemgebruik!Q117</f>
        <v>0</v>
      </c>
      <c r="K115" s="11">
        <f t="shared" si="11"/>
        <v>0</v>
      </c>
    </row>
    <row r="116" spans="1:11" x14ac:dyDescent="0.2">
      <c r="A116" s="13" t="str">
        <f>Source_CBS_bodemgebruik!A118</f>
        <v>2023GM0388</v>
      </c>
      <c r="B116" s="13" t="str">
        <f t="shared" si="6"/>
        <v>GM0388</v>
      </c>
      <c r="C116">
        <f>Source_CBS_bodemgebruik!N118</f>
        <v>683.81019794170982</v>
      </c>
      <c r="D116" s="9">
        <f t="shared" si="7"/>
        <v>6.8381019794170985</v>
      </c>
      <c r="E116" s="10">
        <f t="shared" si="8"/>
        <v>3.065799248432112E-4</v>
      </c>
      <c r="F116">
        <f>Source_CBS_bodemgebruik!AL118</f>
        <v>24.206571650977796</v>
      </c>
      <c r="G116" s="7">
        <f t="shared" si="9"/>
        <v>1.5354029460427233E-3</v>
      </c>
      <c r="H116">
        <f>Source_CBS_bodemgebruik!H118</f>
        <v>1266.4444396442177</v>
      </c>
      <c r="I116" s="9">
        <f t="shared" si="10"/>
        <v>12.664444396442176</v>
      </c>
      <c r="J116">
        <f>Source_CBS_bodemgebruik!Q118</f>
        <v>0</v>
      </c>
      <c r="K116" s="11">
        <f t="shared" si="11"/>
        <v>0</v>
      </c>
    </row>
    <row r="117" spans="1:11" x14ac:dyDescent="0.2">
      <c r="A117" s="13" t="str">
        <f>Source_CBS_bodemgebruik!A119</f>
        <v>2023GM0392</v>
      </c>
      <c r="B117" s="13" t="str">
        <f t="shared" si="6"/>
        <v>GM0392</v>
      </c>
      <c r="C117">
        <f>Source_CBS_bodemgebruik!N119</f>
        <v>409.49479066104021</v>
      </c>
      <c r="D117" s="9">
        <f t="shared" si="7"/>
        <v>4.0949479066104022</v>
      </c>
      <c r="E117" s="10">
        <f t="shared" si="8"/>
        <v>1.8359317033065056E-4</v>
      </c>
      <c r="F117">
        <f>Source_CBS_bodemgebruik!AL119</f>
        <v>1.0444430134716998</v>
      </c>
      <c r="G117" s="7">
        <f t="shared" si="9"/>
        <v>6.6248161985937826E-5</v>
      </c>
      <c r="H117">
        <f>Source_CBS_bodemgebruik!H119</f>
        <v>2921.2163456993312</v>
      </c>
      <c r="I117" s="9">
        <f t="shared" si="10"/>
        <v>29.212163456993313</v>
      </c>
      <c r="J117">
        <f>Source_CBS_bodemgebruik!Q119</f>
        <v>0</v>
      </c>
      <c r="K117" s="11">
        <f t="shared" si="11"/>
        <v>0</v>
      </c>
    </row>
    <row r="118" spans="1:11" x14ac:dyDescent="0.2">
      <c r="A118" s="13" t="str">
        <f>Source_CBS_bodemgebruik!A120</f>
        <v>2023GM0394</v>
      </c>
      <c r="B118" s="13" t="str">
        <f t="shared" si="6"/>
        <v>GM0394</v>
      </c>
      <c r="C118">
        <f>Source_CBS_bodemgebruik!N120</f>
        <v>11514.336187119154</v>
      </c>
      <c r="D118" s="9">
        <f t="shared" si="7"/>
        <v>115.14336187119153</v>
      </c>
      <c r="E118" s="10">
        <f t="shared" si="8"/>
        <v>5.1623452435954611E-3</v>
      </c>
      <c r="F118">
        <f>Source_CBS_bodemgebruik!AL120</f>
        <v>172.16976539592895</v>
      </c>
      <c r="G118" s="7">
        <f t="shared" si="9"/>
        <v>1.0920586724130994E-2</v>
      </c>
      <c r="H118">
        <f>Source_CBS_bodemgebruik!H120</f>
        <v>19721.476682005294</v>
      </c>
      <c r="I118" s="9">
        <f t="shared" si="10"/>
        <v>197.21476682005294</v>
      </c>
      <c r="J118">
        <f>Source_CBS_bodemgebruik!Q120</f>
        <v>0</v>
      </c>
      <c r="K118" s="11">
        <f t="shared" si="11"/>
        <v>0</v>
      </c>
    </row>
    <row r="119" spans="1:11" x14ac:dyDescent="0.2">
      <c r="A119" s="13" t="str">
        <f>Source_CBS_bodemgebruik!A121</f>
        <v>2023GM0396</v>
      </c>
      <c r="B119" s="13" t="str">
        <f t="shared" si="6"/>
        <v>GM0396</v>
      </c>
      <c r="C119">
        <f>Source_CBS_bodemgebruik!N121</f>
        <v>666.99013840182386</v>
      </c>
      <c r="D119" s="9">
        <f t="shared" si="7"/>
        <v>6.6699013840182388</v>
      </c>
      <c r="E119" s="10">
        <f t="shared" si="8"/>
        <v>2.9903880801705328E-4</v>
      </c>
      <c r="F119">
        <f>Source_CBS_bodemgebruik!AL121</f>
        <v>25.628903882235495</v>
      </c>
      <c r="G119" s="7">
        <f t="shared" si="9"/>
        <v>1.6256203105506947E-3</v>
      </c>
      <c r="H119">
        <f>Source_CBS_bodemgebruik!H121</f>
        <v>2727.1261407577804</v>
      </c>
      <c r="I119" s="9">
        <f t="shared" si="10"/>
        <v>27.271261407577803</v>
      </c>
      <c r="J119">
        <f>Source_CBS_bodemgebruik!Q121</f>
        <v>397.18404139393601</v>
      </c>
      <c r="K119" s="11">
        <f t="shared" si="11"/>
        <v>3.9718404139393599</v>
      </c>
    </row>
    <row r="120" spans="1:11" x14ac:dyDescent="0.2">
      <c r="A120" s="13" t="str">
        <f>Source_CBS_bodemgebruik!A122</f>
        <v>2023GM0397</v>
      </c>
      <c r="B120" s="13" t="str">
        <f t="shared" si="6"/>
        <v>GM0397</v>
      </c>
      <c r="C120">
        <f>Source_CBS_bodemgebruik!N122</f>
        <v>150.18102715469871</v>
      </c>
      <c r="D120" s="9">
        <f t="shared" si="7"/>
        <v>1.5018102715469872</v>
      </c>
      <c r="E120" s="10">
        <f t="shared" si="8"/>
        <v>6.7332262894810764E-5</v>
      </c>
      <c r="F120">
        <f>Source_CBS_bodemgebruik!AL122</f>
        <v>1.9554263783410002</v>
      </c>
      <c r="G120" s="7">
        <f t="shared" si="9"/>
        <v>1.2403108814267581E-4</v>
      </c>
      <c r="H120">
        <f>Source_CBS_bodemgebruik!H122</f>
        <v>917.17099360630243</v>
      </c>
      <c r="I120" s="9">
        <f t="shared" si="10"/>
        <v>9.1717099360630243</v>
      </c>
      <c r="J120">
        <f>Source_CBS_bodemgebruik!Q122</f>
        <v>0</v>
      </c>
      <c r="K120" s="11">
        <f t="shared" si="11"/>
        <v>0</v>
      </c>
    </row>
    <row r="121" spans="1:11" x14ac:dyDescent="0.2">
      <c r="A121" s="13" t="str">
        <f>Source_CBS_bodemgebruik!A123</f>
        <v>2023GM0399</v>
      </c>
      <c r="B121" s="13" t="str">
        <f t="shared" si="6"/>
        <v>GM0399</v>
      </c>
      <c r="C121">
        <f>Source_CBS_bodemgebruik!N123</f>
        <v>955.12160500175651</v>
      </c>
      <c r="D121" s="9">
        <f t="shared" si="7"/>
        <v>9.5512160500175654</v>
      </c>
      <c r="E121" s="10">
        <f t="shared" si="8"/>
        <v>4.2821986387299644E-4</v>
      </c>
      <c r="F121">
        <f>Source_CBS_bodemgebruik!AL123</f>
        <v>4.7648286243899998</v>
      </c>
      <c r="G121" s="7">
        <f t="shared" si="9"/>
        <v>3.0222916374783636E-4</v>
      </c>
      <c r="H121">
        <f>Source_CBS_bodemgebruik!H123</f>
        <v>1870.5400839253159</v>
      </c>
      <c r="I121" s="9">
        <f t="shared" si="10"/>
        <v>18.705400839253159</v>
      </c>
      <c r="J121">
        <f>Source_CBS_bodemgebruik!Q123</f>
        <v>0</v>
      </c>
      <c r="K121" s="11">
        <f t="shared" si="11"/>
        <v>0</v>
      </c>
    </row>
    <row r="122" spans="1:11" x14ac:dyDescent="0.2">
      <c r="A122" s="13" t="str">
        <f>Source_CBS_bodemgebruik!A124</f>
        <v>2023GM0400</v>
      </c>
      <c r="B122" s="13" t="str">
        <f t="shared" si="6"/>
        <v>GM0400</v>
      </c>
      <c r="C122">
        <f>Source_CBS_bodemgebruik!N124</f>
        <v>1720.1856984267172</v>
      </c>
      <c r="D122" s="9">
        <f t="shared" si="7"/>
        <v>17.20185698426717</v>
      </c>
      <c r="E122" s="10">
        <f t="shared" si="8"/>
        <v>7.7122921495971128E-4</v>
      </c>
      <c r="F122">
        <f>Source_CBS_bodemgebruik!AL124</f>
        <v>0</v>
      </c>
      <c r="G122" s="7">
        <f t="shared" si="9"/>
        <v>0</v>
      </c>
      <c r="H122">
        <f>Source_CBS_bodemgebruik!H124</f>
        <v>4510.2396656116389</v>
      </c>
      <c r="I122" s="9">
        <f t="shared" si="10"/>
        <v>45.10239665611639</v>
      </c>
      <c r="J122">
        <f>Source_CBS_bodemgebruik!Q124</f>
        <v>13145.155982945975</v>
      </c>
      <c r="K122" s="11">
        <f t="shared" si="11"/>
        <v>131.45155982945974</v>
      </c>
    </row>
    <row r="123" spans="1:11" x14ac:dyDescent="0.2">
      <c r="A123" s="13" t="str">
        <f>Source_CBS_bodemgebruik!A125</f>
        <v>2023GM0402</v>
      </c>
      <c r="B123" s="13" t="str">
        <f t="shared" si="6"/>
        <v>GM0402</v>
      </c>
      <c r="C123">
        <f>Source_CBS_bodemgebruik!N125</f>
        <v>570.2882949841794</v>
      </c>
      <c r="D123" s="9">
        <f t="shared" si="7"/>
        <v>5.7028829498417943</v>
      </c>
      <c r="E123" s="10">
        <f t="shared" si="8"/>
        <v>2.5568343838902006E-4</v>
      </c>
      <c r="F123">
        <f>Source_CBS_bodemgebruik!AL125</f>
        <v>0</v>
      </c>
      <c r="G123" s="7">
        <f t="shared" si="9"/>
        <v>0</v>
      </c>
      <c r="H123">
        <f>Source_CBS_bodemgebruik!H125</f>
        <v>4560.9861533720768</v>
      </c>
      <c r="I123" s="9">
        <f t="shared" si="10"/>
        <v>45.609861533720768</v>
      </c>
      <c r="J123">
        <f>Source_CBS_bodemgebruik!Q125</f>
        <v>0</v>
      </c>
      <c r="K123" s="11">
        <f t="shared" si="11"/>
        <v>0</v>
      </c>
    </row>
    <row r="124" spans="1:11" x14ac:dyDescent="0.2">
      <c r="A124" s="13" t="str">
        <f>Source_CBS_bodemgebruik!A126</f>
        <v>2023GM0405</v>
      </c>
      <c r="B124" s="13" t="str">
        <f t="shared" si="6"/>
        <v>GM0405</v>
      </c>
      <c r="C124">
        <f>Source_CBS_bodemgebruik!N126</f>
        <v>233.57524402259489</v>
      </c>
      <c r="D124" s="9">
        <f t="shared" si="7"/>
        <v>2.3357524402259489</v>
      </c>
      <c r="E124" s="10">
        <f t="shared" si="8"/>
        <v>1.047212822698881E-4</v>
      </c>
      <c r="F124">
        <f>Source_CBS_bodemgebruik!AL126</f>
        <v>1.1918105132171981</v>
      </c>
      <c r="G124" s="7">
        <f t="shared" si="9"/>
        <v>7.5595561383202278E-5</v>
      </c>
      <c r="H124">
        <f>Source_CBS_bodemgebruik!H126</f>
        <v>2037.4904995172519</v>
      </c>
      <c r="I124" s="9">
        <f t="shared" si="10"/>
        <v>20.374904995172518</v>
      </c>
      <c r="J124">
        <f>Source_CBS_bodemgebruik!Q126</f>
        <v>0</v>
      </c>
      <c r="K124" s="11">
        <f t="shared" si="11"/>
        <v>0</v>
      </c>
    </row>
    <row r="125" spans="1:11" x14ac:dyDescent="0.2">
      <c r="A125" s="13" t="str">
        <f>Source_CBS_bodemgebruik!A127</f>
        <v>2023GM0406</v>
      </c>
      <c r="B125" s="13" t="str">
        <f t="shared" si="6"/>
        <v>GM0406</v>
      </c>
      <c r="C125">
        <f>Source_CBS_bodemgebruik!N127</f>
        <v>108.85681727547293</v>
      </c>
      <c r="D125" s="9">
        <f t="shared" si="7"/>
        <v>1.0885681727547294</v>
      </c>
      <c r="E125" s="10">
        <f t="shared" si="8"/>
        <v>4.8804938796526272E-5</v>
      </c>
      <c r="F125">
        <f>Source_CBS_bodemgebruik!AL127</f>
        <v>0</v>
      </c>
      <c r="G125" s="7">
        <f t="shared" si="9"/>
        <v>0</v>
      </c>
      <c r="H125">
        <f>Source_CBS_bodemgebruik!H127</f>
        <v>1581.0489467835821</v>
      </c>
      <c r="I125" s="9">
        <f t="shared" si="10"/>
        <v>15.81048946783582</v>
      </c>
      <c r="J125">
        <f>Source_CBS_bodemgebruik!Q127</f>
        <v>0</v>
      </c>
      <c r="K125" s="11">
        <f t="shared" si="11"/>
        <v>0</v>
      </c>
    </row>
    <row r="126" spans="1:11" x14ac:dyDescent="0.2">
      <c r="A126" s="13" t="str">
        <f>Source_CBS_bodemgebruik!A128</f>
        <v>2023GM0415</v>
      </c>
      <c r="B126" s="13" t="str">
        <f t="shared" si="6"/>
        <v>GM0415</v>
      </c>
      <c r="C126">
        <f>Source_CBS_bodemgebruik!N128</f>
        <v>1515.2176129077625</v>
      </c>
      <c r="D126" s="9">
        <f t="shared" si="7"/>
        <v>15.152176129077624</v>
      </c>
      <c r="E126" s="10">
        <f t="shared" si="8"/>
        <v>6.7933368540661944E-4</v>
      </c>
      <c r="F126">
        <f>Source_CBS_bodemgebruik!AL128</f>
        <v>0</v>
      </c>
      <c r="G126" s="7">
        <f t="shared" si="9"/>
        <v>0</v>
      </c>
      <c r="H126">
        <f>Source_CBS_bodemgebruik!H128</f>
        <v>2243.8720314639349</v>
      </c>
      <c r="I126" s="9">
        <f t="shared" si="10"/>
        <v>22.438720314639351</v>
      </c>
      <c r="J126">
        <f>Source_CBS_bodemgebruik!Q128</f>
        <v>0</v>
      </c>
      <c r="K126" s="11">
        <f t="shared" si="11"/>
        <v>0</v>
      </c>
    </row>
    <row r="127" spans="1:11" x14ac:dyDescent="0.2">
      <c r="A127" s="13" t="str">
        <f>Source_CBS_bodemgebruik!A129</f>
        <v>2023GM0417</v>
      </c>
      <c r="B127" s="13" t="str">
        <f t="shared" si="6"/>
        <v>GM0417</v>
      </c>
      <c r="C127">
        <f>Source_CBS_bodemgebruik!N129</f>
        <v>46.107839081198279</v>
      </c>
      <c r="D127" s="9">
        <f t="shared" si="7"/>
        <v>0.46107839081198276</v>
      </c>
      <c r="E127" s="10">
        <f t="shared" si="8"/>
        <v>2.0672019637533422E-5</v>
      </c>
      <c r="F127">
        <f>Source_CBS_bodemgebruik!AL129</f>
        <v>0</v>
      </c>
      <c r="G127" s="7">
        <f t="shared" si="9"/>
        <v>0</v>
      </c>
      <c r="H127">
        <f>Source_CBS_bodemgebruik!H129</f>
        <v>1241.0486094763887</v>
      </c>
      <c r="I127" s="9">
        <f t="shared" si="10"/>
        <v>12.410486094763888</v>
      </c>
      <c r="J127">
        <f>Source_CBS_bodemgebruik!Q129</f>
        <v>0</v>
      </c>
      <c r="K127" s="11">
        <f t="shared" si="11"/>
        <v>0</v>
      </c>
    </row>
    <row r="128" spans="1:11" x14ac:dyDescent="0.2">
      <c r="A128" s="13" t="str">
        <f>Source_CBS_bodemgebruik!A130</f>
        <v>2023GM0420</v>
      </c>
      <c r="B128" s="13" t="str">
        <f t="shared" si="6"/>
        <v>GM0420</v>
      </c>
      <c r="C128">
        <f>Source_CBS_bodemgebruik!N130</f>
        <v>9898.6246342503109</v>
      </c>
      <c r="D128" s="9">
        <f t="shared" si="7"/>
        <v>98.986246342503108</v>
      </c>
      <c r="E128" s="10">
        <f t="shared" si="8"/>
        <v>4.4379560374417058E-3</v>
      </c>
      <c r="F128">
        <f>Source_CBS_bodemgebruik!AL130</f>
        <v>256.85864323660348</v>
      </c>
      <c r="G128" s="7">
        <f t="shared" si="9"/>
        <v>1.629233264538257E-2</v>
      </c>
      <c r="H128">
        <f>Source_CBS_bodemgebruik!H130</f>
        <v>12122.861131374537</v>
      </c>
      <c r="I128" s="9">
        <f t="shared" si="10"/>
        <v>121.22861131374538</v>
      </c>
      <c r="J128">
        <f>Source_CBS_bodemgebruik!Q130</f>
        <v>0</v>
      </c>
      <c r="K128" s="11">
        <f t="shared" si="11"/>
        <v>0</v>
      </c>
    </row>
    <row r="129" spans="1:11" x14ac:dyDescent="0.2">
      <c r="A129" s="13" t="str">
        <f>Source_CBS_bodemgebruik!A131</f>
        <v>2023GM0431</v>
      </c>
      <c r="B129" s="13" t="str">
        <f t="shared" si="6"/>
        <v>GM0431</v>
      </c>
      <c r="C129">
        <f>Source_CBS_bodemgebruik!N131</f>
        <v>512.36880022893183</v>
      </c>
      <c r="D129" s="9">
        <f t="shared" si="7"/>
        <v>5.1236880022893185</v>
      </c>
      <c r="E129" s="10">
        <f t="shared" si="8"/>
        <v>2.2971577308881022E-4</v>
      </c>
      <c r="F129">
        <f>Source_CBS_bodemgebruik!AL131</f>
        <v>0</v>
      </c>
      <c r="G129" s="7">
        <f t="shared" si="9"/>
        <v>0</v>
      </c>
      <c r="H129">
        <f>Source_CBS_bodemgebruik!H131</f>
        <v>1155.8012265981404</v>
      </c>
      <c r="I129" s="9">
        <f t="shared" si="10"/>
        <v>11.558012265981404</v>
      </c>
      <c r="J129">
        <f>Source_CBS_bodemgebruik!Q131</f>
        <v>0</v>
      </c>
      <c r="K129" s="11">
        <f t="shared" si="11"/>
        <v>0</v>
      </c>
    </row>
    <row r="130" spans="1:11" x14ac:dyDescent="0.2">
      <c r="A130" s="13" t="str">
        <f>Source_CBS_bodemgebruik!A132</f>
        <v>2023GM0432</v>
      </c>
      <c r="B130" s="13" t="str">
        <f t="shared" si="6"/>
        <v>GM0432</v>
      </c>
      <c r="C130">
        <f>Source_CBS_bodemgebruik!N132</f>
        <v>3638.2363786448782</v>
      </c>
      <c r="D130" s="9">
        <f t="shared" si="7"/>
        <v>36.382363786448785</v>
      </c>
      <c r="E130" s="10">
        <f t="shared" si="8"/>
        <v>1.6311693491618047E-3</v>
      </c>
      <c r="F130">
        <f>Source_CBS_bodemgebruik!AL132</f>
        <v>18.577351458751501</v>
      </c>
      <c r="G130" s="7">
        <f t="shared" si="9"/>
        <v>1.1783461355332387E-3</v>
      </c>
      <c r="H130">
        <f>Source_CBS_bodemgebruik!H132</f>
        <v>4147.9109162414607</v>
      </c>
      <c r="I130" s="9">
        <f t="shared" si="10"/>
        <v>41.479109162414609</v>
      </c>
      <c r="J130">
        <f>Source_CBS_bodemgebruik!Q132</f>
        <v>0</v>
      </c>
      <c r="K130" s="11">
        <f t="shared" si="11"/>
        <v>0</v>
      </c>
    </row>
    <row r="131" spans="1:11" x14ac:dyDescent="0.2">
      <c r="A131" s="13" t="str">
        <f>Source_CBS_bodemgebruik!A133</f>
        <v>2023GM0437</v>
      </c>
      <c r="B131" s="13" t="str">
        <f t="shared" ref="B131:B194" si="12">RIGHT(A131,6)</f>
        <v>GM0437</v>
      </c>
      <c r="C131">
        <f>Source_CBS_bodemgebruik!N133</f>
        <v>1580.3288646680849</v>
      </c>
      <c r="D131" s="9">
        <f t="shared" ref="D131:D194" si="13">C131/100</f>
        <v>15.803288646680848</v>
      </c>
      <c r="E131" s="10">
        <f t="shared" ref="E131:E194" si="14">D131/SUM(D$2:D$343)</f>
        <v>7.0852570788772988E-4</v>
      </c>
      <c r="F131">
        <f>Source_CBS_bodemgebruik!AL133</f>
        <v>0</v>
      </c>
      <c r="G131" s="7">
        <f t="shared" ref="G131:G194" si="15">F131/SUM(F$2:F$343)</f>
        <v>0</v>
      </c>
      <c r="H131">
        <f>Source_CBS_bodemgebruik!H133</f>
        <v>2395.0611649182861</v>
      </c>
      <c r="I131" s="9">
        <f t="shared" ref="I131:I194" si="16">H131/100</f>
        <v>23.950611649182861</v>
      </c>
      <c r="J131">
        <f>Source_CBS_bodemgebruik!Q133</f>
        <v>0</v>
      </c>
      <c r="K131" s="11">
        <f t="shared" ref="K131:K194" si="17">J131/100</f>
        <v>0</v>
      </c>
    </row>
    <row r="132" spans="1:11" x14ac:dyDescent="0.2">
      <c r="A132" s="13" t="str">
        <f>Source_CBS_bodemgebruik!A134</f>
        <v>2023GM0439</v>
      </c>
      <c r="B132" s="13" t="str">
        <f t="shared" si="12"/>
        <v>GM0439</v>
      </c>
      <c r="C132">
        <f>Source_CBS_bodemgebruik!N134</f>
        <v>6725.047631311174</v>
      </c>
      <c r="D132" s="9">
        <f t="shared" si="13"/>
        <v>67.250476313111733</v>
      </c>
      <c r="E132" s="10">
        <f t="shared" si="14"/>
        <v>3.0151123858350912E-3</v>
      </c>
      <c r="F132">
        <f>Source_CBS_bodemgebruik!AL134</f>
        <v>18.2954144073694</v>
      </c>
      <c r="G132" s="7">
        <f t="shared" si="15"/>
        <v>1.1604631000694708E-3</v>
      </c>
      <c r="H132">
        <f>Source_CBS_bodemgebruik!H134</f>
        <v>9360.7461975491988</v>
      </c>
      <c r="I132" s="9">
        <f t="shared" si="16"/>
        <v>93.607461975491987</v>
      </c>
      <c r="J132">
        <f>Source_CBS_bodemgebruik!Q134</f>
        <v>0</v>
      </c>
      <c r="K132" s="11">
        <f t="shared" si="17"/>
        <v>0</v>
      </c>
    </row>
    <row r="133" spans="1:11" x14ac:dyDescent="0.2">
      <c r="A133" s="13" t="str">
        <f>Source_CBS_bodemgebruik!A135</f>
        <v>2023GM0441</v>
      </c>
      <c r="B133" s="13" t="str">
        <f t="shared" si="12"/>
        <v>GM0441</v>
      </c>
      <c r="C133">
        <f>Source_CBS_bodemgebruik!N135</f>
        <v>13209.316224054497</v>
      </c>
      <c r="D133" s="9">
        <f t="shared" si="13"/>
        <v>132.09316224054498</v>
      </c>
      <c r="E133" s="10">
        <f t="shared" si="14"/>
        <v>5.9222737353005206E-3</v>
      </c>
      <c r="F133">
        <f>Source_CBS_bodemgebruik!AL135</f>
        <v>24.5595098058178</v>
      </c>
      <c r="G133" s="7">
        <f t="shared" si="15"/>
        <v>1.5577895231477193E-3</v>
      </c>
      <c r="H133">
        <f>Source_CBS_bodemgebruik!H135</f>
        <v>16799.046125332145</v>
      </c>
      <c r="I133" s="9">
        <f t="shared" si="16"/>
        <v>167.99046125332146</v>
      </c>
      <c r="J133">
        <f>Source_CBS_bodemgebruik!Q135</f>
        <v>1527.6746839212278</v>
      </c>
      <c r="K133" s="11">
        <f t="shared" si="17"/>
        <v>15.276746839212278</v>
      </c>
    </row>
    <row r="134" spans="1:11" x14ac:dyDescent="0.2">
      <c r="A134" s="13" t="str">
        <f>Source_CBS_bodemgebruik!A136</f>
        <v>2023GM0448</v>
      </c>
      <c r="B134" s="13" t="str">
        <f t="shared" si="12"/>
        <v>GM0448</v>
      </c>
      <c r="C134">
        <f>Source_CBS_bodemgebruik!N136</f>
        <v>9995.4986057802653</v>
      </c>
      <c r="D134" s="9">
        <f t="shared" si="13"/>
        <v>99.954986057802657</v>
      </c>
      <c r="E134" s="10">
        <f t="shared" si="14"/>
        <v>4.4813885791035787E-3</v>
      </c>
      <c r="F134">
        <f>Source_CBS_bodemgebruik!AL136</f>
        <v>0</v>
      </c>
      <c r="G134" s="7">
        <f t="shared" si="15"/>
        <v>0</v>
      </c>
      <c r="H134">
        <f>Source_CBS_bodemgebruik!H136</f>
        <v>16225.837290647614</v>
      </c>
      <c r="I134" s="9">
        <f t="shared" si="16"/>
        <v>162.25837290647615</v>
      </c>
      <c r="J134">
        <f>Source_CBS_bodemgebruik!Q136</f>
        <v>29821.901326165862</v>
      </c>
      <c r="K134" s="11">
        <f t="shared" si="17"/>
        <v>298.21901326165863</v>
      </c>
    </row>
    <row r="135" spans="1:11" x14ac:dyDescent="0.2">
      <c r="A135" s="13" t="str">
        <f>Source_CBS_bodemgebruik!A137</f>
        <v>2023GM0450</v>
      </c>
      <c r="B135" s="13" t="str">
        <f t="shared" si="12"/>
        <v>GM0450</v>
      </c>
      <c r="C135">
        <f>Source_CBS_bodemgebruik!N137</f>
        <v>1468.9519814531875</v>
      </c>
      <c r="D135" s="9">
        <f t="shared" si="13"/>
        <v>14.689519814531875</v>
      </c>
      <c r="E135" s="10">
        <f t="shared" si="14"/>
        <v>6.5859092103009813E-4</v>
      </c>
      <c r="F135">
        <f>Source_CBS_bodemgebruik!AL137</f>
        <v>0</v>
      </c>
      <c r="G135" s="7">
        <f t="shared" si="15"/>
        <v>0</v>
      </c>
      <c r="H135">
        <f>Source_CBS_bodemgebruik!H137</f>
        <v>1915.5918747205835</v>
      </c>
      <c r="I135" s="9">
        <f t="shared" si="16"/>
        <v>19.155918747205835</v>
      </c>
      <c r="J135">
        <f>Source_CBS_bodemgebruik!Q137</f>
        <v>0</v>
      </c>
      <c r="K135" s="11">
        <f t="shared" si="17"/>
        <v>0</v>
      </c>
    </row>
    <row r="136" spans="1:11" x14ac:dyDescent="0.2">
      <c r="A136" s="13" t="str">
        <f>Source_CBS_bodemgebruik!A138</f>
        <v>2023GM0451</v>
      </c>
      <c r="B136" s="13" t="str">
        <f t="shared" si="12"/>
        <v>GM0451</v>
      </c>
      <c r="C136">
        <f>Source_CBS_bodemgebruik!N138</f>
        <v>1010.8921604368056</v>
      </c>
      <c r="D136" s="9">
        <f t="shared" si="13"/>
        <v>10.108921604368057</v>
      </c>
      <c r="E136" s="10">
        <f t="shared" si="14"/>
        <v>4.5322407227060065E-4</v>
      </c>
      <c r="F136">
        <f>Source_CBS_bodemgebruik!AL138</f>
        <v>283.443192981712</v>
      </c>
      <c r="G136" s="7">
        <f t="shared" si="15"/>
        <v>1.797856878763323E-2</v>
      </c>
      <c r="H136">
        <f>Source_CBS_bodemgebruik!H138</f>
        <v>1812.1113987190731</v>
      </c>
      <c r="I136" s="9">
        <f t="shared" si="16"/>
        <v>18.121113987190732</v>
      </c>
      <c r="J136">
        <f>Source_CBS_bodemgebruik!Q138</f>
        <v>0</v>
      </c>
      <c r="K136" s="11">
        <f t="shared" si="17"/>
        <v>0</v>
      </c>
    </row>
    <row r="137" spans="1:11" x14ac:dyDescent="0.2">
      <c r="A137" s="13" t="str">
        <f>Source_CBS_bodemgebruik!A139</f>
        <v>2023GM0453</v>
      </c>
      <c r="B137" s="13" t="str">
        <f t="shared" si="12"/>
        <v>GM0453</v>
      </c>
      <c r="C137">
        <f>Source_CBS_bodemgebruik!N139</f>
        <v>332.17045958995624</v>
      </c>
      <c r="D137" s="9">
        <f t="shared" si="13"/>
        <v>3.3217045958995626</v>
      </c>
      <c r="E137" s="10">
        <f t="shared" si="14"/>
        <v>1.4892552764313204E-4</v>
      </c>
      <c r="F137">
        <f>Source_CBS_bodemgebruik!AL139</f>
        <v>0</v>
      </c>
      <c r="G137" s="7">
        <f t="shared" si="15"/>
        <v>0</v>
      </c>
      <c r="H137">
        <f>Source_CBS_bodemgebruik!H139</f>
        <v>4502.8299914721529</v>
      </c>
      <c r="I137" s="9">
        <f t="shared" si="16"/>
        <v>45.028299914721529</v>
      </c>
      <c r="J137">
        <f>Source_CBS_bodemgebruik!Q139</f>
        <v>1387.8990041315233</v>
      </c>
      <c r="K137" s="11">
        <f t="shared" si="17"/>
        <v>13.878990041315232</v>
      </c>
    </row>
    <row r="138" spans="1:11" x14ac:dyDescent="0.2">
      <c r="A138" s="13" t="str">
        <f>Source_CBS_bodemgebruik!A140</f>
        <v>2023GM0473</v>
      </c>
      <c r="B138" s="13" t="str">
        <f t="shared" si="12"/>
        <v>GM0473</v>
      </c>
      <c r="C138">
        <f>Source_CBS_bodemgebruik!N140</f>
        <v>10.588171661845099</v>
      </c>
      <c r="D138" s="9">
        <f t="shared" si="13"/>
        <v>0.10588171661845099</v>
      </c>
      <c r="E138" s="10">
        <f t="shared" si="14"/>
        <v>4.7471080163566069E-6</v>
      </c>
      <c r="F138">
        <f>Source_CBS_bodemgebruik!AL140</f>
        <v>0</v>
      </c>
      <c r="G138" s="7">
        <f t="shared" si="15"/>
        <v>0</v>
      </c>
      <c r="H138">
        <f>Source_CBS_bodemgebruik!H140</f>
        <v>3207.873504269307</v>
      </c>
      <c r="I138" s="9">
        <f t="shared" si="16"/>
        <v>32.078735042693069</v>
      </c>
      <c r="J138">
        <f>Source_CBS_bodemgebruik!Q140</f>
        <v>1022.7055795381216</v>
      </c>
      <c r="K138" s="11">
        <f t="shared" si="17"/>
        <v>10.227055795381215</v>
      </c>
    </row>
    <row r="139" spans="1:11" x14ac:dyDescent="0.2">
      <c r="A139" s="13" t="str">
        <f>Source_CBS_bodemgebruik!A141</f>
        <v>2023GM0479</v>
      </c>
      <c r="B139" s="13" t="str">
        <f t="shared" si="12"/>
        <v>GM0479</v>
      </c>
      <c r="C139">
        <f>Source_CBS_bodemgebruik!N141</f>
        <v>3594.3576317213265</v>
      </c>
      <c r="D139" s="9">
        <f t="shared" si="13"/>
        <v>35.943576317213264</v>
      </c>
      <c r="E139" s="10">
        <f t="shared" si="14"/>
        <v>1.6114967222040188E-3</v>
      </c>
      <c r="F139">
        <f>Source_CBS_bodemgebruik!AL141</f>
        <v>8.7890688067046003</v>
      </c>
      <c r="G139" s="7">
        <f t="shared" si="15"/>
        <v>5.5748341125544474E-4</v>
      </c>
      <c r="H139">
        <f>Source_CBS_bodemgebruik!H141</f>
        <v>7374.0614898965732</v>
      </c>
      <c r="I139" s="9">
        <f t="shared" si="16"/>
        <v>73.740614898965731</v>
      </c>
      <c r="J139">
        <f>Source_CBS_bodemgebruik!Q141</f>
        <v>0</v>
      </c>
      <c r="K139" s="11">
        <f t="shared" si="17"/>
        <v>0</v>
      </c>
    </row>
    <row r="140" spans="1:11" x14ac:dyDescent="0.2">
      <c r="A140" s="13" t="str">
        <f>Source_CBS_bodemgebruik!A142</f>
        <v>2023GM0482</v>
      </c>
      <c r="B140" s="13" t="str">
        <f t="shared" si="12"/>
        <v>GM0482</v>
      </c>
      <c r="C140">
        <f>Source_CBS_bodemgebruik!N142</f>
        <v>291.73258002609003</v>
      </c>
      <c r="D140" s="9">
        <f t="shared" si="13"/>
        <v>2.9173258002609002</v>
      </c>
      <c r="E140" s="10">
        <f t="shared" si="14"/>
        <v>1.3079558147557614E-4</v>
      </c>
      <c r="F140">
        <f>Source_CBS_bodemgebruik!AL142</f>
        <v>0</v>
      </c>
      <c r="G140" s="7">
        <f t="shared" si="15"/>
        <v>0</v>
      </c>
      <c r="H140">
        <f>Source_CBS_bodemgebruik!H142</f>
        <v>877.26386295683471</v>
      </c>
      <c r="I140" s="9">
        <f t="shared" si="16"/>
        <v>8.7726386295683465</v>
      </c>
      <c r="J140">
        <f>Source_CBS_bodemgebruik!Q142</f>
        <v>0</v>
      </c>
      <c r="K140" s="11">
        <f t="shared" si="17"/>
        <v>0</v>
      </c>
    </row>
    <row r="141" spans="1:11" x14ac:dyDescent="0.2">
      <c r="A141" s="13" t="str">
        <f>Source_CBS_bodemgebruik!A143</f>
        <v>2023GM0484</v>
      </c>
      <c r="B141" s="13" t="str">
        <f t="shared" si="12"/>
        <v>GM0484</v>
      </c>
      <c r="C141">
        <f>Source_CBS_bodemgebruik!N143</f>
        <v>9338.5315180046819</v>
      </c>
      <c r="D141" s="9">
        <f t="shared" si="13"/>
        <v>93.385315180046817</v>
      </c>
      <c r="E141" s="10">
        <f t="shared" si="14"/>
        <v>4.1868435123570439E-3</v>
      </c>
      <c r="F141">
        <f>Source_CBS_bodemgebruik!AL143</f>
        <v>74.274670978810093</v>
      </c>
      <c r="G141" s="7">
        <f t="shared" si="15"/>
        <v>4.7111813387507272E-3</v>
      </c>
      <c r="H141">
        <f>Source_CBS_bodemgebruik!H143</f>
        <v>12592.551873681799</v>
      </c>
      <c r="I141" s="9">
        <f t="shared" si="16"/>
        <v>125.92551873681799</v>
      </c>
      <c r="J141">
        <f>Source_CBS_bodemgebruik!Q143</f>
        <v>0</v>
      </c>
      <c r="K141" s="11">
        <f t="shared" si="17"/>
        <v>0</v>
      </c>
    </row>
    <row r="142" spans="1:11" x14ac:dyDescent="0.2">
      <c r="A142" s="13" t="str">
        <f>Source_CBS_bodemgebruik!A144</f>
        <v>2023GM0489</v>
      </c>
      <c r="B142" s="13" t="str">
        <f t="shared" si="12"/>
        <v>GM0489</v>
      </c>
      <c r="C142">
        <f>Source_CBS_bodemgebruik!N144</f>
        <v>347.24105526117432</v>
      </c>
      <c r="D142" s="9">
        <f t="shared" si="13"/>
        <v>3.472410552611743</v>
      </c>
      <c r="E142" s="10">
        <f t="shared" si="14"/>
        <v>1.5568228865975892E-4</v>
      </c>
      <c r="F142">
        <f>Source_CBS_bodemgebruik!AL144</f>
        <v>19.424663238808904</v>
      </c>
      <c r="G142" s="7">
        <f t="shared" si="15"/>
        <v>1.2320904253928188E-3</v>
      </c>
      <c r="H142">
        <f>Source_CBS_bodemgebruik!H144</f>
        <v>1957.7332271842522</v>
      </c>
      <c r="I142" s="9">
        <f t="shared" si="16"/>
        <v>19.577332271842522</v>
      </c>
      <c r="J142">
        <f>Source_CBS_bodemgebruik!Q144</f>
        <v>0</v>
      </c>
      <c r="K142" s="11">
        <f t="shared" si="17"/>
        <v>0</v>
      </c>
    </row>
    <row r="143" spans="1:11" x14ac:dyDescent="0.2">
      <c r="A143" s="13" t="str">
        <f>Source_CBS_bodemgebruik!A145</f>
        <v>2023GM0498</v>
      </c>
      <c r="B143" s="13" t="str">
        <f t="shared" si="12"/>
        <v>GM0498</v>
      </c>
      <c r="C143">
        <f>Source_CBS_bodemgebruik!N145</f>
        <v>5068.844153437657</v>
      </c>
      <c r="D143" s="9">
        <f t="shared" si="13"/>
        <v>50.688441534376572</v>
      </c>
      <c r="E143" s="10">
        <f t="shared" si="14"/>
        <v>2.2725690027444365E-3</v>
      </c>
      <c r="F143">
        <f>Source_CBS_bodemgebruik!AL145</f>
        <v>40.841903391276695</v>
      </c>
      <c r="G143" s="7">
        <f t="shared" si="15"/>
        <v>2.5905683668519608E-3</v>
      </c>
      <c r="H143">
        <f>Source_CBS_bodemgebruik!H145</f>
        <v>5888.4886834287854</v>
      </c>
      <c r="I143" s="9">
        <f t="shared" si="16"/>
        <v>58.884886834287855</v>
      </c>
      <c r="J143">
        <f>Source_CBS_bodemgebruik!Q145</f>
        <v>0</v>
      </c>
      <c r="K143" s="11">
        <f t="shared" si="17"/>
        <v>0</v>
      </c>
    </row>
    <row r="144" spans="1:11" x14ac:dyDescent="0.2">
      <c r="A144" s="13" t="str">
        <f>Source_CBS_bodemgebruik!A146</f>
        <v>2023GM0502</v>
      </c>
      <c r="B144" s="13" t="str">
        <f t="shared" si="12"/>
        <v>GM0502</v>
      </c>
      <c r="C144">
        <f>Source_CBS_bodemgebruik!N146</f>
        <v>75.160596028947538</v>
      </c>
      <c r="D144" s="9">
        <f t="shared" si="13"/>
        <v>0.75160596028947535</v>
      </c>
      <c r="E144" s="10">
        <f t="shared" si="14"/>
        <v>3.3697552260971003E-5</v>
      </c>
      <c r="F144">
        <f>Source_CBS_bodemgebruik!AL146</f>
        <v>0</v>
      </c>
      <c r="G144" s="7">
        <f t="shared" si="15"/>
        <v>0</v>
      </c>
      <c r="H144">
        <f>Source_CBS_bodemgebruik!H146</f>
        <v>1414.249361314101</v>
      </c>
      <c r="I144" s="9">
        <f t="shared" si="16"/>
        <v>14.14249361314101</v>
      </c>
      <c r="J144">
        <f>Source_CBS_bodemgebruik!Q146</f>
        <v>0</v>
      </c>
      <c r="K144" s="11">
        <f t="shared" si="17"/>
        <v>0</v>
      </c>
    </row>
    <row r="145" spans="1:11" x14ac:dyDescent="0.2">
      <c r="A145" s="13" t="str">
        <f>Source_CBS_bodemgebruik!A147</f>
        <v>2023GM0503</v>
      </c>
      <c r="B145" s="13" t="str">
        <f t="shared" si="12"/>
        <v>GM0503</v>
      </c>
      <c r="C145">
        <f>Source_CBS_bodemgebruik!N147</f>
        <v>208.63086763951364</v>
      </c>
      <c r="D145" s="9">
        <f t="shared" si="13"/>
        <v>2.0863086763951362</v>
      </c>
      <c r="E145" s="10">
        <f t="shared" si="14"/>
        <v>9.3537703756720443E-5</v>
      </c>
      <c r="F145">
        <f>Source_CBS_bodemgebruik!AL147</f>
        <v>0</v>
      </c>
      <c r="G145" s="7">
        <f t="shared" si="15"/>
        <v>0</v>
      </c>
      <c r="H145">
        <f>Source_CBS_bodemgebruik!H147</f>
        <v>2266.4705743726718</v>
      </c>
      <c r="I145" s="9">
        <f t="shared" si="16"/>
        <v>22.664705743726717</v>
      </c>
      <c r="J145">
        <f>Source_CBS_bodemgebruik!Q147</f>
        <v>0</v>
      </c>
      <c r="K145" s="11">
        <f t="shared" si="17"/>
        <v>0</v>
      </c>
    </row>
    <row r="146" spans="1:11" x14ac:dyDescent="0.2">
      <c r="A146" s="13" t="str">
        <f>Source_CBS_bodemgebruik!A148</f>
        <v>2023GM0505</v>
      </c>
      <c r="B146" s="13" t="str">
        <f t="shared" si="12"/>
        <v>GM0505</v>
      </c>
      <c r="C146">
        <f>Source_CBS_bodemgebruik!N148</f>
        <v>2778.0238336877005</v>
      </c>
      <c r="D146" s="9">
        <f t="shared" si="13"/>
        <v>27.780238336877005</v>
      </c>
      <c r="E146" s="10">
        <f t="shared" si="14"/>
        <v>1.2455010772115234E-3</v>
      </c>
      <c r="F146">
        <f>Source_CBS_bodemgebruik!AL148</f>
        <v>6.0750431395723998</v>
      </c>
      <c r="G146" s="7">
        <f t="shared" si="15"/>
        <v>3.8533499366728038E-4</v>
      </c>
      <c r="H146">
        <f>Source_CBS_bodemgebruik!H148</f>
        <v>7755.648952452173</v>
      </c>
      <c r="I146" s="9">
        <f t="shared" si="16"/>
        <v>77.556489524521737</v>
      </c>
      <c r="J146">
        <f>Source_CBS_bodemgebruik!Q148</f>
        <v>0</v>
      </c>
      <c r="K146" s="11">
        <f t="shared" si="17"/>
        <v>0</v>
      </c>
    </row>
    <row r="147" spans="1:11" x14ac:dyDescent="0.2">
      <c r="A147" s="13" t="str">
        <f>Source_CBS_bodemgebruik!A149</f>
        <v>2023GM0512</v>
      </c>
      <c r="B147" s="13" t="str">
        <f t="shared" si="12"/>
        <v>GM0512</v>
      </c>
      <c r="C147">
        <f>Source_CBS_bodemgebruik!N149</f>
        <v>711.39992714291145</v>
      </c>
      <c r="D147" s="9">
        <f t="shared" si="13"/>
        <v>7.1139992714291145</v>
      </c>
      <c r="E147" s="10">
        <f t="shared" si="14"/>
        <v>3.1894952262108748E-4</v>
      </c>
      <c r="F147">
        <f>Source_CBS_bodemgebruik!AL149</f>
        <v>0</v>
      </c>
      <c r="G147" s="7">
        <f t="shared" si="15"/>
        <v>0</v>
      </c>
      <c r="H147">
        <f>Source_CBS_bodemgebruik!H149</f>
        <v>1871.3698779777405</v>
      </c>
      <c r="I147" s="9">
        <f t="shared" si="16"/>
        <v>18.713698779777406</v>
      </c>
      <c r="J147">
        <f>Source_CBS_bodemgebruik!Q149</f>
        <v>0</v>
      </c>
      <c r="K147" s="11">
        <f t="shared" si="17"/>
        <v>0</v>
      </c>
    </row>
    <row r="148" spans="1:11" x14ac:dyDescent="0.2">
      <c r="A148" s="13" t="str">
        <f>Source_CBS_bodemgebruik!A150</f>
        <v>2023GM0513</v>
      </c>
      <c r="B148" s="13" t="str">
        <f t="shared" si="12"/>
        <v>GM0513</v>
      </c>
      <c r="C148">
        <f>Source_CBS_bodemgebruik!N150</f>
        <v>298.48483640896148</v>
      </c>
      <c r="D148" s="9">
        <f t="shared" si="13"/>
        <v>2.9848483640896148</v>
      </c>
      <c r="E148" s="10">
        <f t="shared" si="14"/>
        <v>1.3382289265141692E-4</v>
      </c>
      <c r="F148">
        <f>Source_CBS_bodemgebruik!AL150</f>
        <v>0</v>
      </c>
      <c r="G148" s="7">
        <f t="shared" si="15"/>
        <v>0</v>
      </c>
      <c r="H148">
        <f>Source_CBS_bodemgebruik!H150</f>
        <v>1649.8846295895034</v>
      </c>
      <c r="I148" s="9">
        <f t="shared" si="16"/>
        <v>16.498846295895035</v>
      </c>
      <c r="J148">
        <f>Source_CBS_bodemgebruik!Q150</f>
        <v>0</v>
      </c>
      <c r="K148" s="11">
        <f t="shared" si="17"/>
        <v>0</v>
      </c>
    </row>
    <row r="149" spans="1:11" x14ac:dyDescent="0.2">
      <c r="A149" s="13" t="str">
        <f>Source_CBS_bodemgebruik!A151</f>
        <v>2023GM0518</v>
      </c>
      <c r="B149" s="13" t="str">
        <f t="shared" si="12"/>
        <v>GM0518</v>
      </c>
      <c r="C149">
        <f>Source_CBS_bodemgebruik!N151</f>
        <v>176.75393427219538</v>
      </c>
      <c r="D149" s="9">
        <f t="shared" si="13"/>
        <v>1.7675393427219539</v>
      </c>
      <c r="E149" s="10">
        <f t="shared" si="14"/>
        <v>7.9245977974623326E-5</v>
      </c>
      <c r="F149">
        <f>Source_CBS_bodemgebruik!AL151</f>
        <v>9.1943007230229981</v>
      </c>
      <c r="G149" s="7">
        <f t="shared" si="15"/>
        <v>5.8318693867423456E-4</v>
      </c>
      <c r="H149">
        <f>Source_CBS_bodemgebruik!H151</f>
        <v>8244.1743355257022</v>
      </c>
      <c r="I149" s="9">
        <f t="shared" si="16"/>
        <v>82.441743355257017</v>
      </c>
      <c r="J149">
        <f>Source_CBS_bodemgebruik!Q151</f>
        <v>1252.2265434986859</v>
      </c>
      <c r="K149" s="11">
        <f t="shared" si="17"/>
        <v>12.52226543498686</v>
      </c>
    </row>
    <row r="150" spans="1:11" x14ac:dyDescent="0.2">
      <c r="A150" s="13" t="str">
        <f>Source_CBS_bodemgebruik!A152</f>
        <v>2023GM0523</v>
      </c>
      <c r="B150" s="13" t="str">
        <f t="shared" si="12"/>
        <v>GM0523</v>
      </c>
      <c r="C150">
        <f>Source_CBS_bodemgebruik!N152</f>
        <v>1077.7038092795974</v>
      </c>
      <c r="D150" s="9">
        <f t="shared" si="13"/>
        <v>10.777038092795975</v>
      </c>
      <c r="E150" s="10">
        <f t="shared" si="14"/>
        <v>4.8317845192526057E-4</v>
      </c>
      <c r="F150">
        <f>Source_CBS_bodemgebruik!AL152</f>
        <v>0</v>
      </c>
      <c r="G150" s="7">
        <f t="shared" si="15"/>
        <v>0</v>
      </c>
      <c r="H150">
        <f>Source_CBS_bodemgebruik!H152</f>
        <v>1685.7726296777662</v>
      </c>
      <c r="I150" s="9">
        <f t="shared" si="16"/>
        <v>16.857726296777663</v>
      </c>
      <c r="J150">
        <f>Source_CBS_bodemgebruik!Q152</f>
        <v>0</v>
      </c>
      <c r="K150" s="11">
        <f t="shared" si="17"/>
        <v>0</v>
      </c>
    </row>
    <row r="151" spans="1:11" x14ac:dyDescent="0.2">
      <c r="A151" s="13" t="str">
        <f>Source_CBS_bodemgebruik!A153</f>
        <v>2023GM0531</v>
      </c>
      <c r="B151" s="13" t="str">
        <f t="shared" si="12"/>
        <v>GM0531</v>
      </c>
      <c r="C151">
        <f>Source_CBS_bodemgebruik!N153</f>
        <v>234.77819112961953</v>
      </c>
      <c r="D151" s="9">
        <f t="shared" si="13"/>
        <v>2.3477819112961953</v>
      </c>
      <c r="E151" s="10">
        <f t="shared" si="14"/>
        <v>1.0526061238630355E-4</v>
      </c>
      <c r="F151">
        <f>Source_CBS_bodemgebruik!AL153</f>
        <v>28.222232498607749</v>
      </c>
      <c r="G151" s="7">
        <f t="shared" si="15"/>
        <v>1.7901130134020716E-3</v>
      </c>
      <c r="H151">
        <f>Source_CBS_bodemgebruik!H153</f>
        <v>1018.6659609621266</v>
      </c>
      <c r="I151" s="9">
        <f t="shared" si="16"/>
        <v>10.186659609621266</v>
      </c>
      <c r="J151">
        <f>Source_CBS_bodemgebruik!Q153</f>
        <v>0</v>
      </c>
      <c r="K151" s="11">
        <f t="shared" si="17"/>
        <v>0</v>
      </c>
    </row>
    <row r="152" spans="1:11" x14ac:dyDescent="0.2">
      <c r="A152" s="13" t="str">
        <f>Source_CBS_bodemgebruik!A154</f>
        <v>2023GM0532</v>
      </c>
      <c r="B152" s="13" t="str">
        <f t="shared" si="12"/>
        <v>GM0532</v>
      </c>
      <c r="C152">
        <f>Source_CBS_bodemgebruik!N154</f>
        <v>716.6686820677462</v>
      </c>
      <c r="D152" s="9">
        <f t="shared" si="13"/>
        <v>7.1666868206774623</v>
      </c>
      <c r="E152" s="10">
        <f t="shared" si="14"/>
        <v>3.2131171975376442E-4</v>
      </c>
      <c r="F152">
        <f>Source_CBS_bodemgebruik!AL154</f>
        <v>24.721497621123262</v>
      </c>
      <c r="G152" s="7">
        <f t="shared" si="15"/>
        <v>1.5680642771454827E-3</v>
      </c>
      <c r="H152">
        <f>Source_CBS_bodemgebruik!H154</f>
        <v>1448.271731834199</v>
      </c>
      <c r="I152" s="9">
        <f t="shared" si="16"/>
        <v>14.48271731834199</v>
      </c>
      <c r="J152">
        <f>Source_CBS_bodemgebruik!Q154</f>
        <v>0</v>
      </c>
      <c r="K152" s="11">
        <f t="shared" si="17"/>
        <v>0</v>
      </c>
    </row>
    <row r="153" spans="1:11" x14ac:dyDescent="0.2">
      <c r="A153" s="13" t="str">
        <f>Source_CBS_bodemgebruik!A155</f>
        <v>2023GM0534</v>
      </c>
      <c r="B153" s="13" t="str">
        <f t="shared" si="12"/>
        <v>GM0534</v>
      </c>
      <c r="C153">
        <f>Source_CBS_bodemgebruik!N155</f>
        <v>746.34289259606101</v>
      </c>
      <c r="D153" s="9">
        <f t="shared" si="13"/>
        <v>7.4634289259606099</v>
      </c>
      <c r="E153" s="10">
        <f t="shared" si="14"/>
        <v>3.3461587529419972E-4</v>
      </c>
      <c r="F153">
        <f>Source_CBS_bodemgebruik!AL155</f>
        <v>11.2132909046656</v>
      </c>
      <c r="G153" s="7">
        <f t="shared" si="15"/>
        <v>7.1124982662144887E-4</v>
      </c>
      <c r="H153">
        <f>Source_CBS_bodemgebruik!H155</f>
        <v>1285.5136969305643</v>
      </c>
      <c r="I153" s="9">
        <f t="shared" si="16"/>
        <v>12.855136969305642</v>
      </c>
      <c r="J153">
        <f>Source_CBS_bodemgebruik!Q155</f>
        <v>0</v>
      </c>
      <c r="K153" s="11">
        <f t="shared" si="17"/>
        <v>0</v>
      </c>
    </row>
    <row r="154" spans="1:11" x14ac:dyDescent="0.2">
      <c r="A154" s="13" t="str">
        <f>Source_CBS_bodemgebruik!A156</f>
        <v>2023GM0537</v>
      </c>
      <c r="B154" s="13" t="str">
        <f t="shared" si="12"/>
        <v>GM0537</v>
      </c>
      <c r="C154">
        <f>Source_CBS_bodemgebruik!N156</f>
        <v>618.47245583206018</v>
      </c>
      <c r="D154" s="9">
        <f t="shared" si="13"/>
        <v>6.1847245583206014</v>
      </c>
      <c r="E154" s="10">
        <f t="shared" si="14"/>
        <v>2.7728635752629168E-4</v>
      </c>
      <c r="F154">
        <f>Source_CBS_bodemgebruik!AL156</f>
        <v>110.38095265586232</v>
      </c>
      <c r="G154" s="7">
        <f t="shared" si="15"/>
        <v>7.0013731121634252E-3</v>
      </c>
      <c r="H154">
        <f>Source_CBS_bodemgebruik!H156</f>
        <v>2480.6679359597902</v>
      </c>
      <c r="I154" s="9">
        <f t="shared" si="16"/>
        <v>24.806679359597901</v>
      </c>
      <c r="J154">
        <f>Source_CBS_bodemgebruik!Q156</f>
        <v>478.77862288750913</v>
      </c>
      <c r="K154" s="11">
        <f t="shared" si="17"/>
        <v>4.787786228875091</v>
      </c>
    </row>
    <row r="155" spans="1:11" x14ac:dyDescent="0.2">
      <c r="A155" s="13" t="str">
        <f>Source_CBS_bodemgebruik!A157</f>
        <v>2023GM0542</v>
      </c>
      <c r="B155" s="13" t="str">
        <f t="shared" si="12"/>
        <v>GM0542</v>
      </c>
      <c r="C155">
        <f>Source_CBS_bodemgebruik!N157</f>
        <v>41.330670143927115</v>
      </c>
      <c r="D155" s="9">
        <f t="shared" si="13"/>
        <v>0.41330670143927117</v>
      </c>
      <c r="E155" s="10">
        <f t="shared" si="14"/>
        <v>1.8530220497713106E-5</v>
      </c>
      <c r="F155">
        <f>Source_CBS_bodemgebruik!AL157</f>
        <v>0</v>
      </c>
      <c r="G155" s="7">
        <f t="shared" si="15"/>
        <v>0</v>
      </c>
      <c r="H155">
        <f>Source_CBS_bodemgebruik!H157</f>
        <v>767.36574001028782</v>
      </c>
      <c r="I155" s="9">
        <f t="shared" si="16"/>
        <v>7.6736574001028783</v>
      </c>
      <c r="J155">
        <f>Source_CBS_bodemgebruik!Q157</f>
        <v>0</v>
      </c>
      <c r="K155" s="11">
        <f t="shared" si="17"/>
        <v>0</v>
      </c>
    </row>
    <row r="156" spans="1:11" x14ac:dyDescent="0.2">
      <c r="A156" s="13" t="str">
        <f>Source_CBS_bodemgebruik!A158</f>
        <v>2023GM0546</v>
      </c>
      <c r="B156" s="13" t="str">
        <f t="shared" si="12"/>
        <v>GM0546</v>
      </c>
      <c r="C156">
        <f>Source_CBS_bodemgebruik!N158</f>
        <v>215.68463157632817</v>
      </c>
      <c r="D156" s="9">
        <f t="shared" si="13"/>
        <v>2.1568463157632816</v>
      </c>
      <c r="E156" s="10">
        <f t="shared" si="14"/>
        <v>9.6700193032428345E-5</v>
      </c>
      <c r="F156">
        <f>Source_CBS_bodemgebruik!AL158</f>
        <v>0</v>
      </c>
      <c r="G156" s="7">
        <f t="shared" si="15"/>
        <v>0</v>
      </c>
      <c r="H156">
        <f>Source_CBS_bodemgebruik!H158</f>
        <v>2185.2276839843666</v>
      </c>
      <c r="I156" s="9">
        <f t="shared" si="16"/>
        <v>21.852276839843668</v>
      </c>
      <c r="J156">
        <f>Source_CBS_bodemgebruik!Q158</f>
        <v>0</v>
      </c>
      <c r="K156" s="11">
        <f t="shared" si="17"/>
        <v>0</v>
      </c>
    </row>
    <row r="157" spans="1:11" x14ac:dyDescent="0.2">
      <c r="A157" s="13" t="str">
        <f>Source_CBS_bodemgebruik!A159</f>
        <v>2023GM0547</v>
      </c>
      <c r="B157" s="13" t="str">
        <f t="shared" si="12"/>
        <v>GM0547</v>
      </c>
      <c r="C157">
        <f>Source_CBS_bodemgebruik!N159</f>
        <v>520.55787249715149</v>
      </c>
      <c r="D157" s="9">
        <f t="shared" si="13"/>
        <v>5.2055787249715149</v>
      </c>
      <c r="E157" s="10">
        <f t="shared" si="14"/>
        <v>2.3338726726670255E-4</v>
      </c>
      <c r="F157">
        <f>Source_CBS_bodemgebruik!AL159</f>
        <v>0</v>
      </c>
      <c r="G157" s="7">
        <f t="shared" si="15"/>
        <v>0</v>
      </c>
      <c r="H157">
        <f>Source_CBS_bodemgebruik!H159</f>
        <v>1149.6369052972273</v>
      </c>
      <c r="I157" s="9">
        <f t="shared" si="16"/>
        <v>11.496369052972273</v>
      </c>
      <c r="J157">
        <f>Source_CBS_bodemgebruik!Q159</f>
        <v>0</v>
      </c>
      <c r="K157" s="11">
        <f t="shared" si="17"/>
        <v>0</v>
      </c>
    </row>
    <row r="158" spans="1:11" x14ac:dyDescent="0.2">
      <c r="A158" s="13" t="str">
        <f>Source_CBS_bodemgebruik!A160</f>
        <v>2023GM0553</v>
      </c>
      <c r="B158" s="13" t="str">
        <f t="shared" si="12"/>
        <v>GM0553</v>
      </c>
      <c r="C158">
        <f>Source_CBS_bodemgebruik!N160</f>
        <v>819.66495584660947</v>
      </c>
      <c r="D158" s="9">
        <f t="shared" si="13"/>
        <v>8.1966495584660954</v>
      </c>
      <c r="E158" s="10">
        <f t="shared" si="14"/>
        <v>3.6748913853064321E-4</v>
      </c>
      <c r="F158">
        <f>Source_CBS_bodemgebruik!AL160</f>
        <v>9.4355518819243986</v>
      </c>
      <c r="G158" s="7">
        <f t="shared" si="15"/>
        <v>5.9848930141499334E-4</v>
      </c>
      <c r="H158">
        <f>Source_CBS_bodemgebruik!H160</f>
        <v>1569.8628687520124</v>
      </c>
      <c r="I158" s="9">
        <f t="shared" si="16"/>
        <v>15.698628687520124</v>
      </c>
      <c r="J158">
        <f>Source_CBS_bodemgebruik!Q160</f>
        <v>0</v>
      </c>
      <c r="K158" s="11">
        <f t="shared" si="17"/>
        <v>0</v>
      </c>
    </row>
    <row r="159" spans="1:11" x14ac:dyDescent="0.2">
      <c r="A159" s="13" t="str">
        <f>Source_CBS_bodemgebruik!A161</f>
        <v>2023GM0556</v>
      </c>
      <c r="B159" s="13" t="str">
        <f t="shared" si="12"/>
        <v>GM0556</v>
      </c>
      <c r="C159">
        <f>Source_CBS_bodemgebruik!N161</f>
        <v>162.93798700883036</v>
      </c>
      <c r="D159" s="9">
        <f t="shared" si="13"/>
        <v>1.6293798700883035</v>
      </c>
      <c r="E159" s="10">
        <f t="shared" si="14"/>
        <v>7.3051726870457598E-5</v>
      </c>
      <c r="F159">
        <f>Source_CBS_bodemgebruik!AL161</f>
        <v>5.2268017953224</v>
      </c>
      <c r="G159" s="7">
        <f t="shared" si="15"/>
        <v>3.3153174231491129E-4</v>
      </c>
      <c r="H159">
        <f>Source_CBS_bodemgebruik!H161</f>
        <v>844.48119826037976</v>
      </c>
      <c r="I159" s="9">
        <f t="shared" si="16"/>
        <v>8.4448119826037971</v>
      </c>
      <c r="J159">
        <f>Source_CBS_bodemgebruik!Q161</f>
        <v>0</v>
      </c>
      <c r="K159" s="11">
        <f t="shared" si="17"/>
        <v>0</v>
      </c>
    </row>
    <row r="160" spans="1:11" x14ac:dyDescent="0.2">
      <c r="A160" s="13" t="str">
        <f>Source_CBS_bodemgebruik!A162</f>
        <v>2023GM0569</v>
      </c>
      <c r="B160" s="13" t="str">
        <f t="shared" si="12"/>
        <v>GM0569</v>
      </c>
      <c r="C160">
        <f>Source_CBS_bodemgebruik!N162</f>
        <v>6065.3452935560899</v>
      </c>
      <c r="D160" s="9">
        <f t="shared" si="13"/>
        <v>60.6534529355609</v>
      </c>
      <c r="E160" s="10">
        <f t="shared" si="14"/>
        <v>2.71934099526995E-3</v>
      </c>
      <c r="F160">
        <f>Source_CBS_bodemgebruik!AL162</f>
        <v>162.17370014734371</v>
      </c>
      <c r="G160" s="7">
        <f t="shared" si="15"/>
        <v>1.0286544520517535E-2</v>
      </c>
      <c r="H160">
        <f>Source_CBS_bodemgebruik!H162</f>
        <v>7846.4440180716801</v>
      </c>
      <c r="I160" s="9">
        <f t="shared" si="16"/>
        <v>78.464440180716807</v>
      </c>
      <c r="J160">
        <f>Source_CBS_bodemgebruik!Q162</f>
        <v>0</v>
      </c>
      <c r="K160" s="11">
        <f t="shared" si="17"/>
        <v>0</v>
      </c>
    </row>
    <row r="161" spans="1:11" x14ac:dyDescent="0.2">
      <c r="A161" s="13" t="str">
        <f>Source_CBS_bodemgebruik!A163</f>
        <v>2023GM0575</v>
      </c>
      <c r="B161" s="13" t="str">
        <f t="shared" si="12"/>
        <v>GM0575</v>
      </c>
      <c r="C161">
        <f>Source_CBS_bodemgebruik!N163</f>
        <v>2232.2168099840883</v>
      </c>
      <c r="D161" s="9">
        <f t="shared" si="13"/>
        <v>22.322168099840884</v>
      </c>
      <c r="E161" s="10">
        <f t="shared" si="14"/>
        <v>1.0007935884820058E-3</v>
      </c>
      <c r="F161">
        <f>Source_CBS_bodemgebruik!AL163</f>
        <v>27.76188437090898</v>
      </c>
      <c r="G161" s="7">
        <f t="shared" si="15"/>
        <v>1.7609135099917906E-3</v>
      </c>
      <c r="H161">
        <f>Source_CBS_bodemgebruik!H163</f>
        <v>5833.7582826424368</v>
      </c>
      <c r="I161" s="9">
        <f t="shared" si="16"/>
        <v>58.337582826424367</v>
      </c>
      <c r="J161">
        <f>Source_CBS_bodemgebruik!Q163</f>
        <v>1554.4459230618022</v>
      </c>
      <c r="K161" s="11">
        <f t="shared" si="17"/>
        <v>15.544459230618022</v>
      </c>
    </row>
    <row r="162" spans="1:11" x14ac:dyDescent="0.2">
      <c r="A162" s="13" t="str">
        <f>Source_CBS_bodemgebruik!A164</f>
        <v>2023GM0579</v>
      </c>
      <c r="B162" s="13" t="str">
        <f t="shared" si="12"/>
        <v>GM0579</v>
      </c>
      <c r="C162">
        <f>Source_CBS_bodemgebruik!N164</f>
        <v>110.30543953467149</v>
      </c>
      <c r="D162" s="9">
        <f t="shared" si="13"/>
        <v>1.1030543953467149</v>
      </c>
      <c r="E162" s="10">
        <f t="shared" si="14"/>
        <v>4.9454415076184149E-5</v>
      </c>
      <c r="F162">
        <f>Source_CBS_bodemgebruik!AL164</f>
        <v>5.1119441700904993</v>
      </c>
      <c r="G162" s="7">
        <f t="shared" si="15"/>
        <v>3.2424641754033064E-4</v>
      </c>
      <c r="H162">
        <f>Source_CBS_bodemgebruik!H164</f>
        <v>729.401087779877</v>
      </c>
      <c r="I162" s="9">
        <f t="shared" si="16"/>
        <v>7.2940108777987698</v>
      </c>
      <c r="J162">
        <f>Source_CBS_bodemgebruik!Q164</f>
        <v>0</v>
      </c>
      <c r="K162" s="11">
        <f t="shared" si="17"/>
        <v>0</v>
      </c>
    </row>
    <row r="163" spans="1:11" x14ac:dyDescent="0.2">
      <c r="A163" s="13" t="str">
        <f>Source_CBS_bodemgebruik!A165</f>
        <v>2023GM0589</v>
      </c>
      <c r="B163" s="13" t="str">
        <f t="shared" si="12"/>
        <v>GM0589</v>
      </c>
      <c r="C163">
        <f>Source_CBS_bodemgebruik!N165</f>
        <v>3578.3161484426987</v>
      </c>
      <c r="D163" s="9">
        <f t="shared" si="13"/>
        <v>35.783161484426984</v>
      </c>
      <c r="E163" s="10">
        <f t="shared" si="14"/>
        <v>1.6043046727833774E-3</v>
      </c>
      <c r="F163">
        <f>Source_CBS_bodemgebruik!AL165</f>
        <v>2.4847174870499997</v>
      </c>
      <c r="G163" s="7">
        <f t="shared" si="15"/>
        <v>1.5760358817876375E-4</v>
      </c>
      <c r="H163">
        <f>Source_CBS_bodemgebruik!H165</f>
        <v>3889.647670165125</v>
      </c>
      <c r="I163" s="9">
        <f t="shared" si="16"/>
        <v>38.896476701651252</v>
      </c>
      <c r="J163">
        <f>Source_CBS_bodemgebruik!Q165</f>
        <v>0</v>
      </c>
      <c r="K163" s="11">
        <f t="shared" si="17"/>
        <v>0</v>
      </c>
    </row>
    <row r="164" spans="1:11" x14ac:dyDescent="0.2">
      <c r="A164" s="13" t="str">
        <f>Source_CBS_bodemgebruik!A166</f>
        <v>2023GM0590</v>
      </c>
      <c r="B164" s="13" t="str">
        <f t="shared" si="12"/>
        <v>GM0590</v>
      </c>
      <c r="C164">
        <f>Source_CBS_bodemgebruik!N166</f>
        <v>134.51919358840317</v>
      </c>
      <c r="D164" s="9">
        <f t="shared" si="13"/>
        <v>1.3451919358840316</v>
      </c>
      <c r="E164" s="10">
        <f t="shared" si="14"/>
        <v>6.0310425881974811E-5</v>
      </c>
      <c r="F164">
        <f>Source_CBS_bodemgebruik!AL166</f>
        <v>0</v>
      </c>
      <c r="G164" s="7">
        <f t="shared" si="15"/>
        <v>0</v>
      </c>
      <c r="H164">
        <f>Source_CBS_bodemgebruik!H166</f>
        <v>941.44587294146697</v>
      </c>
      <c r="I164" s="9">
        <f t="shared" si="16"/>
        <v>9.4144587294146689</v>
      </c>
      <c r="J164">
        <f>Source_CBS_bodemgebruik!Q166</f>
        <v>0</v>
      </c>
      <c r="K164" s="11">
        <f t="shared" si="17"/>
        <v>0</v>
      </c>
    </row>
    <row r="165" spans="1:11" x14ac:dyDescent="0.2">
      <c r="A165" s="13" t="str">
        <f>Source_CBS_bodemgebruik!A167</f>
        <v>2023GM0597</v>
      </c>
      <c r="B165" s="13" t="str">
        <f t="shared" si="12"/>
        <v>GM0597</v>
      </c>
      <c r="C165">
        <f>Source_CBS_bodemgebruik!N167</f>
        <v>838.27307102095187</v>
      </c>
      <c r="D165" s="9">
        <f t="shared" si="13"/>
        <v>8.3827307102095183</v>
      </c>
      <c r="E165" s="10">
        <f t="shared" si="14"/>
        <v>3.7583191342460578E-4</v>
      </c>
      <c r="F165">
        <f>Source_CBS_bodemgebruik!AL167</f>
        <v>81.957929715300722</v>
      </c>
      <c r="G165" s="7">
        <f t="shared" si="15"/>
        <v>5.1985241260445935E-3</v>
      </c>
      <c r="H165">
        <f>Source_CBS_bodemgebruik!H167</f>
        <v>2347.5635983516927</v>
      </c>
      <c r="I165" s="9">
        <f t="shared" si="16"/>
        <v>23.475635983516927</v>
      </c>
      <c r="J165">
        <f>Source_CBS_bodemgebruik!Q167</f>
        <v>0</v>
      </c>
      <c r="K165" s="11">
        <f t="shared" si="17"/>
        <v>0</v>
      </c>
    </row>
    <row r="166" spans="1:11" x14ac:dyDescent="0.2">
      <c r="A166" s="13" t="str">
        <f>Source_CBS_bodemgebruik!A168</f>
        <v>2023GM0599</v>
      </c>
      <c r="B166" s="13" t="str">
        <f t="shared" si="12"/>
        <v>GM0599</v>
      </c>
      <c r="C166">
        <f>Source_CBS_bodemgebruik!N168</f>
        <v>2319.0115586050242</v>
      </c>
      <c r="D166" s="9">
        <f t="shared" si="13"/>
        <v>23.190115586050243</v>
      </c>
      <c r="E166" s="10">
        <f t="shared" si="14"/>
        <v>1.0397072045542541E-3</v>
      </c>
      <c r="F166">
        <f>Source_CBS_bodemgebruik!AL168</f>
        <v>150.10845543559267</v>
      </c>
      <c r="G166" s="7">
        <f t="shared" si="15"/>
        <v>9.5212559640770935E-3</v>
      </c>
      <c r="H166">
        <f>Source_CBS_bodemgebruik!H168</f>
        <v>21842.384208055719</v>
      </c>
      <c r="I166" s="9">
        <f t="shared" si="16"/>
        <v>218.42384208055719</v>
      </c>
      <c r="J166">
        <f>Source_CBS_bodemgebruik!Q168</f>
        <v>3011.2469722496025</v>
      </c>
      <c r="K166" s="11">
        <f t="shared" si="17"/>
        <v>30.112469722496026</v>
      </c>
    </row>
    <row r="167" spans="1:11" x14ac:dyDescent="0.2">
      <c r="A167" s="13" t="str">
        <f>Source_CBS_bodemgebruik!A169</f>
        <v>2023GM0603</v>
      </c>
      <c r="B167" s="13" t="str">
        <f t="shared" si="12"/>
        <v>GM0603</v>
      </c>
      <c r="C167">
        <f>Source_CBS_bodemgebruik!N169</f>
        <v>81.476292713890146</v>
      </c>
      <c r="D167" s="9">
        <f t="shared" si="13"/>
        <v>0.81476292713890142</v>
      </c>
      <c r="E167" s="10">
        <f t="shared" si="14"/>
        <v>3.6529135967722442E-5</v>
      </c>
      <c r="F167">
        <f>Source_CBS_bodemgebruik!AL169</f>
        <v>8.3798117548050985</v>
      </c>
      <c r="G167" s="7">
        <f t="shared" si="15"/>
        <v>5.3152457279473809E-4</v>
      </c>
      <c r="H167">
        <f>Source_CBS_bodemgebruik!H169</f>
        <v>1397.6406873865631</v>
      </c>
      <c r="I167" s="9">
        <f t="shared" si="16"/>
        <v>13.976406873865631</v>
      </c>
      <c r="J167">
        <f>Source_CBS_bodemgebruik!Q169</f>
        <v>0</v>
      </c>
      <c r="K167" s="11">
        <f t="shared" si="17"/>
        <v>0</v>
      </c>
    </row>
    <row r="168" spans="1:11" x14ac:dyDescent="0.2">
      <c r="A168" s="13" t="str">
        <f>Source_CBS_bodemgebruik!A170</f>
        <v>2023GM0606</v>
      </c>
      <c r="B168" s="13" t="str">
        <f t="shared" si="12"/>
        <v>GM0606</v>
      </c>
      <c r="C168">
        <f>Source_CBS_bodemgebruik!N170</f>
        <v>275.9298091266237</v>
      </c>
      <c r="D168" s="9">
        <f t="shared" si="13"/>
        <v>2.759298091266237</v>
      </c>
      <c r="E168" s="10">
        <f t="shared" si="14"/>
        <v>1.2371055652383385E-4</v>
      </c>
      <c r="F168">
        <f>Source_CBS_bodemgebruik!AL170</f>
        <v>0</v>
      </c>
      <c r="G168" s="7">
        <f t="shared" si="15"/>
        <v>0</v>
      </c>
      <c r="H168">
        <f>Source_CBS_bodemgebruik!H170</f>
        <v>1780.7586076247374</v>
      </c>
      <c r="I168" s="9">
        <f t="shared" si="16"/>
        <v>17.807586076247375</v>
      </c>
      <c r="J168">
        <f>Source_CBS_bodemgebruik!Q170</f>
        <v>0</v>
      </c>
      <c r="K168" s="11">
        <f t="shared" si="17"/>
        <v>0</v>
      </c>
    </row>
    <row r="169" spans="1:11" x14ac:dyDescent="0.2">
      <c r="A169" s="13" t="str">
        <f>Source_CBS_bodemgebruik!A171</f>
        <v>2023GM0610</v>
      </c>
      <c r="B169" s="13" t="str">
        <f t="shared" si="12"/>
        <v>GM0610</v>
      </c>
      <c r="C169">
        <f>Source_CBS_bodemgebruik!N171</f>
        <v>648.34640603700882</v>
      </c>
      <c r="D169" s="9">
        <f t="shared" si="13"/>
        <v>6.4834640603700882</v>
      </c>
      <c r="E169" s="10">
        <f t="shared" si="14"/>
        <v>2.9068006448791807E-4</v>
      </c>
      <c r="F169">
        <f>Source_CBS_bodemgebruik!AL171</f>
        <v>0</v>
      </c>
      <c r="G169" s="7">
        <f t="shared" si="15"/>
        <v>0</v>
      </c>
      <c r="H169">
        <f>Source_CBS_bodemgebruik!H171</f>
        <v>1284.662053233722</v>
      </c>
      <c r="I169" s="9">
        <f t="shared" si="16"/>
        <v>12.846620532337219</v>
      </c>
      <c r="J169">
        <f>Source_CBS_bodemgebruik!Q171</f>
        <v>0</v>
      </c>
      <c r="K169" s="11">
        <f t="shared" si="17"/>
        <v>0</v>
      </c>
    </row>
    <row r="170" spans="1:11" x14ac:dyDescent="0.2">
      <c r="A170" s="13" t="str">
        <f>Source_CBS_bodemgebruik!A172</f>
        <v>2023GM0613</v>
      </c>
      <c r="B170" s="13" t="str">
        <f t="shared" si="12"/>
        <v>GM0613</v>
      </c>
      <c r="C170">
        <f>Source_CBS_bodemgebruik!N172</f>
        <v>1091.2898559213502</v>
      </c>
      <c r="D170" s="9">
        <f t="shared" si="13"/>
        <v>10.912898559213502</v>
      </c>
      <c r="E170" s="10">
        <f t="shared" si="14"/>
        <v>4.8926962922984354E-4</v>
      </c>
      <c r="F170">
        <f>Source_CBS_bodemgebruik!AL172</f>
        <v>4.7444885615569996</v>
      </c>
      <c r="G170" s="7">
        <f t="shared" si="15"/>
        <v>3.0093901027849031E-4</v>
      </c>
      <c r="H170">
        <f>Source_CBS_bodemgebruik!H172</f>
        <v>2166.5085701468292</v>
      </c>
      <c r="I170" s="9">
        <f t="shared" si="16"/>
        <v>21.665085701468293</v>
      </c>
      <c r="J170">
        <f>Source_CBS_bodemgebruik!Q172</f>
        <v>0</v>
      </c>
      <c r="K170" s="11">
        <f t="shared" si="17"/>
        <v>0</v>
      </c>
    </row>
    <row r="171" spans="1:11" x14ac:dyDescent="0.2">
      <c r="A171" s="13" t="str">
        <f>Source_CBS_bodemgebruik!A173</f>
        <v>2023GM0622</v>
      </c>
      <c r="B171" s="13" t="str">
        <f t="shared" si="12"/>
        <v>GM0622</v>
      </c>
      <c r="C171">
        <f>Source_CBS_bodemgebruik!N173</f>
        <v>408.48190491694766</v>
      </c>
      <c r="D171" s="9">
        <f t="shared" si="13"/>
        <v>4.0848190491694769</v>
      </c>
      <c r="E171" s="10">
        <f t="shared" si="14"/>
        <v>1.8313905245374062E-4</v>
      </c>
      <c r="F171">
        <f>Source_CBS_bodemgebruik!AL173</f>
        <v>0</v>
      </c>
      <c r="G171" s="7">
        <f t="shared" si="15"/>
        <v>0</v>
      </c>
      <c r="H171">
        <f>Source_CBS_bodemgebruik!H173</f>
        <v>2336.3111658885441</v>
      </c>
      <c r="I171" s="9">
        <f t="shared" si="16"/>
        <v>23.36311165888544</v>
      </c>
      <c r="J171">
        <f>Source_CBS_bodemgebruik!Q173</f>
        <v>0</v>
      </c>
      <c r="K171" s="11">
        <f t="shared" si="17"/>
        <v>0</v>
      </c>
    </row>
    <row r="172" spans="1:11" x14ac:dyDescent="0.2">
      <c r="A172" s="13" t="str">
        <f>Source_CBS_bodemgebruik!A174</f>
        <v>2023GM0626</v>
      </c>
      <c r="B172" s="13" t="str">
        <f t="shared" si="12"/>
        <v>GM0626</v>
      </c>
      <c r="C172">
        <f>Source_CBS_bodemgebruik!N174</f>
        <v>449.23288341065268</v>
      </c>
      <c r="D172" s="9">
        <f t="shared" si="13"/>
        <v>4.4923288341065266</v>
      </c>
      <c r="E172" s="10">
        <f t="shared" si="14"/>
        <v>2.0140937360644206E-4</v>
      </c>
      <c r="F172">
        <f>Source_CBS_bodemgebruik!AL174</f>
        <v>1.9845156766619998</v>
      </c>
      <c r="G172" s="7">
        <f t="shared" si="15"/>
        <v>1.2587619842860821E-4</v>
      </c>
      <c r="H172">
        <f>Source_CBS_bodemgebruik!H174</f>
        <v>1111.3149500134434</v>
      </c>
      <c r="I172" s="9">
        <f t="shared" si="16"/>
        <v>11.113149500134433</v>
      </c>
      <c r="J172">
        <f>Source_CBS_bodemgebruik!Q174</f>
        <v>0</v>
      </c>
      <c r="K172" s="11">
        <f t="shared" si="17"/>
        <v>0</v>
      </c>
    </row>
    <row r="173" spans="1:11" x14ac:dyDescent="0.2">
      <c r="A173" s="13" t="str">
        <f>Source_CBS_bodemgebruik!A175</f>
        <v>2023GM0627</v>
      </c>
      <c r="B173" s="13" t="str">
        <f t="shared" si="12"/>
        <v>GM0627</v>
      </c>
      <c r="C173">
        <f>Source_CBS_bodemgebruik!N175</f>
        <v>1727.0449975235779</v>
      </c>
      <c r="D173" s="9">
        <f t="shared" si="13"/>
        <v>17.270449975235778</v>
      </c>
      <c r="E173" s="10">
        <f t="shared" si="14"/>
        <v>7.7430451773805899E-4</v>
      </c>
      <c r="F173">
        <f>Source_CBS_bodemgebruik!AL175</f>
        <v>121.33317733802465</v>
      </c>
      <c r="G173" s="7">
        <f t="shared" si="15"/>
        <v>7.6960637228445381E-3</v>
      </c>
      <c r="H173">
        <f>Source_CBS_bodemgebruik!H175</f>
        <v>2775.4262898080456</v>
      </c>
      <c r="I173" s="9">
        <f t="shared" si="16"/>
        <v>27.754262898080455</v>
      </c>
      <c r="J173">
        <f>Source_CBS_bodemgebruik!Q175</f>
        <v>0</v>
      </c>
      <c r="K173" s="11">
        <f t="shared" si="17"/>
        <v>0</v>
      </c>
    </row>
    <row r="174" spans="1:11" x14ac:dyDescent="0.2">
      <c r="A174" s="13" t="str">
        <f>Source_CBS_bodemgebruik!A176</f>
        <v>2023GM0629</v>
      </c>
      <c r="B174" s="13" t="str">
        <f t="shared" si="12"/>
        <v>GM0629</v>
      </c>
      <c r="C174">
        <f>Source_CBS_bodemgebruik!N176</f>
        <v>1200.1746818896486</v>
      </c>
      <c r="D174" s="9">
        <f t="shared" si="13"/>
        <v>12.001746818896486</v>
      </c>
      <c r="E174" s="10">
        <f t="shared" si="14"/>
        <v>5.3808712546258121E-4</v>
      </c>
      <c r="F174">
        <f>Source_CBS_bodemgebruik!AL176</f>
        <v>0</v>
      </c>
      <c r="G174" s="7">
        <f t="shared" si="15"/>
        <v>0</v>
      </c>
      <c r="H174">
        <f>Source_CBS_bodemgebruik!H176</f>
        <v>5117.5797610308409</v>
      </c>
      <c r="I174" s="9">
        <f t="shared" si="16"/>
        <v>51.175797610308408</v>
      </c>
      <c r="J174">
        <f>Source_CBS_bodemgebruik!Q176</f>
        <v>945.34944287501185</v>
      </c>
      <c r="K174" s="11">
        <f t="shared" si="17"/>
        <v>9.453494428750119</v>
      </c>
    </row>
    <row r="175" spans="1:11" x14ac:dyDescent="0.2">
      <c r="A175" s="13" t="str">
        <f>Source_CBS_bodemgebruik!A177</f>
        <v>2023GM0632</v>
      </c>
      <c r="B175" s="13" t="str">
        <f t="shared" si="12"/>
        <v>GM0632</v>
      </c>
      <c r="C175">
        <f>Source_CBS_bodemgebruik!N177</f>
        <v>7175.6681199771174</v>
      </c>
      <c r="D175" s="9">
        <f t="shared" si="13"/>
        <v>71.75668119977118</v>
      </c>
      <c r="E175" s="10">
        <f t="shared" si="14"/>
        <v>3.2171438793165514E-3</v>
      </c>
      <c r="F175">
        <f>Source_CBS_bodemgebruik!AL177</f>
        <v>85.248759247856611</v>
      </c>
      <c r="G175" s="7">
        <f t="shared" si="15"/>
        <v>5.4072587387796692E-3</v>
      </c>
      <c r="H175">
        <f>Source_CBS_bodemgebruik!H177</f>
        <v>8855.4933079039511</v>
      </c>
      <c r="I175" s="9">
        <f t="shared" si="16"/>
        <v>88.554933079039515</v>
      </c>
      <c r="J175">
        <f>Source_CBS_bodemgebruik!Q177</f>
        <v>0</v>
      </c>
      <c r="K175" s="11">
        <f t="shared" si="17"/>
        <v>0</v>
      </c>
    </row>
    <row r="176" spans="1:11" x14ac:dyDescent="0.2">
      <c r="A176" s="13" t="str">
        <f>Source_CBS_bodemgebruik!A178</f>
        <v>2023GM0637</v>
      </c>
      <c r="B176" s="13" t="str">
        <f t="shared" si="12"/>
        <v>GM0637</v>
      </c>
      <c r="C176">
        <f>Source_CBS_bodemgebruik!N178</f>
        <v>701.23472418291703</v>
      </c>
      <c r="D176" s="9">
        <f t="shared" si="13"/>
        <v>7.0123472418291701</v>
      </c>
      <c r="E176" s="10">
        <f t="shared" si="14"/>
        <v>3.1439204867748195E-4</v>
      </c>
      <c r="F176">
        <f>Source_CBS_bodemgebruik!AL178</f>
        <v>5.3709827012599999E-2</v>
      </c>
      <c r="G176" s="7">
        <f t="shared" si="15"/>
        <v>3.4067701868579124E-6</v>
      </c>
      <c r="H176">
        <f>Source_CBS_bodemgebruik!H178</f>
        <v>3442.9411935612275</v>
      </c>
      <c r="I176" s="9">
        <f t="shared" si="16"/>
        <v>34.429411935612272</v>
      </c>
      <c r="J176">
        <f>Source_CBS_bodemgebruik!Q178</f>
        <v>0</v>
      </c>
      <c r="K176" s="11">
        <f t="shared" si="17"/>
        <v>0</v>
      </c>
    </row>
    <row r="177" spans="1:11" x14ac:dyDescent="0.2">
      <c r="A177" s="13" t="str">
        <f>Source_CBS_bodemgebruik!A179</f>
        <v>2023GM0638</v>
      </c>
      <c r="B177" s="13" t="str">
        <f t="shared" si="12"/>
        <v>GM0638</v>
      </c>
      <c r="C177">
        <f>Source_CBS_bodemgebruik!N179</f>
        <v>1750.4050345714013</v>
      </c>
      <c r="D177" s="9">
        <f t="shared" si="13"/>
        <v>17.504050345714013</v>
      </c>
      <c r="E177" s="10">
        <f t="shared" si="14"/>
        <v>7.8477777248625287E-4</v>
      </c>
      <c r="F177">
        <f>Source_CBS_bodemgebruik!AL179</f>
        <v>5.331249974516501</v>
      </c>
      <c r="G177" s="7">
        <f t="shared" si="15"/>
        <v>3.3815680448214897E-4</v>
      </c>
      <c r="H177">
        <f>Source_CBS_bodemgebruik!H179</f>
        <v>2115.5302027283315</v>
      </c>
      <c r="I177" s="9">
        <f t="shared" si="16"/>
        <v>21.155302027283316</v>
      </c>
      <c r="J177">
        <f>Source_CBS_bodemgebruik!Q179</f>
        <v>0</v>
      </c>
      <c r="K177" s="11">
        <f t="shared" si="17"/>
        <v>0</v>
      </c>
    </row>
    <row r="178" spans="1:11" x14ac:dyDescent="0.2">
      <c r="A178" s="13" t="str">
        <f>Source_CBS_bodemgebruik!A180</f>
        <v>2023GM0642</v>
      </c>
      <c r="B178" s="13" t="str">
        <f t="shared" si="12"/>
        <v>GM0642</v>
      </c>
      <c r="C178">
        <f>Source_CBS_bodemgebruik!N180</f>
        <v>541.9071857304433</v>
      </c>
      <c r="D178" s="9">
        <f t="shared" si="13"/>
        <v>5.4190718573044334</v>
      </c>
      <c r="E178" s="10">
        <f t="shared" si="14"/>
        <v>2.4295903274522022E-4</v>
      </c>
      <c r="F178">
        <f>Source_CBS_bodemgebruik!AL180</f>
        <v>8.4945174736298004</v>
      </c>
      <c r="G178" s="7">
        <f t="shared" si="15"/>
        <v>5.3880026227075197E-4</v>
      </c>
      <c r="H178">
        <f>Source_CBS_bodemgebruik!H180</f>
        <v>2030.7321276012658</v>
      </c>
      <c r="I178" s="9">
        <f t="shared" si="16"/>
        <v>20.307321276012658</v>
      </c>
      <c r="J178">
        <f>Source_CBS_bodemgebruik!Q180</f>
        <v>0</v>
      </c>
      <c r="K178" s="11">
        <f t="shared" si="17"/>
        <v>0</v>
      </c>
    </row>
    <row r="179" spans="1:11" x14ac:dyDescent="0.2">
      <c r="A179" s="13" t="str">
        <f>Source_CBS_bodemgebruik!A181</f>
        <v>2023GM0654</v>
      </c>
      <c r="B179" s="13" t="str">
        <f t="shared" si="12"/>
        <v>GM0654</v>
      </c>
      <c r="C179">
        <f>Source_CBS_bodemgebruik!N181</f>
        <v>11663.885880063926</v>
      </c>
      <c r="D179" s="9">
        <f t="shared" si="13"/>
        <v>116.63885880063927</v>
      </c>
      <c r="E179" s="10">
        <f t="shared" si="14"/>
        <v>5.2293944536852509E-3</v>
      </c>
      <c r="F179">
        <f>Source_CBS_bodemgebruik!AL181</f>
        <v>0</v>
      </c>
      <c r="G179" s="7">
        <f t="shared" si="15"/>
        <v>0</v>
      </c>
      <c r="H179">
        <f>Source_CBS_bodemgebruik!H181</f>
        <v>14147.138525996315</v>
      </c>
      <c r="I179" s="9">
        <f t="shared" si="16"/>
        <v>141.47138525996314</v>
      </c>
      <c r="J179">
        <f>Source_CBS_bodemgebruik!Q181</f>
        <v>5174.0096592514437</v>
      </c>
      <c r="K179" s="11">
        <f t="shared" si="17"/>
        <v>51.74009659251444</v>
      </c>
    </row>
    <row r="180" spans="1:11" x14ac:dyDescent="0.2">
      <c r="A180" s="13" t="str">
        <f>Source_CBS_bodemgebruik!A182</f>
        <v>2023GM0664</v>
      </c>
      <c r="B180" s="13" t="str">
        <f t="shared" si="12"/>
        <v>GM0664</v>
      </c>
      <c r="C180">
        <f>Source_CBS_bodemgebruik!N182</f>
        <v>6932.5287362814788</v>
      </c>
      <c r="D180" s="9">
        <f t="shared" si="13"/>
        <v>69.325287362814791</v>
      </c>
      <c r="E180" s="10">
        <f t="shared" si="14"/>
        <v>3.1081346042220789E-3</v>
      </c>
      <c r="F180">
        <f>Source_CBS_bodemgebruik!AL182</f>
        <v>0</v>
      </c>
      <c r="G180" s="7">
        <f t="shared" si="15"/>
        <v>0</v>
      </c>
      <c r="H180">
        <f>Source_CBS_bodemgebruik!H182</f>
        <v>9247.5490921089022</v>
      </c>
      <c r="I180" s="9">
        <f t="shared" si="16"/>
        <v>92.475490921089019</v>
      </c>
      <c r="J180">
        <f>Source_CBS_bodemgebruik!Q182</f>
        <v>312.01733050502747</v>
      </c>
      <c r="K180" s="11">
        <f t="shared" si="17"/>
        <v>3.1201733050502747</v>
      </c>
    </row>
    <row r="181" spans="1:11" x14ac:dyDescent="0.2">
      <c r="A181" s="13" t="str">
        <f>Source_CBS_bodemgebruik!A183</f>
        <v>2023GM0668</v>
      </c>
      <c r="B181" s="13" t="str">
        <f t="shared" si="12"/>
        <v>GM0668</v>
      </c>
      <c r="C181">
        <f>Source_CBS_bodemgebruik!N183</f>
        <v>6197.4435547039375</v>
      </c>
      <c r="D181" s="9">
        <f t="shared" si="13"/>
        <v>61.974435547039377</v>
      </c>
      <c r="E181" s="10">
        <f t="shared" si="14"/>
        <v>2.7785660186704906E-3</v>
      </c>
      <c r="F181">
        <f>Source_CBS_bodemgebruik!AL183</f>
        <v>8.9170739475826988</v>
      </c>
      <c r="G181" s="7">
        <f t="shared" si="15"/>
        <v>5.6560267214239102E-4</v>
      </c>
      <c r="H181">
        <f>Source_CBS_bodemgebruik!H183</f>
        <v>7618.6741513368215</v>
      </c>
      <c r="I181" s="9">
        <f t="shared" si="16"/>
        <v>76.186741513368219</v>
      </c>
      <c r="J181">
        <f>Source_CBS_bodemgebruik!Q183</f>
        <v>0</v>
      </c>
      <c r="K181" s="11">
        <f t="shared" si="17"/>
        <v>0</v>
      </c>
    </row>
    <row r="182" spans="1:11" x14ac:dyDescent="0.2">
      <c r="A182" s="13" t="str">
        <f>Source_CBS_bodemgebruik!A184</f>
        <v>2023GM0677</v>
      </c>
      <c r="B182" s="13" t="str">
        <f t="shared" si="12"/>
        <v>GM0677</v>
      </c>
      <c r="C182">
        <f>Source_CBS_bodemgebruik!N184</f>
        <v>15419.30040090414</v>
      </c>
      <c r="D182" s="9">
        <f t="shared" si="13"/>
        <v>154.1930040090414</v>
      </c>
      <c r="E182" s="10">
        <f t="shared" si="14"/>
        <v>6.9130995300644123E-3</v>
      </c>
      <c r="F182">
        <f>Source_CBS_bodemgebruik!AL184</f>
        <v>0</v>
      </c>
      <c r="G182" s="7">
        <f t="shared" si="15"/>
        <v>0</v>
      </c>
      <c r="H182">
        <f>Source_CBS_bodemgebruik!H184</f>
        <v>20126.175456169352</v>
      </c>
      <c r="I182" s="9">
        <f t="shared" si="16"/>
        <v>201.26175456169352</v>
      </c>
      <c r="J182">
        <f>Source_CBS_bodemgebruik!Q184</f>
        <v>4728.5853683252371</v>
      </c>
      <c r="K182" s="11">
        <f t="shared" si="17"/>
        <v>47.28585368325237</v>
      </c>
    </row>
    <row r="183" spans="1:11" x14ac:dyDescent="0.2">
      <c r="A183" s="13" t="str">
        <f>Source_CBS_bodemgebruik!A185</f>
        <v>2023GM0678</v>
      </c>
      <c r="B183" s="13" t="str">
        <f t="shared" si="12"/>
        <v>GM0678</v>
      </c>
      <c r="C183">
        <f>Source_CBS_bodemgebruik!N185</f>
        <v>2776.3022170847039</v>
      </c>
      <c r="D183" s="9">
        <f t="shared" si="13"/>
        <v>27.763022170847037</v>
      </c>
      <c r="E183" s="10">
        <f t="shared" si="14"/>
        <v>1.2447292064638447E-3</v>
      </c>
      <c r="F183">
        <f>Source_CBS_bodemgebruik!AL185</f>
        <v>88.634583628176898</v>
      </c>
      <c r="G183" s="7">
        <f t="shared" si="15"/>
        <v>5.6220187966384639E-3</v>
      </c>
      <c r="H183">
        <f>Source_CBS_bodemgebruik!H185</f>
        <v>3713.4501012687747</v>
      </c>
      <c r="I183" s="9">
        <f t="shared" si="16"/>
        <v>37.13450101268775</v>
      </c>
      <c r="J183">
        <f>Source_CBS_bodemgebruik!Q185</f>
        <v>1151.4021110197375</v>
      </c>
      <c r="K183" s="11">
        <f t="shared" si="17"/>
        <v>11.514021110197374</v>
      </c>
    </row>
    <row r="184" spans="1:11" x14ac:dyDescent="0.2">
      <c r="A184" s="13" t="str">
        <f>Source_CBS_bodemgebruik!A186</f>
        <v>2023GM0687</v>
      </c>
      <c r="B184" s="13" t="str">
        <f t="shared" si="12"/>
        <v>GM0687</v>
      </c>
      <c r="C184">
        <f>Source_CBS_bodemgebruik!N186</f>
        <v>2840.0538226649742</v>
      </c>
      <c r="D184" s="9">
        <f t="shared" si="13"/>
        <v>28.400538226649743</v>
      </c>
      <c r="E184" s="10">
        <f t="shared" si="14"/>
        <v>1.273311644260567E-3</v>
      </c>
      <c r="F184">
        <f>Source_CBS_bodemgebruik!AL186</f>
        <v>10.5719632658029</v>
      </c>
      <c r="G184" s="7">
        <f t="shared" si="15"/>
        <v>6.7057094155311911E-4</v>
      </c>
      <c r="H184">
        <f>Source_CBS_bodemgebruik!H186</f>
        <v>4837.7411119913468</v>
      </c>
      <c r="I184" s="9">
        <f t="shared" si="16"/>
        <v>48.377411119913468</v>
      </c>
      <c r="J184">
        <f>Source_CBS_bodemgebruik!Q186</f>
        <v>0</v>
      </c>
      <c r="K184" s="11">
        <f t="shared" si="17"/>
        <v>0</v>
      </c>
    </row>
    <row r="185" spans="1:11" x14ac:dyDescent="0.2">
      <c r="A185" s="13" t="str">
        <f>Source_CBS_bodemgebruik!A187</f>
        <v>2023GM0703</v>
      </c>
      <c r="B185" s="13" t="str">
        <f t="shared" si="12"/>
        <v>GM0703</v>
      </c>
      <c r="C185">
        <f>Source_CBS_bodemgebruik!N187</f>
        <v>7483.8578036741519</v>
      </c>
      <c r="D185" s="9">
        <f t="shared" si="13"/>
        <v>74.838578036741524</v>
      </c>
      <c r="E185" s="10">
        <f t="shared" si="14"/>
        <v>3.3553178497394728E-3</v>
      </c>
      <c r="F185">
        <f>Source_CBS_bodemgebruik!AL187</f>
        <v>129.41905000988302</v>
      </c>
      <c r="G185" s="7">
        <f t="shared" si="15"/>
        <v>8.2089439811770387E-3</v>
      </c>
      <c r="H185">
        <f>Source_CBS_bodemgebruik!H187</f>
        <v>10176.005235897857</v>
      </c>
      <c r="I185" s="9">
        <f t="shared" si="16"/>
        <v>101.76005235897857</v>
      </c>
      <c r="J185">
        <f>Source_CBS_bodemgebruik!Q187</f>
        <v>12952.333747125442</v>
      </c>
      <c r="K185" s="11">
        <f t="shared" si="17"/>
        <v>129.52333747125442</v>
      </c>
    </row>
    <row r="186" spans="1:11" x14ac:dyDescent="0.2">
      <c r="A186" s="13" t="str">
        <f>Source_CBS_bodemgebruik!A188</f>
        <v>2023GM0715</v>
      </c>
      <c r="B186" s="13" t="str">
        <f t="shared" si="12"/>
        <v>GM0715</v>
      </c>
      <c r="C186">
        <f>Source_CBS_bodemgebruik!N188</f>
        <v>19692.188747256649</v>
      </c>
      <c r="D186" s="9">
        <f t="shared" si="13"/>
        <v>196.92188747256648</v>
      </c>
      <c r="E186" s="10">
        <f t="shared" si="14"/>
        <v>8.8288091700072964E-3</v>
      </c>
      <c r="F186">
        <f>Source_CBS_bodemgebruik!AL188</f>
        <v>119.98584178550891</v>
      </c>
      <c r="G186" s="7">
        <f t="shared" si="15"/>
        <v>7.6106033360343632E-3</v>
      </c>
      <c r="H186">
        <f>Source_CBS_bodemgebruik!H188</f>
        <v>25012.696944939791</v>
      </c>
      <c r="I186" s="9">
        <f t="shared" si="16"/>
        <v>250.1269694493979</v>
      </c>
      <c r="J186">
        <f>Source_CBS_bodemgebruik!Q188</f>
        <v>5678.0498612498041</v>
      </c>
      <c r="K186" s="11">
        <f t="shared" si="17"/>
        <v>56.780498612498043</v>
      </c>
    </row>
    <row r="187" spans="1:11" x14ac:dyDescent="0.2">
      <c r="A187" s="13" t="str">
        <f>Source_CBS_bodemgebruik!A189</f>
        <v>2023GM0716</v>
      </c>
      <c r="B187" s="13" t="str">
        <f t="shared" si="12"/>
        <v>GM0716</v>
      </c>
      <c r="C187">
        <f>Source_CBS_bodemgebruik!N189</f>
        <v>11976.6714440386</v>
      </c>
      <c r="D187" s="9">
        <f t="shared" si="13"/>
        <v>119.76671444038601</v>
      </c>
      <c r="E187" s="10">
        <f t="shared" si="14"/>
        <v>5.3696289441681946E-3</v>
      </c>
      <c r="F187">
        <f>Source_CBS_bodemgebruik!AL189</f>
        <v>58.339656730643284</v>
      </c>
      <c r="G187" s="7">
        <f t="shared" si="15"/>
        <v>3.7004364809228411E-3</v>
      </c>
      <c r="H187">
        <f>Source_CBS_bodemgebruik!H189</f>
        <v>14671.827172796302</v>
      </c>
      <c r="I187" s="9">
        <f t="shared" si="16"/>
        <v>146.71827172796301</v>
      </c>
      <c r="J187">
        <f>Source_CBS_bodemgebruik!Q189</f>
        <v>9167.9182788379458</v>
      </c>
      <c r="K187" s="11">
        <f t="shared" si="17"/>
        <v>91.679182788379464</v>
      </c>
    </row>
    <row r="188" spans="1:11" x14ac:dyDescent="0.2">
      <c r="A188" s="13" t="str">
        <f>Source_CBS_bodemgebruik!A190</f>
        <v>2023GM0717</v>
      </c>
      <c r="B188" s="13" t="str">
        <f t="shared" si="12"/>
        <v>GM0717</v>
      </c>
      <c r="C188">
        <f>Source_CBS_bodemgebruik!N190</f>
        <v>9408.7580447047931</v>
      </c>
      <c r="D188" s="9">
        <f t="shared" si="13"/>
        <v>94.087580447047927</v>
      </c>
      <c r="E188" s="10">
        <f t="shared" si="14"/>
        <v>4.2183289206509334E-3</v>
      </c>
      <c r="F188">
        <f>Source_CBS_bodemgebruik!AL190</f>
        <v>12.471731807455901</v>
      </c>
      <c r="G188" s="7">
        <f t="shared" si="15"/>
        <v>7.9107169885616669E-4</v>
      </c>
      <c r="H188">
        <f>Source_CBS_bodemgebruik!H190</f>
        <v>13298.760972867645</v>
      </c>
      <c r="I188" s="9">
        <f t="shared" si="16"/>
        <v>132.98760972867646</v>
      </c>
      <c r="J188">
        <f>Source_CBS_bodemgebruik!Q190</f>
        <v>6391.8137882753326</v>
      </c>
      <c r="K188" s="11">
        <f t="shared" si="17"/>
        <v>63.918137882753328</v>
      </c>
    </row>
    <row r="189" spans="1:11" x14ac:dyDescent="0.2">
      <c r="A189" s="13" t="str">
        <f>Source_CBS_bodemgebruik!A191</f>
        <v>2023GM0718</v>
      </c>
      <c r="B189" s="13" t="str">
        <f t="shared" si="12"/>
        <v>GM0718</v>
      </c>
      <c r="C189">
        <f>Source_CBS_bodemgebruik!N191</f>
        <v>1231.5865574517327</v>
      </c>
      <c r="D189" s="9">
        <f t="shared" si="13"/>
        <v>12.315865574517327</v>
      </c>
      <c r="E189" s="10">
        <f t="shared" si="14"/>
        <v>5.5217034691496002E-4</v>
      </c>
      <c r="F189">
        <f>Source_CBS_bodemgebruik!AL191</f>
        <v>0</v>
      </c>
      <c r="G189" s="7">
        <f t="shared" si="15"/>
        <v>0</v>
      </c>
      <c r="H189">
        <f>Source_CBS_bodemgebruik!H191</f>
        <v>3436.9799467935195</v>
      </c>
      <c r="I189" s="9">
        <f t="shared" si="16"/>
        <v>34.369799467935195</v>
      </c>
      <c r="J189">
        <f>Source_CBS_bodemgebruik!Q191</f>
        <v>30938.197168126426</v>
      </c>
      <c r="K189" s="11">
        <f t="shared" si="17"/>
        <v>309.38197168126425</v>
      </c>
    </row>
    <row r="190" spans="1:11" x14ac:dyDescent="0.2">
      <c r="A190" s="13" t="str">
        <f>Source_CBS_bodemgebruik!A192</f>
        <v>2023GM0736</v>
      </c>
      <c r="B190" s="13" t="str">
        <f t="shared" si="12"/>
        <v>GM0736</v>
      </c>
      <c r="C190">
        <f>Source_CBS_bodemgebruik!N192</f>
        <v>8040.5993075657634</v>
      </c>
      <c r="D190" s="9">
        <f t="shared" si="13"/>
        <v>80.405993075657634</v>
      </c>
      <c r="E190" s="10">
        <f t="shared" si="14"/>
        <v>3.6049277106832787E-3</v>
      </c>
      <c r="F190">
        <f>Source_CBS_bodemgebruik!AL192</f>
        <v>36.793714050059009</v>
      </c>
      <c r="G190" s="7">
        <f t="shared" si="15"/>
        <v>2.3337950438773584E-3</v>
      </c>
      <c r="H190">
        <f>Source_CBS_bodemgebruik!H192</f>
        <v>9967.8007899269178</v>
      </c>
      <c r="I190" s="9">
        <f t="shared" si="16"/>
        <v>99.678007899269176</v>
      </c>
      <c r="J190">
        <f>Source_CBS_bodemgebruik!Q192</f>
        <v>0</v>
      </c>
      <c r="K190" s="11">
        <f t="shared" si="17"/>
        <v>0</v>
      </c>
    </row>
    <row r="191" spans="1:11" x14ac:dyDescent="0.2">
      <c r="A191" s="13" t="str">
        <f>Source_CBS_bodemgebruik!A193</f>
        <v>2023GM0737</v>
      </c>
      <c r="B191" s="13" t="str">
        <f t="shared" si="12"/>
        <v>GM0737</v>
      </c>
      <c r="C191">
        <f>Source_CBS_bodemgebruik!N193</f>
        <v>12016.582801032355</v>
      </c>
      <c r="D191" s="9">
        <f t="shared" si="13"/>
        <v>120.16582801032355</v>
      </c>
      <c r="E191" s="10">
        <f t="shared" si="14"/>
        <v>5.3875228288519372E-3</v>
      </c>
      <c r="F191">
        <f>Source_CBS_bodemgebruik!AL193</f>
        <v>0</v>
      </c>
      <c r="G191" s="7">
        <f t="shared" si="15"/>
        <v>0</v>
      </c>
      <c r="H191">
        <f>Source_CBS_bodemgebruik!H193</f>
        <v>14863.227168692911</v>
      </c>
      <c r="I191" s="9">
        <f t="shared" si="16"/>
        <v>148.6322716869291</v>
      </c>
      <c r="J191">
        <f>Source_CBS_bodemgebruik!Q193</f>
        <v>0</v>
      </c>
      <c r="K191" s="11">
        <f t="shared" si="17"/>
        <v>0</v>
      </c>
    </row>
    <row r="192" spans="1:11" x14ac:dyDescent="0.2">
      <c r="A192" s="13" t="str">
        <f>Source_CBS_bodemgebruik!A194</f>
        <v>2023GM0743</v>
      </c>
      <c r="B192" s="13" t="str">
        <f t="shared" si="12"/>
        <v>GM0743</v>
      </c>
      <c r="C192">
        <f>Source_CBS_bodemgebruik!N194</f>
        <v>4587.9823398899744</v>
      </c>
      <c r="D192" s="9">
        <f t="shared" si="13"/>
        <v>45.879823398899745</v>
      </c>
      <c r="E192" s="10">
        <f t="shared" si="14"/>
        <v>2.0569790932912502E-3</v>
      </c>
      <c r="F192">
        <f>Source_CBS_bodemgebruik!AL194</f>
        <v>154.35674226334513</v>
      </c>
      <c r="G192" s="7">
        <f t="shared" si="15"/>
        <v>9.790721306175719E-3</v>
      </c>
      <c r="H192">
        <f>Source_CBS_bodemgebruik!H194</f>
        <v>7021.1320655465079</v>
      </c>
      <c r="I192" s="9">
        <f t="shared" si="16"/>
        <v>70.211320655465073</v>
      </c>
      <c r="J192">
        <f>Source_CBS_bodemgebruik!Q194</f>
        <v>0</v>
      </c>
      <c r="K192" s="11">
        <f t="shared" si="17"/>
        <v>0</v>
      </c>
    </row>
    <row r="193" spans="1:11" x14ac:dyDescent="0.2">
      <c r="A193" s="13" t="str">
        <f>Source_CBS_bodemgebruik!A195</f>
        <v>2023GM0744</v>
      </c>
      <c r="B193" s="13" t="str">
        <f t="shared" si="12"/>
        <v>GM0744</v>
      </c>
      <c r="C193">
        <f>Source_CBS_bodemgebruik!N195</f>
        <v>6280.5504733055677</v>
      </c>
      <c r="D193" s="9">
        <f t="shared" si="13"/>
        <v>62.805504733055677</v>
      </c>
      <c r="E193" s="10">
        <f t="shared" si="14"/>
        <v>2.8158262305473108E-3</v>
      </c>
      <c r="F193">
        <f>Source_CBS_bodemgebruik!AL195</f>
        <v>4.6365205460380006</v>
      </c>
      <c r="G193" s="7">
        <f t="shared" si="15"/>
        <v>2.9409068778588483E-4</v>
      </c>
      <c r="H193">
        <f>Source_CBS_bodemgebruik!H195</f>
        <v>7612.4566310967512</v>
      </c>
      <c r="I193" s="9">
        <f t="shared" si="16"/>
        <v>76.124566310967509</v>
      </c>
      <c r="J193">
        <f>Source_CBS_bodemgebruik!Q195</f>
        <v>0</v>
      </c>
      <c r="K193" s="11">
        <f t="shared" si="17"/>
        <v>0</v>
      </c>
    </row>
    <row r="194" spans="1:11" x14ac:dyDescent="0.2">
      <c r="A194" s="13" t="str">
        <f>Source_CBS_bodemgebruik!A196</f>
        <v>2023GM0748</v>
      </c>
      <c r="B194" s="13" t="str">
        <f t="shared" si="12"/>
        <v>GM0748</v>
      </c>
      <c r="C194">
        <f>Source_CBS_bodemgebruik!N196</f>
        <v>3329.3888855412247</v>
      </c>
      <c r="D194" s="9">
        <f t="shared" si="13"/>
        <v>33.293888855412249</v>
      </c>
      <c r="E194" s="10">
        <f t="shared" si="14"/>
        <v>1.4927004560263389E-3</v>
      </c>
      <c r="F194">
        <f>Source_CBS_bodemgebruik!AL196</f>
        <v>41.859421796041829</v>
      </c>
      <c r="G194" s="7">
        <f t="shared" si="15"/>
        <v>2.6551087230351949E-3</v>
      </c>
      <c r="H194">
        <f>Source_CBS_bodemgebruik!H196</f>
        <v>7996.9802861501394</v>
      </c>
      <c r="I194" s="9">
        <f t="shared" si="16"/>
        <v>79.969802861501392</v>
      </c>
      <c r="J194">
        <f>Source_CBS_bodemgebruik!Q196</f>
        <v>0</v>
      </c>
      <c r="K194" s="11">
        <f t="shared" si="17"/>
        <v>0</v>
      </c>
    </row>
    <row r="195" spans="1:11" x14ac:dyDescent="0.2">
      <c r="A195" s="13" t="str">
        <f>Source_CBS_bodemgebruik!A197</f>
        <v>2023GM0753</v>
      </c>
      <c r="B195" s="13" t="str">
        <f t="shared" ref="B195:B258" si="18">RIGHT(A195,6)</f>
        <v>GM0753</v>
      </c>
      <c r="C195">
        <f>Source_CBS_bodemgebruik!N197</f>
        <v>1480.0787365309784</v>
      </c>
      <c r="D195" s="9">
        <f t="shared" ref="D195:D258" si="19">C195/100</f>
        <v>14.800787365309784</v>
      </c>
      <c r="E195" s="10">
        <f t="shared" ref="E195:E258" si="20">D195/SUM(D$2:D$343)</f>
        <v>6.6357949789801532E-4</v>
      </c>
      <c r="F195">
        <f>Source_CBS_bodemgebruik!AL197</f>
        <v>0</v>
      </c>
      <c r="G195" s="7">
        <f t="shared" ref="G195:G258" si="21">F195/SUM(F$2:F$343)</f>
        <v>0</v>
      </c>
      <c r="H195">
        <f>Source_CBS_bodemgebruik!H197</f>
        <v>3388.8595099105041</v>
      </c>
      <c r="I195" s="9">
        <f t="shared" ref="I195:I258" si="22">H195/100</f>
        <v>33.888595099105039</v>
      </c>
      <c r="J195">
        <f>Source_CBS_bodemgebruik!Q197</f>
        <v>0</v>
      </c>
      <c r="K195" s="11">
        <f t="shared" ref="K195:K258" si="23">J195/100</f>
        <v>0</v>
      </c>
    </row>
    <row r="196" spans="1:11" x14ac:dyDescent="0.2">
      <c r="A196" s="13" t="str">
        <f>Source_CBS_bodemgebruik!A198</f>
        <v>2023GM0755</v>
      </c>
      <c r="B196" s="13" t="str">
        <f t="shared" si="18"/>
        <v>GM0755</v>
      </c>
      <c r="C196">
        <f>Source_CBS_bodemgebruik!N198</f>
        <v>2891.7915191156526</v>
      </c>
      <c r="D196" s="9">
        <f t="shared" si="19"/>
        <v>28.917915191156524</v>
      </c>
      <c r="E196" s="10">
        <f t="shared" si="20"/>
        <v>1.2965077579440924E-3</v>
      </c>
      <c r="F196">
        <f>Source_CBS_bodemgebruik!AL198</f>
        <v>22.771102407134904</v>
      </c>
      <c r="G196" s="7">
        <f t="shared" si="21"/>
        <v>1.444352311622914E-3</v>
      </c>
      <c r="H196">
        <f>Source_CBS_bodemgebruik!H198</f>
        <v>3449.9204836138438</v>
      </c>
      <c r="I196" s="9">
        <f t="shared" si="22"/>
        <v>34.499204836138439</v>
      </c>
      <c r="J196">
        <f>Source_CBS_bodemgebruik!Q198</f>
        <v>0</v>
      </c>
      <c r="K196" s="11">
        <f t="shared" si="23"/>
        <v>0</v>
      </c>
    </row>
    <row r="197" spans="1:11" x14ac:dyDescent="0.2">
      <c r="A197" s="13" t="str">
        <f>Source_CBS_bodemgebruik!A199</f>
        <v>2023GM0757</v>
      </c>
      <c r="B197" s="13" t="str">
        <f t="shared" si="18"/>
        <v>GM0757</v>
      </c>
      <c r="C197">
        <f>Source_CBS_bodemgebruik!N199</f>
        <v>3967.1449985230183</v>
      </c>
      <c r="D197" s="9">
        <f t="shared" si="19"/>
        <v>39.671449985230183</v>
      </c>
      <c r="E197" s="10">
        <f t="shared" si="20"/>
        <v>1.7786324613909676E-3</v>
      </c>
      <c r="F197">
        <f>Source_CBS_bodemgebruik!AL199</f>
        <v>9.6188741795292003</v>
      </c>
      <c r="G197" s="7">
        <f t="shared" si="21"/>
        <v>6.1011728409160525E-4</v>
      </c>
      <c r="H197">
        <f>Source_CBS_bodemgebruik!H199</f>
        <v>6901.286060523038</v>
      </c>
      <c r="I197" s="9">
        <f t="shared" si="22"/>
        <v>69.012860605230387</v>
      </c>
      <c r="J197">
        <f>Source_CBS_bodemgebruik!Q199</f>
        <v>0</v>
      </c>
      <c r="K197" s="11">
        <f t="shared" si="23"/>
        <v>0</v>
      </c>
    </row>
    <row r="198" spans="1:11" x14ac:dyDescent="0.2">
      <c r="A198" s="13" t="str">
        <f>Source_CBS_bodemgebruik!A200</f>
        <v>2023GM0758</v>
      </c>
      <c r="B198" s="13" t="str">
        <f t="shared" si="18"/>
        <v>GM0758</v>
      </c>
      <c r="C198">
        <f>Source_CBS_bodemgebruik!N200</f>
        <v>5611.7209650110808</v>
      </c>
      <c r="D198" s="9">
        <f t="shared" si="19"/>
        <v>56.117209650110809</v>
      </c>
      <c r="E198" s="10">
        <f t="shared" si="20"/>
        <v>2.5159627581933571E-3</v>
      </c>
      <c r="F198">
        <f>Source_CBS_bodemgebruik!AL200</f>
        <v>113.71403894740112</v>
      </c>
      <c r="G198" s="7">
        <f t="shared" si="21"/>
        <v>7.2127880363927546E-3</v>
      </c>
      <c r="H198">
        <f>Source_CBS_bodemgebruik!H200</f>
        <v>12569.177392806185</v>
      </c>
      <c r="I198" s="9">
        <f t="shared" si="22"/>
        <v>125.69177392806185</v>
      </c>
      <c r="J198">
        <f>Source_CBS_bodemgebruik!Q200</f>
        <v>0</v>
      </c>
      <c r="K198" s="11">
        <f t="shared" si="23"/>
        <v>0</v>
      </c>
    </row>
    <row r="199" spans="1:11" x14ac:dyDescent="0.2">
      <c r="A199" s="13" t="str">
        <f>Source_CBS_bodemgebruik!A201</f>
        <v>2023GM0762</v>
      </c>
      <c r="B199" s="13" t="str">
        <f t="shared" si="18"/>
        <v>GM0762</v>
      </c>
      <c r="C199">
        <f>Source_CBS_bodemgebruik!N201</f>
        <v>7474.1215986881843</v>
      </c>
      <c r="D199" s="9">
        <f t="shared" si="19"/>
        <v>74.741215986881841</v>
      </c>
      <c r="E199" s="10">
        <f t="shared" si="20"/>
        <v>3.3509527130365676E-3</v>
      </c>
      <c r="F199">
        <f>Source_CBS_bodemgebruik!AL201</f>
        <v>39.717653104645422</v>
      </c>
      <c r="G199" s="7">
        <f t="shared" si="21"/>
        <v>2.5192580951178263E-3</v>
      </c>
      <c r="H199">
        <f>Source_CBS_bodemgebruik!H201</f>
        <v>11675.841898270235</v>
      </c>
      <c r="I199" s="9">
        <f t="shared" si="22"/>
        <v>116.75841898270235</v>
      </c>
      <c r="J199">
        <f>Source_CBS_bodemgebruik!Q201</f>
        <v>0</v>
      </c>
      <c r="K199" s="11">
        <f t="shared" si="23"/>
        <v>0</v>
      </c>
    </row>
    <row r="200" spans="1:11" x14ac:dyDescent="0.2">
      <c r="A200" s="13" t="str">
        <f>Source_CBS_bodemgebruik!A202</f>
        <v>2023GM0765</v>
      </c>
      <c r="B200" s="13" t="str">
        <f t="shared" si="18"/>
        <v>GM0765</v>
      </c>
      <c r="C200">
        <f>Source_CBS_bodemgebruik!N202</f>
        <v>4034.4083434442355</v>
      </c>
      <c r="D200" s="9">
        <f t="shared" si="19"/>
        <v>40.344083434442354</v>
      </c>
      <c r="E200" s="10">
        <f t="shared" si="20"/>
        <v>1.8087893547697462E-3</v>
      </c>
      <c r="F200">
        <f>Source_CBS_bodemgebruik!AL202</f>
        <v>0</v>
      </c>
      <c r="G200" s="7">
        <f t="shared" si="21"/>
        <v>0</v>
      </c>
      <c r="H200">
        <f>Source_CBS_bodemgebruik!H202</f>
        <v>4903.8409560194523</v>
      </c>
      <c r="I200" s="9">
        <f t="shared" si="22"/>
        <v>49.038409560194523</v>
      </c>
      <c r="J200">
        <f>Source_CBS_bodemgebruik!Q202</f>
        <v>0</v>
      </c>
      <c r="K200" s="11">
        <f t="shared" si="23"/>
        <v>0</v>
      </c>
    </row>
    <row r="201" spans="1:11" x14ac:dyDescent="0.2">
      <c r="A201" s="13" t="str">
        <f>Source_CBS_bodemgebruik!A203</f>
        <v>2023GM0766</v>
      </c>
      <c r="B201" s="13" t="str">
        <f t="shared" si="18"/>
        <v>GM0766</v>
      </c>
      <c r="C201">
        <f>Source_CBS_bodemgebruik!N203</f>
        <v>1997.0988155547761</v>
      </c>
      <c r="D201" s="9">
        <f t="shared" si="19"/>
        <v>19.970988155547762</v>
      </c>
      <c r="E201" s="10">
        <f t="shared" si="20"/>
        <v>8.9538062845538494E-4</v>
      </c>
      <c r="F201">
        <f>Source_CBS_bodemgebruik!AL203</f>
        <v>67.192120611526192</v>
      </c>
      <c r="G201" s="7">
        <f t="shared" si="21"/>
        <v>4.2619409896332014E-3</v>
      </c>
      <c r="H201">
        <f>Source_CBS_bodemgebruik!H203</f>
        <v>2923.3524637715423</v>
      </c>
      <c r="I201" s="9">
        <f t="shared" si="22"/>
        <v>29.233524637715423</v>
      </c>
      <c r="J201">
        <f>Source_CBS_bodemgebruik!Q203</f>
        <v>0</v>
      </c>
      <c r="K201" s="11">
        <f t="shared" si="23"/>
        <v>0</v>
      </c>
    </row>
    <row r="202" spans="1:11" x14ac:dyDescent="0.2">
      <c r="A202" s="13" t="str">
        <f>Source_CBS_bodemgebruik!A204</f>
        <v>2023GM0770</v>
      </c>
      <c r="B202" s="13" t="str">
        <f t="shared" si="18"/>
        <v>GM0770</v>
      </c>
      <c r="C202">
        <f>Source_CBS_bodemgebruik!N204</f>
        <v>4994.7112432116382</v>
      </c>
      <c r="D202" s="9">
        <f t="shared" si="19"/>
        <v>49.947112432116384</v>
      </c>
      <c r="E202" s="10">
        <f t="shared" si="20"/>
        <v>2.2393322038287253E-3</v>
      </c>
      <c r="F202">
        <f>Source_CBS_bodemgebruik!AL204</f>
        <v>0</v>
      </c>
      <c r="G202" s="7">
        <f t="shared" si="21"/>
        <v>0</v>
      </c>
      <c r="H202">
        <f>Source_CBS_bodemgebruik!H204</f>
        <v>8246.6347572362974</v>
      </c>
      <c r="I202" s="9">
        <f t="shared" si="22"/>
        <v>82.466347572362977</v>
      </c>
      <c r="J202">
        <f>Source_CBS_bodemgebruik!Q204</f>
        <v>0</v>
      </c>
      <c r="K202" s="11">
        <f t="shared" si="23"/>
        <v>0</v>
      </c>
    </row>
    <row r="203" spans="1:11" x14ac:dyDescent="0.2">
      <c r="A203" s="13" t="str">
        <f>Source_CBS_bodemgebruik!A205</f>
        <v>2023GM0772</v>
      </c>
      <c r="B203" s="13" t="str">
        <f t="shared" si="18"/>
        <v>GM0772</v>
      </c>
      <c r="C203">
        <f>Source_CBS_bodemgebruik!N205</f>
        <v>1294.3546540523357</v>
      </c>
      <c r="D203" s="9">
        <f t="shared" si="19"/>
        <v>12.943546540523357</v>
      </c>
      <c r="E203" s="10">
        <f t="shared" si="20"/>
        <v>5.8031183763312662E-4</v>
      </c>
      <c r="F203">
        <f>Source_CBS_bodemgebruik!AL205</f>
        <v>1.0576954057000001</v>
      </c>
      <c r="G203" s="7">
        <f t="shared" si="21"/>
        <v>6.7088750333715034E-5</v>
      </c>
      <c r="H203">
        <f>Source_CBS_bodemgebruik!H205</f>
        <v>8801.5589266133993</v>
      </c>
      <c r="I203" s="9">
        <f t="shared" si="22"/>
        <v>88.015589266133986</v>
      </c>
      <c r="J203">
        <f>Source_CBS_bodemgebruik!Q205</f>
        <v>0</v>
      </c>
      <c r="K203" s="11">
        <f t="shared" si="23"/>
        <v>0</v>
      </c>
    </row>
    <row r="204" spans="1:11" x14ac:dyDescent="0.2">
      <c r="A204" s="13" t="str">
        <f>Source_CBS_bodemgebruik!A206</f>
        <v>2023GM0777</v>
      </c>
      <c r="B204" s="13" t="str">
        <f t="shared" si="18"/>
        <v>GM0777</v>
      </c>
      <c r="C204">
        <f>Source_CBS_bodemgebruik!N206</f>
        <v>3797.5767092614724</v>
      </c>
      <c r="D204" s="9">
        <f t="shared" si="19"/>
        <v>37.975767092614724</v>
      </c>
      <c r="E204" s="10">
        <f t="shared" si="20"/>
        <v>1.7026081003415465E-3</v>
      </c>
      <c r="F204">
        <f>Source_CBS_bodemgebruik!AL206</f>
        <v>97.456255267294182</v>
      </c>
      <c r="G204" s="7">
        <f t="shared" si="21"/>
        <v>6.1815701787597353E-3</v>
      </c>
      <c r="H204">
        <f>Source_CBS_bodemgebruik!H206</f>
        <v>5529.1716216490322</v>
      </c>
      <c r="I204" s="9">
        <f t="shared" si="22"/>
        <v>55.291716216490322</v>
      </c>
      <c r="J204">
        <f>Source_CBS_bodemgebruik!Q206</f>
        <v>0</v>
      </c>
      <c r="K204" s="11">
        <f t="shared" si="23"/>
        <v>0</v>
      </c>
    </row>
    <row r="205" spans="1:11" x14ac:dyDescent="0.2">
      <c r="A205" s="13" t="str">
        <f>Source_CBS_bodemgebruik!A207</f>
        <v>2023GM0779</v>
      </c>
      <c r="B205" s="13" t="str">
        <f t="shared" si="18"/>
        <v>GM0779</v>
      </c>
      <c r="C205">
        <f>Source_CBS_bodemgebruik!N207</f>
        <v>1598.2406857325334</v>
      </c>
      <c r="D205" s="9">
        <f t="shared" si="19"/>
        <v>15.982406857325334</v>
      </c>
      <c r="E205" s="10">
        <f t="shared" si="20"/>
        <v>7.1655630581135402E-4</v>
      </c>
      <c r="F205">
        <f>Source_CBS_bodemgebruik!AL207</f>
        <v>4.3928596425415005</v>
      </c>
      <c r="G205" s="7">
        <f t="shared" si="21"/>
        <v>2.7863547692586843E-4</v>
      </c>
      <c r="H205">
        <f>Source_CBS_bodemgebruik!H207</f>
        <v>2659.7301943185716</v>
      </c>
      <c r="I205" s="9">
        <f t="shared" si="22"/>
        <v>26.597301943185716</v>
      </c>
      <c r="J205">
        <f>Source_CBS_bodemgebruik!Q207</f>
        <v>0</v>
      </c>
      <c r="K205" s="11">
        <f t="shared" si="23"/>
        <v>0</v>
      </c>
    </row>
    <row r="206" spans="1:11" x14ac:dyDescent="0.2">
      <c r="A206" s="13" t="str">
        <f>Source_CBS_bodemgebruik!A208</f>
        <v>2023GM0784</v>
      </c>
      <c r="B206" s="13" t="str">
        <f t="shared" si="18"/>
        <v>GM0784</v>
      </c>
      <c r="C206">
        <f>Source_CBS_bodemgebruik!N208</f>
        <v>3655.4573052491605</v>
      </c>
      <c r="D206" s="9">
        <f t="shared" si="19"/>
        <v>36.554573052491605</v>
      </c>
      <c r="E206" s="10">
        <f t="shared" si="20"/>
        <v>1.6388901909976869E-3</v>
      </c>
      <c r="F206">
        <f>Source_CBS_bodemgebruik!AL208</f>
        <v>10.790512367521998</v>
      </c>
      <c r="G206" s="7">
        <f t="shared" si="21"/>
        <v>6.8443333146412245E-4</v>
      </c>
      <c r="H206">
        <f>Source_CBS_bodemgebruik!H208</f>
        <v>6538.3203546074628</v>
      </c>
      <c r="I206" s="9">
        <f t="shared" si="22"/>
        <v>65.383203546074625</v>
      </c>
      <c r="J206">
        <f>Source_CBS_bodemgebruik!Q208</f>
        <v>0</v>
      </c>
      <c r="K206" s="11">
        <f t="shared" si="23"/>
        <v>0</v>
      </c>
    </row>
    <row r="207" spans="1:11" x14ac:dyDescent="0.2">
      <c r="A207" s="13" t="str">
        <f>Source_CBS_bodemgebruik!A209</f>
        <v>2023GM0785</v>
      </c>
      <c r="B207" s="13" t="str">
        <f t="shared" si="18"/>
        <v>GM0785</v>
      </c>
      <c r="C207">
        <f>Source_CBS_bodemgebruik!N209</f>
        <v>2455.0024974905468</v>
      </c>
      <c r="D207" s="9">
        <f t="shared" si="19"/>
        <v>24.550024974905469</v>
      </c>
      <c r="E207" s="10">
        <f t="shared" si="20"/>
        <v>1.1006774737142868E-3</v>
      </c>
      <c r="F207">
        <f>Source_CBS_bodemgebruik!AL209</f>
        <v>0</v>
      </c>
      <c r="G207" s="7">
        <f t="shared" si="21"/>
        <v>0</v>
      </c>
      <c r="H207">
        <f>Source_CBS_bodemgebruik!H209</f>
        <v>4297.3911882014636</v>
      </c>
      <c r="I207" s="9">
        <f t="shared" si="22"/>
        <v>42.973911882014633</v>
      </c>
      <c r="J207">
        <f>Source_CBS_bodemgebruik!Q209</f>
        <v>0</v>
      </c>
      <c r="K207" s="11">
        <f t="shared" si="23"/>
        <v>0</v>
      </c>
    </row>
    <row r="208" spans="1:11" x14ac:dyDescent="0.2">
      <c r="A208" s="13" t="str">
        <f>Source_CBS_bodemgebruik!A210</f>
        <v>2023GM0794</v>
      </c>
      <c r="B208" s="13" t="str">
        <f t="shared" si="18"/>
        <v>GM0794</v>
      </c>
      <c r="C208">
        <f>Source_CBS_bodemgebruik!N210</f>
        <v>1493.424421215655</v>
      </c>
      <c r="D208" s="9">
        <f t="shared" si="19"/>
        <v>14.93424421215655</v>
      </c>
      <c r="E208" s="10">
        <f t="shared" si="20"/>
        <v>6.6956291116082567E-4</v>
      </c>
      <c r="F208">
        <f>Source_CBS_bodemgebruik!AL210</f>
        <v>31.476845041621605</v>
      </c>
      <c r="G208" s="7">
        <f t="shared" si="21"/>
        <v>1.9965504122548424E-3</v>
      </c>
      <c r="H208">
        <f>Source_CBS_bodemgebruik!H210</f>
        <v>5316.6478627600109</v>
      </c>
      <c r="I208" s="9">
        <f t="shared" si="22"/>
        <v>53.166478627600107</v>
      </c>
      <c r="J208">
        <f>Source_CBS_bodemgebruik!Q210</f>
        <v>0</v>
      </c>
      <c r="K208" s="11">
        <f t="shared" si="23"/>
        <v>0</v>
      </c>
    </row>
    <row r="209" spans="1:11" x14ac:dyDescent="0.2">
      <c r="A209" s="13" t="str">
        <f>Source_CBS_bodemgebruik!A211</f>
        <v>2023GM0796</v>
      </c>
      <c r="B209" s="13" t="str">
        <f t="shared" si="18"/>
        <v>GM0796</v>
      </c>
      <c r="C209">
        <f>Source_CBS_bodemgebruik!N211</f>
        <v>5435.0588042539757</v>
      </c>
      <c r="D209" s="9">
        <f t="shared" si="19"/>
        <v>54.350588042539755</v>
      </c>
      <c r="E209" s="10">
        <f t="shared" si="20"/>
        <v>2.4367579260183188E-3</v>
      </c>
      <c r="F209">
        <f>Source_CBS_bodemgebruik!AL211</f>
        <v>3.2467603427518097</v>
      </c>
      <c r="G209" s="7">
        <f t="shared" si="21"/>
        <v>2.0593934024335262E-4</v>
      </c>
      <c r="H209">
        <f>Source_CBS_bodemgebruik!H211</f>
        <v>10948.325302416399</v>
      </c>
      <c r="I209" s="9">
        <f t="shared" si="22"/>
        <v>109.48325302416399</v>
      </c>
      <c r="J209">
        <f>Source_CBS_bodemgebruik!Q211</f>
        <v>0</v>
      </c>
      <c r="K209" s="11">
        <f t="shared" si="23"/>
        <v>0</v>
      </c>
    </row>
    <row r="210" spans="1:11" x14ac:dyDescent="0.2">
      <c r="A210" s="13" t="str">
        <f>Source_CBS_bodemgebruik!A212</f>
        <v>2023GM0797</v>
      </c>
      <c r="B210" s="13" t="str">
        <f t="shared" si="18"/>
        <v>GM0797</v>
      </c>
      <c r="C210">
        <f>Source_CBS_bodemgebruik!N212</f>
        <v>4608.2515523278644</v>
      </c>
      <c r="D210" s="9">
        <f t="shared" si="19"/>
        <v>46.082515523278644</v>
      </c>
      <c r="E210" s="10">
        <f t="shared" si="20"/>
        <v>2.0660666056514696E-3</v>
      </c>
      <c r="F210">
        <f>Source_CBS_bodemgebruik!AL212</f>
        <v>105.33062592029208</v>
      </c>
      <c r="G210" s="7">
        <f t="shared" si="21"/>
        <v>6.6810350378554246E-3</v>
      </c>
      <c r="H210">
        <f>Source_CBS_bodemgebruik!H212</f>
        <v>7885.6163840336594</v>
      </c>
      <c r="I210" s="9">
        <f t="shared" si="22"/>
        <v>78.856163840336592</v>
      </c>
      <c r="J210">
        <f>Source_CBS_bodemgebruik!Q212</f>
        <v>0</v>
      </c>
      <c r="K210" s="11">
        <f t="shared" si="23"/>
        <v>0</v>
      </c>
    </row>
    <row r="211" spans="1:11" x14ac:dyDescent="0.2">
      <c r="A211" s="13" t="str">
        <f>Source_CBS_bodemgebruik!A213</f>
        <v>2023GM0798</v>
      </c>
      <c r="B211" s="13" t="str">
        <f t="shared" si="18"/>
        <v>GM0798</v>
      </c>
      <c r="C211">
        <f>Source_CBS_bodemgebruik!N213</f>
        <v>5657.9512307153273</v>
      </c>
      <c r="D211" s="9">
        <f t="shared" si="19"/>
        <v>56.579512307153273</v>
      </c>
      <c r="E211" s="10">
        <f t="shared" si="20"/>
        <v>2.5366896666655491E-3</v>
      </c>
      <c r="F211">
        <f>Source_CBS_bodemgebruik!AL213</f>
        <v>2.1440343094852001</v>
      </c>
      <c r="G211" s="7">
        <f t="shared" si="21"/>
        <v>1.359943342107794E-4</v>
      </c>
      <c r="H211">
        <f>Source_CBS_bodemgebruik!H213</f>
        <v>9486.6811394775596</v>
      </c>
      <c r="I211" s="9">
        <f t="shared" si="22"/>
        <v>94.866811394775596</v>
      </c>
      <c r="J211">
        <f>Source_CBS_bodemgebruik!Q213</f>
        <v>0</v>
      </c>
      <c r="K211" s="11">
        <f t="shared" si="23"/>
        <v>0</v>
      </c>
    </row>
    <row r="212" spans="1:11" x14ac:dyDescent="0.2">
      <c r="A212" s="13" t="str">
        <f>Source_CBS_bodemgebruik!A214</f>
        <v>2023GM0809</v>
      </c>
      <c r="B212" s="13" t="str">
        <f t="shared" si="18"/>
        <v>GM0809</v>
      </c>
      <c r="C212">
        <f>Source_CBS_bodemgebruik!N214</f>
        <v>2222.9211685034475</v>
      </c>
      <c r="D212" s="9">
        <f t="shared" si="19"/>
        <v>22.229211685034475</v>
      </c>
      <c r="E212" s="10">
        <f t="shared" si="20"/>
        <v>9.9662597431789623E-4</v>
      </c>
      <c r="F212">
        <f>Source_CBS_bodemgebruik!AL214</f>
        <v>9.2462089941494003</v>
      </c>
      <c r="G212" s="7">
        <f t="shared" si="21"/>
        <v>5.864794376518104E-4</v>
      </c>
      <c r="H212">
        <f>Source_CBS_bodemgebruik!H214</f>
        <v>4991.6128353215909</v>
      </c>
      <c r="I212" s="9">
        <f t="shared" si="22"/>
        <v>49.91612835321591</v>
      </c>
      <c r="J212">
        <f>Source_CBS_bodemgebruik!Q214</f>
        <v>0</v>
      </c>
      <c r="K212" s="11">
        <f t="shared" si="23"/>
        <v>0</v>
      </c>
    </row>
    <row r="213" spans="1:11" x14ac:dyDescent="0.2">
      <c r="A213" s="13" t="str">
        <f>Source_CBS_bodemgebruik!A215</f>
        <v>2023GM0820</v>
      </c>
      <c r="B213" s="13" t="str">
        <f t="shared" si="18"/>
        <v>GM0820</v>
      </c>
      <c r="C213">
        <f>Source_CBS_bodemgebruik!N215</f>
        <v>1919.4983419478044</v>
      </c>
      <c r="D213" s="9">
        <f t="shared" si="19"/>
        <v>19.194983419478046</v>
      </c>
      <c r="E213" s="10">
        <f t="shared" si="20"/>
        <v>8.6058917983728323E-4</v>
      </c>
      <c r="F213">
        <f>Source_CBS_bodemgebruik!AL215</f>
        <v>0</v>
      </c>
      <c r="G213" s="7">
        <f t="shared" si="21"/>
        <v>0</v>
      </c>
      <c r="H213">
        <f>Source_CBS_bodemgebruik!H215</f>
        <v>3364.6021190652164</v>
      </c>
      <c r="I213" s="9">
        <f t="shared" si="22"/>
        <v>33.646021190652164</v>
      </c>
      <c r="J213">
        <f>Source_CBS_bodemgebruik!Q215</f>
        <v>0</v>
      </c>
      <c r="K213" s="11">
        <f t="shared" si="23"/>
        <v>0</v>
      </c>
    </row>
    <row r="214" spans="1:11" x14ac:dyDescent="0.2">
      <c r="A214" s="13" t="str">
        <f>Source_CBS_bodemgebruik!A216</f>
        <v>2023GM0823</v>
      </c>
      <c r="B214" s="13" t="str">
        <f t="shared" si="18"/>
        <v>GM0823</v>
      </c>
      <c r="C214">
        <f>Source_CBS_bodemgebruik!N216</f>
        <v>5777.2467431733949</v>
      </c>
      <c r="D214" s="9">
        <f t="shared" si="19"/>
        <v>57.772467431733951</v>
      </c>
      <c r="E214" s="10">
        <f t="shared" si="20"/>
        <v>2.5901746970930194E-3</v>
      </c>
      <c r="F214">
        <f>Source_CBS_bodemgebruik!AL216</f>
        <v>18.1090551432289</v>
      </c>
      <c r="G214" s="7">
        <f t="shared" si="21"/>
        <v>1.1486424851013814E-3</v>
      </c>
      <c r="H214">
        <f>Source_CBS_bodemgebruik!H216</f>
        <v>10179.264190041797</v>
      </c>
      <c r="I214" s="9">
        <f t="shared" si="22"/>
        <v>101.79264190041796</v>
      </c>
      <c r="J214">
        <f>Source_CBS_bodemgebruik!Q216</f>
        <v>0</v>
      </c>
      <c r="K214" s="11">
        <f t="shared" si="23"/>
        <v>0</v>
      </c>
    </row>
    <row r="215" spans="1:11" x14ac:dyDescent="0.2">
      <c r="A215" s="13" t="str">
        <f>Source_CBS_bodemgebruik!A217</f>
        <v>2023GM0824</v>
      </c>
      <c r="B215" s="13" t="str">
        <f t="shared" si="18"/>
        <v>GM0824</v>
      </c>
      <c r="C215">
        <f>Source_CBS_bodemgebruik!N217</f>
        <v>4882.2348474355013</v>
      </c>
      <c r="D215" s="9">
        <f t="shared" si="19"/>
        <v>48.82234847435501</v>
      </c>
      <c r="E215" s="10">
        <f t="shared" si="20"/>
        <v>2.1889044607686214E-3</v>
      </c>
      <c r="F215">
        <f>Source_CBS_bodemgebruik!AL217</f>
        <v>17.380357437700802</v>
      </c>
      <c r="G215" s="7">
        <f t="shared" si="21"/>
        <v>1.1024217885081396E-3</v>
      </c>
      <c r="H215">
        <f>Source_CBS_bodemgebruik!H217</f>
        <v>8010.724268516311</v>
      </c>
      <c r="I215" s="9">
        <f t="shared" si="22"/>
        <v>80.107242685163115</v>
      </c>
      <c r="J215">
        <f>Source_CBS_bodemgebruik!Q217</f>
        <v>0</v>
      </c>
      <c r="K215" s="11">
        <f t="shared" si="23"/>
        <v>0</v>
      </c>
    </row>
    <row r="216" spans="1:11" x14ac:dyDescent="0.2">
      <c r="A216" s="13" t="str">
        <f>Source_CBS_bodemgebruik!A218</f>
        <v>2023GM0826</v>
      </c>
      <c r="B216" s="13" t="str">
        <f t="shared" si="18"/>
        <v>GM0826</v>
      </c>
      <c r="C216">
        <f>Source_CBS_bodemgebruik!N218</f>
        <v>3313.3846913489956</v>
      </c>
      <c r="D216" s="9">
        <f t="shared" si="19"/>
        <v>33.133846913489954</v>
      </c>
      <c r="E216" s="10">
        <f t="shared" si="20"/>
        <v>1.4855251248198159E-3</v>
      </c>
      <c r="F216">
        <f>Source_CBS_bodemgebruik!AL218</f>
        <v>27.3953935291057</v>
      </c>
      <c r="G216" s="7">
        <f t="shared" si="21"/>
        <v>1.7376672970907702E-3</v>
      </c>
      <c r="H216">
        <f>Source_CBS_bodemgebruik!H218</f>
        <v>7142.9403186695872</v>
      </c>
      <c r="I216" s="9">
        <f t="shared" si="22"/>
        <v>71.429403186695879</v>
      </c>
      <c r="J216">
        <f>Source_CBS_bodemgebruik!Q218</f>
        <v>0</v>
      </c>
      <c r="K216" s="11">
        <f t="shared" si="23"/>
        <v>0</v>
      </c>
    </row>
    <row r="217" spans="1:11" x14ac:dyDescent="0.2">
      <c r="A217" s="13" t="str">
        <f>Source_CBS_bodemgebruik!A219</f>
        <v>2023GM0828</v>
      </c>
      <c r="B217" s="13" t="str">
        <f t="shared" si="18"/>
        <v>GM0828</v>
      </c>
      <c r="C217">
        <f>Source_CBS_bodemgebruik!N219</f>
        <v>11617.715909407945</v>
      </c>
      <c r="D217" s="9">
        <f t="shared" si="19"/>
        <v>116.17715909407946</v>
      </c>
      <c r="E217" s="10">
        <f t="shared" si="20"/>
        <v>5.2086945779356193E-3</v>
      </c>
      <c r="F217">
        <f>Source_CBS_bodemgebruik!AL219</f>
        <v>5.4679829747009991</v>
      </c>
      <c r="G217" s="7">
        <f t="shared" si="21"/>
        <v>3.468296663120504E-4</v>
      </c>
      <c r="H217">
        <f>Source_CBS_bodemgebruik!H219</f>
        <v>16200.936549364615</v>
      </c>
      <c r="I217" s="9">
        <f t="shared" si="22"/>
        <v>162.00936549364616</v>
      </c>
      <c r="J217">
        <f>Source_CBS_bodemgebruik!Q219</f>
        <v>0</v>
      </c>
      <c r="K217" s="11">
        <f t="shared" si="23"/>
        <v>0</v>
      </c>
    </row>
    <row r="218" spans="1:11" x14ac:dyDescent="0.2">
      <c r="A218" s="13" t="str">
        <f>Source_CBS_bodemgebruik!A220</f>
        <v>2023GM0840</v>
      </c>
      <c r="B218" s="13" t="str">
        <f t="shared" si="18"/>
        <v>GM0840</v>
      </c>
      <c r="C218">
        <f>Source_CBS_bodemgebruik!N220</f>
        <v>4212.084493760558</v>
      </c>
      <c r="D218" s="9">
        <f t="shared" si="19"/>
        <v>42.120844937605582</v>
      </c>
      <c r="E218" s="10">
        <f t="shared" si="20"/>
        <v>1.888448799706911E-3</v>
      </c>
      <c r="F218">
        <f>Source_CBS_bodemgebruik!AL220</f>
        <v>16.112496999892798</v>
      </c>
      <c r="G218" s="7">
        <f t="shared" si="21"/>
        <v>1.0220024429085409E-3</v>
      </c>
      <c r="H218">
        <f>Source_CBS_bodemgebruik!H220</f>
        <v>6438.0361000806151</v>
      </c>
      <c r="I218" s="9">
        <f t="shared" si="22"/>
        <v>64.380361000806147</v>
      </c>
      <c r="J218">
        <f>Source_CBS_bodemgebruik!Q220</f>
        <v>0</v>
      </c>
      <c r="K218" s="11">
        <f t="shared" si="23"/>
        <v>0</v>
      </c>
    </row>
    <row r="219" spans="1:11" x14ac:dyDescent="0.2">
      <c r="A219" s="13" t="str">
        <f>Source_CBS_bodemgebruik!A221</f>
        <v>2023GM0845</v>
      </c>
      <c r="B219" s="13" t="str">
        <f t="shared" si="18"/>
        <v>GM0845</v>
      </c>
      <c r="C219">
        <f>Source_CBS_bodemgebruik!N221</f>
        <v>4386.7168107030475</v>
      </c>
      <c r="D219" s="9">
        <f t="shared" si="19"/>
        <v>43.867168107030473</v>
      </c>
      <c r="E219" s="10">
        <f t="shared" si="20"/>
        <v>1.9667435703385533E-3</v>
      </c>
      <c r="F219">
        <f>Source_CBS_bodemgebruik!AL221</f>
        <v>1.3377329905800002</v>
      </c>
      <c r="G219" s="7">
        <f t="shared" si="21"/>
        <v>8.4851304198300533E-5</v>
      </c>
      <c r="H219">
        <f>Source_CBS_bodemgebruik!H221</f>
        <v>5834.9857361826016</v>
      </c>
      <c r="I219" s="9">
        <f t="shared" si="22"/>
        <v>58.349857361826018</v>
      </c>
      <c r="J219">
        <f>Source_CBS_bodemgebruik!Q221</f>
        <v>0</v>
      </c>
      <c r="K219" s="11">
        <f t="shared" si="23"/>
        <v>0</v>
      </c>
    </row>
    <row r="220" spans="1:11" x14ac:dyDescent="0.2">
      <c r="A220" s="13" t="str">
        <f>Source_CBS_bodemgebruik!A222</f>
        <v>2023GM0847</v>
      </c>
      <c r="B220" s="13" t="str">
        <f t="shared" si="18"/>
        <v>GM0847</v>
      </c>
      <c r="C220">
        <f>Source_CBS_bodemgebruik!N222</f>
        <v>5422.4823241943177</v>
      </c>
      <c r="D220" s="9">
        <f t="shared" si="19"/>
        <v>54.224823241943177</v>
      </c>
      <c r="E220" s="10">
        <f t="shared" si="20"/>
        <v>2.4311193784753199E-3</v>
      </c>
      <c r="F220">
        <f>Source_CBS_bodemgebruik!AL222</f>
        <v>105.4925420012765</v>
      </c>
      <c r="G220" s="7">
        <f t="shared" si="21"/>
        <v>6.6913052418041581E-3</v>
      </c>
      <c r="H220">
        <f>Source_CBS_bodemgebruik!H222</f>
        <v>8009.7911278764632</v>
      </c>
      <c r="I220" s="9">
        <f t="shared" si="22"/>
        <v>80.097911278764627</v>
      </c>
      <c r="J220">
        <f>Source_CBS_bodemgebruik!Q222</f>
        <v>0</v>
      </c>
      <c r="K220" s="11">
        <f t="shared" si="23"/>
        <v>0</v>
      </c>
    </row>
    <row r="221" spans="1:11" x14ac:dyDescent="0.2">
      <c r="A221" s="13" t="str">
        <f>Source_CBS_bodemgebruik!A223</f>
        <v>2023GM0848</v>
      </c>
      <c r="B221" s="13" t="str">
        <f t="shared" si="18"/>
        <v>GM0848</v>
      </c>
      <c r="C221">
        <f>Source_CBS_bodemgebruik!N223</f>
        <v>1178.9074300338691</v>
      </c>
      <c r="D221" s="9">
        <f t="shared" si="19"/>
        <v>11.78907430033869</v>
      </c>
      <c r="E221" s="10">
        <f t="shared" si="20"/>
        <v>5.2855215143734406E-4</v>
      </c>
      <c r="F221">
        <f>Source_CBS_bodemgebruik!AL223</f>
        <v>0</v>
      </c>
      <c r="G221" s="7">
        <f t="shared" si="21"/>
        <v>0</v>
      </c>
      <c r="H221">
        <f>Source_CBS_bodemgebruik!H223</f>
        <v>2595.1398759788153</v>
      </c>
      <c r="I221" s="9">
        <f t="shared" si="22"/>
        <v>25.951398759788152</v>
      </c>
      <c r="J221">
        <f>Source_CBS_bodemgebruik!Q223</f>
        <v>0</v>
      </c>
      <c r="K221" s="11">
        <f t="shared" si="23"/>
        <v>0</v>
      </c>
    </row>
    <row r="222" spans="1:11" x14ac:dyDescent="0.2">
      <c r="A222" s="13" t="str">
        <f>Source_CBS_bodemgebruik!A224</f>
        <v>2023GM0851</v>
      </c>
      <c r="B222" s="13" t="str">
        <f t="shared" si="18"/>
        <v>GM0851</v>
      </c>
      <c r="C222">
        <f>Source_CBS_bodemgebruik!N224</f>
        <v>12493.523882467851</v>
      </c>
      <c r="D222" s="9">
        <f t="shared" si="19"/>
        <v>124.93523882467851</v>
      </c>
      <c r="E222" s="10">
        <f t="shared" si="20"/>
        <v>5.6013549146284617E-3</v>
      </c>
      <c r="F222">
        <f>Source_CBS_bodemgebruik!AL224</f>
        <v>198.57042760276477</v>
      </c>
      <c r="G222" s="7">
        <f t="shared" si="21"/>
        <v>1.259515903095401E-2</v>
      </c>
      <c r="H222">
        <f>Source_CBS_bodemgebruik!H224</f>
        <v>14650.394029482462</v>
      </c>
      <c r="I222" s="9">
        <f t="shared" si="22"/>
        <v>146.50394029482462</v>
      </c>
      <c r="J222">
        <f>Source_CBS_bodemgebruik!Q224</f>
        <v>0</v>
      </c>
      <c r="K222" s="11">
        <f t="shared" si="23"/>
        <v>0</v>
      </c>
    </row>
    <row r="223" spans="1:11" x14ac:dyDescent="0.2">
      <c r="A223" s="13" t="str">
        <f>Source_CBS_bodemgebruik!A225</f>
        <v>2023GM0852</v>
      </c>
      <c r="B223" s="13" t="str">
        <f t="shared" si="18"/>
        <v>GM0852</v>
      </c>
      <c r="C223">
        <f>Source_CBS_bodemgebruik!N225</f>
        <v>4494.015966252402</v>
      </c>
      <c r="D223" s="9">
        <f t="shared" si="19"/>
        <v>44.940159662524017</v>
      </c>
      <c r="E223" s="10">
        <f t="shared" si="20"/>
        <v>2.0148501460273607E-3</v>
      </c>
      <c r="F223">
        <f>Source_CBS_bodemgebruik!AL225</f>
        <v>0</v>
      </c>
      <c r="G223" s="7">
        <f t="shared" si="21"/>
        <v>0</v>
      </c>
      <c r="H223">
        <f>Source_CBS_bodemgebruik!H225</f>
        <v>5199.2611682177503</v>
      </c>
      <c r="I223" s="9">
        <f t="shared" si="22"/>
        <v>51.992611682177504</v>
      </c>
      <c r="J223">
        <f>Source_CBS_bodemgebruik!Q225</f>
        <v>0</v>
      </c>
      <c r="K223" s="11">
        <f t="shared" si="23"/>
        <v>0</v>
      </c>
    </row>
    <row r="224" spans="1:11" x14ac:dyDescent="0.2">
      <c r="A224" s="13" t="str">
        <f>Source_CBS_bodemgebruik!A226</f>
        <v>2023GM0855</v>
      </c>
      <c r="B224" s="13" t="str">
        <f t="shared" si="18"/>
        <v>GM0855</v>
      </c>
      <c r="C224">
        <f>Source_CBS_bodemgebruik!N226</f>
        <v>4496.132781500668</v>
      </c>
      <c r="D224" s="9">
        <f t="shared" si="19"/>
        <v>44.961327815006683</v>
      </c>
      <c r="E224" s="10">
        <f t="shared" si="20"/>
        <v>2.0157992004019134E-3</v>
      </c>
      <c r="F224">
        <f>Source_CBS_bodemgebruik!AL226</f>
        <v>8.6439519410765016</v>
      </c>
      <c r="G224" s="7">
        <f t="shared" si="21"/>
        <v>5.4827876773059982E-4</v>
      </c>
      <c r="H224">
        <f>Source_CBS_bodemgebruik!H226</f>
        <v>12588.60606700889</v>
      </c>
      <c r="I224" s="9">
        <f t="shared" si="22"/>
        <v>125.8860606700889</v>
      </c>
      <c r="J224">
        <f>Source_CBS_bodemgebruik!Q226</f>
        <v>0</v>
      </c>
      <c r="K224" s="11">
        <f t="shared" si="23"/>
        <v>0</v>
      </c>
    </row>
    <row r="225" spans="1:11" x14ac:dyDescent="0.2">
      <c r="A225" s="13" t="str">
        <f>Source_CBS_bodemgebruik!A227</f>
        <v>2023GM0858</v>
      </c>
      <c r="B225" s="13" t="str">
        <f t="shared" si="18"/>
        <v>GM0858</v>
      </c>
      <c r="C225">
        <f>Source_CBS_bodemgebruik!N227</f>
        <v>2468.7510973752869</v>
      </c>
      <c r="D225" s="9">
        <f t="shared" si="19"/>
        <v>24.687510973752868</v>
      </c>
      <c r="E225" s="10">
        <f t="shared" si="20"/>
        <v>1.1068415302493463E-3</v>
      </c>
      <c r="F225">
        <f>Source_CBS_bodemgebruik!AL227</f>
        <v>0</v>
      </c>
      <c r="G225" s="7">
        <f t="shared" si="21"/>
        <v>0</v>
      </c>
      <c r="H225">
        <f>Source_CBS_bodemgebruik!H227</f>
        <v>5490.5285608962686</v>
      </c>
      <c r="I225" s="9">
        <f t="shared" si="22"/>
        <v>54.905285608962686</v>
      </c>
      <c r="J225">
        <f>Source_CBS_bodemgebruik!Q227</f>
        <v>0</v>
      </c>
      <c r="K225" s="11">
        <f t="shared" si="23"/>
        <v>0</v>
      </c>
    </row>
    <row r="226" spans="1:11" x14ac:dyDescent="0.2">
      <c r="A226" s="13" t="str">
        <f>Source_CBS_bodemgebruik!A228</f>
        <v>2023GM0861</v>
      </c>
      <c r="B226" s="13" t="str">
        <f t="shared" si="18"/>
        <v>GM0861</v>
      </c>
      <c r="C226">
        <f>Source_CBS_bodemgebruik!N228</f>
        <v>1179.9494530524873</v>
      </c>
      <c r="D226" s="9">
        <f t="shared" si="19"/>
        <v>11.799494530524873</v>
      </c>
      <c r="E226" s="10">
        <f t="shared" si="20"/>
        <v>5.2901933273954527E-4</v>
      </c>
      <c r="F226">
        <f>Source_CBS_bodemgebruik!AL228</f>
        <v>4.0166004710659999</v>
      </c>
      <c r="G226" s="7">
        <f t="shared" si="21"/>
        <v>2.547696669016826E-4</v>
      </c>
      <c r="H226">
        <f>Source_CBS_bodemgebruik!H228</f>
        <v>3167.8849915651945</v>
      </c>
      <c r="I226" s="9">
        <f t="shared" si="22"/>
        <v>31.678849915651945</v>
      </c>
      <c r="J226">
        <f>Source_CBS_bodemgebruik!Q228</f>
        <v>0</v>
      </c>
      <c r="K226" s="11">
        <f t="shared" si="23"/>
        <v>0</v>
      </c>
    </row>
    <row r="227" spans="1:11" x14ac:dyDescent="0.2">
      <c r="A227" s="13" t="str">
        <f>Source_CBS_bodemgebruik!A229</f>
        <v>2023GM0865</v>
      </c>
      <c r="B227" s="13" t="str">
        <f t="shared" si="18"/>
        <v>GM0865</v>
      </c>
      <c r="C227">
        <f>Source_CBS_bodemgebruik!N229</f>
        <v>3238.2535129029707</v>
      </c>
      <c r="D227" s="9">
        <f t="shared" si="19"/>
        <v>32.382535129029705</v>
      </c>
      <c r="E227" s="10">
        <f t="shared" si="20"/>
        <v>1.4518407616577916E-3</v>
      </c>
      <c r="F227">
        <f>Source_CBS_bodemgebruik!AL229</f>
        <v>0</v>
      </c>
      <c r="G227" s="7">
        <f t="shared" si="21"/>
        <v>0</v>
      </c>
      <c r="H227">
        <f>Source_CBS_bodemgebruik!H229</f>
        <v>6001.8943589764604</v>
      </c>
      <c r="I227" s="9">
        <f t="shared" si="22"/>
        <v>60.018943589764604</v>
      </c>
      <c r="J227">
        <f>Source_CBS_bodemgebruik!Q229</f>
        <v>0</v>
      </c>
      <c r="K227" s="11">
        <f t="shared" si="23"/>
        <v>0</v>
      </c>
    </row>
    <row r="228" spans="1:11" x14ac:dyDescent="0.2">
      <c r="A228" s="13" t="str">
        <f>Source_CBS_bodemgebruik!A230</f>
        <v>2023GM0866</v>
      </c>
      <c r="B228" s="13" t="str">
        <f t="shared" si="18"/>
        <v>GM0866</v>
      </c>
      <c r="C228">
        <f>Source_CBS_bodemgebruik!N230</f>
        <v>851.01527108073378</v>
      </c>
      <c r="D228" s="9">
        <f t="shared" si="19"/>
        <v>8.510152710807338</v>
      </c>
      <c r="E228" s="10">
        <f t="shared" si="20"/>
        <v>3.8154475998410987E-4</v>
      </c>
      <c r="F228">
        <f>Source_CBS_bodemgebruik!AL230</f>
        <v>0</v>
      </c>
      <c r="G228" s="7">
        <f t="shared" si="21"/>
        <v>0</v>
      </c>
      <c r="H228">
        <f>Source_CBS_bodemgebruik!H230</f>
        <v>2238.4666474732403</v>
      </c>
      <c r="I228" s="9">
        <f t="shared" si="22"/>
        <v>22.384666474732402</v>
      </c>
      <c r="J228">
        <f>Source_CBS_bodemgebruik!Q230</f>
        <v>0</v>
      </c>
      <c r="K228" s="11">
        <f t="shared" si="23"/>
        <v>0</v>
      </c>
    </row>
    <row r="229" spans="1:11" x14ac:dyDescent="0.2">
      <c r="A229" s="13" t="str">
        <f>Source_CBS_bodemgebruik!A231</f>
        <v>2023GM0867</v>
      </c>
      <c r="B229" s="13" t="str">
        <f t="shared" si="18"/>
        <v>GM0867</v>
      </c>
      <c r="C229">
        <f>Source_CBS_bodemgebruik!N231</f>
        <v>4252.2184680624832</v>
      </c>
      <c r="D229" s="9">
        <f t="shared" si="19"/>
        <v>42.522184680624832</v>
      </c>
      <c r="E229" s="10">
        <f t="shared" si="20"/>
        <v>1.9064424927845804E-3</v>
      </c>
      <c r="F229">
        <f>Source_CBS_bodemgebruik!AL231</f>
        <v>17.230685992075003</v>
      </c>
      <c r="G229" s="7">
        <f t="shared" si="21"/>
        <v>1.0929282517171482E-3</v>
      </c>
      <c r="H229">
        <f>Source_CBS_bodemgebruik!H231</f>
        <v>6453.8438794393296</v>
      </c>
      <c r="I229" s="9">
        <f t="shared" si="22"/>
        <v>64.538438794393301</v>
      </c>
      <c r="J229">
        <f>Source_CBS_bodemgebruik!Q231</f>
        <v>0</v>
      </c>
      <c r="K229" s="11">
        <f t="shared" si="23"/>
        <v>0</v>
      </c>
    </row>
    <row r="230" spans="1:11" x14ac:dyDescent="0.2">
      <c r="A230" s="13" t="str">
        <f>Source_CBS_bodemgebruik!A232</f>
        <v>2023GM0873</v>
      </c>
      <c r="B230" s="13" t="str">
        <f t="shared" si="18"/>
        <v>GM0873</v>
      </c>
      <c r="C230">
        <f>Source_CBS_bodemgebruik!N232</f>
        <v>4196.9524657993552</v>
      </c>
      <c r="D230" s="9">
        <f t="shared" si="19"/>
        <v>41.969524657993553</v>
      </c>
      <c r="E230" s="10">
        <f t="shared" si="20"/>
        <v>1.881664496096004E-3</v>
      </c>
      <c r="F230">
        <f>Source_CBS_bodemgebruik!AL232</f>
        <v>1.8925249271968998</v>
      </c>
      <c r="G230" s="7">
        <f t="shared" si="21"/>
        <v>1.2004130079114423E-4</v>
      </c>
      <c r="H230">
        <f>Source_CBS_bodemgebruik!H232</f>
        <v>9165.6953548085294</v>
      </c>
      <c r="I230" s="9">
        <f t="shared" si="22"/>
        <v>91.656953548085298</v>
      </c>
      <c r="J230">
        <f>Source_CBS_bodemgebruik!Q232</f>
        <v>0</v>
      </c>
      <c r="K230" s="11">
        <f t="shared" si="23"/>
        <v>0</v>
      </c>
    </row>
    <row r="231" spans="1:11" x14ac:dyDescent="0.2">
      <c r="A231" s="13" t="str">
        <f>Source_CBS_bodemgebruik!A233</f>
        <v>2023GM0879</v>
      </c>
      <c r="B231" s="13" t="str">
        <f t="shared" si="18"/>
        <v>GM0879</v>
      </c>
      <c r="C231">
        <f>Source_CBS_bodemgebruik!N233</f>
        <v>9535.5703057432565</v>
      </c>
      <c r="D231" s="9">
        <f t="shared" si="19"/>
        <v>95.355703057432564</v>
      </c>
      <c r="E231" s="10">
        <f t="shared" si="20"/>
        <v>4.2751840152011377E-3</v>
      </c>
      <c r="F231">
        <f>Source_CBS_bodemgebruik!AL233</f>
        <v>111.99681346297953</v>
      </c>
      <c r="G231" s="7">
        <f t="shared" si="21"/>
        <v>7.1038658351898409E-3</v>
      </c>
      <c r="H231">
        <f>Source_CBS_bodemgebruik!H233</f>
        <v>12059.023146168</v>
      </c>
      <c r="I231" s="9">
        <f t="shared" si="22"/>
        <v>120.59023146167999</v>
      </c>
      <c r="J231">
        <f>Source_CBS_bodemgebruik!Q233</f>
        <v>0</v>
      </c>
      <c r="K231" s="11">
        <f t="shared" si="23"/>
        <v>0</v>
      </c>
    </row>
    <row r="232" spans="1:11" x14ac:dyDescent="0.2">
      <c r="A232" s="13" t="str">
        <f>Source_CBS_bodemgebruik!A234</f>
        <v>2023GM0880</v>
      </c>
      <c r="B232" s="13" t="str">
        <f t="shared" si="18"/>
        <v>GM0880</v>
      </c>
      <c r="C232">
        <f>Source_CBS_bodemgebruik!N234</f>
        <v>3227.3897267981047</v>
      </c>
      <c r="D232" s="9">
        <f t="shared" si="19"/>
        <v>32.273897267981049</v>
      </c>
      <c r="E232" s="10">
        <f t="shared" si="20"/>
        <v>1.4469700844763637E-3</v>
      </c>
      <c r="F232">
        <f>Source_CBS_bodemgebruik!AL234</f>
        <v>0</v>
      </c>
      <c r="G232" s="7">
        <f t="shared" si="21"/>
        <v>0</v>
      </c>
      <c r="H232">
        <f>Source_CBS_bodemgebruik!H234</f>
        <v>3851.407293531428</v>
      </c>
      <c r="I232" s="9">
        <f t="shared" si="22"/>
        <v>38.514072935314282</v>
      </c>
      <c r="J232">
        <f>Source_CBS_bodemgebruik!Q234</f>
        <v>0</v>
      </c>
      <c r="K232" s="11">
        <f t="shared" si="23"/>
        <v>0</v>
      </c>
    </row>
    <row r="233" spans="1:11" x14ac:dyDescent="0.2">
      <c r="A233" s="13" t="str">
        <f>Source_CBS_bodemgebruik!A235</f>
        <v>2023GM0882</v>
      </c>
      <c r="B233" s="13" t="str">
        <f t="shared" si="18"/>
        <v>GM0882</v>
      </c>
      <c r="C233">
        <f>Source_CBS_bodemgebruik!N235</f>
        <v>743.89564098424637</v>
      </c>
      <c r="D233" s="9">
        <f t="shared" si="19"/>
        <v>7.4389564098424641</v>
      </c>
      <c r="E233" s="10">
        <f t="shared" si="20"/>
        <v>3.3351867285779134E-4</v>
      </c>
      <c r="F233">
        <f>Source_CBS_bodemgebruik!AL235</f>
        <v>0</v>
      </c>
      <c r="G233" s="7">
        <f t="shared" si="21"/>
        <v>0</v>
      </c>
      <c r="H233">
        <f>Source_CBS_bodemgebruik!H235</f>
        <v>2458.3457985944519</v>
      </c>
      <c r="I233" s="9">
        <f t="shared" si="22"/>
        <v>24.58345798594452</v>
      </c>
      <c r="J233">
        <f>Source_CBS_bodemgebruik!Q235</f>
        <v>0</v>
      </c>
      <c r="K233" s="11">
        <f t="shared" si="23"/>
        <v>0</v>
      </c>
    </row>
    <row r="234" spans="1:11" x14ac:dyDescent="0.2">
      <c r="A234" s="13" t="str">
        <f>Source_CBS_bodemgebruik!A236</f>
        <v>2023GM0888</v>
      </c>
      <c r="B234" s="13" t="str">
        <f t="shared" si="18"/>
        <v>GM0888</v>
      </c>
      <c r="C234">
        <f>Source_CBS_bodemgebruik!N236</f>
        <v>1309.4854510543357</v>
      </c>
      <c r="D234" s="9">
        <f t="shared" si="19"/>
        <v>13.094854510543357</v>
      </c>
      <c r="E234" s="10">
        <f t="shared" si="20"/>
        <v>5.8709558935495518E-4</v>
      </c>
      <c r="F234">
        <f>Source_CBS_bodemgebruik!AL236</f>
        <v>0</v>
      </c>
      <c r="G234" s="7">
        <f t="shared" si="21"/>
        <v>0</v>
      </c>
      <c r="H234">
        <f>Source_CBS_bodemgebruik!H236</f>
        <v>2106.9002795312786</v>
      </c>
      <c r="I234" s="9">
        <f t="shared" si="22"/>
        <v>21.069002795312784</v>
      </c>
      <c r="J234">
        <f>Source_CBS_bodemgebruik!Q236</f>
        <v>0</v>
      </c>
      <c r="K234" s="11">
        <f t="shared" si="23"/>
        <v>0</v>
      </c>
    </row>
    <row r="235" spans="1:11" x14ac:dyDescent="0.2">
      <c r="A235" s="13" t="str">
        <f>Source_CBS_bodemgebruik!A237</f>
        <v>2023GM0889</v>
      </c>
      <c r="B235" s="13" t="str">
        <f t="shared" si="18"/>
        <v>GM0889</v>
      </c>
      <c r="C235">
        <f>Source_CBS_bodemgebruik!N237</f>
        <v>1815.715500373434</v>
      </c>
      <c r="D235" s="9">
        <f t="shared" si="19"/>
        <v>18.157155003734339</v>
      </c>
      <c r="E235" s="10">
        <f t="shared" si="20"/>
        <v>8.1405911072503863E-4</v>
      </c>
      <c r="F235">
        <f>Source_CBS_bodemgebruik!AL237</f>
        <v>12.1610106368859</v>
      </c>
      <c r="G235" s="7">
        <f t="shared" si="21"/>
        <v>7.7136291036807231E-4</v>
      </c>
      <c r="H235">
        <f>Source_CBS_bodemgebruik!H237</f>
        <v>2787.7943974300692</v>
      </c>
      <c r="I235" s="9">
        <f t="shared" si="22"/>
        <v>27.877943974300692</v>
      </c>
      <c r="J235">
        <f>Source_CBS_bodemgebruik!Q237</f>
        <v>0</v>
      </c>
      <c r="K235" s="11">
        <f t="shared" si="23"/>
        <v>0</v>
      </c>
    </row>
    <row r="236" spans="1:11" x14ac:dyDescent="0.2">
      <c r="A236" s="13" t="str">
        <f>Source_CBS_bodemgebruik!A238</f>
        <v>2023GM0893</v>
      </c>
      <c r="B236" s="13" t="str">
        <f t="shared" si="18"/>
        <v>GM0893</v>
      </c>
      <c r="C236">
        <f>Source_CBS_bodemgebruik!N238</f>
        <v>5517.4813507274312</v>
      </c>
      <c r="D236" s="9">
        <f t="shared" si="19"/>
        <v>55.174813507274308</v>
      </c>
      <c r="E236" s="10">
        <f t="shared" si="20"/>
        <v>2.4737113060341169E-3</v>
      </c>
      <c r="F236">
        <f>Source_CBS_bodemgebruik!AL238</f>
        <v>45.99343497601221</v>
      </c>
      <c r="G236" s="7">
        <f t="shared" si="21"/>
        <v>2.9173257815689494E-3</v>
      </c>
      <c r="H236">
        <f>Source_CBS_bodemgebruik!H238</f>
        <v>10325.586194339063</v>
      </c>
      <c r="I236" s="9">
        <f t="shared" si="22"/>
        <v>103.25586194339063</v>
      </c>
      <c r="J236">
        <f>Source_CBS_bodemgebruik!Q238</f>
        <v>0</v>
      </c>
      <c r="K236" s="11">
        <f t="shared" si="23"/>
        <v>0</v>
      </c>
    </row>
    <row r="237" spans="1:11" x14ac:dyDescent="0.2">
      <c r="A237" s="13" t="str">
        <f>Source_CBS_bodemgebruik!A239</f>
        <v>2023GM0899</v>
      </c>
      <c r="B237" s="13" t="str">
        <f t="shared" si="18"/>
        <v>GM0899</v>
      </c>
      <c r="C237">
        <f>Source_CBS_bodemgebruik!N239</f>
        <v>176.87564282447295</v>
      </c>
      <c r="D237" s="9">
        <f t="shared" si="19"/>
        <v>1.7687564282447295</v>
      </c>
      <c r="E237" s="10">
        <f t="shared" si="20"/>
        <v>7.9300544868949184E-5</v>
      </c>
      <c r="F237">
        <f>Source_CBS_bodemgebruik!AL239</f>
        <v>0</v>
      </c>
      <c r="G237" s="7">
        <f t="shared" si="21"/>
        <v>0</v>
      </c>
      <c r="H237">
        <f>Source_CBS_bodemgebruik!H239</f>
        <v>1723.9431235819095</v>
      </c>
      <c r="I237" s="9">
        <f t="shared" si="22"/>
        <v>17.239431235819094</v>
      </c>
      <c r="J237">
        <f>Source_CBS_bodemgebruik!Q239</f>
        <v>0</v>
      </c>
      <c r="K237" s="11">
        <f t="shared" si="23"/>
        <v>0</v>
      </c>
    </row>
    <row r="238" spans="1:11" x14ac:dyDescent="0.2">
      <c r="A238" s="13" t="str">
        <f>Source_CBS_bodemgebruik!A240</f>
        <v>2023GM0907</v>
      </c>
      <c r="B238" s="13" t="str">
        <f t="shared" si="18"/>
        <v>GM0907</v>
      </c>
      <c r="C238">
        <f>Source_CBS_bodemgebruik!N240</f>
        <v>3175.4765849001851</v>
      </c>
      <c r="D238" s="9">
        <f t="shared" si="19"/>
        <v>31.754765849001853</v>
      </c>
      <c r="E238" s="10">
        <f t="shared" si="20"/>
        <v>1.4236953114628208E-3</v>
      </c>
      <c r="F238">
        <f>Source_CBS_bodemgebruik!AL240</f>
        <v>1.4617861909499998</v>
      </c>
      <c r="G238" s="7">
        <f t="shared" si="21"/>
        <v>9.2719896746656374E-5</v>
      </c>
      <c r="H238">
        <f>Source_CBS_bodemgebruik!H240</f>
        <v>4756.8142549713957</v>
      </c>
      <c r="I238" s="9">
        <f t="shared" si="22"/>
        <v>47.568142549713954</v>
      </c>
      <c r="J238">
        <f>Source_CBS_bodemgebruik!Q240</f>
        <v>0</v>
      </c>
      <c r="K238" s="11">
        <f t="shared" si="23"/>
        <v>0</v>
      </c>
    </row>
    <row r="239" spans="1:11" x14ac:dyDescent="0.2">
      <c r="A239" s="13" t="str">
        <f>Source_CBS_bodemgebruik!A241</f>
        <v>2023GM0917</v>
      </c>
      <c r="B239" s="13" t="str">
        <f t="shared" si="18"/>
        <v>GM0917</v>
      </c>
      <c r="C239">
        <f>Source_CBS_bodemgebruik!N241</f>
        <v>780.80097987348938</v>
      </c>
      <c r="D239" s="9">
        <f t="shared" si="19"/>
        <v>7.8080097987348935</v>
      </c>
      <c r="E239" s="10">
        <f t="shared" si="20"/>
        <v>3.5006483735933598E-4</v>
      </c>
      <c r="F239">
        <f>Source_CBS_bodemgebruik!AL241</f>
        <v>0</v>
      </c>
      <c r="G239" s="7">
        <f t="shared" si="21"/>
        <v>0</v>
      </c>
      <c r="H239">
        <f>Source_CBS_bodemgebruik!H241</f>
        <v>4490.6352551259533</v>
      </c>
      <c r="I239" s="9">
        <f t="shared" si="22"/>
        <v>44.906352551259531</v>
      </c>
      <c r="J239">
        <f>Source_CBS_bodemgebruik!Q241</f>
        <v>0</v>
      </c>
      <c r="K239" s="11">
        <f t="shared" si="23"/>
        <v>0</v>
      </c>
    </row>
    <row r="240" spans="1:11" x14ac:dyDescent="0.2">
      <c r="A240" s="13" t="str">
        <f>Source_CBS_bodemgebruik!A242</f>
        <v>2023GM0928</v>
      </c>
      <c r="B240" s="13" t="str">
        <f t="shared" si="18"/>
        <v>GM0928</v>
      </c>
      <c r="C240">
        <f>Source_CBS_bodemgebruik!N242</f>
        <v>370.06355368719198</v>
      </c>
      <c r="D240" s="9">
        <f t="shared" si="19"/>
        <v>3.7006355368719199</v>
      </c>
      <c r="E240" s="10">
        <f t="shared" si="20"/>
        <v>1.6591454298010068E-4</v>
      </c>
      <c r="F240">
        <f>Source_CBS_bodemgebruik!AL242</f>
        <v>0</v>
      </c>
      <c r="G240" s="7">
        <f t="shared" si="21"/>
        <v>0</v>
      </c>
      <c r="H240">
        <f>Source_CBS_bodemgebruik!H242</f>
        <v>2190.8525979752362</v>
      </c>
      <c r="I240" s="9">
        <f t="shared" si="22"/>
        <v>21.908525979752362</v>
      </c>
      <c r="J240">
        <f>Source_CBS_bodemgebruik!Q242</f>
        <v>0</v>
      </c>
      <c r="K240" s="11">
        <f t="shared" si="23"/>
        <v>0</v>
      </c>
    </row>
    <row r="241" spans="1:11" x14ac:dyDescent="0.2">
      <c r="A241" s="13" t="str">
        <f>Source_CBS_bodemgebruik!A243</f>
        <v>2023GM0935</v>
      </c>
      <c r="B241" s="13" t="str">
        <f t="shared" si="18"/>
        <v>GM0935</v>
      </c>
      <c r="C241">
        <f>Source_CBS_bodemgebruik!N243</f>
        <v>1918.0618936374433</v>
      </c>
      <c r="D241" s="9">
        <f t="shared" si="19"/>
        <v>19.180618936374433</v>
      </c>
      <c r="E241" s="10">
        <f t="shared" si="20"/>
        <v>8.599451616340489E-4</v>
      </c>
      <c r="F241">
        <f>Source_CBS_bodemgebruik!AL243</f>
        <v>0</v>
      </c>
      <c r="G241" s="7">
        <f t="shared" si="21"/>
        <v>0</v>
      </c>
      <c r="H241">
        <f>Source_CBS_bodemgebruik!H243</f>
        <v>5578.64641301343</v>
      </c>
      <c r="I241" s="9">
        <f t="shared" si="22"/>
        <v>55.786464130134299</v>
      </c>
      <c r="J241">
        <f>Source_CBS_bodemgebruik!Q243</f>
        <v>0</v>
      </c>
      <c r="K241" s="11">
        <f t="shared" si="23"/>
        <v>0</v>
      </c>
    </row>
    <row r="242" spans="1:11" x14ac:dyDescent="0.2">
      <c r="A242" s="13" t="str">
        <f>Source_CBS_bodemgebruik!A244</f>
        <v>2023GM0938</v>
      </c>
      <c r="B242" s="13" t="str">
        <f t="shared" si="18"/>
        <v>GM0938</v>
      </c>
      <c r="C242">
        <f>Source_CBS_bodemgebruik!N244</f>
        <v>1604.1037854423239</v>
      </c>
      <c r="D242" s="9">
        <f t="shared" si="19"/>
        <v>16.041037854423237</v>
      </c>
      <c r="E242" s="10">
        <f t="shared" si="20"/>
        <v>7.1918497188534119E-4</v>
      </c>
      <c r="F242">
        <f>Source_CBS_bodemgebruik!AL244</f>
        <v>0</v>
      </c>
      <c r="G242" s="7">
        <f t="shared" si="21"/>
        <v>0</v>
      </c>
      <c r="H242">
        <f>Source_CBS_bodemgebruik!H244</f>
        <v>2672.5124934616751</v>
      </c>
      <c r="I242" s="9">
        <f t="shared" si="22"/>
        <v>26.725124934616751</v>
      </c>
      <c r="J242">
        <f>Source_CBS_bodemgebruik!Q244</f>
        <v>0</v>
      </c>
      <c r="K242" s="11">
        <f t="shared" si="23"/>
        <v>0</v>
      </c>
    </row>
    <row r="243" spans="1:11" x14ac:dyDescent="0.2">
      <c r="A243" s="13" t="str">
        <f>Source_CBS_bodemgebruik!A245</f>
        <v>2023GM0944</v>
      </c>
      <c r="B243" s="13" t="str">
        <f t="shared" si="18"/>
        <v>GM0944</v>
      </c>
      <c r="C243">
        <f>Source_CBS_bodemgebruik!N245</f>
        <v>703.31301279001548</v>
      </c>
      <c r="D243" s="9">
        <f t="shared" si="19"/>
        <v>7.0331301279001543</v>
      </c>
      <c r="E243" s="10">
        <f t="shared" si="20"/>
        <v>3.153238299917774E-4</v>
      </c>
      <c r="F243">
        <f>Source_CBS_bodemgebruik!AL245</f>
        <v>0</v>
      </c>
      <c r="G243" s="7">
        <f t="shared" si="21"/>
        <v>0</v>
      </c>
      <c r="H243">
        <f>Source_CBS_bodemgebruik!H245</f>
        <v>1738.8613028468894</v>
      </c>
      <c r="I243" s="9">
        <f t="shared" si="22"/>
        <v>17.388613028468896</v>
      </c>
      <c r="J243">
        <f>Source_CBS_bodemgebruik!Q245</f>
        <v>0</v>
      </c>
      <c r="K243" s="11">
        <f t="shared" si="23"/>
        <v>0</v>
      </c>
    </row>
    <row r="244" spans="1:11" x14ac:dyDescent="0.2">
      <c r="A244" s="13" t="str">
        <f>Source_CBS_bodemgebruik!A246</f>
        <v>2023GM0946</v>
      </c>
      <c r="B244" s="13" t="str">
        <f t="shared" si="18"/>
        <v>GM0946</v>
      </c>
      <c r="C244">
        <f>Source_CBS_bodemgebruik!N246</f>
        <v>7314.0400394459166</v>
      </c>
      <c r="D244" s="9">
        <f t="shared" si="19"/>
        <v>73.140400394459164</v>
      </c>
      <c r="E244" s="10">
        <f t="shared" si="20"/>
        <v>3.2791816389154092E-3</v>
      </c>
      <c r="F244">
        <f>Source_CBS_bodemgebruik!AL246</f>
        <v>3.2265310150772999</v>
      </c>
      <c r="G244" s="7">
        <f t="shared" si="21"/>
        <v>2.0465621061410374E-4</v>
      </c>
      <c r="H244">
        <f>Source_CBS_bodemgebruik!H246</f>
        <v>9989.9996817692809</v>
      </c>
      <c r="I244" s="9">
        <f t="shared" si="22"/>
        <v>99.899996817692809</v>
      </c>
      <c r="J244">
        <f>Source_CBS_bodemgebruik!Q246</f>
        <v>0</v>
      </c>
      <c r="K244" s="11">
        <f t="shared" si="23"/>
        <v>0</v>
      </c>
    </row>
    <row r="245" spans="1:11" x14ac:dyDescent="0.2">
      <c r="A245" s="13" t="str">
        <f>Source_CBS_bodemgebruik!A247</f>
        <v>2023GM0957</v>
      </c>
      <c r="B245" s="13" t="str">
        <f t="shared" si="18"/>
        <v>GM0957</v>
      </c>
      <c r="C245">
        <f>Source_CBS_bodemgebruik!N247</f>
        <v>2781.822960691547</v>
      </c>
      <c r="D245" s="9">
        <f t="shared" si="19"/>
        <v>27.81822960691547</v>
      </c>
      <c r="E245" s="10">
        <f t="shared" si="20"/>
        <v>1.2472043803719835E-3</v>
      </c>
      <c r="F245">
        <f>Source_CBS_bodemgebruik!AL247</f>
        <v>0</v>
      </c>
      <c r="G245" s="7">
        <f t="shared" si="21"/>
        <v>0</v>
      </c>
      <c r="H245">
        <f>Source_CBS_bodemgebruik!H247</f>
        <v>6063.5630335639062</v>
      </c>
      <c r="I245" s="9">
        <f t="shared" si="22"/>
        <v>60.635630335639064</v>
      </c>
      <c r="J245">
        <f>Source_CBS_bodemgebruik!Q247</f>
        <v>0</v>
      </c>
      <c r="K245" s="11">
        <f t="shared" si="23"/>
        <v>0</v>
      </c>
    </row>
    <row r="246" spans="1:11" x14ac:dyDescent="0.2">
      <c r="A246" s="13" t="str">
        <f>Source_CBS_bodemgebruik!A248</f>
        <v>2023GM0965</v>
      </c>
      <c r="B246" s="13" t="str">
        <f t="shared" si="18"/>
        <v>GM0965</v>
      </c>
      <c r="C246">
        <f>Source_CBS_bodemgebruik!N248</f>
        <v>1197.1203154428122</v>
      </c>
      <c r="D246" s="9">
        <f t="shared" si="19"/>
        <v>11.971203154428121</v>
      </c>
      <c r="E246" s="10">
        <f t="shared" si="20"/>
        <v>5.3671772875201243E-4</v>
      </c>
      <c r="F246">
        <f>Source_CBS_bodemgebruik!AL248</f>
        <v>0</v>
      </c>
      <c r="G246" s="7">
        <f t="shared" si="21"/>
        <v>0</v>
      </c>
      <c r="H246">
        <f>Source_CBS_bodemgebruik!H248</f>
        <v>1602.9947167813382</v>
      </c>
      <c r="I246" s="9">
        <f t="shared" si="22"/>
        <v>16.029947167813383</v>
      </c>
      <c r="J246">
        <f>Source_CBS_bodemgebruik!Q248</f>
        <v>0</v>
      </c>
      <c r="K246" s="11">
        <f t="shared" si="23"/>
        <v>0</v>
      </c>
    </row>
    <row r="247" spans="1:11" x14ac:dyDescent="0.2">
      <c r="A247" s="13" t="str">
        <f>Source_CBS_bodemgebruik!A249</f>
        <v>2023GM0971</v>
      </c>
      <c r="B247" s="13" t="str">
        <f t="shared" si="18"/>
        <v>GM0971</v>
      </c>
      <c r="C247">
        <f>Source_CBS_bodemgebruik!N249</f>
        <v>904.76565594173519</v>
      </c>
      <c r="D247" s="9">
        <f t="shared" si="19"/>
        <v>9.0476565594173515</v>
      </c>
      <c r="E247" s="10">
        <f t="shared" si="20"/>
        <v>4.0564324374551202E-4</v>
      </c>
      <c r="F247">
        <f>Source_CBS_bodemgebruik!AL249</f>
        <v>0</v>
      </c>
      <c r="G247" s="7">
        <f t="shared" si="21"/>
        <v>0</v>
      </c>
      <c r="H247">
        <f>Source_CBS_bodemgebruik!H249</f>
        <v>2092.3456959324767</v>
      </c>
      <c r="I247" s="9">
        <f t="shared" si="22"/>
        <v>20.923456959324767</v>
      </c>
      <c r="J247">
        <f>Source_CBS_bodemgebruik!Q249</f>
        <v>0</v>
      </c>
      <c r="K247" s="11">
        <f t="shared" si="23"/>
        <v>0</v>
      </c>
    </row>
    <row r="248" spans="1:11" x14ac:dyDescent="0.2">
      <c r="A248" s="13" t="str">
        <f>Source_CBS_bodemgebruik!A250</f>
        <v>2023GM0981</v>
      </c>
      <c r="B248" s="13" t="str">
        <f t="shared" si="18"/>
        <v>GM0981</v>
      </c>
      <c r="C248">
        <f>Source_CBS_bodemgebruik!N250</f>
        <v>1464.9799003799722</v>
      </c>
      <c r="D248" s="9">
        <f t="shared" si="19"/>
        <v>14.649799003799721</v>
      </c>
      <c r="E248" s="10">
        <f t="shared" si="20"/>
        <v>6.5681007552565395E-4</v>
      </c>
      <c r="F248">
        <f>Source_CBS_bodemgebruik!AL250</f>
        <v>0</v>
      </c>
      <c r="G248" s="7">
        <f t="shared" si="21"/>
        <v>0</v>
      </c>
      <c r="H248">
        <f>Source_CBS_bodemgebruik!H250</f>
        <v>2388.8343522103023</v>
      </c>
      <c r="I248" s="9">
        <f t="shared" si="22"/>
        <v>23.888343522103025</v>
      </c>
      <c r="J248">
        <f>Source_CBS_bodemgebruik!Q250</f>
        <v>0</v>
      </c>
      <c r="K248" s="11">
        <f t="shared" si="23"/>
        <v>0</v>
      </c>
    </row>
    <row r="249" spans="1:11" x14ac:dyDescent="0.2">
      <c r="A249" s="13" t="str">
        <f>Source_CBS_bodemgebruik!A251</f>
        <v>2023GM0983</v>
      </c>
      <c r="B249" s="13" t="str">
        <f t="shared" si="18"/>
        <v>GM0983</v>
      </c>
      <c r="C249">
        <f>Source_CBS_bodemgebruik!N251</f>
        <v>4751.1277424639375</v>
      </c>
      <c r="D249" s="9">
        <f t="shared" si="19"/>
        <v>47.511277424639374</v>
      </c>
      <c r="E249" s="10">
        <f t="shared" si="20"/>
        <v>2.1301238129959195E-3</v>
      </c>
      <c r="F249">
        <f>Source_CBS_bodemgebruik!AL251</f>
        <v>312.93233811178919</v>
      </c>
      <c r="G249" s="7">
        <f t="shared" si="21"/>
        <v>1.9849041028057783E-2</v>
      </c>
      <c r="H249">
        <f>Source_CBS_bodemgebruik!H251</f>
        <v>12416.002405088699</v>
      </c>
      <c r="I249" s="9">
        <f t="shared" si="22"/>
        <v>124.16002405088699</v>
      </c>
      <c r="J249">
        <f>Source_CBS_bodemgebruik!Q251</f>
        <v>0</v>
      </c>
      <c r="K249" s="11">
        <f t="shared" si="23"/>
        <v>0</v>
      </c>
    </row>
    <row r="250" spans="1:11" x14ac:dyDescent="0.2">
      <c r="A250" s="13" t="str">
        <f>Source_CBS_bodemgebruik!A252</f>
        <v>2023GM0984</v>
      </c>
      <c r="B250" s="13" t="str">
        <f t="shared" si="18"/>
        <v>GM0984</v>
      </c>
      <c r="C250">
        <f>Source_CBS_bodemgebruik!N252</f>
        <v>10883.513371311894</v>
      </c>
      <c r="D250" s="9">
        <f t="shared" si="19"/>
        <v>108.83513371311894</v>
      </c>
      <c r="E250" s="10">
        <f t="shared" si="20"/>
        <v>4.8795217173571784E-3</v>
      </c>
      <c r="F250">
        <f>Source_CBS_bodemgebruik!AL252</f>
        <v>25.782029893679116</v>
      </c>
      <c r="G250" s="7">
        <f t="shared" si="21"/>
        <v>1.6353329676124316E-3</v>
      </c>
      <c r="H250">
        <f>Source_CBS_bodemgebruik!H252</f>
        <v>16318.06807670787</v>
      </c>
      <c r="I250" s="9">
        <f t="shared" si="22"/>
        <v>163.18068076707871</v>
      </c>
      <c r="J250">
        <f>Source_CBS_bodemgebruik!Q252</f>
        <v>0</v>
      </c>
      <c r="K250" s="11">
        <f t="shared" si="23"/>
        <v>0</v>
      </c>
    </row>
    <row r="251" spans="1:11" x14ac:dyDescent="0.2">
      <c r="A251" s="13" t="str">
        <f>Source_CBS_bodemgebruik!A253</f>
        <v>2023GM0986</v>
      </c>
      <c r="B251" s="13" t="str">
        <f t="shared" si="18"/>
        <v>GM0986</v>
      </c>
      <c r="C251">
        <f>Source_CBS_bodemgebruik!N253</f>
        <v>2530.9496447822689</v>
      </c>
      <c r="D251" s="9">
        <f t="shared" si="19"/>
        <v>25.309496447822688</v>
      </c>
      <c r="E251" s="10">
        <f t="shared" si="20"/>
        <v>1.134727668898327E-3</v>
      </c>
      <c r="F251">
        <f>Source_CBS_bodemgebruik!AL253</f>
        <v>0</v>
      </c>
      <c r="G251" s="7">
        <f t="shared" si="21"/>
        <v>0</v>
      </c>
      <c r="H251">
        <f>Source_CBS_bodemgebruik!H253</f>
        <v>3151.0423735834606</v>
      </c>
      <c r="I251" s="9">
        <f t="shared" si="22"/>
        <v>31.510423735834607</v>
      </c>
      <c r="J251">
        <f>Source_CBS_bodemgebruik!Q253</f>
        <v>0</v>
      </c>
      <c r="K251" s="11">
        <f t="shared" si="23"/>
        <v>0</v>
      </c>
    </row>
    <row r="252" spans="1:11" x14ac:dyDescent="0.2">
      <c r="A252" s="13" t="str">
        <f>Source_CBS_bodemgebruik!A254</f>
        <v>2023GM0988</v>
      </c>
      <c r="B252" s="13" t="str">
        <f t="shared" si="18"/>
        <v>GM0988</v>
      </c>
      <c r="C252">
        <f>Source_CBS_bodemgebruik!N254</f>
        <v>5671.4110072165176</v>
      </c>
      <c r="D252" s="9">
        <f t="shared" si="19"/>
        <v>56.714110072165177</v>
      </c>
      <c r="E252" s="10">
        <f t="shared" si="20"/>
        <v>2.5427242319302416E-3</v>
      </c>
      <c r="F252">
        <f>Source_CBS_bodemgebruik!AL254</f>
        <v>6.8201491715319005</v>
      </c>
      <c r="G252" s="7">
        <f t="shared" si="21"/>
        <v>4.325964569211488E-4</v>
      </c>
      <c r="H252">
        <f>Source_CBS_bodemgebruik!H254</f>
        <v>10424.572673911185</v>
      </c>
      <c r="I252" s="9">
        <f t="shared" si="22"/>
        <v>104.24572673911184</v>
      </c>
      <c r="J252">
        <f>Source_CBS_bodemgebruik!Q254</f>
        <v>0</v>
      </c>
      <c r="K252" s="11">
        <f t="shared" si="23"/>
        <v>0</v>
      </c>
    </row>
    <row r="253" spans="1:11" x14ac:dyDescent="0.2">
      <c r="A253" s="13" t="str">
        <f>Source_CBS_bodemgebruik!A255</f>
        <v>2023GM0994</v>
      </c>
      <c r="B253" s="13" t="str">
        <f t="shared" si="18"/>
        <v>GM0994</v>
      </c>
      <c r="C253">
        <f>Source_CBS_bodemgebruik!N255</f>
        <v>2421.0698376742585</v>
      </c>
      <c r="D253" s="9">
        <f t="shared" si="19"/>
        <v>24.210698376742585</v>
      </c>
      <c r="E253" s="10">
        <f t="shared" si="20"/>
        <v>1.0854640821510702E-3</v>
      </c>
      <c r="F253">
        <f>Source_CBS_bodemgebruik!AL255</f>
        <v>0</v>
      </c>
      <c r="G253" s="7">
        <f t="shared" si="21"/>
        <v>0</v>
      </c>
      <c r="H253">
        <f>Source_CBS_bodemgebruik!H255</f>
        <v>3672.7231305331297</v>
      </c>
      <c r="I253" s="9">
        <f t="shared" si="22"/>
        <v>36.727231305331294</v>
      </c>
      <c r="J253">
        <f>Source_CBS_bodemgebruik!Q255</f>
        <v>0</v>
      </c>
      <c r="K253" s="11">
        <f t="shared" si="23"/>
        <v>0</v>
      </c>
    </row>
    <row r="254" spans="1:11" x14ac:dyDescent="0.2">
      <c r="A254" s="13" t="str">
        <f>Source_CBS_bodemgebruik!A256</f>
        <v>2023GM0995</v>
      </c>
      <c r="B254" s="13" t="str">
        <f t="shared" si="18"/>
        <v>GM0995</v>
      </c>
      <c r="C254">
        <f>Source_CBS_bodemgebruik!N256</f>
        <v>11324.555219365075</v>
      </c>
      <c r="D254" s="9">
        <f t="shared" si="19"/>
        <v>113.24555219365075</v>
      </c>
      <c r="E254" s="10">
        <f t="shared" si="20"/>
        <v>5.0772587166529708E-3</v>
      </c>
      <c r="F254">
        <f>Source_CBS_bodemgebruik!AL256</f>
        <v>0</v>
      </c>
      <c r="G254" s="7">
        <f t="shared" si="21"/>
        <v>0</v>
      </c>
      <c r="H254">
        <f>Source_CBS_bodemgebruik!H256</f>
        <v>22899.871207083164</v>
      </c>
      <c r="I254" s="9">
        <f t="shared" si="22"/>
        <v>228.99871207083163</v>
      </c>
      <c r="J254">
        <f>Source_CBS_bodemgebruik!Q256</f>
        <v>0</v>
      </c>
      <c r="K254" s="11">
        <f t="shared" si="23"/>
        <v>0</v>
      </c>
    </row>
    <row r="255" spans="1:11" x14ac:dyDescent="0.2">
      <c r="A255" s="13" t="str">
        <f>Source_CBS_bodemgebruik!A257</f>
        <v>2023GM1507</v>
      </c>
      <c r="B255" s="13" t="str">
        <f t="shared" si="18"/>
        <v>GM1507</v>
      </c>
      <c r="C255">
        <f>Source_CBS_bodemgebruik!N257</f>
        <v>13084.153334230703</v>
      </c>
      <c r="D255" s="9">
        <f t="shared" si="19"/>
        <v>130.84153334230703</v>
      </c>
      <c r="E255" s="10">
        <f t="shared" si="20"/>
        <v>5.8661581209519184E-3</v>
      </c>
      <c r="F255">
        <f>Source_CBS_bodemgebruik!AL257</f>
        <v>384.86836886221084</v>
      </c>
      <c r="G255" s="7">
        <f t="shared" si="21"/>
        <v>2.441188433909542E-2</v>
      </c>
      <c r="H255">
        <f>Source_CBS_bodemgebruik!H257</f>
        <v>18867.493216300332</v>
      </c>
      <c r="I255" s="9">
        <f t="shared" si="22"/>
        <v>188.67493216300332</v>
      </c>
      <c r="J255">
        <f>Source_CBS_bodemgebruik!Q257</f>
        <v>0</v>
      </c>
      <c r="K255" s="11">
        <f t="shared" si="23"/>
        <v>0</v>
      </c>
    </row>
    <row r="256" spans="1:11" x14ac:dyDescent="0.2">
      <c r="A256" s="13" t="str">
        <f>Source_CBS_bodemgebruik!A258</f>
        <v>2023GM1509</v>
      </c>
      <c r="B256" s="13" t="str">
        <f t="shared" si="18"/>
        <v>GM1509</v>
      </c>
      <c r="C256">
        <f>Source_CBS_bodemgebruik!N258</f>
        <v>11205.882636565133</v>
      </c>
      <c r="D256" s="9">
        <f t="shared" si="19"/>
        <v>112.05882636565133</v>
      </c>
      <c r="E256" s="10">
        <f t="shared" si="20"/>
        <v>5.0240529709281063E-3</v>
      </c>
      <c r="F256">
        <f>Source_CBS_bodemgebruik!AL258</f>
        <v>1.08636992653</v>
      </c>
      <c r="G256" s="7">
        <f t="shared" si="21"/>
        <v>6.8907551624271471E-5</v>
      </c>
      <c r="H256">
        <f>Source_CBS_bodemgebruik!H258</f>
        <v>13607.06565024874</v>
      </c>
      <c r="I256" s="9">
        <f t="shared" si="22"/>
        <v>136.0706565024874</v>
      </c>
      <c r="J256">
        <f>Source_CBS_bodemgebruik!Q258</f>
        <v>0</v>
      </c>
      <c r="K256" s="11">
        <f t="shared" si="23"/>
        <v>0</v>
      </c>
    </row>
    <row r="257" spans="1:11" x14ac:dyDescent="0.2">
      <c r="A257" s="13" t="str">
        <f>Source_CBS_bodemgebruik!A259</f>
        <v>2023GM1525</v>
      </c>
      <c r="B257" s="13" t="str">
        <f t="shared" si="18"/>
        <v>GM1525</v>
      </c>
      <c r="C257">
        <f>Source_CBS_bodemgebruik!N259</f>
        <v>1737.1558293032381</v>
      </c>
      <c r="D257" s="9">
        <f t="shared" si="19"/>
        <v>17.371558293032379</v>
      </c>
      <c r="E257" s="10">
        <f t="shared" si="20"/>
        <v>7.7883761487004236E-4</v>
      </c>
      <c r="F257">
        <f>Source_CBS_bodemgebruik!AL259</f>
        <v>8.5280779369136415</v>
      </c>
      <c r="G257" s="7">
        <f t="shared" si="21"/>
        <v>5.4092897487572288E-4</v>
      </c>
      <c r="H257">
        <f>Source_CBS_bodemgebruik!H259</f>
        <v>2831.8744341808956</v>
      </c>
      <c r="I257" s="9">
        <f t="shared" si="22"/>
        <v>28.318744341808955</v>
      </c>
      <c r="J257">
        <f>Source_CBS_bodemgebruik!Q259</f>
        <v>0</v>
      </c>
      <c r="K257" s="11">
        <f t="shared" si="23"/>
        <v>0</v>
      </c>
    </row>
    <row r="258" spans="1:11" x14ac:dyDescent="0.2">
      <c r="A258" s="13" t="str">
        <f>Source_CBS_bodemgebruik!A260</f>
        <v>2023GM1581</v>
      </c>
      <c r="B258" s="13" t="str">
        <f t="shared" si="18"/>
        <v>GM1581</v>
      </c>
      <c r="C258">
        <f>Source_CBS_bodemgebruik!N260</f>
        <v>4840.3433726017938</v>
      </c>
      <c r="D258" s="9">
        <f t="shared" si="19"/>
        <v>48.403433726017937</v>
      </c>
      <c r="E258" s="10">
        <f t="shared" si="20"/>
        <v>2.1701228087184655E-3</v>
      </c>
      <c r="F258">
        <f>Source_CBS_bodemgebruik!AL260</f>
        <v>1.8917186238300001</v>
      </c>
      <c r="G258" s="7">
        <f t="shared" si="21"/>
        <v>1.1999015763122914E-4</v>
      </c>
      <c r="H258">
        <f>Source_CBS_bodemgebruik!H260</f>
        <v>13201.797916509737</v>
      </c>
      <c r="I258" s="9">
        <f t="shared" si="22"/>
        <v>132.01797916509736</v>
      </c>
      <c r="J258">
        <f>Source_CBS_bodemgebruik!Q260</f>
        <v>0</v>
      </c>
      <c r="K258" s="11">
        <f t="shared" si="23"/>
        <v>0</v>
      </c>
    </row>
    <row r="259" spans="1:11" x14ac:dyDescent="0.2">
      <c r="A259" s="13" t="str">
        <f>Source_CBS_bodemgebruik!A261</f>
        <v>2023GM1586</v>
      </c>
      <c r="B259" s="13" t="str">
        <f t="shared" ref="B259:B322" si="24">RIGHT(A259,6)</f>
        <v>GM1586</v>
      </c>
      <c r="C259">
        <f>Source_CBS_bodemgebruik!N261</f>
        <v>8954.9354183022351</v>
      </c>
      <c r="D259" s="9">
        <f t="shared" ref="D259:D322" si="25">C259/100</f>
        <v>89.549354183022345</v>
      </c>
      <c r="E259" s="10">
        <f t="shared" ref="E259:E322" si="26">D259/SUM(D$2:D$343)</f>
        <v>4.0148617785792894E-3</v>
      </c>
      <c r="F259">
        <f>Source_CBS_bodemgebruik!AL261</f>
        <v>0</v>
      </c>
      <c r="G259" s="7">
        <f t="shared" ref="G259:G322" si="27">F259/SUM(F$2:F$343)</f>
        <v>0</v>
      </c>
      <c r="H259">
        <f>Source_CBS_bodemgebruik!H261</f>
        <v>10993.418037384317</v>
      </c>
      <c r="I259" s="9">
        <f t="shared" ref="I259:I322" si="28">H259/100</f>
        <v>109.93418037384318</v>
      </c>
      <c r="J259">
        <f>Source_CBS_bodemgebruik!Q261</f>
        <v>0</v>
      </c>
      <c r="K259" s="11">
        <f t="shared" ref="K259:K322" si="29">J259/100</f>
        <v>0</v>
      </c>
    </row>
    <row r="260" spans="1:11" x14ac:dyDescent="0.2">
      <c r="A260" s="13" t="str">
        <f>Source_CBS_bodemgebruik!A262</f>
        <v>2023GM1598</v>
      </c>
      <c r="B260" s="13" t="str">
        <f t="shared" si="24"/>
        <v>GM1598</v>
      </c>
      <c r="C260">
        <f>Source_CBS_bodemgebruik!N262</f>
        <v>6945.7288852798911</v>
      </c>
      <c r="D260" s="9">
        <f t="shared" si="25"/>
        <v>69.457288852798911</v>
      </c>
      <c r="E260" s="10">
        <f t="shared" si="26"/>
        <v>3.1140527679172584E-3</v>
      </c>
      <c r="F260">
        <f>Source_CBS_bodemgebruik!AL262</f>
        <v>60.253394706360915</v>
      </c>
      <c r="G260" s="7">
        <f t="shared" si="27"/>
        <v>3.8218233079480553E-3</v>
      </c>
      <c r="H260">
        <f>Source_CBS_bodemgebruik!H262</f>
        <v>8025.539428573863</v>
      </c>
      <c r="I260" s="9">
        <f t="shared" si="28"/>
        <v>80.255394285738632</v>
      </c>
      <c r="J260">
        <f>Source_CBS_bodemgebruik!Q262</f>
        <v>0</v>
      </c>
      <c r="K260" s="11">
        <f t="shared" si="29"/>
        <v>0</v>
      </c>
    </row>
    <row r="261" spans="1:11" x14ac:dyDescent="0.2">
      <c r="A261" s="13" t="str">
        <f>Source_CBS_bodemgebruik!A263</f>
        <v>2023GM1621</v>
      </c>
      <c r="B261" s="13" t="str">
        <f t="shared" si="24"/>
        <v>GM1621</v>
      </c>
      <c r="C261">
        <f>Source_CBS_bodemgebruik!N263</f>
        <v>2946.4497123292986</v>
      </c>
      <c r="D261" s="9">
        <f t="shared" si="25"/>
        <v>29.464497123292986</v>
      </c>
      <c r="E261" s="10">
        <f t="shared" si="26"/>
        <v>1.3210132491139298E-3</v>
      </c>
      <c r="F261">
        <f>Source_CBS_bodemgebruik!AL263</f>
        <v>1189.9142675497376</v>
      </c>
      <c r="G261" s="7">
        <f t="shared" si="27"/>
        <v>7.5475284078914032E-2</v>
      </c>
      <c r="H261">
        <f>Source_CBS_bodemgebruik!H263</f>
        <v>5327.2435617192123</v>
      </c>
      <c r="I261" s="9">
        <f t="shared" si="28"/>
        <v>53.272435617192123</v>
      </c>
      <c r="J261">
        <f>Source_CBS_bodemgebruik!Q263</f>
        <v>0</v>
      </c>
      <c r="K261" s="11">
        <f t="shared" si="29"/>
        <v>0</v>
      </c>
    </row>
    <row r="262" spans="1:11" x14ac:dyDescent="0.2">
      <c r="A262" s="13" t="str">
        <f>Source_CBS_bodemgebruik!A264</f>
        <v>2023GM1640</v>
      </c>
      <c r="B262" s="13" t="str">
        <f t="shared" si="24"/>
        <v>GM1640</v>
      </c>
      <c r="C262">
        <f>Source_CBS_bodemgebruik!N264</f>
        <v>11290.387718679402</v>
      </c>
      <c r="D262" s="9">
        <f t="shared" si="25"/>
        <v>112.90387718679402</v>
      </c>
      <c r="E262" s="10">
        <f t="shared" si="26"/>
        <v>5.0619400363761564E-3</v>
      </c>
      <c r="F262">
        <f>Source_CBS_bodemgebruik!AL264</f>
        <v>43.902396943436329</v>
      </c>
      <c r="G262" s="7">
        <f t="shared" si="27"/>
        <v>2.7846929576483964E-3</v>
      </c>
      <c r="H262">
        <f>Source_CBS_bodemgebruik!H264</f>
        <v>16250.810774028749</v>
      </c>
      <c r="I262" s="9">
        <f t="shared" si="28"/>
        <v>162.5081077402875</v>
      </c>
      <c r="J262">
        <f>Source_CBS_bodemgebruik!Q264</f>
        <v>0</v>
      </c>
      <c r="K262" s="11">
        <f t="shared" si="29"/>
        <v>0</v>
      </c>
    </row>
    <row r="263" spans="1:11" x14ac:dyDescent="0.2">
      <c r="A263" s="13" t="str">
        <f>Source_CBS_bodemgebruik!A265</f>
        <v>2023GM1641</v>
      </c>
      <c r="B263" s="13" t="str">
        <f t="shared" si="24"/>
        <v>GM1641</v>
      </c>
      <c r="C263">
        <f>Source_CBS_bodemgebruik!N265</f>
        <v>2380.5486051911362</v>
      </c>
      <c r="D263" s="9">
        <f t="shared" si="25"/>
        <v>23.805486051911362</v>
      </c>
      <c r="E263" s="10">
        <f t="shared" si="26"/>
        <v>1.0672967654795384E-3</v>
      </c>
      <c r="F263">
        <f>Source_CBS_bodemgebruik!AL265</f>
        <v>1.0839711385859998</v>
      </c>
      <c r="G263" s="7">
        <f t="shared" si="27"/>
        <v>6.8755398476388552E-5</v>
      </c>
      <c r="H263">
        <f>Source_CBS_bodemgebruik!H265</f>
        <v>4569.7993736308335</v>
      </c>
      <c r="I263" s="9">
        <f t="shared" si="28"/>
        <v>45.697993736308334</v>
      </c>
      <c r="J263">
        <f>Source_CBS_bodemgebruik!Q265</f>
        <v>0</v>
      </c>
      <c r="K263" s="11">
        <f t="shared" si="29"/>
        <v>0</v>
      </c>
    </row>
    <row r="264" spans="1:11" x14ac:dyDescent="0.2">
      <c r="A264" s="13" t="str">
        <f>Source_CBS_bodemgebruik!A266</f>
        <v>2023GM1652</v>
      </c>
      <c r="B264" s="13" t="str">
        <f t="shared" si="24"/>
        <v>GM1652</v>
      </c>
      <c r="C264">
        <f>Source_CBS_bodemgebruik!N266</f>
        <v>7769.8565718055952</v>
      </c>
      <c r="D264" s="9">
        <f t="shared" si="25"/>
        <v>77.698565718055946</v>
      </c>
      <c r="E264" s="10">
        <f t="shared" si="26"/>
        <v>3.483542730127207E-3</v>
      </c>
      <c r="F264">
        <f>Source_CBS_bodemgebruik!AL266</f>
        <v>16.051488726992503</v>
      </c>
      <c r="G264" s="7">
        <f t="shared" si="27"/>
        <v>1.018132738297136E-3</v>
      </c>
      <c r="H264">
        <f>Source_CBS_bodemgebruik!H266</f>
        <v>12206.547014241614</v>
      </c>
      <c r="I264" s="9">
        <f t="shared" si="28"/>
        <v>122.06547014241615</v>
      </c>
      <c r="J264">
        <f>Source_CBS_bodemgebruik!Q266</f>
        <v>0</v>
      </c>
      <c r="K264" s="11">
        <f t="shared" si="29"/>
        <v>0</v>
      </c>
    </row>
    <row r="265" spans="1:11" x14ac:dyDescent="0.2">
      <c r="A265" s="13" t="str">
        <f>Source_CBS_bodemgebruik!A267</f>
        <v>2023GM1655</v>
      </c>
      <c r="B265" s="13" t="str">
        <f t="shared" si="24"/>
        <v>GM1655</v>
      </c>
      <c r="C265">
        <f>Source_CBS_bodemgebruik!N267</f>
        <v>5775.6972043825499</v>
      </c>
      <c r="D265" s="9">
        <f t="shared" si="25"/>
        <v>57.756972043825499</v>
      </c>
      <c r="E265" s="10">
        <f t="shared" si="26"/>
        <v>2.5894799758275737E-3</v>
      </c>
      <c r="F265">
        <f>Source_CBS_bodemgebruik!AL267</f>
        <v>33.217687489112933</v>
      </c>
      <c r="G265" s="7">
        <f t="shared" si="27"/>
        <v>2.1069706180160512E-3</v>
      </c>
      <c r="H265">
        <f>Source_CBS_bodemgebruik!H267</f>
        <v>7444.3246769027755</v>
      </c>
      <c r="I265" s="9">
        <f t="shared" si="28"/>
        <v>74.443246769027752</v>
      </c>
      <c r="J265">
        <f>Source_CBS_bodemgebruik!Q267</f>
        <v>0</v>
      </c>
      <c r="K265" s="11">
        <f t="shared" si="29"/>
        <v>0</v>
      </c>
    </row>
    <row r="266" spans="1:11" x14ac:dyDescent="0.2">
      <c r="A266" s="13" t="str">
        <f>Source_CBS_bodemgebruik!A268</f>
        <v>2023GM1658</v>
      </c>
      <c r="B266" s="13" t="str">
        <f t="shared" si="24"/>
        <v>GM1658</v>
      </c>
      <c r="C266">
        <f>Source_CBS_bodemgebruik!N268</f>
        <v>4436.0953184083983</v>
      </c>
      <c r="D266" s="9">
        <f t="shared" si="25"/>
        <v>44.360953184083982</v>
      </c>
      <c r="E266" s="10">
        <f t="shared" si="26"/>
        <v>1.9888819637505608E-3</v>
      </c>
      <c r="F266">
        <f>Source_CBS_bodemgebruik!AL268</f>
        <v>0</v>
      </c>
      <c r="G266" s="7">
        <f t="shared" si="27"/>
        <v>0</v>
      </c>
      <c r="H266">
        <f>Source_CBS_bodemgebruik!H268</f>
        <v>10392.304606802019</v>
      </c>
      <c r="I266" s="9">
        <f t="shared" si="28"/>
        <v>103.9230460680202</v>
      </c>
      <c r="J266">
        <f>Source_CBS_bodemgebruik!Q268</f>
        <v>0</v>
      </c>
      <c r="K266" s="11">
        <f t="shared" si="29"/>
        <v>0</v>
      </c>
    </row>
    <row r="267" spans="1:11" x14ac:dyDescent="0.2">
      <c r="A267" s="13" t="str">
        <f>Source_CBS_bodemgebruik!A269</f>
        <v>2023GM1659</v>
      </c>
      <c r="B267" s="13" t="str">
        <f t="shared" si="24"/>
        <v>GM1659</v>
      </c>
      <c r="C267">
        <f>Source_CBS_bodemgebruik!N269</f>
        <v>3844.2436606368465</v>
      </c>
      <c r="D267" s="9">
        <f t="shared" si="25"/>
        <v>38.442436606368467</v>
      </c>
      <c r="E267" s="10">
        <f t="shared" si="26"/>
        <v>1.7235307927617369E-3</v>
      </c>
      <c r="F267">
        <f>Source_CBS_bodemgebruik!AL269</f>
        <v>40.176166075485291</v>
      </c>
      <c r="G267" s="7">
        <f t="shared" si="27"/>
        <v>2.5483411960367411E-3</v>
      </c>
      <c r="H267">
        <f>Source_CBS_bodemgebruik!H269</f>
        <v>5535.1120704882032</v>
      </c>
      <c r="I267" s="9">
        <f t="shared" si="28"/>
        <v>55.351120704882035</v>
      </c>
      <c r="J267">
        <f>Source_CBS_bodemgebruik!Q269</f>
        <v>0</v>
      </c>
      <c r="K267" s="11">
        <f t="shared" si="29"/>
        <v>0</v>
      </c>
    </row>
    <row r="268" spans="1:11" x14ac:dyDescent="0.2">
      <c r="A268" s="13" t="str">
        <f>Source_CBS_bodemgebruik!A270</f>
        <v>2023GM1667</v>
      </c>
      <c r="B268" s="13" t="str">
        <f t="shared" si="24"/>
        <v>GM1667</v>
      </c>
      <c r="C268">
        <f>Source_CBS_bodemgebruik!N270</f>
        <v>4825.266720907779</v>
      </c>
      <c r="D268" s="9">
        <f t="shared" si="25"/>
        <v>48.252667209077792</v>
      </c>
      <c r="E268" s="10">
        <f t="shared" si="26"/>
        <v>2.1633633325404979E-3</v>
      </c>
      <c r="F268">
        <f>Source_CBS_bodemgebruik!AL270</f>
        <v>3.1993093725100001</v>
      </c>
      <c r="G268" s="7">
        <f t="shared" si="27"/>
        <v>2.0292956419772591E-4</v>
      </c>
      <c r="H268">
        <f>Source_CBS_bodemgebruik!H270</f>
        <v>7781.1141929752239</v>
      </c>
      <c r="I268" s="9">
        <f t="shared" si="28"/>
        <v>77.811141929752239</v>
      </c>
      <c r="J268">
        <f>Source_CBS_bodemgebruik!Q270</f>
        <v>0</v>
      </c>
      <c r="K268" s="11">
        <f t="shared" si="29"/>
        <v>0</v>
      </c>
    </row>
    <row r="269" spans="1:11" x14ac:dyDescent="0.2">
      <c r="A269" s="13" t="str">
        <f>Source_CBS_bodemgebruik!A271</f>
        <v>2023GM1669</v>
      </c>
      <c r="B269" s="13" t="str">
        <f t="shared" si="24"/>
        <v>GM1669</v>
      </c>
      <c r="C269">
        <f>Source_CBS_bodemgebruik!N271</f>
        <v>4919.1369527046218</v>
      </c>
      <c r="D269" s="9">
        <f t="shared" si="25"/>
        <v>49.19136952704622</v>
      </c>
      <c r="E269" s="10">
        <f t="shared" si="26"/>
        <v>2.2054491755067419E-3</v>
      </c>
      <c r="F269">
        <f>Source_CBS_bodemgebruik!AL271</f>
        <v>5.9010998479012002</v>
      </c>
      <c r="G269" s="7">
        <f t="shared" si="27"/>
        <v>3.7430191362905279E-4</v>
      </c>
      <c r="H269">
        <f>Source_CBS_bodemgebruik!H271</f>
        <v>8821.4096759287713</v>
      </c>
      <c r="I269" s="9">
        <f t="shared" si="28"/>
        <v>88.214096759287713</v>
      </c>
      <c r="J269">
        <f>Source_CBS_bodemgebruik!Q271</f>
        <v>0</v>
      </c>
      <c r="K269" s="11">
        <f t="shared" si="29"/>
        <v>0</v>
      </c>
    </row>
    <row r="270" spans="1:11" x14ac:dyDescent="0.2">
      <c r="A270" s="13" t="str">
        <f>Source_CBS_bodemgebruik!A272</f>
        <v>2023GM1674</v>
      </c>
      <c r="B270" s="13" t="str">
        <f t="shared" si="24"/>
        <v>GM1674</v>
      </c>
      <c r="C270">
        <f>Source_CBS_bodemgebruik!N272</f>
        <v>7124.4131360695637</v>
      </c>
      <c r="D270" s="9">
        <f t="shared" si="25"/>
        <v>71.244131360695633</v>
      </c>
      <c r="E270" s="10">
        <f t="shared" si="26"/>
        <v>3.1941641852998243E-3</v>
      </c>
      <c r="F270">
        <f>Source_CBS_bodemgebruik!AL272</f>
        <v>52.691046337417596</v>
      </c>
      <c r="G270" s="7">
        <f t="shared" si="27"/>
        <v>3.3421497658994879E-3</v>
      </c>
      <c r="H270">
        <f>Source_CBS_bodemgebruik!H272</f>
        <v>10649.715796851182</v>
      </c>
      <c r="I270" s="9">
        <f t="shared" si="28"/>
        <v>106.49715796851181</v>
      </c>
      <c r="J270">
        <f>Source_CBS_bodemgebruik!Q272</f>
        <v>0</v>
      </c>
      <c r="K270" s="11">
        <f t="shared" si="29"/>
        <v>0</v>
      </c>
    </row>
    <row r="271" spans="1:11" x14ac:dyDescent="0.2">
      <c r="A271" s="13" t="str">
        <f>Source_CBS_bodemgebruik!A273</f>
        <v>2023GM1676</v>
      </c>
      <c r="B271" s="13" t="str">
        <f t="shared" si="24"/>
        <v>GM1676</v>
      </c>
      <c r="C271">
        <f>Source_CBS_bodemgebruik!N273</f>
        <v>15401.477534142394</v>
      </c>
      <c r="D271" s="9">
        <f t="shared" si="25"/>
        <v>154.01477534142393</v>
      </c>
      <c r="E271" s="10">
        <f t="shared" si="26"/>
        <v>6.905108813972792E-3</v>
      </c>
      <c r="F271">
        <f>Source_CBS_bodemgebruik!AL273</f>
        <v>75.307135904894395</v>
      </c>
      <c r="G271" s="7">
        <f t="shared" si="27"/>
        <v>4.7766697404976795E-3</v>
      </c>
      <c r="H271">
        <f>Source_CBS_bodemgebruik!H273</f>
        <v>22859.786185108096</v>
      </c>
      <c r="I271" s="9">
        <f t="shared" si="28"/>
        <v>228.59786185108095</v>
      </c>
      <c r="J271">
        <f>Source_CBS_bodemgebruik!Q273</f>
        <v>18711.200533192539</v>
      </c>
      <c r="K271" s="11">
        <f t="shared" si="29"/>
        <v>187.11200533192539</v>
      </c>
    </row>
    <row r="272" spans="1:11" x14ac:dyDescent="0.2">
      <c r="A272" s="13" t="str">
        <f>Source_CBS_bodemgebruik!A274</f>
        <v>2023GM1680</v>
      </c>
      <c r="B272" s="13" t="str">
        <f t="shared" si="24"/>
        <v>GM1680</v>
      </c>
      <c r="C272">
        <f>Source_CBS_bodemgebruik!N274</f>
        <v>18748.84264703091</v>
      </c>
      <c r="D272" s="9">
        <f t="shared" si="25"/>
        <v>187.48842647030909</v>
      </c>
      <c r="E272" s="10">
        <f t="shared" si="26"/>
        <v>8.405868743878997E-3</v>
      </c>
      <c r="F272">
        <f>Source_CBS_bodemgebruik!AL274</f>
        <v>0</v>
      </c>
      <c r="G272" s="7">
        <f t="shared" si="27"/>
        <v>0</v>
      </c>
      <c r="H272">
        <f>Source_CBS_bodemgebruik!H274</f>
        <v>27606.032316816174</v>
      </c>
      <c r="I272" s="9">
        <f t="shared" si="28"/>
        <v>276.06032316816174</v>
      </c>
      <c r="J272">
        <f>Source_CBS_bodemgebruik!Q274</f>
        <v>0</v>
      </c>
      <c r="K272" s="11">
        <f t="shared" si="29"/>
        <v>0</v>
      </c>
    </row>
    <row r="273" spans="1:11" x14ac:dyDescent="0.2">
      <c r="A273" s="13" t="str">
        <f>Source_CBS_bodemgebruik!A275</f>
        <v>2023GM1681</v>
      </c>
      <c r="B273" s="13" t="str">
        <f t="shared" si="24"/>
        <v>GM1681</v>
      </c>
      <c r="C273">
        <f>Source_CBS_bodemgebruik!N275</f>
        <v>21311.438554296328</v>
      </c>
      <c r="D273" s="9">
        <f t="shared" si="25"/>
        <v>213.11438554296328</v>
      </c>
      <c r="E273" s="10">
        <f t="shared" si="26"/>
        <v>9.5547847194198052E-3</v>
      </c>
      <c r="F273">
        <f>Source_CBS_bodemgebruik!AL275</f>
        <v>0</v>
      </c>
      <c r="G273" s="7">
        <f t="shared" si="27"/>
        <v>0</v>
      </c>
      <c r="H273">
        <f>Source_CBS_bodemgebruik!H275</f>
        <v>27468.570220411311</v>
      </c>
      <c r="I273" s="9">
        <f t="shared" si="28"/>
        <v>274.68570220411311</v>
      </c>
      <c r="J273">
        <f>Source_CBS_bodemgebruik!Q275</f>
        <v>0</v>
      </c>
      <c r="K273" s="11">
        <f t="shared" si="29"/>
        <v>0</v>
      </c>
    </row>
    <row r="274" spans="1:11" x14ac:dyDescent="0.2">
      <c r="A274" s="13" t="str">
        <f>Source_CBS_bodemgebruik!A276</f>
        <v>2023GM1690</v>
      </c>
      <c r="B274" s="13" t="str">
        <f t="shared" si="24"/>
        <v>GM1690</v>
      </c>
      <c r="C274">
        <f>Source_CBS_bodemgebruik!N276</f>
        <v>18501.621224946855</v>
      </c>
      <c r="D274" s="9">
        <f t="shared" si="25"/>
        <v>185.01621224946857</v>
      </c>
      <c r="E274" s="10">
        <f t="shared" si="26"/>
        <v>8.2950293249433038E-3</v>
      </c>
      <c r="F274">
        <f>Source_CBS_bodemgebruik!AL276</f>
        <v>0</v>
      </c>
      <c r="G274" s="7">
        <f t="shared" si="27"/>
        <v>0</v>
      </c>
      <c r="H274">
        <f>Source_CBS_bodemgebruik!H276</f>
        <v>22439.011971626609</v>
      </c>
      <c r="I274" s="9">
        <f t="shared" si="28"/>
        <v>224.3901197162661</v>
      </c>
      <c r="J274">
        <f>Source_CBS_bodemgebruik!Q276</f>
        <v>0</v>
      </c>
      <c r="K274" s="11">
        <f t="shared" si="29"/>
        <v>0</v>
      </c>
    </row>
    <row r="275" spans="1:11" x14ac:dyDescent="0.2">
      <c r="A275" s="13" t="str">
        <f>Source_CBS_bodemgebruik!A277</f>
        <v>2023GM1695</v>
      </c>
      <c r="B275" s="13" t="str">
        <f t="shared" si="24"/>
        <v>GM1695</v>
      </c>
      <c r="C275">
        <f>Source_CBS_bodemgebruik!N277</f>
        <v>6965.7006687351395</v>
      </c>
      <c r="D275" s="9">
        <f t="shared" si="25"/>
        <v>69.657006687351398</v>
      </c>
      <c r="E275" s="10">
        <f t="shared" si="26"/>
        <v>3.1230069307670162E-3</v>
      </c>
      <c r="F275">
        <f>Source_CBS_bodemgebruik!AL277</f>
        <v>0</v>
      </c>
      <c r="G275" s="7">
        <f t="shared" si="27"/>
        <v>0</v>
      </c>
      <c r="H275">
        <f>Source_CBS_bodemgebruik!H277</f>
        <v>8600.2673332098548</v>
      </c>
      <c r="I275" s="9">
        <f t="shared" si="28"/>
        <v>86.002673332098553</v>
      </c>
      <c r="J275">
        <f>Source_CBS_bodemgebruik!Q277</f>
        <v>2850.5644736813269</v>
      </c>
      <c r="K275" s="11">
        <f t="shared" si="29"/>
        <v>28.50564473681327</v>
      </c>
    </row>
    <row r="276" spans="1:11" x14ac:dyDescent="0.2">
      <c r="A276" s="13" t="str">
        <f>Source_CBS_bodemgebruik!A278</f>
        <v>2023GM1696</v>
      </c>
      <c r="B276" s="13" t="str">
        <f t="shared" si="24"/>
        <v>GM1696</v>
      </c>
      <c r="C276">
        <f>Source_CBS_bodemgebruik!N278</f>
        <v>2655.5891440253531</v>
      </c>
      <c r="D276" s="9">
        <f t="shared" si="25"/>
        <v>26.555891440253532</v>
      </c>
      <c r="E276" s="10">
        <f t="shared" si="26"/>
        <v>1.1906086259613534E-3</v>
      </c>
      <c r="F276">
        <f>Source_CBS_bodemgebruik!AL278</f>
        <v>2.7366381442486998</v>
      </c>
      <c r="G276" s="7">
        <f t="shared" si="27"/>
        <v>1.7358270842796593E-4</v>
      </c>
      <c r="H276">
        <f>Source_CBS_bodemgebruik!H278</f>
        <v>4753.737366334125</v>
      </c>
      <c r="I276" s="9">
        <f t="shared" si="28"/>
        <v>47.537373663341249</v>
      </c>
      <c r="J276">
        <f>Source_CBS_bodemgebruik!Q278</f>
        <v>0</v>
      </c>
      <c r="K276" s="11">
        <f t="shared" si="29"/>
        <v>0</v>
      </c>
    </row>
    <row r="277" spans="1:11" x14ac:dyDescent="0.2">
      <c r="A277" s="13" t="str">
        <f>Source_CBS_bodemgebruik!A279</f>
        <v>2023GM1699</v>
      </c>
      <c r="B277" s="13" t="str">
        <f t="shared" si="24"/>
        <v>GM1699</v>
      </c>
      <c r="C277">
        <f>Source_CBS_bodemgebruik!N279</f>
        <v>12999.74098060974</v>
      </c>
      <c r="D277" s="9">
        <f t="shared" si="25"/>
        <v>129.99740980609741</v>
      </c>
      <c r="E277" s="10">
        <f t="shared" si="26"/>
        <v>5.8283126294590305E-3</v>
      </c>
      <c r="F277">
        <f>Source_CBS_bodemgebruik!AL279</f>
        <v>0</v>
      </c>
      <c r="G277" s="7">
        <f t="shared" si="27"/>
        <v>0</v>
      </c>
      <c r="H277">
        <f>Source_CBS_bodemgebruik!H279</f>
        <v>19901.244382452845</v>
      </c>
      <c r="I277" s="9">
        <f t="shared" si="28"/>
        <v>199.01244382452845</v>
      </c>
      <c r="J277">
        <f>Source_CBS_bodemgebruik!Q279</f>
        <v>0</v>
      </c>
      <c r="K277" s="11">
        <f t="shared" si="29"/>
        <v>0</v>
      </c>
    </row>
    <row r="278" spans="1:11" x14ac:dyDescent="0.2">
      <c r="A278" s="13" t="str">
        <f>Source_CBS_bodemgebruik!A280</f>
        <v>2023GM1700</v>
      </c>
      <c r="B278" s="13" t="str">
        <f t="shared" si="24"/>
        <v>GM1700</v>
      </c>
      <c r="C278">
        <f>Source_CBS_bodemgebruik!N280</f>
        <v>7928.5878196972517</v>
      </c>
      <c r="D278" s="9">
        <f t="shared" si="25"/>
        <v>79.285878196972519</v>
      </c>
      <c r="E278" s="10">
        <f t="shared" si="26"/>
        <v>3.5547084047476982E-3</v>
      </c>
      <c r="F278">
        <f>Source_CBS_bodemgebruik!AL280</f>
        <v>0</v>
      </c>
      <c r="G278" s="7">
        <f t="shared" si="27"/>
        <v>0</v>
      </c>
      <c r="H278">
        <f>Source_CBS_bodemgebruik!H280</f>
        <v>10614.005126260699</v>
      </c>
      <c r="I278" s="9">
        <f t="shared" si="28"/>
        <v>106.14005126260699</v>
      </c>
      <c r="J278">
        <f>Source_CBS_bodemgebruik!Q280</f>
        <v>0</v>
      </c>
      <c r="K278" s="11">
        <f t="shared" si="29"/>
        <v>0</v>
      </c>
    </row>
    <row r="279" spans="1:11" x14ac:dyDescent="0.2">
      <c r="A279" s="13" t="str">
        <f>Source_CBS_bodemgebruik!A281</f>
        <v>2023GM1701</v>
      </c>
      <c r="B279" s="13" t="str">
        <f t="shared" si="24"/>
        <v>GM1701</v>
      </c>
      <c r="C279">
        <f>Source_CBS_bodemgebruik!N281</f>
        <v>15581.363250161949</v>
      </c>
      <c r="D279" s="9">
        <f t="shared" si="25"/>
        <v>155.81363250161948</v>
      </c>
      <c r="E279" s="10">
        <f t="shared" si="26"/>
        <v>6.9857588970859774E-3</v>
      </c>
      <c r="F279">
        <f>Source_CBS_bodemgebruik!AL281</f>
        <v>0</v>
      </c>
      <c r="G279" s="7">
        <f t="shared" si="27"/>
        <v>0</v>
      </c>
      <c r="H279">
        <f>Source_CBS_bodemgebruik!H281</f>
        <v>27864.917093156775</v>
      </c>
      <c r="I279" s="9">
        <f t="shared" si="28"/>
        <v>278.64917093156777</v>
      </c>
      <c r="J279">
        <f>Source_CBS_bodemgebruik!Q281</f>
        <v>0</v>
      </c>
      <c r="K279" s="11">
        <f t="shared" si="29"/>
        <v>0</v>
      </c>
    </row>
    <row r="280" spans="1:11" x14ac:dyDescent="0.2">
      <c r="A280" s="13" t="str">
        <f>Source_CBS_bodemgebruik!A282</f>
        <v>2023GM1705</v>
      </c>
      <c r="B280" s="13" t="str">
        <f t="shared" si="24"/>
        <v>GM1705</v>
      </c>
      <c r="C280">
        <f>Source_CBS_bodemgebruik!N282</f>
        <v>4544.7439605994987</v>
      </c>
      <c r="D280" s="9">
        <f t="shared" si="25"/>
        <v>45.447439605994987</v>
      </c>
      <c r="E280" s="10">
        <f t="shared" si="26"/>
        <v>2.0375935691895075E-3</v>
      </c>
      <c r="F280">
        <f>Source_CBS_bodemgebruik!AL282</f>
        <v>225.67514030684745</v>
      </c>
      <c r="G280" s="7">
        <f t="shared" si="27"/>
        <v>1.4314388682204898E-2</v>
      </c>
      <c r="H280">
        <f>Source_CBS_bodemgebruik!H282</f>
        <v>6196.4813203863596</v>
      </c>
      <c r="I280" s="9">
        <f t="shared" si="28"/>
        <v>61.964813203863599</v>
      </c>
      <c r="J280">
        <f>Source_CBS_bodemgebruik!Q282</f>
        <v>0</v>
      </c>
      <c r="K280" s="11">
        <f t="shared" si="29"/>
        <v>0</v>
      </c>
    </row>
    <row r="281" spans="1:11" x14ac:dyDescent="0.2">
      <c r="A281" s="13" t="str">
        <f>Source_CBS_bodemgebruik!A283</f>
        <v>2023GM1706</v>
      </c>
      <c r="B281" s="13" t="str">
        <f t="shared" si="24"/>
        <v>GM1706</v>
      </c>
      <c r="C281">
        <f>Source_CBS_bodemgebruik!N283</f>
        <v>3722.619993697806</v>
      </c>
      <c r="D281" s="9">
        <f t="shared" si="25"/>
        <v>37.226199936978063</v>
      </c>
      <c r="E281" s="10">
        <f t="shared" si="26"/>
        <v>1.6690019559857385E-3</v>
      </c>
      <c r="F281">
        <f>Source_CBS_bodemgebruik!AL283</f>
        <v>11.210291571915901</v>
      </c>
      <c r="G281" s="7">
        <f t="shared" si="27"/>
        <v>7.1105958141008847E-4</v>
      </c>
      <c r="H281">
        <f>Source_CBS_bodemgebruik!H283</f>
        <v>7649.6415004774044</v>
      </c>
      <c r="I281" s="9">
        <f t="shared" si="28"/>
        <v>76.49641500477405</v>
      </c>
      <c r="J281">
        <f>Source_CBS_bodemgebruik!Q283</f>
        <v>0</v>
      </c>
      <c r="K281" s="11">
        <f t="shared" si="29"/>
        <v>0</v>
      </c>
    </row>
    <row r="282" spans="1:11" x14ac:dyDescent="0.2">
      <c r="A282" s="13" t="str">
        <f>Source_CBS_bodemgebruik!A284</f>
        <v>2023GM1708</v>
      </c>
      <c r="B282" s="13" t="str">
        <f t="shared" si="24"/>
        <v>GM1708</v>
      </c>
      <c r="C282">
        <f>Source_CBS_bodemgebruik!N284</f>
        <v>19039.263370568566</v>
      </c>
      <c r="D282" s="9">
        <f t="shared" si="25"/>
        <v>190.39263370568565</v>
      </c>
      <c r="E282" s="10">
        <f t="shared" si="26"/>
        <v>8.5360761667327215E-3</v>
      </c>
      <c r="F282">
        <f>Source_CBS_bodemgebruik!AL284</f>
        <v>0</v>
      </c>
      <c r="G282" s="7">
        <f t="shared" si="27"/>
        <v>0</v>
      </c>
      <c r="H282">
        <f>Source_CBS_bodemgebruik!H284</f>
        <v>28831.323997483116</v>
      </c>
      <c r="I282" s="9">
        <f t="shared" si="28"/>
        <v>288.31323997483116</v>
      </c>
      <c r="J282">
        <f>Source_CBS_bodemgebruik!Q284</f>
        <v>0</v>
      </c>
      <c r="K282" s="11">
        <f t="shared" si="29"/>
        <v>0</v>
      </c>
    </row>
    <row r="283" spans="1:11" x14ac:dyDescent="0.2">
      <c r="A283" s="13" t="str">
        <f>Source_CBS_bodemgebruik!A285</f>
        <v>2023GM1709</v>
      </c>
      <c r="B283" s="13" t="str">
        <f t="shared" si="24"/>
        <v>GM1709</v>
      </c>
      <c r="C283">
        <f>Source_CBS_bodemgebruik!N285</f>
        <v>11624.07236177786</v>
      </c>
      <c r="D283" s="9">
        <f t="shared" si="25"/>
        <v>116.2407236177786</v>
      </c>
      <c r="E283" s="10">
        <f t="shared" si="26"/>
        <v>5.2115444340736288E-3</v>
      </c>
      <c r="F283">
        <f>Source_CBS_bodemgebruik!AL285</f>
        <v>68.788193207033927</v>
      </c>
      <c r="G283" s="7">
        <f t="shared" si="27"/>
        <v>4.3631785626598481E-3</v>
      </c>
      <c r="H283">
        <f>Source_CBS_bodemgebruik!H285</f>
        <v>15916.854328541571</v>
      </c>
      <c r="I283" s="9">
        <f t="shared" si="28"/>
        <v>159.16854328541569</v>
      </c>
      <c r="J283">
        <f>Source_CBS_bodemgebruik!Q285</f>
        <v>0</v>
      </c>
      <c r="K283" s="11">
        <f t="shared" si="29"/>
        <v>0</v>
      </c>
    </row>
    <row r="284" spans="1:11" x14ac:dyDescent="0.2">
      <c r="A284" s="13" t="str">
        <f>Source_CBS_bodemgebruik!A286</f>
        <v>2023GM1711</v>
      </c>
      <c r="B284" s="13" t="str">
        <f t="shared" si="24"/>
        <v>GM1711</v>
      </c>
      <c r="C284">
        <f>Source_CBS_bodemgebruik!N286</f>
        <v>7047.1523382832111</v>
      </c>
      <c r="D284" s="9">
        <f t="shared" si="25"/>
        <v>70.471523382832117</v>
      </c>
      <c r="E284" s="10">
        <f t="shared" si="26"/>
        <v>3.1595250271679864E-3</v>
      </c>
      <c r="F284">
        <f>Source_CBS_bodemgebruik!AL286</f>
        <v>0</v>
      </c>
      <c r="G284" s="7">
        <f t="shared" si="27"/>
        <v>0</v>
      </c>
      <c r="H284">
        <f>Source_CBS_bodemgebruik!H286</f>
        <v>10302.282996085203</v>
      </c>
      <c r="I284" s="9">
        <f t="shared" si="28"/>
        <v>103.02282996085204</v>
      </c>
      <c r="J284">
        <f>Source_CBS_bodemgebruik!Q286</f>
        <v>0</v>
      </c>
      <c r="K284" s="11">
        <f t="shared" si="29"/>
        <v>0</v>
      </c>
    </row>
    <row r="285" spans="1:11" x14ac:dyDescent="0.2">
      <c r="A285" s="13" t="str">
        <f>Source_CBS_bodemgebruik!A287</f>
        <v>2023GM1714</v>
      </c>
      <c r="B285" s="13" t="str">
        <f t="shared" si="24"/>
        <v>GM1714</v>
      </c>
      <c r="C285">
        <f>Source_CBS_bodemgebruik!N287</f>
        <v>24571.999436789956</v>
      </c>
      <c r="D285" s="9">
        <f t="shared" si="25"/>
        <v>245.71999436789957</v>
      </c>
      <c r="E285" s="10">
        <f t="shared" si="26"/>
        <v>1.101662678218884E-2</v>
      </c>
      <c r="F285">
        <f>Source_CBS_bodemgebruik!AL287</f>
        <v>1.06821475635</v>
      </c>
      <c r="G285" s="7">
        <f t="shared" si="27"/>
        <v>6.7755984100286589E-5</v>
      </c>
      <c r="H285">
        <f>Source_CBS_bodemgebruik!H287</f>
        <v>27860.275138777601</v>
      </c>
      <c r="I285" s="9">
        <f t="shared" si="28"/>
        <v>278.60275138777598</v>
      </c>
      <c r="J285">
        <f>Source_CBS_bodemgebruik!Q287</f>
        <v>2393.333179013398</v>
      </c>
      <c r="K285" s="11">
        <f t="shared" si="29"/>
        <v>23.93333179013398</v>
      </c>
    </row>
    <row r="286" spans="1:11" x14ac:dyDescent="0.2">
      <c r="A286" s="13" t="str">
        <f>Source_CBS_bodemgebruik!A288</f>
        <v>2023GM1719</v>
      </c>
      <c r="B286" s="13" t="str">
        <f t="shared" si="24"/>
        <v>GM1719</v>
      </c>
      <c r="C286">
        <f>Source_CBS_bodemgebruik!N288</f>
        <v>6690.8414458408661</v>
      </c>
      <c r="D286" s="9">
        <f t="shared" si="25"/>
        <v>66.908414458408657</v>
      </c>
      <c r="E286" s="10">
        <f t="shared" si="26"/>
        <v>2.9997763615958713E-3</v>
      </c>
      <c r="F286">
        <f>Source_CBS_bodemgebruik!AL288</f>
        <v>199.24783550935012</v>
      </c>
      <c r="G286" s="7">
        <f t="shared" si="27"/>
        <v>1.2638126457752004E-2</v>
      </c>
      <c r="H286">
        <f>Source_CBS_bodemgebruik!H288</f>
        <v>9505.1225358775664</v>
      </c>
      <c r="I286" s="9">
        <f t="shared" si="28"/>
        <v>95.051225358775667</v>
      </c>
      <c r="J286">
        <f>Source_CBS_bodemgebruik!Q288</f>
        <v>0</v>
      </c>
      <c r="K286" s="11">
        <f t="shared" si="29"/>
        <v>0</v>
      </c>
    </row>
    <row r="287" spans="1:11" x14ac:dyDescent="0.2">
      <c r="A287" s="13" t="str">
        <f>Source_CBS_bodemgebruik!A289</f>
        <v>2023GM1721</v>
      </c>
      <c r="B287" s="13" t="str">
        <f t="shared" si="24"/>
        <v>GM1721</v>
      </c>
      <c r="C287">
        <f>Source_CBS_bodemgebruik!N289</f>
        <v>6564.8802624006821</v>
      </c>
      <c r="D287" s="9">
        <f t="shared" si="25"/>
        <v>65.648802624006819</v>
      </c>
      <c r="E287" s="10">
        <f t="shared" si="26"/>
        <v>2.9433028397494697E-3</v>
      </c>
      <c r="F287">
        <f>Source_CBS_bodemgebruik!AL289</f>
        <v>1.6055244760290999</v>
      </c>
      <c r="G287" s="7">
        <f t="shared" si="27"/>
        <v>1.0183709804024246E-4</v>
      </c>
      <c r="H287">
        <f>Source_CBS_bodemgebruik!H289</f>
        <v>8972.6368383071131</v>
      </c>
      <c r="I287" s="9">
        <f t="shared" si="28"/>
        <v>89.726368383071133</v>
      </c>
      <c r="J287">
        <f>Source_CBS_bodemgebruik!Q289</f>
        <v>0</v>
      </c>
      <c r="K287" s="11">
        <f t="shared" si="29"/>
        <v>0</v>
      </c>
    </row>
    <row r="288" spans="1:11" x14ac:dyDescent="0.2">
      <c r="A288" s="13" t="str">
        <f>Source_CBS_bodemgebruik!A290</f>
        <v>2023GM1723</v>
      </c>
      <c r="B288" s="13" t="str">
        <f t="shared" si="24"/>
        <v>GM1723</v>
      </c>
      <c r="C288">
        <f>Source_CBS_bodemgebruik!N290</f>
        <v>6550.847044352412</v>
      </c>
      <c r="D288" s="9">
        <f t="shared" si="25"/>
        <v>65.508470443524118</v>
      </c>
      <c r="E288" s="10">
        <f t="shared" si="26"/>
        <v>2.9370111773152196E-3</v>
      </c>
      <c r="F288">
        <f>Source_CBS_bodemgebruik!AL290</f>
        <v>18.3775983490284</v>
      </c>
      <c r="G288" s="7">
        <f t="shared" si="27"/>
        <v>1.16567595994736E-3</v>
      </c>
      <c r="H288">
        <f>Source_CBS_bodemgebruik!H290</f>
        <v>9298.0240047021998</v>
      </c>
      <c r="I288" s="9">
        <f t="shared" si="28"/>
        <v>92.980240047021994</v>
      </c>
      <c r="J288">
        <f>Source_CBS_bodemgebruik!Q290</f>
        <v>0</v>
      </c>
      <c r="K288" s="11">
        <f t="shared" si="29"/>
        <v>0</v>
      </c>
    </row>
    <row r="289" spans="1:11" x14ac:dyDescent="0.2">
      <c r="A289" s="13" t="str">
        <f>Source_CBS_bodemgebruik!A291</f>
        <v>2023GM1724</v>
      </c>
      <c r="B289" s="13" t="str">
        <f t="shared" si="24"/>
        <v>GM1724</v>
      </c>
      <c r="C289">
        <f>Source_CBS_bodemgebruik!N291</f>
        <v>6166.4193836879449</v>
      </c>
      <c r="D289" s="9">
        <f t="shared" si="25"/>
        <v>61.664193836879448</v>
      </c>
      <c r="E289" s="10">
        <f t="shared" si="26"/>
        <v>2.7646566209355112E-3</v>
      </c>
      <c r="F289">
        <f>Source_CBS_bodemgebruik!AL291</f>
        <v>0</v>
      </c>
      <c r="G289" s="7">
        <f t="shared" si="27"/>
        <v>0</v>
      </c>
      <c r="H289">
        <f>Source_CBS_bodemgebruik!H291</f>
        <v>10101.835181391903</v>
      </c>
      <c r="I289" s="9">
        <f t="shared" si="28"/>
        <v>101.01835181391904</v>
      </c>
      <c r="J289">
        <f>Source_CBS_bodemgebruik!Q291</f>
        <v>0</v>
      </c>
      <c r="K289" s="11">
        <f t="shared" si="29"/>
        <v>0</v>
      </c>
    </row>
    <row r="290" spans="1:11" x14ac:dyDescent="0.2">
      <c r="A290" s="13" t="str">
        <f>Source_CBS_bodemgebruik!A292</f>
        <v>2023GM1728</v>
      </c>
      <c r="B290" s="13" t="str">
        <f t="shared" si="24"/>
        <v>GM1728</v>
      </c>
      <c r="C290">
        <f>Source_CBS_bodemgebruik!N292</f>
        <v>4214.4051132953691</v>
      </c>
      <c r="D290" s="9">
        <f t="shared" si="25"/>
        <v>42.144051132953692</v>
      </c>
      <c r="E290" s="10">
        <f t="shared" si="26"/>
        <v>1.8894892278326007E-3</v>
      </c>
      <c r="F290">
        <f>Source_CBS_bodemgebruik!AL292</f>
        <v>10.030718662185999</v>
      </c>
      <c r="G290" s="7">
        <f t="shared" si="27"/>
        <v>6.3624024115880912E-4</v>
      </c>
      <c r="H290">
        <f>Source_CBS_bodemgebruik!H292</f>
        <v>7533.3985082654308</v>
      </c>
      <c r="I290" s="9">
        <f t="shared" si="28"/>
        <v>75.333985082654308</v>
      </c>
      <c r="J290">
        <f>Source_CBS_bodemgebruik!Q292</f>
        <v>0</v>
      </c>
      <c r="K290" s="11">
        <f t="shared" si="29"/>
        <v>0</v>
      </c>
    </row>
    <row r="291" spans="1:11" x14ac:dyDescent="0.2">
      <c r="A291" s="13" t="str">
        <f>Source_CBS_bodemgebruik!A293</f>
        <v>2023GM1729</v>
      </c>
      <c r="B291" s="13" t="str">
        <f t="shared" si="24"/>
        <v>GM1729</v>
      </c>
      <c r="C291">
        <f>Source_CBS_bodemgebruik!N293</f>
        <v>5841.7349020811971</v>
      </c>
      <c r="D291" s="9">
        <f t="shared" si="25"/>
        <v>58.417349020811969</v>
      </c>
      <c r="E291" s="10">
        <f t="shared" si="26"/>
        <v>2.6190873617048397E-3</v>
      </c>
      <c r="F291">
        <f>Source_CBS_bodemgebruik!AL293</f>
        <v>0</v>
      </c>
      <c r="G291" s="7">
        <f t="shared" si="27"/>
        <v>0</v>
      </c>
      <c r="H291">
        <f>Source_CBS_bodemgebruik!H293</f>
        <v>7318.0766813427472</v>
      </c>
      <c r="I291" s="9">
        <f t="shared" si="28"/>
        <v>73.180766813427468</v>
      </c>
      <c r="J291">
        <f>Source_CBS_bodemgebruik!Q293</f>
        <v>0</v>
      </c>
      <c r="K291" s="11">
        <f t="shared" si="29"/>
        <v>0</v>
      </c>
    </row>
    <row r="292" spans="1:11" x14ac:dyDescent="0.2">
      <c r="A292" s="13" t="str">
        <f>Source_CBS_bodemgebruik!A294</f>
        <v>2023GM1730</v>
      </c>
      <c r="B292" s="13" t="str">
        <f t="shared" si="24"/>
        <v>GM1730</v>
      </c>
      <c r="C292">
        <f>Source_CBS_bodemgebruik!N294</f>
        <v>10778.626123630511</v>
      </c>
      <c r="D292" s="9">
        <f t="shared" si="25"/>
        <v>107.78626123630511</v>
      </c>
      <c r="E292" s="10">
        <f t="shared" si="26"/>
        <v>4.8324964980668537E-3</v>
      </c>
      <c r="F292">
        <f>Source_CBS_bodemgebruik!AL294</f>
        <v>8.0743780621194006</v>
      </c>
      <c r="G292" s="7">
        <f t="shared" si="27"/>
        <v>5.1215116468341705E-4</v>
      </c>
      <c r="H292">
        <f>Source_CBS_bodemgebruik!H294</f>
        <v>14287.738400862836</v>
      </c>
      <c r="I292" s="9">
        <f t="shared" si="28"/>
        <v>142.87738400862835</v>
      </c>
      <c r="J292">
        <f>Source_CBS_bodemgebruik!Q294</f>
        <v>0</v>
      </c>
      <c r="K292" s="11">
        <f t="shared" si="29"/>
        <v>0</v>
      </c>
    </row>
    <row r="293" spans="1:11" x14ac:dyDescent="0.2">
      <c r="A293" s="13" t="str">
        <f>Source_CBS_bodemgebruik!A295</f>
        <v>2023GM1731</v>
      </c>
      <c r="B293" s="13" t="str">
        <f t="shared" si="24"/>
        <v>GM1731</v>
      </c>
      <c r="C293">
        <f>Source_CBS_bodemgebruik!N295</f>
        <v>25052.427178323669</v>
      </c>
      <c r="D293" s="9">
        <f t="shared" si="25"/>
        <v>250.52427178323668</v>
      </c>
      <c r="E293" s="10">
        <f t="shared" si="26"/>
        <v>1.1232022079502838E-2</v>
      </c>
      <c r="F293">
        <f>Source_CBS_bodemgebruik!AL295</f>
        <v>0</v>
      </c>
      <c r="G293" s="7">
        <f t="shared" si="27"/>
        <v>0</v>
      </c>
      <c r="H293">
        <f>Source_CBS_bodemgebruik!H295</f>
        <v>34062.237937351965</v>
      </c>
      <c r="I293" s="9">
        <f t="shared" si="28"/>
        <v>340.62237937351966</v>
      </c>
      <c r="J293">
        <f>Source_CBS_bodemgebruik!Q295</f>
        <v>0</v>
      </c>
      <c r="K293" s="11">
        <f t="shared" si="29"/>
        <v>0</v>
      </c>
    </row>
    <row r="294" spans="1:11" x14ac:dyDescent="0.2">
      <c r="A294" s="13" t="str">
        <f>Source_CBS_bodemgebruik!A296</f>
        <v>2023GM1734</v>
      </c>
      <c r="B294" s="13" t="str">
        <f t="shared" si="24"/>
        <v>GM1734</v>
      </c>
      <c r="C294">
        <f>Source_CBS_bodemgebruik!N296</f>
        <v>8505.155026199609</v>
      </c>
      <c r="D294" s="9">
        <f t="shared" si="25"/>
        <v>85.051550261996084</v>
      </c>
      <c r="E294" s="10">
        <f t="shared" si="26"/>
        <v>3.813206934557019E-3</v>
      </c>
      <c r="F294">
        <f>Source_CBS_bodemgebruik!AL296</f>
        <v>24.894622999337198</v>
      </c>
      <c r="G294" s="7">
        <f t="shared" si="27"/>
        <v>1.579045477605305E-3</v>
      </c>
      <c r="H294">
        <f>Source_CBS_bodemgebruik!H296</f>
        <v>10903.315126384106</v>
      </c>
      <c r="I294" s="9">
        <f t="shared" si="28"/>
        <v>109.03315126384106</v>
      </c>
      <c r="J294">
        <f>Source_CBS_bodemgebruik!Q296</f>
        <v>0</v>
      </c>
      <c r="K294" s="11">
        <f t="shared" si="29"/>
        <v>0</v>
      </c>
    </row>
    <row r="295" spans="1:11" x14ac:dyDescent="0.2">
      <c r="A295" s="13" t="str">
        <f>Source_CBS_bodemgebruik!A297</f>
        <v>2023GM1735</v>
      </c>
      <c r="B295" s="13" t="str">
        <f t="shared" si="24"/>
        <v>GM1735</v>
      </c>
      <c r="C295">
        <f>Source_CBS_bodemgebruik!N297</f>
        <v>15685.794790346876</v>
      </c>
      <c r="D295" s="9">
        <f t="shared" si="25"/>
        <v>156.85794790346876</v>
      </c>
      <c r="E295" s="10">
        <f t="shared" si="26"/>
        <v>7.0325798041703212E-3</v>
      </c>
      <c r="F295">
        <f>Source_CBS_bodemgebruik!AL297</f>
        <v>0</v>
      </c>
      <c r="G295" s="7">
        <f t="shared" si="27"/>
        <v>0</v>
      </c>
      <c r="H295">
        <f>Source_CBS_bodemgebruik!H297</f>
        <v>21243.296672545057</v>
      </c>
      <c r="I295" s="9">
        <f t="shared" si="28"/>
        <v>212.43296672545057</v>
      </c>
      <c r="J295">
        <f>Source_CBS_bodemgebruik!Q297</f>
        <v>0</v>
      </c>
      <c r="K295" s="11">
        <f t="shared" si="29"/>
        <v>0</v>
      </c>
    </row>
    <row r="296" spans="1:11" x14ac:dyDescent="0.2">
      <c r="A296" s="13" t="str">
        <f>Source_CBS_bodemgebruik!A298</f>
        <v>2023GM1740</v>
      </c>
      <c r="B296" s="13" t="str">
        <f t="shared" si="24"/>
        <v>GM1740</v>
      </c>
      <c r="C296">
        <f>Source_CBS_bodemgebruik!N298</f>
        <v>4745.9706199440434</v>
      </c>
      <c r="D296" s="9">
        <f t="shared" si="25"/>
        <v>47.459706199440433</v>
      </c>
      <c r="E296" s="10">
        <f t="shared" si="26"/>
        <v>2.1278116652108832E-3</v>
      </c>
      <c r="F296">
        <f>Source_CBS_bodemgebruik!AL298</f>
        <v>10.381048304270191</v>
      </c>
      <c r="G296" s="7">
        <f t="shared" si="27"/>
        <v>6.5846136244346798E-4</v>
      </c>
      <c r="H296">
        <f>Source_CBS_bodemgebruik!H298</f>
        <v>5999.0014047333189</v>
      </c>
      <c r="I296" s="9">
        <f t="shared" si="28"/>
        <v>59.99001404733319</v>
      </c>
      <c r="J296">
        <f>Source_CBS_bodemgebruik!Q298</f>
        <v>0</v>
      </c>
      <c r="K296" s="11">
        <f t="shared" si="29"/>
        <v>0</v>
      </c>
    </row>
    <row r="297" spans="1:11" x14ac:dyDescent="0.2">
      <c r="A297" s="13" t="str">
        <f>Source_CBS_bodemgebruik!A299</f>
        <v>2023GM1742</v>
      </c>
      <c r="B297" s="13" t="str">
        <f t="shared" si="24"/>
        <v>GM1742</v>
      </c>
      <c r="C297">
        <f>Source_CBS_bodemgebruik!N299</f>
        <v>5343.207434963937</v>
      </c>
      <c r="D297" s="9">
        <f t="shared" si="25"/>
        <v>53.432074349639372</v>
      </c>
      <c r="E297" s="10">
        <f t="shared" si="26"/>
        <v>2.395577221228528E-3</v>
      </c>
      <c r="F297">
        <f>Source_CBS_bodemgebruik!AL299</f>
        <v>0</v>
      </c>
      <c r="G297" s="7">
        <f t="shared" si="27"/>
        <v>0</v>
      </c>
      <c r="H297">
        <f>Source_CBS_bodemgebruik!H299</f>
        <v>9412.3212033833006</v>
      </c>
      <c r="I297" s="9">
        <f t="shared" si="28"/>
        <v>94.123212033832999</v>
      </c>
      <c r="J297">
        <f>Source_CBS_bodemgebruik!Q299</f>
        <v>0</v>
      </c>
      <c r="K297" s="11">
        <f t="shared" si="29"/>
        <v>0</v>
      </c>
    </row>
    <row r="298" spans="1:11" x14ac:dyDescent="0.2">
      <c r="A298" s="13" t="str">
        <f>Source_CBS_bodemgebruik!A300</f>
        <v>2023GM1771</v>
      </c>
      <c r="B298" s="13" t="str">
        <f t="shared" si="24"/>
        <v>GM1771</v>
      </c>
      <c r="C298">
        <f>Source_CBS_bodemgebruik!N300</f>
        <v>1039.3079603125441</v>
      </c>
      <c r="D298" s="9">
        <f t="shared" si="25"/>
        <v>10.393079603125441</v>
      </c>
      <c r="E298" s="10">
        <f t="shared" si="26"/>
        <v>4.659640311312409E-4</v>
      </c>
      <c r="F298">
        <f>Source_CBS_bodemgebruik!AL300</f>
        <v>0</v>
      </c>
      <c r="G298" s="7">
        <f t="shared" si="27"/>
        <v>0</v>
      </c>
      <c r="H298">
        <f>Source_CBS_bodemgebruik!H300</f>
        <v>3101.4497218788883</v>
      </c>
      <c r="I298" s="9">
        <f t="shared" si="28"/>
        <v>31.014497218788883</v>
      </c>
      <c r="J298">
        <f>Source_CBS_bodemgebruik!Q300</f>
        <v>0</v>
      </c>
      <c r="K298" s="11">
        <f t="shared" si="29"/>
        <v>0</v>
      </c>
    </row>
    <row r="299" spans="1:11" x14ac:dyDescent="0.2">
      <c r="A299" s="13" t="str">
        <f>Source_CBS_bodemgebruik!A301</f>
        <v>2023GM1773</v>
      </c>
      <c r="B299" s="13" t="str">
        <f t="shared" si="24"/>
        <v>GM1773</v>
      </c>
      <c r="C299">
        <f>Source_CBS_bodemgebruik!N301</f>
        <v>9632.5354846887567</v>
      </c>
      <c r="D299" s="9">
        <f t="shared" si="25"/>
        <v>96.325354846887564</v>
      </c>
      <c r="E299" s="10">
        <f t="shared" si="26"/>
        <v>4.3186574488571442E-3</v>
      </c>
      <c r="F299">
        <f>Source_CBS_bodemgebruik!AL301</f>
        <v>0</v>
      </c>
      <c r="G299" s="7">
        <f t="shared" si="27"/>
        <v>0</v>
      </c>
      <c r="H299">
        <f>Source_CBS_bodemgebruik!H301</f>
        <v>11366.240249113329</v>
      </c>
      <c r="I299" s="9">
        <f t="shared" si="28"/>
        <v>113.66240249113329</v>
      </c>
      <c r="J299">
        <f>Source_CBS_bodemgebruik!Q301</f>
        <v>0</v>
      </c>
      <c r="K299" s="11">
        <f t="shared" si="29"/>
        <v>0</v>
      </c>
    </row>
    <row r="300" spans="1:11" x14ac:dyDescent="0.2">
      <c r="A300" s="13" t="str">
        <f>Source_CBS_bodemgebruik!A302</f>
        <v>2023GM1774</v>
      </c>
      <c r="B300" s="13" t="str">
        <f t="shared" si="24"/>
        <v>GM1774</v>
      </c>
      <c r="C300">
        <f>Source_CBS_bodemgebruik!N302</f>
        <v>14277.948547957767</v>
      </c>
      <c r="D300" s="9">
        <f t="shared" si="25"/>
        <v>142.77948547957766</v>
      </c>
      <c r="E300" s="10">
        <f t="shared" si="26"/>
        <v>6.4013850713604973E-3</v>
      </c>
      <c r="F300">
        <f>Source_CBS_bodemgebruik!AL302</f>
        <v>37.574541714110239</v>
      </c>
      <c r="G300" s="7">
        <f t="shared" si="27"/>
        <v>2.3833223008975606E-3</v>
      </c>
      <c r="H300">
        <f>Source_CBS_bodemgebruik!H302</f>
        <v>17572.407305876597</v>
      </c>
      <c r="I300" s="9">
        <f t="shared" si="28"/>
        <v>175.72407305876598</v>
      </c>
      <c r="J300">
        <f>Source_CBS_bodemgebruik!Q302</f>
        <v>0</v>
      </c>
      <c r="K300" s="11">
        <f t="shared" si="29"/>
        <v>0</v>
      </c>
    </row>
    <row r="301" spans="1:11" x14ac:dyDescent="0.2">
      <c r="A301" s="13" t="str">
        <f>Source_CBS_bodemgebruik!A303</f>
        <v>2023GM1783</v>
      </c>
      <c r="B301" s="13" t="str">
        <f t="shared" si="24"/>
        <v>GM1783</v>
      </c>
      <c r="C301">
        <f>Source_CBS_bodemgebruik!N303</f>
        <v>4819.1679960875936</v>
      </c>
      <c r="D301" s="9">
        <f t="shared" si="25"/>
        <v>48.191679960875938</v>
      </c>
      <c r="E301" s="10">
        <f t="shared" si="26"/>
        <v>2.1606290261457707E-3</v>
      </c>
      <c r="F301">
        <f>Source_CBS_bodemgebruik!AL303</f>
        <v>3846.5815448136091</v>
      </c>
      <c r="G301" s="7">
        <f t="shared" si="27"/>
        <v>0.24398550613679393</v>
      </c>
      <c r="H301">
        <f>Source_CBS_bodemgebruik!H303</f>
        <v>8075.6371234754752</v>
      </c>
      <c r="I301" s="9">
        <f t="shared" si="28"/>
        <v>80.756371234754752</v>
      </c>
      <c r="J301">
        <f>Source_CBS_bodemgebruik!Q303</f>
        <v>772.57993766131369</v>
      </c>
      <c r="K301" s="11">
        <f t="shared" si="29"/>
        <v>7.7257993766131365</v>
      </c>
    </row>
    <row r="302" spans="1:11" x14ac:dyDescent="0.2">
      <c r="A302" s="13" t="str">
        <f>Source_CBS_bodemgebruik!A304</f>
        <v>2023GM1842</v>
      </c>
      <c r="B302" s="13" t="str">
        <f t="shared" si="24"/>
        <v>GM1842</v>
      </c>
      <c r="C302">
        <f>Source_CBS_bodemgebruik!N304</f>
        <v>3797.0401325165058</v>
      </c>
      <c r="D302" s="9">
        <f t="shared" si="25"/>
        <v>37.970401325165057</v>
      </c>
      <c r="E302" s="10">
        <f t="shared" si="26"/>
        <v>1.7023675311622045E-3</v>
      </c>
      <c r="F302">
        <f>Source_CBS_bodemgebruik!AL304</f>
        <v>270.56488822473824</v>
      </c>
      <c r="G302" s="7">
        <f t="shared" si="27"/>
        <v>1.7161708500724536E-2</v>
      </c>
      <c r="H302">
        <f>Source_CBS_bodemgebruik!H304</f>
        <v>4718.7210399273899</v>
      </c>
      <c r="I302" s="9">
        <f t="shared" si="28"/>
        <v>47.187210399273901</v>
      </c>
      <c r="J302">
        <f>Source_CBS_bodemgebruik!Q304</f>
        <v>0</v>
      </c>
      <c r="K302" s="11">
        <f t="shared" si="29"/>
        <v>0</v>
      </c>
    </row>
    <row r="303" spans="1:11" x14ac:dyDescent="0.2">
      <c r="A303" s="13" t="str">
        <f>Source_CBS_bodemgebruik!A305</f>
        <v>2023GM1859</v>
      </c>
      <c r="B303" s="13" t="str">
        <f t="shared" si="24"/>
        <v>GM1859</v>
      </c>
      <c r="C303">
        <f>Source_CBS_bodemgebruik!N305</f>
        <v>21159.115296449112</v>
      </c>
      <c r="D303" s="9">
        <f t="shared" si="25"/>
        <v>211.59115296449113</v>
      </c>
      <c r="E303" s="10">
        <f t="shared" si="26"/>
        <v>9.486492007373044E-3</v>
      </c>
      <c r="F303">
        <f>Source_CBS_bodemgebruik!AL305</f>
        <v>0</v>
      </c>
      <c r="G303" s="7">
        <f t="shared" si="27"/>
        <v>0</v>
      </c>
      <c r="H303">
        <f>Source_CBS_bodemgebruik!H305</f>
        <v>25809.175602602703</v>
      </c>
      <c r="I303" s="9">
        <f t="shared" si="28"/>
        <v>258.09175602602704</v>
      </c>
      <c r="J303">
        <f>Source_CBS_bodemgebruik!Q305</f>
        <v>0</v>
      </c>
      <c r="K303" s="11">
        <f t="shared" si="29"/>
        <v>0</v>
      </c>
    </row>
    <row r="304" spans="1:11" x14ac:dyDescent="0.2">
      <c r="A304" s="13" t="str">
        <f>Source_CBS_bodemgebruik!A306</f>
        <v>2023GM1876</v>
      </c>
      <c r="B304" s="13" t="str">
        <f t="shared" si="24"/>
        <v>GM1876</v>
      </c>
      <c r="C304">
        <f>Source_CBS_bodemgebruik!N306</f>
        <v>22666.500350547471</v>
      </c>
      <c r="D304" s="9">
        <f t="shared" si="25"/>
        <v>226.66500350547471</v>
      </c>
      <c r="E304" s="10">
        <f t="shared" si="26"/>
        <v>1.0162314038086087E-2</v>
      </c>
      <c r="F304">
        <f>Source_CBS_bodemgebruik!AL306</f>
        <v>2.760027757359</v>
      </c>
      <c r="G304" s="7">
        <f t="shared" si="27"/>
        <v>1.7506629236517762E-4</v>
      </c>
      <c r="H304">
        <f>Source_CBS_bodemgebruik!H306</f>
        <v>28353.268988271175</v>
      </c>
      <c r="I304" s="9">
        <f t="shared" si="28"/>
        <v>283.53268988271174</v>
      </c>
      <c r="J304">
        <f>Source_CBS_bodemgebruik!Q306</f>
        <v>0</v>
      </c>
      <c r="K304" s="11">
        <f t="shared" si="29"/>
        <v>0</v>
      </c>
    </row>
    <row r="305" spans="1:11" x14ac:dyDescent="0.2">
      <c r="A305" s="13" t="str">
        <f>Source_CBS_bodemgebruik!A307</f>
        <v>2023GM1883</v>
      </c>
      <c r="B305" s="13" t="str">
        <f t="shared" si="24"/>
        <v>GM1883</v>
      </c>
      <c r="C305">
        <f>Source_CBS_bodemgebruik!N307</f>
        <v>3038.2369830481189</v>
      </c>
      <c r="D305" s="9">
        <f t="shared" si="25"/>
        <v>30.382369830481188</v>
      </c>
      <c r="E305" s="10">
        <f t="shared" si="26"/>
        <v>1.362165215907116E-3</v>
      </c>
      <c r="F305">
        <f>Source_CBS_bodemgebruik!AL307</f>
        <v>0</v>
      </c>
      <c r="G305" s="7">
        <f t="shared" si="27"/>
        <v>0</v>
      </c>
      <c r="H305">
        <f>Source_CBS_bodemgebruik!H307</f>
        <v>7861.4331958728108</v>
      </c>
      <c r="I305" s="9">
        <f t="shared" si="28"/>
        <v>78.614331958728101</v>
      </c>
      <c r="J305">
        <f>Source_CBS_bodemgebruik!Q307</f>
        <v>0</v>
      </c>
      <c r="K305" s="11">
        <f t="shared" si="29"/>
        <v>0</v>
      </c>
    </row>
    <row r="306" spans="1:11" x14ac:dyDescent="0.2">
      <c r="A306" s="13" t="str">
        <f>Source_CBS_bodemgebruik!A308</f>
        <v>2023GM1884</v>
      </c>
      <c r="B306" s="13" t="str">
        <f t="shared" si="24"/>
        <v>GM1884</v>
      </c>
      <c r="C306">
        <f>Source_CBS_bodemgebruik!N308</f>
        <v>5380.373045707167</v>
      </c>
      <c r="D306" s="9">
        <f t="shared" si="25"/>
        <v>53.803730457071673</v>
      </c>
      <c r="E306" s="10">
        <f t="shared" si="26"/>
        <v>2.4122400761884401E-3</v>
      </c>
      <c r="F306">
        <f>Source_CBS_bodemgebruik!AL308</f>
        <v>163.83271118968293</v>
      </c>
      <c r="G306" s="7">
        <f t="shared" si="27"/>
        <v>1.039177422750176E-2</v>
      </c>
      <c r="H306">
        <f>Source_CBS_bodemgebruik!H308</f>
        <v>6313.4650204362833</v>
      </c>
      <c r="I306" s="9">
        <f t="shared" si="28"/>
        <v>63.134650204362835</v>
      </c>
      <c r="J306">
        <f>Source_CBS_bodemgebruik!Q308</f>
        <v>0</v>
      </c>
      <c r="K306" s="11">
        <f t="shared" si="29"/>
        <v>0</v>
      </c>
    </row>
    <row r="307" spans="1:11" x14ac:dyDescent="0.2">
      <c r="A307" s="13" t="str">
        <f>Source_CBS_bodemgebruik!A309</f>
        <v>2023GM1891</v>
      </c>
      <c r="B307" s="13" t="str">
        <f t="shared" si="24"/>
        <v>GM1891</v>
      </c>
      <c r="C307">
        <f>Source_CBS_bodemgebruik!N309</f>
        <v>6990.8518525795753</v>
      </c>
      <c r="D307" s="9">
        <f t="shared" si="25"/>
        <v>69.908518525795756</v>
      </c>
      <c r="E307" s="10">
        <f t="shared" si="26"/>
        <v>3.1342832294767383E-3</v>
      </c>
      <c r="F307">
        <f>Source_CBS_bodemgebruik!AL309</f>
        <v>2.826228430399</v>
      </c>
      <c r="G307" s="7">
        <f t="shared" si="27"/>
        <v>1.7926534665015404E-4</v>
      </c>
      <c r="H307">
        <f>Source_CBS_bodemgebruik!H309</f>
        <v>8459.7145207571466</v>
      </c>
      <c r="I307" s="9">
        <f t="shared" si="28"/>
        <v>84.597145207571472</v>
      </c>
      <c r="J307">
        <f>Source_CBS_bodemgebruik!Q309</f>
        <v>0</v>
      </c>
      <c r="K307" s="11">
        <f t="shared" si="29"/>
        <v>0</v>
      </c>
    </row>
    <row r="308" spans="1:11" x14ac:dyDescent="0.2">
      <c r="A308" s="13" t="str">
        <f>Source_CBS_bodemgebruik!A310</f>
        <v>2023GM1892</v>
      </c>
      <c r="B308" s="13" t="str">
        <f t="shared" si="24"/>
        <v>GM1892</v>
      </c>
      <c r="C308">
        <f>Source_CBS_bodemgebruik!N310</f>
        <v>4103.5120228069154</v>
      </c>
      <c r="D308" s="9">
        <f t="shared" si="25"/>
        <v>41.035120228069154</v>
      </c>
      <c r="E308" s="10">
        <f t="shared" si="26"/>
        <v>1.8397713449318843E-3</v>
      </c>
      <c r="F308">
        <f>Source_CBS_bodemgebruik!AL310</f>
        <v>410.45411334954173</v>
      </c>
      <c r="G308" s="7">
        <f t="shared" si="27"/>
        <v>2.6034767084697166E-2</v>
      </c>
      <c r="H308">
        <f>Source_CBS_bodemgebruik!H310</f>
        <v>5795.6869085982225</v>
      </c>
      <c r="I308" s="9">
        <f t="shared" si="28"/>
        <v>57.956869085982227</v>
      </c>
      <c r="J308">
        <f>Source_CBS_bodemgebruik!Q310</f>
        <v>0</v>
      </c>
      <c r="K308" s="11">
        <f t="shared" si="29"/>
        <v>0</v>
      </c>
    </row>
    <row r="309" spans="1:11" x14ac:dyDescent="0.2">
      <c r="A309" s="13" t="str">
        <f>Source_CBS_bodemgebruik!A311</f>
        <v>2023GM1894</v>
      </c>
      <c r="B309" s="13" t="str">
        <f t="shared" si="24"/>
        <v>GM1894</v>
      </c>
      <c r="C309">
        <f>Source_CBS_bodemgebruik!N311</f>
        <v>11227.331713860942</v>
      </c>
      <c r="D309" s="9">
        <f t="shared" si="25"/>
        <v>112.27331713860941</v>
      </c>
      <c r="E309" s="10">
        <f t="shared" si="26"/>
        <v>5.0336694646936258E-3</v>
      </c>
      <c r="F309">
        <f>Source_CBS_bodemgebruik!AL311</f>
        <v>473.04150989078664</v>
      </c>
      <c r="G309" s="7">
        <f t="shared" si="27"/>
        <v>3.0004634210870313E-2</v>
      </c>
      <c r="H309">
        <f>Source_CBS_bodemgebruik!H311</f>
        <v>15935.150731342792</v>
      </c>
      <c r="I309" s="9">
        <f t="shared" si="28"/>
        <v>159.35150731342793</v>
      </c>
      <c r="J309">
        <f>Source_CBS_bodemgebruik!Q311</f>
        <v>0</v>
      </c>
      <c r="K309" s="11">
        <f t="shared" si="29"/>
        <v>0</v>
      </c>
    </row>
    <row r="310" spans="1:11" x14ac:dyDescent="0.2">
      <c r="A310" s="13" t="str">
        <f>Source_CBS_bodemgebruik!A312</f>
        <v>2023GM1895</v>
      </c>
      <c r="B310" s="13" t="str">
        <f t="shared" si="24"/>
        <v>GM1895</v>
      </c>
      <c r="C310">
        <f>Source_CBS_bodemgebruik!N312</f>
        <v>18331.891870372525</v>
      </c>
      <c r="D310" s="9">
        <f t="shared" si="25"/>
        <v>183.31891870372525</v>
      </c>
      <c r="E310" s="10">
        <f t="shared" si="26"/>
        <v>8.2189327517630337E-3</v>
      </c>
      <c r="F310">
        <f>Source_CBS_bodemgebruik!AL312</f>
        <v>0</v>
      </c>
      <c r="G310" s="7">
        <f t="shared" si="27"/>
        <v>0</v>
      </c>
      <c r="H310">
        <f>Source_CBS_bodemgebruik!H312</f>
        <v>22657.229571942244</v>
      </c>
      <c r="I310" s="9">
        <f t="shared" si="28"/>
        <v>226.57229571942244</v>
      </c>
      <c r="J310">
        <f>Source_CBS_bodemgebruik!Q312</f>
        <v>5546.5779255462276</v>
      </c>
      <c r="K310" s="11">
        <f t="shared" si="29"/>
        <v>55.465779255462273</v>
      </c>
    </row>
    <row r="311" spans="1:11" x14ac:dyDescent="0.2">
      <c r="A311" s="13" t="str">
        <f>Source_CBS_bodemgebruik!A313</f>
        <v>2023GM1896</v>
      </c>
      <c r="B311" s="13" t="str">
        <f t="shared" si="24"/>
        <v>GM1896</v>
      </c>
      <c r="C311">
        <f>Source_CBS_bodemgebruik!N313</f>
        <v>6765.1264291210236</v>
      </c>
      <c r="D311" s="9">
        <f t="shared" si="25"/>
        <v>67.651264291210239</v>
      </c>
      <c r="E311" s="10">
        <f t="shared" si="26"/>
        <v>3.0330813410471306E-3</v>
      </c>
      <c r="F311">
        <f>Source_CBS_bodemgebruik!AL313</f>
        <v>0</v>
      </c>
      <c r="G311" s="7">
        <f t="shared" si="27"/>
        <v>0</v>
      </c>
      <c r="H311">
        <f>Source_CBS_bodemgebruik!H313</f>
        <v>8235.5564280674444</v>
      </c>
      <c r="I311" s="9">
        <f t="shared" si="28"/>
        <v>82.355564280674443</v>
      </c>
      <c r="J311">
        <f>Source_CBS_bodemgebruik!Q313</f>
        <v>0</v>
      </c>
      <c r="K311" s="11">
        <f t="shared" si="29"/>
        <v>0</v>
      </c>
    </row>
    <row r="312" spans="1:11" x14ac:dyDescent="0.2">
      <c r="A312" s="13" t="str">
        <f>Source_CBS_bodemgebruik!A314</f>
        <v>2023GM1900</v>
      </c>
      <c r="B312" s="13" t="str">
        <f t="shared" si="24"/>
        <v>GM1900</v>
      </c>
      <c r="C312">
        <f>Source_CBS_bodemgebruik!N314</f>
        <v>45842.838755790232</v>
      </c>
      <c r="D312" s="9">
        <f t="shared" si="25"/>
        <v>458.42838755790234</v>
      </c>
      <c r="E312" s="10">
        <f t="shared" si="26"/>
        <v>2.0553209213103413E-2</v>
      </c>
      <c r="F312">
        <f>Source_CBS_bodemgebruik!AL314</f>
        <v>9.425901661291201</v>
      </c>
      <c r="G312" s="7">
        <f t="shared" si="27"/>
        <v>5.9787719585110716E-4</v>
      </c>
      <c r="H312">
        <f>Source_CBS_bodemgebruik!H314</f>
        <v>52269.709907260883</v>
      </c>
      <c r="I312" s="9">
        <f t="shared" si="28"/>
        <v>522.69709907260881</v>
      </c>
      <c r="J312">
        <f>Source_CBS_bodemgebruik!Q314</f>
        <v>642.58047457232897</v>
      </c>
      <c r="K312" s="11">
        <f t="shared" si="29"/>
        <v>6.4258047457232896</v>
      </c>
    </row>
    <row r="313" spans="1:11" x14ac:dyDescent="0.2">
      <c r="A313" s="13" t="str">
        <f>Source_CBS_bodemgebruik!A315</f>
        <v>2023GM1901</v>
      </c>
      <c r="B313" s="13" t="str">
        <f t="shared" si="24"/>
        <v>GM1901</v>
      </c>
      <c r="C313">
        <f>Source_CBS_bodemgebruik!N315</f>
        <v>6289.0349826545735</v>
      </c>
      <c r="D313" s="9">
        <f t="shared" si="25"/>
        <v>62.890349826545737</v>
      </c>
      <c r="E313" s="10">
        <f t="shared" si="26"/>
        <v>2.8196301811850453E-3</v>
      </c>
      <c r="F313">
        <f>Source_CBS_bodemgebruik!AL315</f>
        <v>9.1804395833025012</v>
      </c>
      <c r="G313" s="7">
        <f t="shared" si="27"/>
        <v>5.8230773797331658E-4</v>
      </c>
      <c r="H313">
        <f>Source_CBS_bodemgebruik!H315</f>
        <v>7540.3604197481209</v>
      </c>
      <c r="I313" s="9">
        <f t="shared" si="28"/>
        <v>75.403604197481215</v>
      </c>
      <c r="J313">
        <f>Source_CBS_bodemgebruik!Q315</f>
        <v>0</v>
      </c>
      <c r="K313" s="11">
        <f t="shared" si="29"/>
        <v>0</v>
      </c>
    </row>
    <row r="314" spans="1:11" x14ac:dyDescent="0.2">
      <c r="A314" s="13" t="str">
        <f>Source_CBS_bodemgebruik!A316</f>
        <v>2023GM1903</v>
      </c>
      <c r="B314" s="13" t="str">
        <f t="shared" si="24"/>
        <v>GM1903</v>
      </c>
      <c r="C314">
        <f>Source_CBS_bodemgebruik!N316</f>
        <v>6062.0538576157433</v>
      </c>
      <c r="D314" s="9">
        <f t="shared" si="25"/>
        <v>60.620538576157429</v>
      </c>
      <c r="E314" s="10">
        <f t="shared" si="26"/>
        <v>2.7178653106629419E-3</v>
      </c>
      <c r="F314">
        <f>Source_CBS_bodemgebruik!AL316</f>
        <v>0</v>
      </c>
      <c r="G314" s="7">
        <f t="shared" si="27"/>
        <v>0</v>
      </c>
      <c r="H314">
        <f>Source_CBS_bodemgebruik!H316</f>
        <v>7755.6931684694409</v>
      </c>
      <c r="I314" s="9">
        <f t="shared" si="28"/>
        <v>77.556931684694405</v>
      </c>
      <c r="J314">
        <f>Source_CBS_bodemgebruik!Q316</f>
        <v>0</v>
      </c>
      <c r="K314" s="11">
        <f t="shared" si="29"/>
        <v>0</v>
      </c>
    </row>
    <row r="315" spans="1:11" x14ac:dyDescent="0.2">
      <c r="A315" s="13" t="str">
        <f>Source_CBS_bodemgebruik!A317</f>
        <v>2023GM1904</v>
      </c>
      <c r="B315" s="13" t="str">
        <f t="shared" si="24"/>
        <v>GM1904</v>
      </c>
      <c r="C315">
        <f>Source_CBS_bodemgebruik!N317</f>
        <v>7038.5292907979901</v>
      </c>
      <c r="D315" s="9">
        <f t="shared" si="25"/>
        <v>70.385292907979903</v>
      </c>
      <c r="E315" s="10">
        <f t="shared" si="26"/>
        <v>3.1556589642489246E-3</v>
      </c>
      <c r="F315">
        <f>Source_CBS_bodemgebruik!AL317</f>
        <v>15.7059646023421</v>
      </c>
      <c r="G315" s="7">
        <f t="shared" si="27"/>
        <v>9.9621642703396577E-4</v>
      </c>
      <c r="H315">
        <f>Source_CBS_bodemgebruik!H317</f>
        <v>9603.5702615040736</v>
      </c>
      <c r="I315" s="9">
        <f t="shared" si="28"/>
        <v>96.035702615040734</v>
      </c>
      <c r="J315">
        <f>Source_CBS_bodemgebruik!Q317</f>
        <v>0</v>
      </c>
      <c r="K315" s="11">
        <f t="shared" si="29"/>
        <v>0</v>
      </c>
    </row>
    <row r="316" spans="1:11" x14ac:dyDescent="0.2">
      <c r="A316" s="13" t="str">
        <f>Source_CBS_bodemgebruik!A318</f>
        <v>2023GM1911</v>
      </c>
      <c r="B316" s="13" t="str">
        <f t="shared" si="24"/>
        <v>GM1911</v>
      </c>
      <c r="C316">
        <f>Source_CBS_bodemgebruik!N318</f>
        <v>31663.735138222786</v>
      </c>
      <c r="D316" s="9">
        <f t="shared" si="25"/>
        <v>316.63735138222785</v>
      </c>
      <c r="E316" s="10">
        <f t="shared" si="26"/>
        <v>1.4196140344428121E-2</v>
      </c>
      <c r="F316">
        <f>Source_CBS_bodemgebruik!AL318</f>
        <v>426.41980888989065</v>
      </c>
      <c r="G316" s="7">
        <f t="shared" si="27"/>
        <v>2.704745803167324E-2</v>
      </c>
      <c r="H316">
        <f>Source_CBS_bodemgebruik!H318</f>
        <v>35763.239796268215</v>
      </c>
      <c r="I316" s="9">
        <f t="shared" si="28"/>
        <v>357.63239796268215</v>
      </c>
      <c r="J316">
        <f>Source_CBS_bodemgebruik!Q318</f>
        <v>17848.80129289921</v>
      </c>
      <c r="K316" s="11">
        <f t="shared" si="29"/>
        <v>178.48801292899211</v>
      </c>
    </row>
    <row r="317" spans="1:11" x14ac:dyDescent="0.2">
      <c r="A317" s="13" t="str">
        <f>Source_CBS_bodemgebruik!A319</f>
        <v>2023GM1916</v>
      </c>
      <c r="B317" s="13" t="str">
        <f t="shared" si="24"/>
        <v>GM1916</v>
      </c>
      <c r="C317">
        <f>Source_CBS_bodemgebruik!N319</f>
        <v>1691.9892105692097</v>
      </c>
      <c r="D317" s="9">
        <f t="shared" si="25"/>
        <v>16.919892105692096</v>
      </c>
      <c r="E317" s="10">
        <f t="shared" si="26"/>
        <v>7.5858758259708008E-4</v>
      </c>
      <c r="F317">
        <f>Source_CBS_bodemgebruik!AL319</f>
        <v>30.612778618837403</v>
      </c>
      <c r="G317" s="7">
        <f t="shared" si="27"/>
        <v>1.9417433891766333E-3</v>
      </c>
      <c r="H317">
        <f>Source_CBS_bodemgebruik!H319</f>
        <v>3260.9868564741128</v>
      </c>
      <c r="I317" s="9">
        <f t="shared" si="28"/>
        <v>32.609868564741127</v>
      </c>
      <c r="J317">
        <f>Source_CBS_bodemgebruik!Q319</f>
        <v>0</v>
      </c>
      <c r="K317" s="11">
        <f t="shared" si="29"/>
        <v>0</v>
      </c>
    </row>
    <row r="318" spans="1:11" x14ac:dyDescent="0.2">
      <c r="A318" s="13" t="str">
        <f>Source_CBS_bodemgebruik!A320</f>
        <v>2023GM1924</v>
      </c>
      <c r="B318" s="13" t="str">
        <f t="shared" si="24"/>
        <v>GM1924</v>
      </c>
      <c r="C318">
        <f>Source_CBS_bodemgebruik!N320</f>
        <v>18032.958511372795</v>
      </c>
      <c r="D318" s="9">
        <f t="shared" si="25"/>
        <v>180.32958511372794</v>
      </c>
      <c r="E318" s="10">
        <f t="shared" si="26"/>
        <v>8.0849087681910924E-3</v>
      </c>
      <c r="F318">
        <f>Source_CBS_bodemgebruik!AL320</f>
        <v>38.566072294017012</v>
      </c>
      <c r="G318" s="7">
        <f t="shared" si="27"/>
        <v>2.4462142707077014E-3</v>
      </c>
      <c r="H318">
        <f>Source_CBS_bodemgebruik!H320</f>
        <v>26220.188414135882</v>
      </c>
      <c r="I318" s="9">
        <f t="shared" si="28"/>
        <v>262.20188414135885</v>
      </c>
      <c r="J318">
        <f>Source_CBS_bodemgebruik!Q320</f>
        <v>4396.8544754637924</v>
      </c>
      <c r="K318" s="11">
        <f t="shared" si="29"/>
        <v>43.968544754637925</v>
      </c>
    </row>
    <row r="319" spans="1:11" x14ac:dyDescent="0.2">
      <c r="A319" s="13" t="str">
        <f>Source_CBS_bodemgebruik!A321</f>
        <v>2023GM1926</v>
      </c>
      <c r="B319" s="13" t="str">
        <f t="shared" si="24"/>
        <v>GM1926</v>
      </c>
      <c r="C319">
        <f>Source_CBS_bodemgebruik!N321</f>
        <v>2141.4706423111043</v>
      </c>
      <c r="D319" s="9">
        <f t="shared" si="25"/>
        <v>21.414706423111042</v>
      </c>
      <c r="E319" s="10">
        <f t="shared" si="26"/>
        <v>9.6010839052980369E-4</v>
      </c>
      <c r="F319">
        <f>Source_CBS_bodemgebruik!AL321</f>
        <v>533.40596444759876</v>
      </c>
      <c r="G319" s="7">
        <f t="shared" si="27"/>
        <v>3.383350195385975E-2</v>
      </c>
      <c r="H319">
        <f>Source_CBS_bodemgebruik!H321</f>
        <v>3687.3674565120418</v>
      </c>
      <c r="I319" s="9">
        <f t="shared" si="28"/>
        <v>36.873674565120417</v>
      </c>
      <c r="J319">
        <f>Source_CBS_bodemgebruik!Q321</f>
        <v>0</v>
      </c>
      <c r="K319" s="11">
        <f t="shared" si="29"/>
        <v>0</v>
      </c>
    </row>
    <row r="320" spans="1:11" x14ac:dyDescent="0.2">
      <c r="A320" s="13" t="str">
        <f>Source_CBS_bodemgebruik!A322</f>
        <v>2023GM1930</v>
      </c>
      <c r="B320" s="13" t="str">
        <f t="shared" si="24"/>
        <v>GM1930</v>
      </c>
      <c r="C320">
        <f>Source_CBS_bodemgebruik!N322</f>
        <v>4592.9861105711116</v>
      </c>
      <c r="D320" s="9">
        <f t="shared" si="25"/>
        <v>45.929861105711119</v>
      </c>
      <c r="E320" s="10">
        <f t="shared" si="26"/>
        <v>2.059222487209582E-3</v>
      </c>
      <c r="F320">
        <f>Source_CBS_bodemgebruik!AL322</f>
        <v>3.2067180215742002</v>
      </c>
      <c r="G320" s="7">
        <f t="shared" si="27"/>
        <v>2.033994887191899E-4</v>
      </c>
      <c r="H320">
        <f>Source_CBS_bodemgebruik!H322</f>
        <v>7331.0007029954731</v>
      </c>
      <c r="I320" s="9">
        <f t="shared" si="28"/>
        <v>73.310007029954733</v>
      </c>
      <c r="J320">
        <f>Source_CBS_bodemgebruik!Q322</f>
        <v>0</v>
      </c>
      <c r="K320" s="11">
        <f t="shared" si="29"/>
        <v>0</v>
      </c>
    </row>
    <row r="321" spans="1:11" x14ac:dyDescent="0.2">
      <c r="A321" s="13" t="str">
        <f>Source_CBS_bodemgebruik!A323</f>
        <v>2023GM1931</v>
      </c>
      <c r="B321" s="13" t="str">
        <f t="shared" si="24"/>
        <v>GM1931</v>
      </c>
      <c r="C321">
        <f>Source_CBS_bodemgebruik!N323</f>
        <v>12832.422063175951</v>
      </c>
      <c r="D321" s="9">
        <f t="shared" si="25"/>
        <v>128.32422063175952</v>
      </c>
      <c r="E321" s="10">
        <f t="shared" si="26"/>
        <v>5.753296753290317E-3</v>
      </c>
      <c r="F321">
        <f>Source_CBS_bodemgebruik!AL323</f>
        <v>0</v>
      </c>
      <c r="G321" s="7">
        <f t="shared" si="27"/>
        <v>0</v>
      </c>
      <c r="H321">
        <f>Source_CBS_bodemgebruik!H323</f>
        <v>14831.997927308243</v>
      </c>
      <c r="I321" s="9">
        <f t="shared" si="28"/>
        <v>148.31997927308242</v>
      </c>
      <c r="J321">
        <f>Source_CBS_bodemgebruik!Q323</f>
        <v>0</v>
      </c>
      <c r="K321" s="11">
        <f t="shared" si="29"/>
        <v>0</v>
      </c>
    </row>
    <row r="322" spans="1:11" x14ac:dyDescent="0.2">
      <c r="A322" s="13" t="str">
        <f>Source_CBS_bodemgebruik!A324</f>
        <v>2023GM1940</v>
      </c>
      <c r="B322" s="13" t="str">
        <f t="shared" si="24"/>
        <v>GM1940</v>
      </c>
      <c r="C322">
        <f>Source_CBS_bodemgebruik!N324</f>
        <v>29176.625501540428</v>
      </c>
      <c r="D322" s="9">
        <f t="shared" si="25"/>
        <v>291.76625501540428</v>
      </c>
      <c r="E322" s="10">
        <f t="shared" si="26"/>
        <v>1.3081067934297289E-2</v>
      </c>
      <c r="F322">
        <f>Source_CBS_bodemgebruik!AL324</f>
        <v>0.30793892473900003</v>
      </c>
      <c r="G322" s="7">
        <f t="shared" si="27"/>
        <v>1.9532312921577659E-5</v>
      </c>
      <c r="H322">
        <f>Source_CBS_bodemgebruik!H324</f>
        <v>35121.015657638971</v>
      </c>
      <c r="I322" s="9">
        <f t="shared" si="28"/>
        <v>351.21015657638969</v>
      </c>
      <c r="J322">
        <f>Source_CBS_bodemgebruik!Q324</f>
        <v>0</v>
      </c>
      <c r="K322" s="11">
        <f t="shared" si="29"/>
        <v>0</v>
      </c>
    </row>
    <row r="323" spans="1:11" x14ac:dyDescent="0.2">
      <c r="A323" s="13" t="str">
        <f>Source_CBS_bodemgebruik!A325</f>
        <v>2023GM1942</v>
      </c>
      <c r="B323" s="13" t="str">
        <f t="shared" ref="B323:B343" si="30">RIGHT(A323,6)</f>
        <v>GM1942</v>
      </c>
      <c r="C323">
        <f>Source_CBS_bodemgebruik!N325</f>
        <v>1322.2762612256536</v>
      </c>
      <c r="D323" s="9">
        <f t="shared" ref="D323:D343" si="31">C323/100</f>
        <v>13.222762612256536</v>
      </c>
      <c r="E323" s="10">
        <f t="shared" ref="E323:E343" si="32">D323/SUM(D$2:D$343)</f>
        <v>5.9283022980461504E-4</v>
      </c>
      <c r="F323">
        <f>Source_CBS_bodemgebruik!AL325</f>
        <v>0</v>
      </c>
      <c r="G323" s="7">
        <f t="shared" ref="G323:G343" si="33">F323/SUM(F$2:F$343)</f>
        <v>0</v>
      </c>
      <c r="H323">
        <f>Source_CBS_bodemgebruik!H325</f>
        <v>4143.4410523423394</v>
      </c>
      <c r="I323" s="9">
        <f t="shared" ref="I323:I343" si="34">H323/100</f>
        <v>41.434410523423395</v>
      </c>
      <c r="J323">
        <f>Source_CBS_bodemgebruik!Q325</f>
        <v>0</v>
      </c>
      <c r="K323" s="11">
        <f t="shared" ref="K323:K343" si="35">J323/100</f>
        <v>0</v>
      </c>
    </row>
    <row r="324" spans="1:11" x14ac:dyDescent="0.2">
      <c r="A324" s="13" t="str">
        <f>Source_CBS_bodemgebruik!A326</f>
        <v>2023GM1945</v>
      </c>
      <c r="B324" s="13" t="str">
        <f t="shared" si="30"/>
        <v>GM1945</v>
      </c>
      <c r="C324">
        <f>Source_CBS_bodemgebruik!N326</f>
        <v>4971.8076912374454</v>
      </c>
      <c r="D324" s="9">
        <f t="shared" si="31"/>
        <v>49.718076912374457</v>
      </c>
      <c r="E324" s="10">
        <f t="shared" si="32"/>
        <v>2.2290636099059871E-3</v>
      </c>
      <c r="F324">
        <f>Source_CBS_bodemgebruik!AL326</f>
        <v>2.23238922037</v>
      </c>
      <c r="G324" s="7">
        <f t="shared" si="33"/>
        <v>1.4159861359514995E-4</v>
      </c>
      <c r="H324">
        <f>Source_CBS_bodemgebruik!H326</f>
        <v>8638.8698940498798</v>
      </c>
      <c r="I324" s="9">
        <f t="shared" si="34"/>
        <v>86.388698940498799</v>
      </c>
      <c r="J324">
        <f>Source_CBS_bodemgebruik!Q326</f>
        <v>0</v>
      </c>
      <c r="K324" s="11">
        <f t="shared" si="35"/>
        <v>0</v>
      </c>
    </row>
    <row r="325" spans="1:11" x14ac:dyDescent="0.2">
      <c r="A325" s="13" t="str">
        <f>Source_CBS_bodemgebruik!A327</f>
        <v>2023GM1948</v>
      </c>
      <c r="B325" s="13" t="str">
        <f t="shared" si="30"/>
        <v>GM1948</v>
      </c>
      <c r="C325">
        <f>Source_CBS_bodemgebruik!N327</f>
        <v>13184.250120611532</v>
      </c>
      <c r="D325" s="9">
        <f t="shared" si="31"/>
        <v>131.84250120611532</v>
      </c>
      <c r="E325" s="10">
        <f t="shared" si="32"/>
        <v>5.9110355815953138E-3</v>
      </c>
      <c r="F325">
        <f>Source_CBS_bodemgebruik!AL327</f>
        <v>33.214062161297988</v>
      </c>
      <c r="G325" s="7">
        <f t="shared" si="33"/>
        <v>2.1067406664521662E-3</v>
      </c>
      <c r="H325">
        <f>Source_CBS_bodemgebruik!H327</f>
        <v>18399.811843584408</v>
      </c>
      <c r="I325" s="9">
        <f t="shared" si="34"/>
        <v>183.99811843584408</v>
      </c>
      <c r="J325">
        <f>Source_CBS_bodemgebruik!Q327</f>
        <v>0</v>
      </c>
      <c r="K325" s="11">
        <f t="shared" si="35"/>
        <v>0</v>
      </c>
    </row>
    <row r="326" spans="1:11" x14ac:dyDescent="0.2">
      <c r="A326" s="13" t="str">
        <f>Source_CBS_bodemgebruik!A328</f>
        <v>2023GM1949</v>
      </c>
      <c r="B326" s="13" t="str">
        <f t="shared" si="30"/>
        <v>GM1949</v>
      </c>
      <c r="C326">
        <f>Source_CBS_bodemgebruik!N328</f>
        <v>25355.730038482849</v>
      </c>
      <c r="D326" s="9">
        <f t="shared" si="31"/>
        <v>253.55730038482849</v>
      </c>
      <c r="E326" s="10">
        <f t="shared" si="32"/>
        <v>1.1368005088168438E-2</v>
      </c>
      <c r="F326">
        <f>Source_CBS_bodemgebruik!AL328</f>
        <v>164.62509915352177</v>
      </c>
      <c r="G326" s="7">
        <f t="shared" si="33"/>
        <v>1.0442034744836846E-2</v>
      </c>
      <c r="H326">
        <f>Source_CBS_bodemgebruik!H328</f>
        <v>28541.815132724529</v>
      </c>
      <c r="I326" s="9">
        <f t="shared" si="34"/>
        <v>285.41815132724531</v>
      </c>
      <c r="J326">
        <f>Source_CBS_bodemgebruik!Q328</f>
        <v>2642.682589659044</v>
      </c>
      <c r="K326" s="11">
        <f t="shared" si="35"/>
        <v>26.42682589659044</v>
      </c>
    </row>
    <row r="327" spans="1:11" x14ac:dyDescent="0.2">
      <c r="A327" s="13" t="str">
        <f>Source_CBS_bodemgebruik!A329</f>
        <v>2023GM1950</v>
      </c>
      <c r="B327" s="13" t="str">
        <f t="shared" si="30"/>
        <v>GM1950</v>
      </c>
      <c r="C327">
        <f>Source_CBS_bodemgebruik!N329</f>
        <v>23618.015426930306</v>
      </c>
      <c r="D327" s="9">
        <f t="shared" si="31"/>
        <v>236.18015426930305</v>
      </c>
      <c r="E327" s="10">
        <f t="shared" si="32"/>
        <v>1.0588916948488278E-2</v>
      </c>
      <c r="F327">
        <f>Source_CBS_bodemgebruik!AL329</f>
        <v>0</v>
      </c>
      <c r="G327" s="7">
        <f t="shared" si="33"/>
        <v>0</v>
      </c>
      <c r="H327">
        <f>Source_CBS_bodemgebruik!H329</f>
        <v>27576.967489501272</v>
      </c>
      <c r="I327" s="9">
        <f t="shared" si="34"/>
        <v>275.76967489501271</v>
      </c>
      <c r="J327">
        <f>Source_CBS_bodemgebruik!Q329</f>
        <v>0</v>
      </c>
      <c r="K327" s="11">
        <f t="shared" si="35"/>
        <v>0</v>
      </c>
    </row>
    <row r="328" spans="1:11" x14ac:dyDescent="0.2">
      <c r="A328" s="13" t="str">
        <f>Source_CBS_bodemgebruik!A330</f>
        <v>2023GM1952</v>
      </c>
      <c r="B328" s="13" t="str">
        <f t="shared" si="30"/>
        <v>GM1952</v>
      </c>
      <c r="C328">
        <f>Source_CBS_bodemgebruik!N330</f>
        <v>22123.261056275518</v>
      </c>
      <c r="D328" s="9">
        <f t="shared" si="31"/>
        <v>221.23261056275518</v>
      </c>
      <c r="E328" s="10">
        <f t="shared" si="32"/>
        <v>9.9187577668998946E-3</v>
      </c>
      <c r="F328">
        <f>Source_CBS_bodemgebruik!AL330</f>
        <v>75.26552401814817</v>
      </c>
      <c r="G328" s="7">
        <f t="shared" si="33"/>
        <v>4.7740303327194217E-3</v>
      </c>
      <c r="H328">
        <f>Source_CBS_bodemgebruik!H330</f>
        <v>27794.869258319191</v>
      </c>
      <c r="I328" s="9">
        <f t="shared" si="34"/>
        <v>277.94869258319193</v>
      </c>
      <c r="J328">
        <f>Source_CBS_bodemgebruik!Q330</f>
        <v>0</v>
      </c>
      <c r="K328" s="11">
        <f t="shared" si="35"/>
        <v>0</v>
      </c>
    </row>
    <row r="329" spans="1:11" x14ac:dyDescent="0.2">
      <c r="A329" s="13" t="str">
        <f>Source_CBS_bodemgebruik!A331</f>
        <v>2023GM1954</v>
      </c>
      <c r="B329" s="13" t="str">
        <f t="shared" si="30"/>
        <v>GM1954</v>
      </c>
      <c r="C329">
        <f>Source_CBS_bodemgebruik!N331</f>
        <v>5603.7879543541885</v>
      </c>
      <c r="D329" s="9">
        <f t="shared" si="31"/>
        <v>56.037879543541884</v>
      </c>
      <c r="E329" s="10">
        <f t="shared" si="32"/>
        <v>2.5124060668508014E-3</v>
      </c>
      <c r="F329">
        <f>Source_CBS_bodemgebruik!AL331</f>
        <v>0</v>
      </c>
      <c r="G329" s="7">
        <f t="shared" si="33"/>
        <v>0</v>
      </c>
      <c r="H329">
        <f>Source_CBS_bodemgebruik!H331</f>
        <v>7830.1319703964327</v>
      </c>
      <c r="I329" s="9">
        <f t="shared" si="34"/>
        <v>78.301319703964325</v>
      </c>
      <c r="J329">
        <f>Source_CBS_bodemgebruik!Q331</f>
        <v>0</v>
      </c>
      <c r="K329" s="11">
        <f t="shared" si="35"/>
        <v>0</v>
      </c>
    </row>
    <row r="330" spans="1:11" x14ac:dyDescent="0.2">
      <c r="A330" s="13" t="str">
        <f>Source_CBS_bodemgebruik!A332</f>
        <v>2023GM1955</v>
      </c>
      <c r="B330" s="13" t="str">
        <f t="shared" si="30"/>
        <v>GM1955</v>
      </c>
      <c r="C330">
        <f>Source_CBS_bodemgebruik!N332</f>
        <v>7341.4357671488378</v>
      </c>
      <c r="D330" s="9">
        <f t="shared" si="31"/>
        <v>73.414357671488375</v>
      </c>
      <c r="E330" s="10">
        <f t="shared" si="32"/>
        <v>3.2914642579308434E-3</v>
      </c>
      <c r="F330">
        <f>Source_CBS_bodemgebruik!AL332</f>
        <v>0</v>
      </c>
      <c r="G330" s="7">
        <f t="shared" si="33"/>
        <v>0</v>
      </c>
      <c r="H330">
        <f>Source_CBS_bodemgebruik!H332</f>
        <v>10569.816483051811</v>
      </c>
      <c r="I330" s="9">
        <f t="shared" si="34"/>
        <v>105.69816483051811</v>
      </c>
      <c r="J330">
        <f>Source_CBS_bodemgebruik!Q332</f>
        <v>0</v>
      </c>
      <c r="K330" s="11">
        <f t="shared" si="35"/>
        <v>0</v>
      </c>
    </row>
    <row r="331" spans="1:11" x14ac:dyDescent="0.2">
      <c r="A331" s="13" t="str">
        <f>Source_CBS_bodemgebruik!A333</f>
        <v>2023GM1959</v>
      </c>
      <c r="B331" s="13" t="str">
        <f t="shared" si="30"/>
        <v>GM1959</v>
      </c>
      <c r="C331">
        <f>Source_CBS_bodemgebruik!N333</f>
        <v>15474.11415824699</v>
      </c>
      <c r="D331" s="9">
        <f t="shared" si="31"/>
        <v>154.74114158246991</v>
      </c>
      <c r="E331" s="10">
        <f t="shared" si="32"/>
        <v>6.9376747669607445E-3</v>
      </c>
      <c r="F331">
        <f>Source_CBS_bodemgebruik!AL333</f>
        <v>36.654879022549416</v>
      </c>
      <c r="G331" s="7">
        <f t="shared" si="33"/>
        <v>2.3249888521817432E-3</v>
      </c>
      <c r="H331">
        <f>Source_CBS_bodemgebruik!H333</f>
        <v>19973.98075973073</v>
      </c>
      <c r="I331" s="9">
        <f t="shared" si="34"/>
        <v>199.7398075973073</v>
      </c>
      <c r="J331">
        <f>Source_CBS_bodemgebruik!Q333</f>
        <v>0</v>
      </c>
      <c r="K331" s="11">
        <f t="shared" si="35"/>
        <v>0</v>
      </c>
    </row>
    <row r="332" spans="1:11" x14ac:dyDescent="0.2">
      <c r="A332" s="13" t="str">
        <f>Source_CBS_bodemgebruik!A334</f>
        <v>2023GM1960</v>
      </c>
      <c r="B332" s="13" t="str">
        <f t="shared" si="30"/>
        <v>GM1960</v>
      </c>
      <c r="C332">
        <f>Source_CBS_bodemgebruik!N334</f>
        <v>17151.02350721131</v>
      </c>
      <c r="D332" s="9">
        <f t="shared" si="31"/>
        <v>171.51023507211309</v>
      </c>
      <c r="E332" s="10">
        <f t="shared" si="32"/>
        <v>7.6895014342462523E-3</v>
      </c>
      <c r="F332">
        <f>Source_CBS_bodemgebruik!AL334</f>
        <v>105.31474007388491</v>
      </c>
      <c r="G332" s="7">
        <f t="shared" si="33"/>
        <v>6.6800274116733428E-3</v>
      </c>
      <c r="H332">
        <f>Source_CBS_bodemgebruik!H334</f>
        <v>21592.656314578922</v>
      </c>
      <c r="I332" s="9">
        <f t="shared" si="34"/>
        <v>215.92656314578923</v>
      </c>
      <c r="J332">
        <f>Source_CBS_bodemgebruik!Q334</f>
        <v>0</v>
      </c>
      <c r="K332" s="11">
        <f t="shared" si="35"/>
        <v>0</v>
      </c>
    </row>
    <row r="333" spans="1:11" x14ac:dyDescent="0.2">
      <c r="A333" s="13" t="str">
        <f>Source_CBS_bodemgebruik!A335</f>
        <v>2023GM1961</v>
      </c>
      <c r="B333" s="13" t="str">
        <f t="shared" si="30"/>
        <v>GM1961</v>
      </c>
      <c r="C333">
        <f>Source_CBS_bodemgebruik!N335</f>
        <v>11758.892481876423</v>
      </c>
      <c r="D333" s="9">
        <f t="shared" si="31"/>
        <v>117.58892481876423</v>
      </c>
      <c r="E333" s="10">
        <f t="shared" si="32"/>
        <v>5.2719897775499094E-3</v>
      </c>
      <c r="F333">
        <f>Source_CBS_bodemgebruik!AL335</f>
        <v>0</v>
      </c>
      <c r="G333" s="7">
        <f t="shared" si="33"/>
        <v>0</v>
      </c>
      <c r="H333">
        <f>Source_CBS_bodemgebruik!H335</f>
        <v>14627.989976866105</v>
      </c>
      <c r="I333" s="9">
        <f t="shared" si="34"/>
        <v>146.27989976866104</v>
      </c>
      <c r="J333">
        <f>Source_CBS_bodemgebruik!Q335</f>
        <v>0</v>
      </c>
      <c r="K333" s="11">
        <f t="shared" si="35"/>
        <v>0</v>
      </c>
    </row>
    <row r="334" spans="1:11" x14ac:dyDescent="0.2">
      <c r="A334" s="13" t="str">
        <f>Source_CBS_bodemgebruik!A336</f>
        <v>2023GM1963</v>
      </c>
      <c r="B334" s="13" t="str">
        <f t="shared" si="30"/>
        <v>GM1963</v>
      </c>
      <c r="C334">
        <f>Source_CBS_bodemgebruik!N336</f>
        <v>21397.384359388656</v>
      </c>
      <c r="D334" s="9">
        <f t="shared" si="31"/>
        <v>213.97384359388656</v>
      </c>
      <c r="E334" s="10">
        <f t="shared" si="32"/>
        <v>9.5933177195784858E-3</v>
      </c>
      <c r="F334">
        <f>Source_CBS_bodemgebruik!AL336</f>
        <v>79.351821452402234</v>
      </c>
      <c r="G334" s="7">
        <f t="shared" si="33"/>
        <v>5.0332208207168033E-3</v>
      </c>
      <c r="H334">
        <f>Source_CBS_bodemgebruik!H336</f>
        <v>26854.000919820654</v>
      </c>
      <c r="I334" s="9">
        <f t="shared" si="34"/>
        <v>268.54000919820652</v>
      </c>
      <c r="J334">
        <f>Source_CBS_bodemgebruik!Q336</f>
        <v>0</v>
      </c>
      <c r="K334" s="11">
        <f t="shared" si="35"/>
        <v>0</v>
      </c>
    </row>
    <row r="335" spans="1:11" x14ac:dyDescent="0.2">
      <c r="A335" s="13" t="str">
        <f>Source_CBS_bodemgebruik!A337</f>
        <v>2023GM1966</v>
      </c>
      <c r="B335" s="13" t="str">
        <f t="shared" si="30"/>
        <v>GM1966</v>
      </c>
      <c r="C335">
        <f>Source_CBS_bodemgebruik!N337</f>
        <v>38527.237734712267</v>
      </c>
      <c r="D335" s="9">
        <f t="shared" si="31"/>
        <v>385.2723773471227</v>
      </c>
      <c r="E335" s="10">
        <f t="shared" si="32"/>
        <v>1.7273327722631421E-2</v>
      </c>
      <c r="F335">
        <f>Source_CBS_bodemgebruik!AL337</f>
        <v>9.235108389418901</v>
      </c>
      <c r="G335" s="7">
        <f t="shared" si="33"/>
        <v>5.85775335416607E-4</v>
      </c>
      <c r="H335">
        <f>Source_CBS_bodemgebruik!H337</f>
        <v>47674.325988701297</v>
      </c>
      <c r="I335" s="9">
        <f t="shared" si="34"/>
        <v>476.74325988701298</v>
      </c>
      <c r="J335">
        <f>Source_CBS_bodemgebruik!Q337</f>
        <v>40851.588145626061</v>
      </c>
      <c r="K335" s="11">
        <f t="shared" si="35"/>
        <v>408.51588145626062</v>
      </c>
    </row>
    <row r="336" spans="1:11" x14ac:dyDescent="0.2">
      <c r="A336" s="13" t="str">
        <f>Source_CBS_bodemgebruik!A338</f>
        <v>2023GM1969</v>
      </c>
      <c r="B336" s="13" t="str">
        <f t="shared" si="30"/>
        <v>GM1969</v>
      </c>
      <c r="C336">
        <f>Source_CBS_bodemgebruik!N338</f>
        <v>32248.695665562813</v>
      </c>
      <c r="D336" s="9">
        <f t="shared" si="31"/>
        <v>322.48695665562815</v>
      </c>
      <c r="E336" s="10">
        <f t="shared" si="32"/>
        <v>1.445840194135657E-2</v>
      </c>
      <c r="F336">
        <f>Source_CBS_bodemgebruik!AL338</f>
        <v>2.6842598035200003</v>
      </c>
      <c r="G336" s="7">
        <f t="shared" si="33"/>
        <v>1.702603933218354E-4</v>
      </c>
      <c r="H336">
        <f>Source_CBS_bodemgebruik!H338</f>
        <v>36263.370295940891</v>
      </c>
      <c r="I336" s="9">
        <f t="shared" si="34"/>
        <v>362.63370295940894</v>
      </c>
      <c r="J336">
        <f>Source_CBS_bodemgebruik!Q338</f>
        <v>0</v>
      </c>
      <c r="K336" s="11">
        <f t="shared" si="35"/>
        <v>0</v>
      </c>
    </row>
    <row r="337" spans="1:11" x14ac:dyDescent="0.2">
      <c r="A337" s="13" t="str">
        <f>Source_CBS_bodemgebruik!A339</f>
        <v>2023GM1970</v>
      </c>
      <c r="B337" s="13" t="str">
        <f t="shared" si="30"/>
        <v>GM1970</v>
      </c>
      <c r="C337">
        <f>Source_CBS_bodemgebruik!N339</f>
        <v>30528.036712279987</v>
      </c>
      <c r="D337" s="9">
        <f t="shared" si="31"/>
        <v>305.28036712279987</v>
      </c>
      <c r="E337" s="10">
        <f t="shared" si="32"/>
        <v>1.3686960546995827E-2</v>
      </c>
      <c r="F337">
        <f>Source_CBS_bodemgebruik!AL339</f>
        <v>2.2679002695007999</v>
      </c>
      <c r="G337" s="7">
        <f t="shared" si="33"/>
        <v>1.438510502573361E-4</v>
      </c>
      <c r="H337">
        <f>Source_CBS_bodemgebruik!H339</f>
        <v>37921.89842628887</v>
      </c>
      <c r="I337" s="9">
        <f t="shared" si="34"/>
        <v>379.21898426288868</v>
      </c>
      <c r="J337">
        <f>Source_CBS_bodemgebruik!Q339</f>
        <v>11962.832621901303</v>
      </c>
      <c r="K337" s="11">
        <f t="shared" si="35"/>
        <v>119.62832621901303</v>
      </c>
    </row>
    <row r="338" spans="1:11" x14ac:dyDescent="0.2">
      <c r="A338" s="13" t="str">
        <f>Source_CBS_bodemgebruik!A340</f>
        <v>2023GM1978</v>
      </c>
      <c r="B338" s="13" t="str">
        <f t="shared" si="30"/>
        <v>GM1978</v>
      </c>
      <c r="C338">
        <f>Source_CBS_bodemgebruik!N340</f>
        <v>16129.092439487935</v>
      </c>
      <c r="D338" s="9">
        <f t="shared" si="31"/>
        <v>161.29092439487934</v>
      </c>
      <c r="E338" s="10">
        <f t="shared" si="32"/>
        <v>7.2313281708456349E-3</v>
      </c>
      <c r="F338">
        <f>Source_CBS_bodemgebruik!AL340</f>
        <v>0</v>
      </c>
      <c r="G338" s="7">
        <f t="shared" si="33"/>
        <v>0</v>
      </c>
      <c r="H338">
        <f>Source_CBS_bodemgebruik!H340</f>
        <v>18157.231895099845</v>
      </c>
      <c r="I338" s="9">
        <f t="shared" si="34"/>
        <v>181.57231895099846</v>
      </c>
      <c r="J338">
        <f>Source_CBS_bodemgebruik!Q340</f>
        <v>0</v>
      </c>
      <c r="K338" s="11">
        <f t="shared" si="35"/>
        <v>0</v>
      </c>
    </row>
    <row r="339" spans="1:11" x14ac:dyDescent="0.2">
      <c r="A339" s="13" t="str">
        <f>Source_CBS_bodemgebruik!A341</f>
        <v>2023GM1979</v>
      </c>
      <c r="B339" s="13" t="str">
        <f t="shared" si="30"/>
        <v>GM1979</v>
      </c>
      <c r="C339">
        <f>Source_CBS_bodemgebruik!N341</f>
        <v>22554.35600959108</v>
      </c>
      <c r="D339" s="9">
        <f t="shared" si="31"/>
        <v>225.54356009591081</v>
      </c>
      <c r="E339" s="10">
        <f t="shared" si="32"/>
        <v>1.0112035168707581E-2</v>
      </c>
      <c r="F339">
        <f>Source_CBS_bodemgebruik!AL341</f>
        <v>0</v>
      </c>
      <c r="G339" s="7">
        <f t="shared" si="33"/>
        <v>0</v>
      </c>
      <c r="H339">
        <f>Source_CBS_bodemgebruik!H341</f>
        <v>26807.011451303752</v>
      </c>
      <c r="I339" s="9">
        <f t="shared" si="34"/>
        <v>268.07011451303754</v>
      </c>
      <c r="J339">
        <f>Source_CBS_bodemgebruik!Q341</f>
        <v>9119.8267377227457</v>
      </c>
      <c r="K339" s="11">
        <f t="shared" si="35"/>
        <v>91.198267377227452</v>
      </c>
    </row>
    <row r="340" spans="1:11" x14ac:dyDescent="0.2">
      <c r="A340" s="13" t="str">
        <f>Source_CBS_bodemgebruik!A342</f>
        <v>2023GM1980</v>
      </c>
      <c r="B340" s="13" t="str">
        <f t="shared" si="30"/>
        <v>GM1980</v>
      </c>
      <c r="C340">
        <f>Source_CBS_bodemgebruik!N342</f>
        <v>3263.6212308831959</v>
      </c>
      <c r="D340" s="9">
        <f t="shared" si="31"/>
        <v>32.636212308831958</v>
      </c>
      <c r="E340" s="10">
        <f t="shared" si="32"/>
        <v>1.4632141414278373E-3</v>
      </c>
      <c r="F340">
        <f>Source_CBS_bodemgebruik!AL342</f>
        <v>201.41765816231813</v>
      </c>
      <c r="G340" s="7">
        <f t="shared" si="33"/>
        <v>1.2775756525396167E-2</v>
      </c>
      <c r="H340">
        <f>Source_CBS_bodemgebruik!H342</f>
        <v>6189.9244763458291</v>
      </c>
      <c r="I340" s="9">
        <f t="shared" si="34"/>
        <v>61.899244763458292</v>
      </c>
      <c r="J340">
        <f>Source_CBS_bodemgebruik!Q342</f>
        <v>0</v>
      </c>
      <c r="K340" s="11">
        <f t="shared" si="35"/>
        <v>0</v>
      </c>
    </row>
    <row r="341" spans="1:11" x14ac:dyDescent="0.2">
      <c r="A341" s="13" t="str">
        <f>Source_CBS_bodemgebruik!A343</f>
        <v>2023GM1982</v>
      </c>
      <c r="B341" s="13" t="str">
        <f t="shared" si="30"/>
        <v>GM1982</v>
      </c>
      <c r="C341">
        <f>Source_CBS_bodemgebruik!N343</f>
        <v>25235.299424517958</v>
      </c>
      <c r="D341" s="9">
        <f t="shared" si="31"/>
        <v>252.35299424517959</v>
      </c>
      <c r="E341" s="10">
        <f t="shared" si="32"/>
        <v>1.1314011145566655E-2</v>
      </c>
      <c r="F341">
        <f>Source_CBS_bodemgebruik!AL343</f>
        <v>29.758744406733701</v>
      </c>
      <c r="G341" s="7">
        <f t="shared" si="33"/>
        <v>1.8875727009770786E-3</v>
      </c>
      <c r="H341">
        <f>Source_CBS_bodemgebruik!H343</f>
        <v>34126.222393210133</v>
      </c>
      <c r="I341" s="9">
        <f t="shared" si="34"/>
        <v>341.26222393210134</v>
      </c>
      <c r="J341">
        <f>Source_CBS_bodemgebruik!Q343</f>
        <v>0</v>
      </c>
      <c r="K341" s="11">
        <f t="shared" si="35"/>
        <v>0</v>
      </c>
    </row>
    <row r="342" spans="1:11" x14ac:dyDescent="0.2">
      <c r="A342" s="13" t="str">
        <f>Source_CBS_bodemgebruik!A344</f>
        <v>2023GM1991</v>
      </c>
      <c r="B342" s="13" t="str">
        <f t="shared" si="30"/>
        <v>GM1991</v>
      </c>
      <c r="C342">
        <f>Source_CBS_bodemgebruik!N344</f>
        <v>8557.0524336528742</v>
      </c>
      <c r="D342" s="9">
        <f t="shared" si="31"/>
        <v>85.570524336528749</v>
      </c>
      <c r="E342" s="10">
        <f t="shared" si="32"/>
        <v>3.8364746531790454E-3</v>
      </c>
      <c r="F342">
        <f>Source_CBS_bodemgebruik!AL344</f>
        <v>12.417398404109703</v>
      </c>
      <c r="G342" s="7">
        <f t="shared" si="33"/>
        <v>7.876253757349447E-4</v>
      </c>
      <c r="H342">
        <f>Source_CBS_bodemgebruik!H344</f>
        <v>13732.534014430576</v>
      </c>
      <c r="I342" s="9">
        <f t="shared" si="34"/>
        <v>137.32534014430576</v>
      </c>
      <c r="J342">
        <f>Source_CBS_bodemgebruik!Q344</f>
        <v>0</v>
      </c>
      <c r="K342" s="11">
        <f t="shared" si="35"/>
        <v>0</v>
      </c>
    </row>
    <row r="343" spans="1:11" x14ac:dyDescent="0.2">
      <c r="A343" s="13" t="str">
        <f>Source_CBS_bodemgebruik!A345</f>
        <v>2023GM1992</v>
      </c>
      <c r="B343" s="13" t="str">
        <f t="shared" si="30"/>
        <v>GM1992</v>
      </c>
      <c r="C343">
        <f>Source_CBS_bodemgebruik!N345</f>
        <v>7491.4651426334976</v>
      </c>
      <c r="D343" s="9">
        <f t="shared" si="31"/>
        <v>74.91465142633497</v>
      </c>
      <c r="E343" s="10">
        <f t="shared" si="32"/>
        <v>3.3587285292137376E-3</v>
      </c>
      <c r="F343">
        <f>Source_CBS_bodemgebruik!AL345</f>
        <v>312.41504946479688</v>
      </c>
      <c r="G343" s="7">
        <f t="shared" si="33"/>
        <v>1.9816229834304356E-2</v>
      </c>
      <c r="H343">
        <f>Source_CBS_bodemgebruik!H345</f>
        <v>12176.937325163375</v>
      </c>
      <c r="I343" s="9">
        <f t="shared" si="34"/>
        <v>121.76937325163375</v>
      </c>
      <c r="J343">
        <f>Source_CBS_bodemgebruik!Q345</f>
        <v>4020.4921049117015</v>
      </c>
      <c r="K343" s="11">
        <f t="shared" si="35"/>
        <v>40.204921049117019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0372-763F-6945-AFBA-3DD100CD6D28}">
  <sheetPr>
    <tabColor theme="0" tint="-0.34998626667073579"/>
  </sheetPr>
  <dimension ref="A1:BD345"/>
  <sheetViews>
    <sheetView topLeftCell="C1" workbookViewId="0">
      <selection activeCell="P3" sqref="P3:Q3"/>
    </sheetView>
  </sheetViews>
  <sheetFormatPr baseColWidth="10" defaultRowHeight="15" x14ac:dyDescent="0.2"/>
  <sheetData>
    <row r="1" spans="1:56" x14ac:dyDescent="0.2">
      <c r="A1" t="s">
        <v>1067</v>
      </c>
    </row>
    <row r="2" spans="1:56" x14ac:dyDescent="0.2">
      <c r="H2" t="s">
        <v>1068</v>
      </c>
      <c r="I2" t="s">
        <v>1069</v>
      </c>
      <c r="J2" t="s">
        <v>1070</v>
      </c>
      <c r="K2" t="s">
        <v>1071</v>
      </c>
      <c r="L2" t="s">
        <v>1072</v>
      </c>
      <c r="M2" t="s">
        <v>1073</v>
      </c>
      <c r="N2" t="s">
        <v>1074</v>
      </c>
      <c r="O2" t="s">
        <v>1075</v>
      </c>
      <c r="P2" t="s">
        <v>1076</v>
      </c>
      <c r="Q2" t="s">
        <v>1077</v>
      </c>
      <c r="R2" t="s">
        <v>1078</v>
      </c>
      <c r="S2" t="s">
        <v>1079</v>
      </c>
      <c r="T2" t="s">
        <v>1080</v>
      </c>
      <c r="U2" t="s">
        <v>1081</v>
      </c>
      <c r="V2" t="s">
        <v>1082</v>
      </c>
      <c r="W2" t="s">
        <v>1083</v>
      </c>
      <c r="X2" t="s">
        <v>1084</v>
      </c>
      <c r="Y2" t="s">
        <v>1085</v>
      </c>
      <c r="Z2" t="s">
        <v>1086</v>
      </c>
      <c r="AA2" t="s">
        <v>1087</v>
      </c>
      <c r="AB2" t="s">
        <v>1088</v>
      </c>
      <c r="AC2" t="s">
        <v>1089</v>
      </c>
      <c r="AD2" t="s">
        <v>1090</v>
      </c>
      <c r="AE2" t="s">
        <v>1091</v>
      </c>
      <c r="AF2" t="s">
        <v>1092</v>
      </c>
      <c r="AG2" t="s">
        <v>1093</v>
      </c>
      <c r="AH2" t="s">
        <v>1094</v>
      </c>
      <c r="AI2" t="s">
        <v>1095</v>
      </c>
      <c r="AJ2" t="s">
        <v>1096</v>
      </c>
      <c r="AK2" t="s">
        <v>1097</v>
      </c>
      <c r="AL2" t="s">
        <v>1098</v>
      </c>
      <c r="AM2" t="s">
        <v>1099</v>
      </c>
      <c r="AN2" t="s">
        <v>1100</v>
      </c>
      <c r="AO2" t="s">
        <v>1101</v>
      </c>
      <c r="AP2" t="s">
        <v>1102</v>
      </c>
      <c r="AQ2" t="s">
        <v>1103</v>
      </c>
      <c r="AR2" t="s">
        <v>1104</v>
      </c>
      <c r="AS2" t="s">
        <v>1105</v>
      </c>
      <c r="AT2" t="s">
        <v>1106</v>
      </c>
      <c r="AU2" t="s">
        <v>1107</v>
      </c>
      <c r="AV2" t="s">
        <v>1108</v>
      </c>
      <c r="AW2" t="s">
        <v>1109</v>
      </c>
      <c r="AX2" t="s">
        <v>1110</v>
      </c>
      <c r="AY2" t="s">
        <v>1111</v>
      </c>
      <c r="AZ2" t="s">
        <v>1112</v>
      </c>
      <c r="BA2" t="s">
        <v>1113</v>
      </c>
      <c r="BB2" t="s">
        <v>1114</v>
      </c>
      <c r="BC2" t="s">
        <v>1115</v>
      </c>
      <c r="BD2" t="s">
        <v>1078</v>
      </c>
    </row>
    <row r="3" spans="1:56" x14ac:dyDescent="0.2">
      <c r="A3" t="s">
        <v>1116</v>
      </c>
      <c r="B3" t="s">
        <v>1117</v>
      </c>
      <c r="C3" t="s">
        <v>1118</v>
      </c>
      <c r="D3" t="s">
        <v>1119</v>
      </c>
      <c r="E3" t="s">
        <v>1120</v>
      </c>
      <c r="F3" t="s">
        <v>1121</v>
      </c>
      <c r="G3" t="s">
        <v>1122</v>
      </c>
      <c r="H3" t="s">
        <v>1123</v>
      </c>
      <c r="I3" t="s">
        <v>1124</v>
      </c>
      <c r="J3" t="s">
        <v>1125</v>
      </c>
      <c r="K3" t="s">
        <v>1126</v>
      </c>
      <c r="L3" t="s">
        <v>1127</v>
      </c>
      <c r="M3" t="s">
        <v>1128</v>
      </c>
      <c r="N3" t="s">
        <v>1129</v>
      </c>
      <c r="O3" t="s">
        <v>1130</v>
      </c>
      <c r="P3" t="s">
        <v>1131</v>
      </c>
      <c r="Q3" t="s">
        <v>1132</v>
      </c>
      <c r="R3" t="s">
        <v>1133</v>
      </c>
      <c r="S3" t="s">
        <v>1134</v>
      </c>
      <c r="T3" t="s">
        <v>1135</v>
      </c>
      <c r="U3" t="s">
        <v>1136</v>
      </c>
      <c r="V3" t="s">
        <v>1137</v>
      </c>
      <c r="W3" t="s">
        <v>1138</v>
      </c>
      <c r="X3" t="s">
        <v>1139</v>
      </c>
      <c r="Y3" t="s">
        <v>1140</v>
      </c>
      <c r="Z3" t="s">
        <v>1141</v>
      </c>
      <c r="AA3" t="s">
        <v>1142</v>
      </c>
      <c r="AB3" t="s">
        <v>1143</v>
      </c>
      <c r="AC3" t="s">
        <v>1144</v>
      </c>
      <c r="AD3" t="s">
        <v>1145</v>
      </c>
      <c r="AE3" t="s">
        <v>1146</v>
      </c>
      <c r="AF3" t="s">
        <v>1147</v>
      </c>
      <c r="AG3" t="s">
        <v>1148</v>
      </c>
      <c r="AH3" t="s">
        <v>1149</v>
      </c>
      <c r="AI3" t="s">
        <v>1150</v>
      </c>
      <c r="AJ3" t="s">
        <v>1151</v>
      </c>
      <c r="AK3" t="s">
        <v>1152</v>
      </c>
      <c r="AL3" t="s">
        <v>1153</v>
      </c>
      <c r="AM3" t="s">
        <v>1154</v>
      </c>
      <c r="AN3" t="s">
        <v>1155</v>
      </c>
      <c r="AO3" t="s">
        <v>1156</v>
      </c>
      <c r="AP3" t="s">
        <v>1157</v>
      </c>
      <c r="AQ3" t="s">
        <v>1158</v>
      </c>
      <c r="AR3" t="s">
        <v>1159</v>
      </c>
      <c r="AS3" t="s">
        <v>1160</v>
      </c>
      <c r="AT3" t="s">
        <v>1161</v>
      </c>
      <c r="AU3" t="s">
        <v>1162</v>
      </c>
      <c r="AV3" t="s">
        <v>1163</v>
      </c>
      <c r="AW3" t="s">
        <v>1164</v>
      </c>
      <c r="AX3" t="s">
        <v>1165</v>
      </c>
      <c r="AY3" t="s">
        <v>1166</v>
      </c>
      <c r="AZ3" t="s">
        <v>1167</v>
      </c>
      <c r="BA3" t="s">
        <v>1168</v>
      </c>
      <c r="BB3" t="s">
        <v>1169</v>
      </c>
      <c r="BC3" t="s">
        <v>1170</v>
      </c>
      <c r="BD3" t="s">
        <v>1171</v>
      </c>
    </row>
    <row r="4" spans="1:56" x14ac:dyDescent="0.2">
      <c r="A4" t="s">
        <v>1172</v>
      </c>
      <c r="B4" t="s">
        <v>1173</v>
      </c>
      <c r="C4" t="s">
        <v>46</v>
      </c>
      <c r="D4">
        <v>2017</v>
      </c>
      <c r="E4" t="s">
        <v>1174</v>
      </c>
      <c r="F4" t="s">
        <v>1175</v>
      </c>
      <c r="G4">
        <v>19796.047265172801</v>
      </c>
      <c r="H4">
        <v>18552.543901989942</v>
      </c>
      <c r="I4">
        <v>1243.5033631803906</v>
      </c>
      <c r="J4">
        <v>798.67272552320071</v>
      </c>
      <c r="K4">
        <v>4038.0434033091251</v>
      </c>
      <c r="L4">
        <v>742.5435035868054</v>
      </c>
      <c r="M4">
        <v>1030.6809449761545</v>
      </c>
      <c r="N4">
        <v>10777.586438640375</v>
      </c>
      <c r="O4">
        <v>1165.0168859542823</v>
      </c>
      <c r="P4">
        <v>1243.5033631803906</v>
      </c>
      <c r="Q4">
        <v>0</v>
      </c>
      <c r="R4">
        <v>0</v>
      </c>
      <c r="S4">
        <v>111.77019942844016</v>
      </c>
      <c r="T4">
        <v>686.90252609476056</v>
      </c>
      <c r="U4">
        <v>0</v>
      </c>
      <c r="V4">
        <v>2603.2755044121441</v>
      </c>
      <c r="W4">
        <v>177.64213968192939</v>
      </c>
      <c r="X4">
        <v>160.07300780033319</v>
      </c>
      <c r="Y4">
        <v>292.65886560069725</v>
      </c>
      <c r="Z4">
        <v>804.39388581402102</v>
      </c>
      <c r="AA4">
        <v>59.342837230907207</v>
      </c>
      <c r="AB4">
        <v>11.403887443850801</v>
      </c>
      <c r="AC4">
        <v>81.999868830943399</v>
      </c>
      <c r="AD4">
        <v>28.6002198621687</v>
      </c>
      <c r="AE4">
        <v>561.19669021893526</v>
      </c>
      <c r="AF4">
        <v>0</v>
      </c>
      <c r="AG4">
        <v>471.32527276885656</v>
      </c>
      <c r="AH4">
        <v>335.50057872738893</v>
      </c>
      <c r="AI4">
        <v>63.632984657397579</v>
      </c>
      <c r="AJ4">
        <v>95.658884806681797</v>
      </c>
      <c r="AK4">
        <v>64.56322401582959</v>
      </c>
      <c r="AL4">
        <v>1.1639379456099999</v>
      </c>
      <c r="AM4">
        <v>10776.422500694765</v>
      </c>
      <c r="AN4">
        <v>555.53993764397171</v>
      </c>
      <c r="AO4">
        <v>5.2852400197490006</v>
      </c>
      <c r="AP4">
        <v>604.19170829056145</v>
      </c>
      <c r="AQ4">
        <v>0</v>
      </c>
      <c r="AR4">
        <v>0</v>
      </c>
      <c r="AS4">
        <v>0</v>
      </c>
      <c r="AT4">
        <v>0</v>
      </c>
      <c r="AU4">
        <v>0</v>
      </c>
      <c r="AV4">
        <v>101.90120344316078</v>
      </c>
      <c r="AW4">
        <v>10.243419581600001</v>
      </c>
      <c r="AX4">
        <v>16.8303862831971</v>
      </c>
      <c r="AY4">
        <v>1114.5283538724327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2">
      <c r="A5" t="s">
        <v>1176</v>
      </c>
      <c r="B5" t="s">
        <v>1173</v>
      </c>
      <c r="C5" t="s">
        <v>168</v>
      </c>
      <c r="D5">
        <v>2017</v>
      </c>
      <c r="E5" t="s">
        <v>1174</v>
      </c>
      <c r="F5" t="s">
        <v>1175</v>
      </c>
      <c r="G5">
        <v>24876.6090643319</v>
      </c>
      <c r="H5">
        <v>12917.945664968753</v>
      </c>
      <c r="I5">
        <v>11958.663399373532</v>
      </c>
      <c r="J5">
        <v>704.94322420189042</v>
      </c>
      <c r="K5">
        <v>3296.2416433760122</v>
      </c>
      <c r="L5">
        <v>1074.0716380480133</v>
      </c>
      <c r="M5">
        <v>1513.1508731336262</v>
      </c>
      <c r="N5">
        <v>3241.3440059292293</v>
      </c>
      <c r="O5">
        <v>3088.1942802799808</v>
      </c>
      <c r="P5">
        <v>11958.663399373532</v>
      </c>
      <c r="Q5">
        <v>0</v>
      </c>
      <c r="R5">
        <v>0</v>
      </c>
      <c r="S5">
        <v>52.315489153739172</v>
      </c>
      <c r="T5">
        <v>652.62773504815129</v>
      </c>
      <c r="U5">
        <v>0</v>
      </c>
      <c r="V5">
        <v>2413.0435992686503</v>
      </c>
      <c r="W5">
        <v>113.11807631567594</v>
      </c>
      <c r="X5">
        <v>37.801802342749902</v>
      </c>
      <c r="Y5">
        <v>139.02526765322111</v>
      </c>
      <c r="Z5">
        <v>593.25289779571551</v>
      </c>
      <c r="AA5">
        <v>41.982173681577379</v>
      </c>
      <c r="AB5">
        <v>0.57385734329999993</v>
      </c>
      <c r="AC5">
        <v>18.475569680336903</v>
      </c>
      <c r="AD5">
        <v>0</v>
      </c>
      <c r="AE5">
        <v>958.10387822042912</v>
      </c>
      <c r="AF5">
        <v>54.936159122369894</v>
      </c>
      <c r="AG5">
        <v>936.96055576149092</v>
      </c>
      <c r="AH5">
        <v>310.63254264449068</v>
      </c>
      <c r="AI5">
        <v>64.487384818737482</v>
      </c>
      <c r="AJ5">
        <v>185.84397901733703</v>
      </c>
      <c r="AK5">
        <v>15.22641089157022</v>
      </c>
      <c r="AL5">
        <v>140.37053033592747</v>
      </c>
      <c r="AM5">
        <v>3100.9734755933018</v>
      </c>
      <c r="AN5">
        <v>2595.1214820841642</v>
      </c>
      <c r="AO5">
        <v>21.562518080261</v>
      </c>
      <c r="AP5">
        <v>471.51028011555576</v>
      </c>
      <c r="AQ5">
        <v>10052.951119138303</v>
      </c>
      <c r="AR5">
        <v>0</v>
      </c>
      <c r="AS5">
        <v>0</v>
      </c>
      <c r="AT5">
        <v>872.76352953619937</v>
      </c>
      <c r="AU5">
        <v>0</v>
      </c>
      <c r="AV5">
        <v>61.217416703596967</v>
      </c>
      <c r="AW5">
        <v>0</v>
      </c>
      <c r="AX5">
        <v>0</v>
      </c>
      <c r="AY5">
        <v>971.73133399543315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">
      <c r="A6" t="s">
        <v>1177</v>
      </c>
      <c r="B6" t="s">
        <v>1173</v>
      </c>
      <c r="C6" t="s">
        <v>845</v>
      </c>
      <c r="D6">
        <v>2017</v>
      </c>
      <c r="E6" t="s">
        <v>1174</v>
      </c>
      <c r="F6" t="s">
        <v>1175</v>
      </c>
      <c r="G6">
        <v>11994.410599553999</v>
      </c>
      <c r="H6">
        <v>11762.989040439303</v>
      </c>
      <c r="I6">
        <v>231.42155911658537</v>
      </c>
      <c r="J6">
        <v>360.51120088438421</v>
      </c>
      <c r="K6">
        <v>1115.0323548448059</v>
      </c>
      <c r="L6">
        <v>67.992124331556482</v>
      </c>
      <c r="M6">
        <v>249.30881549651957</v>
      </c>
      <c r="N6">
        <v>9309.4045293367417</v>
      </c>
      <c r="O6">
        <v>660.74001554529366</v>
      </c>
      <c r="P6">
        <v>231.42155911658537</v>
      </c>
      <c r="Q6">
        <v>0</v>
      </c>
      <c r="R6">
        <v>0</v>
      </c>
      <c r="S6">
        <v>42.886802137053451</v>
      </c>
      <c r="T6">
        <v>312.26313734737676</v>
      </c>
      <c r="U6">
        <v>5.3612613999539995</v>
      </c>
      <c r="V6">
        <v>882.83547912520078</v>
      </c>
      <c r="W6">
        <v>34.513358478349552</v>
      </c>
      <c r="X6">
        <v>4.46642353943</v>
      </c>
      <c r="Y6">
        <v>18.7425638563139</v>
      </c>
      <c r="Z6">
        <v>174.47452984551148</v>
      </c>
      <c r="AA6">
        <v>0</v>
      </c>
      <c r="AB6">
        <v>5.2883160500289002</v>
      </c>
      <c r="AC6">
        <v>19.508170140790696</v>
      </c>
      <c r="AD6">
        <v>5.7048314649400002E-2</v>
      </c>
      <c r="AE6">
        <v>43.138589826087482</v>
      </c>
      <c r="AF6">
        <v>0</v>
      </c>
      <c r="AG6">
        <v>76.177088459029889</v>
      </c>
      <c r="AH6">
        <v>102.50584654062698</v>
      </c>
      <c r="AI6">
        <v>8.1112502877267012</v>
      </c>
      <c r="AJ6">
        <v>28.844360922918899</v>
      </c>
      <c r="AK6">
        <v>33.670269286217106</v>
      </c>
      <c r="AL6">
        <v>0</v>
      </c>
      <c r="AM6">
        <v>9309.4045293367417</v>
      </c>
      <c r="AN6">
        <v>541.39786040450508</v>
      </c>
      <c r="AO6">
        <v>19.4898754301053</v>
      </c>
      <c r="AP6">
        <v>99.852279710683291</v>
      </c>
      <c r="AQ6">
        <v>0</v>
      </c>
      <c r="AR6">
        <v>0</v>
      </c>
      <c r="AS6">
        <v>0</v>
      </c>
      <c r="AT6">
        <v>0</v>
      </c>
      <c r="AU6">
        <v>0</v>
      </c>
      <c r="AV6">
        <v>14.862989968239999</v>
      </c>
      <c r="AW6">
        <v>0</v>
      </c>
      <c r="AX6">
        <v>0</v>
      </c>
      <c r="AY6">
        <v>216.55856914834538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2">
      <c r="A7" t="s">
        <v>1178</v>
      </c>
      <c r="B7" t="s">
        <v>1173</v>
      </c>
      <c r="C7" t="s">
        <v>99</v>
      </c>
      <c r="D7">
        <v>2017</v>
      </c>
      <c r="E7" t="s">
        <v>1174</v>
      </c>
      <c r="F7" t="s">
        <v>1175</v>
      </c>
      <c r="G7">
        <v>7867.8839278933001</v>
      </c>
      <c r="H7">
        <v>7593.3264679493095</v>
      </c>
      <c r="I7">
        <v>274.55745994384733</v>
      </c>
      <c r="J7">
        <v>275.72143677709005</v>
      </c>
      <c r="K7">
        <v>992.3634725927742</v>
      </c>
      <c r="L7">
        <v>207.29624021425178</v>
      </c>
      <c r="M7">
        <v>366.78688483289108</v>
      </c>
      <c r="N7">
        <v>5700.0793770357859</v>
      </c>
      <c r="O7">
        <v>51.079056496516465</v>
      </c>
      <c r="P7">
        <v>274.55745994384733</v>
      </c>
      <c r="Q7">
        <v>0</v>
      </c>
      <c r="R7">
        <v>0</v>
      </c>
      <c r="S7">
        <v>34.12669132274609</v>
      </c>
      <c r="T7">
        <v>220.60238972803717</v>
      </c>
      <c r="U7">
        <v>20.992355726306801</v>
      </c>
      <c r="V7">
        <v>638.33768000769032</v>
      </c>
      <c r="W7">
        <v>26.3440405068026</v>
      </c>
      <c r="X7">
        <v>37.210511166441485</v>
      </c>
      <c r="Y7">
        <v>19.376000914347404</v>
      </c>
      <c r="Z7">
        <v>271.0952399974924</v>
      </c>
      <c r="AA7">
        <v>47.237903254561104</v>
      </c>
      <c r="AB7">
        <v>0</v>
      </c>
      <c r="AC7">
        <v>18.2388619793225</v>
      </c>
      <c r="AD7">
        <v>30.244163573148235</v>
      </c>
      <c r="AE7">
        <v>111.57531140721993</v>
      </c>
      <c r="AF7">
        <v>0</v>
      </c>
      <c r="AG7">
        <v>143.40427383244338</v>
      </c>
      <c r="AH7">
        <v>163.71686598437395</v>
      </c>
      <c r="AI7">
        <v>14.713564758152003</v>
      </c>
      <c r="AJ7">
        <v>44.952180257921704</v>
      </c>
      <c r="AK7">
        <v>0</v>
      </c>
      <c r="AL7">
        <v>0</v>
      </c>
      <c r="AM7">
        <v>5700.0793770357859</v>
      </c>
      <c r="AN7">
        <v>51.043728272656267</v>
      </c>
      <c r="AO7">
        <v>3.53282238602E-2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65.222233538655175</v>
      </c>
      <c r="AW7">
        <v>0</v>
      </c>
      <c r="AX7">
        <v>0</v>
      </c>
      <c r="AY7">
        <v>209.33522640519217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">
      <c r="A8" t="s">
        <v>1179</v>
      </c>
      <c r="B8" t="s">
        <v>1173</v>
      </c>
      <c r="C8" t="s">
        <v>1040</v>
      </c>
      <c r="D8">
        <v>2017</v>
      </c>
      <c r="E8" t="s">
        <v>1174</v>
      </c>
      <c r="F8" t="s">
        <v>1175</v>
      </c>
      <c r="G8">
        <v>26885.8791609533</v>
      </c>
      <c r="H8">
        <v>24710.788859716893</v>
      </c>
      <c r="I8">
        <v>2175.0903012314138</v>
      </c>
      <c r="J8">
        <v>351.51588815259475</v>
      </c>
      <c r="K8">
        <v>596.27790245196434</v>
      </c>
      <c r="L8">
        <v>133.36857500165149</v>
      </c>
      <c r="M8">
        <v>756.91404694931975</v>
      </c>
      <c r="N8">
        <v>17307.825623075409</v>
      </c>
      <c r="O8">
        <v>5564.8868240859538</v>
      </c>
      <c r="P8">
        <v>2175.0903012314138</v>
      </c>
      <c r="Q8">
        <v>0</v>
      </c>
      <c r="R8">
        <v>0</v>
      </c>
      <c r="S8">
        <v>0</v>
      </c>
      <c r="T8">
        <v>351.51588815259475</v>
      </c>
      <c r="U8">
        <v>0</v>
      </c>
      <c r="V8">
        <v>301.47034964528655</v>
      </c>
      <c r="W8">
        <v>14.259099872635201</v>
      </c>
      <c r="X8">
        <v>35.569641957153408</v>
      </c>
      <c r="Y8">
        <v>27.246532162696706</v>
      </c>
      <c r="Z8">
        <v>217.73227881419248</v>
      </c>
      <c r="AA8">
        <v>0</v>
      </c>
      <c r="AB8">
        <v>0</v>
      </c>
      <c r="AC8">
        <v>2.8026029163180004</v>
      </c>
      <c r="AD8">
        <v>0</v>
      </c>
      <c r="AE8">
        <v>108.00286088577221</v>
      </c>
      <c r="AF8">
        <v>22.563111199561284</v>
      </c>
      <c r="AG8">
        <v>116.95701752250628</v>
      </c>
      <c r="AH8">
        <v>232.71315628384463</v>
      </c>
      <c r="AI8">
        <v>3.3670447921176003</v>
      </c>
      <c r="AJ8">
        <v>111.62262475373198</v>
      </c>
      <c r="AK8">
        <v>292.25420359711921</v>
      </c>
      <c r="AL8">
        <v>1.7902609109500001</v>
      </c>
      <c r="AM8">
        <v>17306.035362164457</v>
      </c>
      <c r="AN8">
        <v>4785.8961258174331</v>
      </c>
      <c r="AO8">
        <v>435.12903906350061</v>
      </c>
      <c r="AP8">
        <v>343.86165920502043</v>
      </c>
      <c r="AQ8">
        <v>0</v>
      </c>
      <c r="AR8">
        <v>0</v>
      </c>
      <c r="AS8">
        <v>0</v>
      </c>
      <c r="AT8">
        <v>1609.1462098844686</v>
      </c>
      <c r="AU8">
        <v>0</v>
      </c>
      <c r="AV8">
        <v>67.571156317089674</v>
      </c>
      <c r="AW8">
        <v>0</v>
      </c>
      <c r="AX8">
        <v>0</v>
      </c>
      <c r="AY8">
        <v>498.37293502985563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">
      <c r="A9" t="s">
        <v>1180</v>
      </c>
      <c r="B9" t="s">
        <v>1173</v>
      </c>
      <c r="C9" t="s">
        <v>146</v>
      </c>
      <c r="D9">
        <v>2017</v>
      </c>
      <c r="E9" t="s">
        <v>1174</v>
      </c>
      <c r="F9" t="s">
        <v>1175</v>
      </c>
      <c r="G9">
        <v>10398.0831527192</v>
      </c>
      <c r="H9">
        <v>10220.595714229219</v>
      </c>
      <c r="I9">
        <v>177.48743848959026</v>
      </c>
      <c r="J9">
        <v>265.67983952949987</v>
      </c>
      <c r="K9">
        <v>936.07819079821138</v>
      </c>
      <c r="L9">
        <v>54.701359190570422</v>
      </c>
      <c r="M9">
        <v>117.27334314065462</v>
      </c>
      <c r="N9">
        <v>8516.3222537116726</v>
      </c>
      <c r="O9">
        <v>330.54072785861058</v>
      </c>
      <c r="P9">
        <v>177.48743848959026</v>
      </c>
      <c r="Q9">
        <v>0</v>
      </c>
      <c r="R9">
        <v>0</v>
      </c>
      <c r="S9">
        <v>23.043425401577998</v>
      </c>
      <c r="T9">
        <v>242.63641412792188</v>
      </c>
      <c r="U9">
        <v>0</v>
      </c>
      <c r="V9">
        <v>642.19913099707071</v>
      </c>
      <c r="W9">
        <v>24.256152887940601</v>
      </c>
      <c r="X9">
        <v>14.112830236066799</v>
      </c>
      <c r="Y9">
        <v>17.797894260846601</v>
      </c>
      <c r="Z9">
        <v>237.71218241628659</v>
      </c>
      <c r="AA9">
        <v>0</v>
      </c>
      <c r="AB9">
        <v>3.5678643377672996</v>
      </c>
      <c r="AC9">
        <v>15.065460072760605</v>
      </c>
      <c r="AD9">
        <v>13.488626976130956</v>
      </c>
      <c r="AE9">
        <v>22.579407803911558</v>
      </c>
      <c r="AF9">
        <v>0</v>
      </c>
      <c r="AG9">
        <v>17.526223948193795</v>
      </c>
      <c r="AH9">
        <v>85.714344068968416</v>
      </c>
      <c r="AI9">
        <v>4.9209651198616013</v>
      </c>
      <c r="AJ9">
        <v>6.0782074081508899</v>
      </c>
      <c r="AK9">
        <v>3.0336025954798997</v>
      </c>
      <c r="AL9">
        <v>1.27575151931</v>
      </c>
      <c r="AM9">
        <v>8515.0465021923628</v>
      </c>
      <c r="AN9">
        <v>70.935371341919762</v>
      </c>
      <c r="AO9">
        <v>6.9048828740680008</v>
      </c>
      <c r="AP9">
        <v>252.70047364262282</v>
      </c>
      <c r="AQ9">
        <v>0</v>
      </c>
      <c r="AR9">
        <v>0</v>
      </c>
      <c r="AS9">
        <v>0</v>
      </c>
      <c r="AT9">
        <v>0</v>
      </c>
      <c r="AU9">
        <v>0</v>
      </c>
      <c r="AV9">
        <v>3.2462560798999998</v>
      </c>
      <c r="AW9">
        <v>18.91468830865869</v>
      </c>
      <c r="AX9">
        <v>0</v>
      </c>
      <c r="AY9">
        <v>155.32649410103156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2">
      <c r="A10" t="s">
        <v>1181</v>
      </c>
      <c r="B10" t="s">
        <v>1173</v>
      </c>
      <c r="C10" t="s">
        <v>185</v>
      </c>
      <c r="D10">
        <v>2017</v>
      </c>
      <c r="E10" t="s">
        <v>1174</v>
      </c>
      <c r="F10" t="s">
        <v>1175</v>
      </c>
      <c r="G10">
        <v>26849.868524999703</v>
      </c>
      <c r="H10">
        <v>5659.1981678304555</v>
      </c>
      <c r="I10">
        <v>21190.670357157807</v>
      </c>
      <c r="J10">
        <v>115.03969721269991</v>
      </c>
      <c r="K10">
        <v>177.06299753587905</v>
      </c>
      <c r="L10">
        <v>38.717617323040585</v>
      </c>
      <c r="M10">
        <v>291.55340757430224</v>
      </c>
      <c r="N10">
        <v>1924.5650355670732</v>
      </c>
      <c r="O10">
        <v>3112.2594126174604</v>
      </c>
      <c r="P10">
        <v>76.009425850552859</v>
      </c>
      <c r="Q10">
        <v>21114.660931307255</v>
      </c>
      <c r="R10">
        <v>0</v>
      </c>
      <c r="S10">
        <v>0</v>
      </c>
      <c r="T10">
        <v>100.48584665113691</v>
      </c>
      <c r="U10">
        <v>14.553850561563001</v>
      </c>
      <c r="V10">
        <v>125.23543790550262</v>
      </c>
      <c r="W10">
        <v>7.6187025812894005</v>
      </c>
      <c r="X10">
        <v>23.969450399829796</v>
      </c>
      <c r="Y10">
        <v>1.9556101967905</v>
      </c>
      <c r="Z10">
        <v>18.283796452466703</v>
      </c>
      <c r="AA10">
        <v>3.0249806697079999</v>
      </c>
      <c r="AB10">
        <v>0</v>
      </c>
      <c r="AC10">
        <v>2.3694945692439009</v>
      </c>
      <c r="AD10">
        <v>0.80019255394600008</v>
      </c>
      <c r="AE10">
        <v>11.421644372909197</v>
      </c>
      <c r="AF10">
        <v>21.101305157233483</v>
      </c>
      <c r="AG10">
        <v>1.5964686449470298</v>
      </c>
      <c r="AH10">
        <v>60.802337247583573</v>
      </c>
      <c r="AI10">
        <v>0</v>
      </c>
      <c r="AJ10">
        <v>8.8851005848880007</v>
      </c>
      <c r="AK10">
        <v>220.26950109688366</v>
      </c>
      <c r="AL10">
        <v>0</v>
      </c>
      <c r="AM10">
        <v>1924.5650355670732</v>
      </c>
      <c r="AN10">
        <v>196.74774155370332</v>
      </c>
      <c r="AO10">
        <v>2362.1041942125962</v>
      </c>
      <c r="AP10">
        <v>553.40747685116082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6.945405280668</v>
      </c>
      <c r="AW10">
        <v>0</v>
      </c>
      <c r="AX10">
        <v>0</v>
      </c>
      <c r="AY10">
        <v>69.06402056988486</v>
      </c>
      <c r="AZ10">
        <v>15455.777728665475</v>
      </c>
      <c r="BA10">
        <v>0</v>
      </c>
      <c r="BB10">
        <v>0</v>
      </c>
      <c r="BC10">
        <v>5658.8832026417813</v>
      </c>
      <c r="BD10">
        <v>0</v>
      </c>
    </row>
    <row r="11" spans="1:56" x14ac:dyDescent="0.2">
      <c r="A11" t="s">
        <v>1182</v>
      </c>
      <c r="B11" t="s">
        <v>1173</v>
      </c>
      <c r="C11" t="s">
        <v>51</v>
      </c>
      <c r="D11">
        <v>2017</v>
      </c>
      <c r="E11" t="s">
        <v>1174</v>
      </c>
      <c r="F11" t="s">
        <v>1175</v>
      </c>
      <c r="G11">
        <v>38766.754502279298</v>
      </c>
      <c r="H11">
        <v>2496.1534998076877</v>
      </c>
      <c r="I11">
        <v>36270.601002522511</v>
      </c>
      <c r="J11">
        <v>101.63077781394742</v>
      </c>
      <c r="K11">
        <v>510.86440283838147</v>
      </c>
      <c r="L11">
        <v>123.25500823350441</v>
      </c>
      <c r="M11">
        <v>55.270022933034397</v>
      </c>
      <c r="N11">
        <v>1664.3181453467498</v>
      </c>
      <c r="O11">
        <v>40.815142642069866</v>
      </c>
      <c r="P11">
        <v>87.508331070013838</v>
      </c>
      <c r="Q11">
        <v>36183.092671452498</v>
      </c>
      <c r="R11">
        <v>0</v>
      </c>
      <c r="S11">
        <v>12.348505184275465</v>
      </c>
      <c r="T11">
        <v>89.282272629671951</v>
      </c>
      <c r="U11">
        <v>0</v>
      </c>
      <c r="V11">
        <v>263.52831340516155</v>
      </c>
      <c r="W11">
        <v>19.475162332763105</v>
      </c>
      <c r="X11">
        <v>26.623862870721105</v>
      </c>
      <c r="Y11">
        <v>19.130631577428982</v>
      </c>
      <c r="Z11">
        <v>182.10643265230672</v>
      </c>
      <c r="AA11">
        <v>0</v>
      </c>
      <c r="AB11">
        <v>0</v>
      </c>
      <c r="AC11">
        <v>4.609372847395</v>
      </c>
      <c r="AD11">
        <v>0</v>
      </c>
      <c r="AE11">
        <v>81.686375446337607</v>
      </c>
      <c r="AF11">
        <v>36.959259939771812</v>
      </c>
      <c r="AG11">
        <v>15.194664833184696</v>
      </c>
      <c r="AH11">
        <v>26.317684025397799</v>
      </c>
      <c r="AI11">
        <v>0</v>
      </c>
      <c r="AJ11">
        <v>3.2873590384000004</v>
      </c>
      <c r="AK11">
        <v>10.4703150360519</v>
      </c>
      <c r="AL11">
        <v>0</v>
      </c>
      <c r="AM11">
        <v>1664.3181453467498</v>
      </c>
      <c r="AN11">
        <v>13.8406234417028</v>
      </c>
      <c r="AO11">
        <v>2.0899216860168601</v>
      </c>
      <c r="AP11">
        <v>24.884597514350205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0.73098533654100006</v>
      </c>
      <c r="AW11">
        <v>0</v>
      </c>
      <c r="AX11">
        <v>0</v>
      </c>
      <c r="AY11">
        <v>86.777345733472842</v>
      </c>
      <c r="AZ11">
        <v>36183.092671452498</v>
      </c>
      <c r="BA11">
        <v>0</v>
      </c>
      <c r="BB11">
        <v>0</v>
      </c>
      <c r="BC11">
        <v>0</v>
      </c>
      <c r="BD11">
        <v>0</v>
      </c>
    </row>
    <row r="12" spans="1:56" x14ac:dyDescent="0.2">
      <c r="A12" t="s">
        <v>1183</v>
      </c>
      <c r="B12" t="s">
        <v>1173</v>
      </c>
      <c r="C12" t="s">
        <v>54</v>
      </c>
      <c r="D12">
        <v>2017</v>
      </c>
      <c r="E12" t="s">
        <v>1174</v>
      </c>
      <c r="F12" t="s">
        <v>1175</v>
      </c>
      <c r="G12">
        <v>19816.525688135298</v>
      </c>
      <c r="H12">
        <v>18996.621279943272</v>
      </c>
      <c r="I12">
        <v>819.90440832209481</v>
      </c>
      <c r="J12">
        <v>618.69115219090918</v>
      </c>
      <c r="K12">
        <v>1592.3184726031004</v>
      </c>
      <c r="L12">
        <v>230.99385469409179</v>
      </c>
      <c r="M12">
        <v>370.30464318223545</v>
      </c>
      <c r="N12">
        <v>14615.501373964957</v>
      </c>
      <c r="O12">
        <v>1568.8117833079791</v>
      </c>
      <c r="P12">
        <v>819.90440832209481</v>
      </c>
      <c r="Q12">
        <v>0</v>
      </c>
      <c r="R12">
        <v>0</v>
      </c>
      <c r="S12">
        <v>54.637553469374076</v>
      </c>
      <c r="T12">
        <v>564.05359872153508</v>
      </c>
      <c r="U12">
        <v>0</v>
      </c>
      <c r="V12">
        <v>974.57194152642319</v>
      </c>
      <c r="W12">
        <v>46.912776921879711</v>
      </c>
      <c r="X12">
        <v>27.891335278072603</v>
      </c>
      <c r="Y12">
        <v>62.889874153073016</v>
      </c>
      <c r="Z12">
        <v>480.05254472365175</v>
      </c>
      <c r="AA12">
        <v>43.7513018665217</v>
      </c>
      <c r="AB12">
        <v>3.0000602319701</v>
      </c>
      <c r="AC12">
        <v>22.329559220159499</v>
      </c>
      <c r="AD12">
        <v>22.095609037019603</v>
      </c>
      <c r="AE12">
        <v>139.81732433842089</v>
      </c>
      <c r="AF12">
        <v>0</v>
      </c>
      <c r="AG12">
        <v>133.30735630463175</v>
      </c>
      <c r="AH12">
        <v>149.53859987091661</v>
      </c>
      <c r="AI12">
        <v>5.9239397741739008</v>
      </c>
      <c r="AJ12">
        <v>66.378963421077913</v>
      </c>
      <c r="AK12">
        <v>15.155783811435258</v>
      </c>
      <c r="AL12">
        <v>0</v>
      </c>
      <c r="AM12">
        <v>14615.501373964957</v>
      </c>
      <c r="AN12">
        <v>1088.5212408581808</v>
      </c>
      <c r="AO12">
        <v>109.30157902094791</v>
      </c>
      <c r="AP12">
        <v>370.9889634288503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50.179997358932901</v>
      </c>
      <c r="AW12">
        <v>31.586774178402202</v>
      </c>
      <c r="AX12">
        <v>0</v>
      </c>
      <c r="AY12">
        <v>738.13763678475971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">
      <c r="A13" t="s">
        <v>1184</v>
      </c>
      <c r="B13" t="s">
        <v>1173</v>
      </c>
      <c r="C13" t="s">
        <v>67</v>
      </c>
      <c r="D13">
        <v>2017</v>
      </c>
      <c r="E13" t="s">
        <v>1174</v>
      </c>
      <c r="F13" t="s">
        <v>1175</v>
      </c>
      <c r="G13">
        <v>25505.737034967398</v>
      </c>
      <c r="H13">
        <v>23755.444095273233</v>
      </c>
      <c r="I13">
        <v>1750.2929395646554</v>
      </c>
      <c r="J13">
        <v>925.59180379816883</v>
      </c>
      <c r="K13">
        <v>2736.7914601639341</v>
      </c>
      <c r="L13">
        <v>328.28977575663504</v>
      </c>
      <c r="M13">
        <v>700.83456502798776</v>
      </c>
      <c r="N13">
        <v>17847.708403311091</v>
      </c>
      <c r="O13">
        <v>1216.2280872154147</v>
      </c>
      <c r="P13">
        <v>1750.2929395646554</v>
      </c>
      <c r="Q13">
        <v>0</v>
      </c>
      <c r="R13">
        <v>0</v>
      </c>
      <c r="S13">
        <v>80.258621188146662</v>
      </c>
      <c r="T13">
        <v>719.5809700690761</v>
      </c>
      <c r="U13">
        <v>125.75221254094606</v>
      </c>
      <c r="V13">
        <v>1778.3259708278224</v>
      </c>
      <c r="W13">
        <v>97.553507158055908</v>
      </c>
      <c r="X13">
        <v>90.016198604507622</v>
      </c>
      <c r="Y13">
        <v>138.40587479270027</v>
      </c>
      <c r="Z13">
        <v>632.48990878084828</v>
      </c>
      <c r="AA13">
        <v>35.470627499758884</v>
      </c>
      <c r="AB13">
        <v>2.1255911642175001</v>
      </c>
      <c r="AC13">
        <v>36.564091837571382</v>
      </c>
      <c r="AD13">
        <v>6.0815217970187296</v>
      </c>
      <c r="AE13">
        <v>248.04794345806854</v>
      </c>
      <c r="AF13">
        <v>0</v>
      </c>
      <c r="AG13">
        <v>170.61306351631194</v>
      </c>
      <c r="AH13">
        <v>285.71085509917134</v>
      </c>
      <c r="AI13">
        <v>13.7001104411809</v>
      </c>
      <c r="AJ13">
        <v>168.66205432413688</v>
      </c>
      <c r="AK13">
        <v>62.14848164718655</v>
      </c>
      <c r="AL13">
        <v>2.4597445805810998</v>
      </c>
      <c r="AM13">
        <v>17845.24865873051</v>
      </c>
      <c r="AN13">
        <v>439.15142859272396</v>
      </c>
      <c r="AO13">
        <v>9.0723829152430984</v>
      </c>
      <c r="AP13">
        <v>768.00427570744773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150.61171058357613</v>
      </c>
      <c r="AW13">
        <v>0</v>
      </c>
      <c r="AX13">
        <v>0</v>
      </c>
      <c r="AY13">
        <v>1599.6812289810794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">
      <c r="A14" t="s">
        <v>1185</v>
      </c>
      <c r="B14" t="s">
        <v>1173</v>
      </c>
      <c r="C14" t="s">
        <v>721</v>
      </c>
      <c r="D14">
        <v>2017</v>
      </c>
      <c r="E14" t="s">
        <v>1174</v>
      </c>
      <c r="F14" t="s">
        <v>1175</v>
      </c>
      <c r="G14">
        <v>22611.254819383001</v>
      </c>
      <c r="H14">
        <v>22329.610828652087</v>
      </c>
      <c r="I14">
        <v>281.64399073384305</v>
      </c>
      <c r="J14">
        <v>429.72244732128468</v>
      </c>
      <c r="K14">
        <v>781.8260439112521</v>
      </c>
      <c r="L14">
        <v>66.496611018578264</v>
      </c>
      <c r="M14">
        <v>313.26354061754751</v>
      </c>
      <c r="N14">
        <v>16276.547658993019</v>
      </c>
      <c r="O14">
        <v>4461.754526790407</v>
      </c>
      <c r="P14">
        <v>281.64399073384305</v>
      </c>
      <c r="Q14">
        <v>0</v>
      </c>
      <c r="R14">
        <v>0</v>
      </c>
      <c r="S14">
        <v>0</v>
      </c>
      <c r="T14">
        <v>429.72244732128468</v>
      </c>
      <c r="U14">
        <v>0</v>
      </c>
      <c r="V14">
        <v>580.95912896331936</v>
      </c>
      <c r="W14">
        <v>28.184244974271586</v>
      </c>
      <c r="X14">
        <v>8.6475859492100007</v>
      </c>
      <c r="Y14">
        <v>39.616857294642195</v>
      </c>
      <c r="Z14">
        <v>124.41822672980905</v>
      </c>
      <c r="AA14">
        <v>15.416506804084301</v>
      </c>
      <c r="AB14">
        <v>0.65334838532799999</v>
      </c>
      <c r="AC14">
        <v>11.351970781472398</v>
      </c>
      <c r="AD14">
        <v>12.361211404537471</v>
      </c>
      <c r="AE14">
        <v>26.713573643156099</v>
      </c>
      <c r="AF14">
        <v>0</v>
      </c>
      <c r="AG14">
        <v>31.266511523358798</v>
      </c>
      <c r="AH14">
        <v>96.280081910277673</v>
      </c>
      <c r="AI14">
        <v>4.1728590744923002</v>
      </c>
      <c r="AJ14">
        <v>14.486754795956298</v>
      </c>
      <c r="AK14">
        <v>167.05733331346241</v>
      </c>
      <c r="AL14">
        <v>0</v>
      </c>
      <c r="AM14">
        <v>16276.547658993019</v>
      </c>
      <c r="AN14">
        <v>2576.979926334619</v>
      </c>
      <c r="AO14">
        <v>780.61597446760618</v>
      </c>
      <c r="AP14">
        <v>1104.1586259881822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10.31762873754</v>
      </c>
      <c r="AW14">
        <v>19.141735435884698</v>
      </c>
      <c r="AX14">
        <v>0</v>
      </c>
      <c r="AY14">
        <v>252.18462656041837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2">
      <c r="A15" t="s">
        <v>1186</v>
      </c>
      <c r="B15" t="s">
        <v>1173</v>
      </c>
      <c r="C15" t="s">
        <v>730</v>
      </c>
      <c r="D15">
        <v>2017</v>
      </c>
      <c r="E15" t="s">
        <v>1174</v>
      </c>
      <c r="F15" t="s">
        <v>1175</v>
      </c>
      <c r="G15">
        <v>22764.153667267201</v>
      </c>
      <c r="H15">
        <v>22440.128957216035</v>
      </c>
      <c r="I15">
        <v>324.02471005144184</v>
      </c>
      <c r="J15">
        <v>519.59207489445896</v>
      </c>
      <c r="K15">
        <v>849.93413670779944</v>
      </c>
      <c r="L15">
        <v>92.668004937842682</v>
      </c>
      <c r="M15">
        <v>247.73623246587644</v>
      </c>
      <c r="N15">
        <v>17771.202434809831</v>
      </c>
      <c r="O15">
        <v>2958.9960734002261</v>
      </c>
      <c r="P15">
        <v>324.02471005144184</v>
      </c>
      <c r="Q15">
        <v>0</v>
      </c>
      <c r="R15">
        <v>0</v>
      </c>
      <c r="S15">
        <v>0</v>
      </c>
      <c r="T15">
        <v>519.59207489445896</v>
      </c>
      <c r="U15">
        <v>0</v>
      </c>
      <c r="V15">
        <v>581.76071208243195</v>
      </c>
      <c r="W15">
        <v>23.0114481661371</v>
      </c>
      <c r="X15">
        <v>6.1175592848636997</v>
      </c>
      <c r="Y15">
        <v>44.968509326126991</v>
      </c>
      <c r="Z15">
        <v>194.07590784823967</v>
      </c>
      <c r="AA15">
        <v>0</v>
      </c>
      <c r="AB15">
        <v>7.364032789326199</v>
      </c>
      <c r="AC15">
        <v>16.408826265626896</v>
      </c>
      <c r="AD15">
        <v>29.528929797374598</v>
      </c>
      <c r="AE15">
        <v>39.366216085514999</v>
      </c>
      <c r="AF15">
        <v>0</v>
      </c>
      <c r="AG15">
        <v>36.779228895123588</v>
      </c>
      <c r="AH15">
        <v>119.70290988231613</v>
      </c>
      <c r="AI15">
        <v>7.4300701359139989</v>
      </c>
      <c r="AJ15">
        <v>17.968037592952001</v>
      </c>
      <c r="AK15">
        <v>65.855985959570688</v>
      </c>
      <c r="AL15">
        <v>0</v>
      </c>
      <c r="AM15">
        <v>17771.202434809831</v>
      </c>
      <c r="AN15">
        <v>2243.8853799383346</v>
      </c>
      <c r="AO15">
        <v>557.96402572977047</v>
      </c>
      <c r="AP15">
        <v>157.14666773212107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38.920729577086902</v>
      </c>
      <c r="AX15">
        <v>0</v>
      </c>
      <c r="AY15">
        <v>285.10398047435496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">
      <c r="A16" t="s">
        <v>1187</v>
      </c>
      <c r="B16" t="s">
        <v>1173</v>
      </c>
      <c r="C16" t="s">
        <v>814</v>
      </c>
      <c r="D16">
        <v>2017</v>
      </c>
      <c r="E16" t="s">
        <v>1174</v>
      </c>
      <c r="F16" t="s">
        <v>1175</v>
      </c>
      <c r="G16">
        <v>20356.0324040257</v>
      </c>
      <c r="H16">
        <v>4293.3024053928311</v>
      </c>
      <c r="I16">
        <v>16062.729998626144</v>
      </c>
      <c r="J16">
        <v>13.821645116228293</v>
      </c>
      <c r="K16">
        <v>44.972688326068194</v>
      </c>
      <c r="L16">
        <v>3.9959469917312997</v>
      </c>
      <c r="M16">
        <v>78.23614185583898</v>
      </c>
      <c r="N16">
        <v>305.82549677748148</v>
      </c>
      <c r="O16">
        <v>3846.4504863254833</v>
      </c>
      <c r="P16">
        <v>39.711487050067205</v>
      </c>
      <c r="Q16">
        <v>16023.018511576078</v>
      </c>
      <c r="R16">
        <v>0</v>
      </c>
      <c r="S16">
        <v>0</v>
      </c>
      <c r="T16">
        <v>13.821645116228293</v>
      </c>
      <c r="U16">
        <v>0</v>
      </c>
      <c r="V16">
        <v>37.758365573357189</v>
      </c>
      <c r="W16">
        <v>1.5776978366459999</v>
      </c>
      <c r="X16">
        <v>2.5636946647349999</v>
      </c>
      <c r="Y16">
        <v>0</v>
      </c>
      <c r="Z16">
        <v>3.0729302513299999</v>
      </c>
      <c r="AA16">
        <v>0</v>
      </c>
      <c r="AB16">
        <v>0</v>
      </c>
      <c r="AC16">
        <v>0.58571831721099998</v>
      </c>
      <c r="AD16">
        <v>0</v>
      </c>
      <c r="AE16">
        <v>0</v>
      </c>
      <c r="AF16">
        <v>3.4102286745202997</v>
      </c>
      <c r="AG16">
        <v>0</v>
      </c>
      <c r="AH16">
        <v>4.4383294645652995</v>
      </c>
      <c r="AI16">
        <v>0</v>
      </c>
      <c r="AJ16">
        <v>2.5194401997922999</v>
      </c>
      <c r="AK16">
        <v>71.278372191481381</v>
      </c>
      <c r="AL16">
        <v>0</v>
      </c>
      <c r="AM16">
        <v>305.82549677748148</v>
      </c>
      <c r="AN16">
        <v>172.95509564777825</v>
      </c>
      <c r="AO16">
        <v>2067.7008520209733</v>
      </c>
      <c r="AP16">
        <v>1605.7945386567319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2.6525121648022001</v>
      </c>
      <c r="AW16">
        <v>0</v>
      </c>
      <c r="AX16">
        <v>0</v>
      </c>
      <c r="AY16">
        <v>37.058974885265002</v>
      </c>
      <c r="AZ16">
        <v>11875.382750510938</v>
      </c>
      <c r="BA16">
        <v>0</v>
      </c>
      <c r="BB16">
        <v>0</v>
      </c>
      <c r="BC16">
        <v>4147.6357610651394</v>
      </c>
      <c r="BD16">
        <v>0</v>
      </c>
    </row>
    <row r="17" spans="1:56" x14ac:dyDescent="0.2">
      <c r="A17" t="s">
        <v>1188</v>
      </c>
      <c r="B17" t="s">
        <v>1173</v>
      </c>
      <c r="C17" t="s">
        <v>834</v>
      </c>
      <c r="D17">
        <v>2017</v>
      </c>
      <c r="E17" t="s">
        <v>1174</v>
      </c>
      <c r="F17" t="s">
        <v>1175</v>
      </c>
      <c r="G17">
        <v>12617.4966059667</v>
      </c>
      <c r="H17">
        <v>11717.254397770004</v>
      </c>
      <c r="I17">
        <v>900.24220819670995</v>
      </c>
      <c r="J17">
        <v>374.38064414400498</v>
      </c>
      <c r="K17">
        <v>1571.4840027716227</v>
      </c>
      <c r="L17">
        <v>103.46219189895528</v>
      </c>
      <c r="M17">
        <v>294.06040918434439</v>
      </c>
      <c r="N17">
        <v>8788.9217028001804</v>
      </c>
      <c r="O17">
        <v>584.94544697089657</v>
      </c>
      <c r="P17">
        <v>900.24220819670995</v>
      </c>
      <c r="Q17">
        <v>0</v>
      </c>
      <c r="R17">
        <v>0</v>
      </c>
      <c r="S17">
        <v>0</v>
      </c>
      <c r="T17">
        <v>369.2791311333624</v>
      </c>
      <c r="U17">
        <v>5.1015130106426003</v>
      </c>
      <c r="V17">
        <v>1044.6080677215134</v>
      </c>
      <c r="W17">
        <v>56.810706383636713</v>
      </c>
      <c r="X17">
        <v>14.725862814982101</v>
      </c>
      <c r="Y17">
        <v>74.176308248489491</v>
      </c>
      <c r="Z17">
        <v>381.16305760300099</v>
      </c>
      <c r="AA17">
        <v>0</v>
      </c>
      <c r="AB17">
        <v>3.4169392165343999</v>
      </c>
      <c r="AC17">
        <v>13.088540634240799</v>
      </c>
      <c r="AD17">
        <v>13.610395092844698</v>
      </c>
      <c r="AE17">
        <v>73.346316955335382</v>
      </c>
      <c r="AF17">
        <v>0</v>
      </c>
      <c r="AG17">
        <v>140.80266423079502</v>
      </c>
      <c r="AH17">
        <v>96.322984472812621</v>
      </c>
      <c r="AI17">
        <v>22.442085220812501</v>
      </c>
      <c r="AJ17">
        <v>19.1409749486679</v>
      </c>
      <c r="AK17">
        <v>15.351700311256369</v>
      </c>
      <c r="AL17">
        <v>2.7605421059008002</v>
      </c>
      <c r="AM17">
        <v>8786.1611606942788</v>
      </c>
      <c r="AN17">
        <v>220.10853059327593</v>
      </c>
      <c r="AO17">
        <v>19.353734825024006</v>
      </c>
      <c r="AP17">
        <v>345.48318155259665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9.9380693786826999</v>
      </c>
      <c r="AW17">
        <v>0</v>
      </c>
      <c r="AX17">
        <v>0</v>
      </c>
      <c r="AY17">
        <v>890.30413881802724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">
      <c r="A18" t="s">
        <v>1189</v>
      </c>
      <c r="B18" t="s">
        <v>1173</v>
      </c>
      <c r="C18" t="s">
        <v>872</v>
      </c>
      <c r="D18">
        <v>2017</v>
      </c>
      <c r="E18" t="s">
        <v>1174</v>
      </c>
      <c r="F18" t="s">
        <v>1175</v>
      </c>
      <c r="G18">
        <v>67398.659189904705</v>
      </c>
      <c r="H18">
        <v>8720.5653423271488</v>
      </c>
      <c r="I18">
        <v>58678.093847580989</v>
      </c>
      <c r="J18">
        <v>66.703960153008623</v>
      </c>
      <c r="K18">
        <v>136.55723510483278</v>
      </c>
      <c r="L18">
        <v>28.243472539581436</v>
      </c>
      <c r="M18">
        <v>198.24830232736079</v>
      </c>
      <c r="N18">
        <v>1364.4874630284005</v>
      </c>
      <c r="O18">
        <v>6926.3249091739654</v>
      </c>
      <c r="P18">
        <v>49.776812560469388</v>
      </c>
      <c r="Q18">
        <v>58628.317035020518</v>
      </c>
      <c r="R18">
        <v>0</v>
      </c>
      <c r="S18">
        <v>0</v>
      </c>
      <c r="T18">
        <v>66.703960153008623</v>
      </c>
      <c r="U18">
        <v>0</v>
      </c>
      <c r="V18">
        <v>98.582793686722084</v>
      </c>
      <c r="W18">
        <v>11.413397488026201</v>
      </c>
      <c r="X18">
        <v>5.2507045346363004</v>
      </c>
      <c r="Y18">
        <v>5.4034805770689998</v>
      </c>
      <c r="Z18">
        <v>15.906858818379195</v>
      </c>
      <c r="AA18">
        <v>0</v>
      </c>
      <c r="AB18">
        <v>0</v>
      </c>
      <c r="AC18">
        <v>1.6897135986437</v>
      </c>
      <c r="AD18">
        <v>0</v>
      </c>
      <c r="AE18">
        <v>2.9219140972762001</v>
      </c>
      <c r="AF18">
        <v>23.631844843661536</v>
      </c>
      <c r="AG18">
        <v>0</v>
      </c>
      <c r="AH18">
        <v>10.191059318168399</v>
      </c>
      <c r="AI18">
        <v>4.9086118611633003</v>
      </c>
      <c r="AJ18">
        <v>2.5643660976713001</v>
      </c>
      <c r="AK18">
        <v>180.5842650503578</v>
      </c>
      <c r="AL18">
        <v>0</v>
      </c>
      <c r="AM18">
        <v>1364.4874630284005</v>
      </c>
      <c r="AN18">
        <v>664.05075330032184</v>
      </c>
      <c r="AO18">
        <v>4579.9267996138651</v>
      </c>
      <c r="AP18">
        <v>1682.3473562597785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5.7623527653615998</v>
      </c>
      <c r="AW18">
        <v>0</v>
      </c>
      <c r="AX18">
        <v>0</v>
      </c>
      <c r="AY18">
        <v>44.01445979510779</v>
      </c>
      <c r="AZ18">
        <v>51572.998022841632</v>
      </c>
      <c r="BA18">
        <v>0</v>
      </c>
      <c r="BB18">
        <v>0</v>
      </c>
      <c r="BC18">
        <v>7055.319012178883</v>
      </c>
      <c r="BD18">
        <v>0</v>
      </c>
    </row>
    <row r="19" spans="1:56" x14ac:dyDescent="0.2">
      <c r="A19" t="s">
        <v>1190</v>
      </c>
      <c r="B19" t="s">
        <v>1173</v>
      </c>
      <c r="C19" t="s">
        <v>945</v>
      </c>
      <c r="D19">
        <v>2017</v>
      </c>
      <c r="E19" t="s">
        <v>1174</v>
      </c>
      <c r="F19" t="s">
        <v>1175</v>
      </c>
      <c r="G19">
        <v>31580.1167184857</v>
      </c>
      <c r="H19">
        <v>4183.9636666572378</v>
      </c>
      <c r="I19">
        <v>27396.153051871486</v>
      </c>
      <c r="J19">
        <v>13.946018828401746</v>
      </c>
      <c r="K19">
        <v>37.019320872986903</v>
      </c>
      <c r="L19">
        <v>10.429332644228541</v>
      </c>
      <c r="M19">
        <v>72.252401367451014</v>
      </c>
      <c r="N19">
        <v>12.533647833412301</v>
      </c>
      <c r="O19">
        <v>4037.7829451107577</v>
      </c>
      <c r="P19">
        <v>69.97016432241864</v>
      </c>
      <c r="Q19">
        <v>27326.182887549068</v>
      </c>
      <c r="R19">
        <v>0</v>
      </c>
      <c r="S19">
        <v>0</v>
      </c>
      <c r="T19">
        <v>13.946018828401746</v>
      </c>
      <c r="U19">
        <v>0</v>
      </c>
      <c r="V19">
        <v>25.032446630860903</v>
      </c>
      <c r="W19">
        <v>3.4106993126392999</v>
      </c>
      <c r="X19">
        <v>3.2920429467925003</v>
      </c>
      <c r="Y19">
        <v>0</v>
      </c>
      <c r="Z19">
        <v>5.2841319826942001</v>
      </c>
      <c r="AA19">
        <v>0</v>
      </c>
      <c r="AB19">
        <v>0</v>
      </c>
      <c r="AC19">
        <v>0.71127430080949994</v>
      </c>
      <c r="AD19">
        <v>0</v>
      </c>
      <c r="AE19">
        <v>0</v>
      </c>
      <c r="AF19">
        <v>9.7180583434190417</v>
      </c>
      <c r="AG19">
        <v>0</v>
      </c>
      <c r="AH19">
        <v>1.8664851913478004</v>
      </c>
      <c r="AI19">
        <v>0</v>
      </c>
      <c r="AJ19">
        <v>2.9145840938687995</v>
      </c>
      <c r="AK19">
        <v>67.471332082234412</v>
      </c>
      <c r="AL19">
        <v>0</v>
      </c>
      <c r="AM19">
        <v>12.533647833412301</v>
      </c>
      <c r="AN19">
        <v>297.72823878157408</v>
      </c>
      <c r="AO19">
        <v>3579.7580308993697</v>
      </c>
      <c r="AP19">
        <v>160.29667542981423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4.7147446365522399</v>
      </c>
      <c r="AW19">
        <v>0</v>
      </c>
      <c r="AX19">
        <v>0</v>
      </c>
      <c r="AY19">
        <v>65.2554196858664</v>
      </c>
      <c r="AZ19">
        <v>24141.904057824711</v>
      </c>
      <c r="BA19">
        <v>0</v>
      </c>
      <c r="BB19">
        <v>0</v>
      </c>
      <c r="BC19">
        <v>3184.2788297243565</v>
      </c>
      <c r="BD19">
        <v>0</v>
      </c>
    </row>
    <row r="20" spans="1:56" x14ac:dyDescent="0.2">
      <c r="A20" t="s">
        <v>1191</v>
      </c>
      <c r="B20" t="s">
        <v>1173</v>
      </c>
      <c r="C20" t="s">
        <v>1004</v>
      </c>
      <c r="D20">
        <v>2017</v>
      </c>
      <c r="E20" t="s">
        <v>1174</v>
      </c>
      <c r="F20" t="s">
        <v>1175</v>
      </c>
      <c r="G20">
        <v>22844.618685115598</v>
      </c>
      <c r="H20">
        <v>22019.973053383597</v>
      </c>
      <c r="I20">
        <v>824.6456317328275</v>
      </c>
      <c r="J20">
        <v>500.87627593026571</v>
      </c>
      <c r="K20">
        <v>678.46544308789862</v>
      </c>
      <c r="L20">
        <v>59.347785924798728</v>
      </c>
      <c r="M20">
        <v>207.9670945332357</v>
      </c>
      <c r="N20">
        <v>18223.760561892137</v>
      </c>
      <c r="O20">
        <v>2349.5558920152607</v>
      </c>
      <c r="P20">
        <v>824.6456317328275</v>
      </c>
      <c r="Q20">
        <v>0</v>
      </c>
      <c r="R20">
        <v>0</v>
      </c>
      <c r="S20">
        <v>29.011338201438463</v>
      </c>
      <c r="T20">
        <v>471.86493772882727</v>
      </c>
      <c r="U20">
        <v>0</v>
      </c>
      <c r="V20">
        <v>466.95900244089188</v>
      </c>
      <c r="W20">
        <v>40.613851752975087</v>
      </c>
      <c r="X20">
        <v>14.4763010262738</v>
      </c>
      <c r="Y20">
        <v>13.287047682014698</v>
      </c>
      <c r="Z20">
        <v>143.1292401857433</v>
      </c>
      <c r="AA20">
        <v>0</v>
      </c>
      <c r="AB20">
        <v>1.47078709285</v>
      </c>
      <c r="AC20">
        <v>15.34389930234738</v>
      </c>
      <c r="AD20">
        <v>21.457011855624696</v>
      </c>
      <c r="AE20">
        <v>21.076087673976652</v>
      </c>
      <c r="AF20">
        <v>0</v>
      </c>
      <c r="AG20">
        <v>39.940272433527895</v>
      </c>
      <c r="AH20">
        <v>94.795245967085492</v>
      </c>
      <c r="AI20">
        <v>4.8412998059434003</v>
      </c>
      <c r="AJ20">
        <v>12.5811683121462</v>
      </c>
      <c r="AK20">
        <v>55.809108014532711</v>
      </c>
      <c r="AL20">
        <v>6.3128352774200008E-2</v>
      </c>
      <c r="AM20">
        <v>18223.697433539364</v>
      </c>
      <c r="AN20">
        <v>989.32053066161745</v>
      </c>
      <c r="AO20">
        <v>32.873286234473674</v>
      </c>
      <c r="AP20">
        <v>1327.3620751191697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8.8902667740356005</v>
      </c>
      <c r="AW20">
        <v>36.2077855059105</v>
      </c>
      <c r="AX20">
        <v>0</v>
      </c>
      <c r="AY20">
        <v>779.54757945288145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">
      <c r="A21" t="s">
        <v>1192</v>
      </c>
      <c r="B21" t="s">
        <v>1173</v>
      </c>
      <c r="C21" t="s">
        <v>8</v>
      </c>
      <c r="D21">
        <v>2017</v>
      </c>
      <c r="E21" t="s">
        <v>1174</v>
      </c>
      <c r="F21" t="s">
        <v>1175</v>
      </c>
      <c r="G21">
        <v>8345.2197781329014</v>
      </c>
      <c r="H21">
        <v>8187.7477601711835</v>
      </c>
      <c r="I21">
        <v>157.472017960801</v>
      </c>
      <c r="J21">
        <v>326.60957239344782</v>
      </c>
      <c r="K21">
        <v>1810.4169418881281</v>
      </c>
      <c r="L21">
        <v>139.24134974786605</v>
      </c>
      <c r="M21">
        <v>715.51927000656792</v>
      </c>
      <c r="N21">
        <v>3964.7122560302755</v>
      </c>
      <c r="O21">
        <v>1231.2483701048991</v>
      </c>
      <c r="P21">
        <v>157.472017960801</v>
      </c>
      <c r="Q21">
        <v>0</v>
      </c>
      <c r="R21">
        <v>0</v>
      </c>
      <c r="S21">
        <v>25.97811695214622</v>
      </c>
      <c r="T21">
        <v>300.63145544130163</v>
      </c>
      <c r="U21">
        <v>0</v>
      </c>
      <c r="V21">
        <v>1194.683776609884</v>
      </c>
      <c r="W21">
        <v>54.822239845064495</v>
      </c>
      <c r="X21">
        <v>96.876315015310965</v>
      </c>
      <c r="Y21">
        <v>131.02335015256307</v>
      </c>
      <c r="Z21">
        <v>333.01126026530551</v>
      </c>
      <c r="AA21">
        <v>0</v>
      </c>
      <c r="AB21">
        <v>0</v>
      </c>
      <c r="AC21">
        <v>22.937236468941801</v>
      </c>
      <c r="AD21">
        <v>22.224178583336201</v>
      </c>
      <c r="AE21">
        <v>94.079934695588051</v>
      </c>
      <c r="AF21">
        <v>0</v>
      </c>
      <c r="AG21">
        <v>227.29319806399798</v>
      </c>
      <c r="AH21">
        <v>347.4592283514948</v>
      </c>
      <c r="AI21">
        <v>9.4036254520048992</v>
      </c>
      <c r="AJ21">
        <v>61.873423664650289</v>
      </c>
      <c r="AK21">
        <v>69.489794474419895</v>
      </c>
      <c r="AL21">
        <v>0</v>
      </c>
      <c r="AM21">
        <v>3964.7122560302755</v>
      </c>
      <c r="AN21">
        <v>699.7640865742469</v>
      </c>
      <c r="AO21">
        <v>431.67268285976519</v>
      </c>
      <c r="AP21">
        <v>99.81160067088706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30.266833544879699</v>
      </c>
      <c r="AW21">
        <v>33.547106439566598</v>
      </c>
      <c r="AX21">
        <v>0</v>
      </c>
      <c r="AY21">
        <v>93.658077976354718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">
      <c r="A22" t="s">
        <v>1193</v>
      </c>
      <c r="B22" t="s">
        <v>1173</v>
      </c>
      <c r="C22" t="s">
        <v>24</v>
      </c>
      <c r="D22">
        <v>2017</v>
      </c>
      <c r="E22" t="s">
        <v>1174</v>
      </c>
      <c r="F22" t="s">
        <v>1175</v>
      </c>
      <c r="G22">
        <v>29969.0096124626</v>
      </c>
      <c r="H22">
        <v>29611.387458970104</v>
      </c>
      <c r="I22">
        <v>357.62215350029817</v>
      </c>
      <c r="J22">
        <v>961.39411967369904</v>
      </c>
      <c r="K22">
        <v>1273.4134872818634</v>
      </c>
      <c r="L22">
        <v>169.25758426312461</v>
      </c>
      <c r="M22">
        <v>643.46064373946376</v>
      </c>
      <c r="N22">
        <v>22974.050034112162</v>
      </c>
      <c r="O22">
        <v>3589.811589899793</v>
      </c>
      <c r="P22">
        <v>357.62215350029817</v>
      </c>
      <c r="Q22">
        <v>0</v>
      </c>
      <c r="R22">
        <v>0</v>
      </c>
      <c r="S22">
        <v>37.941051949113685</v>
      </c>
      <c r="T22">
        <v>923.45306772458537</v>
      </c>
      <c r="U22">
        <v>0</v>
      </c>
      <c r="V22">
        <v>854.82281460076592</v>
      </c>
      <c r="W22">
        <v>18.738035953612798</v>
      </c>
      <c r="X22">
        <v>62.83057297060131</v>
      </c>
      <c r="Y22">
        <v>35.524905092451</v>
      </c>
      <c r="Z22">
        <v>301.49715866443233</v>
      </c>
      <c r="AA22">
        <v>4.1694791441800003</v>
      </c>
      <c r="AB22">
        <v>0</v>
      </c>
      <c r="AC22">
        <v>21.614491522384899</v>
      </c>
      <c r="AD22">
        <v>51.318548197127804</v>
      </c>
      <c r="AE22">
        <v>92.155065399431905</v>
      </c>
      <c r="AF22">
        <v>0</v>
      </c>
      <c r="AG22">
        <v>119.02937424523013</v>
      </c>
      <c r="AH22">
        <v>187.22099301413618</v>
      </c>
      <c r="AI22">
        <v>10.296103515775799</v>
      </c>
      <c r="AJ22">
        <v>14.7551304517958</v>
      </c>
      <c r="AK22">
        <v>312.15904251252579</v>
      </c>
      <c r="AL22">
        <v>1.1424544538300001</v>
      </c>
      <c r="AM22">
        <v>22972.907579658331</v>
      </c>
      <c r="AN22">
        <v>3032.1000232483884</v>
      </c>
      <c r="AO22">
        <v>342.92618754982595</v>
      </c>
      <c r="AP22">
        <v>214.78537910157874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81.343488397169509</v>
      </c>
      <c r="AW22">
        <v>0</v>
      </c>
      <c r="AX22">
        <v>0</v>
      </c>
      <c r="AY22">
        <v>276.27866510312867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2">
      <c r="A23" t="s">
        <v>1194</v>
      </c>
      <c r="B23" t="s">
        <v>1173</v>
      </c>
      <c r="C23" t="s">
        <v>38</v>
      </c>
      <c r="D23">
        <v>2017</v>
      </c>
      <c r="E23" t="s">
        <v>1174</v>
      </c>
      <c r="F23" t="s">
        <v>1175</v>
      </c>
      <c r="G23">
        <v>34625.910795553704</v>
      </c>
      <c r="H23">
        <v>33533.164429722128</v>
      </c>
      <c r="I23">
        <v>1092.7463658263093</v>
      </c>
      <c r="J23">
        <v>1072.5276255283816</v>
      </c>
      <c r="K23">
        <v>3740.2870394218617</v>
      </c>
      <c r="L23">
        <v>441.91736809072415</v>
      </c>
      <c r="M23">
        <v>963.24011886930953</v>
      </c>
      <c r="N23">
        <v>23460.203403556403</v>
      </c>
      <c r="O23">
        <v>3854.988874255449</v>
      </c>
      <c r="P23">
        <v>1092.7463658263093</v>
      </c>
      <c r="Q23">
        <v>0</v>
      </c>
      <c r="R23">
        <v>0</v>
      </c>
      <c r="S23">
        <v>25.415301166945788</v>
      </c>
      <c r="T23">
        <v>1047.1123243614359</v>
      </c>
      <c r="U23">
        <v>0</v>
      </c>
      <c r="V23">
        <v>2574.2397315798494</v>
      </c>
      <c r="W23">
        <v>134.35493799725612</v>
      </c>
      <c r="X23">
        <v>57.975323030839419</v>
      </c>
      <c r="Y23">
        <v>97.814754313181311</v>
      </c>
      <c r="Z23">
        <v>875.9022925007356</v>
      </c>
      <c r="AA23">
        <v>0</v>
      </c>
      <c r="AB23">
        <v>10.751874221860703</v>
      </c>
      <c r="AC23">
        <v>62.152901120449954</v>
      </c>
      <c r="AD23">
        <v>66.136171565590189</v>
      </c>
      <c r="AE23">
        <v>302.87642118282332</v>
      </c>
      <c r="AF23">
        <v>0</v>
      </c>
      <c r="AG23">
        <v>305.91501360885042</v>
      </c>
      <c r="AH23">
        <v>359.35611906745027</v>
      </c>
      <c r="AI23">
        <v>22.975256614234777</v>
      </c>
      <c r="AJ23">
        <v>200.73615728700958</v>
      </c>
      <c r="AK23">
        <v>74.257572291764518</v>
      </c>
      <c r="AL23">
        <v>324.4492652875997</v>
      </c>
      <c r="AM23">
        <v>23135.754138268803</v>
      </c>
      <c r="AN23">
        <v>2362.1289673849415</v>
      </c>
      <c r="AO23">
        <v>1172.7143647470527</v>
      </c>
      <c r="AP23">
        <v>320.14554212345462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167.14134632175114</v>
      </c>
      <c r="AW23">
        <v>29.667666086629701</v>
      </c>
      <c r="AX23">
        <v>0</v>
      </c>
      <c r="AY23">
        <v>895.93735341792853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">
      <c r="A24" t="s">
        <v>1195</v>
      </c>
      <c r="B24" t="s">
        <v>1173</v>
      </c>
      <c r="C24" t="s">
        <v>62</v>
      </c>
      <c r="D24">
        <v>2017</v>
      </c>
      <c r="E24" t="s">
        <v>1174</v>
      </c>
      <c r="F24" t="s">
        <v>1175</v>
      </c>
      <c r="G24">
        <v>12924.962029169101</v>
      </c>
      <c r="H24">
        <v>12754.361879986234</v>
      </c>
      <c r="I24">
        <v>170.60014918568859</v>
      </c>
      <c r="J24">
        <v>522.52309311847148</v>
      </c>
      <c r="K24">
        <v>1553.5297536168314</v>
      </c>
      <c r="L24">
        <v>97.65048547426872</v>
      </c>
      <c r="M24">
        <v>378.75660981690811</v>
      </c>
      <c r="N24">
        <v>8770.6570186718036</v>
      </c>
      <c r="O24">
        <v>1431.2449192879506</v>
      </c>
      <c r="P24">
        <v>170.60014918568859</v>
      </c>
      <c r="Q24">
        <v>0</v>
      </c>
      <c r="R24">
        <v>0</v>
      </c>
      <c r="S24">
        <v>23.843420203835798</v>
      </c>
      <c r="T24">
        <v>471.15611344461655</v>
      </c>
      <c r="U24">
        <v>27.523559470019098</v>
      </c>
      <c r="V24">
        <v>925.38255159768039</v>
      </c>
      <c r="W24">
        <v>68.665393382467101</v>
      </c>
      <c r="X24">
        <v>67.323830057449982</v>
      </c>
      <c r="Y24">
        <v>55.506482378717209</v>
      </c>
      <c r="Z24">
        <v>436.65149620051682</v>
      </c>
      <c r="AA24">
        <v>2.6410223267899999</v>
      </c>
      <c r="AB24">
        <v>5.2425433303830005</v>
      </c>
      <c r="AC24">
        <v>32.611472378831898</v>
      </c>
      <c r="AD24">
        <v>6.9357650073927983</v>
      </c>
      <c r="AE24">
        <v>50.219682430871032</v>
      </c>
      <c r="AF24">
        <v>0</v>
      </c>
      <c r="AG24">
        <v>122.0505272893467</v>
      </c>
      <c r="AH24">
        <v>165.09452057530652</v>
      </c>
      <c r="AI24">
        <v>12.8835259102361</v>
      </c>
      <c r="AJ24">
        <v>12.823655092599999</v>
      </c>
      <c r="AK24">
        <v>65.904380949418808</v>
      </c>
      <c r="AL24">
        <v>0</v>
      </c>
      <c r="AM24">
        <v>8770.6570186718036</v>
      </c>
      <c r="AN24">
        <v>1244.843524660944</v>
      </c>
      <c r="AO24">
        <v>116.1587740849728</v>
      </c>
      <c r="AP24">
        <v>70.24262054203372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14.417402935884102</v>
      </c>
      <c r="AW24">
        <v>20.972213169562</v>
      </c>
      <c r="AX24">
        <v>0</v>
      </c>
      <c r="AY24">
        <v>135.2105330802425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">
      <c r="A25" t="s">
        <v>1196</v>
      </c>
      <c r="B25" t="s">
        <v>1173</v>
      </c>
      <c r="C25" t="s">
        <v>73</v>
      </c>
      <c r="D25">
        <v>2017</v>
      </c>
      <c r="E25" t="s">
        <v>1174</v>
      </c>
      <c r="F25" t="s">
        <v>1175</v>
      </c>
      <c r="G25">
        <v>5702.7703909211004</v>
      </c>
      <c r="H25">
        <v>5550.2037195783605</v>
      </c>
      <c r="I25">
        <v>152.56667134100775</v>
      </c>
      <c r="J25">
        <v>294.89929656637906</v>
      </c>
      <c r="K25">
        <v>907.29032939169497</v>
      </c>
      <c r="L25">
        <v>91.608548235583498</v>
      </c>
      <c r="M25">
        <v>151.68973396482673</v>
      </c>
      <c r="N25">
        <v>3956.747421297282</v>
      </c>
      <c r="O25">
        <v>147.96839012259468</v>
      </c>
      <c r="P25">
        <v>152.56667134100775</v>
      </c>
      <c r="Q25">
        <v>0</v>
      </c>
      <c r="R25">
        <v>0</v>
      </c>
      <c r="S25">
        <v>44.795419312099533</v>
      </c>
      <c r="T25">
        <v>250.10387725427955</v>
      </c>
      <c r="U25">
        <v>0</v>
      </c>
      <c r="V25">
        <v>516.01332084641035</v>
      </c>
      <c r="W25">
        <v>29.705144859361276</v>
      </c>
      <c r="X25">
        <v>12.977052026694</v>
      </c>
      <c r="Y25">
        <v>55.177398575514168</v>
      </c>
      <c r="Z25">
        <v>293.41741308371519</v>
      </c>
      <c r="AA25">
        <v>0</v>
      </c>
      <c r="AB25">
        <v>0</v>
      </c>
      <c r="AC25">
        <v>14.351102449921502</v>
      </c>
      <c r="AD25">
        <v>11.4884221391326</v>
      </c>
      <c r="AE25">
        <v>65.769023646529391</v>
      </c>
      <c r="AF25">
        <v>0</v>
      </c>
      <c r="AG25">
        <v>85.192626674813425</v>
      </c>
      <c r="AH25">
        <v>44.282197559197201</v>
      </c>
      <c r="AI25">
        <v>7.5507428061533197</v>
      </c>
      <c r="AJ25">
        <v>2.9102088598843001</v>
      </c>
      <c r="AK25">
        <v>11.7539580647785</v>
      </c>
      <c r="AL25">
        <v>0</v>
      </c>
      <c r="AM25">
        <v>3956.747421297282</v>
      </c>
      <c r="AN25">
        <v>128.30222128873268</v>
      </c>
      <c r="AO25">
        <v>0</v>
      </c>
      <c r="AP25">
        <v>19.666168833861999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3.1837950493826002</v>
      </c>
      <c r="AW25">
        <v>18.766708779813801</v>
      </c>
      <c r="AX25">
        <v>0</v>
      </c>
      <c r="AY25">
        <v>130.61616751181134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">
      <c r="A26" t="s">
        <v>1197</v>
      </c>
      <c r="B26" t="s">
        <v>1173</v>
      </c>
      <c r="C26" t="s">
        <v>2</v>
      </c>
      <c r="D26">
        <v>2017</v>
      </c>
      <c r="E26" t="s">
        <v>1174</v>
      </c>
      <c r="F26" t="s">
        <v>1175</v>
      </c>
      <c r="G26">
        <v>6940.6297088375004</v>
      </c>
      <c r="H26">
        <v>6718.0698665028876</v>
      </c>
      <c r="I26">
        <v>222.559842336027</v>
      </c>
      <c r="J26">
        <v>410.42008686687052</v>
      </c>
      <c r="K26">
        <v>1907.8192886168274</v>
      </c>
      <c r="L26">
        <v>126.478192263362</v>
      </c>
      <c r="M26">
        <v>298.57725720577656</v>
      </c>
      <c r="N26">
        <v>3539.650101988128</v>
      </c>
      <c r="O26">
        <v>435.12493956192253</v>
      </c>
      <c r="P26">
        <v>222.559842336027</v>
      </c>
      <c r="Q26">
        <v>0</v>
      </c>
      <c r="R26">
        <v>0</v>
      </c>
      <c r="S26">
        <v>46.112453379189596</v>
      </c>
      <c r="T26">
        <v>364.3076334876809</v>
      </c>
      <c r="U26">
        <v>0</v>
      </c>
      <c r="V26">
        <v>1148.350541757412</v>
      </c>
      <c r="W26">
        <v>70.711872154521515</v>
      </c>
      <c r="X26">
        <v>30.834820426615501</v>
      </c>
      <c r="Y26">
        <v>89.763489781094961</v>
      </c>
      <c r="Z26">
        <v>568.15856449718353</v>
      </c>
      <c r="AA26">
        <v>2.1382855088260002E-3</v>
      </c>
      <c r="AB26">
        <v>3.2766153611229698</v>
      </c>
      <c r="AC26">
        <v>21.0027185735457</v>
      </c>
      <c r="AD26">
        <v>2.1579648434332999</v>
      </c>
      <c r="AE26">
        <v>100.03875519975121</v>
      </c>
      <c r="AF26">
        <v>0</v>
      </c>
      <c r="AG26">
        <v>159.11262855960774</v>
      </c>
      <c r="AH26">
        <v>108.18732504364947</v>
      </c>
      <c r="AI26">
        <v>13.997590343081404</v>
      </c>
      <c r="AJ26">
        <v>5.7049282760970996</v>
      </c>
      <c r="AK26">
        <v>11.5747849833408</v>
      </c>
      <c r="AL26">
        <v>0</v>
      </c>
      <c r="AM26">
        <v>3539.650101988128</v>
      </c>
      <c r="AN26">
        <v>400.55866604901416</v>
      </c>
      <c r="AO26">
        <v>0</v>
      </c>
      <c r="AP26">
        <v>34.56627351290836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34.568923217760094</v>
      </c>
      <c r="AW26">
        <v>0</v>
      </c>
      <c r="AX26">
        <v>0</v>
      </c>
      <c r="AY26">
        <v>187.9909191182669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">
      <c r="A27" t="s">
        <v>1198</v>
      </c>
      <c r="B27" t="s">
        <v>1173</v>
      </c>
      <c r="C27" t="s">
        <v>16</v>
      </c>
      <c r="D27">
        <v>2017</v>
      </c>
      <c r="E27" t="s">
        <v>1174</v>
      </c>
      <c r="F27" t="s">
        <v>1175</v>
      </c>
      <c r="G27">
        <v>2616.4536555054001</v>
      </c>
      <c r="H27">
        <v>2598.9929172112775</v>
      </c>
      <c r="I27">
        <v>17.460738294086926</v>
      </c>
      <c r="J27">
        <v>144.79622131319357</v>
      </c>
      <c r="K27">
        <v>497.99795274714137</v>
      </c>
      <c r="L27">
        <v>103.21270067375627</v>
      </c>
      <c r="M27">
        <v>91.062072440514726</v>
      </c>
      <c r="N27">
        <v>1608.2348313810242</v>
      </c>
      <c r="O27">
        <v>153.68913865564738</v>
      </c>
      <c r="P27">
        <v>17.460738294086926</v>
      </c>
      <c r="Q27">
        <v>0</v>
      </c>
      <c r="R27">
        <v>0</v>
      </c>
      <c r="S27">
        <v>13.556595958239695</v>
      </c>
      <c r="T27">
        <v>131.23962535495389</v>
      </c>
      <c r="U27">
        <v>0</v>
      </c>
      <c r="V27">
        <v>402.35461415910083</v>
      </c>
      <c r="W27">
        <v>10.8272801719762</v>
      </c>
      <c r="X27">
        <v>3.5027832903941003</v>
      </c>
      <c r="Y27">
        <v>22.800640978994899</v>
      </c>
      <c r="Z27">
        <v>58.512634146675296</v>
      </c>
      <c r="AA27">
        <v>45.642086467862285</v>
      </c>
      <c r="AB27">
        <v>2.4047054587842003</v>
      </c>
      <c r="AC27">
        <v>6.2971253120196007</v>
      </c>
      <c r="AD27">
        <v>0</v>
      </c>
      <c r="AE27">
        <v>48.86878343509018</v>
      </c>
      <c r="AF27">
        <v>0</v>
      </c>
      <c r="AG27">
        <v>28.696421403960919</v>
      </c>
      <c r="AH27">
        <v>59.442133550504806</v>
      </c>
      <c r="AI27">
        <v>1.9066945403090001</v>
      </c>
      <c r="AJ27">
        <v>0</v>
      </c>
      <c r="AK27">
        <v>1.01682294574</v>
      </c>
      <c r="AL27">
        <v>0</v>
      </c>
      <c r="AM27">
        <v>1608.2348313810242</v>
      </c>
      <c r="AN27">
        <v>145.17164361034736</v>
      </c>
      <c r="AO27">
        <v>3.1269597274500001</v>
      </c>
      <c r="AP27">
        <v>5.3905353178499995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1.52245064033</v>
      </c>
      <c r="AW27">
        <v>0</v>
      </c>
      <c r="AX27">
        <v>0</v>
      </c>
      <c r="AY27">
        <v>15.938287653756927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">
      <c r="A28" t="s">
        <v>1199</v>
      </c>
      <c r="B28" t="s">
        <v>1173</v>
      </c>
      <c r="C28" t="s">
        <v>26</v>
      </c>
      <c r="D28">
        <v>2017</v>
      </c>
      <c r="E28" t="s">
        <v>1174</v>
      </c>
      <c r="F28" t="s">
        <v>1175</v>
      </c>
      <c r="G28">
        <v>16651.8037100847</v>
      </c>
      <c r="H28">
        <v>16501.939242129069</v>
      </c>
      <c r="I28">
        <v>149.8644679591024</v>
      </c>
      <c r="J28">
        <v>528.08943415757585</v>
      </c>
      <c r="K28">
        <v>682.38561208633018</v>
      </c>
      <c r="L28">
        <v>41.576595167503498</v>
      </c>
      <c r="M28">
        <v>226.48480452817938</v>
      </c>
      <c r="N28">
        <v>13396.546414328534</v>
      </c>
      <c r="O28">
        <v>1626.8563818609462</v>
      </c>
      <c r="P28">
        <v>149.8644679591024</v>
      </c>
      <c r="Q28">
        <v>0</v>
      </c>
      <c r="R28">
        <v>0</v>
      </c>
      <c r="S28">
        <v>24.180635562875857</v>
      </c>
      <c r="T28">
        <v>483.57057317121672</v>
      </c>
      <c r="U28">
        <v>20.338225423483301</v>
      </c>
      <c r="V28">
        <v>482.93315318743998</v>
      </c>
      <c r="W28">
        <v>20.937823445859394</v>
      </c>
      <c r="X28">
        <v>4.3109587118499997</v>
      </c>
      <c r="Y28">
        <v>5.8327966949672003</v>
      </c>
      <c r="Z28">
        <v>168.37088004621361</v>
      </c>
      <c r="AA28">
        <v>8.157229699927699</v>
      </c>
      <c r="AB28">
        <v>3.3710090548411999</v>
      </c>
      <c r="AC28">
        <v>11.335877808340701</v>
      </c>
      <c r="AD28">
        <v>0</v>
      </c>
      <c r="AE28">
        <v>18.712478604393898</v>
      </c>
      <c r="AF28">
        <v>0</v>
      </c>
      <c r="AG28">
        <v>24.558705559947601</v>
      </c>
      <c r="AH28">
        <v>53.949604336462706</v>
      </c>
      <c r="AI28">
        <v>3.1545728706382006</v>
      </c>
      <c r="AJ28">
        <v>4.0127744191699994</v>
      </c>
      <c r="AK28">
        <v>140.80914734196085</v>
      </c>
      <c r="AL28">
        <v>0</v>
      </c>
      <c r="AM28">
        <v>13396.546414328534</v>
      </c>
      <c r="AN28">
        <v>1538.1597015599843</v>
      </c>
      <c r="AO28">
        <v>37.461171477570701</v>
      </c>
      <c r="AP28">
        <v>51.2355088233911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1.25673999735</v>
      </c>
      <c r="AW28">
        <v>0</v>
      </c>
      <c r="AX28">
        <v>0</v>
      </c>
      <c r="AY28">
        <v>148.6077279617524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">
      <c r="A29" t="s">
        <v>1200</v>
      </c>
      <c r="B29" t="s">
        <v>1173</v>
      </c>
      <c r="C29" t="s">
        <v>30</v>
      </c>
      <c r="D29">
        <v>2017</v>
      </c>
      <c r="E29" t="s">
        <v>1174</v>
      </c>
      <c r="F29" t="s">
        <v>1175</v>
      </c>
      <c r="G29">
        <v>13433.480953566799</v>
      </c>
      <c r="H29">
        <v>13056.337774726846</v>
      </c>
      <c r="I29">
        <v>377.14317883565974</v>
      </c>
      <c r="J29">
        <v>483.60143390562121</v>
      </c>
      <c r="K29">
        <v>1907.1450560912501</v>
      </c>
      <c r="L29">
        <v>147.46019259667463</v>
      </c>
      <c r="M29">
        <v>431.77010177607639</v>
      </c>
      <c r="N29">
        <v>8502.1049267517265</v>
      </c>
      <c r="O29">
        <v>1584.2560636054959</v>
      </c>
      <c r="P29">
        <v>377.14317883565974</v>
      </c>
      <c r="Q29">
        <v>0</v>
      </c>
      <c r="R29">
        <v>0</v>
      </c>
      <c r="S29">
        <v>58.310526955553797</v>
      </c>
      <c r="T29">
        <v>425.29090695006744</v>
      </c>
      <c r="U29">
        <v>0</v>
      </c>
      <c r="V29">
        <v>1268.5285981517179</v>
      </c>
      <c r="W29">
        <v>58.121499606640604</v>
      </c>
      <c r="X29">
        <v>59.265962881005692</v>
      </c>
      <c r="Y29">
        <v>124.15002683223558</v>
      </c>
      <c r="Z29">
        <v>397.07896861965031</v>
      </c>
      <c r="AA29">
        <v>0</v>
      </c>
      <c r="AB29">
        <v>2.1936840324219999</v>
      </c>
      <c r="AC29">
        <v>31.305579295442811</v>
      </c>
      <c r="AD29">
        <v>0</v>
      </c>
      <c r="AE29">
        <v>108.47221955618259</v>
      </c>
      <c r="AF29">
        <v>5.4887097126272</v>
      </c>
      <c r="AG29">
        <v>191.81393344169246</v>
      </c>
      <c r="AH29">
        <v>200.36036097290128</v>
      </c>
      <c r="AI29">
        <v>15.754679107203518</v>
      </c>
      <c r="AJ29">
        <v>0</v>
      </c>
      <c r="AK29">
        <v>23.841128254279102</v>
      </c>
      <c r="AL29">
        <v>0</v>
      </c>
      <c r="AM29">
        <v>8502.1049267517265</v>
      </c>
      <c r="AN29">
        <v>1530.096718930587</v>
      </c>
      <c r="AO29">
        <v>10.6922530683192</v>
      </c>
      <c r="AP29">
        <v>43.467091606589655</v>
      </c>
      <c r="AQ29">
        <v>0</v>
      </c>
      <c r="AR29">
        <v>0</v>
      </c>
      <c r="AS29">
        <v>86.144487237493777</v>
      </c>
      <c r="AT29">
        <v>0</v>
      </c>
      <c r="AU29">
        <v>0</v>
      </c>
      <c r="AV29">
        <v>14.738530473687703</v>
      </c>
      <c r="AW29">
        <v>0</v>
      </c>
      <c r="AX29">
        <v>0</v>
      </c>
      <c r="AY29">
        <v>276.26016112447826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">
      <c r="A30" t="s">
        <v>1201</v>
      </c>
      <c r="B30" t="s">
        <v>1173</v>
      </c>
      <c r="C30" t="s">
        <v>40</v>
      </c>
      <c r="D30">
        <v>2017</v>
      </c>
      <c r="E30" t="s">
        <v>1174</v>
      </c>
      <c r="F30" t="s">
        <v>1175</v>
      </c>
      <c r="G30">
        <v>14272.406697681599</v>
      </c>
      <c r="H30">
        <v>14072.809832916129</v>
      </c>
      <c r="I30">
        <v>199.59686476545642</v>
      </c>
      <c r="J30">
        <v>612.12751456578337</v>
      </c>
      <c r="K30">
        <v>3057.0434936063984</v>
      </c>
      <c r="L30">
        <v>290.7193358821869</v>
      </c>
      <c r="M30">
        <v>897.60726232612842</v>
      </c>
      <c r="N30">
        <v>6837.2859143868773</v>
      </c>
      <c r="O30">
        <v>2378.0263121487556</v>
      </c>
      <c r="P30">
        <v>199.59686476545642</v>
      </c>
      <c r="Q30">
        <v>0</v>
      </c>
      <c r="R30">
        <v>0</v>
      </c>
      <c r="S30">
        <v>39.004250589966048</v>
      </c>
      <c r="T30">
        <v>453.12681158507525</v>
      </c>
      <c r="U30">
        <v>119.99645239074209</v>
      </c>
      <c r="V30">
        <v>2100.411189266862</v>
      </c>
      <c r="W30">
        <v>99.716326272517122</v>
      </c>
      <c r="X30">
        <v>53.12815504492989</v>
      </c>
      <c r="Y30">
        <v>206.11539396939722</v>
      </c>
      <c r="Z30">
        <v>597.67242905269211</v>
      </c>
      <c r="AA30">
        <v>73.973382378499693</v>
      </c>
      <c r="AB30">
        <v>2.5209605842059002</v>
      </c>
      <c r="AC30">
        <v>43.008183053726697</v>
      </c>
      <c r="AD30">
        <v>23.116270459224602</v>
      </c>
      <c r="AE30">
        <v>148.10053940652998</v>
      </c>
      <c r="AF30">
        <v>0</v>
      </c>
      <c r="AG30">
        <v>399.82847830768617</v>
      </c>
      <c r="AH30">
        <v>369.18561042743232</v>
      </c>
      <c r="AI30">
        <v>15.612918068429595</v>
      </c>
      <c r="AJ30">
        <v>73.668105167360707</v>
      </c>
      <c r="AK30">
        <v>39.312150355219501</v>
      </c>
      <c r="AL30">
        <v>1.6462995569835999</v>
      </c>
      <c r="AM30">
        <v>6835.6396148298936</v>
      </c>
      <c r="AN30">
        <v>2197.0690769827306</v>
      </c>
      <c r="AO30">
        <v>120.65686953402455</v>
      </c>
      <c r="AP30">
        <v>60.3003656320004</v>
      </c>
      <c r="AQ30">
        <v>0</v>
      </c>
      <c r="AR30">
        <v>0</v>
      </c>
      <c r="AS30">
        <v>0</v>
      </c>
      <c r="AT30">
        <v>0</v>
      </c>
      <c r="AU30">
        <v>33.777428962518101</v>
      </c>
      <c r="AV30">
        <v>47.167494694041004</v>
      </c>
      <c r="AW30">
        <v>43.947411665024106</v>
      </c>
      <c r="AX30">
        <v>0</v>
      </c>
      <c r="AY30">
        <v>74.704529443873199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">
      <c r="A31" t="s">
        <v>1202</v>
      </c>
      <c r="B31" t="s">
        <v>1173</v>
      </c>
      <c r="C31" t="s">
        <v>436</v>
      </c>
      <c r="D31">
        <v>2017</v>
      </c>
      <c r="E31" t="s">
        <v>1174</v>
      </c>
      <c r="F31" t="s">
        <v>1175</v>
      </c>
      <c r="G31">
        <v>10549.9578146153</v>
      </c>
      <c r="H31">
        <v>10478.101760147196</v>
      </c>
      <c r="I31">
        <v>71.856054467014999</v>
      </c>
      <c r="J31">
        <v>242.35639946780219</v>
      </c>
      <c r="K31">
        <v>606.31602356252165</v>
      </c>
      <c r="L31">
        <v>109.40634450269626</v>
      </c>
      <c r="M31">
        <v>180.56623289873249</v>
      </c>
      <c r="N31">
        <v>7119.3729035508113</v>
      </c>
      <c r="O31">
        <v>2220.0838561646328</v>
      </c>
      <c r="P31">
        <v>71.856054467014999</v>
      </c>
      <c r="Q31">
        <v>0</v>
      </c>
      <c r="R31">
        <v>0</v>
      </c>
      <c r="S31">
        <v>7.5944124681154177</v>
      </c>
      <c r="T31">
        <v>234.76198699968677</v>
      </c>
      <c r="U31">
        <v>0</v>
      </c>
      <c r="V31">
        <v>405.58382920022314</v>
      </c>
      <c r="W31">
        <v>23.4324743172015</v>
      </c>
      <c r="X31">
        <v>5.4130638074499995</v>
      </c>
      <c r="Y31">
        <v>12.7696536825078</v>
      </c>
      <c r="Z31">
        <v>159.11700255513918</v>
      </c>
      <c r="AA31">
        <v>0</v>
      </c>
      <c r="AB31">
        <v>1.94722047079</v>
      </c>
      <c r="AC31">
        <v>9.822968549570998</v>
      </c>
      <c r="AD31">
        <v>0.49209834764879995</v>
      </c>
      <c r="AE31">
        <v>97.144057134686463</v>
      </c>
      <c r="AF31">
        <v>0</v>
      </c>
      <c r="AG31">
        <v>32.311903493808693</v>
      </c>
      <c r="AH31">
        <v>72.92604891819083</v>
      </c>
      <c r="AI31">
        <v>1.5670536362610998</v>
      </c>
      <c r="AJ31">
        <v>0</v>
      </c>
      <c r="AK31">
        <v>73.761226850471886</v>
      </c>
      <c r="AL31">
        <v>0</v>
      </c>
      <c r="AM31">
        <v>7119.3729035508113</v>
      </c>
      <c r="AN31">
        <v>1418.8646610613573</v>
      </c>
      <c r="AO31">
        <v>470.35691070968767</v>
      </c>
      <c r="AP31">
        <v>330.86228439358791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3.0214215795500001</v>
      </c>
      <c r="AW31">
        <v>0</v>
      </c>
      <c r="AX31">
        <v>0</v>
      </c>
      <c r="AY31">
        <v>68.834632887465006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">
      <c r="A32" t="s">
        <v>1203</v>
      </c>
      <c r="B32" t="s">
        <v>1173</v>
      </c>
      <c r="C32" t="s">
        <v>48</v>
      </c>
      <c r="D32">
        <v>2017</v>
      </c>
      <c r="E32" t="s">
        <v>1174</v>
      </c>
      <c r="F32" t="s">
        <v>1175</v>
      </c>
      <c r="G32">
        <v>31715.0453391671</v>
      </c>
      <c r="H32">
        <v>31215.955263104901</v>
      </c>
      <c r="I32">
        <v>499.09007606604888</v>
      </c>
      <c r="J32">
        <v>937.83888203950153</v>
      </c>
      <c r="K32">
        <v>1680.8412301115584</v>
      </c>
      <c r="L32">
        <v>255.28690481342559</v>
      </c>
      <c r="M32">
        <v>624.64503597682767</v>
      </c>
      <c r="N32">
        <v>25473.029249563788</v>
      </c>
      <c r="O32">
        <v>2244.313960599799</v>
      </c>
      <c r="P32">
        <v>499.09007606604888</v>
      </c>
      <c r="Q32">
        <v>0</v>
      </c>
      <c r="R32">
        <v>0</v>
      </c>
      <c r="S32">
        <v>41.196068023777919</v>
      </c>
      <c r="T32">
        <v>896.64281401572362</v>
      </c>
      <c r="U32">
        <v>0</v>
      </c>
      <c r="V32">
        <v>1032.8587790469139</v>
      </c>
      <c r="W32">
        <v>49.1137484047199</v>
      </c>
      <c r="X32">
        <v>18.356602456115752</v>
      </c>
      <c r="Y32">
        <v>100.98467900966507</v>
      </c>
      <c r="Z32">
        <v>479.5274211941437</v>
      </c>
      <c r="AA32">
        <v>26.5391784142525</v>
      </c>
      <c r="AB32">
        <v>0</v>
      </c>
      <c r="AC32">
        <v>29.17173035983771</v>
      </c>
      <c r="AD32">
        <v>51.192765438943994</v>
      </c>
      <c r="AE32">
        <v>148.38323060039139</v>
      </c>
      <c r="AF32">
        <v>0</v>
      </c>
      <c r="AG32">
        <v>100.83301058832042</v>
      </c>
      <c r="AH32">
        <v>131.98140148461044</v>
      </c>
      <c r="AI32">
        <v>9.6780836673485968</v>
      </c>
      <c r="AJ32">
        <v>62.035483091907835</v>
      </c>
      <c r="AK32">
        <v>320.1170571446404</v>
      </c>
      <c r="AL32">
        <v>0.69999665770999997</v>
      </c>
      <c r="AM32">
        <v>25472.329252906078</v>
      </c>
      <c r="AN32">
        <v>2108.577365595042</v>
      </c>
      <c r="AO32">
        <v>102.93230480259852</v>
      </c>
      <c r="AP32">
        <v>32.804290202158441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36.741796259363603</v>
      </c>
      <c r="AW32">
        <v>98.62668547146248</v>
      </c>
      <c r="AX32">
        <v>37.150194175720394</v>
      </c>
      <c r="AY32">
        <v>326.57140015950239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">
      <c r="A33" t="s">
        <v>1204</v>
      </c>
      <c r="B33" t="s">
        <v>1173</v>
      </c>
      <c r="C33" t="s">
        <v>476</v>
      </c>
      <c r="D33">
        <v>2017</v>
      </c>
      <c r="E33" t="s">
        <v>1174</v>
      </c>
      <c r="F33" t="s">
        <v>1175</v>
      </c>
      <c r="G33">
        <v>13899.333513940799</v>
      </c>
      <c r="H33">
        <v>13793.113188372434</v>
      </c>
      <c r="I33">
        <v>106.22032556634052</v>
      </c>
      <c r="J33">
        <v>318.95077137247011</v>
      </c>
      <c r="K33">
        <v>860.7726649369805</v>
      </c>
      <c r="L33">
        <v>25.772525332300379</v>
      </c>
      <c r="M33">
        <v>240.57584298300441</v>
      </c>
      <c r="N33">
        <v>8158.4624491643744</v>
      </c>
      <c r="O33">
        <v>4188.5789345833045</v>
      </c>
      <c r="P33">
        <v>106.22032556634052</v>
      </c>
      <c r="Q33">
        <v>0</v>
      </c>
      <c r="R33">
        <v>0</v>
      </c>
      <c r="S33">
        <v>26.101492263900205</v>
      </c>
      <c r="T33">
        <v>292.84927910856993</v>
      </c>
      <c r="U33">
        <v>0</v>
      </c>
      <c r="V33">
        <v>624.22544156035462</v>
      </c>
      <c r="W33">
        <v>38.349338904629477</v>
      </c>
      <c r="X33">
        <v>10.867099077534801</v>
      </c>
      <c r="Y33">
        <v>24.667730003948396</v>
      </c>
      <c r="Z33">
        <v>162.66305539051322</v>
      </c>
      <c r="AA33">
        <v>1.1429755290429999</v>
      </c>
      <c r="AB33">
        <v>0</v>
      </c>
      <c r="AC33">
        <v>14.920210534106079</v>
      </c>
      <c r="AD33">
        <v>0</v>
      </c>
      <c r="AE33">
        <v>9.7093392691513003</v>
      </c>
      <c r="AF33">
        <v>0</v>
      </c>
      <c r="AG33">
        <v>48.687931108485841</v>
      </c>
      <c r="AH33">
        <v>73.975886299487414</v>
      </c>
      <c r="AI33">
        <v>6.3402019012752007</v>
      </c>
      <c r="AJ33">
        <v>26.183149814618002</v>
      </c>
      <c r="AK33">
        <v>85.388673859137938</v>
      </c>
      <c r="AL33">
        <v>0</v>
      </c>
      <c r="AM33">
        <v>8158.4624491643744</v>
      </c>
      <c r="AN33">
        <v>2995.075808314039</v>
      </c>
      <c r="AO33">
        <v>1162.5409948592385</v>
      </c>
      <c r="AP33">
        <v>30.962131410027244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4.8104821032</v>
      </c>
      <c r="AW33">
        <v>0</v>
      </c>
      <c r="AX33">
        <v>0</v>
      </c>
      <c r="AY33">
        <v>101.40984346314052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">
      <c r="A34" t="s">
        <v>1205</v>
      </c>
      <c r="B34" t="s">
        <v>1173</v>
      </c>
      <c r="C34" t="s">
        <v>58</v>
      </c>
      <c r="D34">
        <v>2017</v>
      </c>
      <c r="E34" t="s">
        <v>1174</v>
      </c>
      <c r="F34" t="s">
        <v>1175</v>
      </c>
      <c r="G34">
        <v>6183.0563299766</v>
      </c>
      <c r="H34">
        <v>6084.1271004611517</v>
      </c>
      <c r="I34">
        <v>98.929231949301951</v>
      </c>
      <c r="J34">
        <v>311.08891964416034</v>
      </c>
      <c r="K34">
        <v>1981.6561718635103</v>
      </c>
      <c r="L34">
        <v>171.4488108583881</v>
      </c>
      <c r="M34">
        <v>308.59836243027905</v>
      </c>
      <c r="N34">
        <v>2526.6086644476404</v>
      </c>
      <c r="O34">
        <v>784.72617121717269</v>
      </c>
      <c r="P34">
        <v>98.929231949301951</v>
      </c>
      <c r="Q34">
        <v>0</v>
      </c>
      <c r="R34">
        <v>0</v>
      </c>
      <c r="S34">
        <v>40.549664627666296</v>
      </c>
      <c r="T34">
        <v>270.53925501649405</v>
      </c>
      <c r="U34">
        <v>0</v>
      </c>
      <c r="V34">
        <v>1277.6975814125842</v>
      </c>
      <c r="W34">
        <v>88.626874555187399</v>
      </c>
      <c r="X34">
        <v>33.288497382388705</v>
      </c>
      <c r="Y34">
        <v>66.155194914396859</v>
      </c>
      <c r="Z34">
        <v>515.88802359895305</v>
      </c>
      <c r="AA34">
        <v>18.259808964503002</v>
      </c>
      <c r="AB34">
        <v>4.0734483694070009</v>
      </c>
      <c r="AC34">
        <v>16.690410716971602</v>
      </c>
      <c r="AD34">
        <v>0</v>
      </c>
      <c r="AE34">
        <v>132.42514280750649</v>
      </c>
      <c r="AF34">
        <v>0</v>
      </c>
      <c r="AG34">
        <v>117.02745924381504</v>
      </c>
      <c r="AH34">
        <v>154.42519961634613</v>
      </c>
      <c r="AI34">
        <v>11.796484920987202</v>
      </c>
      <c r="AJ34">
        <v>5.6533708405709993</v>
      </c>
      <c r="AK34">
        <v>19.695847808559702</v>
      </c>
      <c r="AL34">
        <v>1.18376788219</v>
      </c>
      <c r="AM34">
        <v>2525.4248965654506</v>
      </c>
      <c r="AN34">
        <v>664.04989848416949</v>
      </c>
      <c r="AO34">
        <v>104.75190062440578</v>
      </c>
      <c r="AP34">
        <v>15.924372108597399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11.9333665766023</v>
      </c>
      <c r="AW34">
        <v>0</v>
      </c>
      <c r="AX34">
        <v>0</v>
      </c>
      <c r="AY34">
        <v>86.995865372699654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">
      <c r="A35" t="s">
        <v>1206</v>
      </c>
      <c r="B35" t="s">
        <v>1173</v>
      </c>
      <c r="C35" t="s">
        <v>65</v>
      </c>
      <c r="D35">
        <v>2017</v>
      </c>
      <c r="E35" t="s">
        <v>1174</v>
      </c>
      <c r="F35" t="s">
        <v>1175</v>
      </c>
      <c r="G35">
        <v>16178.8918776719</v>
      </c>
      <c r="H35">
        <v>14123.316022367319</v>
      </c>
      <c r="I35">
        <v>2055.5758553056767</v>
      </c>
      <c r="J35">
        <v>464.83745565535855</v>
      </c>
      <c r="K35">
        <v>1138.4008073204727</v>
      </c>
      <c r="L35">
        <v>322.87915864064013</v>
      </c>
      <c r="M35">
        <v>231.32927085069593</v>
      </c>
      <c r="N35">
        <v>11265.27669652222</v>
      </c>
      <c r="O35">
        <v>700.59263337793163</v>
      </c>
      <c r="P35">
        <v>2055.5758553056767</v>
      </c>
      <c r="Q35">
        <v>0</v>
      </c>
      <c r="R35">
        <v>0</v>
      </c>
      <c r="S35">
        <v>43.769319234341665</v>
      </c>
      <c r="T35">
        <v>421.0681364210169</v>
      </c>
      <c r="U35">
        <v>0</v>
      </c>
      <c r="V35">
        <v>695.04510989983692</v>
      </c>
      <c r="W35">
        <v>24.200000979123843</v>
      </c>
      <c r="X35">
        <v>18.083401205407899</v>
      </c>
      <c r="Y35">
        <v>39.937397981173184</v>
      </c>
      <c r="Z35">
        <v>361.13489725493088</v>
      </c>
      <c r="AA35">
        <v>0</v>
      </c>
      <c r="AB35">
        <v>1.529346268594</v>
      </c>
      <c r="AC35">
        <v>13.3956796854368</v>
      </c>
      <c r="AD35">
        <v>0</v>
      </c>
      <c r="AE35">
        <v>293.7785256230361</v>
      </c>
      <c r="AF35">
        <v>14.175607063573224</v>
      </c>
      <c r="AG35">
        <v>73.553422386293704</v>
      </c>
      <c r="AH35">
        <v>94.482609943923535</v>
      </c>
      <c r="AI35">
        <v>18.993812502158804</v>
      </c>
      <c r="AJ35">
        <v>16.179707451560468</v>
      </c>
      <c r="AK35">
        <v>28.11971856675942</v>
      </c>
      <c r="AL35">
        <v>127.25183631376882</v>
      </c>
      <c r="AM35">
        <v>11138.02486020845</v>
      </c>
      <c r="AN35">
        <v>78.459141629239696</v>
      </c>
      <c r="AO35">
        <v>65.448003525136698</v>
      </c>
      <c r="AP35">
        <v>556.68548822355524</v>
      </c>
      <c r="AQ35">
        <v>0</v>
      </c>
      <c r="AR35">
        <v>0</v>
      </c>
      <c r="AS35">
        <v>330.98360068173071</v>
      </c>
      <c r="AT35">
        <v>1228.0448616171882</v>
      </c>
      <c r="AU35">
        <v>0</v>
      </c>
      <c r="AV35">
        <v>22.881838944478254</v>
      </c>
      <c r="AW35">
        <v>0</v>
      </c>
      <c r="AX35">
        <v>0</v>
      </c>
      <c r="AY35">
        <v>473.66555406227968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">
      <c r="A36" t="s">
        <v>1207</v>
      </c>
      <c r="B36" t="s">
        <v>1173</v>
      </c>
      <c r="C36" t="s">
        <v>602</v>
      </c>
      <c r="D36">
        <v>2017</v>
      </c>
      <c r="E36" t="s">
        <v>1174</v>
      </c>
      <c r="F36" t="s">
        <v>1175</v>
      </c>
      <c r="G36">
        <v>9962.1433476474995</v>
      </c>
      <c r="H36">
        <v>9874.2866490514134</v>
      </c>
      <c r="I36">
        <v>87.856698596387204</v>
      </c>
      <c r="J36">
        <v>244.77849556797901</v>
      </c>
      <c r="K36">
        <v>528.00325850110664</v>
      </c>
      <c r="L36">
        <v>37.552040698173997</v>
      </c>
      <c r="M36">
        <v>130.37657782826591</v>
      </c>
      <c r="N36">
        <v>7124.3911351778088</v>
      </c>
      <c r="O36">
        <v>1809.1851412780791</v>
      </c>
      <c r="P36">
        <v>87.856698596387204</v>
      </c>
      <c r="Q36">
        <v>0</v>
      </c>
      <c r="R36">
        <v>0</v>
      </c>
      <c r="S36">
        <v>10.441142867482098</v>
      </c>
      <c r="T36">
        <v>234.33735270049692</v>
      </c>
      <c r="U36">
        <v>0</v>
      </c>
      <c r="V36">
        <v>407.75904748524852</v>
      </c>
      <c r="W36">
        <v>19.673336769071248</v>
      </c>
      <c r="X36">
        <v>3.8456714724600003</v>
      </c>
      <c r="Y36">
        <v>35.135781488215606</v>
      </c>
      <c r="Z36">
        <v>61.589421286111211</v>
      </c>
      <c r="AA36">
        <v>0</v>
      </c>
      <c r="AB36">
        <v>7.6020662146176994</v>
      </c>
      <c r="AC36">
        <v>8.7773919725949003</v>
      </c>
      <c r="AD36">
        <v>12.1968049007424</v>
      </c>
      <c r="AE36">
        <v>8.9757776102189997</v>
      </c>
      <c r="AF36">
        <v>0</v>
      </c>
      <c r="AG36">
        <v>35.713886907734114</v>
      </c>
      <c r="AH36">
        <v>46.5127629110386</v>
      </c>
      <c r="AI36">
        <v>2.8597713816167003</v>
      </c>
      <c r="AJ36">
        <v>0</v>
      </c>
      <c r="AK36">
        <v>45.290156627876506</v>
      </c>
      <c r="AL36">
        <v>0</v>
      </c>
      <c r="AM36">
        <v>7124.3911351778088</v>
      </c>
      <c r="AN36">
        <v>1590.7945924673747</v>
      </c>
      <c r="AO36">
        <v>157.55902184359189</v>
      </c>
      <c r="AP36">
        <v>60.831526967112502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1.31088591669</v>
      </c>
      <c r="AW36">
        <v>27.971944269703901</v>
      </c>
      <c r="AX36">
        <v>0</v>
      </c>
      <c r="AY36">
        <v>58.573868409993302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">
      <c r="A37" t="s">
        <v>1208</v>
      </c>
      <c r="B37" t="s">
        <v>1173</v>
      </c>
      <c r="C37" t="s">
        <v>683</v>
      </c>
      <c r="D37">
        <v>2017</v>
      </c>
      <c r="E37" t="s">
        <v>1174</v>
      </c>
      <c r="F37" t="s">
        <v>1175</v>
      </c>
      <c r="G37">
        <v>59347.074122466693</v>
      </c>
      <c r="H37">
        <v>45808.871973132926</v>
      </c>
      <c r="I37">
        <v>13538.20214933022</v>
      </c>
      <c r="J37">
        <v>885.24446471765691</v>
      </c>
      <c r="K37">
        <v>1523.3514406776278</v>
      </c>
      <c r="L37">
        <v>232.40356863508958</v>
      </c>
      <c r="M37">
        <v>513.73037960913916</v>
      </c>
      <c r="N37">
        <v>40174.496380629062</v>
      </c>
      <c r="O37">
        <v>2479.6457388643571</v>
      </c>
      <c r="P37">
        <v>13538.20214933022</v>
      </c>
      <c r="Q37">
        <v>0</v>
      </c>
      <c r="R37">
        <v>0</v>
      </c>
      <c r="S37">
        <v>0</v>
      </c>
      <c r="T37">
        <v>863.565987770996</v>
      </c>
      <c r="U37">
        <v>21.678476946660897</v>
      </c>
      <c r="V37">
        <v>786.41284726181334</v>
      </c>
      <c r="W37">
        <v>29.702278467927002</v>
      </c>
      <c r="X37">
        <v>151.25893364818563</v>
      </c>
      <c r="Y37">
        <v>61.726763585573408</v>
      </c>
      <c r="Z37">
        <v>494.25061771412834</v>
      </c>
      <c r="AA37">
        <v>0</v>
      </c>
      <c r="AB37">
        <v>3.6150130542635002</v>
      </c>
      <c r="AC37">
        <v>18.545201740580602</v>
      </c>
      <c r="AD37">
        <v>20.046211076867802</v>
      </c>
      <c r="AE37">
        <v>128.66130222261179</v>
      </c>
      <c r="AF37">
        <v>61.535840540765903</v>
      </c>
      <c r="AG37">
        <v>115.48901819091111</v>
      </c>
      <c r="AH37">
        <v>220.65920352618042</v>
      </c>
      <c r="AI37">
        <v>23.049528126104594</v>
      </c>
      <c r="AJ37">
        <v>118.07986816910221</v>
      </c>
      <c r="AK37">
        <v>36.452761596840794</v>
      </c>
      <c r="AL37">
        <v>421.05104352502974</v>
      </c>
      <c r="AM37">
        <v>39753.445337104029</v>
      </c>
      <c r="AN37">
        <v>2258.7102362398373</v>
      </c>
      <c r="AO37">
        <v>57.093061931315553</v>
      </c>
      <c r="AP37">
        <v>163.8424406932044</v>
      </c>
      <c r="AQ37">
        <v>10640.443606292147</v>
      </c>
      <c r="AR37">
        <v>0</v>
      </c>
      <c r="AS37">
        <v>0</v>
      </c>
      <c r="AT37">
        <v>2071.6010692906671</v>
      </c>
      <c r="AU37">
        <v>0</v>
      </c>
      <c r="AV37">
        <v>61.613298993811199</v>
      </c>
      <c r="AW37">
        <v>18.985063854117399</v>
      </c>
      <c r="AX37">
        <v>0</v>
      </c>
      <c r="AY37">
        <v>745.55911089947745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2">
      <c r="A38" t="s">
        <v>1209</v>
      </c>
      <c r="B38" t="s">
        <v>1173</v>
      </c>
      <c r="C38" t="s">
        <v>79</v>
      </c>
      <c r="D38">
        <v>2017</v>
      </c>
      <c r="E38" t="s">
        <v>1174</v>
      </c>
      <c r="F38" t="s">
        <v>1175</v>
      </c>
      <c r="G38">
        <v>2195.2700745115999</v>
      </c>
      <c r="H38">
        <v>2155.3756492206871</v>
      </c>
      <c r="I38">
        <v>39.8944252911934</v>
      </c>
      <c r="J38">
        <v>144.23465315158762</v>
      </c>
      <c r="K38">
        <v>861.46729398220646</v>
      </c>
      <c r="L38">
        <v>58.300983518044902</v>
      </c>
      <c r="M38">
        <v>170.3719209755638</v>
      </c>
      <c r="N38">
        <v>696.12213368906623</v>
      </c>
      <c r="O38">
        <v>224.87866390421814</v>
      </c>
      <c r="P38">
        <v>39.8944252911934</v>
      </c>
      <c r="Q38">
        <v>0</v>
      </c>
      <c r="R38">
        <v>0</v>
      </c>
      <c r="S38">
        <v>15.723423614427494</v>
      </c>
      <c r="T38">
        <v>128.51122953716012</v>
      </c>
      <c r="U38">
        <v>0</v>
      </c>
      <c r="V38">
        <v>552.68945236702689</v>
      </c>
      <c r="W38">
        <v>20.515824578174001</v>
      </c>
      <c r="X38">
        <v>6.5833930037857007</v>
      </c>
      <c r="Y38">
        <v>19.384788536452398</v>
      </c>
      <c r="Z38">
        <v>262.29383549676737</v>
      </c>
      <c r="AA38">
        <v>0</v>
      </c>
      <c r="AB38">
        <v>0.78110996044900005</v>
      </c>
      <c r="AC38">
        <v>8.2715138247967008</v>
      </c>
      <c r="AD38">
        <v>1.2381119433199999</v>
      </c>
      <c r="AE38">
        <v>48.010247789479202</v>
      </c>
      <c r="AF38">
        <v>0</v>
      </c>
      <c r="AG38">
        <v>61.423847793102034</v>
      </c>
      <c r="AH38">
        <v>58.278935568275685</v>
      </c>
      <c r="AI38">
        <v>5.3234403331598994</v>
      </c>
      <c r="AJ38">
        <v>32.734847095790002</v>
      </c>
      <c r="AK38">
        <v>12.610850185236201</v>
      </c>
      <c r="AL38">
        <v>0</v>
      </c>
      <c r="AM38">
        <v>696.12213368906623</v>
      </c>
      <c r="AN38">
        <v>220.45752828100814</v>
      </c>
      <c r="AO38">
        <v>2.0736647814000002</v>
      </c>
      <c r="AP38">
        <v>2.3474708418099999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25.8278960915497</v>
      </c>
      <c r="AW38">
        <v>0</v>
      </c>
      <c r="AX38">
        <v>0</v>
      </c>
      <c r="AY38">
        <v>14.066529199643702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">
      <c r="A39" t="s">
        <v>1210</v>
      </c>
      <c r="B39" t="s">
        <v>1173</v>
      </c>
      <c r="C39" t="s">
        <v>80</v>
      </c>
      <c r="D39">
        <v>2017</v>
      </c>
      <c r="E39" t="s">
        <v>1174</v>
      </c>
      <c r="F39" t="s">
        <v>1175</v>
      </c>
      <c r="G39">
        <v>18201.265385224102</v>
      </c>
      <c r="H39">
        <v>17984.682429915236</v>
      </c>
      <c r="I39">
        <v>216.58295530877717</v>
      </c>
      <c r="J39">
        <v>434.01445630797519</v>
      </c>
      <c r="K39">
        <v>438.78604764422681</v>
      </c>
      <c r="L39">
        <v>82.072381994713396</v>
      </c>
      <c r="M39">
        <v>560.71762765478979</v>
      </c>
      <c r="N39">
        <v>11319.300548932808</v>
      </c>
      <c r="O39">
        <v>5149.7913673807225</v>
      </c>
      <c r="P39">
        <v>216.58295530877717</v>
      </c>
      <c r="Q39">
        <v>0</v>
      </c>
      <c r="R39">
        <v>0</v>
      </c>
      <c r="S39">
        <v>34.292903115344508</v>
      </c>
      <c r="T39">
        <v>399.72155319263067</v>
      </c>
      <c r="U39">
        <v>0</v>
      </c>
      <c r="V39">
        <v>299.56705992212471</v>
      </c>
      <c r="W39">
        <v>15.686823741961</v>
      </c>
      <c r="X39">
        <v>8.5992801334238997</v>
      </c>
      <c r="Y39">
        <v>24.461834236669699</v>
      </c>
      <c r="Z39">
        <v>90.471049610047487</v>
      </c>
      <c r="AA39">
        <v>1.5065534088830002</v>
      </c>
      <c r="AB39">
        <v>0</v>
      </c>
      <c r="AC39">
        <v>7.410942355676001</v>
      </c>
      <c r="AD39">
        <v>26.599036134800002</v>
      </c>
      <c r="AE39">
        <v>46.555850095354401</v>
      </c>
      <c r="AF39">
        <v>0</v>
      </c>
      <c r="AG39">
        <v>37.970683565415698</v>
      </c>
      <c r="AH39">
        <v>117.19497940592333</v>
      </c>
      <c r="AI39">
        <v>2.1340297169053999</v>
      </c>
      <c r="AJ39">
        <v>2.6016414992715999</v>
      </c>
      <c r="AK39">
        <v>400.81629346727379</v>
      </c>
      <c r="AL39">
        <v>0</v>
      </c>
      <c r="AM39">
        <v>11319.300548932808</v>
      </c>
      <c r="AN39">
        <v>4379.8930046967998</v>
      </c>
      <c r="AO39">
        <v>619.40219888721208</v>
      </c>
      <c r="AP39">
        <v>150.4961637967109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9.3956257657899993</v>
      </c>
      <c r="AW39">
        <v>0</v>
      </c>
      <c r="AX39">
        <v>0</v>
      </c>
      <c r="AY39">
        <v>207.18732954298719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2">
      <c r="A40" t="s">
        <v>1211</v>
      </c>
      <c r="B40" t="s">
        <v>1173</v>
      </c>
      <c r="C40" t="s">
        <v>84</v>
      </c>
      <c r="D40">
        <v>2017</v>
      </c>
      <c r="E40" t="s">
        <v>1174</v>
      </c>
      <c r="F40" t="s">
        <v>1175</v>
      </c>
      <c r="G40">
        <v>17229.045833637301</v>
      </c>
      <c r="H40">
        <v>17097.205575674539</v>
      </c>
      <c r="I40">
        <v>131.84025796251356</v>
      </c>
      <c r="J40">
        <v>469.71789282268412</v>
      </c>
      <c r="K40">
        <v>924.08891021326895</v>
      </c>
      <c r="L40">
        <v>69.39496370643451</v>
      </c>
      <c r="M40">
        <v>275.45188456312951</v>
      </c>
      <c r="N40">
        <v>13951.551140098154</v>
      </c>
      <c r="O40">
        <v>1407.000784270871</v>
      </c>
      <c r="P40">
        <v>131.84025796251356</v>
      </c>
      <c r="Q40">
        <v>0</v>
      </c>
      <c r="R40">
        <v>0</v>
      </c>
      <c r="S40">
        <v>41.773996740535225</v>
      </c>
      <c r="T40">
        <v>427.94389608214891</v>
      </c>
      <c r="U40">
        <v>0</v>
      </c>
      <c r="V40">
        <v>609.1095139541502</v>
      </c>
      <c r="W40">
        <v>22.883172292618202</v>
      </c>
      <c r="X40">
        <v>10.9095812166951</v>
      </c>
      <c r="Y40">
        <v>45.387748289973288</v>
      </c>
      <c r="Z40">
        <v>235.79889445983224</v>
      </c>
      <c r="AA40">
        <v>0</v>
      </c>
      <c r="AB40">
        <v>3.8223353563348006</v>
      </c>
      <c r="AC40">
        <v>11.119048734484998</v>
      </c>
      <c r="AD40">
        <v>14.4318764755904</v>
      </c>
      <c r="AE40">
        <v>40.021703140024307</v>
      </c>
      <c r="AF40">
        <v>0</v>
      </c>
      <c r="AG40">
        <v>47.30175089489402</v>
      </c>
      <c r="AH40">
        <v>73.788149272803594</v>
      </c>
      <c r="AI40">
        <v>11.606108411626598</v>
      </c>
      <c r="AJ40">
        <v>3.5094723405800003</v>
      </c>
      <c r="AK40">
        <v>139.24640364322531</v>
      </c>
      <c r="AL40">
        <v>3.4867914818134</v>
      </c>
      <c r="AM40">
        <v>13948.064348616341</v>
      </c>
      <c r="AN40">
        <v>1271.7735489179452</v>
      </c>
      <c r="AO40">
        <v>51.18920641025197</v>
      </c>
      <c r="AP40">
        <v>84.038028942673975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4.5402421856069992</v>
      </c>
      <c r="AW40">
        <v>31.185537578433205</v>
      </c>
      <c r="AX40">
        <v>0</v>
      </c>
      <c r="AY40">
        <v>96.114478198473364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">
      <c r="A41" t="s">
        <v>1212</v>
      </c>
      <c r="B41" t="s">
        <v>1173</v>
      </c>
      <c r="C41" t="s">
        <v>848</v>
      </c>
      <c r="D41">
        <v>2017</v>
      </c>
      <c r="E41" t="s">
        <v>1174</v>
      </c>
      <c r="F41" t="s">
        <v>1175</v>
      </c>
      <c r="G41">
        <v>13569.360038846702</v>
      </c>
      <c r="H41">
        <v>13394.303559151425</v>
      </c>
      <c r="I41">
        <v>175.05647969137823</v>
      </c>
      <c r="J41">
        <v>452.51111986407369</v>
      </c>
      <c r="K41">
        <v>485.62013889387526</v>
      </c>
      <c r="L41">
        <v>29.856329891759199</v>
      </c>
      <c r="M41">
        <v>114.03522370390931</v>
      </c>
      <c r="N41">
        <v>11140.319181976514</v>
      </c>
      <c r="O41">
        <v>1171.961564821293</v>
      </c>
      <c r="P41">
        <v>175.05647969137823</v>
      </c>
      <c r="Q41">
        <v>0</v>
      </c>
      <c r="R41">
        <v>0</v>
      </c>
      <c r="S41">
        <v>29.843251458730485</v>
      </c>
      <c r="T41">
        <v>422.6678684053432</v>
      </c>
      <c r="U41">
        <v>0</v>
      </c>
      <c r="V41">
        <v>284.73307065542167</v>
      </c>
      <c r="W41">
        <v>14.5305563969877</v>
      </c>
      <c r="X41">
        <v>18.689657667421006</v>
      </c>
      <c r="Y41">
        <v>5.0070795816676004</v>
      </c>
      <c r="Z41">
        <v>162.65977459237732</v>
      </c>
      <c r="AA41">
        <v>0</v>
      </c>
      <c r="AB41">
        <v>0</v>
      </c>
      <c r="AC41">
        <v>7.1393018910341999</v>
      </c>
      <c r="AD41">
        <v>4.4291220607949997</v>
      </c>
      <c r="AE41">
        <v>18.287905939929999</v>
      </c>
      <c r="AF41">
        <v>0</v>
      </c>
      <c r="AG41">
        <v>10.005920930288628</v>
      </c>
      <c r="AH41">
        <v>32.351653024662099</v>
      </c>
      <c r="AI41">
        <v>3.2634383576719004</v>
      </c>
      <c r="AJ41">
        <v>8.7451674609700003</v>
      </c>
      <c r="AK41">
        <v>59.66904393031669</v>
      </c>
      <c r="AL41">
        <v>0</v>
      </c>
      <c r="AM41">
        <v>11140.319181976514</v>
      </c>
      <c r="AN41">
        <v>936.24700576336977</v>
      </c>
      <c r="AO41">
        <v>98.697690250965607</v>
      </c>
      <c r="AP41">
        <v>137.01686880695746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1.2878916905260001</v>
      </c>
      <c r="AW41">
        <v>24.1609492027934</v>
      </c>
      <c r="AX41">
        <v>0</v>
      </c>
      <c r="AY41">
        <v>149.60763879805884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">
      <c r="A42" t="s">
        <v>1213</v>
      </c>
      <c r="B42" t="s">
        <v>1173</v>
      </c>
      <c r="C42" t="s">
        <v>888</v>
      </c>
      <c r="D42">
        <v>2017</v>
      </c>
      <c r="E42" t="s">
        <v>1174</v>
      </c>
      <c r="F42" t="s">
        <v>1175</v>
      </c>
      <c r="G42">
        <v>14744.141505234302</v>
      </c>
      <c r="H42">
        <v>14700.208941809929</v>
      </c>
      <c r="I42">
        <v>43.932563424783005</v>
      </c>
      <c r="J42">
        <v>335.27149263130974</v>
      </c>
      <c r="K42">
        <v>463.00426027928404</v>
      </c>
      <c r="L42">
        <v>33.311031410408397</v>
      </c>
      <c r="M42">
        <v>151.61745921595087</v>
      </c>
      <c r="N42">
        <v>12582.809852220209</v>
      </c>
      <c r="O42">
        <v>1134.1948460527678</v>
      </c>
      <c r="P42">
        <v>43.932563424783005</v>
      </c>
      <c r="Q42">
        <v>0</v>
      </c>
      <c r="R42">
        <v>0</v>
      </c>
      <c r="S42">
        <v>0</v>
      </c>
      <c r="T42">
        <v>335.27149263130974</v>
      </c>
      <c r="U42">
        <v>0</v>
      </c>
      <c r="V42">
        <v>300.65744799202162</v>
      </c>
      <c r="W42">
        <v>17.111458479324568</v>
      </c>
      <c r="X42">
        <v>3.9139070144399999</v>
      </c>
      <c r="Y42">
        <v>5.4463893540681996</v>
      </c>
      <c r="Z42">
        <v>135.87505743942967</v>
      </c>
      <c r="AA42">
        <v>0</v>
      </c>
      <c r="AB42">
        <v>10.099603300741498</v>
      </c>
      <c r="AC42">
        <v>4.4359374849868995</v>
      </c>
      <c r="AD42">
        <v>2.1631183087778001</v>
      </c>
      <c r="AE42">
        <v>16.612372315902199</v>
      </c>
      <c r="AF42">
        <v>0</v>
      </c>
      <c r="AG42">
        <v>6.6531363937160988</v>
      </c>
      <c r="AH42">
        <v>56.617326356124252</v>
      </c>
      <c r="AI42">
        <v>0.97488367055199998</v>
      </c>
      <c r="AJ42">
        <v>8.3092741379534996</v>
      </c>
      <c r="AK42">
        <v>79.062838657605013</v>
      </c>
      <c r="AL42">
        <v>0</v>
      </c>
      <c r="AM42">
        <v>12582.809852220209</v>
      </c>
      <c r="AN42">
        <v>992.6969095735077</v>
      </c>
      <c r="AO42">
        <v>138.23435378266549</v>
      </c>
      <c r="AP42">
        <v>3.2635826965948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43.932563424783005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">
      <c r="A43" t="s">
        <v>1214</v>
      </c>
      <c r="B43" t="s">
        <v>1173</v>
      </c>
      <c r="C43" t="s">
        <v>905</v>
      </c>
      <c r="D43">
        <v>2017</v>
      </c>
      <c r="E43" t="s">
        <v>1174</v>
      </c>
      <c r="F43" t="s">
        <v>1175</v>
      </c>
      <c r="G43">
        <v>11186.415140405899</v>
      </c>
      <c r="H43">
        <v>1314.2182843566652</v>
      </c>
      <c r="I43">
        <v>9872.1968560467758</v>
      </c>
      <c r="J43">
        <v>31.273818045389493</v>
      </c>
      <c r="K43">
        <v>388.35147236398143</v>
      </c>
      <c r="L43">
        <v>51.98300791344402</v>
      </c>
      <c r="M43">
        <v>73.169529608660739</v>
      </c>
      <c r="N43">
        <v>546.8731849940026</v>
      </c>
      <c r="O43">
        <v>222.56727143118695</v>
      </c>
      <c r="P43">
        <v>9872.1968560467758</v>
      </c>
      <c r="Q43">
        <v>0</v>
      </c>
      <c r="R43">
        <v>0</v>
      </c>
      <c r="S43">
        <v>0</v>
      </c>
      <c r="T43">
        <v>31.273818045389493</v>
      </c>
      <c r="U43">
        <v>0</v>
      </c>
      <c r="V43">
        <v>225.84727963270853</v>
      </c>
      <c r="W43">
        <v>10.738780804469199</v>
      </c>
      <c r="X43">
        <v>5.3296971885999103</v>
      </c>
      <c r="Y43">
        <v>9.5967372458010214</v>
      </c>
      <c r="Z43">
        <v>136.83897749240273</v>
      </c>
      <c r="AA43">
        <v>0</v>
      </c>
      <c r="AB43">
        <v>0</v>
      </c>
      <c r="AC43">
        <v>4.144886750075</v>
      </c>
      <c r="AD43">
        <v>0</v>
      </c>
      <c r="AE43">
        <v>38.982198504246419</v>
      </c>
      <c r="AF43">
        <v>8.8559226591225997</v>
      </c>
      <c r="AG43">
        <v>28.054897216820105</v>
      </c>
      <c r="AH43">
        <v>28.793435318825203</v>
      </c>
      <c r="AI43">
        <v>2.6676251917469997</v>
      </c>
      <c r="AJ43">
        <v>0</v>
      </c>
      <c r="AK43">
        <v>13.653571881268427</v>
      </c>
      <c r="AL43">
        <v>0</v>
      </c>
      <c r="AM43">
        <v>546.8731849940026</v>
      </c>
      <c r="AN43">
        <v>199.82249325430394</v>
      </c>
      <c r="AO43">
        <v>0</v>
      </c>
      <c r="AP43">
        <v>22.744778176883003</v>
      </c>
      <c r="AQ43">
        <v>9840.3130320115524</v>
      </c>
      <c r="AR43">
        <v>0</v>
      </c>
      <c r="AS43">
        <v>0</v>
      </c>
      <c r="AT43">
        <v>0</v>
      </c>
      <c r="AU43">
        <v>0</v>
      </c>
      <c r="AV43">
        <v>5.0653346902700003</v>
      </c>
      <c r="AW43">
        <v>0</v>
      </c>
      <c r="AX43">
        <v>0</v>
      </c>
      <c r="AY43">
        <v>26.818489344951882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">
      <c r="A44" t="s">
        <v>1215</v>
      </c>
      <c r="B44" t="s">
        <v>1173</v>
      </c>
      <c r="C44" t="s">
        <v>110</v>
      </c>
      <c r="D44">
        <v>2017</v>
      </c>
      <c r="E44" t="s">
        <v>1174</v>
      </c>
      <c r="F44" t="s">
        <v>1175</v>
      </c>
      <c r="G44">
        <v>9538.842128304701</v>
      </c>
      <c r="H44">
        <v>9460.4629557619446</v>
      </c>
      <c r="I44">
        <v>78.379172543288391</v>
      </c>
      <c r="J44">
        <v>358.42938599805564</v>
      </c>
      <c r="K44">
        <v>529.07740925805899</v>
      </c>
      <c r="L44">
        <v>45.182687897243795</v>
      </c>
      <c r="M44">
        <v>214.16936774095709</v>
      </c>
      <c r="N44">
        <v>7289.4301317410736</v>
      </c>
      <c r="O44">
        <v>1024.1739731265543</v>
      </c>
      <c r="P44">
        <v>78.379172543288391</v>
      </c>
      <c r="Q44">
        <v>0</v>
      </c>
      <c r="R44">
        <v>0</v>
      </c>
      <c r="S44">
        <v>28.931547073629567</v>
      </c>
      <c r="T44">
        <v>329.49783892442605</v>
      </c>
      <c r="U44">
        <v>0</v>
      </c>
      <c r="V44">
        <v>397.01691997021533</v>
      </c>
      <c r="W44">
        <v>18.371367439852602</v>
      </c>
      <c r="X44">
        <v>3.7386280672862902</v>
      </c>
      <c r="Y44">
        <v>6.1148993887938996</v>
      </c>
      <c r="Z44">
        <v>103.83559439191085</v>
      </c>
      <c r="AA44">
        <v>0</v>
      </c>
      <c r="AB44">
        <v>0</v>
      </c>
      <c r="AC44">
        <v>7.8743154313090011</v>
      </c>
      <c r="AD44">
        <v>0</v>
      </c>
      <c r="AE44">
        <v>37.308372465934795</v>
      </c>
      <c r="AF44">
        <v>0</v>
      </c>
      <c r="AG44">
        <v>14.487765754356095</v>
      </c>
      <c r="AH44">
        <v>99.167666186059307</v>
      </c>
      <c r="AI44">
        <v>6.0049359771979995</v>
      </c>
      <c r="AJ44">
        <v>16.7522269615</v>
      </c>
      <c r="AK44">
        <v>77.7567728618437</v>
      </c>
      <c r="AL44">
        <v>0</v>
      </c>
      <c r="AM44">
        <v>7289.4301317410736</v>
      </c>
      <c r="AN44">
        <v>559.16024100802031</v>
      </c>
      <c r="AO44">
        <v>129.98452890352451</v>
      </c>
      <c r="AP44">
        <v>335.0292032150096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15.07614135281627</v>
      </c>
      <c r="AW44">
        <v>0</v>
      </c>
      <c r="AX44">
        <v>0</v>
      </c>
      <c r="AY44">
        <v>63.303031190472119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2">
      <c r="A45" t="s">
        <v>1216</v>
      </c>
      <c r="B45" t="s">
        <v>1173</v>
      </c>
      <c r="C45" t="s">
        <v>120</v>
      </c>
      <c r="D45">
        <v>2017</v>
      </c>
      <c r="E45" t="s">
        <v>1174</v>
      </c>
      <c r="F45" t="s">
        <v>1175</v>
      </c>
      <c r="G45">
        <v>11936.4079287363</v>
      </c>
      <c r="H45">
        <v>11067.247223208489</v>
      </c>
      <c r="I45">
        <v>869.1607055293</v>
      </c>
      <c r="J45">
        <v>612.03503996414418</v>
      </c>
      <c r="K45">
        <v>2434.9529394838219</v>
      </c>
      <c r="L45">
        <v>301.20445720341775</v>
      </c>
      <c r="M45">
        <v>674.28040416833994</v>
      </c>
      <c r="N45">
        <v>6607.2161880123886</v>
      </c>
      <c r="O45">
        <v>437.55819437637751</v>
      </c>
      <c r="P45">
        <v>869.1607055293</v>
      </c>
      <c r="Q45">
        <v>0</v>
      </c>
      <c r="R45">
        <v>0</v>
      </c>
      <c r="S45">
        <v>110.29463185772082</v>
      </c>
      <c r="T45">
        <v>501.74040810642333</v>
      </c>
      <c r="U45">
        <v>0</v>
      </c>
      <c r="V45">
        <v>1509.1240368668859</v>
      </c>
      <c r="W45">
        <v>102.19444091755722</v>
      </c>
      <c r="X45">
        <v>77.702566805420815</v>
      </c>
      <c r="Y45">
        <v>179.93892305617476</v>
      </c>
      <c r="Z45">
        <v>565.99297183778344</v>
      </c>
      <c r="AA45">
        <v>0</v>
      </c>
      <c r="AB45">
        <v>7.5953973789822005</v>
      </c>
      <c r="AC45">
        <v>34.657956906954993</v>
      </c>
      <c r="AD45">
        <v>16.686862677345008</v>
      </c>
      <c r="AE45">
        <v>241.15243407341768</v>
      </c>
      <c r="AF45">
        <v>1.1118061667179002</v>
      </c>
      <c r="AG45">
        <v>348.15039174499793</v>
      </c>
      <c r="AH45">
        <v>226.41954046802991</v>
      </c>
      <c r="AI45">
        <v>24.6670857412355</v>
      </c>
      <c r="AJ45">
        <v>54.321990219154777</v>
      </c>
      <c r="AK45">
        <v>20.721395994921721</v>
      </c>
      <c r="AL45">
        <v>1.4765326450486997</v>
      </c>
      <c r="AM45">
        <v>6605.7396553673398</v>
      </c>
      <c r="AN45">
        <v>356.25210217513393</v>
      </c>
      <c r="AO45">
        <v>1.3576188904166999</v>
      </c>
      <c r="AP45">
        <v>79.948473310826927</v>
      </c>
      <c r="AQ45">
        <v>0</v>
      </c>
      <c r="AR45">
        <v>0</v>
      </c>
      <c r="AS45">
        <v>93.554865453414408</v>
      </c>
      <c r="AT45">
        <v>0</v>
      </c>
      <c r="AU45">
        <v>0</v>
      </c>
      <c r="AV45">
        <v>58.587468821604304</v>
      </c>
      <c r="AW45">
        <v>99.266683807895404</v>
      </c>
      <c r="AX45">
        <v>0</v>
      </c>
      <c r="AY45">
        <v>617.75168744638586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">
      <c r="A46" t="s">
        <v>1217</v>
      </c>
      <c r="B46" t="s">
        <v>1173</v>
      </c>
      <c r="C46" t="s">
        <v>0</v>
      </c>
      <c r="D46">
        <v>2017</v>
      </c>
      <c r="E46" t="s">
        <v>1174</v>
      </c>
      <c r="F46" t="s">
        <v>1175</v>
      </c>
      <c r="G46">
        <v>9705.2390832202</v>
      </c>
      <c r="H46">
        <v>9653.035211510356</v>
      </c>
      <c r="I46">
        <v>52.203871706903428</v>
      </c>
      <c r="J46">
        <v>297.66453250297786</v>
      </c>
      <c r="K46">
        <v>680.8630143151421</v>
      </c>
      <c r="L46">
        <v>36.065759769375504</v>
      </c>
      <c r="M46">
        <v>171.49598683161406</v>
      </c>
      <c r="N46">
        <v>8046.467765170406</v>
      </c>
      <c r="O46">
        <v>420.47815292084067</v>
      </c>
      <c r="P46">
        <v>52.203871706903428</v>
      </c>
      <c r="Q46">
        <v>0</v>
      </c>
      <c r="R46">
        <v>0</v>
      </c>
      <c r="S46">
        <v>10.965379170456401</v>
      </c>
      <c r="T46">
        <v>286.69915333252146</v>
      </c>
      <c r="U46">
        <v>0</v>
      </c>
      <c r="V46">
        <v>480.65754406489106</v>
      </c>
      <c r="W46">
        <v>27.286931899159004</v>
      </c>
      <c r="X46">
        <v>7.3702558020686997</v>
      </c>
      <c r="Y46">
        <v>22.540210233323094</v>
      </c>
      <c r="Z46">
        <v>143.00807231570013</v>
      </c>
      <c r="AA46">
        <v>0</v>
      </c>
      <c r="AB46">
        <v>0</v>
      </c>
      <c r="AC46">
        <v>18.173344746939001</v>
      </c>
      <c r="AD46">
        <v>0</v>
      </c>
      <c r="AE46">
        <v>17.892415022436499</v>
      </c>
      <c r="AF46">
        <v>0</v>
      </c>
      <c r="AG46">
        <v>42.821869132137174</v>
      </c>
      <c r="AH46">
        <v>57.748597179485493</v>
      </c>
      <c r="AI46">
        <v>2.35593299642</v>
      </c>
      <c r="AJ46">
        <v>21.358207422111001</v>
      </c>
      <c r="AK46">
        <v>47.211380101460406</v>
      </c>
      <c r="AL46">
        <v>0</v>
      </c>
      <c r="AM46">
        <v>8046.467765170406</v>
      </c>
      <c r="AN46">
        <v>416.21683623607771</v>
      </c>
      <c r="AO46">
        <v>2.3454417904273002</v>
      </c>
      <c r="AP46">
        <v>1.9158748943356509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23.880251905252027</v>
      </c>
      <c r="AW46">
        <v>0</v>
      </c>
      <c r="AX46">
        <v>0</v>
      </c>
      <c r="AY46">
        <v>28.323619801651397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2">
      <c r="A47" t="s">
        <v>1218</v>
      </c>
      <c r="B47" t="s">
        <v>1173</v>
      </c>
      <c r="C47" t="s">
        <v>6</v>
      </c>
      <c r="D47">
        <v>2017</v>
      </c>
      <c r="E47" t="s">
        <v>1174</v>
      </c>
      <c r="F47" t="s">
        <v>1175</v>
      </c>
      <c r="G47">
        <v>34114.679283126803</v>
      </c>
      <c r="H47">
        <v>33986.101313860592</v>
      </c>
      <c r="I47">
        <v>128.5779692623037</v>
      </c>
      <c r="J47">
        <v>983.13819066483336</v>
      </c>
      <c r="K47">
        <v>3879.0832138640862</v>
      </c>
      <c r="L47">
        <v>205.77351988859601</v>
      </c>
      <c r="M47">
        <v>1102.3818147046786</v>
      </c>
      <c r="N47">
        <v>8273.6473716488399</v>
      </c>
      <c r="O47">
        <v>19542.077203089557</v>
      </c>
      <c r="P47">
        <v>128.5779692623037</v>
      </c>
      <c r="Q47">
        <v>0</v>
      </c>
      <c r="R47">
        <v>0</v>
      </c>
      <c r="S47">
        <v>76.416575874544606</v>
      </c>
      <c r="T47">
        <v>906.72161479028875</v>
      </c>
      <c r="U47">
        <v>0</v>
      </c>
      <c r="V47">
        <v>2469.8072223619542</v>
      </c>
      <c r="W47">
        <v>135.07173609335427</v>
      </c>
      <c r="X47">
        <v>219.9712376284981</v>
      </c>
      <c r="Y47">
        <v>320.4761778823958</v>
      </c>
      <c r="Z47">
        <v>733.75683989788388</v>
      </c>
      <c r="AA47">
        <v>4.1241402534039002</v>
      </c>
      <c r="AB47">
        <v>0</v>
      </c>
      <c r="AC47">
        <v>77.456212203717314</v>
      </c>
      <c r="AD47">
        <v>3.6818251250171996</v>
      </c>
      <c r="AE47">
        <v>120.51134230645759</v>
      </c>
      <c r="AF47">
        <v>0</v>
      </c>
      <c r="AG47">
        <v>241.57983954560376</v>
      </c>
      <c r="AH47">
        <v>302.44316841904293</v>
      </c>
      <c r="AI47">
        <v>11.267558593395199</v>
      </c>
      <c r="AJ47">
        <v>83.393621770063234</v>
      </c>
      <c r="AK47">
        <v>463.69762637657357</v>
      </c>
      <c r="AL47">
        <v>5.2718066093468998</v>
      </c>
      <c r="AM47">
        <v>8268.3755650394924</v>
      </c>
      <c r="AN47">
        <v>16523.491941019896</v>
      </c>
      <c r="AO47">
        <v>2943.7221484956222</v>
      </c>
      <c r="AP47">
        <v>74.863113574038891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16.27194504317</v>
      </c>
      <c r="AW47">
        <v>0</v>
      </c>
      <c r="AX47">
        <v>0</v>
      </c>
      <c r="AY47">
        <v>112.3060242191337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">
      <c r="A48" t="s">
        <v>1219</v>
      </c>
      <c r="B48" t="s">
        <v>1173</v>
      </c>
      <c r="C48" t="s">
        <v>7</v>
      </c>
      <c r="D48">
        <v>2017</v>
      </c>
      <c r="E48" t="s">
        <v>1174</v>
      </c>
      <c r="F48" t="s">
        <v>1175</v>
      </c>
      <c r="G48">
        <v>10154.3360486</v>
      </c>
      <c r="H48">
        <v>9773.9964257544325</v>
      </c>
      <c r="I48">
        <v>380.33962284781666</v>
      </c>
      <c r="J48">
        <v>634.80723171713601</v>
      </c>
      <c r="K48">
        <v>2800.2005342338434</v>
      </c>
      <c r="L48">
        <v>132.09691233030841</v>
      </c>
      <c r="M48">
        <v>1014.0438345692418</v>
      </c>
      <c r="N48">
        <v>1572.1138042859432</v>
      </c>
      <c r="O48">
        <v>3620.7341086179608</v>
      </c>
      <c r="P48">
        <v>380.33962284781666</v>
      </c>
      <c r="Q48">
        <v>0</v>
      </c>
      <c r="R48">
        <v>0</v>
      </c>
      <c r="S48">
        <v>65.189904315137881</v>
      </c>
      <c r="T48">
        <v>502.74889891663508</v>
      </c>
      <c r="U48">
        <v>66.868428485363111</v>
      </c>
      <c r="V48">
        <v>1810.7326068412133</v>
      </c>
      <c r="W48">
        <v>102.6076267703456</v>
      </c>
      <c r="X48">
        <v>256.03024825812213</v>
      </c>
      <c r="Y48">
        <v>237.93959400822573</v>
      </c>
      <c r="Z48">
        <v>392.89045835593652</v>
      </c>
      <c r="AA48">
        <v>0</v>
      </c>
      <c r="AB48">
        <v>0</v>
      </c>
      <c r="AC48">
        <v>33.765962938083803</v>
      </c>
      <c r="AD48">
        <v>0</v>
      </c>
      <c r="AE48">
        <v>95.083923619947484</v>
      </c>
      <c r="AF48">
        <v>3.2470257722771003</v>
      </c>
      <c r="AG48">
        <v>522.69102519043895</v>
      </c>
      <c r="AH48">
        <v>334.89326634687649</v>
      </c>
      <c r="AI48">
        <v>25.5799150619853</v>
      </c>
      <c r="AJ48">
        <v>58.644666394137687</v>
      </c>
      <c r="AK48">
        <v>72.23496157580341</v>
      </c>
      <c r="AL48">
        <v>1.4165057909878997</v>
      </c>
      <c r="AM48">
        <v>1570.6972984949552</v>
      </c>
      <c r="AN48">
        <v>2862.2203155831085</v>
      </c>
      <c r="AO48">
        <v>738.85192180402419</v>
      </c>
      <c r="AP48">
        <v>19.661871230828197</v>
      </c>
      <c r="AQ48">
        <v>0</v>
      </c>
      <c r="AR48">
        <v>0</v>
      </c>
      <c r="AS48">
        <v>135.18287579254533</v>
      </c>
      <c r="AT48">
        <v>0</v>
      </c>
      <c r="AU48">
        <v>0</v>
      </c>
      <c r="AV48">
        <v>49.877493446287801</v>
      </c>
      <c r="AW48">
        <v>0</v>
      </c>
      <c r="AX48">
        <v>0</v>
      </c>
      <c r="AY48">
        <v>195.27925360898354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">
      <c r="A49" t="s">
        <v>1220</v>
      </c>
      <c r="B49" t="s">
        <v>1173</v>
      </c>
      <c r="C49" t="s">
        <v>11</v>
      </c>
      <c r="D49">
        <v>2017</v>
      </c>
      <c r="E49" t="s">
        <v>1174</v>
      </c>
      <c r="F49" t="s">
        <v>1175</v>
      </c>
      <c r="G49">
        <v>17665.956400837098</v>
      </c>
      <c r="H49">
        <v>17583.656621749662</v>
      </c>
      <c r="I49">
        <v>82.299779087370041</v>
      </c>
      <c r="J49">
        <v>555.34993096190283</v>
      </c>
      <c r="K49">
        <v>1544.2688694310409</v>
      </c>
      <c r="L49">
        <v>174.93997480238431</v>
      </c>
      <c r="M49">
        <v>599.71200628440056</v>
      </c>
      <c r="N49">
        <v>9389.1166334911832</v>
      </c>
      <c r="O49">
        <v>5320.2692067787511</v>
      </c>
      <c r="P49">
        <v>82.299779087370041</v>
      </c>
      <c r="Q49">
        <v>0</v>
      </c>
      <c r="R49">
        <v>0</v>
      </c>
      <c r="S49">
        <v>56.735648565953994</v>
      </c>
      <c r="T49">
        <v>498.61428239594886</v>
      </c>
      <c r="U49">
        <v>0</v>
      </c>
      <c r="V49">
        <v>753.76854325510953</v>
      </c>
      <c r="W49">
        <v>53.895401011077638</v>
      </c>
      <c r="X49">
        <v>219.2303486507719</v>
      </c>
      <c r="Y49">
        <v>73.113951249155292</v>
      </c>
      <c r="Z49">
        <v>444.2606252649266</v>
      </c>
      <c r="AA49">
        <v>31.738326065882283</v>
      </c>
      <c r="AB49">
        <v>0</v>
      </c>
      <c r="AC49">
        <v>16.522238647777598</v>
      </c>
      <c r="AD49">
        <v>0.62229240062000002</v>
      </c>
      <c r="AE49">
        <v>126.05711768810444</v>
      </c>
      <c r="AF49">
        <v>0</v>
      </c>
      <c r="AG49">
        <v>42.336355766695014</v>
      </c>
      <c r="AH49">
        <v>150.88959250077778</v>
      </c>
      <c r="AI49">
        <v>4.0976767338123006</v>
      </c>
      <c r="AJ49">
        <v>27.654596378087607</v>
      </c>
      <c r="AK49">
        <v>374.7337849050279</v>
      </c>
      <c r="AL49">
        <v>0</v>
      </c>
      <c r="AM49">
        <v>9389.1166334911832</v>
      </c>
      <c r="AN49">
        <v>4193.1783011441967</v>
      </c>
      <c r="AO49">
        <v>1113.0528416889072</v>
      </c>
      <c r="AP49">
        <v>14.0380639456473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39.6162738662902</v>
      </c>
      <c r="AW49">
        <v>0</v>
      </c>
      <c r="AX49">
        <v>0</v>
      </c>
      <c r="AY49">
        <v>42.683505221079834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2">
      <c r="A50" t="s">
        <v>1221</v>
      </c>
      <c r="B50" t="s">
        <v>1173</v>
      </c>
      <c r="C50" t="s">
        <v>249</v>
      </c>
      <c r="D50">
        <v>2017</v>
      </c>
      <c r="E50" t="s">
        <v>1174</v>
      </c>
      <c r="F50" t="s">
        <v>1175</v>
      </c>
      <c r="G50">
        <v>4708.9889782167002</v>
      </c>
      <c r="H50">
        <v>4360.4271207553356</v>
      </c>
      <c r="I50">
        <v>348.5618574624574</v>
      </c>
      <c r="J50">
        <v>220.12677661709944</v>
      </c>
      <c r="K50">
        <v>628.88456687620442</v>
      </c>
      <c r="L50">
        <v>113.24764386026143</v>
      </c>
      <c r="M50">
        <v>169.84070476413984</v>
      </c>
      <c r="N50">
        <v>3043.871508661493</v>
      </c>
      <c r="O50">
        <v>184.45591997613718</v>
      </c>
      <c r="P50">
        <v>348.5618574624574</v>
      </c>
      <c r="Q50">
        <v>0</v>
      </c>
      <c r="R50">
        <v>0</v>
      </c>
      <c r="S50">
        <v>0</v>
      </c>
      <c r="T50">
        <v>220.12677661709944</v>
      </c>
      <c r="U50">
        <v>0</v>
      </c>
      <c r="V50">
        <v>460.0154993767909</v>
      </c>
      <c r="W50">
        <v>24.295355969618061</v>
      </c>
      <c r="X50">
        <v>31.967122589387994</v>
      </c>
      <c r="Y50">
        <v>5.6636243695319006</v>
      </c>
      <c r="Z50">
        <v>106.94296457087556</v>
      </c>
      <c r="AA50">
        <v>44.384421102094507</v>
      </c>
      <c r="AB50">
        <v>1.9384474270469503</v>
      </c>
      <c r="AC50">
        <v>11.164208832433099</v>
      </c>
      <c r="AD50">
        <v>1.6077554041534101</v>
      </c>
      <c r="AE50">
        <v>54.152811094533476</v>
      </c>
      <c r="AF50">
        <v>0</v>
      </c>
      <c r="AG50">
        <v>58.979176320695025</v>
      </c>
      <c r="AH50">
        <v>33.744733888928501</v>
      </c>
      <c r="AI50">
        <v>7.1994669846501012</v>
      </c>
      <c r="AJ50">
        <v>34.51639497245192</v>
      </c>
      <c r="AK50">
        <v>35.400932597414297</v>
      </c>
      <c r="AL50">
        <v>1.7146303197905999</v>
      </c>
      <c r="AM50">
        <v>3042.1568783417024</v>
      </c>
      <c r="AN50">
        <v>135.01975488202436</v>
      </c>
      <c r="AO50">
        <v>40.160617858696412</v>
      </c>
      <c r="AP50">
        <v>9.2755472354164006</v>
      </c>
      <c r="AQ50">
        <v>0</v>
      </c>
      <c r="AR50">
        <v>0</v>
      </c>
      <c r="AS50">
        <v>196.02699680900704</v>
      </c>
      <c r="AT50">
        <v>0</v>
      </c>
      <c r="AU50">
        <v>0</v>
      </c>
      <c r="AV50">
        <v>23.939038603900002</v>
      </c>
      <c r="AW50">
        <v>9.4828385753180005</v>
      </c>
      <c r="AX50">
        <v>0</v>
      </c>
      <c r="AY50">
        <v>119.11298347423238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">
      <c r="A51" t="s">
        <v>1222</v>
      </c>
      <c r="B51" t="s">
        <v>1173</v>
      </c>
      <c r="C51" t="s">
        <v>19</v>
      </c>
      <c r="D51">
        <v>2017</v>
      </c>
      <c r="E51" t="s">
        <v>1174</v>
      </c>
      <c r="F51" t="s">
        <v>1175</v>
      </c>
      <c r="G51">
        <v>8501.2047803187997</v>
      </c>
      <c r="H51">
        <v>8362.8395850002962</v>
      </c>
      <c r="I51">
        <v>138.36519531820932</v>
      </c>
      <c r="J51">
        <v>218.45715773220289</v>
      </c>
      <c r="K51">
        <v>563.27370820778435</v>
      </c>
      <c r="L51">
        <v>66.783307617637092</v>
      </c>
      <c r="M51">
        <v>175.61389471205581</v>
      </c>
      <c r="N51">
        <v>5779.8325303934917</v>
      </c>
      <c r="O51">
        <v>1558.8789863371244</v>
      </c>
      <c r="P51">
        <v>138.36519531820932</v>
      </c>
      <c r="Q51">
        <v>0</v>
      </c>
      <c r="R51">
        <v>0</v>
      </c>
      <c r="S51">
        <v>31.491859528230311</v>
      </c>
      <c r="T51">
        <v>186.96529820397257</v>
      </c>
      <c r="U51">
        <v>0</v>
      </c>
      <c r="V51">
        <v>396.90329691810484</v>
      </c>
      <c r="W51">
        <v>19.568016903283603</v>
      </c>
      <c r="X51">
        <v>13.148243513789598</v>
      </c>
      <c r="Y51">
        <v>18.510184342047058</v>
      </c>
      <c r="Z51">
        <v>115.14396653055925</v>
      </c>
      <c r="AA51">
        <v>15.109421706523097</v>
      </c>
      <c r="AB51">
        <v>0</v>
      </c>
      <c r="AC51">
        <v>5.9445838988614996</v>
      </c>
      <c r="AD51">
        <v>0</v>
      </c>
      <c r="AE51">
        <v>40.615922943102795</v>
      </c>
      <c r="AF51">
        <v>5.1133790691496994</v>
      </c>
      <c r="AG51">
        <v>31.604259022275098</v>
      </c>
      <c r="AH51">
        <v>65.335226113568297</v>
      </c>
      <c r="AI51">
        <v>3.9348811542068005</v>
      </c>
      <c r="AJ51">
        <v>0</v>
      </c>
      <c r="AK51">
        <v>74.739528422005606</v>
      </c>
      <c r="AL51">
        <v>0</v>
      </c>
      <c r="AM51">
        <v>5779.8325303934917</v>
      </c>
      <c r="AN51">
        <v>1456.8231984147687</v>
      </c>
      <c r="AO51">
        <v>11.0060386051391</v>
      </c>
      <c r="AP51">
        <v>91.049749317216552</v>
      </c>
      <c r="AQ51">
        <v>0</v>
      </c>
      <c r="AR51">
        <v>0</v>
      </c>
      <c r="AS51">
        <v>68.472650865864395</v>
      </c>
      <c r="AT51">
        <v>0</v>
      </c>
      <c r="AU51">
        <v>0</v>
      </c>
      <c r="AV51">
        <v>2.9582186686440002</v>
      </c>
      <c r="AW51">
        <v>0</v>
      </c>
      <c r="AX51">
        <v>0</v>
      </c>
      <c r="AY51">
        <v>66.934325783700913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">
      <c r="A52" t="s">
        <v>1223</v>
      </c>
      <c r="B52" t="s">
        <v>1173</v>
      </c>
      <c r="C52" t="s">
        <v>299</v>
      </c>
      <c r="D52">
        <v>2017</v>
      </c>
      <c r="E52" t="s">
        <v>1174</v>
      </c>
      <c r="F52" t="s">
        <v>1175</v>
      </c>
      <c r="G52">
        <v>14292.1842035424</v>
      </c>
      <c r="H52">
        <v>13359.676144534847</v>
      </c>
      <c r="I52">
        <v>932.5080590079798</v>
      </c>
      <c r="J52">
        <v>454.95083394111219</v>
      </c>
      <c r="K52">
        <v>623.26294773038956</v>
      </c>
      <c r="L52">
        <v>90.430859444811972</v>
      </c>
      <c r="M52">
        <v>421.45939690055525</v>
      </c>
      <c r="N52">
        <v>11461.844772712739</v>
      </c>
      <c r="O52">
        <v>307.72733380523982</v>
      </c>
      <c r="P52">
        <v>932.5080590079798</v>
      </c>
      <c r="Q52">
        <v>0</v>
      </c>
      <c r="R52">
        <v>0</v>
      </c>
      <c r="S52">
        <v>11.74989107152024</v>
      </c>
      <c r="T52">
        <v>443.20094286959193</v>
      </c>
      <c r="U52">
        <v>0</v>
      </c>
      <c r="V52">
        <v>451.69921423267408</v>
      </c>
      <c r="W52">
        <v>6.3702247273512</v>
      </c>
      <c r="X52">
        <v>9.8333928493080975</v>
      </c>
      <c r="Y52">
        <v>5.9077701929309701</v>
      </c>
      <c r="Z52">
        <v>149.45234572812518</v>
      </c>
      <c r="AA52">
        <v>0</v>
      </c>
      <c r="AB52">
        <v>2.7342846358639998</v>
      </c>
      <c r="AC52">
        <v>13.854634557061704</v>
      </c>
      <c r="AD52">
        <v>32.21963692916021</v>
      </c>
      <c r="AE52">
        <v>35.890773053006264</v>
      </c>
      <c r="AF52">
        <v>5.7315302697197996</v>
      </c>
      <c r="AG52">
        <v>22.206754930246206</v>
      </c>
      <c r="AH52">
        <v>141.64155504756911</v>
      </c>
      <c r="AI52">
        <v>6.5420844135325149</v>
      </c>
      <c r="AJ52">
        <v>107.84405869715889</v>
      </c>
      <c r="AK52">
        <v>143.22494381204854</v>
      </c>
      <c r="AL52">
        <v>4.7745818052999995</v>
      </c>
      <c r="AM52">
        <v>11457.070190907438</v>
      </c>
      <c r="AN52">
        <v>290.69430236438905</v>
      </c>
      <c r="AO52">
        <v>2.7090289271799999</v>
      </c>
      <c r="AP52">
        <v>14.324002513670798</v>
      </c>
      <c r="AQ52">
        <v>0</v>
      </c>
      <c r="AR52">
        <v>0</v>
      </c>
      <c r="AS52">
        <v>221.93508642786281</v>
      </c>
      <c r="AT52">
        <v>0</v>
      </c>
      <c r="AU52">
        <v>0</v>
      </c>
      <c r="AV52">
        <v>236.60224736811705</v>
      </c>
      <c r="AW52">
        <v>141.14378335393107</v>
      </c>
      <c r="AX52">
        <v>0</v>
      </c>
      <c r="AY52">
        <v>332.82694185806884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">
      <c r="A53" t="s">
        <v>1224</v>
      </c>
      <c r="B53" t="s">
        <v>1173</v>
      </c>
      <c r="C53" t="s">
        <v>25</v>
      </c>
      <c r="D53">
        <v>2017</v>
      </c>
      <c r="E53" t="s">
        <v>1174</v>
      </c>
      <c r="F53" t="s">
        <v>1175</v>
      </c>
      <c r="G53">
        <v>3114.3693708764004</v>
      </c>
      <c r="H53">
        <v>2927.1603488733249</v>
      </c>
      <c r="I53">
        <v>187.20902200325838</v>
      </c>
      <c r="J53">
        <v>123.20176831280804</v>
      </c>
      <c r="K53">
        <v>583.69299995358267</v>
      </c>
      <c r="L53">
        <v>59.029447380874501</v>
      </c>
      <c r="M53">
        <v>111.16093880187947</v>
      </c>
      <c r="N53">
        <v>1806.8999347389083</v>
      </c>
      <c r="O53">
        <v>243.17525968527204</v>
      </c>
      <c r="P53">
        <v>187.20902200325838</v>
      </c>
      <c r="Q53">
        <v>0</v>
      </c>
      <c r="R53">
        <v>0</v>
      </c>
      <c r="S53">
        <v>13.868501904633199</v>
      </c>
      <c r="T53">
        <v>109.33326640817485</v>
      </c>
      <c r="U53">
        <v>0</v>
      </c>
      <c r="V53">
        <v>357.64959559014886</v>
      </c>
      <c r="W53">
        <v>24.957142000546504</v>
      </c>
      <c r="X53">
        <v>12.770208460044261</v>
      </c>
      <c r="Y53">
        <v>27.5415793775263</v>
      </c>
      <c r="Z53">
        <v>160.77447452531666</v>
      </c>
      <c r="AA53">
        <v>0</v>
      </c>
      <c r="AB53">
        <v>0</v>
      </c>
      <c r="AC53">
        <v>3.6804635106499997</v>
      </c>
      <c r="AD53">
        <v>0</v>
      </c>
      <c r="AE53">
        <v>55.348983870224501</v>
      </c>
      <c r="AF53">
        <v>0</v>
      </c>
      <c r="AG53">
        <v>61.45794600898941</v>
      </c>
      <c r="AH53">
        <v>27.236422577757658</v>
      </c>
      <c r="AI53">
        <v>7.9061868112209996</v>
      </c>
      <c r="AJ53">
        <v>0.98034672713140003</v>
      </c>
      <c r="AK53">
        <v>13.580036676780001</v>
      </c>
      <c r="AL53">
        <v>0</v>
      </c>
      <c r="AM53">
        <v>1806.8999347389083</v>
      </c>
      <c r="AN53">
        <v>212.36850889164955</v>
      </c>
      <c r="AO53">
        <v>0</v>
      </c>
      <c r="AP53">
        <v>30.806750793622481</v>
      </c>
      <c r="AQ53">
        <v>0</v>
      </c>
      <c r="AR53">
        <v>0</v>
      </c>
      <c r="AS53">
        <v>85.3598002540583</v>
      </c>
      <c r="AT53">
        <v>0</v>
      </c>
      <c r="AU53">
        <v>0</v>
      </c>
      <c r="AV53">
        <v>8.0871978527778001</v>
      </c>
      <c r="AW53">
        <v>0</v>
      </c>
      <c r="AX53">
        <v>0</v>
      </c>
      <c r="AY53">
        <v>93.762023896422292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">
      <c r="A54" t="s">
        <v>1225</v>
      </c>
      <c r="B54" t="s">
        <v>1173</v>
      </c>
      <c r="C54" t="s">
        <v>332</v>
      </c>
      <c r="D54">
        <v>2017</v>
      </c>
      <c r="E54" t="s">
        <v>1174</v>
      </c>
      <c r="F54" t="s">
        <v>1175</v>
      </c>
      <c r="G54">
        <v>1295.8308417032999</v>
      </c>
      <c r="H54">
        <v>1155.8612893386517</v>
      </c>
      <c r="I54">
        <v>139.96955236428408</v>
      </c>
      <c r="J54">
        <v>50.842323008281205</v>
      </c>
      <c r="K54">
        <v>232.66273413310734</v>
      </c>
      <c r="L54">
        <v>6.974736768588901</v>
      </c>
      <c r="M54">
        <v>98.403506217973401</v>
      </c>
      <c r="N54">
        <v>736.97778263580847</v>
      </c>
      <c r="O54">
        <v>30.000206574892182</v>
      </c>
      <c r="P54">
        <v>139.96955236428408</v>
      </c>
      <c r="Q54">
        <v>0</v>
      </c>
      <c r="R54">
        <v>0</v>
      </c>
      <c r="S54">
        <v>0</v>
      </c>
      <c r="T54">
        <v>50.842323008281205</v>
      </c>
      <c r="U54">
        <v>0</v>
      </c>
      <c r="V54">
        <v>175.70334371267222</v>
      </c>
      <c r="W54">
        <v>4.7117439977900002</v>
      </c>
      <c r="X54">
        <v>1.1081538117227001</v>
      </c>
      <c r="Y54">
        <v>8.0526845145818999</v>
      </c>
      <c r="Z54">
        <v>43.086808096340505</v>
      </c>
      <c r="AA54">
        <v>0</v>
      </c>
      <c r="AB54">
        <v>0</v>
      </c>
      <c r="AC54">
        <v>2.5998756087450001</v>
      </c>
      <c r="AD54">
        <v>0</v>
      </c>
      <c r="AE54">
        <v>4.3748611598439009</v>
      </c>
      <c r="AF54">
        <v>0</v>
      </c>
      <c r="AG54">
        <v>37.172837401323704</v>
      </c>
      <c r="AH54">
        <v>12.198311262352631</v>
      </c>
      <c r="AI54">
        <v>3.6363935496277096</v>
      </c>
      <c r="AJ54">
        <v>7.1397889864199997E-3</v>
      </c>
      <c r="AK54">
        <v>45.388824215682931</v>
      </c>
      <c r="AL54">
        <v>0</v>
      </c>
      <c r="AM54">
        <v>736.97778263580847</v>
      </c>
      <c r="AN54">
        <v>12.234667429706903</v>
      </c>
      <c r="AO54">
        <v>0</v>
      </c>
      <c r="AP54">
        <v>17.765539145185279</v>
      </c>
      <c r="AQ54">
        <v>0</v>
      </c>
      <c r="AR54">
        <v>0</v>
      </c>
      <c r="AS54">
        <v>24.260441246245481</v>
      </c>
      <c r="AT54">
        <v>0</v>
      </c>
      <c r="AU54">
        <v>0</v>
      </c>
      <c r="AV54">
        <v>7.8025670546275014</v>
      </c>
      <c r="AW54">
        <v>0</v>
      </c>
      <c r="AX54">
        <v>0</v>
      </c>
      <c r="AY54">
        <v>107.90654406341112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">
      <c r="A55" t="s">
        <v>1226</v>
      </c>
      <c r="B55" t="s">
        <v>1173</v>
      </c>
      <c r="C55" t="s">
        <v>32</v>
      </c>
      <c r="D55">
        <v>2017</v>
      </c>
      <c r="E55" t="s">
        <v>1174</v>
      </c>
      <c r="F55" t="s">
        <v>1175</v>
      </c>
      <c r="G55">
        <v>7965.5570020306004</v>
      </c>
      <c r="H55">
        <v>7904.3058876808664</v>
      </c>
      <c r="I55">
        <v>61.251114349883515</v>
      </c>
      <c r="J55">
        <v>308.56605714413428</v>
      </c>
      <c r="K55">
        <v>1456.6574967546971</v>
      </c>
      <c r="L55">
        <v>85.124559784255808</v>
      </c>
      <c r="M55">
        <v>293.7537744225292</v>
      </c>
      <c r="N55">
        <v>4956.7186036563817</v>
      </c>
      <c r="O55">
        <v>803.48539591886902</v>
      </c>
      <c r="P55">
        <v>61.251114349883515</v>
      </c>
      <c r="Q55">
        <v>0</v>
      </c>
      <c r="R55">
        <v>0</v>
      </c>
      <c r="S55">
        <v>17.955198461337201</v>
      </c>
      <c r="T55">
        <v>290.61085868279707</v>
      </c>
      <c r="U55">
        <v>0</v>
      </c>
      <c r="V55">
        <v>946.82015284454155</v>
      </c>
      <c r="W55">
        <v>55.392737294203727</v>
      </c>
      <c r="X55">
        <v>22.4383237889245</v>
      </c>
      <c r="Y55">
        <v>84.599258957200647</v>
      </c>
      <c r="Z55">
        <v>347.40702386982679</v>
      </c>
      <c r="AA55">
        <v>4.3891934473029997</v>
      </c>
      <c r="AB55">
        <v>3.5674414746049994</v>
      </c>
      <c r="AC55">
        <v>19.420364089825902</v>
      </c>
      <c r="AD55">
        <v>0</v>
      </c>
      <c r="AE55">
        <v>57.747560772521901</v>
      </c>
      <c r="AF55">
        <v>0</v>
      </c>
      <c r="AG55">
        <v>149.29614659066849</v>
      </c>
      <c r="AH55">
        <v>102.71093318731444</v>
      </c>
      <c r="AI55">
        <v>4.9034850459004993</v>
      </c>
      <c r="AJ55">
        <v>8.617334078501603</v>
      </c>
      <c r="AK55">
        <v>28.225875520144189</v>
      </c>
      <c r="AL55">
        <v>3.9027937150706995</v>
      </c>
      <c r="AM55">
        <v>4952.8158099413113</v>
      </c>
      <c r="AN55">
        <v>790.63364768850113</v>
      </c>
      <c r="AO55">
        <v>2.9906265059480002</v>
      </c>
      <c r="AP55">
        <v>9.8611217244200002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6.36180157104</v>
      </c>
      <c r="AW55">
        <v>0</v>
      </c>
      <c r="AX55">
        <v>0</v>
      </c>
      <c r="AY55">
        <v>54.889312778843518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">
      <c r="A56" t="s">
        <v>1227</v>
      </c>
      <c r="B56" t="s">
        <v>1173</v>
      </c>
      <c r="C56" t="s">
        <v>350</v>
      </c>
      <c r="D56">
        <v>2017</v>
      </c>
      <c r="E56" t="s">
        <v>1174</v>
      </c>
      <c r="F56" t="s">
        <v>1175</v>
      </c>
      <c r="G56">
        <v>4245.7472565661001</v>
      </c>
      <c r="H56">
        <v>3752.1089857453194</v>
      </c>
      <c r="I56">
        <v>493.6382708206396</v>
      </c>
      <c r="J56">
        <v>131.67693046256943</v>
      </c>
      <c r="K56">
        <v>511.27962669041642</v>
      </c>
      <c r="L56">
        <v>80.100315566692927</v>
      </c>
      <c r="M56">
        <v>81.660595225035806</v>
      </c>
      <c r="N56">
        <v>2754.0796667033005</v>
      </c>
      <c r="O56">
        <v>193.31185109730438</v>
      </c>
      <c r="P56">
        <v>493.6382708206396</v>
      </c>
      <c r="Q56">
        <v>0</v>
      </c>
      <c r="R56">
        <v>0</v>
      </c>
      <c r="S56">
        <v>0</v>
      </c>
      <c r="T56">
        <v>131.67693046256943</v>
      </c>
      <c r="U56">
        <v>0</v>
      </c>
      <c r="V56">
        <v>328.66135351525509</v>
      </c>
      <c r="W56">
        <v>18.303161184836675</v>
      </c>
      <c r="X56">
        <v>10.233495079981401</v>
      </c>
      <c r="Y56">
        <v>21.826299201740898</v>
      </c>
      <c r="Z56">
        <v>132.2553177086024</v>
      </c>
      <c r="AA56">
        <v>0</v>
      </c>
      <c r="AB56">
        <v>0</v>
      </c>
      <c r="AC56">
        <v>3.2473282781458002</v>
      </c>
      <c r="AD56">
        <v>33.657758246973614</v>
      </c>
      <c r="AE56">
        <v>43.043127154444406</v>
      </c>
      <c r="AF56">
        <v>0.1521018871291</v>
      </c>
      <c r="AG56">
        <v>29.501226177423018</v>
      </c>
      <c r="AH56">
        <v>28.145966032593797</v>
      </c>
      <c r="AI56">
        <v>1.1126267120640001</v>
      </c>
      <c r="AJ56">
        <v>20.728449519244997</v>
      </c>
      <c r="AK56">
        <v>2.17232678371</v>
      </c>
      <c r="AL56">
        <v>3.418749059599</v>
      </c>
      <c r="AM56">
        <v>2750.6609176437014</v>
      </c>
      <c r="AN56">
        <v>159.62638714594479</v>
      </c>
      <c r="AO56">
        <v>22.711931167949192</v>
      </c>
      <c r="AP56">
        <v>10.9735327834104</v>
      </c>
      <c r="AQ56">
        <v>0</v>
      </c>
      <c r="AR56">
        <v>0</v>
      </c>
      <c r="AS56">
        <v>212.13359023297909</v>
      </c>
      <c r="AT56">
        <v>0</v>
      </c>
      <c r="AU56">
        <v>0</v>
      </c>
      <c r="AV56">
        <v>24.555639442109999</v>
      </c>
      <c r="AW56">
        <v>79.099479871370292</v>
      </c>
      <c r="AX56">
        <v>0</v>
      </c>
      <c r="AY56">
        <v>177.84956127418027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">
      <c r="A57" t="s">
        <v>1228</v>
      </c>
      <c r="B57" t="s">
        <v>1173</v>
      </c>
      <c r="C57" t="s">
        <v>35</v>
      </c>
      <c r="D57">
        <v>2017</v>
      </c>
      <c r="E57" t="s">
        <v>1174</v>
      </c>
      <c r="F57" t="s">
        <v>1175</v>
      </c>
      <c r="G57">
        <v>3518.7885235972999</v>
      </c>
      <c r="H57">
        <v>3387.9412342095029</v>
      </c>
      <c r="I57">
        <v>130.84728938814987</v>
      </c>
      <c r="J57">
        <v>155.18649935434672</v>
      </c>
      <c r="K57">
        <v>712.9814225344295</v>
      </c>
      <c r="L57">
        <v>63.661126410085714</v>
      </c>
      <c r="M57">
        <v>127.89412888024384</v>
      </c>
      <c r="N57">
        <v>2303.7099570399396</v>
      </c>
      <c r="O57">
        <v>24.508099990457712</v>
      </c>
      <c r="P57">
        <v>130.84728938814987</v>
      </c>
      <c r="Q57">
        <v>0</v>
      </c>
      <c r="R57">
        <v>0</v>
      </c>
      <c r="S57">
        <v>11.816266055663702</v>
      </c>
      <c r="T57">
        <v>143.37023329868302</v>
      </c>
      <c r="U57">
        <v>0</v>
      </c>
      <c r="V57">
        <v>402.90763308498452</v>
      </c>
      <c r="W57">
        <v>26.482233145154197</v>
      </c>
      <c r="X57">
        <v>27.0381908681941</v>
      </c>
      <c r="Y57">
        <v>8.599303942882301</v>
      </c>
      <c r="Z57">
        <v>247.95406149321431</v>
      </c>
      <c r="AA57">
        <v>0</v>
      </c>
      <c r="AB57">
        <v>0.62775027198900002</v>
      </c>
      <c r="AC57">
        <v>2.2493926021890003</v>
      </c>
      <c r="AD57">
        <v>6.4327348910532001</v>
      </c>
      <c r="AE57">
        <v>54.351248644854515</v>
      </c>
      <c r="AF57">
        <v>0</v>
      </c>
      <c r="AG57">
        <v>83.530646857319638</v>
      </c>
      <c r="AH57">
        <v>41.694129750082496</v>
      </c>
      <c r="AI57">
        <v>2.6693522728416998</v>
      </c>
      <c r="AJ57">
        <v>0</v>
      </c>
      <c r="AK57">
        <v>0</v>
      </c>
      <c r="AL57">
        <v>12.895269111812699</v>
      </c>
      <c r="AM57">
        <v>2290.8146879281267</v>
      </c>
      <c r="AN57">
        <v>16.817828873195513</v>
      </c>
      <c r="AO57">
        <v>0</v>
      </c>
      <c r="AP57">
        <v>7.6902711172622</v>
      </c>
      <c r="AQ57">
        <v>0</v>
      </c>
      <c r="AR57">
        <v>0</v>
      </c>
      <c r="AS57">
        <v>26.685602214525499</v>
      </c>
      <c r="AT57">
        <v>0</v>
      </c>
      <c r="AU57">
        <v>0</v>
      </c>
      <c r="AV57">
        <v>5.1258413129899996</v>
      </c>
      <c r="AW57">
        <v>11.676958590933699</v>
      </c>
      <c r="AX57">
        <v>0</v>
      </c>
      <c r="AY57">
        <v>87.358887269700659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">
      <c r="A58" t="s">
        <v>1229</v>
      </c>
      <c r="B58" t="s">
        <v>1173</v>
      </c>
      <c r="C58" t="s">
        <v>36</v>
      </c>
      <c r="D58">
        <v>2017</v>
      </c>
      <c r="E58" t="s">
        <v>1174</v>
      </c>
      <c r="F58" t="s">
        <v>1175</v>
      </c>
      <c r="G58">
        <v>31862.042372948701</v>
      </c>
      <c r="H58">
        <v>31814.513928119199</v>
      </c>
      <c r="I58">
        <v>47.528444829088357</v>
      </c>
      <c r="J58">
        <v>766.10153086112098</v>
      </c>
      <c r="K58">
        <v>2411.9113255871644</v>
      </c>
      <c r="L58">
        <v>252.2689390565676</v>
      </c>
      <c r="M58">
        <v>742.93943811344911</v>
      </c>
      <c r="N58">
        <v>10804.053468842738</v>
      </c>
      <c r="O58">
        <v>16837.239225658159</v>
      </c>
      <c r="P58">
        <v>47.528444829088357</v>
      </c>
      <c r="Q58">
        <v>0</v>
      </c>
      <c r="R58">
        <v>0</v>
      </c>
      <c r="S58">
        <v>53.325238004525929</v>
      </c>
      <c r="T58">
        <v>650.36894158844893</v>
      </c>
      <c r="U58">
        <v>62.40735126814613</v>
      </c>
      <c r="V58">
        <v>1493.9756994637762</v>
      </c>
      <c r="W58">
        <v>85.068478230743906</v>
      </c>
      <c r="X58">
        <v>160.20736461497262</v>
      </c>
      <c r="Y58">
        <v>154.33528800982378</v>
      </c>
      <c r="Z58">
        <v>518.32449526784785</v>
      </c>
      <c r="AA58">
        <v>8.4450469899899989</v>
      </c>
      <c r="AB58">
        <v>1.6263251395800002</v>
      </c>
      <c r="AC58">
        <v>23.236458465103702</v>
      </c>
      <c r="AD58">
        <v>0</v>
      </c>
      <c r="AE58">
        <v>218.9611084618939</v>
      </c>
      <c r="AF58">
        <v>0</v>
      </c>
      <c r="AG58">
        <v>157.17700733528812</v>
      </c>
      <c r="AH58">
        <v>166.13784561033046</v>
      </c>
      <c r="AI58">
        <v>12.210573482912199</v>
      </c>
      <c r="AJ58">
        <v>13.987210183048097</v>
      </c>
      <c r="AK58">
        <v>393.42680150187022</v>
      </c>
      <c r="AL58">
        <v>0</v>
      </c>
      <c r="AM58">
        <v>10804.053468842738</v>
      </c>
      <c r="AN58">
        <v>10986.788357172629</v>
      </c>
      <c r="AO58">
        <v>5773.7027647341938</v>
      </c>
      <c r="AP58">
        <v>76.748103751335819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23.5429707030668</v>
      </c>
      <c r="AW58">
        <v>0</v>
      </c>
      <c r="AX58">
        <v>0</v>
      </c>
      <c r="AY58">
        <v>23.985474126021554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2">
      <c r="A59" t="s">
        <v>1230</v>
      </c>
      <c r="B59" t="s">
        <v>1173</v>
      </c>
      <c r="C59" t="s">
        <v>379</v>
      </c>
      <c r="D59">
        <v>2017</v>
      </c>
      <c r="E59" t="s">
        <v>1174</v>
      </c>
      <c r="F59" t="s">
        <v>1175</v>
      </c>
      <c r="G59">
        <v>6590.8363163755994</v>
      </c>
      <c r="H59">
        <v>6381.5822310179165</v>
      </c>
      <c r="I59">
        <v>209.25408535770117</v>
      </c>
      <c r="J59">
        <v>168.34762419937977</v>
      </c>
      <c r="K59">
        <v>621.82898217093179</v>
      </c>
      <c r="L59">
        <v>29.3575265112257</v>
      </c>
      <c r="M59">
        <v>144.40948039863622</v>
      </c>
      <c r="N59">
        <v>2947.8345059071094</v>
      </c>
      <c r="O59">
        <v>2469.8041118306337</v>
      </c>
      <c r="P59">
        <v>209.25408535770117</v>
      </c>
      <c r="Q59">
        <v>0</v>
      </c>
      <c r="R59">
        <v>0</v>
      </c>
      <c r="S59">
        <v>17.037020024545033</v>
      </c>
      <c r="T59">
        <v>151.31060417483474</v>
      </c>
      <c r="U59">
        <v>0</v>
      </c>
      <c r="V59">
        <v>356.50458129267753</v>
      </c>
      <c r="W59">
        <v>21.670212065797301</v>
      </c>
      <c r="X59">
        <v>143.1692344385342</v>
      </c>
      <c r="Y59">
        <v>15.922852166300002</v>
      </c>
      <c r="Z59">
        <v>84.562102207622729</v>
      </c>
      <c r="AA59">
        <v>1.6880449682800001</v>
      </c>
      <c r="AB59">
        <v>0.98823068536200009</v>
      </c>
      <c r="AC59">
        <v>9.2905761090196997</v>
      </c>
      <c r="AD59">
        <v>0</v>
      </c>
      <c r="AE59">
        <v>17.390674748563999</v>
      </c>
      <c r="AF59">
        <v>0</v>
      </c>
      <c r="AG59">
        <v>21.423525140102786</v>
      </c>
      <c r="AH59">
        <v>22.0710076304638</v>
      </c>
      <c r="AI59">
        <v>7.7700218928477014</v>
      </c>
      <c r="AJ59">
        <v>21.6556994195318</v>
      </c>
      <c r="AK59">
        <v>71.489226315690118</v>
      </c>
      <c r="AL59">
        <v>0</v>
      </c>
      <c r="AM59">
        <v>2947.8345059071094</v>
      </c>
      <c r="AN59">
        <v>1423.731645410244</v>
      </c>
      <c r="AO59">
        <v>996.45702726541015</v>
      </c>
      <c r="AP59">
        <v>49.615439154979214</v>
      </c>
      <c r="AQ59">
        <v>0</v>
      </c>
      <c r="AR59">
        <v>0</v>
      </c>
      <c r="AS59">
        <v>0</v>
      </c>
      <c r="AT59">
        <v>194.56833723481492</v>
      </c>
      <c r="AU59">
        <v>0</v>
      </c>
      <c r="AV59">
        <v>7.7176053735711987</v>
      </c>
      <c r="AW59">
        <v>0</v>
      </c>
      <c r="AX59">
        <v>0</v>
      </c>
      <c r="AY59">
        <v>6.9681427493150698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">
      <c r="A60" t="s">
        <v>1231</v>
      </c>
      <c r="B60" t="s">
        <v>1173</v>
      </c>
      <c r="C60" t="s">
        <v>388</v>
      </c>
      <c r="D60">
        <v>2017</v>
      </c>
      <c r="E60" t="s">
        <v>1174</v>
      </c>
      <c r="F60" t="s">
        <v>1175</v>
      </c>
      <c r="G60">
        <v>15737.201770703101</v>
      </c>
      <c r="H60">
        <v>15612.126957288288</v>
      </c>
      <c r="I60">
        <v>125.07481341414547</v>
      </c>
      <c r="J60">
        <v>303.2033386447369</v>
      </c>
      <c r="K60">
        <v>862.22294816461158</v>
      </c>
      <c r="L60">
        <v>44.15401871852427</v>
      </c>
      <c r="M60">
        <v>349.46880200922089</v>
      </c>
      <c r="N60">
        <v>6819.5269578597463</v>
      </c>
      <c r="O60">
        <v>7233.5508918914484</v>
      </c>
      <c r="P60">
        <v>125.07481341414547</v>
      </c>
      <c r="Q60">
        <v>0</v>
      </c>
      <c r="R60">
        <v>0</v>
      </c>
      <c r="S60">
        <v>0</v>
      </c>
      <c r="T60">
        <v>303.2033386447369</v>
      </c>
      <c r="U60">
        <v>0</v>
      </c>
      <c r="V60">
        <v>638.34596941712175</v>
      </c>
      <c r="W60">
        <v>26.627893635905597</v>
      </c>
      <c r="X60">
        <v>26.625053860456006</v>
      </c>
      <c r="Y60">
        <v>17.206011848094501</v>
      </c>
      <c r="Z60">
        <v>153.41801940303372</v>
      </c>
      <c r="AA60">
        <v>8.9683119131310001</v>
      </c>
      <c r="AB60">
        <v>1.4821914263330001</v>
      </c>
      <c r="AC60">
        <v>16.896647924726398</v>
      </c>
      <c r="AD60">
        <v>0</v>
      </c>
      <c r="AE60">
        <v>16.798584290230199</v>
      </c>
      <c r="AF60">
        <v>8.2831641036700005E-3</v>
      </c>
      <c r="AG60">
        <v>15.871999833915304</v>
      </c>
      <c r="AH60">
        <v>67.910605676965091</v>
      </c>
      <c r="AI60">
        <v>2.2267566321988994</v>
      </c>
      <c r="AJ60">
        <v>27.109819852923199</v>
      </c>
      <c r="AK60">
        <v>236.34962001321838</v>
      </c>
      <c r="AL60">
        <v>3.2156589893701999</v>
      </c>
      <c r="AM60">
        <v>6816.311298870376</v>
      </c>
      <c r="AN60">
        <v>6414.1045315424672</v>
      </c>
      <c r="AO60">
        <v>732.22482312727902</v>
      </c>
      <c r="AP60">
        <v>87.221537221702519</v>
      </c>
      <c r="AQ60">
        <v>0</v>
      </c>
      <c r="AR60">
        <v>0</v>
      </c>
      <c r="AS60">
        <v>10.87322557143229</v>
      </c>
      <c r="AT60">
        <v>0</v>
      </c>
      <c r="AU60">
        <v>0</v>
      </c>
      <c r="AV60">
        <v>23.741742717560001</v>
      </c>
      <c r="AW60">
        <v>0</v>
      </c>
      <c r="AX60">
        <v>0</v>
      </c>
      <c r="AY60">
        <v>90.45984512515318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">
      <c r="A61" t="s">
        <v>1232</v>
      </c>
      <c r="B61" t="s">
        <v>1173</v>
      </c>
      <c r="C61" t="s">
        <v>41</v>
      </c>
      <c r="D61">
        <v>2017</v>
      </c>
      <c r="E61" t="s">
        <v>1174</v>
      </c>
      <c r="F61" t="s">
        <v>1175</v>
      </c>
      <c r="G61">
        <v>8732.6275689557006</v>
      </c>
      <c r="H61">
        <v>8563.6074431539164</v>
      </c>
      <c r="I61">
        <v>169.02012580236706</v>
      </c>
      <c r="J61">
        <v>147.22169443656952</v>
      </c>
      <c r="K61">
        <v>837.70340314700786</v>
      </c>
      <c r="L61">
        <v>43.824225073331284</v>
      </c>
      <c r="M61">
        <v>420.76723049803076</v>
      </c>
      <c r="N61">
        <v>1984.5070440298077</v>
      </c>
      <c r="O61">
        <v>5129.5838459691695</v>
      </c>
      <c r="P61">
        <v>169.02012580236706</v>
      </c>
      <c r="Q61">
        <v>0</v>
      </c>
      <c r="R61">
        <v>0</v>
      </c>
      <c r="S61">
        <v>10.267900288259908</v>
      </c>
      <c r="T61">
        <v>136.95379414830961</v>
      </c>
      <c r="U61">
        <v>0</v>
      </c>
      <c r="V61">
        <v>460.09461812831069</v>
      </c>
      <c r="W61">
        <v>20.3767995417397</v>
      </c>
      <c r="X61">
        <v>91.358618890825099</v>
      </c>
      <c r="Y61">
        <v>138.61722581499313</v>
      </c>
      <c r="Z61">
        <v>127.25614077113913</v>
      </c>
      <c r="AA61">
        <v>0</v>
      </c>
      <c r="AB61">
        <v>0</v>
      </c>
      <c r="AC61">
        <v>13.812685592066499</v>
      </c>
      <c r="AD61">
        <v>0</v>
      </c>
      <c r="AE61">
        <v>30.011539481264784</v>
      </c>
      <c r="AF61">
        <v>0</v>
      </c>
      <c r="AG61">
        <v>10.77830224760892</v>
      </c>
      <c r="AH61">
        <v>59.916849505773712</v>
      </c>
      <c r="AI61">
        <v>3.4474011433984999</v>
      </c>
      <c r="AJ61">
        <v>50.124557110023048</v>
      </c>
      <c r="AK61">
        <v>296.5001204912266</v>
      </c>
      <c r="AL61">
        <v>1.3781081200400001</v>
      </c>
      <c r="AM61">
        <v>1983.1289359097677</v>
      </c>
      <c r="AN61">
        <v>4087.6387473249906</v>
      </c>
      <c r="AO61">
        <v>1030.2952625065793</v>
      </c>
      <c r="AP61">
        <v>11.649836137599799</v>
      </c>
      <c r="AQ61">
        <v>0</v>
      </c>
      <c r="AR61">
        <v>0</v>
      </c>
      <c r="AS61">
        <v>0</v>
      </c>
      <c r="AT61">
        <v>161.82008034274426</v>
      </c>
      <c r="AU61">
        <v>0</v>
      </c>
      <c r="AV61">
        <v>7.2000454596227996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">
      <c r="A62" t="s">
        <v>1233</v>
      </c>
      <c r="B62" t="s">
        <v>1173</v>
      </c>
      <c r="C62" t="s">
        <v>49</v>
      </c>
      <c r="D62">
        <v>2017</v>
      </c>
      <c r="E62" t="s">
        <v>1174</v>
      </c>
      <c r="F62" t="s">
        <v>1175</v>
      </c>
      <c r="G62">
        <v>4827.0176705142994</v>
      </c>
      <c r="H62">
        <v>3892.4963627040474</v>
      </c>
      <c r="I62">
        <v>934.52130781091603</v>
      </c>
      <c r="J62">
        <v>164.2398687124911</v>
      </c>
      <c r="K62">
        <v>984.26974592971453</v>
      </c>
      <c r="L62">
        <v>110.23259941686727</v>
      </c>
      <c r="M62">
        <v>246.05818977459677</v>
      </c>
      <c r="N62">
        <v>841.31240697540397</v>
      </c>
      <c r="O62">
        <v>1546.3835518949741</v>
      </c>
      <c r="P62">
        <v>934.52130781091603</v>
      </c>
      <c r="Q62">
        <v>0</v>
      </c>
      <c r="R62">
        <v>0</v>
      </c>
      <c r="S62">
        <v>14.127432409326202</v>
      </c>
      <c r="T62">
        <v>150.11243630316491</v>
      </c>
      <c r="U62">
        <v>0</v>
      </c>
      <c r="V62">
        <v>625.60321410843949</v>
      </c>
      <c r="W62">
        <v>24.685184259747246</v>
      </c>
      <c r="X62">
        <v>14.590330585708099</v>
      </c>
      <c r="Y62">
        <v>93.106925175245195</v>
      </c>
      <c r="Z62">
        <v>226.2840918005744</v>
      </c>
      <c r="AA62">
        <v>0</v>
      </c>
      <c r="AB62">
        <v>0</v>
      </c>
      <c r="AC62">
        <v>10.728670082525101</v>
      </c>
      <c r="AD62">
        <v>0</v>
      </c>
      <c r="AE62">
        <v>95.10988977868989</v>
      </c>
      <c r="AF62">
        <v>4.39403955565228</v>
      </c>
      <c r="AG62">
        <v>80.00158102260005</v>
      </c>
      <c r="AH62">
        <v>58.837017525680061</v>
      </c>
      <c r="AI62">
        <v>1.9861178359972</v>
      </c>
      <c r="AJ62">
        <v>34.111911554496103</v>
      </c>
      <c r="AK62">
        <v>71.121561835823329</v>
      </c>
      <c r="AL62">
        <v>4.4240002593170002</v>
      </c>
      <c r="AM62">
        <v>836.88840671608693</v>
      </c>
      <c r="AN62">
        <v>1272.8435295251102</v>
      </c>
      <c r="AO62">
        <v>249.02438608716233</v>
      </c>
      <c r="AP62">
        <v>24.515636282701408</v>
      </c>
      <c r="AQ62">
        <v>0</v>
      </c>
      <c r="AR62">
        <v>0</v>
      </c>
      <c r="AS62">
        <v>0</v>
      </c>
      <c r="AT62">
        <v>920.11195555857796</v>
      </c>
      <c r="AU62">
        <v>0</v>
      </c>
      <c r="AV62">
        <v>3.0137155774614004</v>
      </c>
      <c r="AW62">
        <v>0</v>
      </c>
      <c r="AX62">
        <v>0</v>
      </c>
      <c r="AY62">
        <v>11.3956366748766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">
      <c r="A63" t="s">
        <v>1234</v>
      </c>
      <c r="B63" t="s">
        <v>1173</v>
      </c>
      <c r="C63" t="s">
        <v>455</v>
      </c>
      <c r="D63">
        <v>2017</v>
      </c>
      <c r="E63" t="s">
        <v>1174</v>
      </c>
      <c r="F63" t="s">
        <v>1175</v>
      </c>
      <c r="G63">
        <v>2415.5743588951</v>
      </c>
      <c r="H63">
        <v>2306.9233376110265</v>
      </c>
      <c r="I63">
        <v>108.65102128377603</v>
      </c>
      <c r="J63">
        <v>169.20931605247776</v>
      </c>
      <c r="K63">
        <v>319.50714561989525</v>
      </c>
      <c r="L63">
        <v>23.292555159215098</v>
      </c>
      <c r="M63">
        <v>101.75053262595019</v>
      </c>
      <c r="N63">
        <v>1248.5283717108955</v>
      </c>
      <c r="O63">
        <v>444.6354164425926</v>
      </c>
      <c r="P63">
        <v>108.65102128377603</v>
      </c>
      <c r="Q63">
        <v>0</v>
      </c>
      <c r="R63">
        <v>0</v>
      </c>
      <c r="S63">
        <v>21.075464862830398</v>
      </c>
      <c r="T63">
        <v>148.13385118964737</v>
      </c>
      <c r="U63">
        <v>0</v>
      </c>
      <c r="V63">
        <v>255.34359154676656</v>
      </c>
      <c r="W63">
        <v>7.9423186749169998</v>
      </c>
      <c r="X63">
        <v>5.4791259327579986</v>
      </c>
      <c r="Y63">
        <v>6.8378449669753998</v>
      </c>
      <c r="Z63">
        <v>43.904264498478291</v>
      </c>
      <c r="AA63">
        <v>7.2079917641693001</v>
      </c>
      <c r="AB63">
        <v>0</v>
      </c>
      <c r="AC63">
        <v>3.3187894791471</v>
      </c>
      <c r="AD63">
        <v>0</v>
      </c>
      <c r="AE63">
        <v>8.4305065421195984</v>
      </c>
      <c r="AF63">
        <v>4.3352673737791001</v>
      </c>
      <c r="AG63">
        <v>8.0293095406671995</v>
      </c>
      <c r="AH63">
        <v>48.330561833189797</v>
      </c>
      <c r="AI63">
        <v>4.7242340922692998</v>
      </c>
      <c r="AJ63">
        <v>3.2063741994242001</v>
      </c>
      <c r="AK63">
        <v>37.460052960399693</v>
      </c>
      <c r="AL63">
        <v>0</v>
      </c>
      <c r="AM63">
        <v>1248.5283717108955</v>
      </c>
      <c r="AN63">
        <v>427.25555243994899</v>
      </c>
      <c r="AO63">
        <v>14.003408102003599</v>
      </c>
      <c r="AP63">
        <v>3.3764559006399999</v>
      </c>
      <c r="AQ63">
        <v>0</v>
      </c>
      <c r="AR63">
        <v>0</v>
      </c>
      <c r="AS63">
        <v>59.64788652658315</v>
      </c>
      <c r="AT63">
        <v>0</v>
      </c>
      <c r="AU63">
        <v>0</v>
      </c>
      <c r="AV63">
        <v>4.1214150140500001</v>
      </c>
      <c r="AW63">
        <v>0</v>
      </c>
      <c r="AX63">
        <v>0</v>
      </c>
      <c r="AY63">
        <v>44.881719743142874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">
      <c r="A64" t="s">
        <v>1235</v>
      </c>
      <c r="B64" t="s">
        <v>1173</v>
      </c>
      <c r="C64" t="s">
        <v>462</v>
      </c>
      <c r="D64">
        <v>2017</v>
      </c>
      <c r="E64" t="s">
        <v>1174</v>
      </c>
      <c r="F64" t="s">
        <v>1175</v>
      </c>
      <c r="G64">
        <v>8042.0536503774001</v>
      </c>
      <c r="H64">
        <v>7854.5222122870291</v>
      </c>
      <c r="I64">
        <v>187.53143808989688</v>
      </c>
      <c r="J64">
        <v>231.79334422882354</v>
      </c>
      <c r="K64">
        <v>432.29659809250899</v>
      </c>
      <c r="L64">
        <v>32.633965593994205</v>
      </c>
      <c r="M64">
        <v>160.5289729352572</v>
      </c>
      <c r="N64">
        <v>3961.3484231427497</v>
      </c>
      <c r="O64">
        <v>3035.9209082936959</v>
      </c>
      <c r="P64">
        <v>187.53143808989688</v>
      </c>
      <c r="Q64">
        <v>0</v>
      </c>
      <c r="R64">
        <v>0</v>
      </c>
      <c r="S64">
        <v>0</v>
      </c>
      <c r="T64">
        <v>231.79334422882354</v>
      </c>
      <c r="U64">
        <v>0</v>
      </c>
      <c r="V64">
        <v>324.53445038350958</v>
      </c>
      <c r="W64">
        <v>15.604937312922498</v>
      </c>
      <c r="X64">
        <v>1.6547946316231998</v>
      </c>
      <c r="Y64">
        <v>17.996361930732302</v>
      </c>
      <c r="Z64">
        <v>72.506053833721424</v>
      </c>
      <c r="AA64">
        <v>0</v>
      </c>
      <c r="AB64">
        <v>0</v>
      </c>
      <c r="AC64">
        <v>12.823886744639999</v>
      </c>
      <c r="AD64">
        <v>0</v>
      </c>
      <c r="AE64">
        <v>13.484514422716202</v>
      </c>
      <c r="AF64">
        <v>6.3255644266379996</v>
      </c>
      <c r="AG64">
        <v>8.9932168638296393</v>
      </c>
      <c r="AH64">
        <v>64.374206069375489</v>
      </c>
      <c r="AI64">
        <v>2.9029128782701004</v>
      </c>
      <c r="AJ64">
        <v>19.361742739953101</v>
      </c>
      <c r="AK64">
        <v>64.896894383828865</v>
      </c>
      <c r="AL64">
        <v>5.9827800578859609</v>
      </c>
      <c r="AM64">
        <v>3955.3656430848637</v>
      </c>
      <c r="AN64">
        <v>2443.537005827036</v>
      </c>
      <c r="AO64">
        <v>571.9144600615374</v>
      </c>
      <c r="AP64">
        <v>20.4694424051225</v>
      </c>
      <c r="AQ64">
        <v>0</v>
      </c>
      <c r="AR64">
        <v>0</v>
      </c>
      <c r="AS64">
        <v>59.482817735025208</v>
      </c>
      <c r="AT64">
        <v>0</v>
      </c>
      <c r="AU64">
        <v>0</v>
      </c>
      <c r="AV64">
        <v>20.928585765899999</v>
      </c>
      <c r="AW64">
        <v>0</v>
      </c>
      <c r="AX64">
        <v>0</v>
      </c>
      <c r="AY64">
        <v>107.12003458897169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2">
      <c r="A65" t="s">
        <v>1236</v>
      </c>
      <c r="B65" t="s">
        <v>1173</v>
      </c>
      <c r="C65" t="s">
        <v>488</v>
      </c>
      <c r="D65">
        <v>2017</v>
      </c>
      <c r="E65" t="s">
        <v>1174</v>
      </c>
      <c r="F65" t="s">
        <v>1175</v>
      </c>
      <c r="G65">
        <v>4153.6314709416001</v>
      </c>
      <c r="H65">
        <v>3972.860371047344</v>
      </c>
      <c r="I65">
        <v>180.77109989401146</v>
      </c>
      <c r="J65">
        <v>162.46011445677567</v>
      </c>
      <c r="K65">
        <v>408.08445735390228</v>
      </c>
      <c r="L65">
        <v>7.2693533959588699</v>
      </c>
      <c r="M65">
        <v>74.929427090178308</v>
      </c>
      <c r="N65">
        <v>2325.3884326115949</v>
      </c>
      <c r="O65">
        <v>994.72858613893425</v>
      </c>
      <c r="P65">
        <v>180.77109989401146</v>
      </c>
      <c r="Q65">
        <v>0</v>
      </c>
      <c r="R65">
        <v>0</v>
      </c>
      <c r="S65">
        <v>15.297154644428682</v>
      </c>
      <c r="T65">
        <v>118.54678768418609</v>
      </c>
      <c r="U65">
        <v>28.616172128160898</v>
      </c>
      <c r="V65">
        <v>311.16898066945919</v>
      </c>
      <c r="W65">
        <v>11.401672565916801</v>
      </c>
      <c r="X65">
        <v>10.428422671814699</v>
      </c>
      <c r="Y65">
        <v>7.9614406297193101</v>
      </c>
      <c r="Z65">
        <v>67.123940816992302</v>
      </c>
      <c r="AA65">
        <v>0</v>
      </c>
      <c r="AB65">
        <v>1.03777333157</v>
      </c>
      <c r="AC65">
        <v>2.6531197758497997</v>
      </c>
      <c r="AD65">
        <v>0</v>
      </c>
      <c r="AE65">
        <v>0.93903403574999988</v>
      </c>
      <c r="AF65">
        <v>2.6394262527890699</v>
      </c>
      <c r="AG65">
        <v>16.5743703296516</v>
      </c>
      <c r="AH65">
        <v>38.720128683955394</v>
      </c>
      <c r="AI65">
        <v>1.9817699397363999</v>
      </c>
      <c r="AJ65">
        <v>0.685741644288</v>
      </c>
      <c r="AK65">
        <v>16.967416492546903</v>
      </c>
      <c r="AL65">
        <v>0</v>
      </c>
      <c r="AM65">
        <v>2325.3884326115949</v>
      </c>
      <c r="AN65">
        <v>856.73691113190171</v>
      </c>
      <c r="AO65">
        <v>131.20120310120637</v>
      </c>
      <c r="AP65">
        <v>6.7904719058262009</v>
      </c>
      <c r="AQ65">
        <v>0</v>
      </c>
      <c r="AR65">
        <v>0</v>
      </c>
      <c r="AS65">
        <v>100.22295822093889</v>
      </c>
      <c r="AT65">
        <v>0</v>
      </c>
      <c r="AU65">
        <v>0</v>
      </c>
      <c r="AV65">
        <v>1.7534217131060998</v>
      </c>
      <c r="AW65">
        <v>0</v>
      </c>
      <c r="AX65">
        <v>0</v>
      </c>
      <c r="AY65">
        <v>78.794719959966486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">
      <c r="A66" t="s">
        <v>1237</v>
      </c>
      <c r="B66" t="s">
        <v>1173</v>
      </c>
      <c r="C66" t="s">
        <v>70</v>
      </c>
      <c r="D66">
        <v>2017</v>
      </c>
      <c r="E66" t="s">
        <v>1174</v>
      </c>
      <c r="F66" t="s">
        <v>1175</v>
      </c>
      <c r="G66">
        <v>21594.2010325386</v>
      </c>
      <c r="H66">
        <v>21304.621250880569</v>
      </c>
      <c r="I66">
        <v>289.57978166079977</v>
      </c>
      <c r="J66">
        <v>555.6017205485914</v>
      </c>
      <c r="K66">
        <v>926.54969638614523</v>
      </c>
      <c r="L66">
        <v>60.439995546618725</v>
      </c>
      <c r="M66">
        <v>388.85210646159152</v>
      </c>
      <c r="N66">
        <v>15917.027934000811</v>
      </c>
      <c r="O66">
        <v>3456.1497979368114</v>
      </c>
      <c r="P66">
        <v>289.57978166079977</v>
      </c>
      <c r="Q66">
        <v>0</v>
      </c>
      <c r="R66">
        <v>0</v>
      </c>
      <c r="S66">
        <v>72.833582945906784</v>
      </c>
      <c r="T66">
        <v>482.76813760268465</v>
      </c>
      <c r="U66">
        <v>0</v>
      </c>
      <c r="V66">
        <v>706.26042627990989</v>
      </c>
      <c r="W66">
        <v>20.635940889979697</v>
      </c>
      <c r="X66">
        <v>5.2592942248137007</v>
      </c>
      <c r="Y66">
        <v>59.433321570887507</v>
      </c>
      <c r="Z66">
        <v>134.96071342055436</v>
      </c>
      <c r="AA66">
        <v>15.541256466562199</v>
      </c>
      <c r="AB66">
        <v>3.3838433667679992</v>
      </c>
      <c r="AC66">
        <v>16.703139272904302</v>
      </c>
      <c r="AD66">
        <v>0</v>
      </c>
      <c r="AE66">
        <v>18.2817351771604</v>
      </c>
      <c r="AF66">
        <v>6.5300212632238201</v>
      </c>
      <c r="AG66">
        <v>26.285602034917254</v>
      </c>
      <c r="AH66">
        <v>157.90154797297589</v>
      </c>
      <c r="AI66">
        <v>2.6664927807471002</v>
      </c>
      <c r="AJ66">
        <v>1.9169702241</v>
      </c>
      <c r="AK66">
        <v>200.08149344885129</v>
      </c>
      <c r="AL66">
        <v>1.0833061615599999</v>
      </c>
      <c r="AM66">
        <v>15915.944627839252</v>
      </c>
      <c r="AN66">
        <v>3307.2109737105106</v>
      </c>
      <c r="AO66">
        <v>95.70306746893138</v>
      </c>
      <c r="AP66">
        <v>53.235756757369273</v>
      </c>
      <c r="AQ66">
        <v>0</v>
      </c>
      <c r="AR66">
        <v>0</v>
      </c>
      <c r="AS66">
        <v>59.149301372730662</v>
      </c>
      <c r="AT66">
        <v>0</v>
      </c>
      <c r="AU66">
        <v>0</v>
      </c>
      <c r="AV66">
        <v>5.5026351130500002</v>
      </c>
      <c r="AW66">
        <v>0</v>
      </c>
      <c r="AX66">
        <v>0</v>
      </c>
      <c r="AY66">
        <v>224.92784517501909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">
      <c r="A67" t="s">
        <v>1238</v>
      </c>
      <c r="B67" t="s">
        <v>1173</v>
      </c>
      <c r="C67" t="s">
        <v>605</v>
      </c>
      <c r="D67">
        <v>2017</v>
      </c>
      <c r="E67" t="s">
        <v>1174</v>
      </c>
      <c r="F67" t="s">
        <v>1175</v>
      </c>
      <c r="G67">
        <v>7546.2009094857003</v>
      </c>
      <c r="H67">
        <v>6588.4396143661525</v>
      </c>
      <c r="I67">
        <v>957.76129511830823</v>
      </c>
      <c r="J67">
        <v>296.18170040633595</v>
      </c>
      <c r="K67">
        <v>703.60999131530343</v>
      </c>
      <c r="L67">
        <v>41.928191261807015</v>
      </c>
      <c r="M67">
        <v>138.59271348593163</v>
      </c>
      <c r="N67">
        <v>5266.7351654943623</v>
      </c>
      <c r="O67">
        <v>141.39185240241238</v>
      </c>
      <c r="P67">
        <v>957.76129511830823</v>
      </c>
      <c r="Q67">
        <v>0</v>
      </c>
      <c r="R67">
        <v>0</v>
      </c>
      <c r="S67">
        <v>11.945200533660339</v>
      </c>
      <c r="T67">
        <v>284.23649987267561</v>
      </c>
      <c r="U67">
        <v>0</v>
      </c>
      <c r="V67">
        <v>447.83607996266056</v>
      </c>
      <c r="W67">
        <v>4.2550078777673992</v>
      </c>
      <c r="X67">
        <v>10.8512159791643</v>
      </c>
      <c r="Y67">
        <v>10.078842149291901</v>
      </c>
      <c r="Z67">
        <v>230.58884534641928</v>
      </c>
      <c r="AA67">
        <v>0</v>
      </c>
      <c r="AB67">
        <v>0</v>
      </c>
      <c r="AC67">
        <v>6.2930205751295993</v>
      </c>
      <c r="AD67">
        <v>9.0162738121199987E-2</v>
      </c>
      <c r="AE67">
        <v>24.879025845973899</v>
      </c>
      <c r="AF67">
        <v>10.665982102582312</v>
      </c>
      <c r="AG67">
        <v>16.240198003532541</v>
      </c>
      <c r="AH67">
        <v>73.567102478186257</v>
      </c>
      <c r="AI67">
        <v>1.6158793136187</v>
      </c>
      <c r="AJ67">
        <v>29.285268151377299</v>
      </c>
      <c r="AK67">
        <v>17.88426553921683</v>
      </c>
      <c r="AL67">
        <v>43.226946146953203</v>
      </c>
      <c r="AM67">
        <v>5223.5082193474091</v>
      </c>
      <c r="AN67">
        <v>76.647923190093209</v>
      </c>
      <c r="AO67">
        <v>10.445769735190057</v>
      </c>
      <c r="AP67">
        <v>54.298159477129133</v>
      </c>
      <c r="AQ67">
        <v>0</v>
      </c>
      <c r="AR67">
        <v>0</v>
      </c>
      <c r="AS67">
        <v>487.91015732059122</v>
      </c>
      <c r="AT67">
        <v>0</v>
      </c>
      <c r="AU67">
        <v>0</v>
      </c>
      <c r="AV67">
        <v>21.404943684474404</v>
      </c>
      <c r="AW67">
        <v>7.9412786071499997E-5</v>
      </c>
      <c r="AX67">
        <v>0</v>
      </c>
      <c r="AY67">
        <v>448.44611470045652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2">
      <c r="A68" t="s">
        <v>1239</v>
      </c>
      <c r="B68" t="s">
        <v>1173</v>
      </c>
      <c r="C68" t="s">
        <v>75</v>
      </c>
      <c r="D68">
        <v>2017</v>
      </c>
      <c r="E68" t="s">
        <v>1174</v>
      </c>
      <c r="F68" t="s">
        <v>1175</v>
      </c>
      <c r="G68">
        <v>7204.0269324933006</v>
      </c>
      <c r="H68">
        <v>6932.0915213225153</v>
      </c>
      <c r="I68">
        <v>271.9354111702321</v>
      </c>
      <c r="J68">
        <v>207.67056477998565</v>
      </c>
      <c r="K68">
        <v>985.36404387181551</v>
      </c>
      <c r="L68">
        <v>103.04691631610996</v>
      </c>
      <c r="M68">
        <v>188.66704146110334</v>
      </c>
      <c r="N68">
        <v>4871.8468439537955</v>
      </c>
      <c r="O68">
        <v>575.49611093970509</v>
      </c>
      <c r="P68">
        <v>271.9354111702321</v>
      </c>
      <c r="Q68">
        <v>0</v>
      </c>
      <c r="R68">
        <v>0</v>
      </c>
      <c r="S68">
        <v>10.033628120217097</v>
      </c>
      <c r="T68">
        <v>197.63693665976857</v>
      </c>
      <c r="U68">
        <v>0</v>
      </c>
      <c r="V68">
        <v>625.79247120476566</v>
      </c>
      <c r="W68">
        <v>36.490621063607101</v>
      </c>
      <c r="X68">
        <v>21.919181226950016</v>
      </c>
      <c r="Y68">
        <v>14.765113775591901</v>
      </c>
      <c r="Z68">
        <v>286.39665660090071</v>
      </c>
      <c r="AA68">
        <v>0</v>
      </c>
      <c r="AB68">
        <v>0.78497445989100001</v>
      </c>
      <c r="AC68">
        <v>10.58266542429635</v>
      </c>
      <c r="AD68">
        <v>0</v>
      </c>
      <c r="AE68">
        <v>85.131848680423218</v>
      </c>
      <c r="AF68">
        <v>6.5474277514993906</v>
      </c>
      <c r="AG68">
        <v>58.953260975465454</v>
      </c>
      <c r="AH68">
        <v>70.201707454416621</v>
      </c>
      <c r="AI68">
        <v>3.8457182944999992</v>
      </c>
      <c r="AJ68">
        <v>12.270825178306151</v>
      </c>
      <c r="AK68">
        <v>43.395529558415106</v>
      </c>
      <c r="AL68">
        <v>0</v>
      </c>
      <c r="AM68">
        <v>4871.8468439537955</v>
      </c>
      <c r="AN68">
        <v>460.63752045845024</v>
      </c>
      <c r="AO68">
        <v>77.570330429771687</v>
      </c>
      <c r="AP68">
        <v>37.288260051483142</v>
      </c>
      <c r="AQ68">
        <v>0</v>
      </c>
      <c r="AR68">
        <v>0</v>
      </c>
      <c r="AS68">
        <v>0</v>
      </c>
      <c r="AT68">
        <v>211.5964576282835</v>
      </c>
      <c r="AU68">
        <v>0</v>
      </c>
      <c r="AV68">
        <v>16.884826689775899</v>
      </c>
      <c r="AW68">
        <v>0</v>
      </c>
      <c r="AX68">
        <v>0</v>
      </c>
      <c r="AY68">
        <v>43.454126852172685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">
      <c r="A69" t="s">
        <v>1240</v>
      </c>
      <c r="B69" t="s">
        <v>1173</v>
      </c>
      <c r="C69" t="s">
        <v>76</v>
      </c>
      <c r="D69">
        <v>2017</v>
      </c>
      <c r="E69" t="s">
        <v>1174</v>
      </c>
      <c r="F69" t="s">
        <v>1175</v>
      </c>
      <c r="G69">
        <v>5762.8048768549006</v>
      </c>
      <c r="H69">
        <v>5280.5701808352314</v>
      </c>
      <c r="I69">
        <v>482.23469602003405</v>
      </c>
      <c r="J69">
        <v>402.31301988037052</v>
      </c>
      <c r="K69">
        <v>3029.4147763395163</v>
      </c>
      <c r="L69">
        <v>147.81541603096068</v>
      </c>
      <c r="M69">
        <v>593.98410641100577</v>
      </c>
      <c r="N69">
        <v>860.07247079805222</v>
      </c>
      <c r="O69">
        <v>246.97039137532551</v>
      </c>
      <c r="P69">
        <v>482.23469602003405</v>
      </c>
      <c r="Q69">
        <v>0</v>
      </c>
      <c r="R69">
        <v>0</v>
      </c>
      <c r="S69">
        <v>65.479064949501392</v>
      </c>
      <c r="T69">
        <v>336.83395493086914</v>
      </c>
      <c r="U69">
        <v>0</v>
      </c>
      <c r="V69">
        <v>2082.607587123649</v>
      </c>
      <c r="W69">
        <v>88.140266031535873</v>
      </c>
      <c r="X69">
        <v>67.847836190389302</v>
      </c>
      <c r="Y69">
        <v>284.76493343729521</v>
      </c>
      <c r="Z69">
        <v>506.0541535566469</v>
      </c>
      <c r="AA69">
        <v>0</v>
      </c>
      <c r="AB69">
        <v>8.5060351888600003</v>
      </c>
      <c r="AC69">
        <v>31.590218498031302</v>
      </c>
      <c r="AD69">
        <v>24.228506911909601</v>
      </c>
      <c r="AE69">
        <v>79.296742448911814</v>
      </c>
      <c r="AF69">
        <v>4.19391298324794</v>
      </c>
      <c r="AG69">
        <v>420.8721789638077</v>
      </c>
      <c r="AH69">
        <v>163.12454705578764</v>
      </c>
      <c r="AI69">
        <v>9.8076667879864008</v>
      </c>
      <c r="AJ69">
        <v>0</v>
      </c>
      <c r="AK69">
        <v>0.179713603424</v>
      </c>
      <c r="AL69">
        <v>3.5854972708805604</v>
      </c>
      <c r="AM69">
        <v>856.4869735271717</v>
      </c>
      <c r="AN69">
        <v>217.24787347644948</v>
      </c>
      <c r="AO69">
        <v>24.340234090726025</v>
      </c>
      <c r="AP69">
        <v>5.3822838081499995</v>
      </c>
      <c r="AQ69">
        <v>0</v>
      </c>
      <c r="AR69">
        <v>0</v>
      </c>
      <c r="AS69">
        <v>194.4087261623456</v>
      </c>
      <c r="AT69">
        <v>0</v>
      </c>
      <c r="AU69">
        <v>0</v>
      </c>
      <c r="AV69">
        <v>17.237751531919297</v>
      </c>
      <c r="AW69">
        <v>21.615793329183202</v>
      </c>
      <c r="AX69">
        <v>0</v>
      </c>
      <c r="AY69">
        <v>248.97242499658597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">
      <c r="A70" t="s">
        <v>1241</v>
      </c>
      <c r="B70" t="s">
        <v>1173</v>
      </c>
      <c r="C70" t="s">
        <v>705</v>
      </c>
      <c r="D70">
        <v>2017</v>
      </c>
      <c r="E70" t="s">
        <v>1174</v>
      </c>
      <c r="F70" t="s">
        <v>1175</v>
      </c>
      <c r="G70">
        <v>9883.5317520743993</v>
      </c>
      <c r="H70">
        <v>9766.1283425882229</v>
      </c>
      <c r="I70">
        <v>117.40340948669348</v>
      </c>
      <c r="J70">
        <v>239.13704192446804</v>
      </c>
      <c r="K70">
        <v>570.2172586445555</v>
      </c>
      <c r="L70">
        <v>57.519538426383264</v>
      </c>
      <c r="M70">
        <v>134.60826769601022</v>
      </c>
      <c r="N70">
        <v>5744.0159440792304</v>
      </c>
      <c r="O70">
        <v>3020.6302918175757</v>
      </c>
      <c r="P70">
        <v>117.40340948669348</v>
      </c>
      <c r="Q70">
        <v>0</v>
      </c>
      <c r="R70">
        <v>0</v>
      </c>
      <c r="S70">
        <v>21.789650950931218</v>
      </c>
      <c r="T70">
        <v>217.34739097353682</v>
      </c>
      <c r="U70">
        <v>0</v>
      </c>
      <c r="V70">
        <v>397.48559015397603</v>
      </c>
      <c r="W70">
        <v>12.5051861871348</v>
      </c>
      <c r="X70">
        <v>74.175675949599068</v>
      </c>
      <c r="Y70">
        <v>9.0257333818599985</v>
      </c>
      <c r="Z70">
        <v>77.025072971985594</v>
      </c>
      <c r="AA70">
        <v>0</v>
      </c>
      <c r="AB70">
        <v>2.3404950753500002</v>
      </c>
      <c r="AC70">
        <v>13.874446995428901</v>
      </c>
      <c r="AD70">
        <v>0</v>
      </c>
      <c r="AE70">
        <v>41.304596355604367</v>
      </c>
      <c r="AF70">
        <v>0</v>
      </c>
      <c r="AG70">
        <v>7.7902712895694002</v>
      </c>
      <c r="AH70">
        <v>55.5944077212514</v>
      </c>
      <c r="AI70">
        <v>0.96571837676600003</v>
      </c>
      <c r="AJ70">
        <v>2.31800053115</v>
      </c>
      <c r="AK70">
        <v>67.939869777273415</v>
      </c>
      <c r="AL70">
        <v>2.2274532576003003</v>
      </c>
      <c r="AM70">
        <v>5741.7884908216301</v>
      </c>
      <c r="AN70">
        <v>1465.1922461296354</v>
      </c>
      <c r="AO70">
        <v>1518.2549358937783</v>
      </c>
      <c r="AP70">
        <v>37.183109794161894</v>
      </c>
      <c r="AQ70">
        <v>0</v>
      </c>
      <c r="AR70">
        <v>0</v>
      </c>
      <c r="AS70">
        <v>0</v>
      </c>
      <c r="AT70">
        <v>58.12465004536817</v>
      </c>
      <c r="AU70">
        <v>0</v>
      </c>
      <c r="AV70">
        <v>2.2701474622099997</v>
      </c>
      <c r="AW70">
        <v>0</v>
      </c>
      <c r="AX70">
        <v>0</v>
      </c>
      <c r="AY70">
        <v>57.008611979115315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">
      <c r="A71" t="s">
        <v>1242</v>
      </c>
      <c r="B71" t="s">
        <v>1173</v>
      </c>
      <c r="C71" t="s">
        <v>83</v>
      </c>
      <c r="D71">
        <v>2017</v>
      </c>
      <c r="E71" t="s">
        <v>1174</v>
      </c>
      <c r="F71" t="s">
        <v>1175</v>
      </c>
      <c r="G71">
        <v>8750.2677622820011</v>
      </c>
      <c r="H71">
        <v>8521.3350190751426</v>
      </c>
      <c r="I71">
        <v>228.93274320847456</v>
      </c>
      <c r="J71">
        <v>200.26223008126351</v>
      </c>
      <c r="K71">
        <v>511.65100080348225</v>
      </c>
      <c r="L71">
        <v>18.854285195213947</v>
      </c>
      <c r="M71">
        <v>312.89426424307624</v>
      </c>
      <c r="N71">
        <v>4691.7532334335192</v>
      </c>
      <c r="O71">
        <v>2785.9200053185873</v>
      </c>
      <c r="P71">
        <v>228.93274320847456</v>
      </c>
      <c r="Q71">
        <v>0</v>
      </c>
      <c r="R71">
        <v>0</v>
      </c>
      <c r="S71">
        <v>12.7917684258134</v>
      </c>
      <c r="T71">
        <v>187.47046165545012</v>
      </c>
      <c r="U71">
        <v>0</v>
      </c>
      <c r="V71">
        <v>377.65196816637985</v>
      </c>
      <c r="W71">
        <v>18.0815690176678</v>
      </c>
      <c r="X71">
        <v>3.1990635060920001</v>
      </c>
      <c r="Y71">
        <v>15.466702442046799</v>
      </c>
      <c r="Z71">
        <v>97.251697671295815</v>
      </c>
      <c r="AA71">
        <v>0</v>
      </c>
      <c r="AB71">
        <v>3.2786051643320002</v>
      </c>
      <c r="AC71">
        <v>8.3609500118641016</v>
      </c>
      <c r="AD71">
        <v>0</v>
      </c>
      <c r="AE71">
        <v>2.7892130099999002</v>
      </c>
      <c r="AF71">
        <v>4.4255170090179483</v>
      </c>
      <c r="AG71">
        <v>30.220567333154804</v>
      </c>
      <c r="AH71">
        <v>55.186741650729381</v>
      </c>
      <c r="AI71">
        <v>2.02168105778</v>
      </c>
      <c r="AJ71">
        <v>46.774998279671181</v>
      </c>
      <c r="AK71">
        <v>178.69027592174086</v>
      </c>
      <c r="AL71">
        <v>0</v>
      </c>
      <c r="AM71">
        <v>4691.7532334335192</v>
      </c>
      <c r="AN71">
        <v>2560.4159056726789</v>
      </c>
      <c r="AO71">
        <v>204.77963974971624</v>
      </c>
      <c r="AP71">
        <v>20.724459896192197</v>
      </c>
      <c r="AQ71">
        <v>0</v>
      </c>
      <c r="AR71">
        <v>0</v>
      </c>
      <c r="AS71">
        <v>0</v>
      </c>
      <c r="AT71">
        <v>212.88917949723984</v>
      </c>
      <c r="AU71">
        <v>0</v>
      </c>
      <c r="AV71">
        <v>11.83818212051</v>
      </c>
      <c r="AW71">
        <v>0</v>
      </c>
      <c r="AX71">
        <v>0</v>
      </c>
      <c r="AY71">
        <v>4.2053815907247412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">
      <c r="A72" t="s">
        <v>1243</v>
      </c>
      <c r="B72" t="s">
        <v>1173</v>
      </c>
      <c r="C72" t="s">
        <v>768</v>
      </c>
      <c r="D72">
        <v>2017</v>
      </c>
      <c r="E72" t="s">
        <v>1174</v>
      </c>
      <c r="F72" t="s">
        <v>1175</v>
      </c>
      <c r="G72">
        <v>4723.3271020133006</v>
      </c>
      <c r="H72">
        <v>4595.7565183301713</v>
      </c>
      <c r="I72">
        <v>127.57058368436776</v>
      </c>
      <c r="J72">
        <v>169.53463375471819</v>
      </c>
      <c r="K72">
        <v>863.80382423663673</v>
      </c>
      <c r="L72">
        <v>45.958296821182564</v>
      </c>
      <c r="M72">
        <v>238.60630189677516</v>
      </c>
      <c r="N72">
        <v>1530.3768768759674</v>
      </c>
      <c r="O72">
        <v>1747.4765847448912</v>
      </c>
      <c r="P72">
        <v>127.57058368436776</v>
      </c>
      <c r="Q72">
        <v>0</v>
      </c>
      <c r="R72">
        <v>0</v>
      </c>
      <c r="S72">
        <v>23.935628985646197</v>
      </c>
      <c r="T72">
        <v>145.599004769072</v>
      </c>
      <c r="U72">
        <v>0</v>
      </c>
      <c r="V72">
        <v>653.56296090241983</v>
      </c>
      <c r="W72">
        <v>27.808047800524399</v>
      </c>
      <c r="X72">
        <v>19.151604028508071</v>
      </c>
      <c r="Y72">
        <v>96.196176428109695</v>
      </c>
      <c r="Z72">
        <v>67.085035077074863</v>
      </c>
      <c r="AA72">
        <v>0</v>
      </c>
      <c r="AB72">
        <v>2.7264114541530997</v>
      </c>
      <c r="AC72">
        <v>17.853214587512895</v>
      </c>
      <c r="AD72">
        <v>0</v>
      </c>
      <c r="AE72">
        <v>18.627482654594399</v>
      </c>
      <c r="AF72">
        <v>6.7511881249221712</v>
      </c>
      <c r="AG72">
        <v>40.533233074941897</v>
      </c>
      <c r="AH72">
        <v>123.86562466334023</v>
      </c>
      <c r="AI72">
        <v>3.0842199124726002</v>
      </c>
      <c r="AJ72">
        <v>6.3482856156480008</v>
      </c>
      <c r="AK72">
        <v>64.774938630372432</v>
      </c>
      <c r="AL72">
        <v>0</v>
      </c>
      <c r="AM72">
        <v>1530.3768768759674</v>
      </c>
      <c r="AN72">
        <v>1580.2119553426749</v>
      </c>
      <c r="AO72">
        <v>138.77721780641943</v>
      </c>
      <c r="AP72">
        <v>28.4874115957969</v>
      </c>
      <c r="AQ72">
        <v>0</v>
      </c>
      <c r="AR72">
        <v>0</v>
      </c>
      <c r="AS72">
        <v>89.601457315168901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37.969126369198861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">
      <c r="A73" t="s">
        <v>1244</v>
      </c>
      <c r="B73" t="s">
        <v>1173</v>
      </c>
      <c r="C73" t="s">
        <v>85</v>
      </c>
      <c r="D73">
        <v>2017</v>
      </c>
      <c r="E73" t="s">
        <v>1174</v>
      </c>
      <c r="F73" t="s">
        <v>1175</v>
      </c>
      <c r="G73">
        <v>8434.8352311702001</v>
      </c>
      <c r="H73">
        <v>8177.4750970587902</v>
      </c>
      <c r="I73">
        <v>257.36013410780185</v>
      </c>
      <c r="J73">
        <v>247.14989653729859</v>
      </c>
      <c r="K73">
        <v>1045.5218272784116</v>
      </c>
      <c r="L73">
        <v>58.456643923283131</v>
      </c>
      <c r="M73">
        <v>186.53736307319568</v>
      </c>
      <c r="N73">
        <v>2477.2888473378634</v>
      </c>
      <c r="O73">
        <v>4162.5205189087383</v>
      </c>
      <c r="P73">
        <v>257.36013410780185</v>
      </c>
      <c r="Q73">
        <v>0</v>
      </c>
      <c r="R73">
        <v>0</v>
      </c>
      <c r="S73">
        <v>34.137361919646509</v>
      </c>
      <c r="T73">
        <v>213.01253461765208</v>
      </c>
      <c r="U73">
        <v>0</v>
      </c>
      <c r="V73">
        <v>805.71469171646038</v>
      </c>
      <c r="W73">
        <v>29.479672423878604</v>
      </c>
      <c r="X73">
        <v>1.37831915265</v>
      </c>
      <c r="Y73">
        <v>57.290881340813705</v>
      </c>
      <c r="Z73">
        <v>151.65826264460898</v>
      </c>
      <c r="AA73">
        <v>0</v>
      </c>
      <c r="AB73">
        <v>1.4228313562175001</v>
      </c>
      <c r="AC73">
        <v>28.291393819837928</v>
      </c>
      <c r="AD73">
        <v>9.3093821785850999</v>
      </c>
      <c r="AE73">
        <v>15.570716365297994</v>
      </c>
      <c r="AF73">
        <v>3.8623202033445994</v>
      </c>
      <c r="AG73">
        <v>66.7736280703825</v>
      </c>
      <c r="AH73">
        <v>65.307150767728785</v>
      </c>
      <c r="AI73">
        <v>10.174346759086001</v>
      </c>
      <c r="AJ73">
        <v>6.2859223155969994</v>
      </c>
      <c r="AK73">
        <v>37.996315160401402</v>
      </c>
      <c r="AL73">
        <v>0</v>
      </c>
      <c r="AM73">
        <v>2477.2888473378634</v>
      </c>
      <c r="AN73">
        <v>3371.3356796824173</v>
      </c>
      <c r="AO73">
        <v>740.1552714717053</v>
      </c>
      <c r="AP73">
        <v>51.029567754615805</v>
      </c>
      <c r="AQ73">
        <v>0</v>
      </c>
      <c r="AR73">
        <v>0</v>
      </c>
      <c r="AS73">
        <v>103.80638583029554</v>
      </c>
      <c r="AT73">
        <v>0</v>
      </c>
      <c r="AU73">
        <v>0</v>
      </c>
      <c r="AV73">
        <v>5.8159570797533</v>
      </c>
      <c r="AW73">
        <v>7.2300299670284991</v>
      </c>
      <c r="AX73">
        <v>0</v>
      </c>
      <c r="AY73">
        <v>140.5077612307245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">
      <c r="A74" t="s">
        <v>1245</v>
      </c>
      <c r="B74" t="s">
        <v>1173</v>
      </c>
      <c r="C74" t="s">
        <v>801</v>
      </c>
      <c r="D74">
        <v>2017</v>
      </c>
      <c r="E74" t="s">
        <v>1174</v>
      </c>
      <c r="F74" t="s">
        <v>1175</v>
      </c>
      <c r="G74">
        <v>2791.9889365433</v>
      </c>
      <c r="H74">
        <v>2789.5860362621061</v>
      </c>
      <c r="I74">
        <v>2.4029002866999996</v>
      </c>
      <c r="J74">
        <v>11.144072637024809</v>
      </c>
      <c r="K74">
        <v>66.433254730672317</v>
      </c>
      <c r="L74">
        <v>7.7322645879972995</v>
      </c>
      <c r="M74">
        <v>21.476402685597101</v>
      </c>
      <c r="N74">
        <v>61.328427236170285</v>
      </c>
      <c r="O74">
        <v>2621.4716143846445</v>
      </c>
      <c r="P74">
        <v>2.4029002866999996</v>
      </c>
      <c r="Q74">
        <v>0</v>
      </c>
      <c r="R74">
        <v>0</v>
      </c>
      <c r="S74">
        <v>0</v>
      </c>
      <c r="T74">
        <v>11.144072637024809</v>
      </c>
      <c r="U74">
        <v>0</v>
      </c>
      <c r="V74">
        <v>64.175427974796818</v>
      </c>
      <c r="W74">
        <v>0</v>
      </c>
      <c r="X74">
        <v>0</v>
      </c>
      <c r="Y74">
        <v>2.2578267558755001</v>
      </c>
      <c r="Z74">
        <v>0</v>
      </c>
      <c r="AA74">
        <v>0</v>
      </c>
      <c r="AB74">
        <v>0</v>
      </c>
      <c r="AC74">
        <v>4.2023535296999999</v>
      </c>
      <c r="AD74">
        <v>0</v>
      </c>
      <c r="AE74">
        <v>3.5299110582973001</v>
      </c>
      <c r="AF74">
        <v>0</v>
      </c>
      <c r="AG74">
        <v>3.8464964309608005</v>
      </c>
      <c r="AH74">
        <v>8.9588391013662996</v>
      </c>
      <c r="AI74">
        <v>0</v>
      </c>
      <c r="AJ74">
        <v>8.6710671532700001</v>
      </c>
      <c r="AK74">
        <v>0</v>
      </c>
      <c r="AL74">
        <v>0</v>
      </c>
      <c r="AM74">
        <v>61.328427236170285</v>
      </c>
      <c r="AN74">
        <v>1816.238089197838</v>
      </c>
      <c r="AO74">
        <v>805.23352518680622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1.0408577267099999</v>
      </c>
      <c r="AW74">
        <v>0</v>
      </c>
      <c r="AX74">
        <v>0</v>
      </c>
      <c r="AY74">
        <v>1.3620425599899999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2">
      <c r="A75" t="s">
        <v>1246</v>
      </c>
      <c r="B75" t="s">
        <v>1173</v>
      </c>
      <c r="C75" t="s">
        <v>809</v>
      </c>
      <c r="D75">
        <v>2017</v>
      </c>
      <c r="E75" t="s">
        <v>1174</v>
      </c>
      <c r="F75" t="s">
        <v>1175</v>
      </c>
      <c r="G75">
        <v>1381.4847337992999</v>
      </c>
      <c r="H75">
        <v>1378.5649335721184</v>
      </c>
      <c r="I75">
        <v>2.9198002277043118</v>
      </c>
      <c r="J75">
        <v>29.407441581052424</v>
      </c>
      <c r="K75">
        <v>216.43951792433043</v>
      </c>
      <c r="L75">
        <v>3.9458013184249996</v>
      </c>
      <c r="M75">
        <v>40.953477155657566</v>
      </c>
      <c r="N75">
        <v>925.83777462016155</v>
      </c>
      <c r="O75">
        <v>161.9809209724915</v>
      </c>
      <c r="P75">
        <v>2.9198002277043118</v>
      </c>
      <c r="Q75">
        <v>0</v>
      </c>
      <c r="R75">
        <v>0</v>
      </c>
      <c r="S75">
        <v>0</v>
      </c>
      <c r="T75">
        <v>29.407441581052424</v>
      </c>
      <c r="U75">
        <v>0</v>
      </c>
      <c r="V75">
        <v>153.21458357623044</v>
      </c>
      <c r="W75">
        <v>1.3513115956400001</v>
      </c>
      <c r="X75">
        <v>0</v>
      </c>
      <c r="Y75">
        <v>8.0222078324399995</v>
      </c>
      <c r="Z75">
        <v>53.851414920019998</v>
      </c>
      <c r="AA75">
        <v>0</v>
      </c>
      <c r="AB75">
        <v>0</v>
      </c>
      <c r="AC75">
        <v>3.9458013184249996</v>
      </c>
      <c r="AD75">
        <v>0</v>
      </c>
      <c r="AE75">
        <v>0</v>
      </c>
      <c r="AF75">
        <v>0</v>
      </c>
      <c r="AG75">
        <v>10.486372871833</v>
      </c>
      <c r="AH75">
        <v>18.177853293283096</v>
      </c>
      <c r="AI75">
        <v>1.6304468321854999</v>
      </c>
      <c r="AJ75">
        <v>1.02571792018</v>
      </c>
      <c r="AK75">
        <v>9.6330862381759719</v>
      </c>
      <c r="AL75">
        <v>0</v>
      </c>
      <c r="AM75">
        <v>925.83777462016155</v>
      </c>
      <c r="AN75">
        <v>158.4961444573585</v>
      </c>
      <c r="AO75">
        <v>3.4847765151329999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2.9198002277043118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">
      <c r="A76" t="s">
        <v>1247</v>
      </c>
      <c r="B76" t="s">
        <v>1173</v>
      </c>
      <c r="C76" t="s">
        <v>95</v>
      </c>
      <c r="D76">
        <v>2017</v>
      </c>
      <c r="E76" t="s">
        <v>1174</v>
      </c>
      <c r="F76" t="s">
        <v>1175</v>
      </c>
      <c r="G76">
        <v>3551.2546283017</v>
      </c>
      <c r="H76">
        <v>3279.8899056443688</v>
      </c>
      <c r="I76">
        <v>271.3647226572279</v>
      </c>
      <c r="J76">
        <v>214.84084837145036</v>
      </c>
      <c r="K76">
        <v>1062.4685308590724</v>
      </c>
      <c r="L76">
        <v>74.614291992897904</v>
      </c>
      <c r="M76">
        <v>149.091035597174</v>
      </c>
      <c r="N76">
        <v>1755.1191595242817</v>
      </c>
      <c r="O76">
        <v>23.756039299492546</v>
      </c>
      <c r="P76">
        <v>271.3647226572279</v>
      </c>
      <c r="Q76">
        <v>0</v>
      </c>
      <c r="R76">
        <v>0</v>
      </c>
      <c r="S76">
        <v>43.10642140835305</v>
      </c>
      <c r="T76">
        <v>171.73442696309732</v>
      </c>
      <c r="U76">
        <v>0</v>
      </c>
      <c r="V76">
        <v>571.71992546285946</v>
      </c>
      <c r="W76">
        <v>51.028071165962899</v>
      </c>
      <c r="X76">
        <v>17.647065534633597</v>
      </c>
      <c r="Y76">
        <v>49.468407719834204</v>
      </c>
      <c r="Z76">
        <v>372.60506097578218</v>
      </c>
      <c r="AA76">
        <v>6.4177749078700008E-3</v>
      </c>
      <c r="AB76">
        <v>0</v>
      </c>
      <c r="AC76">
        <v>7.4808278464006008</v>
      </c>
      <c r="AD76">
        <v>0</v>
      </c>
      <c r="AE76">
        <v>56.458007203037127</v>
      </c>
      <c r="AF76">
        <v>10.669039168552297</v>
      </c>
      <c r="AG76">
        <v>87.906758016264817</v>
      </c>
      <c r="AH76">
        <v>55.316959876005797</v>
      </c>
      <c r="AI76">
        <v>0.58617236816000007</v>
      </c>
      <c r="AJ76">
        <v>0</v>
      </c>
      <c r="AK76">
        <v>5.2811453367433998</v>
      </c>
      <c r="AL76">
        <v>0</v>
      </c>
      <c r="AM76">
        <v>1755.1191595242817</v>
      </c>
      <c r="AN76">
        <v>21.761799056542696</v>
      </c>
      <c r="AO76">
        <v>1.9914731522434999</v>
      </c>
      <c r="AP76">
        <v>2.76709070635E-3</v>
      </c>
      <c r="AQ76">
        <v>0</v>
      </c>
      <c r="AR76">
        <v>0</v>
      </c>
      <c r="AS76">
        <v>104.29239447937546</v>
      </c>
      <c r="AT76">
        <v>0</v>
      </c>
      <c r="AU76">
        <v>0</v>
      </c>
      <c r="AV76">
        <v>8.8797088009779994</v>
      </c>
      <c r="AW76">
        <v>0</v>
      </c>
      <c r="AX76">
        <v>0</v>
      </c>
      <c r="AY76">
        <v>158.19261937687446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2">
      <c r="A77" t="s">
        <v>1248</v>
      </c>
      <c r="B77" t="s">
        <v>1173</v>
      </c>
      <c r="C77" t="s">
        <v>957</v>
      </c>
      <c r="D77">
        <v>2017</v>
      </c>
      <c r="E77" t="s">
        <v>1174</v>
      </c>
      <c r="F77" t="s">
        <v>1175</v>
      </c>
      <c r="G77">
        <v>12646.8690858842</v>
      </c>
      <c r="H77">
        <v>12292.537781597855</v>
      </c>
      <c r="I77">
        <v>354.33130428690652</v>
      </c>
      <c r="J77">
        <v>381.26721968486459</v>
      </c>
      <c r="K77">
        <v>676.43305099649456</v>
      </c>
      <c r="L77">
        <v>92.82686239833815</v>
      </c>
      <c r="M77">
        <v>309.65842357773994</v>
      </c>
      <c r="N77">
        <v>9929.6049400517823</v>
      </c>
      <c r="O77">
        <v>902.74728488863525</v>
      </c>
      <c r="P77">
        <v>354.33130428690652</v>
      </c>
      <c r="Q77">
        <v>0</v>
      </c>
      <c r="R77">
        <v>0</v>
      </c>
      <c r="S77">
        <v>27.342996388088306</v>
      </c>
      <c r="T77">
        <v>318.17320787995686</v>
      </c>
      <c r="U77">
        <v>35.751015416819456</v>
      </c>
      <c r="V77">
        <v>437.47806536366295</v>
      </c>
      <c r="W77">
        <v>19.978444239743599</v>
      </c>
      <c r="X77">
        <v>51.962085185888895</v>
      </c>
      <c r="Y77">
        <v>54.026415602516614</v>
      </c>
      <c r="Z77">
        <v>112.98804060468255</v>
      </c>
      <c r="AA77">
        <v>48.06304189687711</v>
      </c>
      <c r="AB77">
        <v>3.6078125137605408</v>
      </c>
      <c r="AC77">
        <v>11.068869794462401</v>
      </c>
      <c r="AD77">
        <v>0</v>
      </c>
      <c r="AE77">
        <v>16.74241369784</v>
      </c>
      <c r="AF77">
        <v>13.344724495398093</v>
      </c>
      <c r="AG77">
        <v>48.535998009802</v>
      </c>
      <c r="AH77">
        <v>92.231060536030128</v>
      </c>
      <c r="AI77">
        <v>5.6114073823518993</v>
      </c>
      <c r="AJ77">
        <v>118.20627583556352</v>
      </c>
      <c r="AK77">
        <v>45.073681813992394</v>
      </c>
      <c r="AL77">
        <v>18.879500735390597</v>
      </c>
      <c r="AM77">
        <v>9910.7254393163912</v>
      </c>
      <c r="AN77">
        <v>883.572097854189</v>
      </c>
      <c r="AO77">
        <v>12.473480716906</v>
      </c>
      <c r="AP77">
        <v>6.7017063175402001</v>
      </c>
      <c r="AQ77">
        <v>0</v>
      </c>
      <c r="AR77">
        <v>0</v>
      </c>
      <c r="AS77">
        <v>94.504601655463006</v>
      </c>
      <c r="AT77">
        <v>0</v>
      </c>
      <c r="AU77">
        <v>0</v>
      </c>
      <c r="AV77">
        <v>106.63937372217259</v>
      </c>
      <c r="AW77">
        <v>0</v>
      </c>
      <c r="AX77">
        <v>0</v>
      </c>
      <c r="AY77">
        <v>153.18732890927089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">
      <c r="A78" t="s">
        <v>1249</v>
      </c>
      <c r="B78" t="s">
        <v>1173</v>
      </c>
      <c r="C78" t="s">
        <v>973</v>
      </c>
      <c r="D78">
        <v>2017</v>
      </c>
      <c r="E78" t="s">
        <v>1174</v>
      </c>
      <c r="F78" t="s">
        <v>1175</v>
      </c>
      <c r="G78">
        <v>3235.9864993167002</v>
      </c>
      <c r="H78">
        <v>3041.9446429110262</v>
      </c>
      <c r="I78">
        <v>194.04185640556966</v>
      </c>
      <c r="J78">
        <v>84.319311984511572</v>
      </c>
      <c r="K78">
        <v>740.50837177985341</v>
      </c>
      <c r="L78">
        <v>46.749420484167793</v>
      </c>
      <c r="M78">
        <v>121.24269948764007</v>
      </c>
      <c r="N78">
        <v>1509.6172294992987</v>
      </c>
      <c r="O78">
        <v>539.50760967555482</v>
      </c>
      <c r="P78">
        <v>194.04185640556966</v>
      </c>
      <c r="Q78">
        <v>0</v>
      </c>
      <c r="R78">
        <v>0</v>
      </c>
      <c r="S78">
        <v>0</v>
      </c>
      <c r="T78">
        <v>84.319311984511572</v>
      </c>
      <c r="U78">
        <v>0</v>
      </c>
      <c r="V78">
        <v>514.35340882406592</v>
      </c>
      <c r="W78">
        <v>23.828673303960002</v>
      </c>
      <c r="X78">
        <v>8.3632192156998002</v>
      </c>
      <c r="Y78">
        <v>103.9253956912447</v>
      </c>
      <c r="Z78">
        <v>90.037674744882892</v>
      </c>
      <c r="AA78">
        <v>0</v>
      </c>
      <c r="AB78">
        <v>0</v>
      </c>
      <c r="AC78">
        <v>6.4042893165499999</v>
      </c>
      <c r="AD78">
        <v>0</v>
      </c>
      <c r="AE78">
        <v>37.633585103013303</v>
      </c>
      <c r="AF78">
        <v>2.71154606460449</v>
      </c>
      <c r="AG78">
        <v>46.053752261571212</v>
      </c>
      <c r="AH78">
        <v>45.907037264310148</v>
      </c>
      <c r="AI78">
        <v>13.943791781548001</v>
      </c>
      <c r="AJ78">
        <v>4.5525126189199998</v>
      </c>
      <c r="AK78">
        <v>10.785605561290701</v>
      </c>
      <c r="AL78">
        <v>4.0385248537154004</v>
      </c>
      <c r="AM78">
        <v>1505.5787046455832</v>
      </c>
      <c r="AN78">
        <v>498.61040772961138</v>
      </c>
      <c r="AO78">
        <v>35.538026007896654</v>
      </c>
      <c r="AP78">
        <v>5.3591759380467003</v>
      </c>
      <c r="AQ78">
        <v>0</v>
      </c>
      <c r="AR78">
        <v>0</v>
      </c>
      <c r="AS78">
        <v>104.37648438552385</v>
      </c>
      <c r="AT78">
        <v>0</v>
      </c>
      <c r="AU78">
        <v>0</v>
      </c>
      <c r="AV78">
        <v>1.8306598632500002</v>
      </c>
      <c r="AW78">
        <v>0</v>
      </c>
      <c r="AX78">
        <v>0</v>
      </c>
      <c r="AY78">
        <v>87.834712156795817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">
      <c r="A79" t="s">
        <v>1250</v>
      </c>
      <c r="B79" t="s">
        <v>1173</v>
      </c>
      <c r="C79" t="s">
        <v>109</v>
      </c>
      <c r="D79">
        <v>2017</v>
      </c>
      <c r="E79" t="s">
        <v>1174</v>
      </c>
      <c r="F79" t="s">
        <v>1175</v>
      </c>
      <c r="G79">
        <v>783.89994539200006</v>
      </c>
      <c r="H79">
        <v>701.39626509463289</v>
      </c>
      <c r="I79">
        <v>82.503680296984598</v>
      </c>
      <c r="J79">
        <v>25.125058238236655</v>
      </c>
      <c r="K79">
        <v>288.41853449039201</v>
      </c>
      <c r="L79">
        <v>38.410849448704639</v>
      </c>
      <c r="M79">
        <v>46.29312946751314</v>
      </c>
      <c r="N79">
        <v>289.99181689944493</v>
      </c>
      <c r="O79">
        <v>13.156876550341499</v>
      </c>
      <c r="P79">
        <v>82.503680296984598</v>
      </c>
      <c r="Q79">
        <v>0</v>
      </c>
      <c r="R79">
        <v>0</v>
      </c>
      <c r="S79">
        <v>4.7109252512378799</v>
      </c>
      <c r="T79">
        <v>20.414132986998773</v>
      </c>
      <c r="U79">
        <v>0</v>
      </c>
      <c r="V79">
        <v>250.09584747810055</v>
      </c>
      <c r="W79">
        <v>3.0043318640949002</v>
      </c>
      <c r="X79">
        <v>0</v>
      </c>
      <c r="Y79">
        <v>3.9655010688939996</v>
      </c>
      <c r="Z79">
        <v>31.352854079302592</v>
      </c>
      <c r="AA79">
        <v>11.103465624</v>
      </c>
      <c r="AB79">
        <v>0</v>
      </c>
      <c r="AC79">
        <v>1.2802705170420001</v>
      </c>
      <c r="AD79">
        <v>9.5806541299933006</v>
      </c>
      <c r="AE79">
        <v>15.655305205516401</v>
      </c>
      <c r="AF79">
        <v>0.79115397215294003</v>
      </c>
      <c r="AG79">
        <v>28.172996886086139</v>
      </c>
      <c r="AH79">
        <v>17.519568394172101</v>
      </c>
      <c r="AI79">
        <v>0.60056418725490002</v>
      </c>
      <c r="AJ79">
        <v>0</v>
      </c>
      <c r="AK79">
        <v>0</v>
      </c>
      <c r="AL79">
        <v>0</v>
      </c>
      <c r="AM79">
        <v>289.99181689944493</v>
      </c>
      <c r="AN79">
        <v>10.535512235538999</v>
      </c>
      <c r="AO79">
        <v>0</v>
      </c>
      <c r="AP79">
        <v>2.6213643148024999</v>
      </c>
      <c r="AQ79">
        <v>0</v>
      </c>
      <c r="AR79">
        <v>0</v>
      </c>
      <c r="AS79">
        <v>42.530585340098995</v>
      </c>
      <c r="AT79">
        <v>0</v>
      </c>
      <c r="AU79">
        <v>0</v>
      </c>
      <c r="AV79">
        <v>0</v>
      </c>
      <c r="AW79">
        <v>9.0194467496465993</v>
      </c>
      <c r="AX79">
        <v>0</v>
      </c>
      <c r="AY79">
        <v>30.953648207239002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2">
      <c r="A80" t="s">
        <v>1251</v>
      </c>
      <c r="B80" t="s">
        <v>1173</v>
      </c>
      <c r="C80" t="s">
        <v>112</v>
      </c>
      <c r="D80">
        <v>2017</v>
      </c>
      <c r="E80" t="s">
        <v>1174</v>
      </c>
      <c r="F80" t="s">
        <v>1175</v>
      </c>
      <c r="G80">
        <v>13881.6639804277</v>
      </c>
      <c r="H80">
        <v>13813.066598874455</v>
      </c>
      <c r="I80">
        <v>68.597381556673639</v>
      </c>
      <c r="J80">
        <v>286.90076820227529</v>
      </c>
      <c r="K80">
        <v>701.18069849227413</v>
      </c>
      <c r="L80">
        <v>82.080667327695366</v>
      </c>
      <c r="M80">
        <v>363.20133032418244</v>
      </c>
      <c r="N80">
        <v>10388.615378696006</v>
      </c>
      <c r="O80">
        <v>1991.0877558320219</v>
      </c>
      <c r="P80">
        <v>68.597381556673639</v>
      </c>
      <c r="Q80">
        <v>0</v>
      </c>
      <c r="R80">
        <v>0</v>
      </c>
      <c r="S80">
        <v>21.364633039801355</v>
      </c>
      <c r="T80">
        <v>265.53613516247395</v>
      </c>
      <c r="U80">
        <v>0</v>
      </c>
      <c r="V80">
        <v>435.90996300344432</v>
      </c>
      <c r="W80">
        <v>44.186694598331265</v>
      </c>
      <c r="X80">
        <v>24.198697948481399</v>
      </c>
      <c r="Y80">
        <v>31.215343208294101</v>
      </c>
      <c r="Z80">
        <v>165.66999973372302</v>
      </c>
      <c r="AA80">
        <v>25.503892786531505</v>
      </c>
      <c r="AB80">
        <v>5.4293622311500007</v>
      </c>
      <c r="AC80">
        <v>12.201369865483199</v>
      </c>
      <c r="AD80">
        <v>26.038347386342998</v>
      </c>
      <c r="AE80">
        <v>11.1178693841946</v>
      </c>
      <c r="AF80">
        <v>1.78982567399305</v>
      </c>
      <c r="AG80">
        <v>32.579643737813505</v>
      </c>
      <c r="AH80">
        <v>88.987235377710604</v>
      </c>
      <c r="AI80">
        <v>4.5871271055400005</v>
      </c>
      <c r="AJ80">
        <v>22.42329913665677</v>
      </c>
      <c r="AK80">
        <v>214.62402496646158</v>
      </c>
      <c r="AL80">
        <v>1.38343076768</v>
      </c>
      <c r="AM80">
        <v>10387.231947928325</v>
      </c>
      <c r="AN80">
        <v>1902.0295160750672</v>
      </c>
      <c r="AO80">
        <v>42.797876238850193</v>
      </c>
      <c r="AP80">
        <v>46.260363518104491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34.3875403054288</v>
      </c>
      <c r="AW80">
        <v>0</v>
      </c>
      <c r="AX80">
        <v>0</v>
      </c>
      <c r="AY80">
        <v>34.209841251244832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">
      <c r="A81" t="s">
        <v>1252</v>
      </c>
      <c r="B81" t="s">
        <v>1173</v>
      </c>
      <c r="C81" t="s">
        <v>111</v>
      </c>
      <c r="D81">
        <v>2017</v>
      </c>
      <c r="E81" t="s">
        <v>1174</v>
      </c>
      <c r="F81" t="s">
        <v>1175</v>
      </c>
      <c r="G81">
        <v>6956.3657771408007</v>
      </c>
      <c r="H81">
        <v>6603.894089186073</v>
      </c>
      <c r="I81">
        <v>352.47168795516484</v>
      </c>
      <c r="J81">
        <v>290.02898910157143</v>
      </c>
      <c r="K81">
        <v>1064.4408637801705</v>
      </c>
      <c r="L81">
        <v>31.206096050093414</v>
      </c>
      <c r="M81">
        <v>301.88718460870535</v>
      </c>
      <c r="N81">
        <v>4381.1593243833504</v>
      </c>
      <c r="O81">
        <v>535.17163126218213</v>
      </c>
      <c r="P81">
        <v>352.47168795516484</v>
      </c>
      <c r="Q81">
        <v>0</v>
      </c>
      <c r="R81">
        <v>0</v>
      </c>
      <c r="S81">
        <v>16.454917919989093</v>
      </c>
      <c r="T81">
        <v>273.57407118158233</v>
      </c>
      <c r="U81">
        <v>0</v>
      </c>
      <c r="V81">
        <v>667.43932907829856</v>
      </c>
      <c r="W81">
        <v>19.71062509475464</v>
      </c>
      <c r="X81">
        <v>23.918455842277599</v>
      </c>
      <c r="Y81">
        <v>22.6790289422397</v>
      </c>
      <c r="Z81">
        <v>330.69342482259998</v>
      </c>
      <c r="AA81">
        <v>0</v>
      </c>
      <c r="AB81">
        <v>0</v>
      </c>
      <c r="AC81">
        <v>4.6163924807691004</v>
      </c>
      <c r="AD81">
        <v>0</v>
      </c>
      <c r="AE81">
        <v>24.594079571061112</v>
      </c>
      <c r="AF81">
        <v>1.9956239982632002</v>
      </c>
      <c r="AG81">
        <v>92.513632661231327</v>
      </c>
      <c r="AH81">
        <v>126.88804301982817</v>
      </c>
      <c r="AI81">
        <v>9.3914153181416005</v>
      </c>
      <c r="AJ81">
        <v>46.279466058114203</v>
      </c>
      <c r="AK81">
        <v>26.814627551390068</v>
      </c>
      <c r="AL81">
        <v>3.2011236623495907</v>
      </c>
      <c r="AM81">
        <v>4377.958200721001</v>
      </c>
      <c r="AN81">
        <v>498.62486249837252</v>
      </c>
      <c r="AO81">
        <v>25.072649641875621</v>
      </c>
      <c r="AP81">
        <v>11.474119121934001</v>
      </c>
      <c r="AQ81">
        <v>0</v>
      </c>
      <c r="AR81">
        <v>0</v>
      </c>
      <c r="AS81">
        <v>93.758443137722608</v>
      </c>
      <c r="AT81">
        <v>0</v>
      </c>
      <c r="AU81">
        <v>0</v>
      </c>
      <c r="AV81">
        <v>71.533293166845112</v>
      </c>
      <c r="AW81">
        <v>0</v>
      </c>
      <c r="AX81">
        <v>0</v>
      </c>
      <c r="AY81">
        <v>187.17995165059713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">
      <c r="A82" t="s">
        <v>1253</v>
      </c>
      <c r="B82" t="s">
        <v>1173</v>
      </c>
      <c r="C82" t="s">
        <v>114</v>
      </c>
      <c r="D82">
        <v>2017</v>
      </c>
      <c r="E82" t="s">
        <v>1174</v>
      </c>
      <c r="F82" t="s">
        <v>1175</v>
      </c>
      <c r="G82">
        <v>8904.2926232583995</v>
      </c>
      <c r="H82">
        <v>7864.9633474631064</v>
      </c>
      <c r="I82">
        <v>1039.3292757944012</v>
      </c>
      <c r="J82">
        <v>321.39919093876034</v>
      </c>
      <c r="K82">
        <v>817.43970714585225</v>
      </c>
      <c r="L82">
        <v>89.53077650151846</v>
      </c>
      <c r="M82">
        <v>181.4173204095531</v>
      </c>
      <c r="N82">
        <v>5947.1175130713946</v>
      </c>
      <c r="O82">
        <v>508.05883939602745</v>
      </c>
      <c r="P82">
        <v>1039.3292757944012</v>
      </c>
      <c r="Q82">
        <v>0</v>
      </c>
      <c r="R82">
        <v>0</v>
      </c>
      <c r="S82">
        <v>17.576041239690792</v>
      </c>
      <c r="T82">
        <v>303.82314969906957</v>
      </c>
      <c r="U82">
        <v>0</v>
      </c>
      <c r="V82">
        <v>472.50978919404969</v>
      </c>
      <c r="W82">
        <v>29.770617074537853</v>
      </c>
      <c r="X82">
        <v>15.394483164683002</v>
      </c>
      <c r="Y82">
        <v>25.880571837468008</v>
      </c>
      <c r="Z82">
        <v>273.88424587511378</v>
      </c>
      <c r="AA82">
        <v>6.5424390969062003</v>
      </c>
      <c r="AB82">
        <v>0.84604328742779999</v>
      </c>
      <c r="AC82">
        <v>13.238285723190799</v>
      </c>
      <c r="AD82">
        <v>1.1894790491036</v>
      </c>
      <c r="AE82">
        <v>50.809075458226495</v>
      </c>
      <c r="AF82">
        <v>16.905453886663569</v>
      </c>
      <c r="AG82">
        <v>48.569340901610602</v>
      </c>
      <c r="AH82">
        <v>66.938578879951379</v>
      </c>
      <c r="AI82">
        <v>1.7357356833450002</v>
      </c>
      <c r="AJ82">
        <v>33.525813147248613</v>
      </c>
      <c r="AK82">
        <v>30.647851797397493</v>
      </c>
      <c r="AL82">
        <v>395.5586112373233</v>
      </c>
      <c r="AM82">
        <v>5551.5589018340715</v>
      </c>
      <c r="AN82">
        <v>228.26413472707915</v>
      </c>
      <c r="AO82">
        <v>21.797467947326599</v>
      </c>
      <c r="AP82">
        <v>257.99723672162168</v>
      </c>
      <c r="AQ82">
        <v>0</v>
      </c>
      <c r="AR82">
        <v>0</v>
      </c>
      <c r="AS82">
        <v>470.30943446525299</v>
      </c>
      <c r="AT82">
        <v>0</v>
      </c>
      <c r="AU82">
        <v>0</v>
      </c>
      <c r="AV82">
        <v>24.012317118199579</v>
      </c>
      <c r="AW82">
        <v>0</v>
      </c>
      <c r="AX82">
        <v>0</v>
      </c>
      <c r="AY82">
        <v>545.00752421094853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2">
      <c r="A83" t="s">
        <v>1254</v>
      </c>
      <c r="B83" t="s">
        <v>1173</v>
      </c>
      <c r="C83" t="s">
        <v>116</v>
      </c>
      <c r="D83">
        <v>2017</v>
      </c>
      <c r="E83" t="s">
        <v>1174</v>
      </c>
      <c r="F83" t="s">
        <v>1175</v>
      </c>
      <c r="G83">
        <v>10610.435949662</v>
      </c>
      <c r="H83">
        <v>9261.745820815182</v>
      </c>
      <c r="I83">
        <v>1348.6901288468846</v>
      </c>
      <c r="J83">
        <v>327.35284318339058</v>
      </c>
      <c r="K83">
        <v>1123.7175461985807</v>
      </c>
      <c r="L83">
        <v>191.00207425995802</v>
      </c>
      <c r="M83">
        <v>466.53098326180771</v>
      </c>
      <c r="N83">
        <v>6788.7294677694526</v>
      </c>
      <c r="O83">
        <v>364.41290614199255</v>
      </c>
      <c r="P83">
        <v>1348.6901288468846</v>
      </c>
      <c r="Q83">
        <v>0</v>
      </c>
      <c r="R83">
        <v>0</v>
      </c>
      <c r="S83">
        <v>27.411374430844166</v>
      </c>
      <c r="T83">
        <v>299.94146875254643</v>
      </c>
      <c r="U83">
        <v>0</v>
      </c>
      <c r="V83">
        <v>740.79509758144968</v>
      </c>
      <c r="W83">
        <v>33.485290342246401</v>
      </c>
      <c r="X83">
        <v>13.969284410841899</v>
      </c>
      <c r="Y83">
        <v>23.1736477669183</v>
      </c>
      <c r="Z83">
        <v>312.29422609712458</v>
      </c>
      <c r="AA83">
        <v>25.4311847112</v>
      </c>
      <c r="AB83">
        <v>1.2098938576360001</v>
      </c>
      <c r="AC83">
        <v>11.695036278446601</v>
      </c>
      <c r="AD83">
        <v>49.867660706703909</v>
      </c>
      <c r="AE83">
        <v>76.781457962582522</v>
      </c>
      <c r="AF83">
        <v>26.016840743389011</v>
      </c>
      <c r="AG83">
        <v>66.397303995772475</v>
      </c>
      <c r="AH83">
        <v>87.863042743777001</v>
      </c>
      <c r="AI83">
        <v>3.9921053506468009</v>
      </c>
      <c r="AJ83">
        <v>191.67494184414429</v>
      </c>
      <c r="AK83">
        <v>116.60358932746713</v>
      </c>
      <c r="AL83">
        <v>4.9523658621612991</v>
      </c>
      <c r="AM83">
        <v>6783.7771019072916</v>
      </c>
      <c r="AN83">
        <v>246.85885617591757</v>
      </c>
      <c r="AO83">
        <v>19.856592225774403</v>
      </c>
      <c r="AP83">
        <v>97.697457740300607</v>
      </c>
      <c r="AQ83">
        <v>0</v>
      </c>
      <c r="AR83">
        <v>0</v>
      </c>
      <c r="AS83">
        <v>334.40726796874054</v>
      </c>
      <c r="AT83">
        <v>0</v>
      </c>
      <c r="AU83">
        <v>0</v>
      </c>
      <c r="AV83">
        <v>485.15332121419834</v>
      </c>
      <c r="AW83">
        <v>71.657312524827319</v>
      </c>
      <c r="AX83">
        <v>0</v>
      </c>
      <c r="AY83">
        <v>457.47222713911833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">
      <c r="A84" t="s">
        <v>1255</v>
      </c>
      <c r="B84" t="s">
        <v>1173</v>
      </c>
      <c r="C84" t="s">
        <v>118</v>
      </c>
      <c r="D84">
        <v>2017</v>
      </c>
      <c r="E84" t="s">
        <v>1174</v>
      </c>
      <c r="F84" t="s">
        <v>1175</v>
      </c>
      <c r="G84">
        <v>4293.4420837421994</v>
      </c>
      <c r="H84">
        <v>4091.9395823300988</v>
      </c>
      <c r="I84">
        <v>201.50250141168274</v>
      </c>
      <c r="J84">
        <v>179.85253737574203</v>
      </c>
      <c r="K84">
        <v>989.63853240726235</v>
      </c>
      <c r="L84">
        <v>113.52346734883072</v>
      </c>
      <c r="M84">
        <v>234.52814393693768</v>
      </c>
      <c r="N84">
        <v>1944.4325423093906</v>
      </c>
      <c r="O84">
        <v>629.96435895193542</v>
      </c>
      <c r="P84">
        <v>201.50250141168274</v>
      </c>
      <c r="Q84">
        <v>0</v>
      </c>
      <c r="R84">
        <v>0</v>
      </c>
      <c r="S84">
        <v>30.244521080402027</v>
      </c>
      <c r="T84">
        <v>149.60801629534001</v>
      </c>
      <c r="U84">
        <v>0</v>
      </c>
      <c r="V84">
        <v>639.86871859217626</v>
      </c>
      <c r="W84">
        <v>32.908108677919699</v>
      </c>
      <c r="X84">
        <v>44.840908910575983</v>
      </c>
      <c r="Y84">
        <v>91.303353737856185</v>
      </c>
      <c r="Z84">
        <v>180.71744248873415</v>
      </c>
      <c r="AA84">
        <v>11.220256617275</v>
      </c>
      <c r="AB84">
        <v>0</v>
      </c>
      <c r="AC84">
        <v>18.990929748281097</v>
      </c>
      <c r="AD84">
        <v>0</v>
      </c>
      <c r="AE84">
        <v>75.857569646937989</v>
      </c>
      <c r="AF84">
        <v>7.4547113363366471</v>
      </c>
      <c r="AG84">
        <v>114.2359869368123</v>
      </c>
      <c r="AH84">
        <v>68.13738410911516</v>
      </c>
      <c r="AI84">
        <v>18.786160343880812</v>
      </c>
      <c r="AJ84">
        <v>12.163917649465398</v>
      </c>
      <c r="AK84">
        <v>21.204694897664005</v>
      </c>
      <c r="AL84">
        <v>13.684083391976802</v>
      </c>
      <c r="AM84">
        <v>1930.7484589174137</v>
      </c>
      <c r="AN84">
        <v>575.98744715439989</v>
      </c>
      <c r="AO84">
        <v>8.8776695843758784</v>
      </c>
      <c r="AP84">
        <v>45.099242213159663</v>
      </c>
      <c r="AQ84">
        <v>0</v>
      </c>
      <c r="AR84">
        <v>0</v>
      </c>
      <c r="AS84">
        <v>72.508629377256909</v>
      </c>
      <c r="AT84">
        <v>0</v>
      </c>
      <c r="AU84">
        <v>0</v>
      </c>
      <c r="AV84">
        <v>34.947158121921461</v>
      </c>
      <c r="AW84">
        <v>0</v>
      </c>
      <c r="AX84">
        <v>0</v>
      </c>
      <c r="AY84">
        <v>94.046713912504373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">
      <c r="A85" t="s">
        <v>1256</v>
      </c>
      <c r="B85" t="s">
        <v>1173</v>
      </c>
      <c r="C85" t="s">
        <v>77</v>
      </c>
      <c r="D85">
        <v>2017</v>
      </c>
      <c r="E85" t="s">
        <v>1174</v>
      </c>
      <c r="F85" t="s">
        <v>1175</v>
      </c>
      <c r="G85">
        <v>12953.3095108131</v>
      </c>
      <c r="H85">
        <v>12873.210375990258</v>
      </c>
      <c r="I85">
        <v>80.099134828459938</v>
      </c>
      <c r="J85">
        <v>235.26131174663291</v>
      </c>
      <c r="K85">
        <v>611.96609571829595</v>
      </c>
      <c r="L85">
        <v>59.118445651974596</v>
      </c>
      <c r="M85">
        <v>457.4815763776615</v>
      </c>
      <c r="N85">
        <v>2962.5902153856837</v>
      </c>
      <c r="O85">
        <v>8546.7927311100102</v>
      </c>
      <c r="P85">
        <v>80.099134828459938</v>
      </c>
      <c r="Q85">
        <v>0</v>
      </c>
      <c r="R85">
        <v>0</v>
      </c>
      <c r="S85">
        <v>17.783348262166605</v>
      </c>
      <c r="T85">
        <v>217.4779634844663</v>
      </c>
      <c r="U85">
        <v>0</v>
      </c>
      <c r="V85">
        <v>456.85114589945749</v>
      </c>
      <c r="W85">
        <v>25.9224445377485</v>
      </c>
      <c r="X85">
        <v>5.2296587211540002</v>
      </c>
      <c r="Y85">
        <v>29.2083804990788</v>
      </c>
      <c r="Z85">
        <v>94.754466060857069</v>
      </c>
      <c r="AA85">
        <v>0</v>
      </c>
      <c r="AB85">
        <v>2.1855189171215903</v>
      </c>
      <c r="AC85">
        <v>15.041401567118999</v>
      </c>
      <c r="AD85">
        <v>0</v>
      </c>
      <c r="AE85">
        <v>41.891525167734002</v>
      </c>
      <c r="AF85">
        <v>0</v>
      </c>
      <c r="AG85">
        <v>11.252395637218301</v>
      </c>
      <c r="AH85">
        <v>94.89497479227505</v>
      </c>
      <c r="AI85">
        <v>0.68934158256399991</v>
      </c>
      <c r="AJ85">
        <v>6.4775051425409504</v>
      </c>
      <c r="AK85">
        <v>344.16735922306322</v>
      </c>
      <c r="AL85">
        <v>0</v>
      </c>
      <c r="AM85">
        <v>2962.5902153856837</v>
      </c>
      <c r="AN85">
        <v>6732.6962150227828</v>
      </c>
      <c r="AO85">
        <v>1789.6957042402485</v>
      </c>
      <c r="AP85">
        <v>24.4008118469783</v>
      </c>
      <c r="AQ85">
        <v>0</v>
      </c>
      <c r="AR85">
        <v>0</v>
      </c>
      <c r="AS85">
        <v>0</v>
      </c>
      <c r="AT85">
        <v>64.76113348307382</v>
      </c>
      <c r="AU85">
        <v>0</v>
      </c>
      <c r="AV85">
        <v>11.420568567156128</v>
      </c>
      <c r="AW85">
        <v>0</v>
      </c>
      <c r="AX85">
        <v>0</v>
      </c>
      <c r="AY85">
        <v>3.9174327782300002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">
      <c r="A86" t="s">
        <v>1257</v>
      </c>
      <c r="B86" t="s">
        <v>1173</v>
      </c>
      <c r="C86" t="s">
        <v>34</v>
      </c>
      <c r="D86">
        <v>2017</v>
      </c>
      <c r="E86" t="s">
        <v>1174</v>
      </c>
      <c r="F86" t="s">
        <v>1175</v>
      </c>
      <c r="G86">
        <v>42389.480702649598</v>
      </c>
      <c r="H86">
        <v>33360.196039364637</v>
      </c>
      <c r="I86">
        <v>9029.2846632897563</v>
      </c>
      <c r="J86">
        <v>661.99069764663193</v>
      </c>
      <c r="K86">
        <v>1126.887478879705</v>
      </c>
      <c r="L86">
        <v>278.7934216923814</v>
      </c>
      <c r="M86">
        <v>1077.3071635171132</v>
      </c>
      <c r="N86">
        <v>26418.229805317816</v>
      </c>
      <c r="O86">
        <v>3796.9874723109883</v>
      </c>
      <c r="P86">
        <v>9029.2846632897563</v>
      </c>
      <c r="Q86">
        <v>0</v>
      </c>
      <c r="R86">
        <v>0</v>
      </c>
      <c r="S86">
        <v>65.717763832513313</v>
      </c>
      <c r="T86">
        <v>575.98244833212152</v>
      </c>
      <c r="U86">
        <v>20.290485481996999</v>
      </c>
      <c r="V86">
        <v>670.06709405964818</v>
      </c>
      <c r="W86">
        <v>29.749664962105506</v>
      </c>
      <c r="X86">
        <v>34.308398837833252</v>
      </c>
      <c r="Y86">
        <v>69.644969117383098</v>
      </c>
      <c r="Z86">
        <v>323.11735190273498</v>
      </c>
      <c r="AA86">
        <v>0</v>
      </c>
      <c r="AB86">
        <v>0</v>
      </c>
      <c r="AC86">
        <v>5.2727715671700004</v>
      </c>
      <c r="AD86">
        <v>0</v>
      </c>
      <c r="AE86">
        <v>213.19155554019875</v>
      </c>
      <c r="AF86">
        <v>60.329094585012655</v>
      </c>
      <c r="AG86">
        <v>197.65955603190883</v>
      </c>
      <c r="AH86">
        <v>349.68371090844482</v>
      </c>
      <c r="AI86">
        <v>25.279361704867217</v>
      </c>
      <c r="AJ86">
        <v>271.4758465106292</v>
      </c>
      <c r="AK86">
        <v>233.208688361263</v>
      </c>
      <c r="AL86">
        <v>0</v>
      </c>
      <c r="AM86">
        <v>26418.229805317816</v>
      </c>
      <c r="AN86">
        <v>3421.4216163442543</v>
      </c>
      <c r="AO86">
        <v>212.25752605730017</v>
      </c>
      <c r="AP86">
        <v>163.30832990943381</v>
      </c>
      <c r="AQ86">
        <v>3261.1796363850999</v>
      </c>
      <c r="AR86">
        <v>0</v>
      </c>
      <c r="AS86">
        <v>0</v>
      </c>
      <c r="AT86">
        <v>5182.2448454234345</v>
      </c>
      <c r="AU86">
        <v>0</v>
      </c>
      <c r="AV86">
        <v>39.836623996444992</v>
      </c>
      <c r="AW86">
        <v>0</v>
      </c>
      <c r="AX86">
        <v>59.040524275014</v>
      </c>
      <c r="AY86">
        <v>486.98303320976169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2">
      <c r="A87" t="s">
        <v>1258</v>
      </c>
      <c r="B87" t="s">
        <v>1173</v>
      </c>
      <c r="C87" t="s">
        <v>4</v>
      </c>
      <c r="D87">
        <v>2017</v>
      </c>
      <c r="E87" t="s">
        <v>1174</v>
      </c>
      <c r="F87" t="s">
        <v>1175</v>
      </c>
      <c r="G87">
        <v>6386.0765021396001</v>
      </c>
      <c r="H87">
        <v>6249.184906700083</v>
      </c>
      <c r="I87">
        <v>136.89159544167299</v>
      </c>
      <c r="J87">
        <v>468.22448340937842</v>
      </c>
      <c r="K87">
        <v>2672.4117154118376</v>
      </c>
      <c r="L87">
        <v>145.22820046466262</v>
      </c>
      <c r="M87">
        <v>484.87524962119329</v>
      </c>
      <c r="N87">
        <v>1936.8912306528866</v>
      </c>
      <c r="O87">
        <v>541.55402714012382</v>
      </c>
      <c r="P87">
        <v>136.89159544167299</v>
      </c>
      <c r="Q87">
        <v>0</v>
      </c>
      <c r="R87">
        <v>0</v>
      </c>
      <c r="S87">
        <v>91.093745147417422</v>
      </c>
      <c r="T87">
        <v>377.13073826196097</v>
      </c>
      <c r="U87">
        <v>0</v>
      </c>
      <c r="V87">
        <v>1804.5029026629172</v>
      </c>
      <c r="W87">
        <v>103.05211025584317</v>
      </c>
      <c r="X87">
        <v>142.905340323714</v>
      </c>
      <c r="Y87">
        <v>220.43599503122391</v>
      </c>
      <c r="Z87">
        <v>401.51536713813948</v>
      </c>
      <c r="AA87">
        <v>31.115021260529598</v>
      </c>
      <c r="AB87">
        <v>0</v>
      </c>
      <c r="AC87">
        <v>10.898639853208799</v>
      </c>
      <c r="AD87">
        <v>0</v>
      </c>
      <c r="AE87">
        <v>103.21453935092423</v>
      </c>
      <c r="AF87">
        <v>0</v>
      </c>
      <c r="AG87">
        <v>229.76604368713228</v>
      </c>
      <c r="AH87">
        <v>206.77276077263326</v>
      </c>
      <c r="AI87">
        <v>17.614217531576841</v>
      </c>
      <c r="AJ87">
        <v>22.738101608577839</v>
      </c>
      <c r="AK87">
        <v>7.9841260212731013</v>
      </c>
      <c r="AL87">
        <v>0</v>
      </c>
      <c r="AM87">
        <v>1936.8912306528866</v>
      </c>
      <c r="AN87">
        <v>479.92838896854113</v>
      </c>
      <c r="AO87">
        <v>51.578818465284179</v>
      </c>
      <c r="AP87">
        <v>10.046819706298498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4.7700116919746005</v>
      </c>
      <c r="AW87">
        <v>0</v>
      </c>
      <c r="AX87">
        <v>0</v>
      </c>
      <c r="AY87">
        <v>132.1215837496984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">
      <c r="A88" t="s">
        <v>1259</v>
      </c>
      <c r="B88" t="s">
        <v>1173</v>
      </c>
      <c r="C88" t="s">
        <v>9</v>
      </c>
      <c r="D88">
        <v>2017</v>
      </c>
      <c r="E88" t="s">
        <v>1174</v>
      </c>
      <c r="F88" t="s">
        <v>1175</v>
      </c>
      <c r="G88">
        <v>3300.6228368310999</v>
      </c>
      <c r="H88">
        <v>3254.0049408747291</v>
      </c>
      <c r="I88">
        <v>46.617895956710456</v>
      </c>
      <c r="J88">
        <v>125.14084783751684</v>
      </c>
      <c r="K88">
        <v>610.50064947045234</v>
      </c>
      <c r="L88">
        <v>7.6291879079572</v>
      </c>
      <c r="M88">
        <v>101.98973866859704</v>
      </c>
      <c r="N88">
        <v>763.60630522261022</v>
      </c>
      <c r="O88">
        <v>1645.1382117675953</v>
      </c>
      <c r="P88">
        <v>46.617895956710456</v>
      </c>
      <c r="Q88">
        <v>0</v>
      </c>
      <c r="R88">
        <v>0</v>
      </c>
      <c r="S88">
        <v>19.69057951510538</v>
      </c>
      <c r="T88">
        <v>105.45026832241146</v>
      </c>
      <c r="U88">
        <v>0</v>
      </c>
      <c r="V88">
        <v>401.2032644374994</v>
      </c>
      <c r="W88">
        <v>17.939656571266699</v>
      </c>
      <c r="X88">
        <v>13.865640219053402</v>
      </c>
      <c r="Y88">
        <v>117.8436497844386</v>
      </c>
      <c r="Z88">
        <v>59.648438458194292</v>
      </c>
      <c r="AA88">
        <v>0</v>
      </c>
      <c r="AB88">
        <v>0</v>
      </c>
      <c r="AC88">
        <v>7.6291879079572</v>
      </c>
      <c r="AD88">
        <v>0</v>
      </c>
      <c r="AE88">
        <v>0</v>
      </c>
      <c r="AF88">
        <v>0</v>
      </c>
      <c r="AG88">
        <v>41.823992558826816</v>
      </c>
      <c r="AH88">
        <v>26.578370952258719</v>
      </c>
      <c r="AI88">
        <v>6.8260484857478003</v>
      </c>
      <c r="AJ88">
        <v>5.9412061937476999</v>
      </c>
      <c r="AK88">
        <v>20.820120478015998</v>
      </c>
      <c r="AL88">
        <v>0</v>
      </c>
      <c r="AM88">
        <v>763.60630522261022</v>
      </c>
      <c r="AN88">
        <v>1583.0829509928494</v>
      </c>
      <c r="AO88">
        <v>54.851712838225296</v>
      </c>
      <c r="AP88">
        <v>7.2035479365206001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2.5590411499263999</v>
      </c>
      <c r="AW88">
        <v>0</v>
      </c>
      <c r="AX88">
        <v>0</v>
      </c>
      <c r="AY88">
        <v>44.058854806784055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2">
      <c r="A89" t="s">
        <v>1260</v>
      </c>
      <c r="B89" t="s">
        <v>1173</v>
      </c>
      <c r="C89" t="s">
        <v>254</v>
      </c>
      <c r="D89">
        <v>2017</v>
      </c>
      <c r="E89" t="s">
        <v>1174</v>
      </c>
      <c r="F89" t="s">
        <v>1175</v>
      </c>
      <c r="G89">
        <v>6713.0787159912006</v>
      </c>
      <c r="H89">
        <v>6618.7747761261699</v>
      </c>
      <c r="I89">
        <v>94.303939866491532</v>
      </c>
      <c r="J89">
        <v>201.79470990158674</v>
      </c>
      <c r="K89">
        <v>1111.2201630884019</v>
      </c>
      <c r="L89">
        <v>21.830262430414702</v>
      </c>
      <c r="M89">
        <v>260.93789210779084</v>
      </c>
      <c r="N89">
        <v>3391.5299134301945</v>
      </c>
      <c r="O89">
        <v>1631.4618351677809</v>
      </c>
      <c r="P89">
        <v>94.303939866491532</v>
      </c>
      <c r="Q89">
        <v>0</v>
      </c>
      <c r="R89">
        <v>0</v>
      </c>
      <c r="S89">
        <v>30.830978594572127</v>
      </c>
      <c r="T89">
        <v>170.96373130701463</v>
      </c>
      <c r="U89">
        <v>0</v>
      </c>
      <c r="V89">
        <v>850.71447918337878</v>
      </c>
      <c r="W89">
        <v>32.338854630741501</v>
      </c>
      <c r="X89">
        <v>69.906710650607494</v>
      </c>
      <c r="Y89">
        <v>69.420620996468855</v>
      </c>
      <c r="Z89">
        <v>88.839497627205304</v>
      </c>
      <c r="AA89">
        <v>0</v>
      </c>
      <c r="AB89">
        <v>1.8019098182658999</v>
      </c>
      <c r="AC89">
        <v>17.8452559201688</v>
      </c>
      <c r="AD89">
        <v>0</v>
      </c>
      <c r="AE89">
        <v>2.1830966919799999</v>
      </c>
      <c r="AF89">
        <v>0</v>
      </c>
      <c r="AG89">
        <v>66.980300728935788</v>
      </c>
      <c r="AH89">
        <v>135.63215552160858</v>
      </c>
      <c r="AI89">
        <v>10.844012910487271</v>
      </c>
      <c r="AJ89">
        <v>1.26737258054</v>
      </c>
      <c r="AK89">
        <v>46.214050366219197</v>
      </c>
      <c r="AL89">
        <v>3.8648578479201992</v>
      </c>
      <c r="AM89">
        <v>3387.6650555822744</v>
      </c>
      <c r="AN89">
        <v>1509.8532219218639</v>
      </c>
      <c r="AO89">
        <v>12.158065643924999</v>
      </c>
      <c r="AP89">
        <v>109.45054760199189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0.52542997629199995</v>
      </c>
      <c r="AW89">
        <v>0</v>
      </c>
      <c r="AX89">
        <v>0</v>
      </c>
      <c r="AY89">
        <v>93.77850989019953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">
      <c r="A90" t="s">
        <v>1261</v>
      </c>
      <c r="B90" t="s">
        <v>1173</v>
      </c>
      <c r="C90" t="s">
        <v>20</v>
      </c>
      <c r="D90">
        <v>2017</v>
      </c>
      <c r="E90" t="s">
        <v>1174</v>
      </c>
      <c r="F90" t="s">
        <v>1175</v>
      </c>
      <c r="G90">
        <v>3756.9138678120003</v>
      </c>
      <c r="H90">
        <v>3693.0307777284424</v>
      </c>
      <c r="I90">
        <v>63.883090083274141</v>
      </c>
      <c r="J90">
        <v>149.01101895768241</v>
      </c>
      <c r="K90">
        <v>365.46302440038869</v>
      </c>
      <c r="L90">
        <v>10.47856312117</v>
      </c>
      <c r="M90">
        <v>120.99061076996495</v>
      </c>
      <c r="N90">
        <v>2823.8290334213675</v>
      </c>
      <c r="O90">
        <v>223.25852705786886</v>
      </c>
      <c r="P90">
        <v>63.883090083274141</v>
      </c>
      <c r="Q90">
        <v>0</v>
      </c>
      <c r="R90">
        <v>0</v>
      </c>
      <c r="S90">
        <v>10.967494966847301</v>
      </c>
      <c r="T90">
        <v>138.0435239908351</v>
      </c>
      <c r="U90">
        <v>0</v>
      </c>
      <c r="V90">
        <v>236.04730812751359</v>
      </c>
      <c r="W90">
        <v>16.224119404734449</v>
      </c>
      <c r="X90">
        <v>38.458862378876901</v>
      </c>
      <c r="Y90">
        <v>9.8185586917593</v>
      </c>
      <c r="Z90">
        <v>64.914175797504498</v>
      </c>
      <c r="AA90">
        <v>0</v>
      </c>
      <c r="AB90">
        <v>1.54430863594</v>
      </c>
      <c r="AC90">
        <v>2.8863903695899995</v>
      </c>
      <c r="AD90">
        <v>0</v>
      </c>
      <c r="AE90">
        <v>6.0478641156400004</v>
      </c>
      <c r="AF90">
        <v>0</v>
      </c>
      <c r="AG90">
        <v>18.234773403187098</v>
      </c>
      <c r="AH90">
        <v>80.996272550091163</v>
      </c>
      <c r="AI90">
        <v>4.3850260366706006</v>
      </c>
      <c r="AJ90">
        <v>2.9851754553396996</v>
      </c>
      <c r="AK90">
        <v>14.389363324676399</v>
      </c>
      <c r="AL90">
        <v>0</v>
      </c>
      <c r="AM90">
        <v>2823.8290334213675</v>
      </c>
      <c r="AN90">
        <v>220.71508028457887</v>
      </c>
      <c r="AO90">
        <v>0</v>
      </c>
      <c r="AP90">
        <v>2.5434467732899999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10.042630123879999</v>
      </c>
      <c r="AW90">
        <v>0</v>
      </c>
      <c r="AX90">
        <v>0</v>
      </c>
      <c r="AY90">
        <v>53.840459959394146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">
      <c r="A91" t="s">
        <v>1262</v>
      </c>
      <c r="B91" t="s">
        <v>1173</v>
      </c>
      <c r="C91" t="s">
        <v>296</v>
      </c>
      <c r="D91">
        <v>2017</v>
      </c>
      <c r="E91" t="s">
        <v>1174</v>
      </c>
      <c r="F91" t="s">
        <v>1175</v>
      </c>
      <c r="G91">
        <v>3481.3415657399</v>
      </c>
      <c r="H91">
        <v>3038.8726066727527</v>
      </c>
      <c r="I91">
        <v>442.46895906600241</v>
      </c>
      <c r="J91">
        <v>72.701016071681607</v>
      </c>
      <c r="K91">
        <v>429.12926457878234</v>
      </c>
      <c r="L91">
        <v>30.430062128464819</v>
      </c>
      <c r="M91">
        <v>60.754736971913374</v>
      </c>
      <c r="N91">
        <v>2427.1383752774773</v>
      </c>
      <c r="O91">
        <v>18.7191516444333</v>
      </c>
      <c r="P91">
        <v>442.46895906600241</v>
      </c>
      <c r="Q91">
        <v>0</v>
      </c>
      <c r="R91">
        <v>0</v>
      </c>
      <c r="S91">
        <v>0</v>
      </c>
      <c r="T91">
        <v>72.701016071681607</v>
      </c>
      <c r="U91">
        <v>0</v>
      </c>
      <c r="V91">
        <v>285.31015602068555</v>
      </c>
      <c r="W91">
        <v>9.0126183866090006</v>
      </c>
      <c r="X91">
        <v>3.9749088435626998</v>
      </c>
      <c r="Y91">
        <v>2.3739685381509998</v>
      </c>
      <c r="Z91">
        <v>128.45761278977409</v>
      </c>
      <c r="AA91">
        <v>0</v>
      </c>
      <c r="AB91">
        <v>0</v>
      </c>
      <c r="AC91">
        <v>6.7286486198200004</v>
      </c>
      <c r="AD91">
        <v>0</v>
      </c>
      <c r="AE91">
        <v>20.929065998711618</v>
      </c>
      <c r="AF91">
        <v>2.7723475099332004</v>
      </c>
      <c r="AG91">
        <v>5.9601022775999999</v>
      </c>
      <c r="AH91">
        <v>42.537488837800502</v>
      </c>
      <c r="AI91">
        <v>1.3519955776465</v>
      </c>
      <c r="AJ91">
        <v>1.5842764107384999</v>
      </c>
      <c r="AK91">
        <v>9.3208738681278795</v>
      </c>
      <c r="AL91">
        <v>0</v>
      </c>
      <c r="AM91">
        <v>2427.1383752774773</v>
      </c>
      <c r="AN91">
        <v>3.5796203951700001</v>
      </c>
      <c r="AO91">
        <v>1.9172451243362001</v>
      </c>
      <c r="AP91">
        <v>13.2222861249271</v>
      </c>
      <c r="AQ91">
        <v>0</v>
      </c>
      <c r="AR91">
        <v>0</v>
      </c>
      <c r="AS91">
        <v>0</v>
      </c>
      <c r="AT91">
        <v>393.67097667623904</v>
      </c>
      <c r="AU91">
        <v>0</v>
      </c>
      <c r="AV91">
        <v>4.4477086819325695</v>
      </c>
      <c r="AW91">
        <v>0</v>
      </c>
      <c r="AX91">
        <v>0</v>
      </c>
      <c r="AY91">
        <v>44.350273707830802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">
      <c r="A92" t="s">
        <v>1263</v>
      </c>
      <c r="B92" t="s">
        <v>1173</v>
      </c>
      <c r="C92" t="s">
        <v>363</v>
      </c>
      <c r="D92">
        <v>2017</v>
      </c>
      <c r="E92" t="s">
        <v>1174</v>
      </c>
      <c r="F92" t="s">
        <v>1175</v>
      </c>
      <c r="G92">
        <v>3370.2939134820999</v>
      </c>
      <c r="H92">
        <v>3103.8686315206046</v>
      </c>
      <c r="I92">
        <v>266.42528196115512</v>
      </c>
      <c r="J92">
        <v>179.467384567924</v>
      </c>
      <c r="K92">
        <v>211.69125533342404</v>
      </c>
      <c r="L92">
        <v>12.207499149903409</v>
      </c>
      <c r="M92">
        <v>75.729305466350311</v>
      </c>
      <c r="N92">
        <v>2535.951219048181</v>
      </c>
      <c r="O92">
        <v>88.821967954821787</v>
      </c>
      <c r="P92">
        <v>266.42528196115512</v>
      </c>
      <c r="Q92">
        <v>0</v>
      </c>
      <c r="R92">
        <v>0</v>
      </c>
      <c r="S92">
        <v>0</v>
      </c>
      <c r="T92">
        <v>179.467384567924</v>
      </c>
      <c r="U92">
        <v>0</v>
      </c>
      <c r="V92">
        <v>161.31240855200556</v>
      </c>
      <c r="W92">
        <v>11.63612668228615</v>
      </c>
      <c r="X92">
        <v>2.0341467298814919</v>
      </c>
      <c r="Y92">
        <v>2.22529316371185</v>
      </c>
      <c r="Z92">
        <v>34.483280205538989</v>
      </c>
      <c r="AA92">
        <v>0</v>
      </c>
      <c r="AB92">
        <v>0</v>
      </c>
      <c r="AC92">
        <v>1.3397756260487101</v>
      </c>
      <c r="AD92">
        <v>0</v>
      </c>
      <c r="AE92">
        <v>10.8677235238547</v>
      </c>
      <c r="AF92">
        <v>0</v>
      </c>
      <c r="AG92">
        <v>1.1856458988571001</v>
      </c>
      <c r="AH92">
        <v>65.080901639874995</v>
      </c>
      <c r="AI92">
        <v>5.28847563294</v>
      </c>
      <c r="AJ92">
        <v>4.1742822946782008</v>
      </c>
      <c r="AK92">
        <v>0</v>
      </c>
      <c r="AL92">
        <v>0</v>
      </c>
      <c r="AM92">
        <v>2535.951219048181</v>
      </c>
      <c r="AN92">
        <v>78.434915887682791</v>
      </c>
      <c r="AO92">
        <v>0</v>
      </c>
      <c r="AP92">
        <v>10.387052067138999</v>
      </c>
      <c r="AQ92">
        <v>0</v>
      </c>
      <c r="AR92">
        <v>0</v>
      </c>
      <c r="AS92">
        <v>0</v>
      </c>
      <c r="AT92">
        <v>225.08994366966732</v>
      </c>
      <c r="AU92">
        <v>0</v>
      </c>
      <c r="AV92">
        <v>2.0736163916641002</v>
      </c>
      <c r="AW92">
        <v>0</v>
      </c>
      <c r="AX92">
        <v>0</v>
      </c>
      <c r="AY92">
        <v>39.261721899823705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2">
      <c r="A93" t="s">
        <v>1264</v>
      </c>
      <c r="B93" t="s">
        <v>1173</v>
      </c>
      <c r="C93" t="s">
        <v>64</v>
      </c>
      <c r="D93">
        <v>2017</v>
      </c>
      <c r="E93" t="s">
        <v>1174</v>
      </c>
      <c r="F93" t="s">
        <v>1175</v>
      </c>
      <c r="G93">
        <v>5898.5522217032994</v>
      </c>
      <c r="H93">
        <v>5490.1557039245536</v>
      </c>
      <c r="I93">
        <v>408.39651777688005</v>
      </c>
      <c r="J93">
        <v>212.40853221938255</v>
      </c>
      <c r="K93">
        <v>917.67848290913537</v>
      </c>
      <c r="L93">
        <v>67.879479203294636</v>
      </c>
      <c r="M93">
        <v>217.71175751271147</v>
      </c>
      <c r="N93">
        <v>3875.806921299139</v>
      </c>
      <c r="O93">
        <v>198.67053078089066</v>
      </c>
      <c r="P93">
        <v>408.39651777688005</v>
      </c>
      <c r="Q93">
        <v>0</v>
      </c>
      <c r="R93">
        <v>0</v>
      </c>
      <c r="S93">
        <v>33.20669754425704</v>
      </c>
      <c r="T93">
        <v>179.2018346751255</v>
      </c>
      <c r="U93">
        <v>0</v>
      </c>
      <c r="V93">
        <v>627.31704738335452</v>
      </c>
      <c r="W93">
        <v>28.553390905681702</v>
      </c>
      <c r="X93">
        <v>36.721825937640496</v>
      </c>
      <c r="Y93">
        <v>51.123244898879911</v>
      </c>
      <c r="Z93">
        <v>173.96297378357886</v>
      </c>
      <c r="AA93">
        <v>3.6198911314301006</v>
      </c>
      <c r="AB93">
        <v>0</v>
      </c>
      <c r="AC93">
        <v>3.0276061738161602</v>
      </c>
      <c r="AD93">
        <v>0</v>
      </c>
      <c r="AE93">
        <v>61.231981898048382</v>
      </c>
      <c r="AF93">
        <v>0</v>
      </c>
      <c r="AG93">
        <v>91.28769691232776</v>
      </c>
      <c r="AH93">
        <v>89.55044152066651</v>
      </c>
      <c r="AI93">
        <v>5.2542760849726999</v>
      </c>
      <c r="AJ93">
        <v>30.290237002034502</v>
      </c>
      <c r="AK93">
        <v>1.32910599271</v>
      </c>
      <c r="AL93">
        <v>32.272369670660261</v>
      </c>
      <c r="AM93">
        <v>3843.5345516284788</v>
      </c>
      <c r="AN93">
        <v>95.443414292482416</v>
      </c>
      <c r="AO93">
        <v>1.8870997868700001</v>
      </c>
      <c r="AP93">
        <v>101.34001670153826</v>
      </c>
      <c r="AQ93">
        <v>0</v>
      </c>
      <c r="AR93">
        <v>0</v>
      </c>
      <c r="AS93">
        <v>178.58618278927264</v>
      </c>
      <c r="AT93">
        <v>0</v>
      </c>
      <c r="AU93">
        <v>0</v>
      </c>
      <c r="AV93">
        <v>19.013518611097009</v>
      </c>
      <c r="AW93">
        <v>0</v>
      </c>
      <c r="AX93">
        <v>0</v>
      </c>
      <c r="AY93">
        <v>210.79681637651041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2">
      <c r="A94" t="s">
        <v>1265</v>
      </c>
      <c r="B94" t="s">
        <v>1173</v>
      </c>
      <c r="C94" t="s">
        <v>585</v>
      </c>
      <c r="D94">
        <v>2017</v>
      </c>
      <c r="E94" t="s">
        <v>1174</v>
      </c>
      <c r="F94" t="s">
        <v>1175</v>
      </c>
      <c r="G94">
        <v>5889.3057240987</v>
      </c>
      <c r="H94">
        <v>5850.6151853970068</v>
      </c>
      <c r="I94">
        <v>38.690538702266771</v>
      </c>
      <c r="J94">
        <v>129.12635481864743</v>
      </c>
      <c r="K94">
        <v>643.87897154271013</v>
      </c>
      <c r="L94">
        <v>57.529926246543695</v>
      </c>
      <c r="M94">
        <v>173.76032884529533</v>
      </c>
      <c r="N94">
        <v>2799.2906957828195</v>
      </c>
      <c r="O94">
        <v>2047.0289081609906</v>
      </c>
      <c r="P94">
        <v>38.690538702266771</v>
      </c>
      <c r="Q94">
        <v>0</v>
      </c>
      <c r="R94">
        <v>0</v>
      </c>
      <c r="S94">
        <v>7.3842889167166401</v>
      </c>
      <c r="T94">
        <v>121.74206590193079</v>
      </c>
      <c r="U94">
        <v>0</v>
      </c>
      <c r="V94">
        <v>460.17910373545743</v>
      </c>
      <c r="W94">
        <v>29.8698891886038</v>
      </c>
      <c r="X94">
        <v>32.231922186756798</v>
      </c>
      <c r="Y94">
        <v>24.711218395020303</v>
      </c>
      <c r="Z94">
        <v>96.886838036871808</v>
      </c>
      <c r="AA94">
        <v>0</v>
      </c>
      <c r="AB94">
        <v>0.68068528534999995</v>
      </c>
      <c r="AC94">
        <v>32.699492956633193</v>
      </c>
      <c r="AD94">
        <v>0.54917919393399994</v>
      </c>
      <c r="AE94">
        <v>23.600568810626502</v>
      </c>
      <c r="AF94">
        <v>0</v>
      </c>
      <c r="AG94">
        <v>66.574564355895504</v>
      </c>
      <c r="AH94">
        <v>90.816794064023426</v>
      </c>
      <c r="AI94">
        <v>3.8850743220802002</v>
      </c>
      <c r="AJ94">
        <v>4.5541176342062002</v>
      </c>
      <c r="AK94">
        <v>7.9297784690900004</v>
      </c>
      <c r="AL94">
        <v>0</v>
      </c>
      <c r="AM94">
        <v>2799.2906957828195</v>
      </c>
      <c r="AN94">
        <v>1285.6444054457381</v>
      </c>
      <c r="AO94">
        <v>721.44551550476535</v>
      </c>
      <c r="AP94">
        <v>39.938987210487007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7.1638280253476001</v>
      </c>
      <c r="AW94">
        <v>0</v>
      </c>
      <c r="AX94">
        <v>0</v>
      </c>
      <c r="AY94">
        <v>31.526710676919173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2">
      <c r="A95" t="s">
        <v>1266</v>
      </c>
      <c r="B95" t="s">
        <v>1173</v>
      </c>
      <c r="C95" t="s">
        <v>599</v>
      </c>
      <c r="D95">
        <v>2017</v>
      </c>
      <c r="E95" t="s">
        <v>1174</v>
      </c>
      <c r="F95" t="s">
        <v>1175</v>
      </c>
      <c r="G95">
        <v>7897.8950061225996</v>
      </c>
      <c r="H95">
        <v>7555.879719820935</v>
      </c>
      <c r="I95">
        <v>342.01528630000132</v>
      </c>
      <c r="J95">
        <v>128.22498883236207</v>
      </c>
      <c r="K95">
        <v>336.8042441162529</v>
      </c>
      <c r="L95">
        <v>7.5283442198842003</v>
      </c>
      <c r="M95">
        <v>53.674201740478146</v>
      </c>
      <c r="N95">
        <v>6937.4152225855141</v>
      </c>
      <c r="O95">
        <v>92.232718326443489</v>
      </c>
      <c r="P95">
        <v>342.01528630000132</v>
      </c>
      <c r="Q95">
        <v>0</v>
      </c>
      <c r="R95">
        <v>0</v>
      </c>
      <c r="S95">
        <v>0</v>
      </c>
      <c r="T95">
        <v>128.22498883236207</v>
      </c>
      <c r="U95">
        <v>0</v>
      </c>
      <c r="V95">
        <v>180.06898628273072</v>
      </c>
      <c r="W95">
        <v>9.091362194354673</v>
      </c>
      <c r="X95">
        <v>55.580702153283895</v>
      </c>
      <c r="Y95">
        <v>10.993397427872798</v>
      </c>
      <c r="Z95">
        <v>81.069796058010866</v>
      </c>
      <c r="AA95">
        <v>0</v>
      </c>
      <c r="AB95">
        <v>0</v>
      </c>
      <c r="AC95">
        <v>3.4484136197702004</v>
      </c>
      <c r="AD95">
        <v>0</v>
      </c>
      <c r="AE95">
        <v>3.0707539112849997</v>
      </c>
      <c r="AF95">
        <v>1.0091766888289999</v>
      </c>
      <c r="AG95">
        <v>9.4353251196115515</v>
      </c>
      <c r="AH95">
        <v>16.769529946036599</v>
      </c>
      <c r="AI95">
        <v>3.4044471965323</v>
      </c>
      <c r="AJ95">
        <v>6.0129881072289999</v>
      </c>
      <c r="AK95">
        <v>18.051911371068698</v>
      </c>
      <c r="AL95">
        <v>0</v>
      </c>
      <c r="AM95">
        <v>6937.4152225855141</v>
      </c>
      <c r="AN95">
        <v>35.940641224483898</v>
      </c>
      <c r="AO95">
        <v>5.0608121895873399</v>
      </c>
      <c r="AP95">
        <v>51.231264912372261</v>
      </c>
      <c r="AQ95">
        <v>0</v>
      </c>
      <c r="AR95">
        <v>0</v>
      </c>
      <c r="AS95">
        <v>190.93033520137146</v>
      </c>
      <c r="AT95">
        <v>0</v>
      </c>
      <c r="AU95">
        <v>0</v>
      </c>
      <c r="AV95">
        <v>2.4559942902796998</v>
      </c>
      <c r="AW95">
        <v>0</v>
      </c>
      <c r="AX95">
        <v>0</v>
      </c>
      <c r="AY95">
        <v>148.62895680835015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2">
      <c r="A96" t="s">
        <v>1267</v>
      </c>
      <c r="B96" t="s">
        <v>1173</v>
      </c>
      <c r="C96" t="s">
        <v>649</v>
      </c>
      <c r="D96">
        <v>2017</v>
      </c>
      <c r="E96" t="s">
        <v>1174</v>
      </c>
      <c r="F96" t="s">
        <v>1175</v>
      </c>
      <c r="G96">
        <v>3820.2586193423999</v>
      </c>
      <c r="H96">
        <v>3757.9012697804305</v>
      </c>
      <c r="I96">
        <v>62.35734956099855</v>
      </c>
      <c r="J96">
        <v>61.305500996210824</v>
      </c>
      <c r="K96">
        <v>283.72683796969818</v>
      </c>
      <c r="L96">
        <v>5.6549129154439006</v>
      </c>
      <c r="M96">
        <v>37.563903117213762</v>
      </c>
      <c r="N96">
        <v>3288.059606767421</v>
      </c>
      <c r="O96">
        <v>81.590508014442847</v>
      </c>
      <c r="P96">
        <v>62.35734956099855</v>
      </c>
      <c r="Q96">
        <v>0</v>
      </c>
      <c r="R96">
        <v>0</v>
      </c>
      <c r="S96">
        <v>0</v>
      </c>
      <c r="T96">
        <v>61.305500996210824</v>
      </c>
      <c r="U96">
        <v>0</v>
      </c>
      <c r="V96">
        <v>183.47880785354616</v>
      </c>
      <c r="W96">
        <v>3.1886484255300003</v>
      </c>
      <c r="X96">
        <v>2.5876696948900002</v>
      </c>
      <c r="Y96">
        <v>3.0167821045740002</v>
      </c>
      <c r="Z96">
        <v>91.454929891158031</v>
      </c>
      <c r="AA96">
        <v>0</v>
      </c>
      <c r="AB96">
        <v>0</v>
      </c>
      <c r="AC96">
        <v>4.1727634469839003</v>
      </c>
      <c r="AD96">
        <v>0</v>
      </c>
      <c r="AE96">
        <v>1.4821494684600001</v>
      </c>
      <c r="AF96">
        <v>0</v>
      </c>
      <c r="AG96">
        <v>12.58788751655656</v>
      </c>
      <c r="AH96">
        <v>21.3467736049313</v>
      </c>
      <c r="AI96">
        <v>0.73512357690999997</v>
      </c>
      <c r="AJ96">
        <v>2.8941184188158999</v>
      </c>
      <c r="AK96">
        <v>0</v>
      </c>
      <c r="AL96">
        <v>0</v>
      </c>
      <c r="AM96">
        <v>3288.059606767421</v>
      </c>
      <c r="AN96">
        <v>62.245637515761445</v>
      </c>
      <c r="AO96">
        <v>0</v>
      </c>
      <c r="AP96">
        <v>19.344870498681399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1.5341444312899999</v>
      </c>
      <c r="AW96">
        <v>0</v>
      </c>
      <c r="AX96">
        <v>0</v>
      </c>
      <c r="AY96">
        <v>60.823205129708548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2">
      <c r="A97" t="s">
        <v>1268</v>
      </c>
      <c r="B97" t="s">
        <v>1173</v>
      </c>
      <c r="C97" t="s">
        <v>771</v>
      </c>
      <c r="D97">
        <v>2017</v>
      </c>
      <c r="E97" t="s">
        <v>1174</v>
      </c>
      <c r="F97" t="s">
        <v>1175</v>
      </c>
      <c r="G97">
        <v>1851.0997920841999</v>
      </c>
      <c r="H97">
        <v>1838.8676730749498</v>
      </c>
      <c r="I97">
        <v>12.232119009303956</v>
      </c>
      <c r="J97">
        <v>46.675179978983309</v>
      </c>
      <c r="K97">
        <v>128.709165183941</v>
      </c>
      <c r="L97">
        <v>11.582587646852598</v>
      </c>
      <c r="M97">
        <v>40.399838216023255</v>
      </c>
      <c r="N97">
        <v>1497.7226747028578</v>
      </c>
      <c r="O97">
        <v>113.77822734629164</v>
      </c>
      <c r="P97">
        <v>12.232119009303956</v>
      </c>
      <c r="Q97">
        <v>0</v>
      </c>
      <c r="R97">
        <v>0</v>
      </c>
      <c r="S97">
        <v>5.8692406630569005</v>
      </c>
      <c r="T97">
        <v>40.805939315926409</v>
      </c>
      <c r="U97">
        <v>0</v>
      </c>
      <c r="V97">
        <v>71.681491209357702</v>
      </c>
      <c r="W97">
        <v>0</v>
      </c>
      <c r="X97">
        <v>10.1873893962088</v>
      </c>
      <c r="Y97">
        <v>0</v>
      </c>
      <c r="Z97">
        <v>46.840284578374501</v>
      </c>
      <c r="AA97">
        <v>0</v>
      </c>
      <c r="AB97">
        <v>0</v>
      </c>
      <c r="AC97">
        <v>1.5563214232618001</v>
      </c>
      <c r="AD97">
        <v>0</v>
      </c>
      <c r="AE97">
        <v>10.026266223590799</v>
      </c>
      <c r="AF97">
        <v>0</v>
      </c>
      <c r="AG97">
        <v>0.15720675202389997</v>
      </c>
      <c r="AH97">
        <v>14.037061691833397</v>
      </c>
      <c r="AI97">
        <v>0</v>
      </c>
      <c r="AJ97">
        <v>0</v>
      </c>
      <c r="AK97">
        <v>26.205569772165962</v>
      </c>
      <c r="AL97">
        <v>0</v>
      </c>
      <c r="AM97">
        <v>1497.7226747028578</v>
      </c>
      <c r="AN97">
        <v>112.47505642958164</v>
      </c>
      <c r="AO97">
        <v>0</v>
      </c>
      <c r="AP97">
        <v>1.3031709167100001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12.232119009303956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">
      <c r="A98" t="s">
        <v>1269</v>
      </c>
      <c r="B98" t="s">
        <v>1173</v>
      </c>
      <c r="C98" t="s">
        <v>86</v>
      </c>
      <c r="D98">
        <v>2017</v>
      </c>
      <c r="E98" t="s">
        <v>1174</v>
      </c>
      <c r="F98" t="s">
        <v>1175</v>
      </c>
      <c r="G98">
        <v>4375.6513147014002</v>
      </c>
      <c r="H98">
        <v>4202.2657775035786</v>
      </c>
      <c r="I98">
        <v>173.38553719887582</v>
      </c>
      <c r="J98">
        <v>100.14991486577421</v>
      </c>
      <c r="K98">
        <v>430.95891077694034</v>
      </c>
      <c r="L98">
        <v>17.814946881939203</v>
      </c>
      <c r="M98">
        <v>92.568708842716489</v>
      </c>
      <c r="N98">
        <v>2179.6704303347892</v>
      </c>
      <c r="O98">
        <v>1381.1028658014195</v>
      </c>
      <c r="P98">
        <v>173.38553719887582</v>
      </c>
      <c r="Q98">
        <v>0</v>
      </c>
      <c r="R98">
        <v>0</v>
      </c>
      <c r="S98">
        <v>8.5062675807384185</v>
      </c>
      <c r="T98">
        <v>91.643647285035783</v>
      </c>
      <c r="U98">
        <v>0</v>
      </c>
      <c r="V98">
        <v>331.34102405564107</v>
      </c>
      <c r="W98">
        <v>7.2414884568952989</v>
      </c>
      <c r="X98">
        <v>17.180026393580004</v>
      </c>
      <c r="Y98">
        <v>11.449517484070201</v>
      </c>
      <c r="Z98">
        <v>63.74685438675376</v>
      </c>
      <c r="AA98">
        <v>0</v>
      </c>
      <c r="AB98">
        <v>0</v>
      </c>
      <c r="AC98">
        <v>8.847581530293402</v>
      </c>
      <c r="AD98">
        <v>0</v>
      </c>
      <c r="AE98">
        <v>7.232943458380201</v>
      </c>
      <c r="AF98">
        <v>1.7344218932655999</v>
      </c>
      <c r="AG98">
        <v>9.4492372551599993E-2</v>
      </c>
      <c r="AH98">
        <v>28.093068980450397</v>
      </c>
      <c r="AI98">
        <v>1.7939074132000001</v>
      </c>
      <c r="AJ98">
        <v>37.141568940771393</v>
      </c>
      <c r="AK98">
        <v>25.445671135743098</v>
      </c>
      <c r="AL98">
        <v>2.1901986444900001</v>
      </c>
      <c r="AM98">
        <v>2177.4802316902992</v>
      </c>
      <c r="AN98">
        <v>1264.9136552067835</v>
      </c>
      <c r="AO98">
        <v>111.43616375341658</v>
      </c>
      <c r="AP98">
        <v>4.7530468412193807</v>
      </c>
      <c r="AQ98">
        <v>0</v>
      </c>
      <c r="AR98">
        <v>0</v>
      </c>
      <c r="AS98">
        <v>97.885293511858706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75.500243687017118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2">
      <c r="A99" t="s">
        <v>1270</v>
      </c>
      <c r="B99" t="s">
        <v>1173</v>
      </c>
      <c r="C99" t="s">
        <v>94</v>
      </c>
      <c r="D99">
        <v>2017</v>
      </c>
      <c r="E99" t="s">
        <v>1174</v>
      </c>
      <c r="F99" t="s">
        <v>1175</v>
      </c>
      <c r="G99">
        <v>4643.2000655775</v>
      </c>
      <c r="H99">
        <v>4624.976359531227</v>
      </c>
      <c r="I99">
        <v>18.223706047591996</v>
      </c>
      <c r="J99">
        <v>186.55228396898329</v>
      </c>
      <c r="K99">
        <v>1162.9171031925782</v>
      </c>
      <c r="L99">
        <v>91.919864614191397</v>
      </c>
      <c r="M99">
        <v>132.66633427707941</v>
      </c>
      <c r="N99">
        <v>1258.3857270657668</v>
      </c>
      <c r="O99">
        <v>1792.5350464126275</v>
      </c>
      <c r="P99">
        <v>18.223706047591996</v>
      </c>
      <c r="Q99">
        <v>0</v>
      </c>
      <c r="R99">
        <v>0</v>
      </c>
      <c r="S99">
        <v>47.033541155243434</v>
      </c>
      <c r="T99">
        <v>120.81371834257335</v>
      </c>
      <c r="U99">
        <v>18.705024471166503</v>
      </c>
      <c r="V99">
        <v>757.76392277249511</v>
      </c>
      <c r="W99">
        <v>33.346845979871894</v>
      </c>
      <c r="X99">
        <v>167.44772378292441</v>
      </c>
      <c r="Y99">
        <v>40.343600372039901</v>
      </c>
      <c r="Z99">
        <v>164.01501028524686</v>
      </c>
      <c r="AA99">
        <v>0.31617972303199998</v>
      </c>
      <c r="AB99">
        <v>0</v>
      </c>
      <c r="AC99">
        <v>6.5984334939116005</v>
      </c>
      <c r="AD99">
        <v>0</v>
      </c>
      <c r="AE99">
        <v>85.005251397247804</v>
      </c>
      <c r="AF99">
        <v>0</v>
      </c>
      <c r="AG99">
        <v>31.655772411431599</v>
      </c>
      <c r="AH99">
        <v>59.134256615013108</v>
      </c>
      <c r="AI99">
        <v>6.9416560765916993</v>
      </c>
      <c r="AJ99">
        <v>2.4064300371251002</v>
      </c>
      <c r="AK99">
        <v>32.528219136917905</v>
      </c>
      <c r="AL99">
        <v>0</v>
      </c>
      <c r="AM99">
        <v>1258.3857270657668</v>
      </c>
      <c r="AN99">
        <v>1440.3055548509649</v>
      </c>
      <c r="AO99">
        <v>340.87254901785252</v>
      </c>
      <c r="AP99">
        <v>11.356942543810099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18.223706047591996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2">
      <c r="A100" t="s">
        <v>1271</v>
      </c>
      <c r="B100" t="s">
        <v>1173</v>
      </c>
      <c r="C100" t="s">
        <v>98</v>
      </c>
      <c r="D100">
        <v>2017</v>
      </c>
      <c r="E100" t="s">
        <v>1174</v>
      </c>
      <c r="F100" t="s">
        <v>1175</v>
      </c>
      <c r="G100">
        <v>9920.7318329672999</v>
      </c>
      <c r="H100">
        <v>9377.0644439743373</v>
      </c>
      <c r="I100">
        <v>543.66738899314032</v>
      </c>
      <c r="J100">
        <v>951.34324982621888</v>
      </c>
      <c r="K100">
        <v>4247.0634884871943</v>
      </c>
      <c r="L100">
        <v>295.69285527578353</v>
      </c>
      <c r="M100">
        <v>1277.0434501501345</v>
      </c>
      <c r="N100">
        <v>2416.8896984966113</v>
      </c>
      <c r="O100">
        <v>189.03170173839288</v>
      </c>
      <c r="P100">
        <v>543.66738899314032</v>
      </c>
      <c r="Q100">
        <v>0</v>
      </c>
      <c r="R100">
        <v>0</v>
      </c>
      <c r="S100">
        <v>155.71630990636589</v>
      </c>
      <c r="T100">
        <v>795.62693991985304</v>
      </c>
      <c r="U100">
        <v>0</v>
      </c>
      <c r="V100">
        <v>2592.096252395766</v>
      </c>
      <c r="W100">
        <v>217.93181275864151</v>
      </c>
      <c r="X100">
        <v>140.11474634947888</v>
      </c>
      <c r="Y100">
        <v>331.36762708563094</v>
      </c>
      <c r="Z100">
        <v>965.55304989767649</v>
      </c>
      <c r="AA100">
        <v>0</v>
      </c>
      <c r="AB100">
        <v>0</v>
      </c>
      <c r="AC100">
        <v>49.634671368370206</v>
      </c>
      <c r="AD100">
        <v>0</v>
      </c>
      <c r="AE100">
        <v>246.05818390741331</v>
      </c>
      <c r="AF100">
        <v>0</v>
      </c>
      <c r="AG100">
        <v>681.24398744320024</v>
      </c>
      <c r="AH100">
        <v>400.05463283470607</v>
      </c>
      <c r="AI100">
        <v>71.418632668137718</v>
      </c>
      <c r="AJ100">
        <v>119.99813885755043</v>
      </c>
      <c r="AK100">
        <v>4.3280583465399998</v>
      </c>
      <c r="AL100">
        <v>7.5308812341894296</v>
      </c>
      <c r="AM100">
        <v>2409.3588172624218</v>
      </c>
      <c r="AN100">
        <v>169.24899772419269</v>
      </c>
      <c r="AO100">
        <v>15.785124598458397</v>
      </c>
      <c r="AP100">
        <v>3.9975794157417854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180.13493455236352</v>
      </c>
      <c r="AW100">
        <v>0</v>
      </c>
      <c r="AX100">
        <v>0</v>
      </c>
      <c r="AY100">
        <v>363.5324544407768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2">
      <c r="A101" t="s">
        <v>1272</v>
      </c>
      <c r="B101" t="s">
        <v>1173</v>
      </c>
      <c r="C101" t="s">
        <v>100</v>
      </c>
      <c r="D101">
        <v>2017</v>
      </c>
      <c r="E101" t="s">
        <v>1174</v>
      </c>
      <c r="F101" t="s">
        <v>1175</v>
      </c>
      <c r="G101">
        <v>1972.4167318292</v>
      </c>
      <c r="H101">
        <v>1942.4255307376243</v>
      </c>
      <c r="I101">
        <v>29.991201091788401</v>
      </c>
      <c r="J101">
        <v>87.955748638005943</v>
      </c>
      <c r="K101">
        <v>1216.2971623015046</v>
      </c>
      <c r="L101">
        <v>59.965105128116392</v>
      </c>
      <c r="M101">
        <v>142.19667264417438</v>
      </c>
      <c r="N101">
        <v>379.3349056736144</v>
      </c>
      <c r="O101">
        <v>56.675936352208623</v>
      </c>
      <c r="P101">
        <v>29.991201091788401</v>
      </c>
      <c r="Q101">
        <v>0</v>
      </c>
      <c r="R101">
        <v>0</v>
      </c>
      <c r="S101">
        <v>11.414867819221723</v>
      </c>
      <c r="T101">
        <v>76.540880818784217</v>
      </c>
      <c r="U101">
        <v>0</v>
      </c>
      <c r="V101">
        <v>776.94639955942523</v>
      </c>
      <c r="W101">
        <v>50.530845291270502</v>
      </c>
      <c r="X101">
        <v>10.6503554644302</v>
      </c>
      <c r="Y101">
        <v>40.293850738857685</v>
      </c>
      <c r="Z101">
        <v>337.87571124752105</v>
      </c>
      <c r="AA101">
        <v>0</v>
      </c>
      <c r="AB101">
        <v>0</v>
      </c>
      <c r="AC101">
        <v>18.189057700095461</v>
      </c>
      <c r="AD101">
        <v>0</v>
      </c>
      <c r="AE101">
        <v>41.776047428020931</v>
      </c>
      <c r="AF101">
        <v>0</v>
      </c>
      <c r="AG101">
        <v>74.781078364542211</v>
      </c>
      <c r="AH101">
        <v>64.855637178206194</v>
      </c>
      <c r="AI101">
        <v>0.99697561998000006</v>
      </c>
      <c r="AJ101">
        <v>1.39770234409</v>
      </c>
      <c r="AK101">
        <v>0.165279137356</v>
      </c>
      <c r="AL101">
        <v>0</v>
      </c>
      <c r="AM101">
        <v>379.3349056736144</v>
      </c>
      <c r="AN101">
        <v>31.566606881183525</v>
      </c>
      <c r="AO101">
        <v>0</v>
      </c>
      <c r="AP101">
        <v>25.109329471025102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6.4654887400070002</v>
      </c>
      <c r="AW101">
        <v>0</v>
      </c>
      <c r="AX101">
        <v>0</v>
      </c>
      <c r="AY101">
        <v>23.525712351781401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2">
      <c r="A102" t="s">
        <v>1273</v>
      </c>
      <c r="B102" t="s">
        <v>1173</v>
      </c>
      <c r="C102" t="s">
        <v>1030</v>
      </c>
      <c r="D102">
        <v>2017</v>
      </c>
      <c r="E102" t="s">
        <v>1174</v>
      </c>
      <c r="F102" t="s">
        <v>1175</v>
      </c>
      <c r="G102">
        <v>3682.2053224964998</v>
      </c>
      <c r="H102">
        <v>3652.1839908104203</v>
      </c>
      <c r="I102">
        <v>30.021331687904599</v>
      </c>
      <c r="J102">
        <v>102.53737560585384</v>
      </c>
      <c r="K102">
        <v>256.72640303094892</v>
      </c>
      <c r="L102">
        <v>13.1146226153648</v>
      </c>
      <c r="M102">
        <v>110.14365059816488</v>
      </c>
      <c r="N102">
        <v>2252.2274810551044</v>
      </c>
      <c r="O102">
        <v>917.43445790498345</v>
      </c>
      <c r="P102">
        <v>30.021331687904599</v>
      </c>
      <c r="Q102">
        <v>0</v>
      </c>
      <c r="R102">
        <v>0</v>
      </c>
      <c r="S102">
        <v>9.855689248298976</v>
      </c>
      <c r="T102">
        <v>92.681686357554867</v>
      </c>
      <c r="U102">
        <v>0</v>
      </c>
      <c r="V102">
        <v>173.38847054493445</v>
      </c>
      <c r="W102">
        <v>8.459170344351099</v>
      </c>
      <c r="X102">
        <v>4.6439409912503997</v>
      </c>
      <c r="Y102">
        <v>11.556734651990498</v>
      </c>
      <c r="Z102">
        <v>58.678086498422481</v>
      </c>
      <c r="AA102">
        <v>0</v>
      </c>
      <c r="AB102">
        <v>0</v>
      </c>
      <c r="AC102">
        <v>2.7613088695936003</v>
      </c>
      <c r="AD102">
        <v>0</v>
      </c>
      <c r="AE102">
        <v>10.353313745771199</v>
      </c>
      <c r="AF102">
        <v>0</v>
      </c>
      <c r="AG102">
        <v>20.179056359598601</v>
      </c>
      <c r="AH102">
        <v>26.237748773558497</v>
      </c>
      <c r="AI102">
        <v>3.3461522692954002</v>
      </c>
      <c r="AJ102">
        <v>18.700727282532206</v>
      </c>
      <c r="AK102">
        <v>41.679965913180169</v>
      </c>
      <c r="AL102">
        <v>0</v>
      </c>
      <c r="AM102">
        <v>2252.2274810551044</v>
      </c>
      <c r="AN102">
        <v>893.42075624379697</v>
      </c>
      <c r="AO102">
        <v>22.866059873026543</v>
      </c>
      <c r="AP102">
        <v>1.1476417881600001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10.2704691333883</v>
      </c>
      <c r="AW102">
        <v>0</v>
      </c>
      <c r="AX102">
        <v>0</v>
      </c>
      <c r="AY102">
        <v>19.750862554516299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">
      <c r="A103" t="s">
        <v>1274</v>
      </c>
      <c r="B103" t="s">
        <v>1173</v>
      </c>
      <c r="C103" t="s">
        <v>1014</v>
      </c>
      <c r="D103">
        <v>2017</v>
      </c>
      <c r="E103" t="s">
        <v>1174</v>
      </c>
      <c r="F103" t="s">
        <v>1175</v>
      </c>
      <c r="G103">
        <v>5040.3976252360999</v>
      </c>
      <c r="H103">
        <v>4757.6909339130489</v>
      </c>
      <c r="I103">
        <v>282.70669132306455</v>
      </c>
      <c r="J103">
        <v>119.27062147432575</v>
      </c>
      <c r="K103">
        <v>396.04733593013543</v>
      </c>
      <c r="L103">
        <v>21.934834258891598</v>
      </c>
      <c r="M103">
        <v>112.08164585421805</v>
      </c>
      <c r="N103">
        <v>3672.1000621928752</v>
      </c>
      <c r="O103">
        <v>436.25643420260224</v>
      </c>
      <c r="P103">
        <v>282.70669132306455</v>
      </c>
      <c r="Q103">
        <v>0</v>
      </c>
      <c r="R103">
        <v>0</v>
      </c>
      <c r="S103">
        <v>0</v>
      </c>
      <c r="T103">
        <v>119.27062147432575</v>
      </c>
      <c r="U103">
        <v>0</v>
      </c>
      <c r="V103">
        <v>308.75813960356004</v>
      </c>
      <c r="W103">
        <v>11.316105253393999</v>
      </c>
      <c r="X103">
        <v>7.5590019307627987</v>
      </c>
      <c r="Y103">
        <v>3.6403575361959999</v>
      </c>
      <c r="Z103">
        <v>64.77373160622264</v>
      </c>
      <c r="AA103">
        <v>0</v>
      </c>
      <c r="AB103">
        <v>0</v>
      </c>
      <c r="AC103">
        <v>4.6032114290491002</v>
      </c>
      <c r="AD103">
        <v>3.3712799013399999</v>
      </c>
      <c r="AE103">
        <v>11.5298544741825</v>
      </c>
      <c r="AF103">
        <v>2.4304884543200003</v>
      </c>
      <c r="AG103">
        <v>53.923862474448953</v>
      </c>
      <c r="AH103">
        <v>25.388274904605403</v>
      </c>
      <c r="AI103">
        <v>8.8089122951578016</v>
      </c>
      <c r="AJ103">
        <v>18.315487622797402</v>
      </c>
      <c r="AK103">
        <v>5.6451085572085002</v>
      </c>
      <c r="AL103">
        <v>0</v>
      </c>
      <c r="AM103">
        <v>3672.1000621928752</v>
      </c>
      <c r="AN103">
        <v>430.39639771526595</v>
      </c>
      <c r="AO103">
        <v>1.1294238141399999</v>
      </c>
      <c r="AP103">
        <v>4.7306126731963003</v>
      </c>
      <c r="AQ103">
        <v>0</v>
      </c>
      <c r="AR103">
        <v>0</v>
      </c>
      <c r="AS103">
        <v>86.972659804792102</v>
      </c>
      <c r="AT103">
        <v>0</v>
      </c>
      <c r="AU103">
        <v>0</v>
      </c>
      <c r="AV103">
        <v>27.785594232579623</v>
      </c>
      <c r="AW103">
        <v>0</v>
      </c>
      <c r="AX103">
        <v>0</v>
      </c>
      <c r="AY103">
        <v>167.94843728569279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2">
      <c r="A104" t="s">
        <v>1275</v>
      </c>
      <c r="B104" t="s">
        <v>1173</v>
      </c>
      <c r="C104" t="s">
        <v>528</v>
      </c>
      <c r="D104">
        <v>2017</v>
      </c>
      <c r="E104" t="s">
        <v>1174</v>
      </c>
      <c r="F104" t="s">
        <v>1175</v>
      </c>
      <c r="G104">
        <v>2168.0241470548999</v>
      </c>
      <c r="H104">
        <v>2101.1514657808466</v>
      </c>
      <c r="I104">
        <v>66.872681273737342</v>
      </c>
      <c r="J104">
        <v>55.899501561226948</v>
      </c>
      <c r="K104">
        <v>550.05353117078357</v>
      </c>
      <c r="L104">
        <v>53.271083958221496</v>
      </c>
      <c r="M104">
        <v>79.950515139944073</v>
      </c>
      <c r="N104">
        <v>1312.6999965480509</v>
      </c>
      <c r="O104">
        <v>49.276837402619691</v>
      </c>
      <c r="P104">
        <v>66.872681273737342</v>
      </c>
      <c r="Q104">
        <v>0</v>
      </c>
      <c r="R104">
        <v>0</v>
      </c>
      <c r="S104">
        <v>0</v>
      </c>
      <c r="T104">
        <v>55.899501561226948</v>
      </c>
      <c r="U104">
        <v>0</v>
      </c>
      <c r="V104">
        <v>409.77610848178745</v>
      </c>
      <c r="W104">
        <v>17.613977433286191</v>
      </c>
      <c r="X104">
        <v>7.4892601773322003</v>
      </c>
      <c r="Y104">
        <v>19.602962264466296</v>
      </c>
      <c r="Z104">
        <v>95.571222813911476</v>
      </c>
      <c r="AA104">
        <v>0</v>
      </c>
      <c r="AB104">
        <v>0</v>
      </c>
      <c r="AC104">
        <v>7.0509395904975998</v>
      </c>
      <c r="AD104">
        <v>0</v>
      </c>
      <c r="AE104">
        <v>46.220144367723897</v>
      </c>
      <c r="AF104">
        <v>0</v>
      </c>
      <c r="AG104">
        <v>38.485375756880202</v>
      </c>
      <c r="AH104">
        <v>32.080938131130203</v>
      </c>
      <c r="AI104">
        <v>1.982690884375</v>
      </c>
      <c r="AJ104">
        <v>1.9806593488408699</v>
      </c>
      <c r="AK104">
        <v>5.4208510187177996</v>
      </c>
      <c r="AL104">
        <v>0</v>
      </c>
      <c r="AM104">
        <v>1312.6999965480509</v>
      </c>
      <c r="AN104">
        <v>42.15104360220969</v>
      </c>
      <c r="AO104">
        <v>0</v>
      </c>
      <c r="AP104">
        <v>7.1257938004099994</v>
      </c>
      <c r="AQ104">
        <v>0</v>
      </c>
      <c r="AR104">
        <v>0</v>
      </c>
      <c r="AS104">
        <v>16.6548852323426</v>
      </c>
      <c r="AT104">
        <v>0</v>
      </c>
      <c r="AU104">
        <v>0</v>
      </c>
      <c r="AV104">
        <v>6.40352864767</v>
      </c>
      <c r="AW104">
        <v>0</v>
      </c>
      <c r="AX104">
        <v>0</v>
      </c>
      <c r="AY104">
        <v>43.814267393724741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2">
      <c r="A105" t="s">
        <v>1276</v>
      </c>
      <c r="B105" t="s">
        <v>1173</v>
      </c>
      <c r="C105" t="s">
        <v>1043</v>
      </c>
      <c r="D105">
        <v>2017</v>
      </c>
      <c r="E105" t="s">
        <v>1174</v>
      </c>
      <c r="F105" t="s">
        <v>1175</v>
      </c>
      <c r="G105">
        <v>4865.0812053097006</v>
      </c>
      <c r="H105">
        <v>4850.066542818513</v>
      </c>
      <c r="I105">
        <v>15.0146624899375</v>
      </c>
      <c r="J105">
        <v>169.78454511416376</v>
      </c>
      <c r="K105">
        <v>1474.4805719013057</v>
      </c>
      <c r="L105">
        <v>77.050854036022514</v>
      </c>
      <c r="M105">
        <v>321.87458268761873</v>
      </c>
      <c r="N105">
        <v>590.56044434414582</v>
      </c>
      <c r="O105">
        <v>2216.315544735256</v>
      </c>
      <c r="P105">
        <v>15.0146624899375</v>
      </c>
      <c r="Q105">
        <v>0</v>
      </c>
      <c r="R105">
        <v>0</v>
      </c>
      <c r="S105">
        <v>10.422913631256392</v>
      </c>
      <c r="T105">
        <v>159.36163148290737</v>
      </c>
      <c r="U105">
        <v>0</v>
      </c>
      <c r="V105">
        <v>1053.3722131797745</v>
      </c>
      <c r="W105">
        <v>47.051302137420194</v>
      </c>
      <c r="X105">
        <v>24.333990014675901</v>
      </c>
      <c r="Y105">
        <v>210.46041947167041</v>
      </c>
      <c r="Z105">
        <v>139.26264709776478</v>
      </c>
      <c r="AA105">
        <v>1.5452258643100001</v>
      </c>
      <c r="AB105">
        <v>2.9461359630819999</v>
      </c>
      <c r="AC105">
        <v>25.251288926544603</v>
      </c>
      <c r="AD105">
        <v>0</v>
      </c>
      <c r="AE105">
        <v>47.308203282085913</v>
      </c>
      <c r="AF105">
        <v>0</v>
      </c>
      <c r="AG105">
        <v>111.17323352342216</v>
      </c>
      <c r="AH105">
        <v>157.3801170574387</v>
      </c>
      <c r="AI105">
        <v>7.1954024263839003</v>
      </c>
      <c r="AJ105">
        <v>1.5320588258377001</v>
      </c>
      <c r="AK105">
        <v>44.593770854536295</v>
      </c>
      <c r="AL105">
        <v>0</v>
      </c>
      <c r="AM105">
        <v>590.56044434414582</v>
      </c>
      <c r="AN105">
        <v>2118.186693546812</v>
      </c>
      <c r="AO105">
        <v>94.384662911334075</v>
      </c>
      <c r="AP105">
        <v>3.7441882771099997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3.6246398522500001</v>
      </c>
      <c r="AW105">
        <v>0</v>
      </c>
      <c r="AX105">
        <v>0</v>
      </c>
      <c r="AY105">
        <v>11.390022637687499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">
      <c r="A106" t="s">
        <v>1277</v>
      </c>
      <c r="B106" t="s">
        <v>1173</v>
      </c>
      <c r="C106" t="s">
        <v>661</v>
      </c>
      <c r="D106">
        <v>2017</v>
      </c>
      <c r="E106" t="s">
        <v>1174</v>
      </c>
      <c r="F106" t="s">
        <v>1175</v>
      </c>
      <c r="G106">
        <v>2564.6426571099</v>
      </c>
      <c r="H106">
        <v>2341.5277937566757</v>
      </c>
      <c r="I106">
        <v>223.11486335307541</v>
      </c>
      <c r="J106">
        <v>207.49308956421265</v>
      </c>
      <c r="K106">
        <v>1234.3331670979637</v>
      </c>
      <c r="L106">
        <v>146.40995571698264</v>
      </c>
      <c r="M106">
        <v>376.8562992536207</v>
      </c>
      <c r="N106">
        <v>280.74751971689125</v>
      </c>
      <c r="O106">
        <v>95.687762407004385</v>
      </c>
      <c r="P106">
        <v>223.11486335307541</v>
      </c>
      <c r="Q106">
        <v>0</v>
      </c>
      <c r="R106">
        <v>0</v>
      </c>
      <c r="S106">
        <v>0</v>
      </c>
      <c r="T106">
        <v>207.49308956421265</v>
      </c>
      <c r="U106">
        <v>0</v>
      </c>
      <c r="V106">
        <v>721.65616210872179</v>
      </c>
      <c r="W106">
        <v>48.23680492882788</v>
      </c>
      <c r="X106">
        <v>65.848057805559591</v>
      </c>
      <c r="Y106">
        <v>60.398753190010133</v>
      </c>
      <c r="Z106">
        <v>338.1933890648445</v>
      </c>
      <c r="AA106">
        <v>0</v>
      </c>
      <c r="AB106">
        <v>0</v>
      </c>
      <c r="AC106">
        <v>8.9766241996608009</v>
      </c>
      <c r="AD106">
        <v>0</v>
      </c>
      <c r="AE106">
        <v>135.92941425566264</v>
      </c>
      <c r="AF106">
        <v>1.5039172616592</v>
      </c>
      <c r="AG106">
        <v>263.55788708855948</v>
      </c>
      <c r="AH106">
        <v>85.18579489777305</v>
      </c>
      <c r="AI106">
        <v>13.443666142870102</v>
      </c>
      <c r="AJ106">
        <v>14.668951124418047</v>
      </c>
      <c r="AK106">
        <v>0</v>
      </c>
      <c r="AL106">
        <v>0</v>
      </c>
      <c r="AM106">
        <v>280.74751971689125</v>
      </c>
      <c r="AN106">
        <v>95.687762407004385</v>
      </c>
      <c r="AO106">
        <v>0</v>
      </c>
      <c r="AP106">
        <v>0</v>
      </c>
      <c r="AQ106">
        <v>0</v>
      </c>
      <c r="AR106">
        <v>0</v>
      </c>
      <c r="AS106">
        <v>24.283946558533302</v>
      </c>
      <c r="AT106">
        <v>0</v>
      </c>
      <c r="AU106">
        <v>0</v>
      </c>
      <c r="AV106">
        <v>19.152965960374537</v>
      </c>
      <c r="AW106">
        <v>0</v>
      </c>
      <c r="AX106">
        <v>4.3350906685599995</v>
      </c>
      <c r="AY106">
        <v>175.34286016560756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">
      <c r="A107" t="s">
        <v>1278</v>
      </c>
      <c r="B107" t="s">
        <v>1173</v>
      </c>
      <c r="C107" t="s">
        <v>135</v>
      </c>
      <c r="D107">
        <v>2017</v>
      </c>
      <c r="E107" t="s">
        <v>1174</v>
      </c>
      <c r="F107" t="s">
        <v>1175</v>
      </c>
      <c r="G107">
        <v>3228.6067398092</v>
      </c>
      <c r="H107">
        <v>2009.89819309111</v>
      </c>
      <c r="I107">
        <v>1218.7085467183701</v>
      </c>
      <c r="J107">
        <v>93.081255963812168</v>
      </c>
      <c r="K107">
        <v>808.66025850439951</v>
      </c>
      <c r="L107">
        <v>49.591213311506756</v>
      </c>
      <c r="M107">
        <v>158.29760034189815</v>
      </c>
      <c r="N107">
        <v>763.29903408542202</v>
      </c>
      <c r="O107">
        <v>136.96883088407134</v>
      </c>
      <c r="P107">
        <v>1218.7085467183701</v>
      </c>
      <c r="Q107">
        <v>0</v>
      </c>
      <c r="R107">
        <v>0</v>
      </c>
      <c r="S107">
        <v>0</v>
      </c>
      <c r="T107">
        <v>93.081255963812168</v>
      </c>
      <c r="U107">
        <v>0</v>
      </c>
      <c r="V107">
        <v>460.47939652763017</v>
      </c>
      <c r="W107">
        <v>28.585681861728197</v>
      </c>
      <c r="X107">
        <v>17.120302477210195</v>
      </c>
      <c r="Y107">
        <v>21.991767820948795</v>
      </c>
      <c r="Z107">
        <v>280.48310981688218</v>
      </c>
      <c r="AA107">
        <v>0</v>
      </c>
      <c r="AB107">
        <v>0</v>
      </c>
      <c r="AC107">
        <v>4.0963977843554016</v>
      </c>
      <c r="AD107">
        <v>0</v>
      </c>
      <c r="AE107">
        <v>45.494815527151353</v>
      </c>
      <c r="AF107">
        <v>0</v>
      </c>
      <c r="AG107">
        <v>32.105057843706497</v>
      </c>
      <c r="AH107">
        <v>62.916859544697253</v>
      </c>
      <c r="AI107">
        <v>0</v>
      </c>
      <c r="AJ107">
        <v>61.571457609657593</v>
      </c>
      <c r="AK107">
        <v>1.7042253438368</v>
      </c>
      <c r="AL107">
        <v>174.5033646567224</v>
      </c>
      <c r="AM107">
        <v>588.79566942869963</v>
      </c>
      <c r="AN107">
        <v>51.164188586477138</v>
      </c>
      <c r="AO107">
        <v>0</v>
      </c>
      <c r="AP107">
        <v>85.804642297594199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35.177581094543733</v>
      </c>
      <c r="AW107">
        <v>0</v>
      </c>
      <c r="AX107">
        <v>0</v>
      </c>
      <c r="AY107">
        <v>1183.5309656238264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">
      <c r="A108" t="s">
        <v>1279</v>
      </c>
      <c r="B108" t="s">
        <v>1173</v>
      </c>
      <c r="C108" t="s">
        <v>1</v>
      </c>
      <c r="D108">
        <v>2017</v>
      </c>
      <c r="E108" t="s">
        <v>1174</v>
      </c>
      <c r="F108" t="s">
        <v>1175</v>
      </c>
      <c r="G108">
        <v>11734.6486037666</v>
      </c>
      <c r="H108">
        <v>11031.265219516035</v>
      </c>
      <c r="I108">
        <v>703.38338425319182</v>
      </c>
      <c r="J108">
        <v>459.23188481791749</v>
      </c>
      <c r="K108">
        <v>1907.0071952273065</v>
      </c>
      <c r="L108">
        <v>176.39875068742603</v>
      </c>
      <c r="M108">
        <v>524.63512387585956</v>
      </c>
      <c r="N108">
        <v>7792.901551353666</v>
      </c>
      <c r="O108">
        <v>171.09071355385922</v>
      </c>
      <c r="P108">
        <v>703.38338425319182</v>
      </c>
      <c r="Q108">
        <v>0</v>
      </c>
      <c r="R108">
        <v>0</v>
      </c>
      <c r="S108">
        <v>23.451566731722348</v>
      </c>
      <c r="T108">
        <v>435.78031808619517</v>
      </c>
      <c r="U108">
        <v>0</v>
      </c>
      <c r="V108">
        <v>1261.9878714723989</v>
      </c>
      <c r="W108">
        <v>91.601090865488601</v>
      </c>
      <c r="X108">
        <v>59.394801037224909</v>
      </c>
      <c r="Y108">
        <v>80.361532471677492</v>
      </c>
      <c r="Z108">
        <v>413.6618993805165</v>
      </c>
      <c r="AA108">
        <v>31.775090863404806</v>
      </c>
      <c r="AB108">
        <v>0</v>
      </c>
      <c r="AC108">
        <v>12.179003163182903</v>
      </c>
      <c r="AD108">
        <v>4.4190531850124506</v>
      </c>
      <c r="AE108">
        <v>128.02560347582587</v>
      </c>
      <c r="AF108">
        <v>0</v>
      </c>
      <c r="AG108">
        <v>238.31391764258035</v>
      </c>
      <c r="AH108">
        <v>204.48099467945841</v>
      </c>
      <c r="AI108">
        <v>38.886629054875449</v>
      </c>
      <c r="AJ108">
        <v>9.2393881540437004</v>
      </c>
      <c r="AK108">
        <v>33.714194344901692</v>
      </c>
      <c r="AL108">
        <v>5.3008265162920001</v>
      </c>
      <c r="AM108">
        <v>7787.6007248373744</v>
      </c>
      <c r="AN108">
        <v>8.1185246441515009</v>
      </c>
      <c r="AO108">
        <v>2.1072043169799999</v>
      </c>
      <c r="AP108">
        <v>160.86498459272772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16.353424021539798</v>
      </c>
      <c r="AW108">
        <v>0</v>
      </c>
      <c r="AX108">
        <v>0</v>
      </c>
      <c r="AY108">
        <v>687.02996023165201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2">
      <c r="A109" t="s">
        <v>1280</v>
      </c>
      <c r="B109" t="s">
        <v>1173</v>
      </c>
      <c r="C109" t="s">
        <v>192</v>
      </c>
      <c r="D109">
        <v>2017</v>
      </c>
      <c r="E109" t="s">
        <v>1174</v>
      </c>
      <c r="F109" t="s">
        <v>1175</v>
      </c>
      <c r="G109">
        <v>4408.1481838086002</v>
      </c>
      <c r="H109">
        <v>4111.3715183294235</v>
      </c>
      <c r="I109">
        <v>296.77666547905704</v>
      </c>
      <c r="J109">
        <v>210.85888338209941</v>
      </c>
      <c r="K109">
        <v>1238.7157109706977</v>
      </c>
      <c r="L109">
        <v>32.410991084518031</v>
      </c>
      <c r="M109">
        <v>582.1490408918512</v>
      </c>
      <c r="N109">
        <v>1580.29984682228</v>
      </c>
      <c r="O109">
        <v>466.93704517797744</v>
      </c>
      <c r="P109">
        <v>296.77666547905704</v>
      </c>
      <c r="Q109">
        <v>0</v>
      </c>
      <c r="R109">
        <v>0</v>
      </c>
      <c r="S109">
        <v>0</v>
      </c>
      <c r="T109">
        <v>210.85888338209941</v>
      </c>
      <c r="U109">
        <v>0</v>
      </c>
      <c r="V109">
        <v>966.02714602475578</v>
      </c>
      <c r="W109">
        <v>50.310373370297199</v>
      </c>
      <c r="X109">
        <v>11.7120461665896</v>
      </c>
      <c r="Y109">
        <v>62.225805715981537</v>
      </c>
      <c r="Z109">
        <v>148.44033969307358</v>
      </c>
      <c r="AA109">
        <v>0</v>
      </c>
      <c r="AB109">
        <v>1.6039318462704999</v>
      </c>
      <c r="AC109">
        <v>1.7396868884252501</v>
      </c>
      <c r="AD109">
        <v>0</v>
      </c>
      <c r="AE109">
        <v>29.067372349822278</v>
      </c>
      <c r="AF109">
        <v>0</v>
      </c>
      <c r="AG109">
        <v>239.38394239053778</v>
      </c>
      <c r="AH109">
        <v>193.87631315988097</v>
      </c>
      <c r="AI109">
        <v>23.183742612492999</v>
      </c>
      <c r="AJ109">
        <v>118.69354215147949</v>
      </c>
      <c r="AK109">
        <v>7.0115005774599997</v>
      </c>
      <c r="AL109">
        <v>124.59235843473161</v>
      </c>
      <c r="AM109">
        <v>1455.7074883875484</v>
      </c>
      <c r="AN109">
        <v>433.71732757241614</v>
      </c>
      <c r="AO109">
        <v>0</v>
      </c>
      <c r="AP109">
        <v>33.219717605561293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32.689210785728847</v>
      </c>
      <c r="AW109">
        <v>0</v>
      </c>
      <c r="AX109">
        <v>0</v>
      </c>
      <c r="AY109">
        <v>264.0874546933282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2">
      <c r="A110" t="s">
        <v>1281</v>
      </c>
      <c r="B110" t="s">
        <v>1173</v>
      </c>
      <c r="C110" t="s">
        <v>5</v>
      </c>
      <c r="D110">
        <v>2017</v>
      </c>
      <c r="E110" t="s">
        <v>1174</v>
      </c>
      <c r="F110" t="s">
        <v>1175</v>
      </c>
      <c r="G110">
        <v>24365.245792304398</v>
      </c>
      <c r="H110">
        <v>18812.228878629365</v>
      </c>
      <c r="I110">
        <v>5553.0169136781269</v>
      </c>
      <c r="J110">
        <v>1533.5162360570566</v>
      </c>
      <c r="K110">
        <v>8552.9795107083592</v>
      </c>
      <c r="L110">
        <v>979.94483168305169</v>
      </c>
      <c r="M110">
        <v>2760.9533794285094</v>
      </c>
      <c r="N110">
        <v>4415.2688492926118</v>
      </c>
      <c r="O110">
        <v>569.5660714597775</v>
      </c>
      <c r="P110">
        <v>5553.0169136781269</v>
      </c>
      <c r="Q110">
        <v>0</v>
      </c>
      <c r="R110">
        <v>0</v>
      </c>
      <c r="S110">
        <v>364.16002926860335</v>
      </c>
      <c r="T110">
        <v>1169.3562067884532</v>
      </c>
      <c r="U110">
        <v>0</v>
      </c>
      <c r="V110">
        <v>4816.0314981994288</v>
      </c>
      <c r="W110">
        <v>511.172687932695</v>
      </c>
      <c r="X110">
        <v>170.59812766480482</v>
      </c>
      <c r="Y110">
        <v>427.24257757438579</v>
      </c>
      <c r="Z110">
        <v>2627.9346193370438</v>
      </c>
      <c r="AA110">
        <v>0</v>
      </c>
      <c r="AB110">
        <v>13.445813278778704</v>
      </c>
      <c r="AC110">
        <v>115.57919307396568</v>
      </c>
      <c r="AD110">
        <v>0</v>
      </c>
      <c r="AE110">
        <v>808.88803888033988</v>
      </c>
      <c r="AF110">
        <v>42.031786449967392</v>
      </c>
      <c r="AG110">
        <v>1544.0081724707275</v>
      </c>
      <c r="AH110">
        <v>723.75999461243111</v>
      </c>
      <c r="AI110">
        <v>330.42299334753068</v>
      </c>
      <c r="AJ110">
        <v>144.66902524575917</v>
      </c>
      <c r="AK110">
        <v>18.093193752060703</v>
      </c>
      <c r="AL110">
        <v>28.431513031726297</v>
      </c>
      <c r="AM110">
        <v>4386.8373362608854</v>
      </c>
      <c r="AN110">
        <v>252.39025472598831</v>
      </c>
      <c r="AO110">
        <v>16.306770011976571</v>
      </c>
      <c r="AP110">
        <v>300.86904672181259</v>
      </c>
      <c r="AQ110">
        <v>2288.3486199074309</v>
      </c>
      <c r="AR110">
        <v>0</v>
      </c>
      <c r="AS110">
        <v>0</v>
      </c>
      <c r="AT110">
        <v>0</v>
      </c>
      <c r="AU110">
        <v>0</v>
      </c>
      <c r="AV110">
        <v>376.74776801190882</v>
      </c>
      <c r="AW110">
        <v>0</v>
      </c>
      <c r="AX110">
        <v>1.0188024930600001</v>
      </c>
      <c r="AY110">
        <v>2886.9017232657275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">
      <c r="A111" t="s">
        <v>1282</v>
      </c>
      <c r="B111" t="s">
        <v>1173</v>
      </c>
      <c r="C111" t="s">
        <v>236</v>
      </c>
      <c r="D111">
        <v>2017</v>
      </c>
      <c r="E111" t="s">
        <v>1174</v>
      </c>
      <c r="F111" t="s">
        <v>1175</v>
      </c>
      <c r="G111">
        <v>12023.0580492971</v>
      </c>
      <c r="H111">
        <v>9899.9711780138205</v>
      </c>
      <c r="I111">
        <v>2123.0868712848874</v>
      </c>
      <c r="J111">
        <v>185.12660443528966</v>
      </c>
      <c r="K111">
        <v>780.02444358392984</v>
      </c>
      <c r="L111">
        <v>58.025952476769895</v>
      </c>
      <c r="M111">
        <v>234.01311430176409</v>
      </c>
      <c r="N111">
        <v>4180.0120272919794</v>
      </c>
      <c r="O111">
        <v>4462.7690359240869</v>
      </c>
      <c r="P111">
        <v>93.413469481243737</v>
      </c>
      <c r="Q111">
        <v>2029.6734018036436</v>
      </c>
      <c r="R111">
        <v>0</v>
      </c>
      <c r="S111">
        <v>0</v>
      </c>
      <c r="T111">
        <v>185.12660443528966</v>
      </c>
      <c r="U111">
        <v>0</v>
      </c>
      <c r="V111">
        <v>662.61850910466876</v>
      </c>
      <c r="W111">
        <v>28.683597396673651</v>
      </c>
      <c r="X111">
        <v>7.7868735782986001</v>
      </c>
      <c r="Y111">
        <v>53.101520299501964</v>
      </c>
      <c r="Z111">
        <v>27.833943204786792</v>
      </c>
      <c r="AA111">
        <v>0</v>
      </c>
      <c r="AB111">
        <v>0</v>
      </c>
      <c r="AC111">
        <v>12.066120687323801</v>
      </c>
      <c r="AD111">
        <v>10.696868203949501</v>
      </c>
      <c r="AE111">
        <v>29.955791247444193</v>
      </c>
      <c r="AF111">
        <v>5.3071723380524007</v>
      </c>
      <c r="AG111">
        <v>31.096799967910837</v>
      </c>
      <c r="AH111">
        <v>50.265578040510704</v>
      </c>
      <c r="AI111">
        <v>30.203485596690804</v>
      </c>
      <c r="AJ111">
        <v>0</v>
      </c>
      <c r="AK111">
        <v>122.44725069665174</v>
      </c>
      <c r="AL111">
        <v>0</v>
      </c>
      <c r="AM111">
        <v>4180.0120272919794</v>
      </c>
      <c r="AN111">
        <v>1698.6395891908981</v>
      </c>
      <c r="AO111">
        <v>2732.4029543043489</v>
      </c>
      <c r="AP111">
        <v>31.726492428840192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1.2117922823328</v>
      </c>
      <c r="AW111">
        <v>0</v>
      </c>
      <c r="AX111">
        <v>0</v>
      </c>
      <c r="AY111">
        <v>92.201677198910943</v>
      </c>
      <c r="AZ111">
        <v>0</v>
      </c>
      <c r="BA111">
        <v>0</v>
      </c>
      <c r="BB111">
        <v>0</v>
      </c>
      <c r="BC111">
        <v>2029.6734018036436</v>
      </c>
      <c r="BD111">
        <v>0</v>
      </c>
    </row>
    <row r="112" spans="1:56" x14ac:dyDescent="0.2">
      <c r="A112" t="s">
        <v>1283</v>
      </c>
      <c r="B112" t="s">
        <v>1173</v>
      </c>
      <c r="C112" t="s">
        <v>14</v>
      </c>
      <c r="D112">
        <v>2017</v>
      </c>
      <c r="E112" t="s">
        <v>1174</v>
      </c>
      <c r="F112" t="s">
        <v>1175</v>
      </c>
      <c r="G112">
        <v>2008.6770601562998</v>
      </c>
      <c r="H112">
        <v>1835.2453268056934</v>
      </c>
      <c r="I112">
        <v>173.43173359199244</v>
      </c>
      <c r="J112">
        <v>142.96320330296797</v>
      </c>
      <c r="K112">
        <v>880.29624833903847</v>
      </c>
      <c r="L112">
        <v>35.905733910866651</v>
      </c>
      <c r="M112">
        <v>165.46171001760871</v>
      </c>
      <c r="N112">
        <v>389.64348368186029</v>
      </c>
      <c r="O112">
        <v>220.97494755335137</v>
      </c>
      <c r="P112">
        <v>53.396373401372443</v>
      </c>
      <c r="Q112">
        <v>120.03536019062</v>
      </c>
      <c r="R112">
        <v>0</v>
      </c>
      <c r="S112">
        <v>37.337606162956526</v>
      </c>
      <c r="T112">
        <v>105.62559714001145</v>
      </c>
      <c r="U112">
        <v>0</v>
      </c>
      <c r="V112">
        <v>406.73934389857004</v>
      </c>
      <c r="W112">
        <v>85.199746503083176</v>
      </c>
      <c r="X112">
        <v>14.827248142254399</v>
      </c>
      <c r="Y112">
        <v>22.6996281229648</v>
      </c>
      <c r="Z112">
        <v>350.83028167216605</v>
      </c>
      <c r="AA112">
        <v>0</v>
      </c>
      <c r="AB112">
        <v>0</v>
      </c>
      <c r="AC112">
        <v>12.299172015846001</v>
      </c>
      <c r="AD112">
        <v>11.583862207731249</v>
      </c>
      <c r="AE112">
        <v>12.022699687289403</v>
      </c>
      <c r="AF112">
        <v>0</v>
      </c>
      <c r="AG112">
        <v>112.96540283266457</v>
      </c>
      <c r="AH112">
        <v>40.313791917978513</v>
      </c>
      <c r="AI112">
        <v>6.5027627512252106</v>
      </c>
      <c r="AJ112">
        <v>0</v>
      </c>
      <c r="AK112">
        <v>5.6797525157404003</v>
      </c>
      <c r="AL112">
        <v>0</v>
      </c>
      <c r="AM112">
        <v>389.64348368186029</v>
      </c>
      <c r="AN112">
        <v>91.155246393746552</v>
      </c>
      <c r="AO112">
        <v>127.48305185417482</v>
      </c>
      <c r="AP112">
        <v>2.3366493054299999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1.0998227045</v>
      </c>
      <c r="AW112">
        <v>0</v>
      </c>
      <c r="AX112">
        <v>0</v>
      </c>
      <c r="AY112">
        <v>52.296550696872444</v>
      </c>
      <c r="AZ112">
        <v>0</v>
      </c>
      <c r="BA112">
        <v>0</v>
      </c>
      <c r="BB112">
        <v>0</v>
      </c>
      <c r="BC112">
        <v>120.03536019062</v>
      </c>
      <c r="BD112">
        <v>0</v>
      </c>
    </row>
    <row r="113" spans="1:56" x14ac:dyDescent="0.2">
      <c r="A113" t="s">
        <v>1284</v>
      </c>
      <c r="B113" t="s">
        <v>1173</v>
      </c>
      <c r="C113" t="s">
        <v>260</v>
      </c>
      <c r="D113">
        <v>2017</v>
      </c>
      <c r="E113" t="s">
        <v>1174</v>
      </c>
      <c r="F113" t="s">
        <v>1175</v>
      </c>
      <c r="G113">
        <v>1556.2768936090999</v>
      </c>
      <c r="H113">
        <v>1107.3163251155338</v>
      </c>
      <c r="I113">
        <v>448.96056849280279</v>
      </c>
      <c r="J113">
        <v>55.770419877199934</v>
      </c>
      <c r="K113">
        <v>352.27696945264984</v>
      </c>
      <c r="L113">
        <v>45.878984921504909</v>
      </c>
      <c r="M113">
        <v>57.558188488876006</v>
      </c>
      <c r="N113">
        <v>332.31772357794063</v>
      </c>
      <c r="O113">
        <v>263.51403879736233</v>
      </c>
      <c r="P113">
        <v>448.96056849280279</v>
      </c>
      <c r="Q113">
        <v>0</v>
      </c>
      <c r="R113">
        <v>0</v>
      </c>
      <c r="S113">
        <v>0</v>
      </c>
      <c r="T113">
        <v>55.770419877199934</v>
      </c>
      <c r="U113">
        <v>0</v>
      </c>
      <c r="V113">
        <v>329.45368960706753</v>
      </c>
      <c r="W113">
        <v>6.8256472826595695</v>
      </c>
      <c r="X113">
        <v>4.5352762630456001</v>
      </c>
      <c r="Y113">
        <v>9.0169671203439989</v>
      </c>
      <c r="Z113">
        <v>2.4453891795331</v>
      </c>
      <c r="AA113">
        <v>0</v>
      </c>
      <c r="AB113">
        <v>0</v>
      </c>
      <c r="AC113">
        <v>1.9953132595859999</v>
      </c>
      <c r="AD113">
        <v>0</v>
      </c>
      <c r="AE113">
        <v>43.88367166191891</v>
      </c>
      <c r="AF113">
        <v>0</v>
      </c>
      <c r="AG113">
        <v>30.197226075390599</v>
      </c>
      <c r="AH113">
        <v>15.159502905926603</v>
      </c>
      <c r="AI113">
        <v>0</v>
      </c>
      <c r="AJ113">
        <v>10.6653462895788</v>
      </c>
      <c r="AK113">
        <v>1.5361132179800001</v>
      </c>
      <c r="AL113">
        <v>0</v>
      </c>
      <c r="AM113">
        <v>332.31772357794063</v>
      </c>
      <c r="AN113">
        <v>146.36883802404679</v>
      </c>
      <c r="AO113">
        <v>93.983997393692604</v>
      </c>
      <c r="AP113">
        <v>23.161203379622901</v>
      </c>
      <c r="AQ113">
        <v>0</v>
      </c>
      <c r="AR113">
        <v>0</v>
      </c>
      <c r="AS113">
        <v>0</v>
      </c>
      <c r="AT113">
        <v>443.54069390215176</v>
      </c>
      <c r="AU113">
        <v>0</v>
      </c>
      <c r="AV113">
        <v>0</v>
      </c>
      <c r="AW113">
        <v>0</v>
      </c>
      <c r="AX113">
        <v>0</v>
      </c>
      <c r="AY113">
        <v>5.4198745906510197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2">
      <c r="A114" t="s">
        <v>1285</v>
      </c>
      <c r="B114" t="s">
        <v>1173</v>
      </c>
      <c r="C114" t="s">
        <v>15</v>
      </c>
      <c r="D114">
        <v>2017</v>
      </c>
      <c r="E114" t="s">
        <v>1174</v>
      </c>
      <c r="F114" t="s">
        <v>1175</v>
      </c>
      <c r="G114">
        <v>4522.7786527705002</v>
      </c>
      <c r="H114">
        <v>3976.7135226923747</v>
      </c>
      <c r="I114">
        <v>546.06513007900151</v>
      </c>
      <c r="J114">
        <v>91.441914962744178</v>
      </c>
      <c r="K114">
        <v>674.15030848395338</v>
      </c>
      <c r="L114">
        <v>14.667911662608601</v>
      </c>
      <c r="M114">
        <v>241.17556861303453</v>
      </c>
      <c r="N114">
        <v>421.83270317021618</v>
      </c>
      <c r="O114">
        <v>2533.4451157998178</v>
      </c>
      <c r="P114">
        <v>77.480342416775827</v>
      </c>
      <c r="Q114">
        <v>468.58478766222566</v>
      </c>
      <c r="R114">
        <v>0</v>
      </c>
      <c r="S114">
        <v>12.944676487754149</v>
      </c>
      <c r="T114">
        <v>78.497238474990027</v>
      </c>
      <c r="U114">
        <v>0</v>
      </c>
      <c r="V114">
        <v>590.90877544895147</v>
      </c>
      <c r="W114">
        <v>5.9844258900634912</v>
      </c>
      <c r="X114">
        <v>17.0722839941375</v>
      </c>
      <c r="Y114">
        <v>54.710826073107505</v>
      </c>
      <c r="Z114">
        <v>5.473997077693471</v>
      </c>
      <c r="AA114">
        <v>0</v>
      </c>
      <c r="AB114">
        <v>0</v>
      </c>
      <c r="AC114">
        <v>10.360212916508601</v>
      </c>
      <c r="AD114">
        <v>0</v>
      </c>
      <c r="AE114">
        <v>4.3076987460999998</v>
      </c>
      <c r="AF114">
        <v>0</v>
      </c>
      <c r="AG114">
        <v>108.25146519514227</v>
      </c>
      <c r="AH114">
        <v>57.451038885383632</v>
      </c>
      <c r="AI114">
        <v>5.8847394918700102</v>
      </c>
      <c r="AJ114">
        <v>8.3909525398403986</v>
      </c>
      <c r="AK114">
        <v>61.197372500798203</v>
      </c>
      <c r="AL114">
        <v>0</v>
      </c>
      <c r="AM114">
        <v>421.83270317021618</v>
      </c>
      <c r="AN114">
        <v>1023.1733961638607</v>
      </c>
      <c r="AO114">
        <v>1505.4918887904748</v>
      </c>
      <c r="AP114">
        <v>4.7798308454820102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3.8735341243292001</v>
      </c>
      <c r="AW114">
        <v>0</v>
      </c>
      <c r="AX114">
        <v>0</v>
      </c>
      <c r="AY114">
        <v>73.60680829244663</v>
      </c>
      <c r="AZ114">
        <v>0</v>
      </c>
      <c r="BA114">
        <v>0</v>
      </c>
      <c r="BB114">
        <v>0</v>
      </c>
      <c r="BC114">
        <v>468.58478766222566</v>
      </c>
      <c r="BD114">
        <v>0</v>
      </c>
    </row>
    <row r="115" spans="1:56" x14ac:dyDescent="0.2">
      <c r="A115" t="s">
        <v>1286</v>
      </c>
      <c r="B115" t="s">
        <v>1173</v>
      </c>
      <c r="C115" t="s">
        <v>22</v>
      </c>
      <c r="D115">
        <v>2017</v>
      </c>
      <c r="E115" t="s">
        <v>1174</v>
      </c>
      <c r="F115" t="s">
        <v>1175</v>
      </c>
      <c r="G115">
        <v>6040.3488238327</v>
      </c>
      <c r="H115">
        <v>4964.2566430448042</v>
      </c>
      <c r="I115">
        <v>1076.0921807881209</v>
      </c>
      <c r="J115">
        <v>129.86405884656961</v>
      </c>
      <c r="K115">
        <v>729.60250774977851</v>
      </c>
      <c r="L115">
        <v>24.800191875345501</v>
      </c>
      <c r="M115">
        <v>238.72991664436597</v>
      </c>
      <c r="N115">
        <v>2299.0972658267424</v>
      </c>
      <c r="O115">
        <v>1542.1627021020022</v>
      </c>
      <c r="P115">
        <v>557.42590556822245</v>
      </c>
      <c r="Q115">
        <v>518.66627521989835</v>
      </c>
      <c r="R115">
        <v>0</v>
      </c>
      <c r="S115">
        <v>15.652609059003932</v>
      </c>
      <c r="T115">
        <v>104.84266625882566</v>
      </c>
      <c r="U115">
        <v>9.3687835287399999</v>
      </c>
      <c r="V115">
        <v>553.11087879779836</v>
      </c>
      <c r="W115">
        <v>19.314521721081999</v>
      </c>
      <c r="X115">
        <v>61.609445338720697</v>
      </c>
      <c r="Y115">
        <v>44.689681544103898</v>
      </c>
      <c r="Z115">
        <v>50.877980348073642</v>
      </c>
      <c r="AA115">
        <v>0</v>
      </c>
      <c r="AB115">
        <v>0</v>
      </c>
      <c r="AC115">
        <v>7.5572902585394015</v>
      </c>
      <c r="AD115">
        <v>0</v>
      </c>
      <c r="AE115">
        <v>13.381891285456099</v>
      </c>
      <c r="AF115">
        <v>3.8610103313499997</v>
      </c>
      <c r="AG115">
        <v>62.490322150016191</v>
      </c>
      <c r="AH115">
        <v>59.732295830719316</v>
      </c>
      <c r="AI115">
        <v>13.257608004503389</v>
      </c>
      <c r="AJ115">
        <v>10.552845809023101</v>
      </c>
      <c r="AK115">
        <v>92.696844850104</v>
      </c>
      <c r="AL115">
        <v>1.1260538944030001</v>
      </c>
      <c r="AM115">
        <v>2297.9712119323394</v>
      </c>
      <c r="AN115">
        <v>719.06430304404785</v>
      </c>
      <c r="AO115">
        <v>781.09841542204549</v>
      </c>
      <c r="AP115">
        <v>41.999983635908897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8.6906174915212997</v>
      </c>
      <c r="AW115">
        <v>0</v>
      </c>
      <c r="AX115">
        <v>0</v>
      </c>
      <c r="AY115">
        <v>548.73528807670118</v>
      </c>
      <c r="AZ115">
        <v>0</v>
      </c>
      <c r="BA115">
        <v>0</v>
      </c>
      <c r="BB115">
        <v>0</v>
      </c>
      <c r="BC115">
        <v>518.66627521989835</v>
      </c>
      <c r="BD115">
        <v>0</v>
      </c>
    </row>
    <row r="116" spans="1:56" x14ac:dyDescent="0.2">
      <c r="A116" t="s">
        <v>1287</v>
      </c>
      <c r="B116" t="s">
        <v>1173</v>
      </c>
      <c r="C116" t="s">
        <v>31</v>
      </c>
      <c r="D116">
        <v>2017</v>
      </c>
      <c r="E116" t="s">
        <v>1174</v>
      </c>
      <c r="F116" t="s">
        <v>1175</v>
      </c>
      <c r="G116">
        <v>1403.7208090817001</v>
      </c>
      <c r="H116">
        <v>1194.6556089097003</v>
      </c>
      <c r="I116">
        <v>209.0652001716976</v>
      </c>
      <c r="J116">
        <v>161.13732268122035</v>
      </c>
      <c r="K116">
        <v>395.05084667852913</v>
      </c>
      <c r="L116">
        <v>56.604191915694805</v>
      </c>
      <c r="M116">
        <v>103.06933953190396</v>
      </c>
      <c r="N116">
        <v>232.59500399698433</v>
      </c>
      <c r="O116">
        <v>246.19890410536757</v>
      </c>
      <c r="P116">
        <v>209.0652001716976</v>
      </c>
      <c r="Q116">
        <v>0</v>
      </c>
      <c r="R116">
        <v>0</v>
      </c>
      <c r="S116">
        <v>39.882894862586951</v>
      </c>
      <c r="T116">
        <v>121.2544278186334</v>
      </c>
      <c r="U116">
        <v>0</v>
      </c>
      <c r="V116">
        <v>223.88238897651675</v>
      </c>
      <c r="W116">
        <v>7.7483764401368012</v>
      </c>
      <c r="X116">
        <v>60.8665737533208</v>
      </c>
      <c r="Y116">
        <v>20.9332765607823</v>
      </c>
      <c r="Z116">
        <v>81.620230947772484</v>
      </c>
      <c r="AA116">
        <v>0</v>
      </c>
      <c r="AB116">
        <v>0</v>
      </c>
      <c r="AC116">
        <v>13.585032919826682</v>
      </c>
      <c r="AD116">
        <v>0</v>
      </c>
      <c r="AE116">
        <v>40.599016472608128</v>
      </c>
      <c r="AF116">
        <v>2.42014252326</v>
      </c>
      <c r="AG116">
        <v>72.403446009789832</v>
      </c>
      <c r="AH116">
        <v>19.946074361895931</v>
      </c>
      <c r="AI116">
        <v>8.8458378312381996</v>
      </c>
      <c r="AJ116">
        <v>1.87398132898</v>
      </c>
      <c r="AK116">
        <v>0</v>
      </c>
      <c r="AL116">
        <v>0</v>
      </c>
      <c r="AM116">
        <v>232.59500399698433</v>
      </c>
      <c r="AN116">
        <v>203.85320555289928</v>
      </c>
      <c r="AO116">
        <v>0</v>
      </c>
      <c r="AP116">
        <v>42.345698552468299</v>
      </c>
      <c r="AQ116">
        <v>112.51922594401918</v>
      </c>
      <c r="AR116">
        <v>0</v>
      </c>
      <c r="AS116">
        <v>0</v>
      </c>
      <c r="AT116">
        <v>0</v>
      </c>
      <c r="AU116">
        <v>0</v>
      </c>
      <c r="AV116">
        <v>1.75760219944028</v>
      </c>
      <c r="AW116">
        <v>0</v>
      </c>
      <c r="AX116">
        <v>0</v>
      </c>
      <c r="AY116">
        <v>94.788372028238143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2">
      <c r="A117" t="s">
        <v>1288</v>
      </c>
      <c r="B117" t="s">
        <v>1173</v>
      </c>
      <c r="C117" t="s">
        <v>358</v>
      </c>
      <c r="D117">
        <v>2017</v>
      </c>
      <c r="E117" t="s">
        <v>1174</v>
      </c>
      <c r="F117" t="s">
        <v>1175</v>
      </c>
      <c r="G117">
        <v>7999.5998498991994</v>
      </c>
      <c r="H117">
        <v>5432.1552169300548</v>
      </c>
      <c r="I117">
        <v>2567.4446329661841</v>
      </c>
      <c r="J117">
        <v>201.58880053242839</v>
      </c>
      <c r="K117">
        <v>576.18156036103233</v>
      </c>
      <c r="L117">
        <v>58.983904206700132</v>
      </c>
      <c r="M117">
        <v>153.37405779424176</v>
      </c>
      <c r="N117">
        <v>4391.3922188083534</v>
      </c>
      <c r="O117">
        <v>50.634675227299098</v>
      </c>
      <c r="P117">
        <v>2567.4446329661841</v>
      </c>
      <c r="Q117">
        <v>0</v>
      </c>
      <c r="R117">
        <v>0</v>
      </c>
      <c r="S117">
        <v>24.630655486388864</v>
      </c>
      <c r="T117">
        <v>176.95814504603953</v>
      </c>
      <c r="U117">
        <v>0</v>
      </c>
      <c r="V117">
        <v>466.94043167004946</v>
      </c>
      <c r="W117">
        <v>16.481595152836</v>
      </c>
      <c r="X117">
        <v>4.8978320817692005</v>
      </c>
      <c r="Y117">
        <v>3.1042407490980004</v>
      </c>
      <c r="Z117">
        <v>84.75746070727962</v>
      </c>
      <c r="AA117">
        <v>3.6755064075772004</v>
      </c>
      <c r="AB117">
        <v>0</v>
      </c>
      <c r="AC117">
        <v>3.7822992750343007</v>
      </c>
      <c r="AD117">
        <v>0</v>
      </c>
      <c r="AE117">
        <v>35.814628923290996</v>
      </c>
      <c r="AF117">
        <v>15.711469600797631</v>
      </c>
      <c r="AG117">
        <v>58.223401899993213</v>
      </c>
      <c r="AH117">
        <v>48.336287156815011</v>
      </c>
      <c r="AI117">
        <v>10.441622194027</v>
      </c>
      <c r="AJ117">
        <v>11.949456299997442</v>
      </c>
      <c r="AK117">
        <v>24.423290243409092</v>
      </c>
      <c r="AL117">
        <v>0</v>
      </c>
      <c r="AM117">
        <v>4391.3922188083534</v>
      </c>
      <c r="AN117">
        <v>0</v>
      </c>
      <c r="AO117">
        <v>0</v>
      </c>
      <c r="AP117">
        <v>50.634675227299098</v>
      </c>
      <c r="AQ117">
        <v>2265.7711898107168</v>
      </c>
      <c r="AR117">
        <v>0</v>
      </c>
      <c r="AS117">
        <v>0</v>
      </c>
      <c r="AT117">
        <v>0</v>
      </c>
      <c r="AU117">
        <v>0</v>
      </c>
      <c r="AV117">
        <v>15.100013445534799</v>
      </c>
      <c r="AW117">
        <v>0</v>
      </c>
      <c r="AX117">
        <v>0</v>
      </c>
      <c r="AY117">
        <v>286.57342970993267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2">
      <c r="A118" t="s">
        <v>1289</v>
      </c>
      <c r="B118" t="s">
        <v>1173</v>
      </c>
      <c r="C118" t="s">
        <v>39</v>
      </c>
      <c r="D118">
        <v>2017</v>
      </c>
      <c r="E118" t="s">
        <v>1174</v>
      </c>
      <c r="F118" t="s">
        <v>1175</v>
      </c>
      <c r="G118">
        <v>11624.6507122688</v>
      </c>
      <c r="H118">
        <v>1266.4444396442177</v>
      </c>
      <c r="I118">
        <v>10358.206272629563</v>
      </c>
      <c r="J118">
        <v>42.175581794793153</v>
      </c>
      <c r="K118">
        <v>375.6702492380582</v>
      </c>
      <c r="L118">
        <v>26.982722059428369</v>
      </c>
      <c r="M118">
        <v>92.683064896218994</v>
      </c>
      <c r="N118">
        <v>683.81019794170982</v>
      </c>
      <c r="O118">
        <v>45.122623714009038</v>
      </c>
      <c r="P118">
        <v>10358.206272629563</v>
      </c>
      <c r="Q118">
        <v>0</v>
      </c>
      <c r="R118">
        <v>0</v>
      </c>
      <c r="S118">
        <v>6.9323236040432006</v>
      </c>
      <c r="T118">
        <v>35.243258190749955</v>
      </c>
      <c r="U118">
        <v>0</v>
      </c>
      <c r="V118">
        <v>217.66199136761725</v>
      </c>
      <c r="W118">
        <v>16.141432565292</v>
      </c>
      <c r="X118">
        <v>3.2372431471867</v>
      </c>
      <c r="Y118">
        <v>13.925785634747299</v>
      </c>
      <c r="Z118">
        <v>124.70379652321498</v>
      </c>
      <c r="AA118">
        <v>0</v>
      </c>
      <c r="AB118">
        <v>0</v>
      </c>
      <c r="AC118">
        <v>2.2332606101543004</v>
      </c>
      <c r="AD118">
        <v>0</v>
      </c>
      <c r="AE118">
        <v>5.9508392211306997</v>
      </c>
      <c r="AF118">
        <v>18.798622228143369</v>
      </c>
      <c r="AG118">
        <v>36.559656486070089</v>
      </c>
      <c r="AH118">
        <v>20.3094133974048</v>
      </c>
      <c r="AI118">
        <v>4.4836348505250001</v>
      </c>
      <c r="AJ118">
        <v>17.716176221098998</v>
      </c>
      <c r="AK118">
        <v>13.614183941120102</v>
      </c>
      <c r="AL118">
        <v>24.206571650977796</v>
      </c>
      <c r="AM118">
        <v>659.603626290732</v>
      </c>
      <c r="AN118">
        <v>5.0699222281667007</v>
      </c>
      <c r="AO118">
        <v>25.534198127151768</v>
      </c>
      <c r="AP118">
        <v>14.518503358690568</v>
      </c>
      <c r="AQ118">
        <v>10281.663659073931</v>
      </c>
      <c r="AR118">
        <v>0</v>
      </c>
      <c r="AS118">
        <v>0</v>
      </c>
      <c r="AT118">
        <v>0</v>
      </c>
      <c r="AU118">
        <v>0</v>
      </c>
      <c r="AV118">
        <v>10.9517218031</v>
      </c>
      <c r="AW118">
        <v>0</v>
      </c>
      <c r="AX118">
        <v>0</v>
      </c>
      <c r="AY118">
        <v>65.590891752532002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 x14ac:dyDescent="0.2">
      <c r="A119" t="s">
        <v>1290</v>
      </c>
      <c r="B119" t="s">
        <v>1173</v>
      </c>
      <c r="C119" t="s">
        <v>47</v>
      </c>
      <c r="D119">
        <v>2017</v>
      </c>
      <c r="E119" t="s">
        <v>1174</v>
      </c>
      <c r="F119" t="s">
        <v>1175</v>
      </c>
      <c r="G119">
        <v>3209.1235394570999</v>
      </c>
      <c r="H119">
        <v>2921.2163456993312</v>
      </c>
      <c r="I119">
        <v>287.90719375731317</v>
      </c>
      <c r="J119">
        <v>210.42209217975676</v>
      </c>
      <c r="K119">
        <v>1726.3346765262966</v>
      </c>
      <c r="L119">
        <v>66.052140208910004</v>
      </c>
      <c r="M119">
        <v>431.78052149755166</v>
      </c>
      <c r="N119">
        <v>409.49479066104021</v>
      </c>
      <c r="O119">
        <v>77.132124625776214</v>
      </c>
      <c r="P119">
        <v>287.90719375731317</v>
      </c>
      <c r="Q119">
        <v>0</v>
      </c>
      <c r="R119">
        <v>0</v>
      </c>
      <c r="S119">
        <v>47.231455303826309</v>
      </c>
      <c r="T119">
        <v>163.19063687593047</v>
      </c>
      <c r="U119">
        <v>0</v>
      </c>
      <c r="V119">
        <v>1281.0527260175172</v>
      </c>
      <c r="W119">
        <v>88.915219209510227</v>
      </c>
      <c r="X119">
        <v>35.387243190308197</v>
      </c>
      <c r="Y119">
        <v>79.796592411994496</v>
      </c>
      <c r="Z119">
        <v>241.18289569696645</v>
      </c>
      <c r="AA119">
        <v>0</v>
      </c>
      <c r="AB119">
        <v>2.3619428645460001</v>
      </c>
      <c r="AC119">
        <v>26.043669712035502</v>
      </c>
      <c r="AD119">
        <v>0</v>
      </c>
      <c r="AE119">
        <v>37.6465276323285</v>
      </c>
      <c r="AF119">
        <v>0</v>
      </c>
      <c r="AG119">
        <v>228.63359500870396</v>
      </c>
      <c r="AH119">
        <v>138.99454293251597</v>
      </c>
      <c r="AI119">
        <v>42.403124346552197</v>
      </c>
      <c r="AJ119">
        <v>20.163950335086898</v>
      </c>
      <c r="AK119">
        <v>1.5853088746926001</v>
      </c>
      <c r="AL119">
        <v>1.0444430134716998</v>
      </c>
      <c r="AM119">
        <v>408.45034764756849</v>
      </c>
      <c r="AN119">
        <v>28.742167950500001</v>
      </c>
      <c r="AO119">
        <v>0</v>
      </c>
      <c r="AP119">
        <v>48.38995667527621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54.109896203392395</v>
      </c>
      <c r="AW119">
        <v>0</v>
      </c>
      <c r="AX119">
        <v>0</v>
      </c>
      <c r="AY119">
        <v>233.79729755392074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2">
      <c r="A120" t="s">
        <v>1291</v>
      </c>
      <c r="B120" t="s">
        <v>1173</v>
      </c>
      <c r="C120" t="s">
        <v>441</v>
      </c>
      <c r="D120">
        <v>2017</v>
      </c>
      <c r="E120" t="s">
        <v>1174</v>
      </c>
      <c r="F120" t="s">
        <v>1175</v>
      </c>
      <c r="G120">
        <v>20631.302188244699</v>
      </c>
      <c r="H120">
        <v>19721.476682005294</v>
      </c>
      <c r="I120">
        <v>909.82550624258511</v>
      </c>
      <c r="J120">
        <v>2028.5770943424527</v>
      </c>
      <c r="K120">
        <v>3494.8441264199719</v>
      </c>
      <c r="L120">
        <v>707.43995446373401</v>
      </c>
      <c r="M120">
        <v>1481.3031832544029</v>
      </c>
      <c r="N120">
        <v>11514.336187119154</v>
      </c>
      <c r="O120">
        <v>494.97613640557773</v>
      </c>
      <c r="P120">
        <v>909.82550624258511</v>
      </c>
      <c r="Q120">
        <v>0</v>
      </c>
      <c r="R120">
        <v>0</v>
      </c>
      <c r="S120">
        <v>116.36418989645415</v>
      </c>
      <c r="T120">
        <v>1161.8290039701074</v>
      </c>
      <c r="U120">
        <v>750.38390047589098</v>
      </c>
      <c r="V120">
        <v>1963.8764966345716</v>
      </c>
      <c r="W120">
        <v>126.30358439832972</v>
      </c>
      <c r="X120">
        <v>65.582182250187614</v>
      </c>
      <c r="Y120">
        <v>139.9887610147824</v>
      </c>
      <c r="Z120">
        <v>1199.0931021221006</v>
      </c>
      <c r="AA120">
        <v>2.4742416767794997</v>
      </c>
      <c r="AB120">
        <v>20.212716706421798</v>
      </c>
      <c r="AC120">
        <v>17.037547767103703</v>
      </c>
      <c r="AD120">
        <v>0</v>
      </c>
      <c r="AE120">
        <v>665.862775838689</v>
      </c>
      <c r="AF120">
        <v>1.8526724747399999</v>
      </c>
      <c r="AG120">
        <v>687.44140401853417</v>
      </c>
      <c r="AH120">
        <v>489.46783625555986</v>
      </c>
      <c r="AI120">
        <v>24.595995455042694</v>
      </c>
      <c r="AJ120">
        <v>248.37282260411661</v>
      </c>
      <c r="AK120">
        <v>31.425124921149795</v>
      </c>
      <c r="AL120">
        <v>172.16976539592895</v>
      </c>
      <c r="AM120">
        <v>11342.166421723225</v>
      </c>
      <c r="AN120">
        <v>421.68056358288845</v>
      </c>
      <c r="AO120">
        <v>4.311819115244</v>
      </c>
      <c r="AP120">
        <v>68.98375370744526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151.20856846930201</v>
      </c>
      <c r="AW120">
        <v>0</v>
      </c>
      <c r="AX120">
        <v>0</v>
      </c>
      <c r="AY120">
        <v>758.6169377732831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2">
      <c r="A121" t="s">
        <v>1292</v>
      </c>
      <c r="B121" t="s">
        <v>1173</v>
      </c>
      <c r="C121" t="s">
        <v>52</v>
      </c>
      <c r="D121">
        <v>2017</v>
      </c>
      <c r="E121" t="s">
        <v>1174</v>
      </c>
      <c r="F121" t="s">
        <v>1175</v>
      </c>
      <c r="G121">
        <v>3167.9529121401001</v>
      </c>
      <c r="H121">
        <v>2727.1261407577804</v>
      </c>
      <c r="I121">
        <v>440.82677138166582</v>
      </c>
      <c r="J121">
        <v>82.734017487119047</v>
      </c>
      <c r="K121">
        <v>672.57230848410325</v>
      </c>
      <c r="L121">
        <v>18.447233690826469</v>
      </c>
      <c r="M121">
        <v>242.77353694136215</v>
      </c>
      <c r="N121">
        <v>666.99013840182386</v>
      </c>
      <c r="O121">
        <v>1043.6089057525458</v>
      </c>
      <c r="P121">
        <v>43.642729987729808</v>
      </c>
      <c r="Q121">
        <v>397.18404139393601</v>
      </c>
      <c r="R121">
        <v>0</v>
      </c>
      <c r="S121">
        <v>7.066740751790868</v>
      </c>
      <c r="T121">
        <v>75.667276735328173</v>
      </c>
      <c r="U121">
        <v>0</v>
      </c>
      <c r="V121">
        <v>452.29776007285358</v>
      </c>
      <c r="W121">
        <v>22.332747122567294</v>
      </c>
      <c r="X121">
        <v>61.508192242359392</v>
      </c>
      <c r="Y121">
        <v>20.055470381320067</v>
      </c>
      <c r="Z121">
        <v>116.37813866500291</v>
      </c>
      <c r="AA121">
        <v>0</v>
      </c>
      <c r="AB121">
        <v>0</v>
      </c>
      <c r="AC121">
        <v>9.6397575212027995</v>
      </c>
      <c r="AD121">
        <v>0.25655265041189995</v>
      </c>
      <c r="AE121">
        <v>8.5509235192117696</v>
      </c>
      <c r="AF121">
        <v>0</v>
      </c>
      <c r="AG121">
        <v>116.18819530433626</v>
      </c>
      <c r="AH121">
        <v>100.61323311447541</v>
      </c>
      <c r="AI121">
        <v>14.707676404451902</v>
      </c>
      <c r="AJ121">
        <v>6.9810140120149997</v>
      </c>
      <c r="AK121">
        <v>4.2834181060835999</v>
      </c>
      <c r="AL121">
        <v>25.628903882235495</v>
      </c>
      <c r="AM121">
        <v>641.36123451958838</v>
      </c>
      <c r="AN121">
        <v>441.62751264270463</v>
      </c>
      <c r="AO121">
        <v>588.96182944829502</v>
      </c>
      <c r="AP121">
        <v>13.019563661546002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7.3854224201792009</v>
      </c>
      <c r="AW121">
        <v>0</v>
      </c>
      <c r="AX121">
        <v>0</v>
      </c>
      <c r="AY121">
        <v>36.257307567550605</v>
      </c>
      <c r="AZ121">
        <v>0</v>
      </c>
      <c r="BA121">
        <v>0</v>
      </c>
      <c r="BB121">
        <v>0</v>
      </c>
      <c r="BC121">
        <v>397.18404139393601</v>
      </c>
      <c r="BD121">
        <v>0</v>
      </c>
    </row>
    <row r="122" spans="1:56" x14ac:dyDescent="0.2">
      <c r="A122" t="s">
        <v>1293</v>
      </c>
      <c r="B122" t="s">
        <v>1173</v>
      </c>
      <c r="C122" t="s">
        <v>53</v>
      </c>
      <c r="D122">
        <v>2017</v>
      </c>
      <c r="E122" t="s">
        <v>1174</v>
      </c>
      <c r="F122" t="s">
        <v>1175</v>
      </c>
      <c r="G122">
        <v>964.42125979839989</v>
      </c>
      <c r="H122">
        <v>917.17099360630243</v>
      </c>
      <c r="I122">
        <v>47.250266192024185</v>
      </c>
      <c r="J122">
        <v>48.058990091674545</v>
      </c>
      <c r="K122">
        <v>489.7638188694329</v>
      </c>
      <c r="L122">
        <v>16.7193223081292</v>
      </c>
      <c r="M122">
        <v>69.407685608855758</v>
      </c>
      <c r="N122">
        <v>150.18102715469871</v>
      </c>
      <c r="O122">
        <v>143.04014957351129</v>
      </c>
      <c r="P122">
        <v>47.250266192024185</v>
      </c>
      <c r="Q122">
        <v>0</v>
      </c>
      <c r="R122">
        <v>0</v>
      </c>
      <c r="S122">
        <v>10.720044321732001</v>
      </c>
      <c r="T122">
        <v>37.338945769942548</v>
      </c>
      <c r="U122">
        <v>0</v>
      </c>
      <c r="V122">
        <v>390.5780326179476</v>
      </c>
      <c r="W122">
        <v>10.393131363383601</v>
      </c>
      <c r="X122">
        <v>16.326161998520298</v>
      </c>
      <c r="Y122">
        <v>53.240635330899316</v>
      </c>
      <c r="Z122">
        <v>19.225857558682105</v>
      </c>
      <c r="AA122">
        <v>5.2086098630199995</v>
      </c>
      <c r="AB122">
        <v>0</v>
      </c>
      <c r="AC122">
        <v>10.086837005289199</v>
      </c>
      <c r="AD122">
        <v>0</v>
      </c>
      <c r="AE122">
        <v>1.42387543982</v>
      </c>
      <c r="AF122">
        <v>0</v>
      </c>
      <c r="AG122">
        <v>33.9585109037534</v>
      </c>
      <c r="AH122">
        <v>30.234616484360398</v>
      </c>
      <c r="AI122">
        <v>5.0802566577999695</v>
      </c>
      <c r="AJ122">
        <v>0.13430156294200002</v>
      </c>
      <c r="AK122">
        <v>0</v>
      </c>
      <c r="AL122">
        <v>1.9554263783410002</v>
      </c>
      <c r="AM122">
        <v>148.22560077635771</v>
      </c>
      <c r="AN122">
        <v>134.12120430657009</v>
      </c>
      <c r="AO122">
        <v>0</v>
      </c>
      <c r="AP122">
        <v>8.9189452669412006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1.4367806188288799</v>
      </c>
      <c r="AW122">
        <v>0</v>
      </c>
      <c r="AX122">
        <v>0</v>
      </c>
      <c r="AY122">
        <v>45.813485573195308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2">
      <c r="A123" t="s">
        <v>1294</v>
      </c>
      <c r="B123" t="s">
        <v>1173</v>
      </c>
      <c r="C123" t="s">
        <v>56</v>
      </c>
      <c r="D123">
        <v>2017</v>
      </c>
      <c r="E123" t="s">
        <v>1174</v>
      </c>
      <c r="F123" t="s">
        <v>1175</v>
      </c>
      <c r="G123">
        <v>1901.3662401409001</v>
      </c>
      <c r="H123">
        <v>1870.5400839253159</v>
      </c>
      <c r="I123">
        <v>30.826156214864312</v>
      </c>
      <c r="J123">
        <v>68.207744968995769</v>
      </c>
      <c r="K123">
        <v>499.52088377034556</v>
      </c>
      <c r="L123">
        <v>43.952912536983554</v>
      </c>
      <c r="M123">
        <v>159.53902845874029</v>
      </c>
      <c r="N123">
        <v>955.12160500175651</v>
      </c>
      <c r="O123">
        <v>144.19790918849441</v>
      </c>
      <c r="P123">
        <v>30.826156214864312</v>
      </c>
      <c r="Q123">
        <v>0</v>
      </c>
      <c r="R123">
        <v>0</v>
      </c>
      <c r="S123">
        <v>11.766002595650397</v>
      </c>
      <c r="T123">
        <v>56.44174237334537</v>
      </c>
      <c r="U123">
        <v>0</v>
      </c>
      <c r="V123">
        <v>417.8817607171369</v>
      </c>
      <c r="W123">
        <v>12.1902252096137</v>
      </c>
      <c r="X123">
        <v>8.0322159129195008</v>
      </c>
      <c r="Y123">
        <v>28.859993479787267</v>
      </c>
      <c r="Z123">
        <v>32.556688450888196</v>
      </c>
      <c r="AA123">
        <v>0</v>
      </c>
      <c r="AB123">
        <v>0</v>
      </c>
      <c r="AC123">
        <v>4.3257053854600001</v>
      </c>
      <c r="AD123">
        <v>1.6545283536500999</v>
      </c>
      <c r="AE123">
        <v>37.972678797873456</v>
      </c>
      <c r="AF123">
        <v>0</v>
      </c>
      <c r="AG123">
        <v>38.068456064863696</v>
      </c>
      <c r="AH123">
        <v>62.176386130469595</v>
      </c>
      <c r="AI123">
        <v>7.5704093644598007</v>
      </c>
      <c r="AJ123">
        <v>40.170492835064103</v>
      </c>
      <c r="AK123">
        <v>11.553284063883099</v>
      </c>
      <c r="AL123">
        <v>4.7648286243899998</v>
      </c>
      <c r="AM123">
        <v>950.35677637736649</v>
      </c>
      <c r="AN123">
        <v>143.88607690569341</v>
      </c>
      <c r="AO123">
        <v>0</v>
      </c>
      <c r="AP123">
        <v>0.311832282801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5.0240879310200004</v>
      </c>
      <c r="AW123">
        <v>0</v>
      </c>
      <c r="AX123">
        <v>0</v>
      </c>
      <c r="AY123">
        <v>25.802068283844314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2">
      <c r="A124" t="s">
        <v>1295</v>
      </c>
      <c r="B124" t="s">
        <v>1173</v>
      </c>
      <c r="C124" t="s">
        <v>28</v>
      </c>
      <c r="D124">
        <v>2017</v>
      </c>
      <c r="E124" t="s">
        <v>1174</v>
      </c>
      <c r="F124" t="s">
        <v>1175</v>
      </c>
      <c r="G124">
        <v>17879.988295414001</v>
      </c>
      <c r="H124">
        <v>4510.2396656116389</v>
      </c>
      <c r="I124">
        <v>13369.748629797745</v>
      </c>
      <c r="J124">
        <v>228.67028609222402</v>
      </c>
      <c r="K124">
        <v>1375.7907183888365</v>
      </c>
      <c r="L124">
        <v>125.83345780072975</v>
      </c>
      <c r="M124">
        <v>505.56163636373117</v>
      </c>
      <c r="N124">
        <v>1720.1856984267172</v>
      </c>
      <c r="O124">
        <v>554.19786853940025</v>
      </c>
      <c r="P124">
        <v>224.59264685177007</v>
      </c>
      <c r="Q124">
        <v>13145.155982945975</v>
      </c>
      <c r="R124">
        <v>0</v>
      </c>
      <c r="S124">
        <v>17.448051592717327</v>
      </c>
      <c r="T124">
        <v>169.8080557897519</v>
      </c>
      <c r="U124">
        <v>41.414178709754793</v>
      </c>
      <c r="V124">
        <v>756.52367303642666</v>
      </c>
      <c r="W124">
        <v>56.960007503599954</v>
      </c>
      <c r="X124">
        <v>263.86631140025287</v>
      </c>
      <c r="Y124">
        <v>96.422839407948771</v>
      </c>
      <c r="Z124">
        <v>202.01788704060829</v>
      </c>
      <c r="AA124">
        <v>0</v>
      </c>
      <c r="AB124">
        <v>5.0716589668400003</v>
      </c>
      <c r="AC124">
        <v>9.1578223583714014</v>
      </c>
      <c r="AD124">
        <v>1.09023420644E-2</v>
      </c>
      <c r="AE124">
        <v>67.992065288613702</v>
      </c>
      <c r="AF124">
        <v>43.60100884484023</v>
      </c>
      <c r="AG124">
        <v>184.66786976735526</v>
      </c>
      <c r="AH124">
        <v>145.0336479826249</v>
      </c>
      <c r="AI124">
        <v>36.960199149465907</v>
      </c>
      <c r="AJ124">
        <v>6.5608991639422003</v>
      </c>
      <c r="AK124">
        <v>132.33902030034292</v>
      </c>
      <c r="AL124">
        <v>0</v>
      </c>
      <c r="AM124">
        <v>1720.1856984267172</v>
      </c>
      <c r="AN124">
        <v>51.461935266428391</v>
      </c>
      <c r="AO124">
        <v>465.94151866130483</v>
      </c>
      <c r="AP124">
        <v>36.794414611666987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14.9167038151038</v>
      </c>
      <c r="AW124">
        <v>0</v>
      </c>
      <c r="AX124">
        <v>0</v>
      </c>
      <c r="AY124">
        <v>209.67594303666627</v>
      </c>
      <c r="AZ124">
        <v>9110.5257870098394</v>
      </c>
      <c r="BA124">
        <v>0</v>
      </c>
      <c r="BB124">
        <v>0</v>
      </c>
      <c r="BC124">
        <v>4034.6301959361358</v>
      </c>
      <c r="BD124">
        <v>0</v>
      </c>
    </row>
    <row r="125" spans="1:56" x14ac:dyDescent="0.2">
      <c r="A125" t="s">
        <v>1296</v>
      </c>
      <c r="B125" t="s">
        <v>1173</v>
      </c>
      <c r="C125" t="s">
        <v>61</v>
      </c>
      <c r="D125">
        <v>2017</v>
      </c>
      <c r="E125" t="s">
        <v>1174</v>
      </c>
      <c r="F125" t="s">
        <v>1175</v>
      </c>
      <c r="G125">
        <v>4635.6151307419004</v>
      </c>
      <c r="H125">
        <v>4560.9861533720768</v>
      </c>
      <c r="I125">
        <v>74.628977370867148</v>
      </c>
      <c r="J125">
        <v>236.20673398489237</v>
      </c>
      <c r="K125">
        <v>1513.175344802921</v>
      </c>
      <c r="L125">
        <v>46.463867583643122</v>
      </c>
      <c r="M125">
        <v>222.21437576788941</v>
      </c>
      <c r="N125">
        <v>570.2882949841794</v>
      </c>
      <c r="O125">
        <v>1972.6375362485517</v>
      </c>
      <c r="P125">
        <v>74.628977370867148</v>
      </c>
      <c r="Q125">
        <v>0</v>
      </c>
      <c r="R125">
        <v>0</v>
      </c>
      <c r="S125">
        <v>41.130625399188737</v>
      </c>
      <c r="T125">
        <v>140.93981132915474</v>
      </c>
      <c r="U125">
        <v>54.1362972565489</v>
      </c>
      <c r="V125">
        <v>1138.2948669729578</v>
      </c>
      <c r="W125">
        <v>57.224159651755322</v>
      </c>
      <c r="X125">
        <v>60.718910895256769</v>
      </c>
      <c r="Y125">
        <v>124.86309098970918</v>
      </c>
      <c r="Z125">
        <v>132.07431629324176</v>
      </c>
      <c r="AA125">
        <v>0</v>
      </c>
      <c r="AB125">
        <v>2.3025370344440002</v>
      </c>
      <c r="AC125">
        <v>27.076959405410726</v>
      </c>
      <c r="AD125">
        <v>0</v>
      </c>
      <c r="AE125">
        <v>17.084371143788399</v>
      </c>
      <c r="AF125">
        <v>0</v>
      </c>
      <c r="AG125">
        <v>58.695701377738104</v>
      </c>
      <c r="AH125">
        <v>109.34634167725278</v>
      </c>
      <c r="AI125">
        <v>1.6921324122332098</v>
      </c>
      <c r="AJ125">
        <v>1.4972361204709999</v>
      </c>
      <c r="AK125">
        <v>50.982964180194315</v>
      </c>
      <c r="AL125">
        <v>0</v>
      </c>
      <c r="AM125">
        <v>570.2882949841794</v>
      </c>
      <c r="AN125">
        <v>1497.3470313440951</v>
      </c>
      <c r="AO125">
        <v>419.23552050334655</v>
      </c>
      <c r="AP125">
        <v>56.054984401109998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9.903975097600501</v>
      </c>
      <c r="AW125">
        <v>0</v>
      </c>
      <c r="AX125">
        <v>0</v>
      </c>
      <c r="AY125">
        <v>64.725002273266639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2">
      <c r="A126" t="s">
        <v>1297</v>
      </c>
      <c r="B126" t="s">
        <v>1173</v>
      </c>
      <c r="C126" t="s">
        <v>63</v>
      </c>
      <c r="D126">
        <v>2017</v>
      </c>
      <c r="E126" t="s">
        <v>1174</v>
      </c>
      <c r="F126" t="s">
        <v>1175</v>
      </c>
      <c r="G126">
        <v>5345.5153007482004</v>
      </c>
      <c r="H126">
        <v>2037.4904995172519</v>
      </c>
      <c r="I126">
        <v>3308.0248012308066</v>
      </c>
      <c r="J126">
        <v>102.90994855692452</v>
      </c>
      <c r="K126">
        <v>1361.2702871450442</v>
      </c>
      <c r="L126">
        <v>78.411241106755824</v>
      </c>
      <c r="M126">
        <v>251.63115860410005</v>
      </c>
      <c r="N126">
        <v>233.57524402259489</v>
      </c>
      <c r="O126">
        <v>9.692620081832299</v>
      </c>
      <c r="P126">
        <v>3308.0248012308066</v>
      </c>
      <c r="Q126">
        <v>0</v>
      </c>
      <c r="R126">
        <v>0</v>
      </c>
      <c r="S126">
        <v>26.689854503804661</v>
      </c>
      <c r="T126">
        <v>76.220094053119865</v>
      </c>
      <c r="U126">
        <v>0</v>
      </c>
      <c r="V126">
        <v>1001.0769360248786</v>
      </c>
      <c r="W126">
        <v>107.95002391936383</v>
      </c>
      <c r="X126">
        <v>13.076839437535149</v>
      </c>
      <c r="Y126">
        <v>50.246396531526692</v>
      </c>
      <c r="Z126">
        <v>188.92009123174</v>
      </c>
      <c r="AA126">
        <v>0</v>
      </c>
      <c r="AB126">
        <v>3.9438784994059004</v>
      </c>
      <c r="AC126">
        <v>10.996188966487001</v>
      </c>
      <c r="AD126">
        <v>0</v>
      </c>
      <c r="AE126">
        <v>56.361387067557324</v>
      </c>
      <c r="AF126">
        <v>7.1097865733055992</v>
      </c>
      <c r="AG126">
        <v>123.02602877701258</v>
      </c>
      <c r="AH126">
        <v>94.236335640775224</v>
      </c>
      <c r="AI126">
        <v>12.595356997663599</v>
      </c>
      <c r="AJ126">
        <v>21.773437188648629</v>
      </c>
      <c r="AK126">
        <v>0</v>
      </c>
      <c r="AL126">
        <v>1.1918105132171981</v>
      </c>
      <c r="AM126">
        <v>232.38343350937768</v>
      </c>
      <c r="AN126">
        <v>3.8035302417162993</v>
      </c>
      <c r="AO126">
        <v>0</v>
      </c>
      <c r="AP126">
        <v>5.8890898401160001</v>
      </c>
      <c r="AQ126">
        <v>3241.1996174003543</v>
      </c>
      <c r="AR126">
        <v>0</v>
      </c>
      <c r="AS126">
        <v>0</v>
      </c>
      <c r="AT126">
        <v>0</v>
      </c>
      <c r="AU126">
        <v>0</v>
      </c>
      <c r="AV126">
        <v>17.157648811784536</v>
      </c>
      <c r="AW126">
        <v>0</v>
      </c>
      <c r="AX126">
        <v>0</v>
      </c>
      <c r="AY126">
        <v>49.667535018668097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x14ac:dyDescent="0.2">
      <c r="A127" t="s">
        <v>1298</v>
      </c>
      <c r="B127" t="s">
        <v>1173</v>
      </c>
      <c r="C127" t="s">
        <v>522</v>
      </c>
      <c r="D127">
        <v>2017</v>
      </c>
      <c r="E127" t="s">
        <v>1174</v>
      </c>
      <c r="F127" t="s">
        <v>1175</v>
      </c>
      <c r="G127">
        <v>2332.2803321888</v>
      </c>
      <c r="H127">
        <v>1581.0489467835821</v>
      </c>
      <c r="I127">
        <v>751.23138540489992</v>
      </c>
      <c r="J127">
        <v>54.552121377680173</v>
      </c>
      <c r="K127">
        <v>777.13233245127981</v>
      </c>
      <c r="L127">
        <v>13.311792153745699</v>
      </c>
      <c r="M127">
        <v>157.61840799023125</v>
      </c>
      <c r="N127">
        <v>108.85681727547293</v>
      </c>
      <c r="O127">
        <v>469.57747553517214</v>
      </c>
      <c r="P127">
        <v>751.23138540489992</v>
      </c>
      <c r="Q127">
        <v>0</v>
      </c>
      <c r="R127">
        <v>0</v>
      </c>
      <c r="S127">
        <v>0</v>
      </c>
      <c r="T127">
        <v>54.552121377680173</v>
      </c>
      <c r="U127">
        <v>0</v>
      </c>
      <c r="V127">
        <v>659.68897395538454</v>
      </c>
      <c r="W127">
        <v>17.127764544006599</v>
      </c>
      <c r="X127">
        <v>7.2902783471058994</v>
      </c>
      <c r="Y127">
        <v>27.967232455028494</v>
      </c>
      <c r="Z127">
        <v>65.058083149754367</v>
      </c>
      <c r="AA127">
        <v>0</v>
      </c>
      <c r="AB127">
        <v>0</v>
      </c>
      <c r="AC127">
        <v>7.2657049083399992</v>
      </c>
      <c r="AD127">
        <v>0</v>
      </c>
      <c r="AE127">
        <v>5.0133754598757001</v>
      </c>
      <c r="AF127">
        <v>1.0327117855300001</v>
      </c>
      <c r="AG127">
        <v>68.01316161486919</v>
      </c>
      <c r="AH127">
        <v>43.990204629216443</v>
      </c>
      <c r="AI127">
        <v>4.9734954787708006</v>
      </c>
      <c r="AJ127">
        <v>28.8405640119392</v>
      </c>
      <c r="AK127">
        <v>11.800982255435597</v>
      </c>
      <c r="AL127">
        <v>0</v>
      </c>
      <c r="AM127">
        <v>108.85681727547293</v>
      </c>
      <c r="AN127">
        <v>358.25542064878482</v>
      </c>
      <c r="AO127">
        <v>96.108412779994026</v>
      </c>
      <c r="AP127">
        <v>15.213642106393296</v>
      </c>
      <c r="AQ127">
        <v>0</v>
      </c>
      <c r="AR127">
        <v>0</v>
      </c>
      <c r="AS127">
        <v>0</v>
      </c>
      <c r="AT127">
        <v>726.16715466834728</v>
      </c>
      <c r="AU127">
        <v>0</v>
      </c>
      <c r="AV127">
        <v>14.196296030171998</v>
      </c>
      <c r="AW127">
        <v>0</v>
      </c>
      <c r="AX127">
        <v>0</v>
      </c>
      <c r="AY127">
        <v>10.86793470638068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2">
      <c r="A128" t="s">
        <v>1299</v>
      </c>
      <c r="B128" t="s">
        <v>1173</v>
      </c>
      <c r="C128" t="s">
        <v>561</v>
      </c>
      <c r="D128">
        <v>2017</v>
      </c>
      <c r="E128" t="s">
        <v>1174</v>
      </c>
      <c r="F128" t="s">
        <v>1175</v>
      </c>
      <c r="G128">
        <v>2650.4137790055001</v>
      </c>
      <c r="H128">
        <v>2243.8720314639349</v>
      </c>
      <c r="I128">
        <v>406.5417475407915</v>
      </c>
      <c r="J128">
        <v>36.673224307273863</v>
      </c>
      <c r="K128">
        <v>204.37825489880586</v>
      </c>
      <c r="L128">
        <v>4.9531252843321996</v>
      </c>
      <c r="M128">
        <v>189.80799248912135</v>
      </c>
      <c r="N128">
        <v>1515.2176129077625</v>
      </c>
      <c r="O128">
        <v>292.84182157663901</v>
      </c>
      <c r="P128">
        <v>406.5417475407915</v>
      </c>
      <c r="Q128">
        <v>0</v>
      </c>
      <c r="R128">
        <v>0</v>
      </c>
      <c r="S128">
        <v>4.5145811701238108</v>
      </c>
      <c r="T128">
        <v>32.158643137150051</v>
      </c>
      <c r="U128">
        <v>0</v>
      </c>
      <c r="V128">
        <v>184.80620674706657</v>
      </c>
      <c r="W128">
        <v>4.0012965646177001</v>
      </c>
      <c r="X128">
        <v>1.1350095611500002</v>
      </c>
      <c r="Y128">
        <v>1.0399606130085</v>
      </c>
      <c r="Z128">
        <v>13.395781412963101</v>
      </c>
      <c r="AA128">
        <v>0</v>
      </c>
      <c r="AB128">
        <v>1.9113089296700001</v>
      </c>
      <c r="AC128">
        <v>1.9846067173122</v>
      </c>
      <c r="AD128">
        <v>0</v>
      </c>
      <c r="AE128">
        <v>1.05720963735</v>
      </c>
      <c r="AF128">
        <v>0</v>
      </c>
      <c r="AG128">
        <v>14.7715699224907</v>
      </c>
      <c r="AH128">
        <v>13.398696763945598</v>
      </c>
      <c r="AI128">
        <v>5.4574838260568006</v>
      </c>
      <c r="AJ128">
        <v>150.83433241390375</v>
      </c>
      <c r="AK128">
        <v>5.3459095627244997</v>
      </c>
      <c r="AL128">
        <v>0</v>
      </c>
      <c r="AM128">
        <v>1515.2176129077625</v>
      </c>
      <c r="AN128">
        <v>32.899451275793695</v>
      </c>
      <c r="AO128">
        <v>0</v>
      </c>
      <c r="AP128">
        <v>259.94237030084531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59.572689753727602</v>
      </c>
      <c r="AW128">
        <v>0</v>
      </c>
      <c r="AX128">
        <v>0</v>
      </c>
      <c r="AY128">
        <v>346.96905778706389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2">
      <c r="A129" t="s">
        <v>1300</v>
      </c>
      <c r="B129" t="s">
        <v>1173</v>
      </c>
      <c r="C129" t="s">
        <v>567</v>
      </c>
      <c r="D129">
        <v>2017</v>
      </c>
      <c r="E129" t="s">
        <v>1174</v>
      </c>
      <c r="F129" t="s">
        <v>1175</v>
      </c>
      <c r="G129">
        <v>1241.1359784461999</v>
      </c>
      <c r="H129">
        <v>1241.0486094763887</v>
      </c>
      <c r="I129">
        <v>8.736896989750001E-2</v>
      </c>
      <c r="J129">
        <v>59.283846986079034</v>
      </c>
      <c r="K129">
        <v>433.8015666285861</v>
      </c>
      <c r="L129">
        <v>8.3858075607478</v>
      </c>
      <c r="M129">
        <v>34.538144262485048</v>
      </c>
      <c r="N129">
        <v>46.107839081198279</v>
      </c>
      <c r="O129">
        <v>658.93140495729233</v>
      </c>
      <c r="P129">
        <v>8.736896989750001E-2</v>
      </c>
      <c r="Q129">
        <v>0</v>
      </c>
      <c r="R129">
        <v>0</v>
      </c>
      <c r="S129">
        <v>0.89451433579502992</v>
      </c>
      <c r="T129">
        <v>58.389332650284004</v>
      </c>
      <c r="U129">
        <v>0</v>
      </c>
      <c r="V129">
        <v>360.48007855680322</v>
      </c>
      <c r="W129">
        <v>15.051430693128969</v>
      </c>
      <c r="X129">
        <v>15.282747622392851</v>
      </c>
      <c r="Y129">
        <v>36.459705540467496</v>
      </c>
      <c r="Z129">
        <v>6.5276042157935708</v>
      </c>
      <c r="AA129">
        <v>0</v>
      </c>
      <c r="AB129">
        <v>0</v>
      </c>
      <c r="AC129">
        <v>3.0817942060555001</v>
      </c>
      <c r="AD129">
        <v>0</v>
      </c>
      <c r="AE129">
        <v>5.3040133546922998</v>
      </c>
      <c r="AF129">
        <v>0</v>
      </c>
      <c r="AG129">
        <v>8.3473365768020003</v>
      </c>
      <c r="AH129">
        <v>25.377533124121548</v>
      </c>
      <c r="AI129">
        <v>0.81327456156149991</v>
      </c>
      <c r="AJ129">
        <v>0</v>
      </c>
      <c r="AK129">
        <v>0</v>
      </c>
      <c r="AL129">
        <v>0</v>
      </c>
      <c r="AM129">
        <v>46.107839081198279</v>
      </c>
      <c r="AN129">
        <v>350.73653279129149</v>
      </c>
      <c r="AO129">
        <v>302.84261392497996</v>
      </c>
      <c r="AP129">
        <v>5.3522582410209001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8.736896989750001E-2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2">
      <c r="A130" t="s">
        <v>1301</v>
      </c>
      <c r="B130" t="s">
        <v>1173</v>
      </c>
      <c r="C130" t="s">
        <v>619</v>
      </c>
      <c r="D130">
        <v>2017</v>
      </c>
      <c r="E130" t="s">
        <v>1174</v>
      </c>
      <c r="F130" t="s">
        <v>1175</v>
      </c>
      <c r="G130">
        <v>25756.171560125102</v>
      </c>
      <c r="H130">
        <v>12122.861131374537</v>
      </c>
      <c r="I130">
        <v>13633.31042875634</v>
      </c>
      <c r="J130">
        <v>397.03446650048107</v>
      </c>
      <c r="K130">
        <v>1178.4462472071395</v>
      </c>
      <c r="L130">
        <v>133.19329416243818</v>
      </c>
      <c r="M130">
        <v>386.63037642797423</v>
      </c>
      <c r="N130">
        <v>9898.6246342503109</v>
      </c>
      <c r="O130">
        <v>128.93211282619257</v>
      </c>
      <c r="P130">
        <v>13633.31042875634</v>
      </c>
      <c r="Q130">
        <v>0</v>
      </c>
      <c r="R130">
        <v>0</v>
      </c>
      <c r="S130">
        <v>18.048095366319004</v>
      </c>
      <c r="T130">
        <v>378.98637113416208</v>
      </c>
      <c r="U130">
        <v>0</v>
      </c>
      <c r="V130">
        <v>784.01361668601908</v>
      </c>
      <c r="W130">
        <v>14.906525985487001</v>
      </c>
      <c r="X130">
        <v>80.370849177617302</v>
      </c>
      <c r="Y130">
        <v>19.379996695592403</v>
      </c>
      <c r="Z130">
        <v>279.77525866242377</v>
      </c>
      <c r="AA130">
        <v>6.1317086799899997E-3</v>
      </c>
      <c r="AB130">
        <v>0</v>
      </c>
      <c r="AC130">
        <v>11.245328674885002</v>
      </c>
      <c r="AD130">
        <v>0</v>
      </c>
      <c r="AE130">
        <v>91.09384878252601</v>
      </c>
      <c r="AF130">
        <v>30.847984996347169</v>
      </c>
      <c r="AG130">
        <v>74.55852211509017</v>
      </c>
      <c r="AH130">
        <v>129.17770148335669</v>
      </c>
      <c r="AI130">
        <v>9.7717540493421495</v>
      </c>
      <c r="AJ130">
        <v>70.55489884914617</v>
      </c>
      <c r="AK130">
        <v>102.56749993103902</v>
      </c>
      <c r="AL130">
        <v>256.85864323660348</v>
      </c>
      <c r="AM130">
        <v>9641.7659910137081</v>
      </c>
      <c r="AN130">
        <v>75.284064974793822</v>
      </c>
      <c r="AO130">
        <v>0</v>
      </c>
      <c r="AP130">
        <v>53.648047851398751</v>
      </c>
      <c r="AQ130">
        <v>13113.569804502049</v>
      </c>
      <c r="AR130">
        <v>0</v>
      </c>
      <c r="AS130">
        <v>0</v>
      </c>
      <c r="AT130">
        <v>0</v>
      </c>
      <c r="AU130">
        <v>95.884703991000009</v>
      </c>
      <c r="AV130">
        <v>35.685630202434695</v>
      </c>
      <c r="AW130">
        <v>0</v>
      </c>
      <c r="AX130">
        <v>0</v>
      </c>
      <c r="AY130">
        <v>388.17029006085608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2">
      <c r="A131" t="s">
        <v>1302</v>
      </c>
      <c r="B131" t="s">
        <v>1173</v>
      </c>
      <c r="C131" t="s">
        <v>724</v>
      </c>
      <c r="D131">
        <v>2017</v>
      </c>
      <c r="E131" t="s">
        <v>1174</v>
      </c>
      <c r="F131" t="s">
        <v>1175</v>
      </c>
      <c r="G131">
        <v>1607.5517102461001</v>
      </c>
      <c r="H131">
        <v>1155.8012265981404</v>
      </c>
      <c r="I131">
        <v>451.75048364821816</v>
      </c>
      <c r="J131">
        <v>60.490212136555414</v>
      </c>
      <c r="K131">
        <v>188.0173791900163</v>
      </c>
      <c r="L131">
        <v>4.5121722853203998</v>
      </c>
      <c r="M131">
        <v>176.65189871417226</v>
      </c>
      <c r="N131">
        <v>512.36880022893183</v>
      </c>
      <c r="O131">
        <v>213.76076404314421</v>
      </c>
      <c r="P131">
        <v>451.75048364821816</v>
      </c>
      <c r="Q131">
        <v>0</v>
      </c>
      <c r="R131">
        <v>0</v>
      </c>
      <c r="S131">
        <v>12.032958370521399</v>
      </c>
      <c r="T131">
        <v>48.457253766034015</v>
      </c>
      <c r="U131">
        <v>0</v>
      </c>
      <c r="V131">
        <v>146.3988015279194</v>
      </c>
      <c r="W131">
        <v>4.1289609675088998</v>
      </c>
      <c r="X131">
        <v>9.2806668964954095</v>
      </c>
      <c r="Y131">
        <v>0</v>
      </c>
      <c r="Z131">
        <v>28.208949798092601</v>
      </c>
      <c r="AA131">
        <v>0</v>
      </c>
      <c r="AB131">
        <v>0</v>
      </c>
      <c r="AC131">
        <v>1.03341788811</v>
      </c>
      <c r="AD131">
        <v>0</v>
      </c>
      <c r="AE131">
        <v>3.4787543972103996</v>
      </c>
      <c r="AF131">
        <v>0</v>
      </c>
      <c r="AG131">
        <v>5.9879679086442996</v>
      </c>
      <c r="AH131">
        <v>11.087800173669999</v>
      </c>
      <c r="AI131">
        <v>0</v>
      </c>
      <c r="AJ131">
        <v>159.57613063185798</v>
      </c>
      <c r="AK131">
        <v>0</v>
      </c>
      <c r="AL131">
        <v>0</v>
      </c>
      <c r="AM131">
        <v>512.36880022893183</v>
      </c>
      <c r="AN131">
        <v>59.823515477078686</v>
      </c>
      <c r="AO131">
        <v>0</v>
      </c>
      <c r="AP131">
        <v>153.93724856606551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115.8698865119413</v>
      </c>
      <c r="AW131">
        <v>0</v>
      </c>
      <c r="AX131">
        <v>0</v>
      </c>
      <c r="AY131">
        <v>335.88059713627689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2">
      <c r="A132" t="s">
        <v>1303</v>
      </c>
      <c r="B132" t="s">
        <v>1173</v>
      </c>
      <c r="C132" t="s">
        <v>727</v>
      </c>
      <c r="D132">
        <v>2017</v>
      </c>
      <c r="E132" t="s">
        <v>1174</v>
      </c>
      <c r="F132" t="s">
        <v>1175</v>
      </c>
      <c r="G132">
        <v>4194.3395530002999</v>
      </c>
      <c r="H132">
        <v>4147.9109162414607</v>
      </c>
      <c r="I132">
        <v>46.428636759066883</v>
      </c>
      <c r="J132">
        <v>84.547011751039491</v>
      </c>
      <c r="K132">
        <v>304.24157444694379</v>
      </c>
      <c r="L132">
        <v>25.080050383720735</v>
      </c>
      <c r="M132">
        <v>70.157999278453701</v>
      </c>
      <c r="N132">
        <v>3638.2363786448782</v>
      </c>
      <c r="O132">
        <v>25.647901736424238</v>
      </c>
      <c r="P132">
        <v>46.428636759066883</v>
      </c>
      <c r="Q132">
        <v>0</v>
      </c>
      <c r="R132">
        <v>0</v>
      </c>
      <c r="S132">
        <v>0</v>
      </c>
      <c r="T132">
        <v>84.547011751039491</v>
      </c>
      <c r="U132">
        <v>0</v>
      </c>
      <c r="V132">
        <v>208.3451007430902</v>
      </c>
      <c r="W132">
        <v>15.428365575593366</v>
      </c>
      <c r="X132">
        <v>1.1036173759371</v>
      </c>
      <c r="Y132">
        <v>2.3270765878711002</v>
      </c>
      <c r="Z132">
        <v>77.037414164452002</v>
      </c>
      <c r="AA132">
        <v>0</v>
      </c>
      <c r="AB132">
        <v>0</v>
      </c>
      <c r="AC132">
        <v>2.345107894611</v>
      </c>
      <c r="AD132">
        <v>0</v>
      </c>
      <c r="AE132">
        <v>22.734942489109734</v>
      </c>
      <c r="AF132">
        <v>0</v>
      </c>
      <c r="AG132">
        <v>15.984855009078599</v>
      </c>
      <c r="AH132">
        <v>30.268683705796505</v>
      </c>
      <c r="AI132">
        <v>1.9522383834899999</v>
      </c>
      <c r="AJ132">
        <v>0</v>
      </c>
      <c r="AK132">
        <v>21.952222180088601</v>
      </c>
      <c r="AL132">
        <v>18.577351458751501</v>
      </c>
      <c r="AM132">
        <v>3619.6590271861269</v>
      </c>
      <c r="AN132">
        <v>2.2484671492148003</v>
      </c>
      <c r="AO132">
        <v>0</v>
      </c>
      <c r="AP132">
        <v>23.399434587209438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46.428636759066883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 spans="1:56" x14ac:dyDescent="0.2">
      <c r="A133" t="s">
        <v>1304</v>
      </c>
      <c r="B133" t="s">
        <v>1173</v>
      </c>
      <c r="C133" t="s">
        <v>738</v>
      </c>
      <c r="D133">
        <v>2017</v>
      </c>
      <c r="E133" t="s">
        <v>1174</v>
      </c>
      <c r="F133" t="s">
        <v>1175</v>
      </c>
      <c r="G133">
        <v>2578.2332455173</v>
      </c>
      <c r="H133">
        <v>2395.0611649182861</v>
      </c>
      <c r="I133">
        <v>183.17208059902464</v>
      </c>
      <c r="J133">
        <v>224.51086836820585</v>
      </c>
      <c r="K133">
        <v>290.5407469236909</v>
      </c>
      <c r="L133">
        <v>37.786884883811211</v>
      </c>
      <c r="M133">
        <v>223.42344741887371</v>
      </c>
      <c r="N133">
        <v>1580.3288646680849</v>
      </c>
      <c r="O133">
        <v>38.470352655619699</v>
      </c>
      <c r="P133">
        <v>183.17208059902464</v>
      </c>
      <c r="Q133">
        <v>0</v>
      </c>
      <c r="R133">
        <v>0</v>
      </c>
      <c r="S133">
        <v>35.008482475363088</v>
      </c>
      <c r="T133">
        <v>189.50238589284277</v>
      </c>
      <c r="U133">
        <v>0</v>
      </c>
      <c r="V133">
        <v>163.37110350710259</v>
      </c>
      <c r="W133">
        <v>4.4012321052585994</v>
      </c>
      <c r="X133">
        <v>2.5403027957710003</v>
      </c>
      <c r="Y133">
        <v>4.6493429807372983</v>
      </c>
      <c r="Z133">
        <v>115.57876553482146</v>
      </c>
      <c r="AA133">
        <v>0</v>
      </c>
      <c r="AB133">
        <v>0</v>
      </c>
      <c r="AC133">
        <v>7.1303018297878094</v>
      </c>
      <c r="AD133">
        <v>1.0240342309199999</v>
      </c>
      <c r="AE133">
        <v>29.632548823103402</v>
      </c>
      <c r="AF133">
        <v>0</v>
      </c>
      <c r="AG133">
        <v>36.974431066841937</v>
      </c>
      <c r="AH133">
        <v>93.020366440730314</v>
      </c>
      <c r="AI133">
        <v>44.865282585620896</v>
      </c>
      <c r="AJ133">
        <v>48.563367325680552</v>
      </c>
      <c r="AK133">
        <v>0</v>
      </c>
      <c r="AL133">
        <v>0</v>
      </c>
      <c r="AM133">
        <v>1580.3288646680849</v>
      </c>
      <c r="AN133">
        <v>30.546618055419398</v>
      </c>
      <c r="AO133">
        <v>0</v>
      </c>
      <c r="AP133">
        <v>7.9237346002003006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77.098536548186701</v>
      </c>
      <c r="AW133">
        <v>0</v>
      </c>
      <c r="AX133">
        <v>0</v>
      </c>
      <c r="AY133">
        <v>106.07354405083794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2">
      <c r="A134" t="s">
        <v>1305</v>
      </c>
      <c r="B134" t="s">
        <v>1173</v>
      </c>
      <c r="C134" t="s">
        <v>82</v>
      </c>
      <c r="D134">
        <v>2017</v>
      </c>
      <c r="E134" t="s">
        <v>1174</v>
      </c>
      <c r="F134" t="s">
        <v>1175</v>
      </c>
      <c r="G134">
        <v>9662.7015755030006</v>
      </c>
      <c r="H134">
        <v>9360.7461975491988</v>
      </c>
      <c r="I134">
        <v>301.95537795486257</v>
      </c>
      <c r="J134">
        <v>388.30705039001947</v>
      </c>
      <c r="K134">
        <v>1396.8782465552015</v>
      </c>
      <c r="L134">
        <v>140.19795719449635</v>
      </c>
      <c r="M134">
        <v>407.64982779625251</v>
      </c>
      <c r="N134">
        <v>6725.047631311174</v>
      </c>
      <c r="O134">
        <v>302.66548430205484</v>
      </c>
      <c r="P134">
        <v>301.95537795486257</v>
      </c>
      <c r="Q134">
        <v>0</v>
      </c>
      <c r="R134">
        <v>0</v>
      </c>
      <c r="S134">
        <v>17.639565069677701</v>
      </c>
      <c r="T134">
        <v>370.66748532034177</v>
      </c>
      <c r="U134">
        <v>0</v>
      </c>
      <c r="V134">
        <v>1027.594350823932</v>
      </c>
      <c r="W134">
        <v>59.345539801246488</v>
      </c>
      <c r="X134">
        <v>50.256765145424687</v>
      </c>
      <c r="Y134">
        <v>67.371178654155599</v>
      </c>
      <c r="Z134">
        <v>192.31041213044273</v>
      </c>
      <c r="AA134">
        <v>0</v>
      </c>
      <c r="AB134">
        <v>1.2981377402599998</v>
      </c>
      <c r="AC134">
        <v>9.6451437744741</v>
      </c>
      <c r="AD134">
        <v>4.1647014741793003</v>
      </c>
      <c r="AE134">
        <v>125.08997420558296</v>
      </c>
      <c r="AF134">
        <v>0</v>
      </c>
      <c r="AG134">
        <v>152.55088032105138</v>
      </c>
      <c r="AH134">
        <v>218.08633146777836</v>
      </c>
      <c r="AI134">
        <v>20.063326417761402</v>
      </c>
      <c r="AJ134">
        <v>15.739833776651398</v>
      </c>
      <c r="AK134">
        <v>1.2094558130099999</v>
      </c>
      <c r="AL134">
        <v>18.2954144073694</v>
      </c>
      <c r="AM134">
        <v>6706.7522169038048</v>
      </c>
      <c r="AN134">
        <v>280.44397821113614</v>
      </c>
      <c r="AO134">
        <v>0</v>
      </c>
      <c r="AP134">
        <v>22.221506090918698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16.501951396875967</v>
      </c>
      <c r="AW134">
        <v>0</v>
      </c>
      <c r="AX134">
        <v>0</v>
      </c>
      <c r="AY134">
        <v>285.45342655798657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2">
      <c r="A135" t="s">
        <v>1306</v>
      </c>
      <c r="B135" t="s">
        <v>1173</v>
      </c>
      <c r="C135" t="s">
        <v>91</v>
      </c>
      <c r="D135">
        <v>2017</v>
      </c>
      <c r="E135" t="s">
        <v>1174</v>
      </c>
      <c r="F135" t="s">
        <v>1175</v>
      </c>
      <c r="G135">
        <v>18728.077799286501</v>
      </c>
      <c r="H135">
        <v>16799.046125332145</v>
      </c>
      <c r="I135">
        <v>1929.0316739553321</v>
      </c>
      <c r="J135">
        <v>555.22503595901799</v>
      </c>
      <c r="K135">
        <v>1185.8613632719102</v>
      </c>
      <c r="L135">
        <v>50.583739072430738</v>
      </c>
      <c r="M135">
        <v>640.1312036953683</v>
      </c>
      <c r="N135">
        <v>13209.316224054497</v>
      </c>
      <c r="O135">
        <v>1157.9285592789188</v>
      </c>
      <c r="P135">
        <v>401.35699003410423</v>
      </c>
      <c r="Q135">
        <v>1527.6746839212278</v>
      </c>
      <c r="R135">
        <v>0</v>
      </c>
      <c r="S135">
        <v>33.715685991178297</v>
      </c>
      <c r="T135">
        <v>521.50934996783974</v>
      </c>
      <c r="U135">
        <v>0</v>
      </c>
      <c r="V135">
        <v>779.02547199883395</v>
      </c>
      <c r="W135">
        <v>46.713028594041198</v>
      </c>
      <c r="X135">
        <v>101.39809299680229</v>
      </c>
      <c r="Y135">
        <v>36.927240420362907</v>
      </c>
      <c r="Z135">
        <v>221.79752926186984</v>
      </c>
      <c r="AA135">
        <v>0</v>
      </c>
      <c r="AB135">
        <v>3.2914197075016003</v>
      </c>
      <c r="AC135">
        <v>15.455075500017186</v>
      </c>
      <c r="AD135">
        <v>0</v>
      </c>
      <c r="AE135">
        <v>31.751823691581901</v>
      </c>
      <c r="AF135">
        <v>8.5420173330050003E-2</v>
      </c>
      <c r="AG135">
        <v>67.414878195133937</v>
      </c>
      <c r="AH135">
        <v>168.67959120894213</v>
      </c>
      <c r="AI135">
        <v>18.030311775696003</v>
      </c>
      <c r="AJ135">
        <v>13.706756021131799</v>
      </c>
      <c r="AK135">
        <v>372.29966649446447</v>
      </c>
      <c r="AL135">
        <v>24.5595098058178</v>
      </c>
      <c r="AM135">
        <v>13184.756714248679</v>
      </c>
      <c r="AN135">
        <v>152.67990061392442</v>
      </c>
      <c r="AO135">
        <v>875.43786636039692</v>
      </c>
      <c r="AP135">
        <v>129.81079230459753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2.2504197767500003</v>
      </c>
      <c r="AW135">
        <v>0</v>
      </c>
      <c r="AX135">
        <v>0</v>
      </c>
      <c r="AY135">
        <v>399.10657025735424</v>
      </c>
      <c r="AZ135">
        <v>0</v>
      </c>
      <c r="BA135">
        <v>0</v>
      </c>
      <c r="BB135">
        <v>0</v>
      </c>
      <c r="BC135">
        <v>1527.6746839212278</v>
      </c>
      <c r="BD135">
        <v>0</v>
      </c>
    </row>
    <row r="136" spans="1:56" x14ac:dyDescent="0.2">
      <c r="A136" t="s">
        <v>1307</v>
      </c>
      <c r="B136" t="s">
        <v>1173</v>
      </c>
      <c r="C136" t="s">
        <v>875</v>
      </c>
      <c r="D136">
        <v>2017</v>
      </c>
      <c r="E136" t="s">
        <v>1174</v>
      </c>
      <c r="F136" t="s">
        <v>1175</v>
      </c>
      <c r="G136">
        <v>46315.658158136001</v>
      </c>
      <c r="H136">
        <v>16225.837290647614</v>
      </c>
      <c r="I136">
        <v>30089.820867457121</v>
      </c>
      <c r="J136">
        <v>365.99214081931308</v>
      </c>
      <c r="K136">
        <v>399.52997812920739</v>
      </c>
      <c r="L136">
        <v>69.020542168839711</v>
      </c>
      <c r="M136">
        <v>613.65846086735621</v>
      </c>
      <c r="N136">
        <v>9995.4986057802653</v>
      </c>
      <c r="O136">
        <v>4782.1375628826327</v>
      </c>
      <c r="P136">
        <v>267.91954129125901</v>
      </c>
      <c r="Q136">
        <v>29821.901326165862</v>
      </c>
      <c r="R136">
        <v>0</v>
      </c>
      <c r="S136">
        <v>0</v>
      </c>
      <c r="T136">
        <v>314.29516725550008</v>
      </c>
      <c r="U136">
        <v>51.696973563812996</v>
      </c>
      <c r="V136">
        <v>243.0850264259839</v>
      </c>
      <c r="W136">
        <v>23.485993523538376</v>
      </c>
      <c r="X136">
        <v>42.247890623389104</v>
      </c>
      <c r="Y136">
        <v>13.370674535175</v>
      </c>
      <c r="Z136">
        <v>77.340393021121059</v>
      </c>
      <c r="AA136">
        <v>0</v>
      </c>
      <c r="AB136">
        <v>1.1703656267590001</v>
      </c>
      <c r="AC136">
        <v>4.8837229018824999</v>
      </c>
      <c r="AD136">
        <v>0</v>
      </c>
      <c r="AE136">
        <v>6.7932094040967002</v>
      </c>
      <c r="AF136">
        <v>56.173244236101503</v>
      </c>
      <c r="AG136">
        <v>4.5326098572763005</v>
      </c>
      <c r="AH136">
        <v>103.53447688350647</v>
      </c>
      <c r="AI136">
        <v>7.1358663099309343</v>
      </c>
      <c r="AJ136">
        <v>7.9008166344873008</v>
      </c>
      <c r="AK136">
        <v>490.55469118215524</v>
      </c>
      <c r="AL136">
        <v>0</v>
      </c>
      <c r="AM136">
        <v>9995.4986057802653</v>
      </c>
      <c r="AN136">
        <v>611.95087622683434</v>
      </c>
      <c r="AO136">
        <v>3513.9819612899514</v>
      </c>
      <c r="AP136">
        <v>656.20472536584634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10.074255341217601</v>
      </c>
      <c r="AW136">
        <v>0</v>
      </c>
      <c r="AX136">
        <v>0</v>
      </c>
      <c r="AY136">
        <v>257.84528595004139</v>
      </c>
      <c r="AZ136">
        <v>23120.870822304601</v>
      </c>
      <c r="BA136">
        <v>0</v>
      </c>
      <c r="BB136">
        <v>0</v>
      </c>
      <c r="BC136">
        <v>6701.0305038612587</v>
      </c>
      <c r="BD136">
        <v>0</v>
      </c>
    </row>
    <row r="137" spans="1:56" x14ac:dyDescent="0.2">
      <c r="A137" t="s">
        <v>1308</v>
      </c>
      <c r="B137" t="s">
        <v>1173</v>
      </c>
      <c r="C137" t="s">
        <v>97</v>
      </c>
      <c r="D137">
        <v>2017</v>
      </c>
      <c r="E137" t="s">
        <v>1174</v>
      </c>
      <c r="F137" t="s">
        <v>1175</v>
      </c>
      <c r="G137">
        <v>2229.0553896503998</v>
      </c>
      <c r="H137">
        <v>1915.5918747205835</v>
      </c>
      <c r="I137">
        <v>313.46351493028777</v>
      </c>
      <c r="J137">
        <v>93.288603114612698</v>
      </c>
      <c r="K137">
        <v>225.87936251503683</v>
      </c>
      <c r="L137">
        <v>2.7634687815858405</v>
      </c>
      <c r="M137">
        <v>62.238836288216355</v>
      </c>
      <c r="N137">
        <v>1468.9519814531875</v>
      </c>
      <c r="O137">
        <v>62.469622567944292</v>
      </c>
      <c r="P137">
        <v>313.46351493028777</v>
      </c>
      <c r="Q137">
        <v>0</v>
      </c>
      <c r="R137">
        <v>0</v>
      </c>
      <c r="S137">
        <v>17.829757167955087</v>
      </c>
      <c r="T137">
        <v>75.458845946657618</v>
      </c>
      <c r="U137">
        <v>0</v>
      </c>
      <c r="V137">
        <v>179.009609971792</v>
      </c>
      <c r="W137">
        <v>1.8494817180099998</v>
      </c>
      <c r="X137">
        <v>5.1404713744149007</v>
      </c>
      <c r="Y137">
        <v>1.07684819811</v>
      </c>
      <c r="Z137">
        <v>38.802951252709924</v>
      </c>
      <c r="AA137">
        <v>0</v>
      </c>
      <c r="AB137">
        <v>0</v>
      </c>
      <c r="AC137">
        <v>0.67856809467000001</v>
      </c>
      <c r="AD137">
        <v>0</v>
      </c>
      <c r="AE137">
        <v>2.0849006869158404</v>
      </c>
      <c r="AF137">
        <v>0</v>
      </c>
      <c r="AG137">
        <v>11.905958485009801</v>
      </c>
      <c r="AH137">
        <v>19.966138612725</v>
      </c>
      <c r="AI137">
        <v>4.2930140645566119</v>
      </c>
      <c r="AJ137">
        <v>15.301069344271559</v>
      </c>
      <c r="AK137">
        <v>10.772655781653386</v>
      </c>
      <c r="AL137">
        <v>0</v>
      </c>
      <c r="AM137">
        <v>1468.9519814531875</v>
      </c>
      <c r="AN137">
        <v>6.0701436549491996</v>
      </c>
      <c r="AO137">
        <v>0</v>
      </c>
      <c r="AP137">
        <v>56.399478912995093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11.8495754163034</v>
      </c>
      <c r="AW137">
        <v>0</v>
      </c>
      <c r="AX137">
        <v>0</v>
      </c>
      <c r="AY137">
        <v>301.61393951398435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2">
      <c r="A138" t="s">
        <v>1309</v>
      </c>
      <c r="B138" t="s">
        <v>1173</v>
      </c>
      <c r="C138" t="s">
        <v>902</v>
      </c>
      <c r="D138">
        <v>2017</v>
      </c>
      <c r="E138" t="s">
        <v>1174</v>
      </c>
      <c r="F138" t="s">
        <v>1175</v>
      </c>
      <c r="G138">
        <v>1941.9052621741998</v>
      </c>
      <c r="H138">
        <v>1812.1113987190731</v>
      </c>
      <c r="I138">
        <v>129.79386345569355</v>
      </c>
      <c r="J138">
        <v>62.675796443078774</v>
      </c>
      <c r="K138">
        <v>575.33250390586943</v>
      </c>
      <c r="L138">
        <v>21.681917758341889</v>
      </c>
      <c r="M138">
        <v>128.88396403052801</v>
      </c>
      <c r="N138">
        <v>1010.8921604368056</v>
      </c>
      <c r="O138">
        <v>12.645056144449402</v>
      </c>
      <c r="P138">
        <v>129.79386345569355</v>
      </c>
      <c r="Q138">
        <v>0</v>
      </c>
      <c r="R138">
        <v>0</v>
      </c>
      <c r="S138">
        <v>0</v>
      </c>
      <c r="T138">
        <v>62.675796443078774</v>
      </c>
      <c r="U138">
        <v>0</v>
      </c>
      <c r="V138">
        <v>368.00885058066336</v>
      </c>
      <c r="W138">
        <v>18.019949103527203</v>
      </c>
      <c r="X138">
        <v>6.0450775652499997</v>
      </c>
      <c r="Y138">
        <v>11.019733010784703</v>
      </c>
      <c r="Z138">
        <v>172.23889364564414</v>
      </c>
      <c r="AA138">
        <v>0</v>
      </c>
      <c r="AB138">
        <v>0</v>
      </c>
      <c r="AC138">
        <v>5.1820047193809007</v>
      </c>
      <c r="AD138">
        <v>0</v>
      </c>
      <c r="AE138">
        <v>16.49991303896099</v>
      </c>
      <c r="AF138">
        <v>0</v>
      </c>
      <c r="AG138">
        <v>78.334626614082183</v>
      </c>
      <c r="AH138">
        <v>43.418354541993104</v>
      </c>
      <c r="AI138">
        <v>1.4365797544700001</v>
      </c>
      <c r="AJ138">
        <v>0</v>
      </c>
      <c r="AK138">
        <v>5.6944031199826997</v>
      </c>
      <c r="AL138">
        <v>283.443192981712</v>
      </c>
      <c r="AM138">
        <v>727.44896745509368</v>
      </c>
      <c r="AN138">
        <v>8.7749748307510007</v>
      </c>
      <c r="AO138">
        <v>0</v>
      </c>
      <c r="AP138">
        <v>3.8700813136984005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129.79386345569355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x14ac:dyDescent="0.2">
      <c r="A139" t="s">
        <v>1310</v>
      </c>
      <c r="B139" t="s">
        <v>1173</v>
      </c>
      <c r="C139" t="s">
        <v>932</v>
      </c>
      <c r="D139">
        <v>2017</v>
      </c>
      <c r="E139" t="s">
        <v>1174</v>
      </c>
      <c r="F139" t="s">
        <v>1175</v>
      </c>
      <c r="G139">
        <v>6317.1173333387005</v>
      </c>
      <c r="H139">
        <v>4502.8299914721529</v>
      </c>
      <c r="I139">
        <v>1814.2873418689092</v>
      </c>
      <c r="J139">
        <v>291.91220597233615</v>
      </c>
      <c r="K139">
        <v>1536.3251678561169</v>
      </c>
      <c r="L139">
        <v>128.3735064779793</v>
      </c>
      <c r="M139">
        <v>765.12557867250121</v>
      </c>
      <c r="N139">
        <v>332.17045958995624</v>
      </c>
      <c r="O139">
        <v>1448.9230729032631</v>
      </c>
      <c r="P139">
        <v>426.38833773738577</v>
      </c>
      <c r="Q139">
        <v>1387.8990041315233</v>
      </c>
      <c r="R139">
        <v>0</v>
      </c>
      <c r="S139">
        <v>65.615984270702612</v>
      </c>
      <c r="T139">
        <v>226.29622170163356</v>
      </c>
      <c r="U139">
        <v>0</v>
      </c>
      <c r="V139">
        <v>713.52415701845246</v>
      </c>
      <c r="W139">
        <v>41.567333459380798</v>
      </c>
      <c r="X139">
        <v>59.711027341362403</v>
      </c>
      <c r="Y139">
        <v>24.755394813432996</v>
      </c>
      <c r="Z139">
        <v>696.76725522348806</v>
      </c>
      <c r="AA139">
        <v>2.6814045101146999</v>
      </c>
      <c r="AB139">
        <v>3.0056544587509997</v>
      </c>
      <c r="AC139">
        <v>40.51319434134011</v>
      </c>
      <c r="AD139">
        <v>2.8920841275599997E-2</v>
      </c>
      <c r="AE139">
        <v>31.256710702480795</v>
      </c>
      <c r="AF139">
        <v>50.887621624017108</v>
      </c>
      <c r="AG139">
        <v>209.84183872095645</v>
      </c>
      <c r="AH139">
        <v>219.4232534319691</v>
      </c>
      <c r="AI139">
        <v>28.236998508749092</v>
      </c>
      <c r="AJ139">
        <v>279.34829081611429</v>
      </c>
      <c r="AK139">
        <v>28.275197194712348</v>
      </c>
      <c r="AL139">
        <v>0</v>
      </c>
      <c r="AM139">
        <v>332.17045958995624</v>
      </c>
      <c r="AN139">
        <v>665.96662662122606</v>
      </c>
      <c r="AO139">
        <v>754.38348179382513</v>
      </c>
      <c r="AP139">
        <v>28.572964488212001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69.026988246398091</v>
      </c>
      <c r="AW139">
        <v>0</v>
      </c>
      <c r="AX139">
        <v>9.1294889558193209</v>
      </c>
      <c r="AY139">
        <v>348.23186053516838</v>
      </c>
      <c r="AZ139">
        <v>0</v>
      </c>
      <c r="BA139">
        <v>0</v>
      </c>
      <c r="BB139">
        <v>0</v>
      </c>
      <c r="BC139">
        <v>1387.8990041315233</v>
      </c>
      <c r="BD139">
        <v>0</v>
      </c>
    </row>
    <row r="140" spans="1:56" x14ac:dyDescent="0.2">
      <c r="A140" t="s">
        <v>1311</v>
      </c>
      <c r="B140" t="s">
        <v>1173</v>
      </c>
      <c r="C140" t="s">
        <v>115</v>
      </c>
      <c r="D140">
        <v>2017</v>
      </c>
      <c r="E140" t="s">
        <v>1174</v>
      </c>
      <c r="F140" t="s">
        <v>1175</v>
      </c>
      <c r="G140">
        <v>4397.0714781897004</v>
      </c>
      <c r="H140">
        <v>3207.873504269307</v>
      </c>
      <c r="I140">
        <v>1189.1979739202939</v>
      </c>
      <c r="J140">
        <v>53.033257823501422</v>
      </c>
      <c r="K140">
        <v>256.47788684879669</v>
      </c>
      <c r="L140">
        <v>11.112477577379</v>
      </c>
      <c r="M140">
        <v>225.81783838389075</v>
      </c>
      <c r="N140">
        <v>10.588171661845099</v>
      </c>
      <c r="O140">
        <v>2650.8438719738942</v>
      </c>
      <c r="P140">
        <v>166.49239438217236</v>
      </c>
      <c r="Q140">
        <v>1022.7055795381216</v>
      </c>
      <c r="R140">
        <v>0</v>
      </c>
      <c r="S140">
        <v>10.910834334462601</v>
      </c>
      <c r="T140">
        <v>42.122423489038823</v>
      </c>
      <c r="U140">
        <v>0</v>
      </c>
      <c r="V140">
        <v>216.70178331060799</v>
      </c>
      <c r="W140">
        <v>14.578506673950198</v>
      </c>
      <c r="X140">
        <v>2.8217598802029999</v>
      </c>
      <c r="Y140">
        <v>13.905407951254199</v>
      </c>
      <c r="Z140">
        <v>8.4704290327812988</v>
      </c>
      <c r="AA140">
        <v>0</v>
      </c>
      <c r="AB140">
        <v>0</v>
      </c>
      <c r="AC140">
        <v>5.6694783815590002</v>
      </c>
      <c r="AD140">
        <v>0</v>
      </c>
      <c r="AE140">
        <v>5.4429991958199997</v>
      </c>
      <c r="AF140">
        <v>0</v>
      </c>
      <c r="AG140">
        <v>4.5979496832068998</v>
      </c>
      <c r="AH140">
        <v>161.52539715250103</v>
      </c>
      <c r="AI140">
        <v>4.0381948915257002</v>
      </c>
      <c r="AJ140">
        <v>0</v>
      </c>
      <c r="AK140">
        <v>55.656296656657105</v>
      </c>
      <c r="AL140">
        <v>0</v>
      </c>
      <c r="AM140">
        <v>10.588171661845099</v>
      </c>
      <c r="AN140">
        <v>290.24908057839696</v>
      </c>
      <c r="AO140">
        <v>2359.4799946682533</v>
      </c>
      <c r="AP140">
        <v>1.1147967272443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1.3266628242999998</v>
      </c>
      <c r="AW140">
        <v>0</v>
      </c>
      <c r="AX140">
        <v>4.16297031625</v>
      </c>
      <c r="AY140">
        <v>161.00276124162235</v>
      </c>
      <c r="AZ140">
        <v>0</v>
      </c>
      <c r="BA140">
        <v>0</v>
      </c>
      <c r="BB140">
        <v>0</v>
      </c>
      <c r="BC140">
        <v>1022.7055795381216</v>
      </c>
      <c r="BD140">
        <v>0</v>
      </c>
    </row>
    <row r="141" spans="1:56" x14ac:dyDescent="0.2">
      <c r="A141" t="s">
        <v>1312</v>
      </c>
      <c r="B141" t="s">
        <v>1173</v>
      </c>
      <c r="C141" t="s">
        <v>1033</v>
      </c>
      <c r="D141">
        <v>2017</v>
      </c>
      <c r="E141" t="s">
        <v>1174</v>
      </c>
      <c r="F141" t="s">
        <v>1175</v>
      </c>
      <c r="G141">
        <v>8323.5283534457994</v>
      </c>
      <c r="H141">
        <v>7374.0614898965732</v>
      </c>
      <c r="I141">
        <v>949.4668635482567</v>
      </c>
      <c r="J141">
        <v>395.41414037185859</v>
      </c>
      <c r="K141">
        <v>2360.1749682761338</v>
      </c>
      <c r="L141">
        <v>200.4407865546581</v>
      </c>
      <c r="M141">
        <v>469.38629292953112</v>
      </c>
      <c r="N141">
        <v>3594.3576317213265</v>
      </c>
      <c r="O141">
        <v>354.28767004306559</v>
      </c>
      <c r="P141">
        <v>949.4668635482567</v>
      </c>
      <c r="Q141">
        <v>0</v>
      </c>
      <c r="R141">
        <v>0</v>
      </c>
      <c r="S141">
        <v>55.082164232561389</v>
      </c>
      <c r="T141">
        <v>340.33197613929718</v>
      </c>
      <c r="U141">
        <v>0</v>
      </c>
      <c r="V141">
        <v>1523.9609704333634</v>
      </c>
      <c r="W141">
        <v>123.1378191794218</v>
      </c>
      <c r="X141">
        <v>28.9768240943542</v>
      </c>
      <c r="Y141">
        <v>79.304651172432216</v>
      </c>
      <c r="Z141">
        <v>604.79470339656234</v>
      </c>
      <c r="AA141">
        <v>69.956861597840714</v>
      </c>
      <c r="AB141">
        <v>0</v>
      </c>
      <c r="AC141">
        <v>18.878225948959898</v>
      </c>
      <c r="AD141">
        <v>0</v>
      </c>
      <c r="AE141">
        <v>106.86839457090122</v>
      </c>
      <c r="AF141">
        <v>4.7373044369563004</v>
      </c>
      <c r="AG141">
        <v>217.145084692849</v>
      </c>
      <c r="AH141">
        <v>168.73525440451053</v>
      </c>
      <c r="AI141">
        <v>44.113826692148301</v>
      </c>
      <c r="AJ141">
        <v>39.392127140023291</v>
      </c>
      <c r="AK141">
        <v>0</v>
      </c>
      <c r="AL141">
        <v>8.7890688067046003</v>
      </c>
      <c r="AM141">
        <v>3585.5685629146219</v>
      </c>
      <c r="AN141">
        <v>76.607627781602687</v>
      </c>
      <c r="AO141">
        <v>0</v>
      </c>
      <c r="AP141">
        <v>277.68004226146292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84.159784456221217</v>
      </c>
      <c r="AW141">
        <v>0</v>
      </c>
      <c r="AX141">
        <v>0</v>
      </c>
      <c r="AY141">
        <v>865.30707909203545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2">
      <c r="A142" t="s">
        <v>1313</v>
      </c>
      <c r="B142" t="s">
        <v>1173</v>
      </c>
      <c r="C142" t="s">
        <v>152</v>
      </c>
      <c r="D142">
        <v>2017</v>
      </c>
      <c r="E142" t="s">
        <v>1174</v>
      </c>
      <c r="F142" t="s">
        <v>1175</v>
      </c>
      <c r="G142">
        <v>1006.0080580059999</v>
      </c>
      <c r="H142">
        <v>877.26386295683471</v>
      </c>
      <c r="I142">
        <v>128.74419504905799</v>
      </c>
      <c r="J142">
        <v>60.9027406381338</v>
      </c>
      <c r="K142">
        <v>424.8534912423184</v>
      </c>
      <c r="L142">
        <v>10.95133511630344</v>
      </c>
      <c r="M142">
        <v>69.323058635527715</v>
      </c>
      <c r="N142">
        <v>291.73258002609003</v>
      </c>
      <c r="O142">
        <v>19.500657298461302</v>
      </c>
      <c r="P142">
        <v>128.74419504905799</v>
      </c>
      <c r="Q142">
        <v>0</v>
      </c>
      <c r="R142">
        <v>0</v>
      </c>
      <c r="S142">
        <v>1.0593376776600001</v>
      </c>
      <c r="T142">
        <v>59.843402960473803</v>
      </c>
      <c r="U142">
        <v>0</v>
      </c>
      <c r="V142">
        <v>227.59972004602193</v>
      </c>
      <c r="W142">
        <v>6.3788327890404002</v>
      </c>
      <c r="X142">
        <v>1.9972649830009999</v>
      </c>
      <c r="Y142">
        <v>1.48288308161</v>
      </c>
      <c r="Z142">
        <v>187.39479034264508</v>
      </c>
      <c r="AA142">
        <v>0</v>
      </c>
      <c r="AB142">
        <v>0</v>
      </c>
      <c r="AC142">
        <v>2.1059320522326002</v>
      </c>
      <c r="AD142">
        <v>0</v>
      </c>
      <c r="AE142">
        <v>5.9717968175826002</v>
      </c>
      <c r="AF142">
        <v>2.8736062464882401</v>
      </c>
      <c r="AG142">
        <v>23.480931510243625</v>
      </c>
      <c r="AH142">
        <v>24.059654728079696</v>
      </c>
      <c r="AI142">
        <v>8.1934500552467</v>
      </c>
      <c r="AJ142">
        <v>13.589022341957699</v>
      </c>
      <c r="AK142">
        <v>0</v>
      </c>
      <c r="AL142">
        <v>0</v>
      </c>
      <c r="AM142">
        <v>291.73258002609003</v>
      </c>
      <c r="AN142">
        <v>15.437938549494502</v>
      </c>
      <c r="AO142">
        <v>0</v>
      </c>
      <c r="AP142">
        <v>4.0627187489668</v>
      </c>
      <c r="AQ142">
        <v>0</v>
      </c>
      <c r="AR142">
        <v>0</v>
      </c>
      <c r="AS142">
        <v>73.264090044358099</v>
      </c>
      <c r="AT142">
        <v>0</v>
      </c>
      <c r="AU142">
        <v>0</v>
      </c>
      <c r="AV142">
        <v>4.1789207560159003</v>
      </c>
      <c r="AW142">
        <v>0</v>
      </c>
      <c r="AX142">
        <v>0</v>
      </c>
      <c r="AY142">
        <v>51.301184248684002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2">
      <c r="A143" t="s">
        <v>1314</v>
      </c>
      <c r="B143" t="s">
        <v>1173</v>
      </c>
      <c r="C143" t="s">
        <v>3</v>
      </c>
      <c r="D143">
        <v>2017</v>
      </c>
      <c r="E143" t="s">
        <v>1174</v>
      </c>
      <c r="F143" t="s">
        <v>1175</v>
      </c>
      <c r="G143">
        <v>13249.586845674201</v>
      </c>
      <c r="H143">
        <v>12592.551873681799</v>
      </c>
      <c r="I143">
        <v>657.03497199177536</v>
      </c>
      <c r="J143">
        <v>416.89684755152837</v>
      </c>
      <c r="K143">
        <v>1836.4452959593461</v>
      </c>
      <c r="L143">
        <v>111.56680234369675</v>
      </c>
      <c r="M143">
        <v>647.14652664064408</v>
      </c>
      <c r="N143">
        <v>9338.5315180046819</v>
      </c>
      <c r="O143">
        <v>241.96488318190214</v>
      </c>
      <c r="P143">
        <v>657.03497199177536</v>
      </c>
      <c r="Q143">
        <v>0</v>
      </c>
      <c r="R143">
        <v>0</v>
      </c>
      <c r="S143">
        <v>61.562286299140311</v>
      </c>
      <c r="T143">
        <v>355.33456125238803</v>
      </c>
      <c r="U143">
        <v>0</v>
      </c>
      <c r="V143">
        <v>1169.4618444746345</v>
      </c>
      <c r="W143">
        <v>54.6836521651799</v>
      </c>
      <c r="X143">
        <v>36.731718400572746</v>
      </c>
      <c r="Y143">
        <v>78.493951606781195</v>
      </c>
      <c r="Z143">
        <v>497.07412931217783</v>
      </c>
      <c r="AA143">
        <v>0</v>
      </c>
      <c r="AB143">
        <v>0.64931897215500001</v>
      </c>
      <c r="AC143">
        <v>20.678820075123202</v>
      </c>
      <c r="AD143">
        <v>0</v>
      </c>
      <c r="AE143">
        <v>90.238663296418551</v>
      </c>
      <c r="AF143">
        <v>0</v>
      </c>
      <c r="AG143">
        <v>263.73795872736906</v>
      </c>
      <c r="AH143">
        <v>316.47421254777339</v>
      </c>
      <c r="AI143">
        <v>30.706114265495493</v>
      </c>
      <c r="AJ143">
        <v>29.8637320233961</v>
      </c>
      <c r="AK143">
        <v>6.3645090766099992</v>
      </c>
      <c r="AL143">
        <v>74.274670978810093</v>
      </c>
      <c r="AM143">
        <v>9264.256847025872</v>
      </c>
      <c r="AN143">
        <v>238.15760931055652</v>
      </c>
      <c r="AO143">
        <v>0</v>
      </c>
      <c r="AP143">
        <v>3.8072738713456098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95.520536503755068</v>
      </c>
      <c r="AW143">
        <v>0</v>
      </c>
      <c r="AX143">
        <v>0</v>
      </c>
      <c r="AY143">
        <v>561.51443548802024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 spans="1:56" x14ac:dyDescent="0.2">
      <c r="A144" t="s">
        <v>1315</v>
      </c>
      <c r="B144" t="s">
        <v>1173</v>
      </c>
      <c r="C144" t="s">
        <v>10</v>
      </c>
      <c r="D144">
        <v>2017</v>
      </c>
      <c r="E144" t="s">
        <v>1174</v>
      </c>
      <c r="F144" t="s">
        <v>1175</v>
      </c>
      <c r="G144">
        <v>2173.0585063530998</v>
      </c>
      <c r="H144">
        <v>1957.7332271842522</v>
      </c>
      <c r="I144">
        <v>215.32527916887875</v>
      </c>
      <c r="J144">
        <v>223.81715564038291</v>
      </c>
      <c r="K144">
        <v>930.39327442186891</v>
      </c>
      <c r="L144">
        <v>36.708702690961701</v>
      </c>
      <c r="M144">
        <v>338.47664184324924</v>
      </c>
      <c r="N144">
        <v>347.24105526117432</v>
      </c>
      <c r="O144">
        <v>81.096397326615218</v>
      </c>
      <c r="P144">
        <v>215.32527916887875</v>
      </c>
      <c r="Q144">
        <v>0</v>
      </c>
      <c r="R144">
        <v>0</v>
      </c>
      <c r="S144">
        <v>25.798675294185443</v>
      </c>
      <c r="T144">
        <v>198.01848034619746</v>
      </c>
      <c r="U144">
        <v>0</v>
      </c>
      <c r="V144">
        <v>634.17342502516863</v>
      </c>
      <c r="W144">
        <v>43.246258425918207</v>
      </c>
      <c r="X144">
        <v>8.7673433411935005</v>
      </c>
      <c r="Y144">
        <v>22.126028498986237</v>
      </c>
      <c r="Z144">
        <v>222.08021913060239</v>
      </c>
      <c r="AA144">
        <v>0</v>
      </c>
      <c r="AB144">
        <v>0</v>
      </c>
      <c r="AC144">
        <v>9.5807263311692008</v>
      </c>
      <c r="AD144">
        <v>0</v>
      </c>
      <c r="AE144">
        <v>25.9527689973492</v>
      </c>
      <c r="AF144">
        <v>1.1752073624433002</v>
      </c>
      <c r="AG144">
        <v>183.15497271802033</v>
      </c>
      <c r="AH144">
        <v>53.895984810751699</v>
      </c>
      <c r="AI144">
        <v>2.2853341826409999</v>
      </c>
      <c r="AJ144">
        <v>86.876717699236906</v>
      </c>
      <c r="AK144">
        <v>12.263632432599298</v>
      </c>
      <c r="AL144">
        <v>19.424663238808904</v>
      </c>
      <c r="AM144">
        <v>327.81639202236545</v>
      </c>
      <c r="AN144">
        <v>69.232560419107216</v>
      </c>
      <c r="AO144">
        <v>0</v>
      </c>
      <c r="AP144">
        <v>11.863836907508</v>
      </c>
      <c r="AQ144">
        <v>0</v>
      </c>
      <c r="AR144">
        <v>0</v>
      </c>
      <c r="AS144">
        <v>97.337775443232303</v>
      </c>
      <c r="AT144">
        <v>0</v>
      </c>
      <c r="AU144">
        <v>0</v>
      </c>
      <c r="AV144">
        <v>15.275626739830789</v>
      </c>
      <c r="AW144">
        <v>0</v>
      </c>
      <c r="AX144">
        <v>0</v>
      </c>
      <c r="AY144">
        <v>102.71187698581565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2">
      <c r="A145" t="s">
        <v>1316</v>
      </c>
      <c r="B145" t="s">
        <v>1173</v>
      </c>
      <c r="C145" t="s">
        <v>342</v>
      </c>
      <c r="D145">
        <v>2017</v>
      </c>
      <c r="E145" t="s">
        <v>1174</v>
      </c>
      <c r="F145" t="s">
        <v>1175</v>
      </c>
      <c r="G145">
        <v>8058.7926546289</v>
      </c>
      <c r="H145">
        <v>5888.4886834287854</v>
      </c>
      <c r="I145">
        <v>2170.3039711965544</v>
      </c>
      <c r="J145">
        <v>155.42598039029082</v>
      </c>
      <c r="K145">
        <v>411.17024261148458</v>
      </c>
      <c r="L145">
        <v>92.810727387267463</v>
      </c>
      <c r="M145">
        <v>129.1274860997159</v>
      </c>
      <c r="N145">
        <v>5068.844153437657</v>
      </c>
      <c r="O145">
        <v>31.110093502369903</v>
      </c>
      <c r="P145">
        <v>2170.3039711965544</v>
      </c>
      <c r="Q145">
        <v>0</v>
      </c>
      <c r="R145">
        <v>0</v>
      </c>
      <c r="S145">
        <v>16.673859049127</v>
      </c>
      <c r="T145">
        <v>138.75212134116381</v>
      </c>
      <c r="U145">
        <v>0</v>
      </c>
      <c r="V145">
        <v>334.53079822572215</v>
      </c>
      <c r="W145">
        <v>5.7409866087589991</v>
      </c>
      <c r="X145">
        <v>0</v>
      </c>
      <c r="Y145">
        <v>1.32644540138</v>
      </c>
      <c r="Z145">
        <v>69.572012375623416</v>
      </c>
      <c r="AA145">
        <v>2.7167774207700002</v>
      </c>
      <c r="AB145">
        <v>0</v>
      </c>
      <c r="AC145">
        <v>5.1776472175550987</v>
      </c>
      <c r="AD145">
        <v>0</v>
      </c>
      <c r="AE145">
        <v>65.226047150859515</v>
      </c>
      <c r="AF145">
        <v>19.690255598082846</v>
      </c>
      <c r="AG145">
        <v>17.756270753688902</v>
      </c>
      <c r="AH145">
        <v>94.992873829455306</v>
      </c>
      <c r="AI145">
        <v>1.1690684670691001</v>
      </c>
      <c r="AJ145">
        <v>3.5837828482800003</v>
      </c>
      <c r="AK145">
        <v>11.625490201222599</v>
      </c>
      <c r="AL145">
        <v>40.841903391276695</v>
      </c>
      <c r="AM145">
        <v>5028.0022500463801</v>
      </c>
      <c r="AN145">
        <v>14.755048404486303</v>
      </c>
      <c r="AO145">
        <v>0</v>
      </c>
      <c r="AP145">
        <v>16.3550450978836</v>
      </c>
      <c r="AQ145">
        <v>2105.5791666706805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64.724804525873736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2">
      <c r="A146" t="s">
        <v>1317</v>
      </c>
      <c r="B146" t="s">
        <v>1173</v>
      </c>
      <c r="C146" t="s">
        <v>21</v>
      </c>
      <c r="D146">
        <v>2017</v>
      </c>
      <c r="E146" t="s">
        <v>1174</v>
      </c>
      <c r="F146" t="s">
        <v>1175</v>
      </c>
      <c r="G146">
        <v>1539.9973454963001</v>
      </c>
      <c r="H146">
        <v>1414.249361314101</v>
      </c>
      <c r="I146">
        <v>125.74798418242878</v>
      </c>
      <c r="J146">
        <v>110.63065858542789</v>
      </c>
      <c r="K146">
        <v>925.86250718643748</v>
      </c>
      <c r="L146">
        <v>18.595231054894597</v>
      </c>
      <c r="M146">
        <v>281.41090306802698</v>
      </c>
      <c r="N146">
        <v>75.160596028947538</v>
      </c>
      <c r="O146">
        <v>2.5894653903664002</v>
      </c>
      <c r="P146">
        <v>125.74798418242878</v>
      </c>
      <c r="Q146">
        <v>0</v>
      </c>
      <c r="R146">
        <v>0</v>
      </c>
      <c r="S146">
        <v>5.3531735218696008</v>
      </c>
      <c r="T146">
        <v>105.27748506355829</v>
      </c>
      <c r="U146">
        <v>0</v>
      </c>
      <c r="V146">
        <v>654.2454967361931</v>
      </c>
      <c r="W146">
        <v>42.992305830587902</v>
      </c>
      <c r="X146">
        <v>26.946653672570328</v>
      </c>
      <c r="Y146">
        <v>34.86947832425161</v>
      </c>
      <c r="Z146">
        <v>166.80857262283453</v>
      </c>
      <c r="AA146">
        <v>0</v>
      </c>
      <c r="AB146">
        <v>0</v>
      </c>
      <c r="AC146">
        <v>6.3961512735758994</v>
      </c>
      <c r="AD146">
        <v>0</v>
      </c>
      <c r="AE146">
        <v>10.757224337059998</v>
      </c>
      <c r="AF146">
        <v>1.4418554442587002</v>
      </c>
      <c r="AG146">
        <v>170.35617629106102</v>
      </c>
      <c r="AH146">
        <v>99.285492799882277</v>
      </c>
      <c r="AI146">
        <v>11.769233977083699</v>
      </c>
      <c r="AJ146">
        <v>0</v>
      </c>
      <c r="AK146">
        <v>0</v>
      </c>
      <c r="AL146">
        <v>0</v>
      </c>
      <c r="AM146">
        <v>75.160596028947538</v>
      </c>
      <c r="AN146">
        <v>2.5894653903664002</v>
      </c>
      <c r="AO146">
        <v>0</v>
      </c>
      <c r="AP146">
        <v>0</v>
      </c>
      <c r="AQ146">
        <v>0</v>
      </c>
      <c r="AR146">
        <v>0</v>
      </c>
      <c r="AS146">
        <v>4.6332267476136</v>
      </c>
      <c r="AT146">
        <v>0</v>
      </c>
      <c r="AU146">
        <v>0</v>
      </c>
      <c r="AV146">
        <v>19.297163647119401</v>
      </c>
      <c r="AW146">
        <v>0</v>
      </c>
      <c r="AX146">
        <v>0</v>
      </c>
      <c r="AY146">
        <v>101.81759378769577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2">
      <c r="A147" t="s">
        <v>1318</v>
      </c>
      <c r="B147" t="s">
        <v>1173</v>
      </c>
      <c r="C147" t="s">
        <v>27</v>
      </c>
      <c r="D147">
        <v>2017</v>
      </c>
      <c r="E147" t="s">
        <v>1174</v>
      </c>
      <c r="F147" t="s">
        <v>1175</v>
      </c>
      <c r="G147">
        <v>2406.2232066022998</v>
      </c>
      <c r="H147">
        <v>2266.4705743726718</v>
      </c>
      <c r="I147">
        <v>139.75263223000115</v>
      </c>
      <c r="J147">
        <v>168.28815213433236</v>
      </c>
      <c r="K147">
        <v>1215.0941294918277</v>
      </c>
      <c r="L147">
        <v>102.56277491451641</v>
      </c>
      <c r="M147">
        <v>409.42308850939008</v>
      </c>
      <c r="N147">
        <v>208.63086763951364</v>
      </c>
      <c r="O147">
        <v>162.47156168309124</v>
      </c>
      <c r="P147">
        <v>139.75263223000115</v>
      </c>
      <c r="Q147">
        <v>0</v>
      </c>
      <c r="R147">
        <v>0</v>
      </c>
      <c r="S147">
        <v>11.002567331931962</v>
      </c>
      <c r="T147">
        <v>157.28558480240039</v>
      </c>
      <c r="U147">
        <v>0</v>
      </c>
      <c r="V147">
        <v>749.96721362607389</v>
      </c>
      <c r="W147">
        <v>81.448625237948505</v>
      </c>
      <c r="X147">
        <v>36.028740463338707</v>
      </c>
      <c r="Y147">
        <v>127.67624011959307</v>
      </c>
      <c r="Z147">
        <v>219.97331004487356</v>
      </c>
      <c r="AA147">
        <v>0</v>
      </c>
      <c r="AB147">
        <v>1.0053740493179999</v>
      </c>
      <c r="AC147">
        <v>18.0946405169305</v>
      </c>
      <c r="AD147">
        <v>0</v>
      </c>
      <c r="AE147">
        <v>83.462760348267906</v>
      </c>
      <c r="AF147">
        <v>0</v>
      </c>
      <c r="AG147">
        <v>225.64739934197488</v>
      </c>
      <c r="AH147">
        <v>115.70564262477824</v>
      </c>
      <c r="AI147">
        <v>21.665833990729002</v>
      </c>
      <c r="AJ147">
        <v>27.620800576530904</v>
      </c>
      <c r="AK147">
        <v>18.78341197537706</v>
      </c>
      <c r="AL147">
        <v>0</v>
      </c>
      <c r="AM147">
        <v>208.63086763951364</v>
      </c>
      <c r="AN147">
        <v>95.430112425825598</v>
      </c>
      <c r="AO147">
        <v>0</v>
      </c>
      <c r="AP147">
        <v>67.041449257265626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53.603441373535574</v>
      </c>
      <c r="AW147">
        <v>0</v>
      </c>
      <c r="AX147">
        <v>0</v>
      </c>
      <c r="AY147">
        <v>86.149190856465594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2">
      <c r="A148" t="s">
        <v>1319</v>
      </c>
      <c r="B148" t="s">
        <v>1173</v>
      </c>
      <c r="C148" t="s">
        <v>33</v>
      </c>
      <c r="D148">
        <v>2017</v>
      </c>
      <c r="E148" t="s">
        <v>1174</v>
      </c>
      <c r="F148" t="s">
        <v>1175</v>
      </c>
      <c r="G148">
        <v>9946.7484172084005</v>
      </c>
      <c r="H148">
        <v>7755.648952452173</v>
      </c>
      <c r="I148">
        <v>2191.099464758141</v>
      </c>
      <c r="J148">
        <v>400.6256163327995</v>
      </c>
      <c r="K148">
        <v>1989.7702625506213</v>
      </c>
      <c r="L148">
        <v>329.50880450270881</v>
      </c>
      <c r="M148">
        <v>655.42719399501607</v>
      </c>
      <c r="N148">
        <v>2778.0238336877005</v>
      </c>
      <c r="O148">
        <v>1602.2932413833282</v>
      </c>
      <c r="P148">
        <v>2191.099464758141</v>
      </c>
      <c r="Q148">
        <v>0</v>
      </c>
      <c r="R148">
        <v>0</v>
      </c>
      <c r="S148">
        <v>84.866965414110368</v>
      </c>
      <c r="T148">
        <v>315.75865091868911</v>
      </c>
      <c r="U148">
        <v>0</v>
      </c>
      <c r="V148">
        <v>1237.1301814448509</v>
      </c>
      <c r="W148">
        <v>54.01905084163409</v>
      </c>
      <c r="X148">
        <v>49.002257292087307</v>
      </c>
      <c r="Y148">
        <v>114.75092730629966</v>
      </c>
      <c r="Z148">
        <v>534.86784566574931</v>
      </c>
      <c r="AA148">
        <v>85.579864033078806</v>
      </c>
      <c r="AB148">
        <v>2.7928686910611003</v>
      </c>
      <c r="AC148">
        <v>14.174736477358499</v>
      </c>
      <c r="AD148">
        <v>0</v>
      </c>
      <c r="AE148">
        <v>191.33505234963241</v>
      </c>
      <c r="AF148">
        <v>35.626282951578006</v>
      </c>
      <c r="AG148">
        <v>295.94360440330234</v>
      </c>
      <c r="AH148">
        <v>236.05909924805644</v>
      </c>
      <c r="AI148">
        <v>22.696812438457375</v>
      </c>
      <c r="AJ148">
        <v>68.687936873499652</v>
      </c>
      <c r="AK148">
        <v>32.039741031700096</v>
      </c>
      <c r="AL148">
        <v>6.0750431395723998</v>
      </c>
      <c r="AM148">
        <v>2771.9487905481283</v>
      </c>
      <c r="AN148">
        <v>750.72526820075836</v>
      </c>
      <c r="AO148">
        <v>1.7899726542299998</v>
      </c>
      <c r="AP148">
        <v>849.77800052833982</v>
      </c>
      <c r="AQ148">
        <v>0</v>
      </c>
      <c r="AR148">
        <v>80.528721058104409</v>
      </c>
      <c r="AS148">
        <v>1103.6491231031303</v>
      </c>
      <c r="AT148">
        <v>0</v>
      </c>
      <c r="AU148">
        <v>62.045387365794099</v>
      </c>
      <c r="AV148">
        <v>43.936812474693966</v>
      </c>
      <c r="AW148">
        <v>0</v>
      </c>
      <c r="AX148">
        <v>0</v>
      </c>
      <c r="AY148">
        <v>900.93942075641826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2">
      <c r="A149" t="s">
        <v>1320</v>
      </c>
      <c r="B149" t="s">
        <v>1173</v>
      </c>
      <c r="C149" t="s">
        <v>44</v>
      </c>
      <c r="D149">
        <v>2017</v>
      </c>
      <c r="E149" t="s">
        <v>1174</v>
      </c>
      <c r="F149" t="s">
        <v>1175</v>
      </c>
      <c r="G149">
        <v>2193.2312855018999</v>
      </c>
      <c r="H149">
        <v>1871.3698779777405</v>
      </c>
      <c r="I149">
        <v>321.86140752465724</v>
      </c>
      <c r="J149">
        <v>182.54438363884105</v>
      </c>
      <c r="K149">
        <v>697.48301000246738</v>
      </c>
      <c r="L149">
        <v>66.622110693057095</v>
      </c>
      <c r="M149">
        <v>157.77134298923818</v>
      </c>
      <c r="N149">
        <v>711.39992714291145</v>
      </c>
      <c r="O149">
        <v>55.549103511225482</v>
      </c>
      <c r="P149">
        <v>321.86140752465724</v>
      </c>
      <c r="Q149">
        <v>0</v>
      </c>
      <c r="R149">
        <v>0</v>
      </c>
      <c r="S149">
        <v>23.605316338527452</v>
      </c>
      <c r="T149">
        <v>158.93906730031361</v>
      </c>
      <c r="U149">
        <v>0</v>
      </c>
      <c r="V149">
        <v>405.63777405592435</v>
      </c>
      <c r="W149">
        <v>27.870067284219498</v>
      </c>
      <c r="X149">
        <v>10.262717170233392</v>
      </c>
      <c r="Y149">
        <v>42.636876157046395</v>
      </c>
      <c r="Z149">
        <v>211.07557533504377</v>
      </c>
      <c r="AA149">
        <v>0</v>
      </c>
      <c r="AB149">
        <v>2.5472279842569003</v>
      </c>
      <c r="AC149">
        <v>7.3412664948199007</v>
      </c>
      <c r="AD149">
        <v>0</v>
      </c>
      <c r="AE149">
        <v>50.808101444197497</v>
      </c>
      <c r="AF149">
        <v>5.925514769782799</v>
      </c>
      <c r="AG149">
        <v>97.797520846485185</v>
      </c>
      <c r="AH149">
        <v>43.613503185206206</v>
      </c>
      <c r="AI149">
        <v>7.6457637809900003</v>
      </c>
      <c r="AJ149">
        <v>8.7145551765568001</v>
      </c>
      <c r="AK149">
        <v>0</v>
      </c>
      <c r="AL149">
        <v>0</v>
      </c>
      <c r="AM149">
        <v>711.39992714291145</v>
      </c>
      <c r="AN149">
        <v>38.644074661584177</v>
      </c>
      <c r="AO149">
        <v>1.0619183828554</v>
      </c>
      <c r="AP149">
        <v>15.843110466785898</v>
      </c>
      <c r="AQ149">
        <v>0</v>
      </c>
      <c r="AR149">
        <v>0</v>
      </c>
      <c r="AS149">
        <v>148.7940843480898</v>
      </c>
      <c r="AT149">
        <v>0</v>
      </c>
      <c r="AU149">
        <v>0</v>
      </c>
      <c r="AV149">
        <v>8.7413138553478706</v>
      </c>
      <c r="AW149">
        <v>0</v>
      </c>
      <c r="AX149">
        <v>0</v>
      </c>
      <c r="AY149">
        <v>164.32600932121954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2">
      <c r="A150" t="s">
        <v>1321</v>
      </c>
      <c r="B150" t="s">
        <v>1173</v>
      </c>
      <c r="C150" t="s">
        <v>45</v>
      </c>
      <c r="D150">
        <v>2017</v>
      </c>
      <c r="E150" t="s">
        <v>1174</v>
      </c>
      <c r="F150" t="s">
        <v>1175</v>
      </c>
      <c r="G150">
        <v>1811.3363351394</v>
      </c>
      <c r="H150">
        <v>1649.8846295895034</v>
      </c>
      <c r="I150">
        <v>161.4517052783626</v>
      </c>
      <c r="J150">
        <v>110.17175261469669</v>
      </c>
      <c r="K150">
        <v>980.04598740694166</v>
      </c>
      <c r="L150">
        <v>50.007447030512573</v>
      </c>
      <c r="M150">
        <v>192.5839333110498</v>
      </c>
      <c r="N150">
        <v>298.48483640896148</v>
      </c>
      <c r="O150">
        <v>18.590672817341421</v>
      </c>
      <c r="P150">
        <v>161.4517052783626</v>
      </c>
      <c r="Q150">
        <v>0</v>
      </c>
      <c r="R150">
        <v>0</v>
      </c>
      <c r="S150">
        <v>28.40815142159331</v>
      </c>
      <c r="T150">
        <v>81.763601193103369</v>
      </c>
      <c r="U150">
        <v>0</v>
      </c>
      <c r="V150">
        <v>697.40478316893507</v>
      </c>
      <c r="W150">
        <v>37.048321978273904</v>
      </c>
      <c r="X150">
        <v>21.099477113889602</v>
      </c>
      <c r="Y150">
        <v>60.4961383473129</v>
      </c>
      <c r="Z150">
        <v>163.99726679853021</v>
      </c>
      <c r="AA150">
        <v>0</v>
      </c>
      <c r="AB150">
        <v>0</v>
      </c>
      <c r="AC150">
        <v>8.7561171653197984</v>
      </c>
      <c r="AD150">
        <v>0</v>
      </c>
      <c r="AE150">
        <v>41.164991617477071</v>
      </c>
      <c r="AF150">
        <v>8.6338247715700006E-2</v>
      </c>
      <c r="AG150">
        <v>85.461103963053546</v>
      </c>
      <c r="AH150">
        <v>76.612242516985944</v>
      </c>
      <c r="AI150">
        <v>11.2717267508161</v>
      </c>
      <c r="AJ150">
        <v>15.418170489664501</v>
      </c>
      <c r="AK150">
        <v>3.8206895905297</v>
      </c>
      <c r="AL150">
        <v>0</v>
      </c>
      <c r="AM150">
        <v>298.48483640896148</v>
      </c>
      <c r="AN150">
        <v>14.854054788517042</v>
      </c>
      <c r="AO150">
        <v>0</v>
      </c>
      <c r="AP150">
        <v>3.7366180288243807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3.8897278582869004</v>
      </c>
      <c r="AW150">
        <v>0</v>
      </c>
      <c r="AX150">
        <v>0</v>
      </c>
      <c r="AY150">
        <v>157.56197742007569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2">
      <c r="A151" t="s">
        <v>1322</v>
      </c>
      <c r="B151" t="s">
        <v>1173</v>
      </c>
      <c r="C151" t="s">
        <v>428</v>
      </c>
      <c r="D151">
        <v>2017</v>
      </c>
      <c r="E151" t="s">
        <v>1174</v>
      </c>
      <c r="F151" t="s">
        <v>1175</v>
      </c>
      <c r="G151">
        <v>9811.9560680476989</v>
      </c>
      <c r="H151">
        <v>8244.1743355257022</v>
      </c>
      <c r="I151">
        <v>1567.7817325206433</v>
      </c>
      <c r="J151">
        <v>621.25063481928271</v>
      </c>
      <c r="K151">
        <v>4841.2824944204513</v>
      </c>
      <c r="L151">
        <v>190.35679004390659</v>
      </c>
      <c r="M151">
        <v>1325.7782459554558</v>
      </c>
      <c r="N151">
        <v>176.75393427219538</v>
      </c>
      <c r="O151">
        <v>1088.752236014411</v>
      </c>
      <c r="P151">
        <v>315.55518902195735</v>
      </c>
      <c r="Q151">
        <v>1252.2265434986859</v>
      </c>
      <c r="R151">
        <v>0</v>
      </c>
      <c r="S151">
        <v>83.689279368366599</v>
      </c>
      <c r="T151">
        <v>537.56135545091615</v>
      </c>
      <c r="U151">
        <v>0</v>
      </c>
      <c r="V151">
        <v>3515.4330938950816</v>
      </c>
      <c r="W151">
        <v>294.38958428640871</v>
      </c>
      <c r="X151">
        <v>171.0912115629562</v>
      </c>
      <c r="Y151">
        <v>256.34742873806567</v>
      </c>
      <c r="Z151">
        <v>604.02117593793901</v>
      </c>
      <c r="AA151">
        <v>0</v>
      </c>
      <c r="AB151">
        <v>0</v>
      </c>
      <c r="AC151">
        <v>58.061086101348863</v>
      </c>
      <c r="AD151">
        <v>0</v>
      </c>
      <c r="AE151">
        <v>121.74839214072618</v>
      </c>
      <c r="AF151">
        <v>10.54731180183153</v>
      </c>
      <c r="AG151">
        <v>661.97531409154999</v>
      </c>
      <c r="AH151">
        <v>430.08290736698166</v>
      </c>
      <c r="AI151">
        <v>100.60055940543876</v>
      </c>
      <c r="AJ151">
        <v>87.881339151745792</v>
      </c>
      <c r="AK151">
        <v>45.238125939739597</v>
      </c>
      <c r="AL151">
        <v>9.1943007230229981</v>
      </c>
      <c r="AM151">
        <v>167.55963354917239</v>
      </c>
      <c r="AN151">
        <v>423.62212301434084</v>
      </c>
      <c r="AO151">
        <v>665.1301130000702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81.12607437573628</v>
      </c>
      <c r="AW151">
        <v>0</v>
      </c>
      <c r="AX151">
        <v>0</v>
      </c>
      <c r="AY151">
        <v>234.42911464622105</v>
      </c>
      <c r="AZ151">
        <v>0</v>
      </c>
      <c r="BA151">
        <v>0</v>
      </c>
      <c r="BB151">
        <v>0</v>
      </c>
      <c r="BC151">
        <v>1252.2265434986859</v>
      </c>
      <c r="BD151">
        <v>0</v>
      </c>
    </row>
    <row r="152" spans="1:56" x14ac:dyDescent="0.2">
      <c r="A152" t="s">
        <v>1323</v>
      </c>
      <c r="B152" t="s">
        <v>1173</v>
      </c>
      <c r="C152" t="s">
        <v>50</v>
      </c>
      <c r="D152">
        <v>2017</v>
      </c>
      <c r="E152" t="s">
        <v>1174</v>
      </c>
      <c r="F152" t="s">
        <v>1175</v>
      </c>
      <c r="G152">
        <v>1935.4825687892999</v>
      </c>
      <c r="H152">
        <v>1685.7726296777662</v>
      </c>
      <c r="I152">
        <v>249.70993911207063</v>
      </c>
      <c r="J152">
        <v>114.22191398010973</v>
      </c>
      <c r="K152">
        <v>364.57567386526193</v>
      </c>
      <c r="L152">
        <v>25.302098115494999</v>
      </c>
      <c r="M152">
        <v>37.045653576079083</v>
      </c>
      <c r="N152">
        <v>1077.7038092795974</v>
      </c>
      <c r="O152">
        <v>66.923480861223055</v>
      </c>
      <c r="P152">
        <v>249.70993911207063</v>
      </c>
      <c r="Q152">
        <v>0</v>
      </c>
      <c r="R152">
        <v>0</v>
      </c>
      <c r="S152">
        <v>26.295051392791279</v>
      </c>
      <c r="T152">
        <v>87.926862587318453</v>
      </c>
      <c r="U152">
        <v>0</v>
      </c>
      <c r="V152">
        <v>238.41870892167614</v>
      </c>
      <c r="W152">
        <v>3.8181439713719998</v>
      </c>
      <c r="X152">
        <v>5.8776629377601992</v>
      </c>
      <c r="Y152">
        <v>6.5246752626137008</v>
      </c>
      <c r="Z152">
        <v>109.93648277183992</v>
      </c>
      <c r="AA152">
        <v>0</v>
      </c>
      <c r="AB152">
        <v>0</v>
      </c>
      <c r="AC152">
        <v>5.9119733695973</v>
      </c>
      <c r="AD152">
        <v>0</v>
      </c>
      <c r="AE152">
        <v>11.452537072626399</v>
      </c>
      <c r="AF152">
        <v>7.9375876732713007</v>
      </c>
      <c r="AG152">
        <v>11.90165860123769</v>
      </c>
      <c r="AH152">
        <v>15.889645737665996</v>
      </c>
      <c r="AI152">
        <v>9.2543492371753988</v>
      </c>
      <c r="AJ152">
        <v>0</v>
      </c>
      <c r="AK152">
        <v>0</v>
      </c>
      <c r="AL152">
        <v>0</v>
      </c>
      <c r="AM152">
        <v>1077.7038092795974</v>
      </c>
      <c r="AN152">
        <v>40.652844813852141</v>
      </c>
      <c r="AO152">
        <v>0</v>
      </c>
      <c r="AP152">
        <v>26.270636047370914</v>
      </c>
      <c r="AQ152">
        <v>0</v>
      </c>
      <c r="AR152">
        <v>0</v>
      </c>
      <c r="AS152">
        <v>163.14463696529245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86.565302146778194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2">
      <c r="A153" t="s">
        <v>1324</v>
      </c>
      <c r="B153" t="s">
        <v>1173</v>
      </c>
      <c r="C153" t="s">
        <v>481</v>
      </c>
      <c r="D153">
        <v>2017</v>
      </c>
      <c r="E153" t="s">
        <v>1174</v>
      </c>
      <c r="F153" t="s">
        <v>1175</v>
      </c>
      <c r="G153">
        <v>1190.0762550272</v>
      </c>
      <c r="H153">
        <v>1018.6659609621266</v>
      </c>
      <c r="I153">
        <v>171.41029406510836</v>
      </c>
      <c r="J153">
        <v>80.01389926370581</v>
      </c>
      <c r="K153">
        <v>464.9454527063441</v>
      </c>
      <c r="L153">
        <v>33.989393236215442</v>
      </c>
      <c r="M153">
        <v>132.35895661226556</v>
      </c>
      <c r="N153">
        <v>234.77819112961953</v>
      </c>
      <c r="O153">
        <v>72.580068013976302</v>
      </c>
      <c r="P153">
        <v>171.41029406510836</v>
      </c>
      <c r="Q153">
        <v>0</v>
      </c>
      <c r="R153">
        <v>0</v>
      </c>
      <c r="S153">
        <v>0</v>
      </c>
      <c r="T153">
        <v>80.01389926370581</v>
      </c>
      <c r="U153">
        <v>0</v>
      </c>
      <c r="V153">
        <v>367.42991466750414</v>
      </c>
      <c r="W153">
        <v>11.988898514288</v>
      </c>
      <c r="X153">
        <v>8.6275133675097013</v>
      </c>
      <c r="Y153">
        <v>5.0862617540287003</v>
      </c>
      <c r="Z153">
        <v>71.812864403013492</v>
      </c>
      <c r="AA153">
        <v>0</v>
      </c>
      <c r="AB153">
        <v>0</v>
      </c>
      <c r="AC153">
        <v>5.3700025794441997</v>
      </c>
      <c r="AD153">
        <v>0</v>
      </c>
      <c r="AE153">
        <v>24.281617272742743</v>
      </c>
      <c r="AF153">
        <v>4.3377733840285</v>
      </c>
      <c r="AG153">
        <v>44.286011470152864</v>
      </c>
      <c r="AH153">
        <v>21.618974214404172</v>
      </c>
      <c r="AI153">
        <v>1.9486014658248001</v>
      </c>
      <c r="AJ153">
        <v>64.505369461883717</v>
      </c>
      <c r="AK153">
        <v>0</v>
      </c>
      <c r="AL153">
        <v>28.222232498607749</v>
      </c>
      <c r="AM153">
        <v>206.55595863101178</v>
      </c>
      <c r="AN153">
        <v>17.887175341968405</v>
      </c>
      <c r="AO153">
        <v>0</v>
      </c>
      <c r="AP153">
        <v>54.692892672007901</v>
      </c>
      <c r="AQ153">
        <v>0</v>
      </c>
      <c r="AR153">
        <v>0</v>
      </c>
      <c r="AS153">
        <v>95.963084174617805</v>
      </c>
      <c r="AT153">
        <v>0</v>
      </c>
      <c r="AU153">
        <v>0</v>
      </c>
      <c r="AV153">
        <v>1.14401985246</v>
      </c>
      <c r="AW153">
        <v>0</v>
      </c>
      <c r="AX153">
        <v>0</v>
      </c>
      <c r="AY153">
        <v>74.303190038030536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2">
      <c r="A154" t="s">
        <v>1325</v>
      </c>
      <c r="B154" t="s">
        <v>1173</v>
      </c>
      <c r="C154" t="s">
        <v>851</v>
      </c>
      <c r="D154">
        <v>2017</v>
      </c>
      <c r="E154" t="s">
        <v>1174</v>
      </c>
      <c r="F154" t="s">
        <v>1175</v>
      </c>
      <c r="G154">
        <v>1637.0718734729001</v>
      </c>
      <c r="H154">
        <v>1448.271731834199</v>
      </c>
      <c r="I154">
        <v>188.80014163849432</v>
      </c>
      <c r="J154">
        <v>55.076201509079013</v>
      </c>
      <c r="K154">
        <v>447.10010476788182</v>
      </c>
      <c r="L154">
        <v>24.844086399413634</v>
      </c>
      <c r="M154">
        <v>171.50290113581332</v>
      </c>
      <c r="N154">
        <v>716.6686820677462</v>
      </c>
      <c r="O154">
        <v>33.079755954265003</v>
      </c>
      <c r="P154">
        <v>188.80014163849432</v>
      </c>
      <c r="Q154">
        <v>0</v>
      </c>
      <c r="R154">
        <v>0</v>
      </c>
      <c r="S154">
        <v>9.681469040637996</v>
      </c>
      <c r="T154">
        <v>45.394732468441013</v>
      </c>
      <c r="U154">
        <v>0</v>
      </c>
      <c r="V154">
        <v>373.30118385646529</v>
      </c>
      <c r="W154">
        <v>13.316659174981602</v>
      </c>
      <c r="X154">
        <v>0</v>
      </c>
      <c r="Y154">
        <v>9.380459251587201</v>
      </c>
      <c r="Z154">
        <v>51.101802484847703</v>
      </c>
      <c r="AA154">
        <v>3.6476644397570004</v>
      </c>
      <c r="AB154">
        <v>0</v>
      </c>
      <c r="AC154">
        <v>2.5896365056873996</v>
      </c>
      <c r="AD154">
        <v>0</v>
      </c>
      <c r="AE154">
        <v>17.813435420714033</v>
      </c>
      <c r="AF154">
        <v>0.79335003325519993</v>
      </c>
      <c r="AG154">
        <v>71.225340066455303</v>
      </c>
      <c r="AH154">
        <v>41.225327202625998</v>
      </c>
      <c r="AI154">
        <v>3.0628895303085999</v>
      </c>
      <c r="AJ154">
        <v>50.921876474482417</v>
      </c>
      <c r="AK154">
        <v>5.0674678619410001</v>
      </c>
      <c r="AL154">
        <v>24.721497621123262</v>
      </c>
      <c r="AM154">
        <v>691.94718444662294</v>
      </c>
      <c r="AN154">
        <v>15.329326473795801</v>
      </c>
      <c r="AO154">
        <v>0</v>
      </c>
      <c r="AP154">
        <v>17.750429480469201</v>
      </c>
      <c r="AQ154">
        <v>80.183989123726263</v>
      </c>
      <c r="AR154">
        <v>0</v>
      </c>
      <c r="AS154">
        <v>0</v>
      </c>
      <c r="AT154">
        <v>0</v>
      </c>
      <c r="AU154">
        <v>0</v>
      </c>
      <c r="AV154">
        <v>10.186108909142137</v>
      </c>
      <c r="AW154">
        <v>0</v>
      </c>
      <c r="AX154">
        <v>0</v>
      </c>
      <c r="AY154">
        <v>98.430043605625926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">
      <c r="A155" t="s">
        <v>1326</v>
      </c>
      <c r="B155" t="s">
        <v>1173</v>
      </c>
      <c r="C155" t="s">
        <v>60</v>
      </c>
      <c r="D155">
        <v>2017</v>
      </c>
      <c r="E155" t="s">
        <v>1174</v>
      </c>
      <c r="F155" t="s">
        <v>1175</v>
      </c>
      <c r="G155">
        <v>1346.5357697319998</v>
      </c>
      <c r="H155">
        <v>1285.5136969305643</v>
      </c>
      <c r="I155">
        <v>61.02207280194807</v>
      </c>
      <c r="J155">
        <v>50.248041572074577</v>
      </c>
      <c r="K155">
        <v>402.85999282457453</v>
      </c>
      <c r="L155">
        <v>14.447881763943499</v>
      </c>
      <c r="M155">
        <v>53.334229726886804</v>
      </c>
      <c r="N155">
        <v>746.34289259606101</v>
      </c>
      <c r="O155">
        <v>18.280658447023878</v>
      </c>
      <c r="P155">
        <v>61.02207280194807</v>
      </c>
      <c r="Q155">
        <v>0</v>
      </c>
      <c r="R155">
        <v>0</v>
      </c>
      <c r="S155">
        <v>11.971852107384118</v>
      </c>
      <c r="T155">
        <v>38.276189464690461</v>
      </c>
      <c r="U155">
        <v>0</v>
      </c>
      <c r="V155">
        <v>254.00128011785671</v>
      </c>
      <c r="W155">
        <v>11.9834481003692</v>
      </c>
      <c r="X155">
        <v>1.19108271415</v>
      </c>
      <c r="Y155">
        <v>10.410489421871471</v>
      </c>
      <c r="Z155">
        <v>125.27369247032713</v>
      </c>
      <c r="AA155">
        <v>0</v>
      </c>
      <c r="AB155">
        <v>0</v>
      </c>
      <c r="AC155">
        <v>2.1461748946535</v>
      </c>
      <c r="AD155">
        <v>0</v>
      </c>
      <c r="AE155">
        <v>12.301706869289999</v>
      </c>
      <c r="AF155">
        <v>0</v>
      </c>
      <c r="AG155">
        <v>16.291837587650203</v>
      </c>
      <c r="AH155">
        <v>27.684810058994302</v>
      </c>
      <c r="AI155">
        <v>9.3575820802422989</v>
      </c>
      <c r="AJ155">
        <v>0</v>
      </c>
      <c r="AK155">
        <v>0</v>
      </c>
      <c r="AL155">
        <v>11.2132909046656</v>
      </c>
      <c r="AM155">
        <v>735.12960169139535</v>
      </c>
      <c r="AN155">
        <v>18.280658447023878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1.1988204658700001</v>
      </c>
      <c r="AW155">
        <v>0</v>
      </c>
      <c r="AX155">
        <v>0</v>
      </c>
      <c r="AY155">
        <v>59.82325233607807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">
      <c r="A156" t="s">
        <v>1327</v>
      </c>
      <c r="B156" t="s">
        <v>1173</v>
      </c>
      <c r="C156" t="s">
        <v>539</v>
      </c>
      <c r="D156">
        <v>2017</v>
      </c>
      <c r="E156" t="s">
        <v>1174</v>
      </c>
      <c r="F156" t="s">
        <v>1175</v>
      </c>
      <c r="G156">
        <v>3114.6532049156999</v>
      </c>
      <c r="H156">
        <v>2480.6679359597902</v>
      </c>
      <c r="I156">
        <v>633.98526895518251</v>
      </c>
      <c r="J156">
        <v>80.050693518164039</v>
      </c>
      <c r="K156">
        <v>943.02138381727377</v>
      </c>
      <c r="L156">
        <v>131.75947684098696</v>
      </c>
      <c r="M156">
        <v>192.55099132339586</v>
      </c>
      <c r="N156">
        <v>618.47245583206018</v>
      </c>
      <c r="O156">
        <v>514.8129346279095</v>
      </c>
      <c r="P156">
        <v>155.20664606767338</v>
      </c>
      <c r="Q156">
        <v>478.77862288750913</v>
      </c>
      <c r="R156">
        <v>0</v>
      </c>
      <c r="S156">
        <v>0</v>
      </c>
      <c r="T156">
        <v>80.050693518164039</v>
      </c>
      <c r="U156">
        <v>0</v>
      </c>
      <c r="V156">
        <v>594.03891086968213</v>
      </c>
      <c r="W156">
        <v>24.469784607636601</v>
      </c>
      <c r="X156">
        <v>36.390848769152363</v>
      </c>
      <c r="Y156">
        <v>56.515073798702019</v>
      </c>
      <c r="Z156">
        <v>231.60676577210069</v>
      </c>
      <c r="AA156">
        <v>0</v>
      </c>
      <c r="AB156">
        <v>0.58790519740299996</v>
      </c>
      <c r="AC156">
        <v>12.81597281796485</v>
      </c>
      <c r="AD156">
        <v>4.2248660176190693</v>
      </c>
      <c r="AE156">
        <v>113.24237138515983</v>
      </c>
      <c r="AF156">
        <v>0.88836142284020025</v>
      </c>
      <c r="AG156">
        <v>87.795917400922079</v>
      </c>
      <c r="AH156">
        <v>58.580217110627856</v>
      </c>
      <c r="AI156">
        <v>7.2743893387091001</v>
      </c>
      <c r="AJ156">
        <v>14.316827162088046</v>
      </c>
      <c r="AK156">
        <v>24.583640311048796</v>
      </c>
      <c r="AL156">
        <v>110.38095265586232</v>
      </c>
      <c r="AM156">
        <v>508.09150317619788</v>
      </c>
      <c r="AN156">
        <v>50.229591386110705</v>
      </c>
      <c r="AO156">
        <v>457.67651353584074</v>
      </c>
      <c r="AP156">
        <v>6.9068297059581001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61.861563966958109</v>
      </c>
      <c r="AW156">
        <v>0</v>
      </c>
      <c r="AX156">
        <v>0</v>
      </c>
      <c r="AY156">
        <v>93.345082100715274</v>
      </c>
      <c r="AZ156">
        <v>0</v>
      </c>
      <c r="BA156">
        <v>0</v>
      </c>
      <c r="BB156">
        <v>0</v>
      </c>
      <c r="BC156">
        <v>478.77862288750913</v>
      </c>
      <c r="BD156">
        <v>0</v>
      </c>
    </row>
    <row r="157" spans="1:56" x14ac:dyDescent="0.2">
      <c r="A157" t="s">
        <v>1328</v>
      </c>
      <c r="B157" t="s">
        <v>1173</v>
      </c>
      <c r="C157" t="s">
        <v>547</v>
      </c>
      <c r="D157">
        <v>2017</v>
      </c>
      <c r="E157" t="s">
        <v>1174</v>
      </c>
      <c r="F157" t="s">
        <v>1175</v>
      </c>
      <c r="G157">
        <v>894.90642547020002</v>
      </c>
      <c r="H157">
        <v>767.36574001028782</v>
      </c>
      <c r="I157">
        <v>127.5406854599305</v>
      </c>
      <c r="J157">
        <v>29.22981734989445</v>
      </c>
      <c r="K157">
        <v>538.55460652707552</v>
      </c>
      <c r="L157">
        <v>12.1295324619665</v>
      </c>
      <c r="M157">
        <v>113.70641949133106</v>
      </c>
      <c r="N157">
        <v>41.330670143927115</v>
      </c>
      <c r="O157">
        <v>32.414694036093096</v>
      </c>
      <c r="P157">
        <v>127.5406854599305</v>
      </c>
      <c r="Q157">
        <v>0</v>
      </c>
      <c r="R157">
        <v>0</v>
      </c>
      <c r="S157">
        <v>0</v>
      </c>
      <c r="T157">
        <v>29.22981734989445</v>
      </c>
      <c r="U157">
        <v>0</v>
      </c>
      <c r="V157">
        <v>389.68619707755988</v>
      </c>
      <c r="W157">
        <v>13.246841849032103</v>
      </c>
      <c r="X157">
        <v>31.133640595160799</v>
      </c>
      <c r="Y157">
        <v>10.967701059470905</v>
      </c>
      <c r="Z157">
        <v>93.520225945851806</v>
      </c>
      <c r="AA157">
        <v>0</v>
      </c>
      <c r="AB157">
        <v>0</v>
      </c>
      <c r="AC157">
        <v>6.5211457186576993</v>
      </c>
      <c r="AD157">
        <v>0</v>
      </c>
      <c r="AE157">
        <v>5.6083867433088006</v>
      </c>
      <c r="AF157">
        <v>0</v>
      </c>
      <c r="AG157">
        <v>44.645659199080164</v>
      </c>
      <c r="AH157">
        <v>19.633832644746199</v>
      </c>
      <c r="AI157">
        <v>4.4529468933</v>
      </c>
      <c r="AJ157">
        <v>44.973980754204703</v>
      </c>
      <c r="AK157">
        <v>0</v>
      </c>
      <c r="AL157">
        <v>0</v>
      </c>
      <c r="AM157">
        <v>41.330670143927115</v>
      </c>
      <c r="AN157">
        <v>26.781692134845198</v>
      </c>
      <c r="AO157">
        <v>0</v>
      </c>
      <c r="AP157">
        <v>5.6330019012479013</v>
      </c>
      <c r="AQ157">
        <v>0</v>
      </c>
      <c r="AR157">
        <v>0</v>
      </c>
      <c r="AS157">
        <v>34.933850651587008</v>
      </c>
      <c r="AT157">
        <v>0</v>
      </c>
      <c r="AU157">
        <v>0</v>
      </c>
      <c r="AV157">
        <v>7.4968004974913001</v>
      </c>
      <c r="AW157">
        <v>0</v>
      </c>
      <c r="AX157">
        <v>0</v>
      </c>
      <c r="AY157">
        <v>85.110034310852186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">
      <c r="A158" t="s">
        <v>1329</v>
      </c>
      <c r="B158" t="s">
        <v>1173</v>
      </c>
      <c r="C158" t="s">
        <v>68</v>
      </c>
      <c r="D158">
        <v>2017</v>
      </c>
      <c r="E158" t="s">
        <v>1174</v>
      </c>
      <c r="F158" t="s">
        <v>1175</v>
      </c>
      <c r="G158">
        <v>2327.0262148919001</v>
      </c>
      <c r="H158">
        <v>2185.2276839843666</v>
      </c>
      <c r="I158">
        <v>141.7985309073143</v>
      </c>
      <c r="J158">
        <v>200.68518963435176</v>
      </c>
      <c r="K158">
        <v>1361.2194097973413</v>
      </c>
      <c r="L158">
        <v>42.482527906061925</v>
      </c>
      <c r="M158">
        <v>349.54655025618575</v>
      </c>
      <c r="N158">
        <v>215.68463157632817</v>
      </c>
      <c r="O158">
        <v>15.609374814098098</v>
      </c>
      <c r="P158">
        <v>141.7985309073143</v>
      </c>
      <c r="Q158">
        <v>0</v>
      </c>
      <c r="R158">
        <v>0</v>
      </c>
      <c r="S158">
        <v>36.006562460423986</v>
      </c>
      <c r="T158">
        <v>164.67862717392777</v>
      </c>
      <c r="U158">
        <v>0</v>
      </c>
      <c r="V158">
        <v>967.43295528980957</v>
      </c>
      <c r="W158">
        <v>57.015447896634953</v>
      </c>
      <c r="X158">
        <v>22.828170112722603</v>
      </c>
      <c r="Y158">
        <v>158.86801032266845</v>
      </c>
      <c r="Z158">
        <v>155.07482617550593</v>
      </c>
      <c r="AA158">
        <v>0</v>
      </c>
      <c r="AB158">
        <v>0.86731998135600008</v>
      </c>
      <c r="AC158">
        <v>12.966683107302799</v>
      </c>
      <c r="AD158">
        <v>0.578040198575</v>
      </c>
      <c r="AE158">
        <v>28.070484618828125</v>
      </c>
      <c r="AF158">
        <v>0</v>
      </c>
      <c r="AG158">
        <v>194.44729369292784</v>
      </c>
      <c r="AH158">
        <v>93.988975190235493</v>
      </c>
      <c r="AI158">
        <v>54.008624745213389</v>
      </c>
      <c r="AJ158">
        <v>1.6845610098349999</v>
      </c>
      <c r="AK158">
        <v>5.4170956179740006</v>
      </c>
      <c r="AL158">
        <v>0</v>
      </c>
      <c r="AM158">
        <v>215.68463157632817</v>
      </c>
      <c r="AN158">
        <v>15.609374814098098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4.7258258433136993</v>
      </c>
      <c r="AW158">
        <v>0</v>
      </c>
      <c r="AX158">
        <v>0</v>
      </c>
      <c r="AY158">
        <v>137.07270506400062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2">
      <c r="A159" t="s">
        <v>1330</v>
      </c>
      <c r="B159" t="s">
        <v>1173</v>
      </c>
      <c r="C159" t="s">
        <v>574</v>
      </c>
      <c r="D159">
        <v>2017</v>
      </c>
      <c r="E159" t="s">
        <v>1174</v>
      </c>
      <c r="F159" t="s">
        <v>1175</v>
      </c>
      <c r="G159">
        <v>1227.5656359985999</v>
      </c>
      <c r="H159">
        <v>1149.6369052972273</v>
      </c>
      <c r="I159">
        <v>77.928730700984659</v>
      </c>
      <c r="J159">
        <v>81.090541716650989</v>
      </c>
      <c r="K159">
        <v>388.83826989134627</v>
      </c>
      <c r="L159">
        <v>39.96148556002256</v>
      </c>
      <c r="M159">
        <v>107.9460552123566</v>
      </c>
      <c r="N159">
        <v>520.55787249715149</v>
      </c>
      <c r="O159">
        <v>11.242680419699299</v>
      </c>
      <c r="P159">
        <v>77.928730700984659</v>
      </c>
      <c r="Q159">
        <v>0</v>
      </c>
      <c r="R159">
        <v>0</v>
      </c>
      <c r="S159">
        <v>1.2340485805312802</v>
      </c>
      <c r="T159">
        <v>79.85649313611971</v>
      </c>
      <c r="U159">
        <v>0</v>
      </c>
      <c r="V159">
        <v>300.00509883123698</v>
      </c>
      <c r="W159">
        <v>23.414829178733601</v>
      </c>
      <c r="X159">
        <v>1.7496283238532999</v>
      </c>
      <c r="Y159">
        <v>23.284064493840397</v>
      </c>
      <c r="Z159">
        <v>40.384649063682012</v>
      </c>
      <c r="AA159">
        <v>0</v>
      </c>
      <c r="AB159">
        <v>0</v>
      </c>
      <c r="AC159">
        <v>4.8786141192018997</v>
      </c>
      <c r="AD159">
        <v>0</v>
      </c>
      <c r="AE159">
        <v>35.082871440820661</v>
      </c>
      <c r="AF159">
        <v>0</v>
      </c>
      <c r="AG159">
        <v>48.053380053442524</v>
      </c>
      <c r="AH159">
        <v>39.708537874534805</v>
      </c>
      <c r="AI159">
        <v>5.9862023239758999</v>
      </c>
      <c r="AJ159">
        <v>14.173753973078181</v>
      </c>
      <c r="AK159">
        <v>2.41809873252E-2</v>
      </c>
      <c r="AL159">
        <v>0</v>
      </c>
      <c r="AM159">
        <v>520.55787249715149</v>
      </c>
      <c r="AN159">
        <v>0.32109567404729999</v>
      </c>
      <c r="AO159">
        <v>0</v>
      </c>
      <c r="AP159">
        <v>10.921584745652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16.962535551373996</v>
      </c>
      <c r="AW159">
        <v>0</v>
      </c>
      <c r="AX159">
        <v>0</v>
      </c>
      <c r="AY159">
        <v>60.96619514961067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x14ac:dyDescent="0.2">
      <c r="A160" t="s">
        <v>1331</v>
      </c>
      <c r="B160" t="s">
        <v>1173</v>
      </c>
      <c r="C160" t="s">
        <v>591</v>
      </c>
      <c r="D160">
        <v>2017</v>
      </c>
      <c r="E160" t="s">
        <v>1174</v>
      </c>
      <c r="F160" t="s">
        <v>1175</v>
      </c>
      <c r="G160">
        <v>1605.4142669620001</v>
      </c>
      <c r="H160">
        <v>1569.8628687520124</v>
      </c>
      <c r="I160">
        <v>35.55139821024477</v>
      </c>
      <c r="J160">
        <v>54.911020665959356</v>
      </c>
      <c r="K160">
        <v>407.98161013673348</v>
      </c>
      <c r="L160">
        <v>12.0174836460493</v>
      </c>
      <c r="M160">
        <v>122.75380230397543</v>
      </c>
      <c r="N160">
        <v>819.66495584660947</v>
      </c>
      <c r="O160">
        <v>152.53399615268532</v>
      </c>
      <c r="P160">
        <v>35.55139821024477</v>
      </c>
      <c r="Q160">
        <v>0</v>
      </c>
      <c r="R160">
        <v>0</v>
      </c>
      <c r="S160">
        <v>10.769077553125801</v>
      </c>
      <c r="T160">
        <v>44.141943112833552</v>
      </c>
      <c r="U160">
        <v>0</v>
      </c>
      <c r="V160">
        <v>265.81221648081714</v>
      </c>
      <c r="W160">
        <v>23.368471574838999</v>
      </c>
      <c r="X160">
        <v>1.8212332732250001</v>
      </c>
      <c r="Y160">
        <v>11.4927002669518</v>
      </c>
      <c r="Z160">
        <v>105.48698854090047</v>
      </c>
      <c r="AA160">
        <v>3.7162027366000001</v>
      </c>
      <c r="AB160">
        <v>0.33483236360099999</v>
      </c>
      <c r="AC160">
        <v>2.9526490265092993</v>
      </c>
      <c r="AD160">
        <v>0</v>
      </c>
      <c r="AE160">
        <v>5.0137995193389999</v>
      </c>
      <c r="AF160">
        <v>0</v>
      </c>
      <c r="AG160">
        <v>25.678713383844336</v>
      </c>
      <c r="AH160">
        <v>34.959118694347595</v>
      </c>
      <c r="AI160">
        <v>2.7853431359949998</v>
      </c>
      <c r="AJ160">
        <v>59.300584100287104</v>
      </c>
      <c r="AK160">
        <v>3.00429895014E-2</v>
      </c>
      <c r="AL160">
        <v>9.4355518819243986</v>
      </c>
      <c r="AM160">
        <v>810.22940396468505</v>
      </c>
      <c r="AN160">
        <v>152.53399615268532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3.1335765159016997</v>
      </c>
      <c r="AW160">
        <v>0</v>
      </c>
      <c r="AX160">
        <v>0</v>
      </c>
      <c r="AY160">
        <v>32.417821694343068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">
      <c r="A161" t="s">
        <v>1332</v>
      </c>
      <c r="B161" t="s">
        <v>1173</v>
      </c>
      <c r="C161" t="s">
        <v>614</v>
      </c>
      <c r="D161">
        <v>2017</v>
      </c>
      <c r="E161" t="s">
        <v>1174</v>
      </c>
      <c r="F161" t="s">
        <v>1175</v>
      </c>
      <c r="G161">
        <v>1012.4598743194001</v>
      </c>
      <c r="H161">
        <v>844.48119826037976</v>
      </c>
      <c r="I161">
        <v>167.97867605913706</v>
      </c>
      <c r="J161">
        <v>46.556138737380437</v>
      </c>
      <c r="K161">
        <v>404.76179676948476</v>
      </c>
      <c r="L161">
        <v>75.72612213610654</v>
      </c>
      <c r="M161">
        <v>122.9168455222365</v>
      </c>
      <c r="N161">
        <v>162.93798700883036</v>
      </c>
      <c r="O161">
        <v>31.5823080863412</v>
      </c>
      <c r="P161">
        <v>167.97867605913706</v>
      </c>
      <c r="Q161">
        <v>0</v>
      </c>
      <c r="R161">
        <v>0</v>
      </c>
      <c r="S161">
        <v>13.282972604190203</v>
      </c>
      <c r="T161">
        <v>33.273166133190237</v>
      </c>
      <c r="U161">
        <v>0</v>
      </c>
      <c r="V161">
        <v>285.21796112115106</v>
      </c>
      <c r="W161">
        <v>17.063493077637897</v>
      </c>
      <c r="X161">
        <v>0</v>
      </c>
      <c r="Y161">
        <v>16.979766874866797</v>
      </c>
      <c r="Z161">
        <v>85.500575695829028</v>
      </c>
      <c r="AA161">
        <v>0</v>
      </c>
      <c r="AB161">
        <v>0</v>
      </c>
      <c r="AC161">
        <v>2.7363319230745002</v>
      </c>
      <c r="AD161">
        <v>0</v>
      </c>
      <c r="AE161">
        <v>67.173775413362733</v>
      </c>
      <c r="AF161">
        <v>5.8160147996692988</v>
      </c>
      <c r="AG161">
        <v>45.647487752126004</v>
      </c>
      <c r="AH161">
        <v>47.277532888052313</v>
      </c>
      <c r="AI161">
        <v>3.8053372368783998</v>
      </c>
      <c r="AJ161">
        <v>22.886805595319583</v>
      </c>
      <c r="AK161">
        <v>3.2996820498601998</v>
      </c>
      <c r="AL161">
        <v>5.2268017953224</v>
      </c>
      <c r="AM161">
        <v>157.71118521350797</v>
      </c>
      <c r="AN161">
        <v>27.509816690207199</v>
      </c>
      <c r="AO161">
        <v>0</v>
      </c>
      <c r="AP161">
        <v>4.0724913961339997</v>
      </c>
      <c r="AQ161">
        <v>0</v>
      </c>
      <c r="AR161">
        <v>0</v>
      </c>
      <c r="AS161">
        <v>132.9835501392246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34.995125919912468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2">
      <c r="A162" t="s">
        <v>1333</v>
      </c>
      <c r="B162" t="s">
        <v>1173</v>
      </c>
      <c r="C162" t="s">
        <v>664</v>
      </c>
      <c r="D162">
        <v>2017</v>
      </c>
      <c r="E162" t="s">
        <v>1174</v>
      </c>
      <c r="F162" t="s">
        <v>1175</v>
      </c>
      <c r="G162">
        <v>9116.2781444303</v>
      </c>
      <c r="H162">
        <v>7846.4440180716801</v>
      </c>
      <c r="I162">
        <v>1269.8341263595848</v>
      </c>
      <c r="J162">
        <v>162.08944989412612</v>
      </c>
      <c r="K162">
        <v>590.73097467306036</v>
      </c>
      <c r="L162">
        <v>49.491073975991192</v>
      </c>
      <c r="M162">
        <v>191.30349239352952</v>
      </c>
      <c r="N162">
        <v>6065.3452935560899</v>
      </c>
      <c r="O162">
        <v>787.48373357888306</v>
      </c>
      <c r="P162">
        <v>1269.8341263595848</v>
      </c>
      <c r="Q162">
        <v>0</v>
      </c>
      <c r="R162">
        <v>0</v>
      </c>
      <c r="S162">
        <v>0</v>
      </c>
      <c r="T162">
        <v>162.08944989412612</v>
      </c>
      <c r="U162">
        <v>0</v>
      </c>
      <c r="V162">
        <v>415.05485367421181</v>
      </c>
      <c r="W162">
        <v>14.586917987873271</v>
      </c>
      <c r="X162">
        <v>9.4377445814699996</v>
      </c>
      <c r="Y162">
        <v>38.48203031402425</v>
      </c>
      <c r="Z162">
        <v>113.16942811548104</v>
      </c>
      <c r="AA162">
        <v>0</v>
      </c>
      <c r="AB162">
        <v>0</v>
      </c>
      <c r="AC162">
        <v>5.9962123894901893</v>
      </c>
      <c r="AD162">
        <v>0</v>
      </c>
      <c r="AE162">
        <v>43.494861586501003</v>
      </c>
      <c r="AF162">
        <v>0</v>
      </c>
      <c r="AG162">
        <v>15.706347174196498</v>
      </c>
      <c r="AH162">
        <v>116.44154886112081</v>
      </c>
      <c r="AI162">
        <v>1.4642619400214998</v>
      </c>
      <c r="AJ162">
        <v>3.8969689858065006</v>
      </c>
      <c r="AK162">
        <v>53.79436543238424</v>
      </c>
      <c r="AL162">
        <v>162.17370014734371</v>
      </c>
      <c r="AM162">
        <v>5903.171593408746</v>
      </c>
      <c r="AN162">
        <v>85.451824381187137</v>
      </c>
      <c r="AO162">
        <v>0</v>
      </c>
      <c r="AP162">
        <v>702.03190919769588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3.78012994558236</v>
      </c>
      <c r="AW162">
        <v>0</v>
      </c>
      <c r="AX162">
        <v>0</v>
      </c>
      <c r="AY162">
        <v>1266.0539964140025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2">
      <c r="A163" t="s">
        <v>1334</v>
      </c>
      <c r="B163" t="s">
        <v>1173</v>
      </c>
      <c r="C163" t="s">
        <v>686</v>
      </c>
      <c r="D163">
        <v>2017</v>
      </c>
      <c r="E163" t="s">
        <v>1174</v>
      </c>
      <c r="F163" t="s">
        <v>1175</v>
      </c>
      <c r="G163">
        <v>7493.7377464009005</v>
      </c>
      <c r="H163">
        <v>5833.7582826424368</v>
      </c>
      <c r="I163">
        <v>1659.9794637600639</v>
      </c>
      <c r="J163">
        <v>225.87653558812869</v>
      </c>
      <c r="K163">
        <v>800.29028842521689</v>
      </c>
      <c r="L163">
        <v>43.137243584580496</v>
      </c>
      <c r="M163">
        <v>437.39300313823173</v>
      </c>
      <c r="N163">
        <v>2232.2168099840883</v>
      </c>
      <c r="O163">
        <v>2094.8444019221906</v>
      </c>
      <c r="P163">
        <v>105.53354069826179</v>
      </c>
      <c r="Q163">
        <v>1554.4459230618022</v>
      </c>
      <c r="R163">
        <v>0</v>
      </c>
      <c r="S163">
        <v>4.12565895286E-2</v>
      </c>
      <c r="T163">
        <v>199.0342160274119</v>
      </c>
      <c r="U163">
        <v>26.801062971188198</v>
      </c>
      <c r="V163">
        <v>514.28458890121919</v>
      </c>
      <c r="W163">
        <v>39.941455110431207</v>
      </c>
      <c r="X163">
        <v>8.3600380790969986</v>
      </c>
      <c r="Y163">
        <v>70.766241287676309</v>
      </c>
      <c r="Z163">
        <v>166.93796504679324</v>
      </c>
      <c r="AA163">
        <v>2.6145770029293001</v>
      </c>
      <c r="AB163">
        <v>0</v>
      </c>
      <c r="AC163">
        <v>5.8089180207097</v>
      </c>
      <c r="AD163">
        <v>0</v>
      </c>
      <c r="AE163">
        <v>34.713748560941497</v>
      </c>
      <c r="AF163">
        <v>0</v>
      </c>
      <c r="AG163">
        <v>68.340066965075152</v>
      </c>
      <c r="AH163">
        <v>155.9145650213905</v>
      </c>
      <c r="AI163">
        <v>10.137153716851262</v>
      </c>
      <c r="AJ163">
        <v>85.817283964448606</v>
      </c>
      <c r="AK163">
        <v>117.18393347046621</v>
      </c>
      <c r="AL163">
        <v>27.76188437090898</v>
      </c>
      <c r="AM163">
        <v>2204.4549256131795</v>
      </c>
      <c r="AN163">
        <v>332.064138010487</v>
      </c>
      <c r="AO163">
        <v>1762.7802639117035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37.104410851151307</v>
      </c>
      <c r="AW163">
        <v>0</v>
      </c>
      <c r="AX163">
        <v>0</v>
      </c>
      <c r="AY163">
        <v>68.429129847110488</v>
      </c>
      <c r="AZ163">
        <v>0</v>
      </c>
      <c r="BA163">
        <v>0</v>
      </c>
      <c r="BB163">
        <v>0</v>
      </c>
      <c r="BC163">
        <v>1554.4459230618022</v>
      </c>
      <c r="BD163">
        <v>0</v>
      </c>
    </row>
    <row r="164" spans="1:56" x14ac:dyDescent="0.2">
      <c r="A164" t="s">
        <v>1335</v>
      </c>
      <c r="B164" t="s">
        <v>1173</v>
      </c>
      <c r="C164" t="s">
        <v>694</v>
      </c>
      <c r="D164">
        <v>2017</v>
      </c>
      <c r="E164" t="s">
        <v>1174</v>
      </c>
      <c r="F164" t="s">
        <v>1175</v>
      </c>
      <c r="G164">
        <v>796.72063581879991</v>
      </c>
      <c r="H164">
        <v>729.401087779877</v>
      </c>
      <c r="I164">
        <v>67.319548038616119</v>
      </c>
      <c r="J164">
        <v>44.820712381199293</v>
      </c>
      <c r="K164">
        <v>379.43510219764278</v>
      </c>
      <c r="L164">
        <v>73.028531732051349</v>
      </c>
      <c r="M164">
        <v>99.962070425412278</v>
      </c>
      <c r="N164">
        <v>110.30543953467149</v>
      </c>
      <c r="O164">
        <v>21.849231508899877</v>
      </c>
      <c r="P164">
        <v>67.319548038616119</v>
      </c>
      <c r="Q164">
        <v>0</v>
      </c>
      <c r="R164">
        <v>0</v>
      </c>
      <c r="S164">
        <v>1.61315196599E-3</v>
      </c>
      <c r="T164">
        <v>44.819099229233302</v>
      </c>
      <c r="U164">
        <v>0</v>
      </c>
      <c r="V164">
        <v>299.92469330468765</v>
      </c>
      <c r="W164">
        <v>11.683089972228601</v>
      </c>
      <c r="X164">
        <v>1.737591224133854</v>
      </c>
      <c r="Y164">
        <v>42.054801897847391</v>
      </c>
      <c r="Z164">
        <v>24.034925798745302</v>
      </c>
      <c r="AA164">
        <v>0</v>
      </c>
      <c r="AB164">
        <v>0</v>
      </c>
      <c r="AC164">
        <v>3.5720986369086996</v>
      </c>
      <c r="AD164">
        <v>0</v>
      </c>
      <c r="AE164">
        <v>69.456433095142643</v>
      </c>
      <c r="AF164">
        <v>0</v>
      </c>
      <c r="AG164">
        <v>46.776891653619657</v>
      </c>
      <c r="AH164">
        <v>37.389832094707316</v>
      </c>
      <c r="AI164">
        <v>3.4759979267212997</v>
      </c>
      <c r="AJ164">
        <v>12.319348750364</v>
      </c>
      <c r="AK164">
        <v>0</v>
      </c>
      <c r="AL164">
        <v>5.1119441700904993</v>
      </c>
      <c r="AM164">
        <v>105.193495364581</v>
      </c>
      <c r="AN164">
        <v>21.847356451272798</v>
      </c>
      <c r="AO164">
        <v>0</v>
      </c>
      <c r="AP164">
        <v>1.87505762708E-3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33.747584777510902</v>
      </c>
      <c r="AW164">
        <v>0</v>
      </c>
      <c r="AX164">
        <v>0</v>
      </c>
      <c r="AY164">
        <v>33.571963261105211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2">
      <c r="A165" t="s">
        <v>1336</v>
      </c>
      <c r="B165" t="s">
        <v>1173</v>
      </c>
      <c r="C165" t="s">
        <v>741</v>
      </c>
      <c r="D165">
        <v>2017</v>
      </c>
      <c r="E165" t="s">
        <v>1174</v>
      </c>
      <c r="F165" t="s">
        <v>1175</v>
      </c>
      <c r="G165">
        <v>4010.1349707391</v>
      </c>
      <c r="H165">
        <v>3889.647670165125</v>
      </c>
      <c r="I165">
        <v>120.487300574562</v>
      </c>
      <c r="J165">
        <v>69.854653317260173</v>
      </c>
      <c r="K165">
        <v>162.85728876366022</v>
      </c>
      <c r="L165">
        <v>4.3122747593659998</v>
      </c>
      <c r="M165">
        <v>48.573183800218999</v>
      </c>
      <c r="N165">
        <v>3578.3161484426987</v>
      </c>
      <c r="O165">
        <v>25.734121081921</v>
      </c>
      <c r="P165">
        <v>120.487300574562</v>
      </c>
      <c r="Q165">
        <v>0</v>
      </c>
      <c r="R165">
        <v>0</v>
      </c>
      <c r="S165">
        <v>19.141593975850075</v>
      </c>
      <c r="T165">
        <v>50.713059341410094</v>
      </c>
      <c r="U165">
        <v>0</v>
      </c>
      <c r="V165">
        <v>116.88762681867824</v>
      </c>
      <c r="W165">
        <v>3.1758384997799998</v>
      </c>
      <c r="X165">
        <v>2.5834471993193997</v>
      </c>
      <c r="Y165">
        <v>1.0546420863499999</v>
      </c>
      <c r="Z165">
        <v>39.155734159532592</v>
      </c>
      <c r="AA165">
        <v>0</v>
      </c>
      <c r="AB165">
        <v>0.791722016945</v>
      </c>
      <c r="AC165">
        <v>2.2252882440609998</v>
      </c>
      <c r="AD165">
        <v>0</v>
      </c>
      <c r="AE165">
        <v>1.2952644983599999</v>
      </c>
      <c r="AF165">
        <v>0</v>
      </c>
      <c r="AG165">
        <v>8.0160766697582986</v>
      </c>
      <c r="AH165">
        <v>17.897030016969698</v>
      </c>
      <c r="AI165">
        <v>5.8039542998050004</v>
      </c>
      <c r="AJ165">
        <v>10.384744082582401</v>
      </c>
      <c r="AK165">
        <v>6.4713787311035995</v>
      </c>
      <c r="AL165">
        <v>2.4847174870499997</v>
      </c>
      <c r="AM165">
        <v>3575.8314309556486</v>
      </c>
      <c r="AN165">
        <v>0.933566946924</v>
      </c>
      <c r="AO165">
        <v>0</v>
      </c>
      <c r="AP165">
        <v>24.800554134997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120.487300574562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2">
      <c r="A166" t="s">
        <v>1337</v>
      </c>
      <c r="B166" t="s">
        <v>1173</v>
      </c>
      <c r="C166" t="s">
        <v>747</v>
      </c>
      <c r="D166">
        <v>2017</v>
      </c>
      <c r="E166" t="s">
        <v>1174</v>
      </c>
      <c r="F166" t="s">
        <v>1175</v>
      </c>
      <c r="G166">
        <v>1078.9958203714</v>
      </c>
      <c r="H166">
        <v>941.44587294146697</v>
      </c>
      <c r="I166">
        <v>137.5499474299065</v>
      </c>
      <c r="J166">
        <v>83.582277964347611</v>
      </c>
      <c r="K166">
        <v>534.53117027284884</v>
      </c>
      <c r="L166">
        <v>24.680574371369001</v>
      </c>
      <c r="M166">
        <v>120.61165522463185</v>
      </c>
      <c r="N166">
        <v>134.51919358840317</v>
      </c>
      <c r="O166">
        <v>43.521001519866509</v>
      </c>
      <c r="P166">
        <v>137.5499474299065</v>
      </c>
      <c r="Q166">
        <v>0</v>
      </c>
      <c r="R166">
        <v>0</v>
      </c>
      <c r="S166">
        <v>2.7132173540972997</v>
      </c>
      <c r="T166">
        <v>80.869060610250315</v>
      </c>
      <c r="U166">
        <v>0</v>
      </c>
      <c r="V166">
        <v>395.80734019108678</v>
      </c>
      <c r="W166">
        <v>14.248334375643998</v>
      </c>
      <c r="X166">
        <v>8.3174090303736001</v>
      </c>
      <c r="Y166">
        <v>11.953748417850001</v>
      </c>
      <c r="Z166">
        <v>104.20433825789446</v>
      </c>
      <c r="AA166">
        <v>0</v>
      </c>
      <c r="AB166">
        <v>0</v>
      </c>
      <c r="AC166">
        <v>3.2621092843942003</v>
      </c>
      <c r="AD166">
        <v>0</v>
      </c>
      <c r="AE166">
        <v>15.203888074257801</v>
      </c>
      <c r="AF166">
        <v>6.2145770127170001</v>
      </c>
      <c r="AG166">
        <v>81.365020081029527</v>
      </c>
      <c r="AH166">
        <v>37.269419747908906</v>
      </c>
      <c r="AI166">
        <v>1.9772153956933998</v>
      </c>
      <c r="AJ166">
        <v>0</v>
      </c>
      <c r="AK166">
        <v>0</v>
      </c>
      <c r="AL166">
        <v>0</v>
      </c>
      <c r="AM166">
        <v>134.51919358840317</v>
      </c>
      <c r="AN166">
        <v>43.521001519866509</v>
      </c>
      <c r="AO166">
        <v>0</v>
      </c>
      <c r="AP166">
        <v>0</v>
      </c>
      <c r="AQ166">
        <v>0</v>
      </c>
      <c r="AR166">
        <v>0</v>
      </c>
      <c r="AS166">
        <v>96.789904063152804</v>
      </c>
      <c r="AT166">
        <v>0</v>
      </c>
      <c r="AU166">
        <v>0</v>
      </c>
      <c r="AV166">
        <v>2.6003527031306004</v>
      </c>
      <c r="AW166">
        <v>0</v>
      </c>
      <c r="AX166">
        <v>0</v>
      </c>
      <c r="AY166">
        <v>38.159690663623088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2">
      <c r="A167" t="s">
        <v>1338</v>
      </c>
      <c r="B167" t="s">
        <v>1173</v>
      </c>
      <c r="C167" t="s">
        <v>781</v>
      </c>
      <c r="D167">
        <v>2017</v>
      </c>
      <c r="E167" t="s">
        <v>1174</v>
      </c>
      <c r="F167" t="s">
        <v>1175</v>
      </c>
      <c r="G167">
        <v>2526.2859678329</v>
      </c>
      <c r="H167">
        <v>2347.5635983516927</v>
      </c>
      <c r="I167">
        <v>178.72236948087624</v>
      </c>
      <c r="J167">
        <v>261.56519120915027</v>
      </c>
      <c r="K167">
        <v>854.39389053940783</v>
      </c>
      <c r="L167">
        <v>80.135085341694094</v>
      </c>
      <c r="M167">
        <v>269.81458245838274</v>
      </c>
      <c r="N167">
        <v>838.27307102095187</v>
      </c>
      <c r="O167">
        <v>43.381777782105296</v>
      </c>
      <c r="P167">
        <v>178.72236948087624</v>
      </c>
      <c r="Q167">
        <v>0</v>
      </c>
      <c r="R167">
        <v>0</v>
      </c>
      <c r="S167">
        <v>0</v>
      </c>
      <c r="T167">
        <v>261.56519120915027</v>
      </c>
      <c r="U167">
        <v>0</v>
      </c>
      <c r="V167">
        <v>588.52712885393487</v>
      </c>
      <c r="W167">
        <v>15.203726103819903</v>
      </c>
      <c r="X167">
        <v>7.3671064866641984</v>
      </c>
      <c r="Y167">
        <v>16.152425770013004</v>
      </c>
      <c r="Z167">
        <v>227.14350332497591</v>
      </c>
      <c r="AA167">
        <v>0</v>
      </c>
      <c r="AB167">
        <v>0</v>
      </c>
      <c r="AC167">
        <v>9.8211213018033021</v>
      </c>
      <c r="AD167">
        <v>0</v>
      </c>
      <c r="AE167">
        <v>68.149017404652696</v>
      </c>
      <c r="AF167">
        <v>2.1649466352380999</v>
      </c>
      <c r="AG167">
        <v>167.32876848012387</v>
      </c>
      <c r="AH167">
        <v>61.625076283238954</v>
      </c>
      <c r="AI167">
        <v>13.703253310925904</v>
      </c>
      <c r="AJ167">
        <v>25.921071253324001</v>
      </c>
      <c r="AK167">
        <v>1.2364131307699999</v>
      </c>
      <c r="AL167">
        <v>81.957929715300722</v>
      </c>
      <c r="AM167">
        <v>756.3151413056512</v>
      </c>
      <c r="AN167">
        <v>43.381777782105296</v>
      </c>
      <c r="AO167">
        <v>0</v>
      </c>
      <c r="AP167">
        <v>0</v>
      </c>
      <c r="AQ167">
        <v>0</v>
      </c>
      <c r="AR167">
        <v>0</v>
      </c>
      <c r="AS167">
        <v>91.079673740960303</v>
      </c>
      <c r="AT167">
        <v>0</v>
      </c>
      <c r="AU167">
        <v>0</v>
      </c>
      <c r="AV167">
        <v>10.503647934420998</v>
      </c>
      <c r="AW167">
        <v>0</v>
      </c>
      <c r="AX167">
        <v>0</v>
      </c>
      <c r="AY167">
        <v>77.139047805494954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">
      <c r="A168" t="s">
        <v>1339</v>
      </c>
      <c r="B168" t="s">
        <v>1173</v>
      </c>
      <c r="C168" t="s">
        <v>90</v>
      </c>
      <c r="D168">
        <v>2017</v>
      </c>
      <c r="E168" t="s">
        <v>1174</v>
      </c>
      <c r="F168" t="s">
        <v>1175</v>
      </c>
      <c r="G168">
        <v>32414.410227787601</v>
      </c>
      <c r="H168">
        <v>21842.384208055719</v>
      </c>
      <c r="I168">
        <v>10572.026015521335</v>
      </c>
      <c r="J168">
        <v>2184.2006602174192</v>
      </c>
      <c r="K168">
        <v>12081.326418931472</v>
      </c>
      <c r="L168">
        <v>1957.2030316693517</v>
      </c>
      <c r="M168">
        <v>2535.5721719209969</v>
      </c>
      <c r="N168">
        <v>2319.0115586050242</v>
      </c>
      <c r="O168">
        <v>765.07036671145386</v>
      </c>
      <c r="P168">
        <v>7560.779043271732</v>
      </c>
      <c r="Q168">
        <v>3011.2469722496025</v>
      </c>
      <c r="R168">
        <v>0</v>
      </c>
      <c r="S168">
        <v>570.87871559005009</v>
      </c>
      <c r="T168">
        <v>1559.1722742439508</v>
      </c>
      <c r="U168">
        <v>54.149670383418034</v>
      </c>
      <c r="V168">
        <v>4688.6049764771933</v>
      </c>
      <c r="W168">
        <v>406.1122704050947</v>
      </c>
      <c r="X168">
        <v>299.37812852900618</v>
      </c>
      <c r="Y168">
        <v>353.46184638005633</v>
      </c>
      <c r="Z168">
        <v>6333.7691971401209</v>
      </c>
      <c r="AA168">
        <v>74.465108494176732</v>
      </c>
      <c r="AB168">
        <v>19.102894425644596</v>
      </c>
      <c r="AC168">
        <v>106.9007406527444</v>
      </c>
      <c r="AD168">
        <v>10.1204267548591</v>
      </c>
      <c r="AE168">
        <v>1486.2049468975338</v>
      </c>
      <c r="AF168">
        <v>260.40891444439313</v>
      </c>
      <c r="AG168">
        <v>1584.4672987849651</v>
      </c>
      <c r="AH168">
        <v>491.50687505139456</v>
      </c>
      <c r="AI168">
        <v>248.97373927520957</v>
      </c>
      <c r="AJ168">
        <v>169.12542896584651</v>
      </c>
      <c r="AK168">
        <v>41.498829843581497</v>
      </c>
      <c r="AL168">
        <v>150.10845543559267</v>
      </c>
      <c r="AM168">
        <v>2168.9031031694317</v>
      </c>
      <c r="AN168">
        <v>157.18015320353621</v>
      </c>
      <c r="AO168">
        <v>496.99659682551425</v>
      </c>
      <c r="AP168">
        <v>110.89361668240335</v>
      </c>
      <c r="AQ168">
        <v>0</v>
      </c>
      <c r="AR168">
        <v>0</v>
      </c>
      <c r="AS168">
        <v>1908.0116307256289</v>
      </c>
      <c r="AT168">
        <v>0</v>
      </c>
      <c r="AU168">
        <v>3.7145032668300004</v>
      </c>
      <c r="AV168">
        <v>226.38393408808102</v>
      </c>
      <c r="AW168">
        <v>0</v>
      </c>
      <c r="AX168">
        <v>156.99318026273534</v>
      </c>
      <c r="AY168">
        <v>5265.6757949284565</v>
      </c>
      <c r="AZ168">
        <v>0</v>
      </c>
      <c r="BA168">
        <v>0</v>
      </c>
      <c r="BB168">
        <v>0</v>
      </c>
      <c r="BC168">
        <v>3011.2469722496025</v>
      </c>
      <c r="BD168">
        <v>0</v>
      </c>
    </row>
    <row r="169" spans="1:56" x14ac:dyDescent="0.2">
      <c r="A169" t="s">
        <v>1340</v>
      </c>
      <c r="B169" t="s">
        <v>1173</v>
      </c>
      <c r="C169" t="s">
        <v>87</v>
      </c>
      <c r="D169">
        <v>2017</v>
      </c>
      <c r="E169" t="s">
        <v>1174</v>
      </c>
      <c r="F169" t="s">
        <v>1175</v>
      </c>
      <c r="G169">
        <v>1450.2099744718</v>
      </c>
      <c r="H169">
        <v>1397.6406873865631</v>
      </c>
      <c r="I169">
        <v>52.569287085372494</v>
      </c>
      <c r="J169">
        <v>112.24761499309872</v>
      </c>
      <c r="K169">
        <v>711.0042163381197</v>
      </c>
      <c r="L169">
        <v>67.594819812778383</v>
      </c>
      <c r="M169">
        <v>421.56038188804854</v>
      </c>
      <c r="N169">
        <v>81.476292713890146</v>
      </c>
      <c r="O169">
        <v>3.7573616406275003</v>
      </c>
      <c r="P169">
        <v>52.569287085372494</v>
      </c>
      <c r="Q169">
        <v>0</v>
      </c>
      <c r="R169">
        <v>0</v>
      </c>
      <c r="S169">
        <v>9.3760612650947692</v>
      </c>
      <c r="T169">
        <v>102.87155372800395</v>
      </c>
      <c r="U169">
        <v>0</v>
      </c>
      <c r="V169">
        <v>450.71074966429615</v>
      </c>
      <c r="W169">
        <v>33.596619108058917</v>
      </c>
      <c r="X169">
        <v>28.155665126353298</v>
      </c>
      <c r="Y169">
        <v>39.490765730533944</v>
      </c>
      <c r="Z169">
        <v>159.05041670887746</v>
      </c>
      <c r="AA169">
        <v>0</v>
      </c>
      <c r="AB169">
        <v>0</v>
      </c>
      <c r="AC169">
        <v>13.562220800245299</v>
      </c>
      <c r="AD169">
        <v>0</v>
      </c>
      <c r="AE169">
        <v>54.032599012533083</v>
      </c>
      <c r="AF169">
        <v>0</v>
      </c>
      <c r="AG169">
        <v>252.68290539963408</v>
      </c>
      <c r="AH169">
        <v>120.04601969848326</v>
      </c>
      <c r="AI169">
        <v>32.248394906607722</v>
      </c>
      <c r="AJ169">
        <v>16.583061883323502</v>
      </c>
      <c r="AK169">
        <v>0</v>
      </c>
      <c r="AL169">
        <v>8.3798117548050985</v>
      </c>
      <c r="AM169">
        <v>73.096480959085042</v>
      </c>
      <c r="AN169">
        <v>3.7573616406275003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28.958846861637198</v>
      </c>
      <c r="AW169">
        <v>0</v>
      </c>
      <c r="AX169">
        <v>0</v>
      </c>
      <c r="AY169">
        <v>23.610440223735299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2">
      <c r="A170" t="s">
        <v>1341</v>
      </c>
      <c r="B170" t="s">
        <v>1173</v>
      </c>
      <c r="C170" t="s">
        <v>92</v>
      </c>
      <c r="D170">
        <v>2017</v>
      </c>
      <c r="E170" t="s">
        <v>1174</v>
      </c>
      <c r="F170" t="s">
        <v>1175</v>
      </c>
      <c r="G170">
        <v>1985.7484749535001</v>
      </c>
      <c r="H170">
        <v>1780.7586076247374</v>
      </c>
      <c r="I170">
        <v>204.98986732883782</v>
      </c>
      <c r="J170">
        <v>156.82323901833556</v>
      </c>
      <c r="K170">
        <v>905.70792274896985</v>
      </c>
      <c r="L170">
        <v>83.9027700657753</v>
      </c>
      <c r="M170">
        <v>305.57782874561116</v>
      </c>
      <c r="N170">
        <v>275.9298091266237</v>
      </c>
      <c r="O170">
        <v>52.817037919421907</v>
      </c>
      <c r="P170">
        <v>204.98986732883782</v>
      </c>
      <c r="Q170">
        <v>0</v>
      </c>
      <c r="R170">
        <v>0</v>
      </c>
      <c r="S170">
        <v>21.502957658855202</v>
      </c>
      <c r="T170">
        <v>135.32028135948036</v>
      </c>
      <c r="U170">
        <v>0</v>
      </c>
      <c r="V170">
        <v>565.94208376431163</v>
      </c>
      <c r="W170">
        <v>37.547336700270229</v>
      </c>
      <c r="X170">
        <v>2.4795677477323999</v>
      </c>
      <c r="Y170">
        <v>31.194251309385908</v>
      </c>
      <c r="Z170">
        <v>268.54468322726973</v>
      </c>
      <c r="AA170">
        <v>0</v>
      </c>
      <c r="AB170">
        <v>1.8092987287441</v>
      </c>
      <c r="AC170">
        <v>15.1321316613448</v>
      </c>
      <c r="AD170">
        <v>0</v>
      </c>
      <c r="AE170">
        <v>66.961339675686403</v>
      </c>
      <c r="AF170">
        <v>0</v>
      </c>
      <c r="AG170">
        <v>173.33074347790389</v>
      </c>
      <c r="AH170">
        <v>94.174144439337411</v>
      </c>
      <c r="AI170">
        <v>29.638739305899897</v>
      </c>
      <c r="AJ170">
        <v>8.4342015224699711</v>
      </c>
      <c r="AK170">
        <v>0</v>
      </c>
      <c r="AL170">
        <v>0</v>
      </c>
      <c r="AM170">
        <v>275.9298091266237</v>
      </c>
      <c r="AN170">
        <v>4.6950285853927003</v>
      </c>
      <c r="AO170">
        <v>0</v>
      </c>
      <c r="AP170">
        <v>48.122009334029208</v>
      </c>
      <c r="AQ170">
        <v>0</v>
      </c>
      <c r="AR170">
        <v>0</v>
      </c>
      <c r="AS170">
        <v>65.640423222012302</v>
      </c>
      <c r="AT170">
        <v>0</v>
      </c>
      <c r="AU170">
        <v>0</v>
      </c>
      <c r="AV170">
        <v>19.64649579678473</v>
      </c>
      <c r="AW170">
        <v>0</v>
      </c>
      <c r="AX170">
        <v>0</v>
      </c>
      <c r="AY170">
        <v>119.70294831004078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2">
      <c r="A171" t="s">
        <v>1342</v>
      </c>
      <c r="B171" t="s">
        <v>1173</v>
      </c>
      <c r="C171" t="s">
        <v>93</v>
      </c>
      <c r="D171">
        <v>2017</v>
      </c>
      <c r="E171" t="s">
        <v>1174</v>
      </c>
      <c r="F171" t="s">
        <v>1175</v>
      </c>
      <c r="G171">
        <v>1401.4161824405001</v>
      </c>
      <c r="H171">
        <v>1284.662053233722</v>
      </c>
      <c r="I171">
        <v>116.75412920729408</v>
      </c>
      <c r="J171">
        <v>87.590969677315442</v>
      </c>
      <c r="K171">
        <v>444.56805059220875</v>
      </c>
      <c r="L171">
        <v>40.585483167524501</v>
      </c>
      <c r="M171">
        <v>61.080453802526904</v>
      </c>
      <c r="N171">
        <v>648.34640603700882</v>
      </c>
      <c r="O171">
        <v>2.4906899571374996</v>
      </c>
      <c r="P171">
        <v>116.75412920729408</v>
      </c>
      <c r="Q171">
        <v>0</v>
      </c>
      <c r="R171">
        <v>0</v>
      </c>
      <c r="S171">
        <v>21.001449969708045</v>
      </c>
      <c r="T171">
        <v>66.589519707607394</v>
      </c>
      <c r="U171">
        <v>0</v>
      </c>
      <c r="V171">
        <v>268.75704840080368</v>
      </c>
      <c r="W171">
        <v>25.443477650283999</v>
      </c>
      <c r="X171">
        <v>3.3833371337447997</v>
      </c>
      <c r="Y171">
        <v>28.974364064374402</v>
      </c>
      <c r="Z171">
        <v>118.0098233430018</v>
      </c>
      <c r="AA171">
        <v>0</v>
      </c>
      <c r="AB171">
        <v>0</v>
      </c>
      <c r="AC171">
        <v>4.9071611099984001</v>
      </c>
      <c r="AD171">
        <v>0</v>
      </c>
      <c r="AE171">
        <v>34.298649855432799</v>
      </c>
      <c r="AF171">
        <v>1.3796722020933001</v>
      </c>
      <c r="AG171">
        <v>37.903615389925406</v>
      </c>
      <c r="AH171">
        <v>18.741405654145701</v>
      </c>
      <c r="AI171">
        <v>4.4354327584558</v>
      </c>
      <c r="AJ171">
        <v>0</v>
      </c>
      <c r="AK171">
        <v>0</v>
      </c>
      <c r="AL171">
        <v>0</v>
      </c>
      <c r="AM171">
        <v>648.34640603700882</v>
      </c>
      <c r="AN171">
        <v>1.3466060101974999</v>
      </c>
      <c r="AO171">
        <v>0</v>
      </c>
      <c r="AP171">
        <v>1.1440839469399999</v>
      </c>
      <c r="AQ171">
        <v>0</v>
      </c>
      <c r="AR171">
        <v>0</v>
      </c>
      <c r="AS171">
        <v>87.011017269288629</v>
      </c>
      <c r="AT171">
        <v>0</v>
      </c>
      <c r="AU171">
        <v>0</v>
      </c>
      <c r="AV171">
        <v>1.4097365174794001</v>
      </c>
      <c r="AW171">
        <v>0</v>
      </c>
      <c r="AX171">
        <v>0</v>
      </c>
      <c r="AY171">
        <v>28.333375420526053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2">
      <c r="A172" t="s">
        <v>1343</v>
      </c>
      <c r="B172" t="s">
        <v>1173</v>
      </c>
      <c r="C172" t="s">
        <v>158</v>
      </c>
      <c r="D172">
        <v>2017</v>
      </c>
      <c r="E172" t="s">
        <v>1174</v>
      </c>
      <c r="F172" t="s">
        <v>1175</v>
      </c>
      <c r="G172">
        <v>2375.5796746376</v>
      </c>
      <c r="H172">
        <v>2166.5085701468292</v>
      </c>
      <c r="I172">
        <v>209.07110449188059</v>
      </c>
      <c r="J172">
        <v>91.27978273212473</v>
      </c>
      <c r="K172">
        <v>496.9289279836828</v>
      </c>
      <c r="L172">
        <v>30.985778400510718</v>
      </c>
      <c r="M172">
        <v>179.58037130901292</v>
      </c>
      <c r="N172">
        <v>1091.2898559213502</v>
      </c>
      <c r="O172">
        <v>276.44385380014774</v>
      </c>
      <c r="P172">
        <v>209.07110449188059</v>
      </c>
      <c r="Q172">
        <v>0</v>
      </c>
      <c r="R172">
        <v>0</v>
      </c>
      <c r="S172">
        <v>0</v>
      </c>
      <c r="T172">
        <v>91.27978273212473</v>
      </c>
      <c r="U172">
        <v>0</v>
      </c>
      <c r="V172">
        <v>329.78524182202585</v>
      </c>
      <c r="W172">
        <v>12.879264646205201</v>
      </c>
      <c r="X172">
        <v>20.756524723082293</v>
      </c>
      <c r="Y172">
        <v>46.207609255968215</v>
      </c>
      <c r="Z172">
        <v>87.300287536401228</v>
      </c>
      <c r="AA172">
        <v>0</v>
      </c>
      <c r="AB172">
        <v>0</v>
      </c>
      <c r="AC172">
        <v>8.0239021214152011</v>
      </c>
      <c r="AD172">
        <v>0</v>
      </c>
      <c r="AE172">
        <v>18.959486894459598</v>
      </c>
      <c r="AF172">
        <v>4.0023893846359195</v>
      </c>
      <c r="AG172">
        <v>59.129362064324631</v>
      </c>
      <c r="AH172">
        <v>89.349416135965583</v>
      </c>
      <c r="AI172">
        <v>2.4823799123013996</v>
      </c>
      <c r="AJ172">
        <v>28.619213196421303</v>
      </c>
      <c r="AK172">
        <v>0</v>
      </c>
      <c r="AL172">
        <v>4.7444885615569996</v>
      </c>
      <c r="AM172">
        <v>1086.5453673597931</v>
      </c>
      <c r="AN172">
        <v>260.64730114126411</v>
      </c>
      <c r="AO172">
        <v>0</v>
      </c>
      <c r="AP172">
        <v>15.796552658883598</v>
      </c>
      <c r="AQ172">
        <v>0</v>
      </c>
      <c r="AR172">
        <v>0</v>
      </c>
      <c r="AS172">
        <v>134.64466863494943</v>
      </c>
      <c r="AT172">
        <v>0</v>
      </c>
      <c r="AU172">
        <v>0</v>
      </c>
      <c r="AV172">
        <v>10.092317580292297</v>
      </c>
      <c r="AW172">
        <v>0</v>
      </c>
      <c r="AX172">
        <v>0</v>
      </c>
      <c r="AY172">
        <v>64.334118276638875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">
      <c r="A173" t="s">
        <v>1344</v>
      </c>
      <c r="B173" t="s">
        <v>1173</v>
      </c>
      <c r="C173" t="s">
        <v>942</v>
      </c>
      <c r="D173">
        <v>2017</v>
      </c>
      <c r="E173" t="s">
        <v>1174</v>
      </c>
      <c r="F173" t="s">
        <v>1175</v>
      </c>
      <c r="G173">
        <v>2669.1378039582</v>
      </c>
      <c r="H173">
        <v>2336.3111658885441</v>
      </c>
      <c r="I173">
        <v>332.82663806975847</v>
      </c>
      <c r="J173">
        <v>133.89914551743325</v>
      </c>
      <c r="K173">
        <v>977.41381436368488</v>
      </c>
      <c r="L173">
        <v>51.643529753657603</v>
      </c>
      <c r="M173">
        <v>480.73927334788283</v>
      </c>
      <c r="N173">
        <v>408.48190491694766</v>
      </c>
      <c r="O173">
        <v>284.13349798893796</v>
      </c>
      <c r="P173">
        <v>332.82663806975847</v>
      </c>
      <c r="Q173">
        <v>0</v>
      </c>
      <c r="R173">
        <v>0</v>
      </c>
      <c r="S173">
        <v>26.353435687169398</v>
      </c>
      <c r="T173">
        <v>107.54570983026386</v>
      </c>
      <c r="U173">
        <v>0</v>
      </c>
      <c r="V173">
        <v>642.23416284288544</v>
      </c>
      <c r="W173">
        <v>50.772313353844403</v>
      </c>
      <c r="X173">
        <v>12.929272974759899</v>
      </c>
      <c r="Y173">
        <v>41.039589325755593</v>
      </c>
      <c r="Z173">
        <v>230.43847586643943</v>
      </c>
      <c r="AA173">
        <v>0</v>
      </c>
      <c r="AB173">
        <v>0</v>
      </c>
      <c r="AC173">
        <v>14.757007470002</v>
      </c>
      <c r="AD173">
        <v>0</v>
      </c>
      <c r="AE173">
        <v>31.414738664326002</v>
      </c>
      <c r="AF173">
        <v>5.4717836193295994</v>
      </c>
      <c r="AG173">
        <v>222.16978033753136</v>
      </c>
      <c r="AH173">
        <v>129.81104884109362</v>
      </c>
      <c r="AI173">
        <v>18.025779502948001</v>
      </c>
      <c r="AJ173">
        <v>110.73266466630986</v>
      </c>
      <c r="AK173">
        <v>0</v>
      </c>
      <c r="AL173">
        <v>0</v>
      </c>
      <c r="AM173">
        <v>408.48190491694766</v>
      </c>
      <c r="AN173">
        <v>223.26021804927677</v>
      </c>
      <c r="AO173">
        <v>0</v>
      </c>
      <c r="AP173">
        <v>60.873279939661209</v>
      </c>
      <c r="AQ173">
        <v>0</v>
      </c>
      <c r="AR173">
        <v>0</v>
      </c>
      <c r="AS173">
        <v>189.22311556770808</v>
      </c>
      <c r="AT173">
        <v>0</v>
      </c>
      <c r="AU173">
        <v>0</v>
      </c>
      <c r="AV173">
        <v>52.405655455775701</v>
      </c>
      <c r="AW173">
        <v>0</v>
      </c>
      <c r="AX173">
        <v>0</v>
      </c>
      <c r="AY173">
        <v>91.197867046274681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2">
      <c r="A174" t="s">
        <v>1345</v>
      </c>
      <c r="B174" t="s">
        <v>1173</v>
      </c>
      <c r="C174" t="s">
        <v>105</v>
      </c>
      <c r="D174">
        <v>2017</v>
      </c>
      <c r="E174" t="s">
        <v>1174</v>
      </c>
      <c r="F174" t="s">
        <v>1175</v>
      </c>
      <c r="G174">
        <v>1155.9446176422</v>
      </c>
      <c r="H174">
        <v>1111.3149500134434</v>
      </c>
      <c r="I174">
        <v>44.629667629197471</v>
      </c>
      <c r="J174">
        <v>47.97270276212523</v>
      </c>
      <c r="K174">
        <v>421.2410858253433</v>
      </c>
      <c r="L174">
        <v>4.4579522351992935</v>
      </c>
      <c r="M174">
        <v>120.70593683251639</v>
      </c>
      <c r="N174">
        <v>449.23288341065268</v>
      </c>
      <c r="O174">
        <v>67.704388947606418</v>
      </c>
      <c r="P174">
        <v>44.629667629197471</v>
      </c>
      <c r="Q174">
        <v>0</v>
      </c>
      <c r="R174">
        <v>0</v>
      </c>
      <c r="S174">
        <v>18.623455041091699</v>
      </c>
      <c r="T174">
        <v>29.349247721033532</v>
      </c>
      <c r="U174">
        <v>0</v>
      </c>
      <c r="V174">
        <v>348.69772698697147</v>
      </c>
      <c r="W174">
        <v>14.644360998069603</v>
      </c>
      <c r="X174">
        <v>1.29929531558</v>
      </c>
      <c r="Y174">
        <v>14.806125755736298</v>
      </c>
      <c r="Z174">
        <v>41.793576768985943</v>
      </c>
      <c r="AA174">
        <v>0</v>
      </c>
      <c r="AB174">
        <v>0</v>
      </c>
      <c r="AC174">
        <v>3.393084329918</v>
      </c>
      <c r="AD174">
        <v>0</v>
      </c>
      <c r="AE174">
        <v>1.0648679052812939</v>
      </c>
      <c r="AF174">
        <v>0</v>
      </c>
      <c r="AG174">
        <v>72.374235012764601</v>
      </c>
      <c r="AH174">
        <v>28.970404700151789</v>
      </c>
      <c r="AI174">
        <v>6.3326636762700002</v>
      </c>
      <c r="AJ174">
        <v>13.028633443330001</v>
      </c>
      <c r="AK174">
        <v>0</v>
      </c>
      <c r="AL174">
        <v>1.9845156766619998</v>
      </c>
      <c r="AM174">
        <v>447.24836773399068</v>
      </c>
      <c r="AN174">
        <v>67.704388947606418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1.6307913683816999</v>
      </c>
      <c r="AW174">
        <v>0</v>
      </c>
      <c r="AX174">
        <v>0</v>
      </c>
      <c r="AY174">
        <v>42.99887626081577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2">
      <c r="A175" t="s">
        <v>1346</v>
      </c>
      <c r="B175" t="s">
        <v>1173</v>
      </c>
      <c r="C175" t="s">
        <v>107</v>
      </c>
      <c r="D175">
        <v>2017</v>
      </c>
      <c r="E175" t="s">
        <v>1174</v>
      </c>
      <c r="F175" t="s">
        <v>1175</v>
      </c>
      <c r="G175">
        <v>2939.6575988784998</v>
      </c>
      <c r="H175">
        <v>2775.4262898080456</v>
      </c>
      <c r="I175">
        <v>164.23130906978716</v>
      </c>
      <c r="J175">
        <v>152.44985833526891</v>
      </c>
      <c r="K175">
        <v>579.5970305334871</v>
      </c>
      <c r="L175">
        <v>135.37972718658224</v>
      </c>
      <c r="M175">
        <v>135.4253485333964</v>
      </c>
      <c r="N175">
        <v>1727.0449975235779</v>
      </c>
      <c r="O175">
        <v>45.529327695733173</v>
      </c>
      <c r="P175">
        <v>164.23130906978716</v>
      </c>
      <c r="Q175">
        <v>0</v>
      </c>
      <c r="R175">
        <v>0</v>
      </c>
      <c r="S175">
        <v>15.594625680255797</v>
      </c>
      <c r="T175">
        <v>136.85523265501311</v>
      </c>
      <c r="U175">
        <v>0</v>
      </c>
      <c r="V175">
        <v>318.11015035631584</v>
      </c>
      <c r="W175">
        <v>16.796153545689503</v>
      </c>
      <c r="X175">
        <v>5.6894312647807306</v>
      </c>
      <c r="Y175">
        <v>6.7829942753466996</v>
      </c>
      <c r="Z175">
        <v>232.21830109135431</v>
      </c>
      <c r="AA175">
        <v>0</v>
      </c>
      <c r="AB175">
        <v>3.7796100096399999E-4</v>
      </c>
      <c r="AC175">
        <v>5.4996550457510009</v>
      </c>
      <c r="AD175">
        <v>0</v>
      </c>
      <c r="AE175">
        <v>129.87969417983027</v>
      </c>
      <c r="AF175">
        <v>0</v>
      </c>
      <c r="AG175">
        <v>65.173572976990016</v>
      </c>
      <c r="AH175">
        <v>34.716967399663702</v>
      </c>
      <c r="AI175">
        <v>2.7506473961653799</v>
      </c>
      <c r="AJ175">
        <v>18.5328543062699</v>
      </c>
      <c r="AK175">
        <v>14.2513064543074</v>
      </c>
      <c r="AL175">
        <v>121.33317733802465</v>
      </c>
      <c r="AM175">
        <v>1605.7118201855533</v>
      </c>
      <c r="AN175">
        <v>32.325519863029776</v>
      </c>
      <c r="AO175">
        <v>0</v>
      </c>
      <c r="AP175">
        <v>13.203807832703399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18.122937357812138</v>
      </c>
      <c r="AW175">
        <v>0</v>
      </c>
      <c r="AX175">
        <v>0</v>
      </c>
      <c r="AY175">
        <v>146.10837171197502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2">
      <c r="A176" t="s">
        <v>1347</v>
      </c>
      <c r="B176" t="s">
        <v>1173</v>
      </c>
      <c r="C176" t="s">
        <v>976</v>
      </c>
      <c r="D176">
        <v>2017</v>
      </c>
      <c r="E176" t="s">
        <v>1174</v>
      </c>
      <c r="F176" t="s">
        <v>1175</v>
      </c>
      <c r="G176">
        <v>6240.4982066275998</v>
      </c>
      <c r="H176">
        <v>5117.5797610308409</v>
      </c>
      <c r="I176">
        <v>1122.9184455960979</v>
      </c>
      <c r="J176">
        <v>107.88459312002711</v>
      </c>
      <c r="K176">
        <v>715.14246997493524</v>
      </c>
      <c r="L176">
        <v>20.071724344969418</v>
      </c>
      <c r="M176">
        <v>424.95175454481569</v>
      </c>
      <c r="N176">
        <v>1200.1746818896486</v>
      </c>
      <c r="O176">
        <v>2649.3545371564451</v>
      </c>
      <c r="P176">
        <v>177.56900272108592</v>
      </c>
      <c r="Q176">
        <v>945.34944287501185</v>
      </c>
      <c r="R176">
        <v>0</v>
      </c>
      <c r="S176">
        <v>0</v>
      </c>
      <c r="T176">
        <v>107.88459312002711</v>
      </c>
      <c r="U176">
        <v>0</v>
      </c>
      <c r="V176">
        <v>600.92138549727997</v>
      </c>
      <c r="W176">
        <v>26.935557590886908</v>
      </c>
      <c r="X176">
        <v>25.6518461048463</v>
      </c>
      <c r="Y176">
        <v>24.666589367964431</v>
      </c>
      <c r="Z176">
        <v>36.967091413957583</v>
      </c>
      <c r="AA176">
        <v>0</v>
      </c>
      <c r="AB176">
        <v>0</v>
      </c>
      <c r="AC176">
        <v>5.7192237832614197</v>
      </c>
      <c r="AD176">
        <v>0</v>
      </c>
      <c r="AE176">
        <v>14.352500561708</v>
      </c>
      <c r="AF176">
        <v>0</v>
      </c>
      <c r="AG176">
        <v>93.691514550433368</v>
      </c>
      <c r="AH176">
        <v>243.56342070731915</v>
      </c>
      <c r="AI176">
        <v>18.704388925513499</v>
      </c>
      <c r="AJ176">
        <v>21.771119319396799</v>
      </c>
      <c r="AK176">
        <v>47.221311042152799</v>
      </c>
      <c r="AL176">
        <v>0</v>
      </c>
      <c r="AM176">
        <v>1200.1746818896486</v>
      </c>
      <c r="AN176">
        <v>942.11310894899725</v>
      </c>
      <c r="AO176">
        <v>1707.2378141284682</v>
      </c>
      <c r="AP176">
        <v>3.61407898003E-3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10.895777441325299</v>
      </c>
      <c r="AW176">
        <v>0</v>
      </c>
      <c r="AX176">
        <v>0</v>
      </c>
      <c r="AY176">
        <v>166.67322527976063</v>
      </c>
      <c r="AZ176">
        <v>0</v>
      </c>
      <c r="BA176">
        <v>0</v>
      </c>
      <c r="BB176">
        <v>0</v>
      </c>
      <c r="BC176">
        <v>945.34944287501185</v>
      </c>
      <c r="BD176">
        <v>0</v>
      </c>
    </row>
    <row r="177" spans="1:56" x14ac:dyDescent="0.2">
      <c r="A177" t="s">
        <v>1348</v>
      </c>
      <c r="B177" t="s">
        <v>1173</v>
      </c>
      <c r="C177" t="s">
        <v>113</v>
      </c>
      <c r="D177">
        <v>2017</v>
      </c>
      <c r="E177" t="s">
        <v>1174</v>
      </c>
      <c r="F177" t="s">
        <v>1175</v>
      </c>
      <c r="G177">
        <v>9292.3080042859001</v>
      </c>
      <c r="H177">
        <v>8855.4933079039511</v>
      </c>
      <c r="I177">
        <v>436.81469638114413</v>
      </c>
      <c r="J177">
        <v>367.84929672313524</v>
      </c>
      <c r="K177">
        <v>966.59818315210759</v>
      </c>
      <c r="L177">
        <v>72.105306471028911</v>
      </c>
      <c r="M177">
        <v>203.85887636404894</v>
      </c>
      <c r="N177">
        <v>7175.6681199771174</v>
      </c>
      <c r="O177">
        <v>69.413525216512809</v>
      </c>
      <c r="P177">
        <v>436.81469638114413</v>
      </c>
      <c r="Q177">
        <v>0</v>
      </c>
      <c r="R177">
        <v>0</v>
      </c>
      <c r="S177">
        <v>54.935039377168472</v>
      </c>
      <c r="T177">
        <v>312.91425734596675</v>
      </c>
      <c r="U177">
        <v>0</v>
      </c>
      <c r="V177">
        <v>619.36493295920025</v>
      </c>
      <c r="W177">
        <v>33.116396999975301</v>
      </c>
      <c r="X177">
        <v>11.243802193555</v>
      </c>
      <c r="Y177">
        <v>44.049951973445346</v>
      </c>
      <c r="Z177">
        <v>258.82309902593164</v>
      </c>
      <c r="AA177">
        <v>0</v>
      </c>
      <c r="AB177">
        <v>0</v>
      </c>
      <c r="AC177">
        <v>12.1910692518878</v>
      </c>
      <c r="AD177">
        <v>0</v>
      </c>
      <c r="AE177">
        <v>59.914237219141107</v>
      </c>
      <c r="AF177">
        <v>0</v>
      </c>
      <c r="AG177">
        <v>76.747253894727578</v>
      </c>
      <c r="AH177">
        <v>85.317129281160462</v>
      </c>
      <c r="AI177">
        <v>17.0395624347024</v>
      </c>
      <c r="AJ177">
        <v>13.938303866042203</v>
      </c>
      <c r="AK177">
        <v>10.8166268874163</v>
      </c>
      <c r="AL177">
        <v>85.248759247856611</v>
      </c>
      <c r="AM177">
        <v>7090.4193607292609</v>
      </c>
      <c r="AN177">
        <v>30.570080751321505</v>
      </c>
      <c r="AO177">
        <v>1.0526243469400001</v>
      </c>
      <c r="AP177">
        <v>37.790820118251304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58.3241421616639</v>
      </c>
      <c r="AW177">
        <v>0</v>
      </c>
      <c r="AX177">
        <v>0</v>
      </c>
      <c r="AY177">
        <v>378.49055421948026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2">
      <c r="A178" t="s">
        <v>1349</v>
      </c>
      <c r="B178" t="s">
        <v>1173</v>
      </c>
      <c r="C178" t="s">
        <v>117</v>
      </c>
      <c r="D178">
        <v>2017</v>
      </c>
      <c r="E178" t="s">
        <v>1174</v>
      </c>
      <c r="F178" t="s">
        <v>1175</v>
      </c>
      <c r="G178">
        <v>3705.1002758226</v>
      </c>
      <c r="H178">
        <v>3442.9411935612275</v>
      </c>
      <c r="I178">
        <v>262.15908226044172</v>
      </c>
      <c r="J178">
        <v>246.32926129753952</v>
      </c>
      <c r="K178">
        <v>1706.3947091992723</v>
      </c>
      <c r="L178">
        <v>68.917042844469648</v>
      </c>
      <c r="M178">
        <v>672.59791208280285</v>
      </c>
      <c r="N178">
        <v>701.23472418291703</v>
      </c>
      <c r="O178">
        <v>47.46754395422608</v>
      </c>
      <c r="P178">
        <v>262.15908226044172</v>
      </c>
      <c r="Q178">
        <v>0</v>
      </c>
      <c r="R178">
        <v>0</v>
      </c>
      <c r="S178">
        <v>27.926993282029404</v>
      </c>
      <c r="T178">
        <v>218.40226801551012</v>
      </c>
      <c r="U178">
        <v>0</v>
      </c>
      <c r="V178">
        <v>1236.9115478966739</v>
      </c>
      <c r="W178">
        <v>88.897098984662904</v>
      </c>
      <c r="X178">
        <v>11.325165999496519</v>
      </c>
      <c r="Y178">
        <v>54.402174864760205</v>
      </c>
      <c r="Z178">
        <v>314.85872145367875</v>
      </c>
      <c r="AA178">
        <v>0</v>
      </c>
      <c r="AB178">
        <v>0</v>
      </c>
      <c r="AC178">
        <v>11.953048422971198</v>
      </c>
      <c r="AD178">
        <v>0.78219158749099993</v>
      </c>
      <c r="AE178">
        <v>56.181802834007456</v>
      </c>
      <c r="AF178">
        <v>0</v>
      </c>
      <c r="AG178">
        <v>404.38754689521244</v>
      </c>
      <c r="AH178">
        <v>176.98341089691422</v>
      </c>
      <c r="AI178">
        <v>25.264489127919596</v>
      </c>
      <c r="AJ178">
        <v>62.659710367801601</v>
      </c>
      <c r="AK178">
        <v>3.3027547949549998</v>
      </c>
      <c r="AL178">
        <v>5.3709827012599999E-2</v>
      </c>
      <c r="AM178">
        <v>701.18101435590438</v>
      </c>
      <c r="AN178">
        <v>44.259146266146082</v>
      </c>
      <c r="AO178">
        <v>0</v>
      </c>
      <c r="AP178">
        <v>3.2083976880800003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133.65091297814209</v>
      </c>
      <c r="AW178">
        <v>0</v>
      </c>
      <c r="AX178">
        <v>0</v>
      </c>
      <c r="AY178">
        <v>128.50816928229963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2">
      <c r="A179" t="s">
        <v>1350</v>
      </c>
      <c r="B179" t="s">
        <v>1173</v>
      </c>
      <c r="C179" t="s">
        <v>1050</v>
      </c>
      <c r="D179">
        <v>2017</v>
      </c>
      <c r="E179" t="s">
        <v>1174</v>
      </c>
      <c r="F179" t="s">
        <v>1175</v>
      </c>
      <c r="G179">
        <v>2195.8026190815999</v>
      </c>
      <c r="H179">
        <v>2115.5302027283315</v>
      </c>
      <c r="I179">
        <v>80.272416353391463</v>
      </c>
      <c r="J179">
        <v>53.415018333182445</v>
      </c>
      <c r="K179">
        <v>253.64354592847923</v>
      </c>
      <c r="L179">
        <v>13.854314208520197</v>
      </c>
      <c r="M179">
        <v>29.008034472687296</v>
      </c>
      <c r="N179">
        <v>1750.4050345714013</v>
      </c>
      <c r="O179">
        <v>15.204255214061199</v>
      </c>
      <c r="P179">
        <v>80.272416353391463</v>
      </c>
      <c r="Q179">
        <v>0</v>
      </c>
      <c r="R179">
        <v>0</v>
      </c>
      <c r="S179">
        <v>5.8684807286462002</v>
      </c>
      <c r="T179">
        <v>47.546537604536248</v>
      </c>
      <c r="U179">
        <v>0</v>
      </c>
      <c r="V179">
        <v>104.308718817121</v>
      </c>
      <c r="W179">
        <v>6.0793902407935994</v>
      </c>
      <c r="X179">
        <v>3.3350899838300001</v>
      </c>
      <c r="Y179">
        <v>19.288207301801599</v>
      </c>
      <c r="Z179">
        <v>120.63213958493301</v>
      </c>
      <c r="AA179">
        <v>0</v>
      </c>
      <c r="AB179">
        <v>0</v>
      </c>
      <c r="AC179">
        <v>0.78772013540300001</v>
      </c>
      <c r="AD179">
        <v>0</v>
      </c>
      <c r="AE179">
        <v>13.066594073117198</v>
      </c>
      <c r="AF179">
        <v>0</v>
      </c>
      <c r="AG179">
        <v>6.3512751971499997</v>
      </c>
      <c r="AH179">
        <v>17.129012011667697</v>
      </c>
      <c r="AI179">
        <v>1.5459891327486002</v>
      </c>
      <c r="AJ179">
        <v>0</v>
      </c>
      <c r="AK179">
        <v>3.981758131121</v>
      </c>
      <c r="AL179">
        <v>5.331249974516501</v>
      </c>
      <c r="AM179">
        <v>1745.0737845968847</v>
      </c>
      <c r="AN179">
        <v>15.204255214061199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80.272416353391463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2">
      <c r="A180" t="s">
        <v>1351</v>
      </c>
      <c r="B180" t="s">
        <v>1173</v>
      </c>
      <c r="C180" t="s">
        <v>119</v>
      </c>
      <c r="D180">
        <v>2017</v>
      </c>
      <c r="E180" t="s">
        <v>1174</v>
      </c>
      <c r="F180" t="s">
        <v>1175</v>
      </c>
      <c r="G180">
        <v>2277.4742859906</v>
      </c>
      <c r="H180">
        <v>2030.7321276012658</v>
      </c>
      <c r="I180">
        <v>246.74215838987138</v>
      </c>
      <c r="J180">
        <v>228.13268298589688</v>
      </c>
      <c r="K180">
        <v>846.91216072851</v>
      </c>
      <c r="L180">
        <v>36.310128997238564</v>
      </c>
      <c r="M180">
        <v>296.28899836427939</v>
      </c>
      <c r="N180">
        <v>541.9071857304433</v>
      </c>
      <c r="O180">
        <v>81.180970794897817</v>
      </c>
      <c r="P180">
        <v>246.74215838987138</v>
      </c>
      <c r="Q180">
        <v>0</v>
      </c>
      <c r="R180">
        <v>0</v>
      </c>
      <c r="S180">
        <v>122.73783266763066</v>
      </c>
      <c r="T180">
        <v>105.39485031826622</v>
      </c>
      <c r="U180">
        <v>0</v>
      </c>
      <c r="V180">
        <v>527.65162528687529</v>
      </c>
      <c r="W180">
        <v>20.243154051219097</v>
      </c>
      <c r="X180">
        <v>13.969091005525703</v>
      </c>
      <c r="Y180">
        <v>20.327132916599702</v>
      </c>
      <c r="Z180">
        <v>264.72115746829024</v>
      </c>
      <c r="AA180">
        <v>0</v>
      </c>
      <c r="AB180">
        <v>1.2013947133609999</v>
      </c>
      <c r="AC180">
        <v>14.9954960716909</v>
      </c>
      <c r="AD180">
        <v>0</v>
      </c>
      <c r="AE180">
        <v>14.162728164882303</v>
      </c>
      <c r="AF180">
        <v>5.9505100473043591</v>
      </c>
      <c r="AG180">
        <v>106.49589847806597</v>
      </c>
      <c r="AH180">
        <v>74.4126752561627</v>
      </c>
      <c r="AI180">
        <v>8.3655922618547987</v>
      </c>
      <c r="AJ180">
        <v>106.81473552913489</v>
      </c>
      <c r="AK180">
        <v>0.20009683906099998</v>
      </c>
      <c r="AL180">
        <v>8.4945174736298004</v>
      </c>
      <c r="AM180">
        <v>533.4126682568135</v>
      </c>
      <c r="AN180">
        <v>51.533920671125621</v>
      </c>
      <c r="AO180">
        <v>0</v>
      </c>
      <c r="AP180">
        <v>29.6470501237722</v>
      </c>
      <c r="AQ180">
        <v>0</v>
      </c>
      <c r="AR180">
        <v>0</v>
      </c>
      <c r="AS180">
        <v>150.61856976076652</v>
      </c>
      <c r="AT180">
        <v>0</v>
      </c>
      <c r="AU180">
        <v>0</v>
      </c>
      <c r="AV180">
        <v>8.1793494011199996</v>
      </c>
      <c r="AW180">
        <v>0</v>
      </c>
      <c r="AX180">
        <v>0</v>
      </c>
      <c r="AY180">
        <v>87.944239227984866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">
      <c r="A181" t="s">
        <v>1352</v>
      </c>
      <c r="B181" t="s">
        <v>1173</v>
      </c>
      <c r="C181" t="s">
        <v>276</v>
      </c>
      <c r="D181">
        <v>2017</v>
      </c>
      <c r="E181" t="s">
        <v>1174</v>
      </c>
      <c r="F181" t="s">
        <v>1175</v>
      </c>
      <c r="G181">
        <v>19451.562971053499</v>
      </c>
      <c r="H181">
        <v>14147.138525996315</v>
      </c>
      <c r="I181">
        <v>5304.4244450577753</v>
      </c>
      <c r="J181">
        <v>670.62245480618299</v>
      </c>
      <c r="K181">
        <v>1038.6899145491245</v>
      </c>
      <c r="L181">
        <v>320.40788623205344</v>
      </c>
      <c r="M181">
        <v>140.75457136291703</v>
      </c>
      <c r="N181">
        <v>11663.885880063926</v>
      </c>
      <c r="O181">
        <v>312.77781898211049</v>
      </c>
      <c r="P181">
        <v>130.41478580633145</v>
      </c>
      <c r="Q181">
        <v>5174.0096592514437</v>
      </c>
      <c r="R181">
        <v>0</v>
      </c>
      <c r="S181">
        <v>54.581241351576686</v>
      </c>
      <c r="T181">
        <v>616.04121345460635</v>
      </c>
      <c r="U181">
        <v>0</v>
      </c>
      <c r="V181">
        <v>437.72233354450128</v>
      </c>
      <c r="W181">
        <v>3.3594486589708001</v>
      </c>
      <c r="X181">
        <v>56.660181231520404</v>
      </c>
      <c r="Y181">
        <v>4.6851779501799999</v>
      </c>
      <c r="Z181">
        <v>536.26277316395203</v>
      </c>
      <c r="AA181">
        <v>28.147575588402198</v>
      </c>
      <c r="AB181">
        <v>1.8630108009600002</v>
      </c>
      <c r="AC181">
        <v>13.02357711982353</v>
      </c>
      <c r="AD181">
        <v>0</v>
      </c>
      <c r="AE181">
        <v>205.56499730516362</v>
      </c>
      <c r="AF181">
        <v>71.808725417704125</v>
      </c>
      <c r="AG181">
        <v>34.355322336274469</v>
      </c>
      <c r="AH181">
        <v>43.637978366150897</v>
      </c>
      <c r="AI181">
        <v>5.837819763773699</v>
      </c>
      <c r="AJ181">
        <v>1.2709881720199998</v>
      </c>
      <c r="AK181">
        <v>55.652462724697997</v>
      </c>
      <c r="AL181">
        <v>0</v>
      </c>
      <c r="AM181">
        <v>11663.885880063926</v>
      </c>
      <c r="AN181">
        <v>85.001393635780175</v>
      </c>
      <c r="AO181">
        <v>5.6308908539200795</v>
      </c>
      <c r="AP181">
        <v>222.14553449241021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10.853729435001</v>
      </c>
      <c r="AW181">
        <v>0</v>
      </c>
      <c r="AX181">
        <v>0</v>
      </c>
      <c r="AY181">
        <v>119.56105637133045</v>
      </c>
      <c r="AZ181">
        <v>0</v>
      </c>
      <c r="BA181">
        <v>0</v>
      </c>
      <c r="BB181">
        <v>5174.0096592514437</v>
      </c>
      <c r="BC181">
        <v>0</v>
      </c>
      <c r="BD181">
        <v>0</v>
      </c>
    </row>
    <row r="182" spans="1:56" x14ac:dyDescent="0.2">
      <c r="A182" t="s">
        <v>1353</v>
      </c>
      <c r="B182" t="s">
        <v>1173</v>
      </c>
      <c r="C182" t="s">
        <v>43</v>
      </c>
      <c r="D182">
        <v>2017</v>
      </c>
      <c r="E182" t="s">
        <v>1174</v>
      </c>
      <c r="F182" t="s">
        <v>1175</v>
      </c>
      <c r="G182">
        <v>10191.5194220209</v>
      </c>
      <c r="H182">
        <v>9247.5490921089022</v>
      </c>
      <c r="I182">
        <v>943.97032991072092</v>
      </c>
      <c r="J182">
        <v>448.67532911022118</v>
      </c>
      <c r="K182">
        <v>999.93943205044945</v>
      </c>
      <c r="L182">
        <v>125.31557357467544</v>
      </c>
      <c r="M182">
        <v>349.68506715453515</v>
      </c>
      <c r="N182">
        <v>6932.5287362814788</v>
      </c>
      <c r="O182">
        <v>391.40495393754202</v>
      </c>
      <c r="P182">
        <v>631.95299940569339</v>
      </c>
      <c r="Q182">
        <v>312.01733050502747</v>
      </c>
      <c r="R182">
        <v>0</v>
      </c>
      <c r="S182">
        <v>45.401120046715512</v>
      </c>
      <c r="T182">
        <v>403.27420906350568</v>
      </c>
      <c r="U182">
        <v>0</v>
      </c>
      <c r="V182">
        <v>656.01434616722668</v>
      </c>
      <c r="W182">
        <v>46.124319392059142</v>
      </c>
      <c r="X182">
        <v>5.6515052315247996</v>
      </c>
      <c r="Y182">
        <v>69.335910091406618</v>
      </c>
      <c r="Z182">
        <v>222.81335116823223</v>
      </c>
      <c r="AA182">
        <v>0</v>
      </c>
      <c r="AB182">
        <v>2.7690418634034</v>
      </c>
      <c r="AC182">
        <v>15.027666813267098</v>
      </c>
      <c r="AD182">
        <v>0</v>
      </c>
      <c r="AE182">
        <v>72.667331463784507</v>
      </c>
      <c r="AF182">
        <v>34.851533434220428</v>
      </c>
      <c r="AG182">
        <v>125.26168510230885</v>
      </c>
      <c r="AH182">
        <v>122.02247029719008</v>
      </c>
      <c r="AI182">
        <v>9.8324634465977105</v>
      </c>
      <c r="AJ182">
        <v>43.106093535546449</v>
      </c>
      <c r="AK182">
        <v>49.462354772892091</v>
      </c>
      <c r="AL182">
        <v>0</v>
      </c>
      <c r="AM182">
        <v>6932.5287362814788</v>
      </c>
      <c r="AN182">
        <v>148.93579864049781</v>
      </c>
      <c r="AO182">
        <v>37.405646378223693</v>
      </c>
      <c r="AP182">
        <v>205.06350891882053</v>
      </c>
      <c r="AQ182">
        <v>0</v>
      </c>
      <c r="AR182">
        <v>413.29787368859468</v>
      </c>
      <c r="AS182">
        <v>0</v>
      </c>
      <c r="AT182">
        <v>0</v>
      </c>
      <c r="AU182">
        <v>0</v>
      </c>
      <c r="AV182">
        <v>19.002895194020624</v>
      </c>
      <c r="AW182">
        <v>0</v>
      </c>
      <c r="AX182">
        <v>0</v>
      </c>
      <c r="AY182">
        <v>199.65223052307809</v>
      </c>
      <c r="AZ182">
        <v>0</v>
      </c>
      <c r="BA182">
        <v>312.01733050502747</v>
      </c>
      <c r="BB182">
        <v>0</v>
      </c>
      <c r="BC182">
        <v>0</v>
      </c>
      <c r="BD182">
        <v>0</v>
      </c>
    </row>
    <row r="183" spans="1:56" x14ac:dyDescent="0.2">
      <c r="A183" t="s">
        <v>1354</v>
      </c>
      <c r="B183" t="s">
        <v>1173</v>
      </c>
      <c r="C183" t="s">
        <v>987</v>
      </c>
      <c r="D183">
        <v>2017</v>
      </c>
      <c r="E183" t="s">
        <v>1174</v>
      </c>
      <c r="F183" t="s">
        <v>1175</v>
      </c>
      <c r="G183">
        <v>8520.9116786275008</v>
      </c>
      <c r="H183">
        <v>7618.6741513368215</v>
      </c>
      <c r="I183">
        <v>902.23752729081832</v>
      </c>
      <c r="J183">
        <v>262.55135803901919</v>
      </c>
      <c r="K183">
        <v>555.82326581689074</v>
      </c>
      <c r="L183">
        <v>110.07198431503102</v>
      </c>
      <c r="M183">
        <v>200.30966887964726</v>
      </c>
      <c r="N183">
        <v>6197.4435547039375</v>
      </c>
      <c r="O183">
        <v>292.47431958229527</v>
      </c>
      <c r="P183">
        <v>902.23752729081832</v>
      </c>
      <c r="Q183">
        <v>0</v>
      </c>
      <c r="R183">
        <v>0</v>
      </c>
      <c r="S183">
        <v>0</v>
      </c>
      <c r="T183">
        <v>262.55135803901919</v>
      </c>
      <c r="U183">
        <v>0</v>
      </c>
      <c r="V183">
        <v>386.28438002026718</v>
      </c>
      <c r="W183">
        <v>10.249422009413001</v>
      </c>
      <c r="X183">
        <v>3.3950786520061005</v>
      </c>
      <c r="Y183">
        <v>13.490845200702809</v>
      </c>
      <c r="Z183">
        <v>142.40353993450162</v>
      </c>
      <c r="AA183">
        <v>0</v>
      </c>
      <c r="AB183">
        <v>0</v>
      </c>
      <c r="AC183">
        <v>7.5513664843809991</v>
      </c>
      <c r="AD183">
        <v>62.358235756093983</v>
      </c>
      <c r="AE183">
        <v>29.871263086533826</v>
      </c>
      <c r="AF183">
        <v>10.2911189880222</v>
      </c>
      <c r="AG183">
        <v>13.811617206622</v>
      </c>
      <c r="AH183">
        <v>40.764816526157603</v>
      </c>
      <c r="AI183">
        <v>0</v>
      </c>
      <c r="AJ183">
        <v>107.33309828795193</v>
      </c>
      <c r="AK183">
        <v>38.400136858915715</v>
      </c>
      <c r="AL183">
        <v>8.9170739475826988</v>
      </c>
      <c r="AM183">
        <v>6188.5264807563544</v>
      </c>
      <c r="AN183">
        <v>230.91701509126881</v>
      </c>
      <c r="AO183">
        <v>15.424525299810321</v>
      </c>
      <c r="AP183">
        <v>46.132779191216166</v>
      </c>
      <c r="AQ183">
        <v>0</v>
      </c>
      <c r="AR183">
        <v>0</v>
      </c>
      <c r="AS183">
        <v>338.84376644733493</v>
      </c>
      <c r="AT183">
        <v>0</v>
      </c>
      <c r="AU183">
        <v>0</v>
      </c>
      <c r="AV183">
        <v>219.47603618158419</v>
      </c>
      <c r="AW183">
        <v>103.60180951599095</v>
      </c>
      <c r="AX183">
        <v>2.5504335983400002</v>
      </c>
      <c r="AY183">
        <v>237.76548154756833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2">
      <c r="A184" t="s">
        <v>1355</v>
      </c>
      <c r="B184" t="s">
        <v>1173</v>
      </c>
      <c r="C184" t="s">
        <v>525</v>
      </c>
      <c r="D184">
        <v>2017</v>
      </c>
      <c r="E184" t="s">
        <v>1174</v>
      </c>
      <c r="F184" t="s">
        <v>1175</v>
      </c>
      <c r="G184">
        <v>25182.045159722398</v>
      </c>
      <c r="H184">
        <v>20126.175456169352</v>
      </c>
      <c r="I184">
        <v>5055.8697035493706</v>
      </c>
      <c r="J184">
        <v>522.78352867954743</v>
      </c>
      <c r="K184">
        <v>940.56720368117681</v>
      </c>
      <c r="L184">
        <v>95.494174256978596</v>
      </c>
      <c r="M184">
        <v>166.09833276983562</v>
      </c>
      <c r="N184">
        <v>15419.30040090414</v>
      </c>
      <c r="O184">
        <v>2981.9318158776714</v>
      </c>
      <c r="P184">
        <v>327.28433522413332</v>
      </c>
      <c r="Q184">
        <v>4728.5853683252371</v>
      </c>
      <c r="R184">
        <v>0</v>
      </c>
      <c r="S184">
        <v>0</v>
      </c>
      <c r="T184">
        <v>522.78352867954743</v>
      </c>
      <c r="U184">
        <v>0</v>
      </c>
      <c r="V184">
        <v>681.69671093369914</v>
      </c>
      <c r="W184">
        <v>54.828701460190295</v>
      </c>
      <c r="X184">
        <v>18.463901305732801</v>
      </c>
      <c r="Y184">
        <v>21.808580194376404</v>
      </c>
      <c r="Z184">
        <v>163.76930978717826</v>
      </c>
      <c r="AA184">
        <v>0</v>
      </c>
      <c r="AB184">
        <v>0</v>
      </c>
      <c r="AC184">
        <v>13.3167649321543</v>
      </c>
      <c r="AD184">
        <v>0</v>
      </c>
      <c r="AE184">
        <v>18.756333014458097</v>
      </c>
      <c r="AF184">
        <v>63.421076310366203</v>
      </c>
      <c r="AG184">
        <v>52.344192519899892</v>
      </c>
      <c r="AH184">
        <v>57.468859292934603</v>
      </c>
      <c r="AI184">
        <v>4.4613924714587991</v>
      </c>
      <c r="AJ184">
        <v>0</v>
      </c>
      <c r="AK184">
        <v>51.823888485542334</v>
      </c>
      <c r="AL184">
        <v>0</v>
      </c>
      <c r="AM184">
        <v>15419.30040090414</v>
      </c>
      <c r="AN184">
        <v>570.35241084056781</v>
      </c>
      <c r="AO184">
        <v>16.4901707981385</v>
      </c>
      <c r="AP184">
        <v>2395.0892342389652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11.621904528922599</v>
      </c>
      <c r="AW184">
        <v>0</v>
      </c>
      <c r="AX184">
        <v>0</v>
      </c>
      <c r="AY184">
        <v>315.66243069521073</v>
      </c>
      <c r="AZ184">
        <v>0</v>
      </c>
      <c r="BA184">
        <v>0</v>
      </c>
      <c r="BB184">
        <v>4728.5853683252371</v>
      </c>
      <c r="BC184">
        <v>0</v>
      </c>
      <c r="BD184">
        <v>0</v>
      </c>
    </row>
    <row r="185" spans="1:56" x14ac:dyDescent="0.2">
      <c r="A185" t="s">
        <v>1356</v>
      </c>
      <c r="B185" t="s">
        <v>1173</v>
      </c>
      <c r="C185" t="s">
        <v>536</v>
      </c>
      <c r="D185">
        <v>2017</v>
      </c>
      <c r="E185" t="s">
        <v>1174</v>
      </c>
      <c r="F185" t="s">
        <v>1175</v>
      </c>
      <c r="G185">
        <v>4962.5274688337995</v>
      </c>
      <c r="H185">
        <v>3713.4501012687747</v>
      </c>
      <c r="I185">
        <v>1249.0773675629237</v>
      </c>
      <c r="J185">
        <v>225.76469105452765</v>
      </c>
      <c r="K185">
        <v>389.08873542493649</v>
      </c>
      <c r="L185">
        <v>80.368540824075879</v>
      </c>
      <c r="M185">
        <v>65.418511299716499</v>
      </c>
      <c r="N185">
        <v>2776.3022170847039</v>
      </c>
      <c r="O185">
        <v>176.5074055808139</v>
      </c>
      <c r="P185">
        <v>97.675256543186208</v>
      </c>
      <c r="Q185">
        <v>1151.4021110197375</v>
      </c>
      <c r="R185">
        <v>0</v>
      </c>
      <c r="S185">
        <v>11.584909069061899</v>
      </c>
      <c r="T185">
        <v>214.17978198546575</v>
      </c>
      <c r="U185">
        <v>0</v>
      </c>
      <c r="V185">
        <v>256.50671162050583</v>
      </c>
      <c r="W185">
        <v>3.1062827000722999</v>
      </c>
      <c r="X185">
        <v>12.291166001422502</v>
      </c>
      <c r="Y185">
        <v>2.54724662401</v>
      </c>
      <c r="Z185">
        <v>114.63732847892588</v>
      </c>
      <c r="AA185">
        <v>0</v>
      </c>
      <c r="AB185">
        <v>0</v>
      </c>
      <c r="AC185">
        <v>7.0242235178205013</v>
      </c>
      <c r="AD185">
        <v>0</v>
      </c>
      <c r="AE185">
        <v>24.703738182770497</v>
      </c>
      <c r="AF185">
        <v>48.640579123484883</v>
      </c>
      <c r="AG185">
        <v>7.5153637003115001</v>
      </c>
      <c r="AH185">
        <v>21.611210533136902</v>
      </c>
      <c r="AI185">
        <v>3.0496435338832</v>
      </c>
      <c r="AJ185">
        <v>2.6549754851493002</v>
      </c>
      <c r="AK185">
        <v>30.587318047235602</v>
      </c>
      <c r="AL185">
        <v>88.634583628176898</v>
      </c>
      <c r="AM185">
        <v>2687.6676334565268</v>
      </c>
      <c r="AN185">
        <v>47.267453324586199</v>
      </c>
      <c r="AO185">
        <v>0</v>
      </c>
      <c r="AP185">
        <v>129.2399522562277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7.2244258776099999</v>
      </c>
      <c r="AW185">
        <v>0</v>
      </c>
      <c r="AX185">
        <v>0</v>
      </c>
      <c r="AY185">
        <v>90.450830665576206</v>
      </c>
      <c r="AZ185">
        <v>0</v>
      </c>
      <c r="BA185">
        <v>1048.7017009059314</v>
      </c>
      <c r="BB185">
        <v>102.7004101138061</v>
      </c>
      <c r="BC185">
        <v>0</v>
      </c>
      <c r="BD185">
        <v>0</v>
      </c>
    </row>
    <row r="186" spans="1:56" x14ac:dyDescent="0.2">
      <c r="A186" t="s">
        <v>1357</v>
      </c>
      <c r="B186" t="s">
        <v>1173</v>
      </c>
      <c r="C186" t="s">
        <v>74</v>
      </c>
      <c r="D186">
        <v>2017</v>
      </c>
      <c r="E186" t="s">
        <v>1174</v>
      </c>
      <c r="F186" t="s">
        <v>1175</v>
      </c>
      <c r="G186">
        <v>5303.9597588978004</v>
      </c>
      <c r="H186">
        <v>4837.7411119913468</v>
      </c>
      <c r="I186">
        <v>466.21864690693741</v>
      </c>
      <c r="J186">
        <v>304.64447376661639</v>
      </c>
      <c r="K186">
        <v>1060.9258045558772</v>
      </c>
      <c r="L186">
        <v>162.16190608764887</v>
      </c>
      <c r="M186">
        <v>285.8937714427035</v>
      </c>
      <c r="N186">
        <v>2840.0538226649742</v>
      </c>
      <c r="O186">
        <v>184.06133347352639</v>
      </c>
      <c r="P186">
        <v>466.21864690693741</v>
      </c>
      <c r="Q186">
        <v>0</v>
      </c>
      <c r="R186">
        <v>0</v>
      </c>
      <c r="S186">
        <v>27.324883223938901</v>
      </c>
      <c r="T186">
        <v>250.36408169004045</v>
      </c>
      <c r="U186">
        <v>26.955508852636999</v>
      </c>
      <c r="V186">
        <v>720.58995627132924</v>
      </c>
      <c r="W186">
        <v>71.873530915994834</v>
      </c>
      <c r="X186">
        <v>17.092867012190403</v>
      </c>
      <c r="Y186">
        <v>29.608716139859293</v>
      </c>
      <c r="Z186">
        <v>221.76073421650338</v>
      </c>
      <c r="AA186">
        <v>0</v>
      </c>
      <c r="AB186">
        <v>1.0974155693254</v>
      </c>
      <c r="AC186">
        <v>16.9742342449217</v>
      </c>
      <c r="AD186">
        <v>0</v>
      </c>
      <c r="AE186">
        <v>143.52940642363276</v>
      </c>
      <c r="AF186">
        <v>0.5608498497690001</v>
      </c>
      <c r="AG186">
        <v>104.81034934692849</v>
      </c>
      <c r="AH186">
        <v>103.47701035256129</v>
      </c>
      <c r="AI186">
        <v>14.3399340357326</v>
      </c>
      <c r="AJ186">
        <v>15.523968297172212</v>
      </c>
      <c r="AK186">
        <v>47.742509410308912</v>
      </c>
      <c r="AL186">
        <v>10.5719632658029</v>
      </c>
      <c r="AM186">
        <v>2829.4818593991713</v>
      </c>
      <c r="AN186">
        <v>90.621192632235093</v>
      </c>
      <c r="AO186">
        <v>18.856688601008901</v>
      </c>
      <c r="AP186">
        <v>74.583452240282398</v>
      </c>
      <c r="AQ186">
        <v>0</v>
      </c>
      <c r="AR186">
        <v>306.87870459523174</v>
      </c>
      <c r="AS186">
        <v>0</v>
      </c>
      <c r="AT186">
        <v>0</v>
      </c>
      <c r="AU186">
        <v>0</v>
      </c>
      <c r="AV186">
        <v>9.452598435120521</v>
      </c>
      <c r="AW186">
        <v>0</v>
      </c>
      <c r="AX186">
        <v>0</v>
      </c>
      <c r="AY186">
        <v>149.88734387658513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2">
      <c r="A187" t="s">
        <v>1358</v>
      </c>
      <c r="B187" t="s">
        <v>1173</v>
      </c>
      <c r="C187" t="s">
        <v>765</v>
      </c>
      <c r="D187">
        <v>2017</v>
      </c>
      <c r="E187" t="s">
        <v>1174</v>
      </c>
      <c r="F187" t="s">
        <v>1175</v>
      </c>
      <c r="G187">
        <v>24241.7229719268</v>
      </c>
      <c r="H187">
        <v>10176.005235897857</v>
      </c>
      <c r="I187">
        <v>14065.717736035134</v>
      </c>
      <c r="J187">
        <v>624.86828927136423</v>
      </c>
      <c r="K187">
        <v>684.05711759296105</v>
      </c>
      <c r="L187">
        <v>290.094552275301</v>
      </c>
      <c r="M187">
        <v>141.94063505953608</v>
      </c>
      <c r="N187">
        <v>7483.8578036741519</v>
      </c>
      <c r="O187">
        <v>951.18683802454234</v>
      </c>
      <c r="P187">
        <v>1113.3839889096932</v>
      </c>
      <c r="Q187">
        <v>12952.333747125442</v>
      </c>
      <c r="R187">
        <v>0</v>
      </c>
      <c r="S187">
        <v>50.963223242169803</v>
      </c>
      <c r="T187">
        <v>573.90506602919447</v>
      </c>
      <c r="U187">
        <v>0</v>
      </c>
      <c r="V187">
        <v>370.97338005259951</v>
      </c>
      <c r="W187">
        <v>11.477544405735699</v>
      </c>
      <c r="X187">
        <v>35.653193944658312</v>
      </c>
      <c r="Y187">
        <v>6.0570619477539998</v>
      </c>
      <c r="Z187">
        <v>259.89593724221356</v>
      </c>
      <c r="AA187">
        <v>0</v>
      </c>
      <c r="AB187">
        <v>0</v>
      </c>
      <c r="AC187">
        <v>13.368691910634899</v>
      </c>
      <c r="AD187">
        <v>0</v>
      </c>
      <c r="AE187">
        <v>114.65141382595482</v>
      </c>
      <c r="AF187">
        <v>162.07444653871124</v>
      </c>
      <c r="AG187">
        <v>11.886068094619</v>
      </c>
      <c r="AH187">
        <v>104.97386005578988</v>
      </c>
      <c r="AI187">
        <v>4.6772834819931006</v>
      </c>
      <c r="AJ187">
        <v>1.59680816058</v>
      </c>
      <c r="AK187">
        <v>18.806615266554097</v>
      </c>
      <c r="AL187">
        <v>129.41905000988302</v>
      </c>
      <c r="AM187">
        <v>7354.4387536642689</v>
      </c>
      <c r="AN187">
        <v>194.37751949201154</v>
      </c>
      <c r="AO187">
        <v>1.6496257009627999</v>
      </c>
      <c r="AP187">
        <v>755.15969283156801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10.500412145709999</v>
      </c>
      <c r="AW187">
        <v>0</v>
      </c>
      <c r="AX187">
        <v>0</v>
      </c>
      <c r="AY187">
        <v>1102.8835767639832</v>
      </c>
      <c r="AZ187">
        <v>0</v>
      </c>
      <c r="BA187">
        <v>7217.1402332711068</v>
      </c>
      <c r="BB187">
        <v>5735.1935138543349</v>
      </c>
      <c r="BC187">
        <v>0</v>
      </c>
      <c r="BD187">
        <v>0</v>
      </c>
    </row>
    <row r="188" spans="1:56" x14ac:dyDescent="0.2">
      <c r="A188" t="s">
        <v>1359</v>
      </c>
      <c r="B188" t="s">
        <v>1173</v>
      </c>
      <c r="C188" t="s">
        <v>869</v>
      </c>
      <c r="D188">
        <v>2017</v>
      </c>
      <c r="E188" t="s">
        <v>1174</v>
      </c>
      <c r="F188" t="s">
        <v>1175</v>
      </c>
      <c r="G188">
        <v>31775.574989837402</v>
      </c>
      <c r="H188">
        <v>25012.696944939791</v>
      </c>
      <c r="I188">
        <v>6762.8780449170754</v>
      </c>
      <c r="J188">
        <v>1025.270549678055</v>
      </c>
      <c r="K188">
        <v>2254.144560575141</v>
      </c>
      <c r="L188">
        <v>463.45572661511494</v>
      </c>
      <c r="M188">
        <v>361.12435248330331</v>
      </c>
      <c r="N188">
        <v>19692.188747256649</v>
      </c>
      <c r="O188">
        <v>1216.513008331528</v>
      </c>
      <c r="P188">
        <v>1084.8281836672713</v>
      </c>
      <c r="Q188">
        <v>5678.0498612498041</v>
      </c>
      <c r="R188">
        <v>0</v>
      </c>
      <c r="S188">
        <v>97.806875993121452</v>
      </c>
      <c r="T188">
        <v>907.45162381599027</v>
      </c>
      <c r="U188">
        <v>20.012049868943301</v>
      </c>
      <c r="V188">
        <v>1111.4672664399166</v>
      </c>
      <c r="W188">
        <v>32.499495937577898</v>
      </c>
      <c r="X188">
        <v>74.002616558777746</v>
      </c>
      <c r="Y188">
        <v>38.392613152800593</v>
      </c>
      <c r="Z188">
        <v>997.78256848606816</v>
      </c>
      <c r="AA188">
        <v>18.708806501095403</v>
      </c>
      <c r="AB188">
        <v>1.7429150703330001</v>
      </c>
      <c r="AC188">
        <v>23.064633987666099</v>
      </c>
      <c r="AD188">
        <v>0</v>
      </c>
      <c r="AE188">
        <v>329.09904378519695</v>
      </c>
      <c r="AF188">
        <v>90.840327270823508</v>
      </c>
      <c r="AG188">
        <v>98.355982593258602</v>
      </c>
      <c r="AH188">
        <v>192.02157784728698</v>
      </c>
      <c r="AI188">
        <v>8.7589440725327012</v>
      </c>
      <c r="AJ188">
        <v>0.28231914063489999</v>
      </c>
      <c r="AK188">
        <v>61.705528829590115</v>
      </c>
      <c r="AL188">
        <v>119.98584178550891</v>
      </c>
      <c r="AM188">
        <v>19572.202905471138</v>
      </c>
      <c r="AN188">
        <v>799.56427827752009</v>
      </c>
      <c r="AO188">
        <v>157.49772651375363</v>
      </c>
      <c r="AP188">
        <v>259.45100354025436</v>
      </c>
      <c r="AQ188">
        <v>0</v>
      </c>
      <c r="AR188">
        <v>0</v>
      </c>
      <c r="AS188">
        <v>0</v>
      </c>
      <c r="AT188">
        <v>0</v>
      </c>
      <c r="AU188">
        <v>77.564050754062251</v>
      </c>
      <c r="AV188">
        <v>5.7895481162133011</v>
      </c>
      <c r="AW188">
        <v>0</v>
      </c>
      <c r="AX188">
        <v>8.7637702652299989</v>
      </c>
      <c r="AY188">
        <v>992.71081453176589</v>
      </c>
      <c r="AZ188">
        <v>0</v>
      </c>
      <c r="BA188">
        <v>0</v>
      </c>
      <c r="BB188">
        <v>5678.0498612498041</v>
      </c>
      <c r="BC188">
        <v>0</v>
      </c>
      <c r="BD188">
        <v>0</v>
      </c>
    </row>
    <row r="189" spans="1:56" x14ac:dyDescent="0.2">
      <c r="A189" t="s">
        <v>1360</v>
      </c>
      <c r="B189" t="s">
        <v>1173</v>
      </c>
      <c r="C189" t="s">
        <v>881</v>
      </c>
      <c r="D189">
        <v>2017</v>
      </c>
      <c r="E189" t="s">
        <v>1174</v>
      </c>
      <c r="F189" t="s">
        <v>1175</v>
      </c>
      <c r="G189">
        <v>25400.478124013902</v>
      </c>
      <c r="H189">
        <v>14671.827172796302</v>
      </c>
      <c r="I189">
        <v>10728.650951217711</v>
      </c>
      <c r="J189">
        <v>563.02468400370719</v>
      </c>
      <c r="K189">
        <v>605.40582795023488</v>
      </c>
      <c r="L189">
        <v>193.55306268643457</v>
      </c>
      <c r="M189">
        <v>176.51446721199682</v>
      </c>
      <c r="N189">
        <v>11976.6714440386</v>
      </c>
      <c r="O189">
        <v>1156.6576869053276</v>
      </c>
      <c r="P189">
        <v>1560.7326723797642</v>
      </c>
      <c r="Q189">
        <v>9167.9182788379458</v>
      </c>
      <c r="R189">
        <v>0</v>
      </c>
      <c r="S189">
        <v>0</v>
      </c>
      <c r="T189">
        <v>563.02468400370719</v>
      </c>
      <c r="U189">
        <v>0</v>
      </c>
      <c r="V189">
        <v>391.30273910453741</v>
      </c>
      <c r="W189">
        <v>10.487608951555698</v>
      </c>
      <c r="X189">
        <v>12.472506745894499</v>
      </c>
      <c r="Y189">
        <v>10.25468502738925</v>
      </c>
      <c r="Z189">
        <v>180.88828812085808</v>
      </c>
      <c r="AA189">
        <v>6.4954108908748998</v>
      </c>
      <c r="AB189">
        <v>0</v>
      </c>
      <c r="AC189">
        <v>19.795680683997794</v>
      </c>
      <c r="AD189">
        <v>0</v>
      </c>
      <c r="AE189">
        <v>42.193778176331129</v>
      </c>
      <c r="AF189">
        <v>125.06819293523074</v>
      </c>
      <c r="AG189">
        <v>22.890038016411097</v>
      </c>
      <c r="AH189">
        <v>34.841635838392499</v>
      </c>
      <c r="AI189">
        <v>12.198858148035999</v>
      </c>
      <c r="AJ189">
        <v>17.457713681764595</v>
      </c>
      <c r="AK189">
        <v>89.12622152739263</v>
      </c>
      <c r="AL189">
        <v>58.339656730643284</v>
      </c>
      <c r="AM189">
        <v>11918.331787307958</v>
      </c>
      <c r="AN189">
        <v>140.12713226933639</v>
      </c>
      <c r="AO189">
        <v>8.5460072442604016</v>
      </c>
      <c r="AP189">
        <v>1007.9845473917309</v>
      </c>
      <c r="AQ189">
        <v>0</v>
      </c>
      <c r="AR189">
        <v>611.41990883920391</v>
      </c>
      <c r="AS189">
        <v>0</v>
      </c>
      <c r="AT189">
        <v>0</v>
      </c>
      <c r="AU189">
        <v>0</v>
      </c>
      <c r="AV189">
        <v>21.4561881194373</v>
      </c>
      <c r="AW189">
        <v>0</v>
      </c>
      <c r="AX189">
        <v>0</v>
      </c>
      <c r="AY189">
        <v>927.85657542112301</v>
      </c>
      <c r="AZ189">
        <v>0</v>
      </c>
      <c r="BA189">
        <v>9167.9182788379458</v>
      </c>
      <c r="BB189">
        <v>0</v>
      </c>
      <c r="BC189">
        <v>0</v>
      </c>
      <c r="BD189">
        <v>0</v>
      </c>
    </row>
    <row r="190" spans="1:56" x14ac:dyDescent="0.2">
      <c r="A190" t="s">
        <v>1361</v>
      </c>
      <c r="B190" t="s">
        <v>1173</v>
      </c>
      <c r="C190" t="s">
        <v>926</v>
      </c>
      <c r="D190">
        <v>2017</v>
      </c>
      <c r="E190" t="s">
        <v>1174</v>
      </c>
      <c r="F190" t="s">
        <v>1175</v>
      </c>
      <c r="G190">
        <v>20655.257044766102</v>
      </c>
      <c r="H190">
        <v>13298.760972867645</v>
      </c>
      <c r="I190">
        <v>7356.4960718996572</v>
      </c>
      <c r="J190">
        <v>440.48093138640178</v>
      </c>
      <c r="K190">
        <v>640.38171668140342</v>
      </c>
      <c r="L190">
        <v>183.08096753457485</v>
      </c>
      <c r="M190">
        <v>822.1156968415678</v>
      </c>
      <c r="N190">
        <v>9408.7580447047931</v>
      </c>
      <c r="O190">
        <v>1803.9436157189048</v>
      </c>
      <c r="P190">
        <v>964.68228362432478</v>
      </c>
      <c r="Q190">
        <v>6391.8137882753326</v>
      </c>
      <c r="R190">
        <v>0</v>
      </c>
      <c r="S190">
        <v>0</v>
      </c>
      <c r="T190">
        <v>440.48093138640178</v>
      </c>
      <c r="U190">
        <v>0</v>
      </c>
      <c r="V190">
        <v>514.92884120618589</v>
      </c>
      <c r="W190">
        <v>19.176147858706255</v>
      </c>
      <c r="X190">
        <v>18.318456119146621</v>
      </c>
      <c r="Y190">
        <v>26.130149447073901</v>
      </c>
      <c r="Z190">
        <v>61.828122050290766</v>
      </c>
      <c r="AA190">
        <v>0</v>
      </c>
      <c r="AB190">
        <v>1.7471593136832999</v>
      </c>
      <c r="AC190">
        <v>20.933172586917696</v>
      </c>
      <c r="AD190">
        <v>0</v>
      </c>
      <c r="AE190">
        <v>15.868926369359801</v>
      </c>
      <c r="AF190">
        <v>144.53170926461405</v>
      </c>
      <c r="AG190">
        <v>81.503845958249428</v>
      </c>
      <c r="AH190">
        <v>80.552850625363817</v>
      </c>
      <c r="AI190">
        <v>5.9581472397019999</v>
      </c>
      <c r="AJ190">
        <v>59.919107914889999</v>
      </c>
      <c r="AK190">
        <v>594.18174510336257</v>
      </c>
      <c r="AL190">
        <v>12.471731807455901</v>
      </c>
      <c r="AM190">
        <v>9396.2863128973368</v>
      </c>
      <c r="AN190">
        <v>667.0632843669556</v>
      </c>
      <c r="AO190">
        <v>1039.0301627696304</v>
      </c>
      <c r="AP190">
        <v>97.850168582319029</v>
      </c>
      <c r="AQ190">
        <v>0</v>
      </c>
      <c r="AR190">
        <v>769.89847468384778</v>
      </c>
      <c r="AS190">
        <v>0</v>
      </c>
      <c r="AT190">
        <v>0</v>
      </c>
      <c r="AU190">
        <v>0</v>
      </c>
      <c r="AV190">
        <v>15.260307268508303</v>
      </c>
      <c r="AW190">
        <v>0</v>
      </c>
      <c r="AX190">
        <v>0</v>
      </c>
      <c r="AY190">
        <v>179.52350167196866</v>
      </c>
      <c r="AZ190">
        <v>0</v>
      </c>
      <c r="BA190">
        <v>1104.6899459612055</v>
      </c>
      <c r="BB190">
        <v>0</v>
      </c>
      <c r="BC190">
        <v>5287.1238423141267</v>
      </c>
      <c r="BD190">
        <v>0</v>
      </c>
    </row>
    <row r="191" spans="1:56" x14ac:dyDescent="0.2">
      <c r="A191" t="s">
        <v>1362</v>
      </c>
      <c r="B191" t="s">
        <v>1173</v>
      </c>
      <c r="C191" t="s">
        <v>103</v>
      </c>
      <c r="D191">
        <v>2017</v>
      </c>
      <c r="E191" t="s">
        <v>1174</v>
      </c>
      <c r="F191" t="s">
        <v>1175</v>
      </c>
      <c r="G191">
        <v>34483.516774950898</v>
      </c>
      <c r="H191">
        <v>3436.9799467935195</v>
      </c>
      <c r="I191">
        <v>31046.536828155564</v>
      </c>
      <c r="J191">
        <v>208.25837806067736</v>
      </c>
      <c r="K191">
        <v>1380.1393963098751</v>
      </c>
      <c r="L191">
        <v>271.60780311547296</v>
      </c>
      <c r="M191">
        <v>194.43098360850627</v>
      </c>
      <c r="N191">
        <v>1231.5865574517327</v>
      </c>
      <c r="O191">
        <v>150.95682824725489</v>
      </c>
      <c r="P191">
        <v>108.33966002913694</v>
      </c>
      <c r="Q191">
        <v>30938.197168126426</v>
      </c>
      <c r="R191">
        <v>0</v>
      </c>
      <c r="S191">
        <v>33.610670786394621</v>
      </c>
      <c r="T191">
        <v>174.64770727428274</v>
      </c>
      <c r="U191">
        <v>0</v>
      </c>
      <c r="V191">
        <v>629.02346757520593</v>
      </c>
      <c r="W191">
        <v>28.869044420694379</v>
      </c>
      <c r="X191">
        <v>47.053384951140899</v>
      </c>
      <c r="Y191">
        <v>23.370139201678686</v>
      </c>
      <c r="Z191">
        <v>651.82336016115516</v>
      </c>
      <c r="AA191">
        <v>4.0979916240199996</v>
      </c>
      <c r="AB191">
        <v>0</v>
      </c>
      <c r="AC191">
        <v>11.522532335420699</v>
      </c>
      <c r="AD191">
        <v>0</v>
      </c>
      <c r="AE191">
        <v>186.85156015335409</v>
      </c>
      <c r="AF191">
        <v>69.135719002678144</v>
      </c>
      <c r="AG191">
        <v>81.426249870651944</v>
      </c>
      <c r="AH191">
        <v>67.878007033514066</v>
      </c>
      <c r="AI191">
        <v>12.848458287795498</v>
      </c>
      <c r="AJ191">
        <v>13.787642604849479</v>
      </c>
      <c r="AK191">
        <v>18.490625811695281</v>
      </c>
      <c r="AL191">
        <v>0</v>
      </c>
      <c r="AM191">
        <v>1231.5865574517327</v>
      </c>
      <c r="AN191">
        <v>73.163635456421659</v>
      </c>
      <c r="AO191">
        <v>67.001451399659004</v>
      </c>
      <c r="AP191">
        <v>10.791741391174201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5.6958576141545203</v>
      </c>
      <c r="AW191">
        <v>0</v>
      </c>
      <c r="AX191">
        <v>0</v>
      </c>
      <c r="AY191">
        <v>102.64380241498242</v>
      </c>
      <c r="AZ191">
        <v>0</v>
      </c>
      <c r="BA191">
        <v>0</v>
      </c>
      <c r="BB191">
        <v>6256.9845530986449</v>
      </c>
      <c r="BC191">
        <v>24681.21261502778</v>
      </c>
      <c r="BD191">
        <v>0</v>
      </c>
    </row>
    <row r="192" spans="1:56" x14ac:dyDescent="0.2">
      <c r="A192" t="s">
        <v>1363</v>
      </c>
      <c r="B192" t="s">
        <v>1173</v>
      </c>
      <c r="C192" t="s">
        <v>794</v>
      </c>
      <c r="D192">
        <v>2017</v>
      </c>
      <c r="E192" t="s">
        <v>1174</v>
      </c>
      <c r="F192" t="s">
        <v>1175</v>
      </c>
      <c r="G192">
        <v>11697.9238071172</v>
      </c>
      <c r="H192">
        <v>9967.8007899269178</v>
      </c>
      <c r="I192">
        <v>1730.1230171902105</v>
      </c>
      <c r="J192">
        <v>373.59185531242611</v>
      </c>
      <c r="K192">
        <v>894.51927729110571</v>
      </c>
      <c r="L192">
        <v>62.381010900176697</v>
      </c>
      <c r="M192">
        <v>355.83917487264637</v>
      </c>
      <c r="N192">
        <v>8040.5993075657634</v>
      </c>
      <c r="O192">
        <v>240.8701639848</v>
      </c>
      <c r="P192">
        <v>1730.1230171902105</v>
      </c>
      <c r="Q192">
        <v>0</v>
      </c>
      <c r="R192">
        <v>0</v>
      </c>
      <c r="S192">
        <v>27.102900409103487</v>
      </c>
      <c r="T192">
        <v>346.48895490332262</v>
      </c>
      <c r="U192">
        <v>0</v>
      </c>
      <c r="V192">
        <v>621.36892786086355</v>
      </c>
      <c r="W192">
        <v>26.075725875439538</v>
      </c>
      <c r="X192">
        <v>34.254568099926026</v>
      </c>
      <c r="Y192">
        <v>10.790480195566701</v>
      </c>
      <c r="Z192">
        <v>202.02957525930995</v>
      </c>
      <c r="AA192">
        <v>0</v>
      </c>
      <c r="AB192">
        <v>2.5068379885000001</v>
      </c>
      <c r="AC192">
        <v>8.0511693630587011</v>
      </c>
      <c r="AD192">
        <v>0</v>
      </c>
      <c r="AE192">
        <v>51.823003548617997</v>
      </c>
      <c r="AF192">
        <v>0</v>
      </c>
      <c r="AG192">
        <v>62.095297464906494</v>
      </c>
      <c r="AH192">
        <v>109.84042607522967</v>
      </c>
      <c r="AI192">
        <v>3.5416886060088997</v>
      </c>
      <c r="AJ192">
        <v>60.311018060571399</v>
      </c>
      <c r="AK192">
        <v>120.05074466592988</v>
      </c>
      <c r="AL192">
        <v>36.793714050059009</v>
      </c>
      <c r="AM192">
        <v>8003.8055935157045</v>
      </c>
      <c r="AN192">
        <v>50.659862564278676</v>
      </c>
      <c r="AO192">
        <v>20.274226409529099</v>
      </c>
      <c r="AP192">
        <v>169.93607501099223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34.461538836066403</v>
      </c>
      <c r="AW192">
        <v>0</v>
      </c>
      <c r="AX192">
        <v>0</v>
      </c>
      <c r="AY192">
        <v>1695.661478354144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2">
      <c r="A193" t="s">
        <v>1364</v>
      </c>
      <c r="B193" t="s">
        <v>1173</v>
      </c>
      <c r="C193" t="s">
        <v>897</v>
      </c>
      <c r="D193">
        <v>2017</v>
      </c>
      <c r="E193" t="s">
        <v>1174</v>
      </c>
      <c r="F193" t="s">
        <v>1175</v>
      </c>
      <c r="G193">
        <v>16140.557096988299</v>
      </c>
      <c r="H193">
        <v>14863.227168692911</v>
      </c>
      <c r="I193">
        <v>1277.3299282945802</v>
      </c>
      <c r="J193">
        <v>426.71507866639467</v>
      </c>
      <c r="K193">
        <v>1019.2937644639138</v>
      </c>
      <c r="L193">
        <v>68.680975239639707</v>
      </c>
      <c r="M193">
        <v>285.91693327009051</v>
      </c>
      <c r="N193">
        <v>12016.582801032355</v>
      </c>
      <c r="O193">
        <v>1046.0376160205183</v>
      </c>
      <c r="P193">
        <v>1277.3299282945802</v>
      </c>
      <c r="Q193">
        <v>0</v>
      </c>
      <c r="R193">
        <v>0</v>
      </c>
      <c r="S193">
        <v>17.100145713503398</v>
      </c>
      <c r="T193">
        <v>409.61493295289125</v>
      </c>
      <c r="U193">
        <v>0</v>
      </c>
      <c r="V193">
        <v>707.88272941326375</v>
      </c>
      <c r="W193">
        <v>22.098662191081392</v>
      </c>
      <c r="X193">
        <v>60.69154422341451</v>
      </c>
      <c r="Y193">
        <v>50.998262792843001</v>
      </c>
      <c r="Z193">
        <v>177.62256584331109</v>
      </c>
      <c r="AA193">
        <v>0</v>
      </c>
      <c r="AB193">
        <v>0</v>
      </c>
      <c r="AC193">
        <v>8.3879276592376009</v>
      </c>
      <c r="AD193">
        <v>44.546932152655103</v>
      </c>
      <c r="AE193">
        <v>15.746115427747002</v>
      </c>
      <c r="AF193">
        <v>0</v>
      </c>
      <c r="AG193">
        <v>82.41730549292501</v>
      </c>
      <c r="AH193">
        <v>80.3319807300348</v>
      </c>
      <c r="AI193">
        <v>8.7937499961354</v>
      </c>
      <c r="AJ193">
        <v>35.552797711355524</v>
      </c>
      <c r="AK193">
        <v>78.821099339639787</v>
      </c>
      <c r="AL193">
        <v>0</v>
      </c>
      <c r="AM193">
        <v>12016.582801032355</v>
      </c>
      <c r="AN193">
        <v>240.3043279140737</v>
      </c>
      <c r="AO193">
        <v>3.0551706974724002</v>
      </c>
      <c r="AP193">
        <v>802.67811740897207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46.300657098756204</v>
      </c>
      <c r="AW193">
        <v>70.161185462149902</v>
      </c>
      <c r="AX193">
        <v>0</v>
      </c>
      <c r="AY193">
        <v>1160.8680857336742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2">
      <c r="A194" t="s">
        <v>1365</v>
      </c>
      <c r="B194" t="s">
        <v>1173</v>
      </c>
      <c r="C194" t="s">
        <v>203</v>
      </c>
      <c r="D194">
        <v>2017</v>
      </c>
      <c r="E194" t="s">
        <v>1174</v>
      </c>
      <c r="F194" t="s">
        <v>1175</v>
      </c>
      <c r="G194">
        <v>7133.9257421605007</v>
      </c>
      <c r="H194">
        <v>7021.1320655465079</v>
      </c>
      <c r="I194">
        <v>112.79367661407974</v>
      </c>
      <c r="J194">
        <v>243.18602037283489</v>
      </c>
      <c r="K194">
        <v>433.94323590878696</v>
      </c>
      <c r="L194">
        <v>7.5888720094019995</v>
      </c>
      <c r="M194">
        <v>187.09091755721039</v>
      </c>
      <c r="N194">
        <v>4587.9823398899744</v>
      </c>
      <c r="O194">
        <v>1561.3406798083001</v>
      </c>
      <c r="P194">
        <v>112.79367661407974</v>
      </c>
      <c r="Q194">
        <v>0</v>
      </c>
      <c r="R194">
        <v>0</v>
      </c>
      <c r="S194">
        <v>0</v>
      </c>
      <c r="T194">
        <v>243.18602037283489</v>
      </c>
      <c r="U194">
        <v>0</v>
      </c>
      <c r="V194">
        <v>304.45933859599961</v>
      </c>
      <c r="W194">
        <v>12.515384859161289</v>
      </c>
      <c r="X194">
        <v>4.8471430715448998</v>
      </c>
      <c r="Y194">
        <v>13.371229456517202</v>
      </c>
      <c r="Z194">
        <v>98.750139925563943</v>
      </c>
      <c r="AA194">
        <v>0</v>
      </c>
      <c r="AB194">
        <v>0</v>
      </c>
      <c r="AC194">
        <v>1.6934178805319999</v>
      </c>
      <c r="AD194">
        <v>0</v>
      </c>
      <c r="AE194">
        <v>5.89545412887</v>
      </c>
      <c r="AF194">
        <v>0</v>
      </c>
      <c r="AG194">
        <v>25.322568424339902</v>
      </c>
      <c r="AH194">
        <v>81.343047546432587</v>
      </c>
      <c r="AI194">
        <v>4.2070983875999994</v>
      </c>
      <c r="AJ194">
        <v>0</v>
      </c>
      <c r="AK194">
        <v>76.218203198837884</v>
      </c>
      <c r="AL194">
        <v>154.35674226334513</v>
      </c>
      <c r="AM194">
        <v>4433.6255976266293</v>
      </c>
      <c r="AN194">
        <v>927.62521168523938</v>
      </c>
      <c r="AO194">
        <v>357.15471983211836</v>
      </c>
      <c r="AP194">
        <v>276.56074829094246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8.4055447885099994</v>
      </c>
      <c r="AW194">
        <v>0</v>
      </c>
      <c r="AX194">
        <v>0</v>
      </c>
      <c r="AY194">
        <v>104.38813182556974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2">
      <c r="A195" t="s">
        <v>1366</v>
      </c>
      <c r="B195" t="s">
        <v>1173</v>
      </c>
      <c r="C195" t="s">
        <v>206</v>
      </c>
      <c r="D195">
        <v>2017</v>
      </c>
      <c r="E195" t="s">
        <v>1174</v>
      </c>
      <c r="F195" t="s">
        <v>1175</v>
      </c>
      <c r="G195">
        <v>7628.5122652974997</v>
      </c>
      <c r="H195">
        <v>7612.4566310967512</v>
      </c>
      <c r="I195">
        <v>16.055634096518499</v>
      </c>
      <c r="J195">
        <v>103.8114639011371</v>
      </c>
      <c r="K195">
        <v>186.17719338018236</v>
      </c>
      <c r="L195">
        <v>6.9015634638738286</v>
      </c>
      <c r="M195">
        <v>165.28646854950438</v>
      </c>
      <c r="N195">
        <v>6280.5504733055677</v>
      </c>
      <c r="O195">
        <v>869.72946849648554</v>
      </c>
      <c r="P195">
        <v>16.055634096518499</v>
      </c>
      <c r="Q195">
        <v>0</v>
      </c>
      <c r="R195">
        <v>0</v>
      </c>
      <c r="S195">
        <v>0</v>
      </c>
      <c r="T195">
        <v>103.8114639011371</v>
      </c>
      <c r="U195">
        <v>0</v>
      </c>
      <c r="V195">
        <v>92.495485240634011</v>
      </c>
      <c r="W195">
        <v>16.585216529385416</v>
      </c>
      <c r="X195">
        <v>39.378612736027499</v>
      </c>
      <c r="Y195">
        <v>9.065543600350999</v>
      </c>
      <c r="Z195">
        <v>28.652335273784452</v>
      </c>
      <c r="AA195">
        <v>0</v>
      </c>
      <c r="AB195">
        <v>0.517389516775</v>
      </c>
      <c r="AC195">
        <v>0.55532420055700005</v>
      </c>
      <c r="AD195">
        <v>0</v>
      </c>
      <c r="AE195">
        <v>5.8288497465418283</v>
      </c>
      <c r="AF195">
        <v>0</v>
      </c>
      <c r="AG195">
        <v>0</v>
      </c>
      <c r="AH195">
        <v>19.567914118305499</v>
      </c>
      <c r="AI195">
        <v>1.0946006484999999</v>
      </c>
      <c r="AJ195">
        <v>9.2310609801379986</v>
      </c>
      <c r="AK195">
        <v>135.39289280256088</v>
      </c>
      <c r="AL195">
        <v>4.6365205460380006</v>
      </c>
      <c r="AM195">
        <v>6275.9139527595298</v>
      </c>
      <c r="AN195">
        <v>795.39767262627925</v>
      </c>
      <c r="AO195">
        <v>2.7918642126482118</v>
      </c>
      <c r="AP195">
        <v>71.539931657558142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1.4798742971400001</v>
      </c>
      <c r="AW195">
        <v>0</v>
      </c>
      <c r="AX195">
        <v>0</v>
      </c>
      <c r="AY195">
        <v>14.575759799378499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2">
      <c r="A196" t="s">
        <v>1367</v>
      </c>
      <c r="B196" t="s">
        <v>1173</v>
      </c>
      <c r="C196" t="s">
        <v>12</v>
      </c>
      <c r="D196">
        <v>2017</v>
      </c>
      <c r="E196" t="s">
        <v>1174</v>
      </c>
      <c r="F196" t="s">
        <v>1175</v>
      </c>
      <c r="G196">
        <v>9312.7929259430002</v>
      </c>
      <c r="H196">
        <v>7996.9802861501394</v>
      </c>
      <c r="I196">
        <v>1315.81263862181</v>
      </c>
      <c r="J196">
        <v>332.84134170837598</v>
      </c>
      <c r="K196">
        <v>1566.0662998938867</v>
      </c>
      <c r="L196">
        <v>226.08167060074896</v>
      </c>
      <c r="M196">
        <v>373.38876803197189</v>
      </c>
      <c r="N196">
        <v>3329.3888855412247</v>
      </c>
      <c r="O196">
        <v>2169.2133203739313</v>
      </c>
      <c r="P196">
        <v>1315.81263862181</v>
      </c>
      <c r="Q196">
        <v>0</v>
      </c>
      <c r="R196">
        <v>0</v>
      </c>
      <c r="S196">
        <v>24.707700186919091</v>
      </c>
      <c r="T196">
        <v>308.13364152145687</v>
      </c>
      <c r="U196">
        <v>0</v>
      </c>
      <c r="V196">
        <v>937.39591871915161</v>
      </c>
      <c r="W196">
        <v>56.094820156797823</v>
      </c>
      <c r="X196">
        <v>26.316230721625306</v>
      </c>
      <c r="Y196">
        <v>78.422929307785509</v>
      </c>
      <c r="Z196">
        <v>467.83640098852658</v>
      </c>
      <c r="AA196">
        <v>64.147247131912508</v>
      </c>
      <c r="AB196">
        <v>0</v>
      </c>
      <c r="AC196">
        <v>23.324398525608103</v>
      </c>
      <c r="AD196">
        <v>0</v>
      </c>
      <c r="AE196">
        <v>120.89233333529397</v>
      </c>
      <c r="AF196">
        <v>17.717691607934409</v>
      </c>
      <c r="AG196">
        <v>131.34461430742232</v>
      </c>
      <c r="AH196">
        <v>127.78694758649456</v>
      </c>
      <c r="AI196">
        <v>11.218718908151001</v>
      </c>
      <c r="AJ196">
        <v>45.041890007891311</v>
      </c>
      <c r="AK196">
        <v>57.996597222012674</v>
      </c>
      <c r="AL196">
        <v>41.859421796041829</v>
      </c>
      <c r="AM196">
        <v>3287.529463745183</v>
      </c>
      <c r="AN196">
        <v>1316.2329287697769</v>
      </c>
      <c r="AO196">
        <v>62.685710262811511</v>
      </c>
      <c r="AP196">
        <v>790.29468134134288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21.2760790955288</v>
      </c>
      <c r="AW196">
        <v>0</v>
      </c>
      <c r="AX196">
        <v>0</v>
      </c>
      <c r="AY196">
        <v>1294.5365595262813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2">
      <c r="A197" t="s">
        <v>1368</v>
      </c>
      <c r="B197" t="s">
        <v>1173</v>
      </c>
      <c r="C197" t="s">
        <v>13</v>
      </c>
      <c r="D197">
        <v>2017</v>
      </c>
      <c r="E197" t="s">
        <v>1174</v>
      </c>
      <c r="F197" t="s">
        <v>1175</v>
      </c>
      <c r="G197">
        <v>3465.3442167140997</v>
      </c>
      <c r="H197">
        <v>3388.8595099105041</v>
      </c>
      <c r="I197">
        <v>76.484706802918112</v>
      </c>
      <c r="J197">
        <v>212.596274767757</v>
      </c>
      <c r="K197">
        <v>753.54935054147961</v>
      </c>
      <c r="L197">
        <v>26.743805257868399</v>
      </c>
      <c r="M197">
        <v>185.00521102708132</v>
      </c>
      <c r="N197">
        <v>1480.0787365309784</v>
      </c>
      <c r="O197">
        <v>730.88613178533944</v>
      </c>
      <c r="P197">
        <v>76.484706802918112</v>
      </c>
      <c r="Q197">
        <v>0</v>
      </c>
      <c r="R197">
        <v>0</v>
      </c>
      <c r="S197">
        <v>22.24052272856034</v>
      </c>
      <c r="T197">
        <v>190.35575203919666</v>
      </c>
      <c r="U197">
        <v>0</v>
      </c>
      <c r="V197">
        <v>490.05388976082702</v>
      </c>
      <c r="W197">
        <v>20.632073911788101</v>
      </c>
      <c r="X197">
        <v>7.2711944111086995</v>
      </c>
      <c r="Y197">
        <v>27.568801115408103</v>
      </c>
      <c r="Z197">
        <v>208.02339134234774</v>
      </c>
      <c r="AA197">
        <v>0</v>
      </c>
      <c r="AB197">
        <v>0</v>
      </c>
      <c r="AC197">
        <v>2.3787217555210001</v>
      </c>
      <c r="AD197">
        <v>0</v>
      </c>
      <c r="AE197">
        <v>24.3650835023474</v>
      </c>
      <c r="AF197">
        <v>0</v>
      </c>
      <c r="AG197">
        <v>56.213991679423607</v>
      </c>
      <c r="AH197">
        <v>88.793938561056009</v>
      </c>
      <c r="AI197">
        <v>3.7425479535828003</v>
      </c>
      <c r="AJ197">
        <v>36.254732833018899</v>
      </c>
      <c r="AK197">
        <v>0</v>
      </c>
      <c r="AL197">
        <v>0</v>
      </c>
      <c r="AM197">
        <v>1480.0787365309784</v>
      </c>
      <c r="AN197">
        <v>655.29281768229509</v>
      </c>
      <c r="AO197">
        <v>67.687973221631609</v>
      </c>
      <c r="AP197">
        <v>7.9053408814127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34.221203740099995</v>
      </c>
      <c r="AW197">
        <v>0</v>
      </c>
      <c r="AX197">
        <v>0.86503883817640004</v>
      </c>
      <c r="AY197">
        <v>41.398464224641714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2">
      <c r="A198" t="s">
        <v>1369</v>
      </c>
      <c r="B198" t="s">
        <v>1173</v>
      </c>
      <c r="C198" t="s">
        <v>268</v>
      </c>
      <c r="D198">
        <v>2017</v>
      </c>
      <c r="E198" t="s">
        <v>1174</v>
      </c>
      <c r="F198" t="s">
        <v>1175</v>
      </c>
      <c r="G198">
        <v>3451.6110547851004</v>
      </c>
      <c r="H198">
        <v>3449.9204836138438</v>
      </c>
      <c r="I198">
        <v>1.6905711712225</v>
      </c>
      <c r="J198">
        <v>93.196373649657332</v>
      </c>
      <c r="K198">
        <v>269.41642538266149</v>
      </c>
      <c r="L198">
        <v>10.6160093987704</v>
      </c>
      <c r="M198">
        <v>51.0430716389248</v>
      </c>
      <c r="N198">
        <v>2891.7915191156526</v>
      </c>
      <c r="O198">
        <v>133.85708442817699</v>
      </c>
      <c r="P198">
        <v>1.6905711712225</v>
      </c>
      <c r="Q198">
        <v>0</v>
      </c>
      <c r="R198">
        <v>0</v>
      </c>
      <c r="S198">
        <v>0</v>
      </c>
      <c r="T198">
        <v>93.196373649657332</v>
      </c>
      <c r="U198">
        <v>0</v>
      </c>
      <c r="V198">
        <v>189.4812284858242</v>
      </c>
      <c r="W198">
        <v>4.4918773191339696</v>
      </c>
      <c r="X198">
        <v>1.4464240060960001</v>
      </c>
      <c r="Y198">
        <v>24.377972925643196</v>
      </c>
      <c r="Z198">
        <v>49.618922645964119</v>
      </c>
      <c r="AA198">
        <v>1.0661428891260001</v>
      </c>
      <c r="AB198">
        <v>0</v>
      </c>
      <c r="AC198">
        <v>1.8283550030744002</v>
      </c>
      <c r="AD198">
        <v>0</v>
      </c>
      <c r="AE198">
        <v>7.7215115065699997</v>
      </c>
      <c r="AF198">
        <v>0</v>
      </c>
      <c r="AG198">
        <v>5.054743264579499</v>
      </c>
      <c r="AH198">
        <v>30.406114649987909</v>
      </c>
      <c r="AI198">
        <v>1.1339869319511</v>
      </c>
      <c r="AJ198">
        <v>0</v>
      </c>
      <c r="AK198">
        <v>14.448226792406299</v>
      </c>
      <c r="AL198">
        <v>22.771102407134904</v>
      </c>
      <c r="AM198">
        <v>2869.0204167085176</v>
      </c>
      <c r="AN198">
        <v>132.12158100546699</v>
      </c>
      <c r="AO198">
        <v>0</v>
      </c>
      <c r="AP198">
        <v>1.7355034227100001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0.9676309562169999</v>
      </c>
      <c r="AW198">
        <v>0</v>
      </c>
      <c r="AX198">
        <v>0</v>
      </c>
      <c r="AY198">
        <v>0.72294021500549999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2">
      <c r="A199" t="s">
        <v>1370</v>
      </c>
      <c r="B199" t="s">
        <v>1173</v>
      </c>
      <c r="C199" t="s">
        <v>17</v>
      </c>
      <c r="D199">
        <v>2017</v>
      </c>
      <c r="E199" t="s">
        <v>1174</v>
      </c>
      <c r="F199" t="s">
        <v>1175</v>
      </c>
      <c r="G199">
        <v>7031.814179401299</v>
      </c>
      <c r="H199">
        <v>6901.286060523038</v>
      </c>
      <c r="I199">
        <v>130.52811887883144</v>
      </c>
      <c r="J199">
        <v>291.66362570101995</v>
      </c>
      <c r="K199">
        <v>753.39979914886021</v>
      </c>
      <c r="L199">
        <v>18.2732981078683</v>
      </c>
      <c r="M199">
        <v>125.20796666153264</v>
      </c>
      <c r="N199">
        <v>3967.1449985230183</v>
      </c>
      <c r="O199">
        <v>1745.5963723807383</v>
      </c>
      <c r="P199">
        <v>130.52811887883144</v>
      </c>
      <c r="Q199">
        <v>0</v>
      </c>
      <c r="R199">
        <v>0</v>
      </c>
      <c r="S199">
        <v>62.063424188491979</v>
      </c>
      <c r="T199">
        <v>229.60020151252797</v>
      </c>
      <c r="U199">
        <v>0</v>
      </c>
      <c r="V199">
        <v>523.09534363106718</v>
      </c>
      <c r="W199">
        <v>20.615305484440398</v>
      </c>
      <c r="X199">
        <v>8.6904431181351995</v>
      </c>
      <c r="Y199">
        <v>55.289648217697305</v>
      </c>
      <c r="Z199">
        <v>145.70905869752011</v>
      </c>
      <c r="AA199">
        <v>0</v>
      </c>
      <c r="AB199">
        <v>0</v>
      </c>
      <c r="AC199">
        <v>5.4512616839907997</v>
      </c>
      <c r="AD199">
        <v>0</v>
      </c>
      <c r="AE199">
        <v>12.822036423877499</v>
      </c>
      <c r="AF199">
        <v>0</v>
      </c>
      <c r="AG199">
        <v>46.853104357259731</v>
      </c>
      <c r="AH199">
        <v>53.527199956892815</v>
      </c>
      <c r="AI199">
        <v>2.8212986836193004</v>
      </c>
      <c r="AJ199">
        <v>5.527792416203301</v>
      </c>
      <c r="AK199">
        <v>16.478571247557497</v>
      </c>
      <c r="AL199">
        <v>9.6188741795292003</v>
      </c>
      <c r="AM199">
        <v>3957.5261243434893</v>
      </c>
      <c r="AN199">
        <v>1271.843204215993</v>
      </c>
      <c r="AO199">
        <v>286.24505404790864</v>
      </c>
      <c r="AP199">
        <v>187.50811411683679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16.253726678914902</v>
      </c>
      <c r="AW199">
        <v>0</v>
      </c>
      <c r="AX199">
        <v>0</v>
      </c>
      <c r="AY199">
        <v>114.27439219991653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2">
      <c r="A200" t="s">
        <v>1371</v>
      </c>
      <c r="B200" t="s">
        <v>1173</v>
      </c>
      <c r="C200" t="s">
        <v>18</v>
      </c>
      <c r="D200">
        <v>2017</v>
      </c>
      <c r="E200" t="s">
        <v>1174</v>
      </c>
      <c r="F200" t="s">
        <v>1175</v>
      </c>
      <c r="G200">
        <v>12868.044205132299</v>
      </c>
      <c r="H200">
        <v>12569.177392806185</v>
      </c>
      <c r="I200">
        <v>298.86681232682565</v>
      </c>
      <c r="J200">
        <v>846.94196229228305</v>
      </c>
      <c r="K200">
        <v>3701.0731701296918</v>
      </c>
      <c r="L200">
        <v>212.42558415931583</v>
      </c>
      <c r="M200">
        <v>612.7891675681617</v>
      </c>
      <c r="N200">
        <v>5611.7209650110808</v>
      </c>
      <c r="O200">
        <v>1584.2265436456507</v>
      </c>
      <c r="P200">
        <v>298.86681232682565</v>
      </c>
      <c r="Q200">
        <v>0</v>
      </c>
      <c r="R200">
        <v>0</v>
      </c>
      <c r="S200">
        <v>102.63294321110163</v>
      </c>
      <c r="T200">
        <v>744.30901908118142</v>
      </c>
      <c r="U200">
        <v>0</v>
      </c>
      <c r="V200">
        <v>2399.9087155557413</v>
      </c>
      <c r="W200">
        <v>145.47580398386029</v>
      </c>
      <c r="X200">
        <v>61.386001405367523</v>
      </c>
      <c r="Y200">
        <v>197.21106658395252</v>
      </c>
      <c r="Z200">
        <v>897.09158260077049</v>
      </c>
      <c r="AA200">
        <v>0</v>
      </c>
      <c r="AB200">
        <v>6.1077495355491997</v>
      </c>
      <c r="AC200">
        <v>19.445964412413698</v>
      </c>
      <c r="AD200">
        <v>0</v>
      </c>
      <c r="AE200">
        <v>186.87187021135293</v>
      </c>
      <c r="AF200">
        <v>0</v>
      </c>
      <c r="AG200">
        <v>250.90251538358172</v>
      </c>
      <c r="AH200">
        <v>279.17626757320221</v>
      </c>
      <c r="AI200">
        <v>15.4573889775436</v>
      </c>
      <c r="AJ200">
        <v>51.291819907867605</v>
      </c>
      <c r="AK200">
        <v>15.961175725966509</v>
      </c>
      <c r="AL200">
        <v>113.71403894740112</v>
      </c>
      <c r="AM200">
        <v>5498.0069260636801</v>
      </c>
      <c r="AN200">
        <v>1347.5964628452682</v>
      </c>
      <c r="AO200">
        <v>67.495148478246094</v>
      </c>
      <c r="AP200">
        <v>169.13493232213628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55.132301842810804</v>
      </c>
      <c r="AW200">
        <v>0</v>
      </c>
      <c r="AX200">
        <v>0</v>
      </c>
      <c r="AY200">
        <v>243.73451048401483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2">
      <c r="A201" t="s">
        <v>1372</v>
      </c>
      <c r="B201" t="s">
        <v>1173</v>
      </c>
      <c r="C201" t="s">
        <v>29</v>
      </c>
      <c r="D201">
        <v>2017</v>
      </c>
      <c r="E201" t="s">
        <v>1174</v>
      </c>
      <c r="F201" t="s">
        <v>1175</v>
      </c>
      <c r="G201">
        <v>11835.5776256629</v>
      </c>
      <c r="H201">
        <v>11675.841898270235</v>
      </c>
      <c r="I201">
        <v>159.73572739249238</v>
      </c>
      <c r="J201">
        <v>355.60842280197164</v>
      </c>
      <c r="K201">
        <v>936.68621667615332</v>
      </c>
      <c r="L201">
        <v>35.113498815880767</v>
      </c>
      <c r="M201">
        <v>140.66105011095527</v>
      </c>
      <c r="N201">
        <v>7474.1215986881843</v>
      </c>
      <c r="O201">
        <v>2733.6511111770888</v>
      </c>
      <c r="P201">
        <v>159.73572739249238</v>
      </c>
      <c r="Q201">
        <v>0</v>
      </c>
      <c r="R201">
        <v>0</v>
      </c>
      <c r="S201">
        <v>25.737897049642484</v>
      </c>
      <c r="T201">
        <v>329.87052575232917</v>
      </c>
      <c r="U201">
        <v>0</v>
      </c>
      <c r="V201">
        <v>638.97480249691978</v>
      </c>
      <c r="W201">
        <v>24.4853147905431</v>
      </c>
      <c r="X201">
        <v>4.1952409061060001</v>
      </c>
      <c r="Y201">
        <v>32.793341762917102</v>
      </c>
      <c r="Z201">
        <v>236.2375167196673</v>
      </c>
      <c r="AA201">
        <v>0</v>
      </c>
      <c r="AB201">
        <v>0</v>
      </c>
      <c r="AC201">
        <v>5.7790185797469995</v>
      </c>
      <c r="AD201">
        <v>6.9147980162024494</v>
      </c>
      <c r="AE201">
        <v>22.419682219931317</v>
      </c>
      <c r="AF201">
        <v>0</v>
      </c>
      <c r="AG201">
        <v>30.791129486705433</v>
      </c>
      <c r="AH201">
        <v>81.618600228380728</v>
      </c>
      <c r="AI201">
        <v>4.2141377200974004</v>
      </c>
      <c r="AJ201">
        <v>2.9679308358249998</v>
      </c>
      <c r="AK201">
        <v>21.069251839946705</v>
      </c>
      <c r="AL201">
        <v>39.717653104645422</v>
      </c>
      <c r="AM201">
        <v>7434.4039455835391</v>
      </c>
      <c r="AN201">
        <v>1863.7298154487553</v>
      </c>
      <c r="AO201">
        <v>319.68899278590521</v>
      </c>
      <c r="AP201">
        <v>550.2323029424283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40.672704187072405</v>
      </c>
      <c r="AX201">
        <v>0</v>
      </c>
      <c r="AY201">
        <v>119.06302320541998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2">
      <c r="A202" t="s">
        <v>1373</v>
      </c>
      <c r="B202" t="s">
        <v>1173</v>
      </c>
      <c r="C202" t="s">
        <v>753</v>
      </c>
      <c r="D202">
        <v>2017</v>
      </c>
      <c r="E202" t="s">
        <v>1174</v>
      </c>
      <c r="F202" t="s">
        <v>1175</v>
      </c>
      <c r="G202">
        <v>5020.4905517879006</v>
      </c>
      <c r="H202">
        <v>4903.8409560194523</v>
      </c>
      <c r="I202">
        <v>116.64959576805489</v>
      </c>
      <c r="J202">
        <v>140.89957595078744</v>
      </c>
      <c r="K202">
        <v>460.93932803590019</v>
      </c>
      <c r="L202">
        <v>36.987909364750095</v>
      </c>
      <c r="M202">
        <v>87.585335782907961</v>
      </c>
      <c r="N202">
        <v>4034.4083434442355</v>
      </c>
      <c r="O202">
        <v>143.02046344087114</v>
      </c>
      <c r="P202">
        <v>116.64959576805489</v>
      </c>
      <c r="Q202">
        <v>0</v>
      </c>
      <c r="R202">
        <v>0</v>
      </c>
      <c r="S202">
        <v>0</v>
      </c>
      <c r="T202">
        <v>140.89957595078744</v>
      </c>
      <c r="U202">
        <v>0</v>
      </c>
      <c r="V202">
        <v>331.92776642618878</v>
      </c>
      <c r="W202">
        <v>6.0365167192698008</v>
      </c>
      <c r="X202">
        <v>6.5255015296797003</v>
      </c>
      <c r="Y202">
        <v>6.0621881409054996</v>
      </c>
      <c r="Z202">
        <v>110.38735521985642</v>
      </c>
      <c r="AA202">
        <v>0</v>
      </c>
      <c r="AB202">
        <v>0</v>
      </c>
      <c r="AC202">
        <v>8.8668734430265985</v>
      </c>
      <c r="AD202">
        <v>21.274126718066299</v>
      </c>
      <c r="AE202">
        <v>6.8469092036572006</v>
      </c>
      <c r="AF202">
        <v>0</v>
      </c>
      <c r="AG202">
        <v>32.625459397487759</v>
      </c>
      <c r="AH202">
        <v>46.786729777761302</v>
      </c>
      <c r="AI202">
        <v>1.7432595599981</v>
      </c>
      <c r="AJ202">
        <v>4.4997431245008004</v>
      </c>
      <c r="AK202">
        <v>1.9301439231600002</v>
      </c>
      <c r="AL202">
        <v>0</v>
      </c>
      <c r="AM202">
        <v>4034.4083434442355</v>
      </c>
      <c r="AN202">
        <v>143.02046344087114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6.0067222236009998</v>
      </c>
      <c r="AW202">
        <v>62.830224096764695</v>
      </c>
      <c r="AX202">
        <v>0</v>
      </c>
      <c r="AY202">
        <v>47.812649447689189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2">
      <c r="A203" t="s">
        <v>1374</v>
      </c>
      <c r="B203" t="s">
        <v>1173</v>
      </c>
      <c r="C203" t="s">
        <v>337</v>
      </c>
      <c r="D203">
        <v>2017</v>
      </c>
      <c r="E203" t="s">
        <v>1174</v>
      </c>
      <c r="F203" t="s">
        <v>1175</v>
      </c>
      <c r="G203">
        <v>2973.9736922612001</v>
      </c>
      <c r="H203">
        <v>2923.3524637715423</v>
      </c>
      <c r="I203">
        <v>50.62122849116659</v>
      </c>
      <c r="J203">
        <v>83.940733182924475</v>
      </c>
      <c r="K203">
        <v>665.24842799219243</v>
      </c>
      <c r="L203">
        <v>39.27907808435436</v>
      </c>
      <c r="M203">
        <v>100.03844507677127</v>
      </c>
      <c r="N203">
        <v>1997.0988155547761</v>
      </c>
      <c r="O203">
        <v>37.746963880523893</v>
      </c>
      <c r="P203">
        <v>50.62122849116659</v>
      </c>
      <c r="Q203">
        <v>0</v>
      </c>
      <c r="R203">
        <v>0</v>
      </c>
      <c r="S203">
        <v>0</v>
      </c>
      <c r="T203">
        <v>83.940733182924475</v>
      </c>
      <c r="U203">
        <v>0</v>
      </c>
      <c r="V203">
        <v>431.93852428822777</v>
      </c>
      <c r="W203">
        <v>12.369246165882799</v>
      </c>
      <c r="X203">
        <v>0</v>
      </c>
      <c r="Y203">
        <v>27.600707050314</v>
      </c>
      <c r="Z203">
        <v>193.33995048776788</v>
      </c>
      <c r="AA203">
        <v>0</v>
      </c>
      <c r="AB203">
        <v>4.1897505426014003</v>
      </c>
      <c r="AC203">
        <v>4.4927251369952002</v>
      </c>
      <c r="AD203">
        <v>9.9132318363980207</v>
      </c>
      <c r="AE203">
        <v>20.683370568359742</v>
      </c>
      <c r="AF203">
        <v>0</v>
      </c>
      <c r="AG203">
        <v>28.89557919832508</v>
      </c>
      <c r="AH203">
        <v>51.989886667487802</v>
      </c>
      <c r="AI203">
        <v>3.3870764345254001</v>
      </c>
      <c r="AJ203">
        <v>3.6717201141980005</v>
      </c>
      <c r="AK203">
        <v>12.094182662234999</v>
      </c>
      <c r="AL203">
        <v>67.192120611526192</v>
      </c>
      <c r="AM203">
        <v>1929.9066949432499</v>
      </c>
      <c r="AN203">
        <v>37.746963880523893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17.470055757145897</v>
      </c>
      <c r="AX203">
        <v>0</v>
      </c>
      <c r="AY203">
        <v>33.151172734020697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2">
      <c r="A204" t="s">
        <v>1375</v>
      </c>
      <c r="B204" t="s">
        <v>1173</v>
      </c>
      <c r="C204" t="s">
        <v>371</v>
      </c>
      <c r="D204">
        <v>2017</v>
      </c>
      <c r="E204" t="s">
        <v>1174</v>
      </c>
      <c r="F204" t="s">
        <v>1175</v>
      </c>
      <c r="G204">
        <v>8332.5783044337004</v>
      </c>
      <c r="H204">
        <v>8246.6347572362974</v>
      </c>
      <c r="I204">
        <v>85.943547197230401</v>
      </c>
      <c r="J204">
        <v>207.82796045001882</v>
      </c>
      <c r="K204">
        <v>590.56985112866721</v>
      </c>
      <c r="L204">
        <v>60.804276816136209</v>
      </c>
      <c r="M204">
        <v>298.31545882186748</v>
      </c>
      <c r="N204">
        <v>4994.7112432116382</v>
      </c>
      <c r="O204">
        <v>2094.4059668079694</v>
      </c>
      <c r="P204">
        <v>85.943547197230401</v>
      </c>
      <c r="Q204">
        <v>0</v>
      </c>
      <c r="R204">
        <v>0</v>
      </c>
      <c r="S204">
        <v>0</v>
      </c>
      <c r="T204">
        <v>207.82796045001882</v>
      </c>
      <c r="U204">
        <v>0</v>
      </c>
      <c r="V204">
        <v>430.16075830168893</v>
      </c>
      <c r="W204">
        <v>16.460506824007041</v>
      </c>
      <c r="X204">
        <v>7.0601004433021011</v>
      </c>
      <c r="Y204">
        <v>22.283609880655042</v>
      </c>
      <c r="Z204">
        <v>114.60487567901413</v>
      </c>
      <c r="AA204">
        <v>4.9962820252167006</v>
      </c>
      <c r="AB204">
        <v>0.90492317422329993</v>
      </c>
      <c r="AC204">
        <v>2.7222960022527998</v>
      </c>
      <c r="AD204">
        <v>0</v>
      </c>
      <c r="AE204">
        <v>52.180775614443412</v>
      </c>
      <c r="AF204">
        <v>0</v>
      </c>
      <c r="AG204">
        <v>36.947900337045212</v>
      </c>
      <c r="AH204">
        <v>125.69878525821152</v>
      </c>
      <c r="AI204">
        <v>0</v>
      </c>
      <c r="AJ204">
        <v>31.434924159787002</v>
      </c>
      <c r="AK204">
        <v>104.23384906682377</v>
      </c>
      <c r="AL204">
        <v>0</v>
      </c>
      <c r="AM204">
        <v>4994.7112432116382</v>
      </c>
      <c r="AN204">
        <v>2029.1865489155346</v>
      </c>
      <c r="AO204">
        <v>49.495413003095017</v>
      </c>
      <c r="AP204">
        <v>15.72400488934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55.025603965584494</v>
      </c>
      <c r="AW204">
        <v>0</v>
      </c>
      <c r="AX204">
        <v>0</v>
      </c>
      <c r="AY204">
        <v>30.9179432316459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2">
      <c r="A205" t="s">
        <v>1376</v>
      </c>
      <c r="B205" t="s">
        <v>1173</v>
      </c>
      <c r="C205" t="s">
        <v>37</v>
      </c>
      <c r="D205">
        <v>2017</v>
      </c>
      <c r="E205" t="s">
        <v>1174</v>
      </c>
      <c r="F205" t="s">
        <v>1175</v>
      </c>
      <c r="G205">
        <v>8936.2643042585005</v>
      </c>
      <c r="H205">
        <v>8801.5589266133993</v>
      </c>
      <c r="I205">
        <v>134.70537764554089</v>
      </c>
      <c r="J205">
        <v>797.96703972947421</v>
      </c>
      <c r="K205">
        <v>4413.1479301870968</v>
      </c>
      <c r="L205">
        <v>305.96890000623375</v>
      </c>
      <c r="M205">
        <v>959.11605256105179</v>
      </c>
      <c r="N205">
        <v>1294.3546540523357</v>
      </c>
      <c r="O205">
        <v>1031.0043500772067</v>
      </c>
      <c r="P205">
        <v>134.70537764554089</v>
      </c>
      <c r="Q205">
        <v>0</v>
      </c>
      <c r="R205">
        <v>0</v>
      </c>
      <c r="S205">
        <v>59.881239304243749</v>
      </c>
      <c r="T205">
        <v>599.45281116059073</v>
      </c>
      <c r="U205">
        <v>138.63298926463978</v>
      </c>
      <c r="V205">
        <v>2910.5902617073866</v>
      </c>
      <c r="W205">
        <v>155.07343975568793</v>
      </c>
      <c r="X205">
        <v>95.899985716951917</v>
      </c>
      <c r="Y205">
        <v>339.78917195207356</v>
      </c>
      <c r="Z205">
        <v>911.79507105499692</v>
      </c>
      <c r="AA205">
        <v>6.592036577423209</v>
      </c>
      <c r="AB205">
        <v>0</v>
      </c>
      <c r="AC205">
        <v>43.264419331047002</v>
      </c>
      <c r="AD205">
        <v>0</v>
      </c>
      <c r="AE205">
        <v>256.11244409776356</v>
      </c>
      <c r="AF205">
        <v>0</v>
      </c>
      <c r="AG205">
        <v>582.2617408059142</v>
      </c>
      <c r="AH205">
        <v>336.79052214235679</v>
      </c>
      <c r="AI205">
        <v>29.684842568786188</v>
      </c>
      <c r="AJ205">
        <v>10.378947043994701</v>
      </c>
      <c r="AK205">
        <v>0</v>
      </c>
      <c r="AL205">
        <v>1.0576954057000001</v>
      </c>
      <c r="AM205">
        <v>1293.2969586466356</v>
      </c>
      <c r="AN205">
        <v>952.91526911208143</v>
      </c>
      <c r="AO205">
        <v>35.951104515239521</v>
      </c>
      <c r="AP205">
        <v>42.137976449885848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47.645948484658767</v>
      </c>
      <c r="AW205">
        <v>0</v>
      </c>
      <c r="AX205">
        <v>0</v>
      </c>
      <c r="AY205">
        <v>87.059429160882118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2">
      <c r="A206" t="s">
        <v>1377</v>
      </c>
      <c r="B206" t="s">
        <v>1173</v>
      </c>
      <c r="C206" t="s">
        <v>42</v>
      </c>
      <c r="D206">
        <v>2017</v>
      </c>
      <c r="E206" t="s">
        <v>1174</v>
      </c>
      <c r="F206" t="s">
        <v>1175</v>
      </c>
      <c r="G206">
        <v>5592.1294153428998</v>
      </c>
      <c r="H206">
        <v>5529.1716216490322</v>
      </c>
      <c r="I206">
        <v>62.957793694310368</v>
      </c>
      <c r="J206">
        <v>217.81811911151206</v>
      </c>
      <c r="K206">
        <v>1086.2231966097049</v>
      </c>
      <c r="L206">
        <v>61.965203847392118</v>
      </c>
      <c r="M206">
        <v>153.55540152527607</v>
      </c>
      <c r="N206">
        <v>3797.5767092614724</v>
      </c>
      <c r="O206">
        <v>212.03299129367522</v>
      </c>
      <c r="P206">
        <v>62.957793694310368</v>
      </c>
      <c r="Q206">
        <v>0</v>
      </c>
      <c r="R206">
        <v>0</v>
      </c>
      <c r="S206">
        <v>10.893404719219799</v>
      </c>
      <c r="T206">
        <v>206.92471439229226</v>
      </c>
      <c r="U206">
        <v>0</v>
      </c>
      <c r="V206">
        <v>628.13973138982305</v>
      </c>
      <c r="W206">
        <v>36.48818324851689</v>
      </c>
      <c r="X206">
        <v>3.5482368510786997</v>
      </c>
      <c r="Y206">
        <v>40.692544517098497</v>
      </c>
      <c r="Z206">
        <v>377.35450060318772</v>
      </c>
      <c r="AA206">
        <v>7.531028165666001</v>
      </c>
      <c r="AB206">
        <v>0</v>
      </c>
      <c r="AC206">
        <v>4.6638863191716995</v>
      </c>
      <c r="AD206">
        <v>0</v>
      </c>
      <c r="AE206">
        <v>49.770289362554422</v>
      </c>
      <c r="AF206">
        <v>0</v>
      </c>
      <c r="AG206">
        <v>86.866292490915086</v>
      </c>
      <c r="AH206">
        <v>56.7203355004009</v>
      </c>
      <c r="AI206">
        <v>4.0010105340704003</v>
      </c>
      <c r="AJ206">
        <v>4.4117296021197001</v>
      </c>
      <c r="AK206">
        <v>1.55603339777</v>
      </c>
      <c r="AL206">
        <v>97.456255267294182</v>
      </c>
      <c r="AM206">
        <v>3700.1204539941782</v>
      </c>
      <c r="AN206">
        <v>169.97407366667923</v>
      </c>
      <c r="AO206">
        <v>9.0590488538230005</v>
      </c>
      <c r="AP206">
        <v>32.999868773173006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6.9126904957038002</v>
      </c>
      <c r="AW206">
        <v>0</v>
      </c>
      <c r="AX206">
        <v>0</v>
      </c>
      <c r="AY206">
        <v>56.045103198606569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x14ac:dyDescent="0.2">
      <c r="A207" t="s">
        <v>1378</v>
      </c>
      <c r="B207" t="s">
        <v>1173</v>
      </c>
      <c r="C207" t="s">
        <v>398</v>
      </c>
      <c r="D207">
        <v>2017</v>
      </c>
      <c r="E207" t="s">
        <v>1174</v>
      </c>
      <c r="F207" t="s">
        <v>1175</v>
      </c>
      <c r="G207">
        <v>2963.9808616768</v>
      </c>
      <c r="H207">
        <v>2659.7301943185716</v>
      </c>
      <c r="I207">
        <v>304.25066735800738</v>
      </c>
      <c r="J207">
        <v>131.64254669430076</v>
      </c>
      <c r="K207">
        <v>708.86805673196648</v>
      </c>
      <c r="L207">
        <v>14.620360357611048</v>
      </c>
      <c r="M207">
        <v>131.50666787319264</v>
      </c>
      <c r="N207">
        <v>1598.2406857325334</v>
      </c>
      <c r="O207">
        <v>74.851876928966988</v>
      </c>
      <c r="P207">
        <v>304.25066735800738</v>
      </c>
      <c r="Q207">
        <v>0</v>
      </c>
      <c r="R207">
        <v>0</v>
      </c>
      <c r="S207">
        <v>0</v>
      </c>
      <c r="T207">
        <v>131.64254669430076</v>
      </c>
      <c r="U207">
        <v>0</v>
      </c>
      <c r="V207">
        <v>347.4799524428505</v>
      </c>
      <c r="W207">
        <v>17.732443573985449</v>
      </c>
      <c r="X207">
        <v>61.584220627109659</v>
      </c>
      <c r="Y207">
        <v>21.785463252005943</v>
      </c>
      <c r="Z207">
        <v>260.28597683601487</v>
      </c>
      <c r="AA207">
        <v>0</v>
      </c>
      <c r="AB207">
        <v>0</v>
      </c>
      <c r="AC207">
        <v>3.2291478121514001</v>
      </c>
      <c r="AD207">
        <v>0</v>
      </c>
      <c r="AE207">
        <v>9.3855379000565993</v>
      </c>
      <c r="AF207">
        <v>2.0056746454030501</v>
      </c>
      <c r="AG207">
        <v>71.733811759600627</v>
      </c>
      <c r="AH207">
        <v>39.790266946770799</v>
      </c>
      <c r="AI207">
        <v>2.1665624359267999</v>
      </c>
      <c r="AJ207">
        <v>13.580635389660101</v>
      </c>
      <c r="AK207">
        <v>4.2353913412342994</v>
      </c>
      <c r="AL207">
        <v>4.3928596425415005</v>
      </c>
      <c r="AM207">
        <v>1593.8478260899919</v>
      </c>
      <c r="AN207">
        <v>45.792936266373587</v>
      </c>
      <c r="AO207">
        <v>0</v>
      </c>
      <c r="AP207">
        <v>29.0589406625934</v>
      </c>
      <c r="AQ207">
        <v>0</v>
      </c>
      <c r="AR207">
        <v>0</v>
      </c>
      <c r="AS207">
        <v>94.619850381938804</v>
      </c>
      <c r="AT207">
        <v>0</v>
      </c>
      <c r="AU207">
        <v>0</v>
      </c>
      <c r="AV207">
        <v>27.459580888070398</v>
      </c>
      <c r="AW207">
        <v>0</v>
      </c>
      <c r="AX207">
        <v>0</v>
      </c>
      <c r="AY207">
        <v>182.17123608799818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2">
      <c r="A208" t="s">
        <v>1379</v>
      </c>
      <c r="B208" t="s">
        <v>1173</v>
      </c>
      <c r="C208" t="s">
        <v>410</v>
      </c>
      <c r="D208">
        <v>2017</v>
      </c>
      <c r="E208" t="s">
        <v>1174</v>
      </c>
      <c r="F208" t="s">
        <v>1175</v>
      </c>
      <c r="G208">
        <v>6566.4671568475997</v>
      </c>
      <c r="H208">
        <v>6538.3203546074628</v>
      </c>
      <c r="I208">
        <v>28.146802240312482</v>
      </c>
      <c r="J208">
        <v>288.64599264434844</v>
      </c>
      <c r="K208">
        <v>708.87928101342573</v>
      </c>
      <c r="L208">
        <v>33.057795459423076</v>
      </c>
      <c r="M208">
        <v>289.82638277789101</v>
      </c>
      <c r="N208">
        <v>3655.4573052491605</v>
      </c>
      <c r="O208">
        <v>1562.4535974632136</v>
      </c>
      <c r="P208">
        <v>28.146802240312482</v>
      </c>
      <c r="Q208">
        <v>0</v>
      </c>
      <c r="R208">
        <v>0</v>
      </c>
      <c r="S208">
        <v>15.014248930302745</v>
      </c>
      <c r="T208">
        <v>186.07237656699729</v>
      </c>
      <c r="U208">
        <v>87.559367147048391</v>
      </c>
      <c r="V208">
        <v>397.06765987800753</v>
      </c>
      <c r="W208">
        <v>18.622976091543759</v>
      </c>
      <c r="X208">
        <v>61.181452468996063</v>
      </c>
      <c r="Y208">
        <v>39.456324058534889</v>
      </c>
      <c r="Z208">
        <v>192.55086851634351</v>
      </c>
      <c r="AA208">
        <v>0</v>
      </c>
      <c r="AB208">
        <v>0</v>
      </c>
      <c r="AC208">
        <v>1.9097301573793</v>
      </c>
      <c r="AD208">
        <v>0</v>
      </c>
      <c r="AE208">
        <v>31.148065302043776</v>
      </c>
      <c r="AF208">
        <v>0</v>
      </c>
      <c r="AG208">
        <v>4.2231047629395002</v>
      </c>
      <c r="AH208">
        <v>209.93953570703101</v>
      </c>
      <c r="AI208">
        <v>2.5153028609879997</v>
      </c>
      <c r="AJ208">
        <v>23.814184833218214</v>
      </c>
      <c r="AK208">
        <v>49.334254613714279</v>
      </c>
      <c r="AL208">
        <v>10.790512367521998</v>
      </c>
      <c r="AM208">
        <v>3644.6667928816387</v>
      </c>
      <c r="AN208">
        <v>1399.4743929303327</v>
      </c>
      <c r="AO208">
        <v>154.68612819561108</v>
      </c>
      <c r="AP208">
        <v>8.2930763372699996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15.7189436644874</v>
      </c>
      <c r="AW208">
        <v>0</v>
      </c>
      <c r="AX208">
        <v>0</v>
      </c>
      <c r="AY208">
        <v>12.427858575825081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2">
      <c r="A209" t="s">
        <v>1380</v>
      </c>
      <c r="B209" t="s">
        <v>1173</v>
      </c>
      <c r="C209" t="s">
        <v>418</v>
      </c>
      <c r="D209">
        <v>2017</v>
      </c>
      <c r="E209" t="s">
        <v>1174</v>
      </c>
      <c r="F209" t="s">
        <v>1175</v>
      </c>
      <c r="G209">
        <v>4337.8680181406999</v>
      </c>
      <c r="H209">
        <v>4297.3911882014636</v>
      </c>
      <c r="I209">
        <v>40.476829939000801</v>
      </c>
      <c r="J209">
        <v>82.045415020810097</v>
      </c>
      <c r="K209">
        <v>554.30399422527216</v>
      </c>
      <c r="L209">
        <v>35.932620259670699</v>
      </c>
      <c r="M209">
        <v>104.626403239</v>
      </c>
      <c r="N209">
        <v>2455.0024974905468</v>
      </c>
      <c r="O209">
        <v>1065.4802579661632</v>
      </c>
      <c r="P209">
        <v>40.476829939000801</v>
      </c>
      <c r="Q209">
        <v>0</v>
      </c>
      <c r="R209">
        <v>0</v>
      </c>
      <c r="S209">
        <v>0</v>
      </c>
      <c r="T209">
        <v>82.045415020810097</v>
      </c>
      <c r="U209">
        <v>0</v>
      </c>
      <c r="V209">
        <v>392.01443460082697</v>
      </c>
      <c r="W209">
        <v>11.955505056661401</v>
      </c>
      <c r="X209">
        <v>29.519648912094901</v>
      </c>
      <c r="Y209">
        <v>21.532305107985799</v>
      </c>
      <c r="Z209">
        <v>99.282100547703109</v>
      </c>
      <c r="AA209">
        <v>1.4492711160499998</v>
      </c>
      <c r="AB209">
        <v>0</v>
      </c>
      <c r="AC209">
        <v>1.8235102151119</v>
      </c>
      <c r="AD209">
        <v>0</v>
      </c>
      <c r="AE209">
        <v>32.659838928508798</v>
      </c>
      <c r="AF209">
        <v>0</v>
      </c>
      <c r="AG209">
        <v>30.351842966835893</v>
      </c>
      <c r="AH209">
        <v>69.613804817708598</v>
      </c>
      <c r="AI209">
        <v>2.4610737812883996</v>
      </c>
      <c r="AJ209">
        <v>0.1589009198761</v>
      </c>
      <c r="AK209">
        <v>2.0407807532910001</v>
      </c>
      <c r="AL209">
        <v>0</v>
      </c>
      <c r="AM209">
        <v>2455.0024974905468</v>
      </c>
      <c r="AN209">
        <v>803.2246168245548</v>
      </c>
      <c r="AO209">
        <v>158.153859819643</v>
      </c>
      <c r="AP209">
        <v>104.10178132196542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40.476829939000801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">
      <c r="A210" t="s">
        <v>1381</v>
      </c>
      <c r="B210" t="s">
        <v>1173</v>
      </c>
      <c r="C210" t="s">
        <v>57</v>
      </c>
      <c r="D210">
        <v>2017</v>
      </c>
      <c r="E210" t="s">
        <v>1174</v>
      </c>
      <c r="F210" t="s">
        <v>1175</v>
      </c>
      <c r="G210">
        <v>5475.2516136667</v>
      </c>
      <c r="H210">
        <v>5316.6478627600109</v>
      </c>
      <c r="I210">
        <v>158.60375090668521</v>
      </c>
      <c r="J210">
        <v>246.04379716469037</v>
      </c>
      <c r="K210">
        <v>2115.0399500400799</v>
      </c>
      <c r="L210">
        <v>139.03194225344487</v>
      </c>
      <c r="M210">
        <v>375.7589633958803</v>
      </c>
      <c r="N210">
        <v>1493.424421215655</v>
      </c>
      <c r="O210">
        <v>947.34878869026159</v>
      </c>
      <c r="P210">
        <v>158.60375090668521</v>
      </c>
      <c r="Q210">
        <v>0</v>
      </c>
      <c r="R210">
        <v>0</v>
      </c>
      <c r="S210">
        <v>23.319273233538009</v>
      </c>
      <c r="T210">
        <v>222.72452393115236</v>
      </c>
      <c r="U210">
        <v>0</v>
      </c>
      <c r="V210">
        <v>1352.9580711125159</v>
      </c>
      <c r="W210">
        <v>58.409174400469105</v>
      </c>
      <c r="X210">
        <v>25.811840411642937</v>
      </c>
      <c r="Y210">
        <v>60.517901594274768</v>
      </c>
      <c r="Z210">
        <v>617.34296252117758</v>
      </c>
      <c r="AA210">
        <v>0</v>
      </c>
      <c r="AB210">
        <v>0.89146916877299986</v>
      </c>
      <c r="AC210">
        <v>10.6562373511115</v>
      </c>
      <c r="AD210">
        <v>3.2052747451399997</v>
      </c>
      <c r="AE210">
        <v>124.27896098842037</v>
      </c>
      <c r="AF210">
        <v>0</v>
      </c>
      <c r="AG210">
        <v>217.30984614629378</v>
      </c>
      <c r="AH210">
        <v>128.64887473573572</v>
      </c>
      <c r="AI210">
        <v>10.900384111260248</v>
      </c>
      <c r="AJ210">
        <v>18.899421890191903</v>
      </c>
      <c r="AK210">
        <v>4.3651239864000004E-4</v>
      </c>
      <c r="AL210">
        <v>31.476845041621605</v>
      </c>
      <c r="AM210">
        <v>1461.9475761740334</v>
      </c>
      <c r="AN210">
        <v>897.12593125171009</v>
      </c>
      <c r="AO210">
        <v>29.537873113930004</v>
      </c>
      <c r="AP210">
        <v>20.684984324621499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53.113278331130473</v>
      </c>
      <c r="AW210">
        <v>0</v>
      </c>
      <c r="AX210">
        <v>0</v>
      </c>
      <c r="AY210">
        <v>105.49047257555472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2">
      <c r="A211" t="s">
        <v>1382</v>
      </c>
      <c r="B211" t="s">
        <v>1173</v>
      </c>
      <c r="C211" t="s">
        <v>59</v>
      </c>
      <c r="D211">
        <v>2017</v>
      </c>
      <c r="E211" t="s">
        <v>1174</v>
      </c>
      <c r="F211" t="s">
        <v>1175</v>
      </c>
      <c r="G211">
        <v>11781.183722891799</v>
      </c>
      <c r="H211">
        <v>10948.325302416399</v>
      </c>
      <c r="I211">
        <v>832.85842048749146</v>
      </c>
      <c r="J211">
        <v>702.13465061288457</v>
      </c>
      <c r="K211">
        <v>3031.8153096349488</v>
      </c>
      <c r="L211">
        <v>212.46080579764251</v>
      </c>
      <c r="M211">
        <v>861.14244080807009</v>
      </c>
      <c r="N211">
        <v>5435.0588042539757</v>
      </c>
      <c r="O211">
        <v>705.71329130887796</v>
      </c>
      <c r="P211">
        <v>832.85842048749146</v>
      </c>
      <c r="Q211">
        <v>0</v>
      </c>
      <c r="R211">
        <v>0</v>
      </c>
      <c r="S211">
        <v>65.041996528210063</v>
      </c>
      <c r="T211">
        <v>637.09265408467456</v>
      </c>
      <c r="U211">
        <v>0</v>
      </c>
      <c r="V211">
        <v>1991.2580165391821</v>
      </c>
      <c r="W211">
        <v>111.43101282020226</v>
      </c>
      <c r="X211">
        <v>96.69454008113361</v>
      </c>
      <c r="Y211">
        <v>183.16460717333229</v>
      </c>
      <c r="Z211">
        <v>649.26713302109874</v>
      </c>
      <c r="AA211">
        <v>6.4039237525799999</v>
      </c>
      <c r="AB211">
        <v>0</v>
      </c>
      <c r="AC211">
        <v>21.041199145547438</v>
      </c>
      <c r="AD211">
        <v>10.059117176691601</v>
      </c>
      <c r="AE211">
        <v>174.08588168964857</v>
      </c>
      <c r="AF211">
        <v>0.87068403317490006</v>
      </c>
      <c r="AG211">
        <v>394.44254857771949</v>
      </c>
      <c r="AH211">
        <v>292.0521503751624</v>
      </c>
      <c r="AI211">
        <v>20.035840803342996</v>
      </c>
      <c r="AJ211">
        <v>86.399215905459968</v>
      </c>
      <c r="AK211">
        <v>68.212685146385184</v>
      </c>
      <c r="AL211">
        <v>3.2467603427518097</v>
      </c>
      <c r="AM211">
        <v>5431.8120439112236</v>
      </c>
      <c r="AN211">
        <v>559.96993702482962</v>
      </c>
      <c r="AO211">
        <v>72.439799216901392</v>
      </c>
      <c r="AP211">
        <v>73.303555067146945</v>
      </c>
      <c r="AQ211">
        <v>0</v>
      </c>
      <c r="AR211">
        <v>0</v>
      </c>
      <c r="AS211">
        <v>100.64213620070618</v>
      </c>
      <c r="AT211">
        <v>0</v>
      </c>
      <c r="AU211">
        <v>0</v>
      </c>
      <c r="AV211">
        <v>195.72080009007618</v>
      </c>
      <c r="AW211">
        <v>0</v>
      </c>
      <c r="AX211">
        <v>0</v>
      </c>
      <c r="AY211">
        <v>536.49548419670907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2">
      <c r="A212" t="s">
        <v>1383</v>
      </c>
      <c r="B212" t="s">
        <v>1173</v>
      </c>
      <c r="C212" t="s">
        <v>491</v>
      </c>
      <c r="D212">
        <v>2017</v>
      </c>
      <c r="E212" t="s">
        <v>1174</v>
      </c>
      <c r="F212" t="s">
        <v>1175</v>
      </c>
      <c r="G212">
        <v>8121.9439009099005</v>
      </c>
      <c r="H212">
        <v>7885.6163840336594</v>
      </c>
      <c r="I212">
        <v>236.32751687666445</v>
      </c>
      <c r="J212">
        <v>274.11558677332255</v>
      </c>
      <c r="K212">
        <v>1149.2690951973132</v>
      </c>
      <c r="L212">
        <v>83.534762491459404</v>
      </c>
      <c r="M212">
        <v>224.10437009449734</v>
      </c>
      <c r="N212">
        <v>4608.2515523278644</v>
      </c>
      <c r="O212">
        <v>1546.3410171492019</v>
      </c>
      <c r="P212">
        <v>236.32751687666445</v>
      </c>
      <c r="Q212">
        <v>0</v>
      </c>
      <c r="R212">
        <v>0</v>
      </c>
      <c r="S212">
        <v>0</v>
      </c>
      <c r="T212">
        <v>274.11558677332255</v>
      </c>
      <c r="U212">
        <v>0</v>
      </c>
      <c r="V212">
        <v>842.16066345334423</v>
      </c>
      <c r="W212">
        <v>20.363470471822744</v>
      </c>
      <c r="X212">
        <v>13.179188532792399</v>
      </c>
      <c r="Y212">
        <v>17.206928657345539</v>
      </c>
      <c r="Z212">
        <v>256.35884408200815</v>
      </c>
      <c r="AA212">
        <v>0</v>
      </c>
      <c r="AB212">
        <v>0</v>
      </c>
      <c r="AC212">
        <v>16.288469310273598</v>
      </c>
      <c r="AD212">
        <v>0</v>
      </c>
      <c r="AE212">
        <v>57.549120781485108</v>
      </c>
      <c r="AF212">
        <v>9.6971723997006993</v>
      </c>
      <c r="AG212">
        <v>74.553286669037306</v>
      </c>
      <c r="AH212">
        <v>76.519718617977361</v>
      </c>
      <c r="AI212">
        <v>7.4839908219285007</v>
      </c>
      <c r="AJ212">
        <v>52.621080510944196</v>
      </c>
      <c r="AK212">
        <v>12.926293474610002</v>
      </c>
      <c r="AL212">
        <v>105.33062592029208</v>
      </c>
      <c r="AM212">
        <v>4502.9209264075726</v>
      </c>
      <c r="AN212">
        <v>1087.5594553455096</v>
      </c>
      <c r="AO212">
        <v>416.32777025726341</v>
      </c>
      <c r="AP212">
        <v>42.453791546428803</v>
      </c>
      <c r="AQ212">
        <v>0</v>
      </c>
      <c r="AR212">
        <v>0</v>
      </c>
      <c r="AS212">
        <v>78.70333116929126</v>
      </c>
      <c r="AT212">
        <v>0</v>
      </c>
      <c r="AU212">
        <v>0</v>
      </c>
      <c r="AV212">
        <v>61.254810791111993</v>
      </c>
      <c r="AW212">
        <v>0</v>
      </c>
      <c r="AX212">
        <v>0</v>
      </c>
      <c r="AY212">
        <v>96.369374916261194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2">
      <c r="A213" t="s">
        <v>1384</v>
      </c>
      <c r="B213" t="s">
        <v>1173</v>
      </c>
      <c r="C213" t="s">
        <v>496</v>
      </c>
      <c r="D213">
        <v>2017</v>
      </c>
      <c r="E213" t="s">
        <v>1174</v>
      </c>
      <c r="F213" t="s">
        <v>1175</v>
      </c>
      <c r="G213">
        <v>9650.7470312846999</v>
      </c>
      <c r="H213">
        <v>9486.6811394775596</v>
      </c>
      <c r="I213">
        <v>164.06589180612156</v>
      </c>
      <c r="J213">
        <v>187.43450132255433</v>
      </c>
      <c r="K213">
        <v>405.64746827870124</v>
      </c>
      <c r="L213">
        <v>27.561108420916003</v>
      </c>
      <c r="M213">
        <v>382.32787237828825</v>
      </c>
      <c r="N213">
        <v>5657.9512307153273</v>
      </c>
      <c r="O213">
        <v>2825.7589583617728</v>
      </c>
      <c r="P213">
        <v>164.06589180612156</v>
      </c>
      <c r="Q213">
        <v>0</v>
      </c>
      <c r="R213">
        <v>0</v>
      </c>
      <c r="S213">
        <v>0</v>
      </c>
      <c r="T213">
        <v>187.43450132255433</v>
      </c>
      <c r="U213">
        <v>0</v>
      </c>
      <c r="V213">
        <v>286.75991878590474</v>
      </c>
      <c r="W213">
        <v>5.2288983324350005</v>
      </c>
      <c r="X213">
        <v>13.76232326070398</v>
      </c>
      <c r="Y213">
        <v>9.6356591710782098</v>
      </c>
      <c r="Z213">
        <v>90.260668728579304</v>
      </c>
      <c r="AA213">
        <v>0</v>
      </c>
      <c r="AB213">
        <v>0</v>
      </c>
      <c r="AC213">
        <v>3.5064750257890003</v>
      </c>
      <c r="AD213">
        <v>0</v>
      </c>
      <c r="AE213">
        <v>24.054633395127002</v>
      </c>
      <c r="AF213">
        <v>0</v>
      </c>
      <c r="AG213">
        <v>26.258900257286498</v>
      </c>
      <c r="AH213">
        <v>92.751686672059492</v>
      </c>
      <c r="AI213">
        <v>0.62847003582500005</v>
      </c>
      <c r="AJ213">
        <v>161.30181367010977</v>
      </c>
      <c r="AK213">
        <v>101.38700174300749</v>
      </c>
      <c r="AL213">
        <v>2.1440343094852001</v>
      </c>
      <c r="AM213">
        <v>5655.8071964058418</v>
      </c>
      <c r="AN213">
        <v>2556.627868186044</v>
      </c>
      <c r="AO213">
        <v>146.52124166443454</v>
      </c>
      <c r="AP213">
        <v>122.60984851129439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79.476167157669693</v>
      </c>
      <c r="AW213">
        <v>0</v>
      </c>
      <c r="AX213">
        <v>0</v>
      </c>
      <c r="AY213">
        <v>84.589724648451849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2">
      <c r="A214" t="s">
        <v>1385</v>
      </c>
      <c r="B214" t="s">
        <v>1173</v>
      </c>
      <c r="C214" t="s">
        <v>596</v>
      </c>
      <c r="D214">
        <v>2017</v>
      </c>
      <c r="E214" t="s">
        <v>1174</v>
      </c>
      <c r="F214" t="s">
        <v>1175</v>
      </c>
      <c r="G214">
        <v>5071.1553900307999</v>
      </c>
      <c r="H214">
        <v>4991.6128353215909</v>
      </c>
      <c r="I214">
        <v>79.542554709129249</v>
      </c>
      <c r="J214">
        <v>134.56218239714579</v>
      </c>
      <c r="K214">
        <v>522.83977814801483</v>
      </c>
      <c r="L214">
        <v>26.574726651800049</v>
      </c>
      <c r="M214">
        <v>303.62495492320608</v>
      </c>
      <c r="N214">
        <v>2222.9211685034475</v>
      </c>
      <c r="O214">
        <v>1781.090024697977</v>
      </c>
      <c r="P214">
        <v>79.542554709129249</v>
      </c>
      <c r="Q214">
        <v>0</v>
      </c>
      <c r="R214">
        <v>0</v>
      </c>
      <c r="S214">
        <v>0</v>
      </c>
      <c r="T214">
        <v>134.56218239714579</v>
      </c>
      <c r="U214">
        <v>0</v>
      </c>
      <c r="V214">
        <v>404.86122428489301</v>
      </c>
      <c r="W214">
        <v>16.085626335859853</v>
      </c>
      <c r="X214">
        <v>15.871188097172702</v>
      </c>
      <c r="Y214">
        <v>10.537668817825402</v>
      </c>
      <c r="Z214">
        <v>75.484070612263864</v>
      </c>
      <c r="AA214">
        <v>4.12422133977</v>
      </c>
      <c r="AB214">
        <v>3.4515767340710002</v>
      </c>
      <c r="AC214">
        <v>3.2581841044848003</v>
      </c>
      <c r="AD214">
        <v>2.4744198793989498</v>
      </c>
      <c r="AE214">
        <v>13.2663245940753</v>
      </c>
      <c r="AF214">
        <v>0</v>
      </c>
      <c r="AG214">
        <v>9.1423475408836499</v>
      </c>
      <c r="AH214">
        <v>120.86806727834072</v>
      </c>
      <c r="AI214">
        <v>2.8967942914444</v>
      </c>
      <c r="AJ214">
        <v>84.027076205880803</v>
      </c>
      <c r="AK214">
        <v>86.690669606656499</v>
      </c>
      <c r="AL214">
        <v>9.2462089941494003</v>
      </c>
      <c r="AM214">
        <v>2213.6749595092979</v>
      </c>
      <c r="AN214">
        <v>1538.3688838073022</v>
      </c>
      <c r="AO214">
        <v>214.45795131707351</v>
      </c>
      <c r="AP214">
        <v>28.263189573601203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35.957056798509299</v>
      </c>
      <c r="AW214">
        <v>0</v>
      </c>
      <c r="AX214">
        <v>0</v>
      </c>
      <c r="AY214">
        <v>43.585497910619949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2">
      <c r="A215" t="s">
        <v>1386</v>
      </c>
      <c r="B215" t="s">
        <v>1173</v>
      </c>
      <c r="C215" t="s">
        <v>689</v>
      </c>
      <c r="D215">
        <v>2017</v>
      </c>
      <c r="E215" t="s">
        <v>1174</v>
      </c>
      <c r="F215" t="s">
        <v>1175</v>
      </c>
      <c r="G215">
        <v>3394.3542621095999</v>
      </c>
      <c r="H215">
        <v>3364.6021190652164</v>
      </c>
      <c r="I215">
        <v>29.752143043374907</v>
      </c>
      <c r="J215">
        <v>123.49497390158545</v>
      </c>
      <c r="K215">
        <v>603.34230293654889</v>
      </c>
      <c r="L215">
        <v>16.750814293104302</v>
      </c>
      <c r="M215">
        <v>151.3036525575753</v>
      </c>
      <c r="N215">
        <v>1919.4983419478044</v>
      </c>
      <c r="O215">
        <v>550.21203342859792</v>
      </c>
      <c r="P215">
        <v>29.752143043374907</v>
      </c>
      <c r="Q215">
        <v>0</v>
      </c>
      <c r="R215">
        <v>0</v>
      </c>
      <c r="S215">
        <v>4.8142734133199996</v>
      </c>
      <c r="T215">
        <v>118.68070048826546</v>
      </c>
      <c r="U215">
        <v>0</v>
      </c>
      <c r="V215">
        <v>471.21695712289176</v>
      </c>
      <c r="W215">
        <v>40.661568965818809</v>
      </c>
      <c r="X215">
        <v>8.3393638819709999</v>
      </c>
      <c r="Y215">
        <v>4.4184116822269806</v>
      </c>
      <c r="Z215">
        <v>78.706001283640404</v>
      </c>
      <c r="AA215">
        <v>0</v>
      </c>
      <c r="AB215">
        <v>0</v>
      </c>
      <c r="AC215">
        <v>2.8580783194942998</v>
      </c>
      <c r="AD215">
        <v>0</v>
      </c>
      <c r="AE215">
        <v>13.892735973610002</v>
      </c>
      <c r="AF215">
        <v>0</v>
      </c>
      <c r="AG215">
        <v>38.578966000868093</v>
      </c>
      <c r="AH215">
        <v>90.665423107774913</v>
      </c>
      <c r="AI215">
        <v>5.3976665297574993</v>
      </c>
      <c r="AJ215">
        <v>12.258993804980001</v>
      </c>
      <c r="AK215">
        <v>4.4026031141948003</v>
      </c>
      <c r="AL215">
        <v>0</v>
      </c>
      <c r="AM215">
        <v>1919.4983419478044</v>
      </c>
      <c r="AN215">
        <v>535.24552471523873</v>
      </c>
      <c r="AO215">
        <v>4.6004664130800004</v>
      </c>
      <c r="AP215">
        <v>10.366042300279169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9.6067841948999995</v>
      </c>
      <c r="AW215">
        <v>0</v>
      </c>
      <c r="AX215">
        <v>0</v>
      </c>
      <c r="AY215">
        <v>20.145358848474906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2">
      <c r="A216" t="s">
        <v>1387</v>
      </c>
      <c r="B216" t="s">
        <v>1173</v>
      </c>
      <c r="C216" t="s">
        <v>697</v>
      </c>
      <c r="D216">
        <v>2017</v>
      </c>
      <c r="E216" t="s">
        <v>1174</v>
      </c>
      <c r="F216" t="s">
        <v>1175</v>
      </c>
      <c r="G216">
        <v>10284.486471125101</v>
      </c>
      <c r="H216">
        <v>10179.264190041797</v>
      </c>
      <c r="I216">
        <v>105.22228095812372</v>
      </c>
      <c r="J216">
        <v>264.72270149929903</v>
      </c>
      <c r="K216">
        <v>697.57069131482558</v>
      </c>
      <c r="L216">
        <v>30.140693163191202</v>
      </c>
      <c r="M216">
        <v>155.43027185751288</v>
      </c>
      <c r="N216">
        <v>5777.2467431733949</v>
      </c>
      <c r="O216">
        <v>3254.153089033573</v>
      </c>
      <c r="P216">
        <v>105.22228095812372</v>
      </c>
      <c r="Q216">
        <v>0</v>
      </c>
      <c r="R216">
        <v>0</v>
      </c>
      <c r="S216">
        <v>0.29887073038598849</v>
      </c>
      <c r="T216">
        <v>264.42383076891304</v>
      </c>
      <c r="U216">
        <v>0</v>
      </c>
      <c r="V216">
        <v>304.38576365037477</v>
      </c>
      <c r="W216">
        <v>15.560096081091402</v>
      </c>
      <c r="X216">
        <v>231.86972235658678</v>
      </c>
      <c r="Y216">
        <v>19.551358635483101</v>
      </c>
      <c r="Z216">
        <v>126.20375059128958</v>
      </c>
      <c r="AA216">
        <v>0</v>
      </c>
      <c r="AB216">
        <v>0</v>
      </c>
      <c r="AC216">
        <v>2.0683234589317001</v>
      </c>
      <c r="AD216">
        <v>0</v>
      </c>
      <c r="AE216">
        <v>28.072369704259501</v>
      </c>
      <c r="AF216">
        <v>0</v>
      </c>
      <c r="AG216">
        <v>10.401062429990928</v>
      </c>
      <c r="AH216">
        <v>49.047408256859015</v>
      </c>
      <c r="AI216">
        <v>0.56365215213600006</v>
      </c>
      <c r="AJ216">
        <v>0</v>
      </c>
      <c r="AK216">
        <v>95.418149018526947</v>
      </c>
      <c r="AL216">
        <v>18.1090551432289</v>
      </c>
      <c r="AM216">
        <v>5759.1376880301659</v>
      </c>
      <c r="AN216">
        <v>2561.5844578790839</v>
      </c>
      <c r="AO216">
        <v>586.31356020272369</v>
      </c>
      <c r="AP216">
        <v>106.2550709517654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1.9262741452300001</v>
      </c>
      <c r="AW216">
        <v>0</v>
      </c>
      <c r="AX216">
        <v>0</v>
      </c>
      <c r="AY216">
        <v>103.29600681289372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">
      <c r="A217" t="s">
        <v>1388</v>
      </c>
      <c r="B217" t="s">
        <v>1173</v>
      </c>
      <c r="C217" t="s">
        <v>78</v>
      </c>
      <c r="D217">
        <v>2017</v>
      </c>
      <c r="E217" t="s">
        <v>1174</v>
      </c>
      <c r="F217" t="s">
        <v>1175</v>
      </c>
      <c r="G217">
        <v>8146.1871039107991</v>
      </c>
      <c r="H217">
        <v>8010.724268516311</v>
      </c>
      <c r="I217">
        <v>135.46283539257348</v>
      </c>
      <c r="J217">
        <v>200.82074869560094</v>
      </c>
      <c r="K217">
        <v>838.68927227302015</v>
      </c>
      <c r="L217">
        <v>18.927335841487299</v>
      </c>
      <c r="M217">
        <v>259.29722743345985</v>
      </c>
      <c r="N217">
        <v>4882.2348474355013</v>
      </c>
      <c r="O217">
        <v>1810.7548368372413</v>
      </c>
      <c r="P217">
        <v>135.46283539257348</v>
      </c>
      <c r="Q217">
        <v>0</v>
      </c>
      <c r="R217">
        <v>0</v>
      </c>
      <c r="S217">
        <v>15.750840679898401</v>
      </c>
      <c r="T217">
        <v>185.06990801570254</v>
      </c>
      <c r="U217">
        <v>0</v>
      </c>
      <c r="V217">
        <v>603.11568388383773</v>
      </c>
      <c r="W217">
        <v>29.655167595217605</v>
      </c>
      <c r="X217">
        <v>33.786629336310597</v>
      </c>
      <c r="Y217">
        <v>52.099734482571897</v>
      </c>
      <c r="Z217">
        <v>120.03205697508231</v>
      </c>
      <c r="AA217">
        <v>0</v>
      </c>
      <c r="AB217">
        <v>0</v>
      </c>
      <c r="AC217">
        <v>4.5062350337930006</v>
      </c>
      <c r="AD217">
        <v>0</v>
      </c>
      <c r="AE217">
        <v>14.4211008076943</v>
      </c>
      <c r="AF217">
        <v>0</v>
      </c>
      <c r="AG217">
        <v>26.377086114449838</v>
      </c>
      <c r="AH217">
        <v>70.419246837381081</v>
      </c>
      <c r="AI217">
        <v>9.0352432475792011</v>
      </c>
      <c r="AJ217">
        <v>4.5002855043100007</v>
      </c>
      <c r="AK217">
        <v>148.96536572973972</v>
      </c>
      <c r="AL217">
        <v>17.380357437700802</v>
      </c>
      <c r="AM217">
        <v>4864.8544899978006</v>
      </c>
      <c r="AN217">
        <v>1502.6891483690379</v>
      </c>
      <c r="AO217">
        <v>155.10954001144393</v>
      </c>
      <c r="AP217">
        <v>152.95614845675965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7.7566881267777994</v>
      </c>
      <c r="AW217">
        <v>0</v>
      </c>
      <c r="AX217">
        <v>0</v>
      </c>
      <c r="AY217">
        <v>127.70614726579569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2">
      <c r="A218" t="s">
        <v>1389</v>
      </c>
      <c r="B218" t="s">
        <v>1173</v>
      </c>
      <c r="C218" t="s">
        <v>718</v>
      </c>
      <c r="D218">
        <v>2017</v>
      </c>
      <c r="E218" t="s">
        <v>1174</v>
      </c>
      <c r="F218" t="s">
        <v>1175</v>
      </c>
      <c r="G218">
        <v>7308.6769568226991</v>
      </c>
      <c r="H218">
        <v>7142.9403186695872</v>
      </c>
      <c r="I218">
        <v>165.73663815410217</v>
      </c>
      <c r="J218">
        <v>314.60337540773787</v>
      </c>
      <c r="K218">
        <v>1550.6110926363124</v>
      </c>
      <c r="L218">
        <v>106.78836391289839</v>
      </c>
      <c r="M218">
        <v>432.32329537919895</v>
      </c>
      <c r="N218">
        <v>3313.3846913489956</v>
      </c>
      <c r="O218">
        <v>1425.229499984443</v>
      </c>
      <c r="P218">
        <v>165.73663815410217</v>
      </c>
      <c r="Q218">
        <v>0</v>
      </c>
      <c r="R218">
        <v>0</v>
      </c>
      <c r="S218">
        <v>27.892814879887084</v>
      </c>
      <c r="T218">
        <v>286.71056052785076</v>
      </c>
      <c r="U218">
        <v>0</v>
      </c>
      <c r="V218">
        <v>852.39065893696738</v>
      </c>
      <c r="W218">
        <v>36.880508221788098</v>
      </c>
      <c r="X218">
        <v>29.011294477345004</v>
      </c>
      <c r="Y218">
        <v>58.286819912543905</v>
      </c>
      <c r="Z218">
        <v>574.04181108766795</v>
      </c>
      <c r="AA218">
        <v>0</v>
      </c>
      <c r="AB218">
        <v>0</v>
      </c>
      <c r="AC218">
        <v>5.97300611623879</v>
      </c>
      <c r="AD218">
        <v>0</v>
      </c>
      <c r="AE218">
        <v>100.8153577966596</v>
      </c>
      <c r="AF218">
        <v>0</v>
      </c>
      <c r="AG218">
        <v>103.74947570735958</v>
      </c>
      <c r="AH218">
        <v>198.37738593417021</v>
      </c>
      <c r="AI218">
        <v>6.3121553795286989</v>
      </c>
      <c r="AJ218">
        <v>38.578543331335901</v>
      </c>
      <c r="AK218">
        <v>85.305735026804598</v>
      </c>
      <c r="AL218">
        <v>27.3953935291057</v>
      </c>
      <c r="AM218">
        <v>3285.98929781989</v>
      </c>
      <c r="AN218">
        <v>1372.1897130874277</v>
      </c>
      <c r="AO218">
        <v>53.039786897015318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10.894420032915999</v>
      </c>
      <c r="AW218">
        <v>0</v>
      </c>
      <c r="AX218">
        <v>0</v>
      </c>
      <c r="AY218">
        <v>154.84221812118616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2">
      <c r="A219" t="s">
        <v>1390</v>
      </c>
      <c r="B219" t="s">
        <v>1173</v>
      </c>
      <c r="C219" t="s">
        <v>81</v>
      </c>
      <c r="D219">
        <v>2017</v>
      </c>
      <c r="E219" t="s">
        <v>1174</v>
      </c>
      <c r="F219" t="s">
        <v>1175</v>
      </c>
      <c r="G219">
        <v>17092.9379231249</v>
      </c>
      <c r="H219">
        <v>16200.936549364615</v>
      </c>
      <c r="I219">
        <v>892.00137376308692</v>
      </c>
      <c r="J219">
        <v>641.09427804663869</v>
      </c>
      <c r="K219">
        <v>2364.1362422969773</v>
      </c>
      <c r="L219">
        <v>129.50224510014164</v>
      </c>
      <c r="M219">
        <v>533.35316485453086</v>
      </c>
      <c r="N219">
        <v>11617.715909407945</v>
      </c>
      <c r="O219">
        <v>915.13470965838076</v>
      </c>
      <c r="P219">
        <v>892.00137376308692</v>
      </c>
      <c r="Q219">
        <v>0</v>
      </c>
      <c r="R219">
        <v>0</v>
      </c>
      <c r="S219">
        <v>40.243405861945561</v>
      </c>
      <c r="T219">
        <v>600.85087218469312</v>
      </c>
      <c r="U219">
        <v>0</v>
      </c>
      <c r="V219">
        <v>1574.6144408704349</v>
      </c>
      <c r="W219">
        <v>49.394277516610401</v>
      </c>
      <c r="X219">
        <v>51.716015860868886</v>
      </c>
      <c r="Y219">
        <v>69.566916606141291</v>
      </c>
      <c r="Z219">
        <v>618.8445914429218</v>
      </c>
      <c r="AA219">
        <v>10.6746546201438</v>
      </c>
      <c r="AB219">
        <v>2.7299502991051003</v>
      </c>
      <c r="AC219">
        <v>12.971676066917901</v>
      </c>
      <c r="AD219">
        <v>3.8893541251333001</v>
      </c>
      <c r="AE219">
        <v>95.025080761855548</v>
      </c>
      <c r="AF219">
        <v>4.2115292269860003</v>
      </c>
      <c r="AG219">
        <v>182.34648807554908</v>
      </c>
      <c r="AH219">
        <v>173.36850216005999</v>
      </c>
      <c r="AI219">
        <v>12.443865192106502</v>
      </c>
      <c r="AJ219">
        <v>110.87341526483218</v>
      </c>
      <c r="AK219">
        <v>54.320894161983162</v>
      </c>
      <c r="AL219">
        <v>5.4679829747009991</v>
      </c>
      <c r="AM219">
        <v>11612.247926433245</v>
      </c>
      <c r="AN219">
        <v>811.32770069896901</v>
      </c>
      <c r="AO219">
        <v>47.197234149806405</v>
      </c>
      <c r="AP219">
        <v>56.609774809605398</v>
      </c>
      <c r="AQ219">
        <v>0</v>
      </c>
      <c r="AR219">
        <v>0</v>
      </c>
      <c r="AS219">
        <v>293.15728576920242</v>
      </c>
      <c r="AT219">
        <v>0</v>
      </c>
      <c r="AU219">
        <v>0</v>
      </c>
      <c r="AV219">
        <v>203.54768180174645</v>
      </c>
      <c r="AW219">
        <v>6.7824145933080002</v>
      </c>
      <c r="AX219">
        <v>0</v>
      </c>
      <c r="AY219">
        <v>388.5139915988301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2">
      <c r="A220" t="s">
        <v>1391</v>
      </c>
      <c r="B220" t="s">
        <v>1173</v>
      </c>
      <c r="C220" t="s">
        <v>804</v>
      </c>
      <c r="D220">
        <v>2017</v>
      </c>
      <c r="E220" t="s">
        <v>1174</v>
      </c>
      <c r="F220" t="s">
        <v>1175</v>
      </c>
      <c r="G220">
        <v>6447.5178913300997</v>
      </c>
      <c r="H220">
        <v>6438.0361000806151</v>
      </c>
      <c r="I220">
        <v>9.4817912493076779</v>
      </c>
      <c r="J220">
        <v>223.11397085743346</v>
      </c>
      <c r="K220">
        <v>611.32133432428918</v>
      </c>
      <c r="L220">
        <v>29.433958218163102</v>
      </c>
      <c r="M220">
        <v>83.982597295465425</v>
      </c>
      <c r="N220">
        <v>4212.084493760558</v>
      </c>
      <c r="O220">
        <v>1278.0997456247057</v>
      </c>
      <c r="P220">
        <v>9.4817912493076779</v>
      </c>
      <c r="Q220">
        <v>0</v>
      </c>
      <c r="R220">
        <v>0</v>
      </c>
      <c r="S220">
        <v>2.7149371308435</v>
      </c>
      <c r="T220">
        <v>220.39903372658995</v>
      </c>
      <c r="U220">
        <v>0</v>
      </c>
      <c r="V220">
        <v>457.06053443528134</v>
      </c>
      <c r="W220">
        <v>6.8104219102920007</v>
      </c>
      <c r="X220">
        <v>52.114659582681497</v>
      </c>
      <c r="Y220">
        <v>5.5287362413599999</v>
      </c>
      <c r="Z220">
        <v>89.806982154674287</v>
      </c>
      <c r="AA220">
        <v>0</v>
      </c>
      <c r="AB220">
        <v>8.1831089215485004</v>
      </c>
      <c r="AC220">
        <v>4.5535392342190004</v>
      </c>
      <c r="AD220">
        <v>0.72485980201170008</v>
      </c>
      <c r="AE220">
        <v>15.972450260383901</v>
      </c>
      <c r="AF220">
        <v>0</v>
      </c>
      <c r="AG220">
        <v>9.9645031484414996</v>
      </c>
      <c r="AH220">
        <v>35.80012410843301</v>
      </c>
      <c r="AI220">
        <v>0</v>
      </c>
      <c r="AJ220">
        <v>0</v>
      </c>
      <c r="AK220">
        <v>38.217970038590913</v>
      </c>
      <c r="AL220">
        <v>16.112496999892798</v>
      </c>
      <c r="AM220">
        <v>4195.9719967606652</v>
      </c>
      <c r="AN220">
        <v>1189.0838001240668</v>
      </c>
      <c r="AO220">
        <v>84.920515797667619</v>
      </c>
      <c r="AP220">
        <v>4.0954297029714999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9.4817912493076779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2">
      <c r="A221" t="s">
        <v>1392</v>
      </c>
      <c r="B221" t="s">
        <v>1173</v>
      </c>
      <c r="C221" t="s">
        <v>823</v>
      </c>
      <c r="D221">
        <v>2017</v>
      </c>
      <c r="E221" t="s">
        <v>1174</v>
      </c>
      <c r="F221" t="s">
        <v>1175</v>
      </c>
      <c r="G221">
        <v>5934.1507290340996</v>
      </c>
      <c r="H221">
        <v>5834.9857361826016</v>
      </c>
      <c r="I221">
        <v>99.164992839222236</v>
      </c>
      <c r="J221">
        <v>203.2737835855668</v>
      </c>
      <c r="K221">
        <v>655.06644996519697</v>
      </c>
      <c r="L221">
        <v>26.138932830649303</v>
      </c>
      <c r="M221">
        <v>138.18868654048009</v>
      </c>
      <c r="N221">
        <v>4386.7168107030475</v>
      </c>
      <c r="O221">
        <v>425.60107255766093</v>
      </c>
      <c r="P221">
        <v>99.164992839222236</v>
      </c>
      <c r="Q221">
        <v>0</v>
      </c>
      <c r="R221">
        <v>0</v>
      </c>
      <c r="S221">
        <v>0</v>
      </c>
      <c r="T221">
        <v>203.2737835855668</v>
      </c>
      <c r="U221">
        <v>0</v>
      </c>
      <c r="V221">
        <v>543.26648182376721</v>
      </c>
      <c r="W221">
        <v>4.5213060969640004</v>
      </c>
      <c r="X221">
        <v>0</v>
      </c>
      <c r="Y221">
        <v>49.577104284281724</v>
      </c>
      <c r="Z221">
        <v>57.701557760183988</v>
      </c>
      <c r="AA221">
        <v>0</v>
      </c>
      <c r="AB221">
        <v>0</v>
      </c>
      <c r="AC221">
        <v>4.0481844545407997</v>
      </c>
      <c r="AD221">
        <v>0</v>
      </c>
      <c r="AE221">
        <v>22.090748376108504</v>
      </c>
      <c r="AF221">
        <v>0</v>
      </c>
      <c r="AG221">
        <v>19.049096494250101</v>
      </c>
      <c r="AH221">
        <v>97.666340300930116</v>
      </c>
      <c r="AI221">
        <v>3.5613001444121002</v>
      </c>
      <c r="AJ221">
        <v>6.8494792743896005</v>
      </c>
      <c r="AK221">
        <v>11.062470326498197</v>
      </c>
      <c r="AL221">
        <v>1.3377329905800002</v>
      </c>
      <c r="AM221">
        <v>4385.3790777124677</v>
      </c>
      <c r="AN221">
        <v>398.62150097121412</v>
      </c>
      <c r="AO221">
        <v>10.27699559293</v>
      </c>
      <c r="AP221">
        <v>16.702575993516799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14.596629639900002</v>
      </c>
      <c r="AW221">
        <v>0</v>
      </c>
      <c r="AX221">
        <v>0</v>
      </c>
      <c r="AY221">
        <v>84.568363199322235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2">
      <c r="A222" t="s">
        <v>1393</v>
      </c>
      <c r="B222" t="s">
        <v>1173</v>
      </c>
      <c r="C222" t="s">
        <v>839</v>
      </c>
      <c r="D222">
        <v>2017</v>
      </c>
      <c r="E222" t="s">
        <v>1174</v>
      </c>
      <c r="F222" t="s">
        <v>1175</v>
      </c>
      <c r="G222">
        <v>8150.0588371784006</v>
      </c>
      <c r="H222">
        <v>8009.7911278764632</v>
      </c>
      <c r="I222">
        <v>140.26770930473887</v>
      </c>
      <c r="J222">
        <v>258.07814185581009</v>
      </c>
      <c r="K222">
        <v>492.37687148871197</v>
      </c>
      <c r="L222">
        <v>30.140296419941318</v>
      </c>
      <c r="M222">
        <v>148.32538185633851</v>
      </c>
      <c r="N222">
        <v>5422.4823241943177</v>
      </c>
      <c r="O222">
        <v>1658.3881120613432</v>
      </c>
      <c r="P222">
        <v>140.26770930473887</v>
      </c>
      <c r="Q222">
        <v>0</v>
      </c>
      <c r="R222">
        <v>0</v>
      </c>
      <c r="S222">
        <v>0</v>
      </c>
      <c r="T222">
        <v>258.07814185581009</v>
      </c>
      <c r="U222">
        <v>0</v>
      </c>
      <c r="V222">
        <v>329.08433578631866</v>
      </c>
      <c r="W222">
        <v>15.3536001399842</v>
      </c>
      <c r="X222">
        <v>6.6686128148356003</v>
      </c>
      <c r="Y222">
        <v>13.045386716463101</v>
      </c>
      <c r="Z222">
        <v>128.22493603111036</v>
      </c>
      <c r="AA222">
        <v>5.2506103180500006</v>
      </c>
      <c r="AB222">
        <v>0</v>
      </c>
      <c r="AC222">
        <v>1.7971940293660003</v>
      </c>
      <c r="AD222">
        <v>0</v>
      </c>
      <c r="AE222">
        <v>23.092492072525317</v>
      </c>
      <c r="AF222">
        <v>0</v>
      </c>
      <c r="AG222">
        <v>13.881350258203508</v>
      </c>
      <c r="AH222">
        <v>104.31037003512451</v>
      </c>
      <c r="AI222">
        <v>2.373936641537</v>
      </c>
      <c r="AJ222">
        <v>2.9113875867543002</v>
      </c>
      <c r="AK222">
        <v>24.848337334719197</v>
      </c>
      <c r="AL222">
        <v>105.4925420012765</v>
      </c>
      <c r="AM222">
        <v>5316.9897821930408</v>
      </c>
      <c r="AN222">
        <v>1390.4461305198879</v>
      </c>
      <c r="AO222">
        <v>204.67067820429116</v>
      </c>
      <c r="AP222">
        <v>63.271303337164291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140.26770930473887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x14ac:dyDescent="0.2">
      <c r="A223" t="s">
        <v>1394</v>
      </c>
      <c r="B223" t="s">
        <v>1173</v>
      </c>
      <c r="C223" t="s">
        <v>842</v>
      </c>
      <c r="D223">
        <v>2017</v>
      </c>
      <c r="E223" t="s">
        <v>1174</v>
      </c>
      <c r="F223" t="s">
        <v>1175</v>
      </c>
      <c r="G223">
        <v>2650.6821628671</v>
      </c>
      <c r="H223">
        <v>2595.1398759788153</v>
      </c>
      <c r="I223">
        <v>55.542286887518827</v>
      </c>
      <c r="J223">
        <v>118.68201131822907</v>
      </c>
      <c r="K223">
        <v>663.0913550082438</v>
      </c>
      <c r="L223">
        <v>74.006028545784289</v>
      </c>
      <c r="M223">
        <v>73.519519285648158</v>
      </c>
      <c r="N223">
        <v>1178.9074300338691</v>
      </c>
      <c r="O223">
        <v>486.93353178704075</v>
      </c>
      <c r="P223">
        <v>55.542286887518827</v>
      </c>
      <c r="Q223">
        <v>0</v>
      </c>
      <c r="R223">
        <v>0</v>
      </c>
      <c r="S223">
        <v>0</v>
      </c>
      <c r="T223">
        <v>118.68201131822907</v>
      </c>
      <c r="U223">
        <v>0</v>
      </c>
      <c r="V223">
        <v>401.45137982278908</v>
      </c>
      <c r="W223">
        <v>24.640852711681106</v>
      </c>
      <c r="X223">
        <v>5.3581339565000006</v>
      </c>
      <c r="Y223">
        <v>5.7946980251989988</v>
      </c>
      <c r="Z223">
        <v>225.84629049207456</v>
      </c>
      <c r="AA223">
        <v>0</v>
      </c>
      <c r="AB223">
        <v>0</v>
      </c>
      <c r="AC223">
        <v>4.2209084934369994</v>
      </c>
      <c r="AD223">
        <v>0</v>
      </c>
      <c r="AE223">
        <v>69.785120052347295</v>
      </c>
      <c r="AF223">
        <v>0</v>
      </c>
      <c r="AG223">
        <v>27.377605046250071</v>
      </c>
      <c r="AH223">
        <v>32.7725403940684</v>
      </c>
      <c r="AI223">
        <v>1.2036381441499999</v>
      </c>
      <c r="AJ223">
        <v>12.165735701179699</v>
      </c>
      <c r="AK223">
        <v>0</v>
      </c>
      <c r="AL223">
        <v>0</v>
      </c>
      <c r="AM223">
        <v>1178.9074300338691</v>
      </c>
      <c r="AN223">
        <v>452.12595485973077</v>
      </c>
      <c r="AO223">
        <v>25.845098731152003</v>
      </c>
      <c r="AP223">
        <v>8.9624781961579991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14.9004183189</v>
      </c>
      <c r="AW223">
        <v>0</v>
      </c>
      <c r="AX223">
        <v>1.0040966200804</v>
      </c>
      <c r="AY223">
        <v>39.637771948538429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">
      <c r="A224" t="s">
        <v>1395</v>
      </c>
      <c r="B224" t="s">
        <v>1173</v>
      </c>
      <c r="C224" t="s">
        <v>854</v>
      </c>
      <c r="D224">
        <v>2017</v>
      </c>
      <c r="E224" t="s">
        <v>1174</v>
      </c>
      <c r="F224" t="s">
        <v>1175</v>
      </c>
      <c r="G224">
        <v>15914.188343268701</v>
      </c>
      <c r="H224">
        <v>14650.394029482462</v>
      </c>
      <c r="I224">
        <v>1263.7943137857617</v>
      </c>
      <c r="J224">
        <v>458.24011424076792</v>
      </c>
      <c r="K224">
        <v>661.27210718017704</v>
      </c>
      <c r="L224">
        <v>77.553806671793339</v>
      </c>
      <c r="M224">
        <v>121.44030596409695</v>
      </c>
      <c r="N224">
        <v>12493.523882467851</v>
      </c>
      <c r="O224">
        <v>838.36381295777505</v>
      </c>
      <c r="P224">
        <v>1263.7943137857617</v>
      </c>
      <c r="Q224">
        <v>0</v>
      </c>
      <c r="R224">
        <v>0</v>
      </c>
      <c r="S224">
        <v>0</v>
      </c>
      <c r="T224">
        <v>458.24011424076792</v>
      </c>
      <c r="U224">
        <v>0</v>
      </c>
      <c r="V224">
        <v>380.60395895798604</v>
      </c>
      <c r="W224">
        <v>10.523051619161899</v>
      </c>
      <c r="X224">
        <v>38.832544639123078</v>
      </c>
      <c r="Y224">
        <v>2.5898755530447999</v>
      </c>
      <c r="Z224">
        <v>228.72267641086123</v>
      </c>
      <c r="AA224">
        <v>0</v>
      </c>
      <c r="AB224">
        <v>0</v>
      </c>
      <c r="AC224">
        <v>7.9031129296055997</v>
      </c>
      <c r="AD224">
        <v>0</v>
      </c>
      <c r="AE224">
        <v>24.12206359229797</v>
      </c>
      <c r="AF224">
        <v>45.528630149889771</v>
      </c>
      <c r="AG224">
        <v>27.018278348625451</v>
      </c>
      <c r="AH224">
        <v>51.247345761709866</v>
      </c>
      <c r="AI224">
        <v>4.2119049932781305</v>
      </c>
      <c r="AJ224">
        <v>17.524851126259001</v>
      </c>
      <c r="AK224">
        <v>21.437925734224507</v>
      </c>
      <c r="AL224">
        <v>198.57042760276477</v>
      </c>
      <c r="AM224">
        <v>12294.953454865086</v>
      </c>
      <c r="AN224">
        <v>285.8764345627917</v>
      </c>
      <c r="AO224">
        <v>11.782541562899999</v>
      </c>
      <c r="AP224">
        <v>540.70483683208329</v>
      </c>
      <c r="AQ224">
        <v>0</v>
      </c>
      <c r="AR224">
        <v>834.98282803609641</v>
      </c>
      <c r="AS224">
        <v>0</v>
      </c>
      <c r="AT224">
        <v>0</v>
      </c>
      <c r="AU224">
        <v>0</v>
      </c>
      <c r="AV224">
        <v>20.0836000168268</v>
      </c>
      <c r="AW224">
        <v>0</v>
      </c>
      <c r="AX224">
        <v>31.356809323964001</v>
      </c>
      <c r="AY224">
        <v>377.37107640887439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 x14ac:dyDescent="0.2">
      <c r="A225" t="s">
        <v>1396</v>
      </c>
      <c r="B225" t="s">
        <v>1173</v>
      </c>
      <c r="C225" t="s">
        <v>979</v>
      </c>
      <c r="D225">
        <v>2017</v>
      </c>
      <c r="E225" t="s">
        <v>1174</v>
      </c>
      <c r="F225" t="s">
        <v>1175</v>
      </c>
      <c r="G225">
        <v>11566.125155231901</v>
      </c>
      <c r="H225">
        <v>5199.2611682177503</v>
      </c>
      <c r="I225">
        <v>6366.8639870180086</v>
      </c>
      <c r="J225">
        <v>154.61559070833175</v>
      </c>
      <c r="K225">
        <v>282.66907043167441</v>
      </c>
      <c r="L225">
        <v>53.351020880079091</v>
      </c>
      <c r="M225">
        <v>93.459689096476396</v>
      </c>
      <c r="N225">
        <v>4494.015966252402</v>
      </c>
      <c r="O225">
        <v>121.14983084878649</v>
      </c>
      <c r="P225">
        <v>6366.8639870180086</v>
      </c>
      <c r="Q225">
        <v>0</v>
      </c>
      <c r="R225">
        <v>0</v>
      </c>
      <c r="S225">
        <v>0</v>
      </c>
      <c r="T225">
        <v>154.61559070833175</v>
      </c>
      <c r="U225">
        <v>0</v>
      </c>
      <c r="V225">
        <v>235.7930170020889</v>
      </c>
      <c r="W225">
        <v>5.8712994669122303</v>
      </c>
      <c r="X225">
        <v>8.1050832411550005</v>
      </c>
      <c r="Y225">
        <v>4.1722809161000001</v>
      </c>
      <c r="Z225">
        <v>28.727389805418298</v>
      </c>
      <c r="AA225">
        <v>2.8271904263310002</v>
      </c>
      <c r="AB225">
        <v>0</v>
      </c>
      <c r="AC225">
        <v>4.4418055453816008</v>
      </c>
      <c r="AD225">
        <v>0</v>
      </c>
      <c r="AE225">
        <v>4.0126808815884001</v>
      </c>
      <c r="AF225">
        <v>42.06934402677809</v>
      </c>
      <c r="AG225">
        <v>11.3274454450794</v>
      </c>
      <c r="AH225">
        <v>30.853823536028997</v>
      </c>
      <c r="AI225">
        <v>3.2023013452063993</v>
      </c>
      <c r="AJ225">
        <v>32.317503547201504</v>
      </c>
      <c r="AK225">
        <v>15.758615222960097</v>
      </c>
      <c r="AL225">
        <v>0</v>
      </c>
      <c r="AM225">
        <v>4494.015966252402</v>
      </c>
      <c r="AN225">
        <v>20.24792844659785</v>
      </c>
      <c r="AO225">
        <v>0</v>
      </c>
      <c r="AP225">
        <v>100.90190240218864</v>
      </c>
      <c r="AQ225">
        <v>5964.0119906617683</v>
      </c>
      <c r="AR225">
        <v>0</v>
      </c>
      <c r="AS225">
        <v>0</v>
      </c>
      <c r="AT225">
        <v>0</v>
      </c>
      <c r="AU225">
        <v>0</v>
      </c>
      <c r="AV225">
        <v>22.261236993291803</v>
      </c>
      <c r="AW225">
        <v>0</v>
      </c>
      <c r="AX225">
        <v>0</v>
      </c>
      <c r="AY225">
        <v>380.59075936294857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x14ac:dyDescent="0.2">
      <c r="A226" t="s">
        <v>1397</v>
      </c>
      <c r="B226" t="s">
        <v>1173</v>
      </c>
      <c r="C226" t="s">
        <v>96</v>
      </c>
      <c r="D226">
        <v>2017</v>
      </c>
      <c r="E226" t="s">
        <v>1174</v>
      </c>
      <c r="F226" t="s">
        <v>1175</v>
      </c>
      <c r="G226">
        <v>12845.9576879695</v>
      </c>
      <c r="H226">
        <v>12588.60606700889</v>
      </c>
      <c r="I226">
        <v>257.35162096017962</v>
      </c>
      <c r="J226">
        <v>649.84747747190659</v>
      </c>
      <c r="K226">
        <v>4209.6062646284299</v>
      </c>
      <c r="L226">
        <v>381.62991256592153</v>
      </c>
      <c r="M226">
        <v>816.13655600641437</v>
      </c>
      <c r="N226">
        <v>4496.132781500668</v>
      </c>
      <c r="O226">
        <v>2035.2530748355489</v>
      </c>
      <c r="P226">
        <v>257.35162096017962</v>
      </c>
      <c r="Q226">
        <v>0</v>
      </c>
      <c r="R226">
        <v>0</v>
      </c>
      <c r="S226">
        <v>55.244628053015369</v>
      </c>
      <c r="T226">
        <v>594.6028494188912</v>
      </c>
      <c r="U226">
        <v>0</v>
      </c>
      <c r="V226">
        <v>2570.1666473814239</v>
      </c>
      <c r="W226">
        <v>128.96936687610142</v>
      </c>
      <c r="X226">
        <v>79.372512897280004</v>
      </c>
      <c r="Y226">
        <v>280.42914942058962</v>
      </c>
      <c r="Z226">
        <v>1150.6685880530351</v>
      </c>
      <c r="AA226">
        <v>79.100344771689208</v>
      </c>
      <c r="AB226">
        <v>2.7008855512699999</v>
      </c>
      <c r="AC226">
        <v>32.222074367029379</v>
      </c>
      <c r="AD226">
        <v>0</v>
      </c>
      <c r="AE226">
        <v>267.60660787593292</v>
      </c>
      <c r="AF226">
        <v>0</v>
      </c>
      <c r="AG226">
        <v>438.2518291382865</v>
      </c>
      <c r="AH226">
        <v>317.85030923491092</v>
      </c>
      <c r="AI226">
        <v>36.508209808738791</v>
      </c>
      <c r="AJ226">
        <v>2.2030717464921898</v>
      </c>
      <c r="AK226">
        <v>21.323136077985801</v>
      </c>
      <c r="AL226">
        <v>8.6439519410765016</v>
      </c>
      <c r="AM226">
        <v>4487.4888295595911</v>
      </c>
      <c r="AN226">
        <v>1811.0627875126177</v>
      </c>
      <c r="AO226">
        <v>148.56398151096127</v>
      </c>
      <c r="AP226">
        <v>75.626305811969985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18.657709749770099</v>
      </c>
      <c r="AW226">
        <v>0</v>
      </c>
      <c r="AX226">
        <v>0</v>
      </c>
      <c r="AY226">
        <v>238.69391121040954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x14ac:dyDescent="0.2">
      <c r="A227" t="s">
        <v>1398</v>
      </c>
      <c r="B227" t="s">
        <v>1173</v>
      </c>
      <c r="C227" t="s">
        <v>919</v>
      </c>
      <c r="D227">
        <v>2017</v>
      </c>
      <c r="E227" t="s">
        <v>1174</v>
      </c>
      <c r="F227" t="s">
        <v>1175</v>
      </c>
      <c r="G227">
        <v>5650.1690417841</v>
      </c>
      <c r="H227">
        <v>5490.5285608962686</v>
      </c>
      <c r="I227">
        <v>159.64048088950989</v>
      </c>
      <c r="J227">
        <v>97.49588326691152</v>
      </c>
      <c r="K227">
        <v>784.7169810054686</v>
      </c>
      <c r="L227">
        <v>21.003142014354498</v>
      </c>
      <c r="M227">
        <v>223.80280018891528</v>
      </c>
      <c r="N227">
        <v>2468.7510973752869</v>
      </c>
      <c r="O227">
        <v>1894.7586570453318</v>
      </c>
      <c r="P227">
        <v>159.64048088950989</v>
      </c>
      <c r="Q227">
        <v>0</v>
      </c>
      <c r="R227">
        <v>0</v>
      </c>
      <c r="S227">
        <v>0</v>
      </c>
      <c r="T227">
        <v>97.49588326691152</v>
      </c>
      <c r="U227">
        <v>0</v>
      </c>
      <c r="V227">
        <v>581.48285385208374</v>
      </c>
      <c r="W227">
        <v>22.114481311940764</v>
      </c>
      <c r="X227">
        <v>16.806908025588999</v>
      </c>
      <c r="Y227">
        <v>15.987075818043531</v>
      </c>
      <c r="Z227">
        <v>148.32566199781155</v>
      </c>
      <c r="AA227">
        <v>0</v>
      </c>
      <c r="AB227">
        <v>0</v>
      </c>
      <c r="AC227">
        <v>6.3415323118925011</v>
      </c>
      <c r="AD227">
        <v>0</v>
      </c>
      <c r="AE227">
        <v>14.661609702461998</v>
      </c>
      <c r="AF227">
        <v>0</v>
      </c>
      <c r="AG227">
        <v>36.515848192531507</v>
      </c>
      <c r="AH227">
        <v>150.42222669191247</v>
      </c>
      <c r="AI227">
        <v>6.1997653082966</v>
      </c>
      <c r="AJ227">
        <v>17.287000351914902</v>
      </c>
      <c r="AK227">
        <v>13.377959644259798</v>
      </c>
      <c r="AL227">
        <v>0</v>
      </c>
      <c r="AM227">
        <v>2468.7510973752869</v>
      </c>
      <c r="AN227">
        <v>1546.0493300617984</v>
      </c>
      <c r="AO227">
        <v>292.3610097475717</v>
      </c>
      <c r="AP227">
        <v>56.348317235961687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41.206672347305997</v>
      </c>
      <c r="AW227">
        <v>0</v>
      </c>
      <c r="AX227">
        <v>0</v>
      </c>
      <c r="AY227">
        <v>118.43380854220388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x14ac:dyDescent="0.2">
      <c r="A228" t="s">
        <v>1399</v>
      </c>
      <c r="B228" t="s">
        <v>1173</v>
      </c>
      <c r="C228" t="s">
        <v>929</v>
      </c>
      <c r="D228">
        <v>2017</v>
      </c>
      <c r="E228" t="s">
        <v>1174</v>
      </c>
      <c r="F228" t="s">
        <v>1175</v>
      </c>
      <c r="G228">
        <v>3188.5448106968997</v>
      </c>
      <c r="H228">
        <v>3167.8849915651945</v>
      </c>
      <c r="I228">
        <v>20.659819131681424</v>
      </c>
      <c r="J228">
        <v>115.88618944200719</v>
      </c>
      <c r="K228">
        <v>1096.0801981437369</v>
      </c>
      <c r="L228">
        <v>74.414091303078052</v>
      </c>
      <c r="M228">
        <v>234.7002362223181</v>
      </c>
      <c r="N228">
        <v>1179.9494530524873</v>
      </c>
      <c r="O228">
        <v>466.85482340156716</v>
      </c>
      <c r="P228">
        <v>20.659819131681424</v>
      </c>
      <c r="Q228">
        <v>0</v>
      </c>
      <c r="R228">
        <v>0</v>
      </c>
      <c r="S228">
        <v>0</v>
      </c>
      <c r="T228">
        <v>115.88618944200719</v>
      </c>
      <c r="U228">
        <v>0</v>
      </c>
      <c r="V228">
        <v>784.04233321759409</v>
      </c>
      <c r="W228">
        <v>36.295127678045198</v>
      </c>
      <c r="X228">
        <v>0</v>
      </c>
      <c r="Y228">
        <v>67.112512553964422</v>
      </c>
      <c r="Z228">
        <v>208.63022469413326</v>
      </c>
      <c r="AA228">
        <v>0</v>
      </c>
      <c r="AB228">
        <v>0</v>
      </c>
      <c r="AC228">
        <v>5.744351283058899</v>
      </c>
      <c r="AD228">
        <v>0</v>
      </c>
      <c r="AE228">
        <v>68.669740020019148</v>
      </c>
      <c r="AF228">
        <v>0</v>
      </c>
      <c r="AG228">
        <v>100.06852993476646</v>
      </c>
      <c r="AH228">
        <v>77.71100972080032</v>
      </c>
      <c r="AI228">
        <v>3.5083601098777004</v>
      </c>
      <c r="AJ228">
        <v>26.671487745971799</v>
      </c>
      <c r="AK228">
        <v>26.740848710901798</v>
      </c>
      <c r="AL228">
        <v>4.0166004710659999</v>
      </c>
      <c r="AM228">
        <v>1175.9328525814212</v>
      </c>
      <c r="AN228">
        <v>461.49529331769685</v>
      </c>
      <c r="AO228">
        <v>0</v>
      </c>
      <c r="AP228">
        <v>5.3595300838702995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12.872954765339999</v>
      </c>
      <c r="AW228">
        <v>0</v>
      </c>
      <c r="AX228">
        <v>0</v>
      </c>
      <c r="AY228">
        <v>7.7868643663414261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2">
      <c r="A229" t="s">
        <v>1400</v>
      </c>
      <c r="B229" t="s">
        <v>1173</v>
      </c>
      <c r="C229" t="s">
        <v>106</v>
      </c>
      <c r="D229">
        <v>2017</v>
      </c>
      <c r="E229" t="s">
        <v>1174</v>
      </c>
      <c r="F229" t="s">
        <v>1175</v>
      </c>
      <c r="G229">
        <v>6111.5611078514003</v>
      </c>
      <c r="H229">
        <v>6001.8943589764604</v>
      </c>
      <c r="I229">
        <v>109.66674887656579</v>
      </c>
      <c r="J229">
        <v>202.66366415356549</v>
      </c>
      <c r="K229">
        <v>867.78319462231696</v>
      </c>
      <c r="L229">
        <v>104.2785046165739</v>
      </c>
      <c r="M229">
        <v>261.58009554662476</v>
      </c>
      <c r="N229">
        <v>3238.2535129029707</v>
      </c>
      <c r="O229">
        <v>1327.3353871344091</v>
      </c>
      <c r="P229">
        <v>109.66674887656579</v>
      </c>
      <c r="Q229">
        <v>0</v>
      </c>
      <c r="R229">
        <v>0</v>
      </c>
      <c r="S229">
        <v>26.959115696736735</v>
      </c>
      <c r="T229">
        <v>175.70454845682875</v>
      </c>
      <c r="U229">
        <v>0</v>
      </c>
      <c r="V229">
        <v>570.70253707104814</v>
      </c>
      <c r="W229">
        <v>13.284195758446998</v>
      </c>
      <c r="X229">
        <v>80.731745440746408</v>
      </c>
      <c r="Y229">
        <v>143.26881783879986</v>
      </c>
      <c r="Z229">
        <v>59.795898513275617</v>
      </c>
      <c r="AA229">
        <v>1.3959968700400001</v>
      </c>
      <c r="AB229">
        <v>0</v>
      </c>
      <c r="AC229">
        <v>6.6278094831081003</v>
      </c>
      <c r="AD229">
        <v>0</v>
      </c>
      <c r="AE229">
        <v>96.254698263425794</v>
      </c>
      <c r="AF229">
        <v>0</v>
      </c>
      <c r="AG229">
        <v>56.498931372293342</v>
      </c>
      <c r="AH229">
        <v>79.122210463680887</v>
      </c>
      <c r="AI229">
        <v>10.598991841096698</v>
      </c>
      <c r="AJ229">
        <v>69.366634821779087</v>
      </c>
      <c r="AK229">
        <v>45.993327047774699</v>
      </c>
      <c r="AL229">
        <v>0</v>
      </c>
      <c r="AM229">
        <v>3238.2535129029707</v>
      </c>
      <c r="AN229">
        <v>1301.3413534887673</v>
      </c>
      <c r="AO229">
        <v>24.348612987451471</v>
      </c>
      <c r="AP229">
        <v>1.6454206581904001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53.355209296233149</v>
      </c>
      <c r="AW229">
        <v>0</v>
      </c>
      <c r="AX229">
        <v>0</v>
      </c>
      <c r="AY229">
        <v>56.311539580332642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2">
      <c r="A230" t="s">
        <v>1401</v>
      </c>
      <c r="B230" t="s">
        <v>1173</v>
      </c>
      <c r="C230" t="s">
        <v>965</v>
      </c>
      <c r="D230">
        <v>2017</v>
      </c>
      <c r="E230" t="s">
        <v>1174</v>
      </c>
      <c r="F230" t="s">
        <v>1175</v>
      </c>
      <c r="G230">
        <v>2266.3852606185001</v>
      </c>
      <c r="H230">
        <v>2238.4666474732403</v>
      </c>
      <c r="I230">
        <v>27.918613144845189</v>
      </c>
      <c r="J230">
        <v>52.17597100042483</v>
      </c>
      <c r="K230">
        <v>457.62201885109391</v>
      </c>
      <c r="L230">
        <v>7.2270077068990997</v>
      </c>
      <c r="M230">
        <v>40.848090877522104</v>
      </c>
      <c r="N230">
        <v>851.01527108073378</v>
      </c>
      <c r="O230">
        <v>829.57828795656633</v>
      </c>
      <c r="P230">
        <v>27.918613144845189</v>
      </c>
      <c r="Q230">
        <v>0</v>
      </c>
      <c r="R230">
        <v>0</v>
      </c>
      <c r="S230">
        <v>0</v>
      </c>
      <c r="T230">
        <v>52.17597100042483</v>
      </c>
      <c r="U230">
        <v>0</v>
      </c>
      <c r="V230">
        <v>420.12428788898217</v>
      </c>
      <c r="W230">
        <v>5.5575697413035599</v>
      </c>
      <c r="X230">
        <v>1.1262536681736</v>
      </c>
      <c r="Y230">
        <v>4.0308143319900003</v>
      </c>
      <c r="Z230">
        <v>26.783093220644602</v>
      </c>
      <c r="AA230">
        <v>0</v>
      </c>
      <c r="AB230">
        <v>0</v>
      </c>
      <c r="AC230">
        <v>2.5080514426690002</v>
      </c>
      <c r="AD230">
        <v>0</v>
      </c>
      <c r="AE230">
        <v>4.7189562642300995</v>
      </c>
      <c r="AF230">
        <v>0</v>
      </c>
      <c r="AG230">
        <v>8.5386341275239008</v>
      </c>
      <c r="AH230">
        <v>25.675171485106301</v>
      </c>
      <c r="AI230">
        <v>2.3598924042519998</v>
      </c>
      <c r="AJ230">
        <v>4.2743928606399004</v>
      </c>
      <c r="AK230">
        <v>0</v>
      </c>
      <c r="AL230">
        <v>0</v>
      </c>
      <c r="AM230">
        <v>851.01527108073378</v>
      </c>
      <c r="AN230">
        <v>779.74950062258972</v>
      </c>
      <c r="AO230">
        <v>45.269112386350798</v>
      </c>
      <c r="AP230">
        <v>4.5596749476258003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15.232592514899999</v>
      </c>
      <c r="AW230">
        <v>0</v>
      </c>
      <c r="AX230">
        <v>0</v>
      </c>
      <c r="AY230">
        <v>12.68602062994519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2">
      <c r="A231" t="s">
        <v>1402</v>
      </c>
      <c r="B231" t="s">
        <v>1173</v>
      </c>
      <c r="C231" t="s">
        <v>968</v>
      </c>
      <c r="D231">
        <v>2017</v>
      </c>
      <c r="E231" t="s">
        <v>1174</v>
      </c>
      <c r="F231" t="s">
        <v>1175</v>
      </c>
      <c r="G231">
        <v>6764.6236509696009</v>
      </c>
      <c r="H231">
        <v>6453.8438794393296</v>
      </c>
      <c r="I231">
        <v>310.77977153088671</v>
      </c>
      <c r="J231">
        <v>289.46359644481583</v>
      </c>
      <c r="K231">
        <v>1480.6766915658577</v>
      </c>
      <c r="L231">
        <v>109.41057826494699</v>
      </c>
      <c r="M231">
        <v>201.35052093975335</v>
      </c>
      <c r="N231">
        <v>4252.2184680624832</v>
      </c>
      <c r="O231">
        <v>120.72402416147293</v>
      </c>
      <c r="P231">
        <v>310.77977153088671</v>
      </c>
      <c r="Q231">
        <v>0</v>
      </c>
      <c r="R231">
        <v>0</v>
      </c>
      <c r="S231">
        <v>0</v>
      </c>
      <c r="T231">
        <v>289.46359644481583</v>
      </c>
      <c r="U231">
        <v>0</v>
      </c>
      <c r="V231">
        <v>849.63674287844856</v>
      </c>
      <c r="W231">
        <v>45.765670268353546</v>
      </c>
      <c r="X231">
        <v>34.464687116706791</v>
      </c>
      <c r="Y231">
        <v>28.346689088412543</v>
      </c>
      <c r="Z231">
        <v>522.46290221393633</v>
      </c>
      <c r="AA231">
        <v>0</v>
      </c>
      <c r="AB231">
        <v>2.1103379648354998</v>
      </c>
      <c r="AC231">
        <v>13.5515711187384</v>
      </c>
      <c r="AD231">
        <v>4.8534957282717004</v>
      </c>
      <c r="AE231">
        <v>82.793297099375394</v>
      </c>
      <c r="AF231">
        <v>6.1018763537259995</v>
      </c>
      <c r="AG231">
        <v>49.592250566193989</v>
      </c>
      <c r="AH231">
        <v>82.553049535956703</v>
      </c>
      <c r="AI231">
        <v>4.2027150498069004</v>
      </c>
      <c r="AJ231">
        <v>48.990772472345704</v>
      </c>
      <c r="AK231">
        <v>16.01173331545008</v>
      </c>
      <c r="AL231">
        <v>17.230685992075003</v>
      </c>
      <c r="AM231">
        <v>4234.9877820704078</v>
      </c>
      <c r="AN231">
        <v>85.136179551001007</v>
      </c>
      <c r="AO231">
        <v>0</v>
      </c>
      <c r="AP231">
        <v>35.587844610471926</v>
      </c>
      <c r="AQ231">
        <v>0</v>
      </c>
      <c r="AR231">
        <v>0</v>
      </c>
      <c r="AS231">
        <v>121.132392365694</v>
      </c>
      <c r="AT231">
        <v>0</v>
      </c>
      <c r="AU231">
        <v>0</v>
      </c>
      <c r="AV231">
        <v>44.536582789827001</v>
      </c>
      <c r="AW231">
        <v>0</v>
      </c>
      <c r="AX231">
        <v>0</v>
      </c>
      <c r="AY231">
        <v>145.11079637536568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 x14ac:dyDescent="0.2">
      <c r="A232" t="s">
        <v>1403</v>
      </c>
      <c r="B232" t="s">
        <v>1173</v>
      </c>
      <c r="C232" t="s">
        <v>1019</v>
      </c>
      <c r="D232">
        <v>2017</v>
      </c>
      <c r="E232" t="s">
        <v>1174</v>
      </c>
      <c r="F232" t="s">
        <v>1175</v>
      </c>
      <c r="G232">
        <v>9197.0084891471997</v>
      </c>
      <c r="H232">
        <v>9165.6953548085294</v>
      </c>
      <c r="I232">
        <v>31.313131542110799</v>
      </c>
      <c r="J232">
        <v>358.30571346765669</v>
      </c>
      <c r="K232">
        <v>731.67017495556888</v>
      </c>
      <c r="L232">
        <v>42.177824741314005</v>
      </c>
      <c r="M232">
        <v>154.35711648047311</v>
      </c>
      <c r="N232">
        <v>4196.9524657993552</v>
      </c>
      <c r="O232">
        <v>3682.2320593641616</v>
      </c>
      <c r="P232">
        <v>31.313131542110799</v>
      </c>
      <c r="Q232">
        <v>0</v>
      </c>
      <c r="R232">
        <v>0</v>
      </c>
      <c r="S232">
        <v>8.0385792128142999</v>
      </c>
      <c r="T232">
        <v>234.16593666722309</v>
      </c>
      <c r="U232">
        <v>116.10119758761928</v>
      </c>
      <c r="V232">
        <v>461.57669423943713</v>
      </c>
      <c r="W232">
        <v>12.272208936810699</v>
      </c>
      <c r="X232">
        <v>134.67475721956313</v>
      </c>
      <c r="Y232">
        <v>8.0570557164267296</v>
      </c>
      <c r="Z232">
        <v>115.08945884333112</v>
      </c>
      <c r="AA232">
        <v>0</v>
      </c>
      <c r="AB232">
        <v>0.66784792649199998</v>
      </c>
      <c r="AC232">
        <v>13.368457654443599</v>
      </c>
      <c r="AD232">
        <v>0</v>
      </c>
      <c r="AE232">
        <v>27.292314171048407</v>
      </c>
      <c r="AF232">
        <v>0.84920498932999999</v>
      </c>
      <c r="AG232">
        <v>15.459628880616609</v>
      </c>
      <c r="AH232">
        <v>62.932044611902093</v>
      </c>
      <c r="AI232">
        <v>2.2713596932419997</v>
      </c>
      <c r="AJ232">
        <v>0.10632661255600001</v>
      </c>
      <c r="AK232">
        <v>73.587756682156382</v>
      </c>
      <c r="AL232">
        <v>1.8925249271968998</v>
      </c>
      <c r="AM232">
        <v>4195.0599408721582</v>
      </c>
      <c r="AN232">
        <v>3198.8219011684032</v>
      </c>
      <c r="AO232">
        <v>383.20668657864388</v>
      </c>
      <c r="AP232">
        <v>100.2034716171146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31.313131542110799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6" x14ac:dyDescent="0.2">
      <c r="A233" t="s">
        <v>1404</v>
      </c>
      <c r="B233" t="s">
        <v>1173</v>
      </c>
      <c r="C233" t="s">
        <v>1056</v>
      </c>
      <c r="D233">
        <v>2017</v>
      </c>
      <c r="E233" t="s">
        <v>1174</v>
      </c>
      <c r="F233" t="s">
        <v>1175</v>
      </c>
      <c r="G233">
        <v>12120.7154689001</v>
      </c>
      <c r="H233">
        <v>12059.023146168</v>
      </c>
      <c r="I233">
        <v>61.692322732391297</v>
      </c>
      <c r="J233">
        <v>249.11499718704746</v>
      </c>
      <c r="K233">
        <v>453.97083944509626</v>
      </c>
      <c r="L233">
        <v>19.105767366040503</v>
      </c>
      <c r="M233">
        <v>205.88527545975498</v>
      </c>
      <c r="N233">
        <v>9535.5703057432565</v>
      </c>
      <c r="O233">
        <v>1595.3759609668027</v>
      </c>
      <c r="P233">
        <v>61.692322732391297</v>
      </c>
      <c r="Q233">
        <v>0</v>
      </c>
      <c r="R233">
        <v>0</v>
      </c>
      <c r="S233">
        <v>0.23105785739455001</v>
      </c>
      <c r="T233">
        <v>248.88393932965292</v>
      </c>
      <c r="U233">
        <v>0</v>
      </c>
      <c r="V233">
        <v>305.6760702108042</v>
      </c>
      <c r="W233">
        <v>32.3437905447772</v>
      </c>
      <c r="X233">
        <v>0</v>
      </c>
      <c r="Y233">
        <v>24.566997934197097</v>
      </c>
      <c r="Z233">
        <v>91.383980755317737</v>
      </c>
      <c r="AA233">
        <v>0</v>
      </c>
      <c r="AB233">
        <v>1.972664567694</v>
      </c>
      <c r="AC233">
        <v>3.2228882293480994</v>
      </c>
      <c r="AD233">
        <v>0</v>
      </c>
      <c r="AE233">
        <v>13.910214568998402</v>
      </c>
      <c r="AF233">
        <v>0</v>
      </c>
      <c r="AG233">
        <v>9.1051558222868998</v>
      </c>
      <c r="AH233">
        <v>104.57756106165841</v>
      </c>
      <c r="AI233">
        <v>2.0780761436148998</v>
      </c>
      <c r="AJ233">
        <v>2.6599814894484002</v>
      </c>
      <c r="AK233">
        <v>87.464500942746369</v>
      </c>
      <c r="AL233">
        <v>111.99681346297953</v>
      </c>
      <c r="AM233">
        <v>9423.5734922802767</v>
      </c>
      <c r="AN233">
        <v>1193.9439613069835</v>
      </c>
      <c r="AO233">
        <v>213.02418669140758</v>
      </c>
      <c r="AP233">
        <v>188.40781296841175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6.2392505654793995</v>
      </c>
      <c r="AW233">
        <v>0</v>
      </c>
      <c r="AX233">
        <v>0</v>
      </c>
      <c r="AY233">
        <v>55.453072166911895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x14ac:dyDescent="0.2">
      <c r="A234" t="s">
        <v>1405</v>
      </c>
      <c r="B234" t="s">
        <v>1173</v>
      </c>
      <c r="C234" t="s">
        <v>1027</v>
      </c>
      <c r="D234">
        <v>2017</v>
      </c>
      <c r="E234" t="s">
        <v>1174</v>
      </c>
      <c r="F234" t="s">
        <v>1175</v>
      </c>
      <c r="G234">
        <v>4517.5279458366995</v>
      </c>
      <c r="H234">
        <v>3851.407293531428</v>
      </c>
      <c r="I234">
        <v>666.12065230568282</v>
      </c>
      <c r="J234">
        <v>136.73440330891765</v>
      </c>
      <c r="K234">
        <v>300.21886120892481</v>
      </c>
      <c r="L234">
        <v>6.6524494914838996</v>
      </c>
      <c r="M234">
        <v>128.1606123333404</v>
      </c>
      <c r="N234">
        <v>3227.3897267981047</v>
      </c>
      <c r="O234">
        <v>52.251240390656484</v>
      </c>
      <c r="P234">
        <v>666.12065230568282</v>
      </c>
      <c r="Q234">
        <v>0</v>
      </c>
      <c r="R234">
        <v>0</v>
      </c>
      <c r="S234">
        <v>0</v>
      </c>
      <c r="T234">
        <v>136.73440330891765</v>
      </c>
      <c r="U234">
        <v>0</v>
      </c>
      <c r="V234">
        <v>216.85755382331689</v>
      </c>
      <c r="W234">
        <v>6.3327817973510001</v>
      </c>
      <c r="X234">
        <v>13.636034113388101</v>
      </c>
      <c r="Y234">
        <v>1.3510388871100001</v>
      </c>
      <c r="Z234">
        <v>62.041452587758798</v>
      </c>
      <c r="AA234">
        <v>0</v>
      </c>
      <c r="AB234">
        <v>0</v>
      </c>
      <c r="AC234">
        <v>2.6027979685400999</v>
      </c>
      <c r="AD234">
        <v>0</v>
      </c>
      <c r="AE234">
        <v>4.0496515229437993</v>
      </c>
      <c r="AF234">
        <v>0</v>
      </c>
      <c r="AG234">
        <v>7.2731564417180996</v>
      </c>
      <c r="AH234">
        <v>109.35441195891208</v>
      </c>
      <c r="AI234">
        <v>2.7391554944854999</v>
      </c>
      <c r="AJ234">
        <v>0</v>
      </c>
      <c r="AK234">
        <v>8.7938884382247</v>
      </c>
      <c r="AL234">
        <v>0</v>
      </c>
      <c r="AM234">
        <v>3227.3897267981047</v>
      </c>
      <c r="AN234">
        <v>5.7913864645811994</v>
      </c>
      <c r="AO234">
        <v>0</v>
      </c>
      <c r="AP234">
        <v>46.459853926075283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4.9980753221100001</v>
      </c>
      <c r="AW234">
        <v>0</v>
      </c>
      <c r="AX234">
        <v>0</v>
      </c>
      <c r="AY234">
        <v>661.1225769835728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 spans="1:56" x14ac:dyDescent="0.2">
      <c r="A235" t="s">
        <v>1406</v>
      </c>
      <c r="B235" t="s">
        <v>1173</v>
      </c>
      <c r="C235" t="s">
        <v>66</v>
      </c>
      <c r="D235">
        <v>2017</v>
      </c>
      <c r="E235" t="s">
        <v>1174</v>
      </c>
      <c r="F235" t="s">
        <v>1175</v>
      </c>
      <c r="G235">
        <v>2466.5401442212997</v>
      </c>
      <c r="H235">
        <v>2458.3457985944519</v>
      </c>
      <c r="I235">
        <v>8.194348174308999</v>
      </c>
      <c r="J235">
        <v>83.81920462702837</v>
      </c>
      <c r="K235">
        <v>893.33706768813772</v>
      </c>
      <c r="L235">
        <v>105.36443502698364</v>
      </c>
      <c r="M235">
        <v>238.79851077071785</v>
      </c>
      <c r="N235">
        <v>743.89564098424637</v>
      </c>
      <c r="O235">
        <v>393.13093949733792</v>
      </c>
      <c r="P235">
        <v>8.194348174308999</v>
      </c>
      <c r="Q235">
        <v>0</v>
      </c>
      <c r="R235">
        <v>0</v>
      </c>
      <c r="S235">
        <v>14.178617190781521</v>
      </c>
      <c r="T235">
        <v>69.640587436246847</v>
      </c>
      <c r="U235">
        <v>0</v>
      </c>
      <c r="V235">
        <v>731.05022649950797</v>
      </c>
      <c r="W235">
        <v>14.781236568533201</v>
      </c>
      <c r="X235">
        <v>11.4409462588381</v>
      </c>
      <c r="Y235">
        <v>24.021241036326902</v>
      </c>
      <c r="Z235">
        <v>112.04341732493135</v>
      </c>
      <c r="AA235">
        <v>0</v>
      </c>
      <c r="AB235">
        <v>0</v>
      </c>
      <c r="AC235">
        <v>6.4039574339714989</v>
      </c>
      <c r="AD235">
        <v>63.082766696369148</v>
      </c>
      <c r="AE235">
        <v>35.877710896642995</v>
      </c>
      <c r="AF235">
        <v>0</v>
      </c>
      <c r="AG235">
        <v>81.454885102057915</v>
      </c>
      <c r="AH235">
        <v>104.62243414361785</v>
      </c>
      <c r="AI235">
        <v>5.2043181157748002</v>
      </c>
      <c r="AJ235">
        <v>34.702787221957976</v>
      </c>
      <c r="AK235">
        <v>12.8140861873093</v>
      </c>
      <c r="AL235">
        <v>0</v>
      </c>
      <c r="AM235">
        <v>743.89564098424637</v>
      </c>
      <c r="AN235">
        <v>392.98871028359542</v>
      </c>
      <c r="AO235">
        <v>0.1422292137425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1.5591203232899999</v>
      </c>
      <c r="AW235">
        <v>0</v>
      </c>
      <c r="AX235">
        <v>0</v>
      </c>
      <c r="AY235">
        <v>6.6352278510189997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2">
      <c r="A236" t="s">
        <v>1407</v>
      </c>
      <c r="B236" t="s">
        <v>1173</v>
      </c>
      <c r="C236" t="s">
        <v>215</v>
      </c>
      <c r="D236">
        <v>2017</v>
      </c>
      <c r="E236" t="s">
        <v>1174</v>
      </c>
      <c r="F236" t="s">
        <v>1175</v>
      </c>
      <c r="G236">
        <v>2107.2327086789001</v>
      </c>
      <c r="H236">
        <v>2106.9002795312786</v>
      </c>
      <c r="I236">
        <v>0.33242914702640003</v>
      </c>
      <c r="J236">
        <v>185.85407888857648</v>
      </c>
      <c r="K236">
        <v>453.36981182884369</v>
      </c>
      <c r="L236">
        <v>44.219607928482574</v>
      </c>
      <c r="M236">
        <v>47.356712865576696</v>
      </c>
      <c r="N236">
        <v>1309.4854510543357</v>
      </c>
      <c r="O236">
        <v>66.614616965463483</v>
      </c>
      <c r="P236">
        <v>0.33242914702640003</v>
      </c>
      <c r="Q236">
        <v>0</v>
      </c>
      <c r="R236">
        <v>0</v>
      </c>
      <c r="S236">
        <v>7.7668994192748997</v>
      </c>
      <c r="T236">
        <v>102.30363509108078</v>
      </c>
      <c r="U236">
        <v>75.783544378220796</v>
      </c>
      <c r="V236">
        <v>339.8492544832751</v>
      </c>
      <c r="W236">
        <v>9.0312759010299999</v>
      </c>
      <c r="X236">
        <v>3.9360873916502999</v>
      </c>
      <c r="Y236">
        <v>0</v>
      </c>
      <c r="Z236">
        <v>100.55319405288834</v>
      </c>
      <c r="AA236">
        <v>0</v>
      </c>
      <c r="AB236">
        <v>0</v>
      </c>
      <c r="AC236">
        <v>4.0057817269884</v>
      </c>
      <c r="AD236">
        <v>8.5222214893010015</v>
      </c>
      <c r="AE236">
        <v>31.691604712193175</v>
      </c>
      <c r="AF236">
        <v>0</v>
      </c>
      <c r="AG236">
        <v>15.369787731090002</v>
      </c>
      <c r="AH236">
        <v>30.4124507859324</v>
      </c>
      <c r="AI236">
        <v>1.5744743485543</v>
      </c>
      <c r="AJ236">
        <v>0</v>
      </c>
      <c r="AK236">
        <v>0</v>
      </c>
      <c r="AL236">
        <v>0</v>
      </c>
      <c r="AM236">
        <v>1309.4854510543357</v>
      </c>
      <c r="AN236">
        <v>66.614616965463483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0.33242914702640003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x14ac:dyDescent="0.2">
      <c r="A237" t="s">
        <v>1408</v>
      </c>
      <c r="B237" t="s">
        <v>1173</v>
      </c>
      <c r="C237" t="s">
        <v>224</v>
      </c>
      <c r="D237">
        <v>2017</v>
      </c>
      <c r="E237" t="s">
        <v>1174</v>
      </c>
      <c r="F237" t="s">
        <v>1175</v>
      </c>
      <c r="G237">
        <v>2915.4112102465001</v>
      </c>
      <c r="H237">
        <v>2787.7943974300692</v>
      </c>
      <c r="I237">
        <v>127.61681281728562</v>
      </c>
      <c r="J237">
        <v>93.510254330961359</v>
      </c>
      <c r="K237">
        <v>340.03608083163783</v>
      </c>
      <c r="L237">
        <v>36.322001563462067</v>
      </c>
      <c r="M237">
        <v>80.169923236125328</v>
      </c>
      <c r="N237">
        <v>1815.715500373434</v>
      </c>
      <c r="O237">
        <v>422.04063709444864</v>
      </c>
      <c r="P237">
        <v>127.61681281728562</v>
      </c>
      <c r="Q237">
        <v>0</v>
      </c>
      <c r="R237">
        <v>0</v>
      </c>
      <c r="S237">
        <v>5.3964745171626101</v>
      </c>
      <c r="T237">
        <v>88.113779813798743</v>
      </c>
      <c r="U237">
        <v>0</v>
      </c>
      <c r="V237">
        <v>266.00118593296338</v>
      </c>
      <c r="W237">
        <v>5.1292235913060003</v>
      </c>
      <c r="X237">
        <v>0</v>
      </c>
      <c r="Y237">
        <v>4.3930358419115993</v>
      </c>
      <c r="Z237">
        <v>64.512635465456782</v>
      </c>
      <c r="AA237">
        <v>0</v>
      </c>
      <c r="AB237">
        <v>0</v>
      </c>
      <c r="AC237">
        <v>4.4046094963259002</v>
      </c>
      <c r="AD237">
        <v>20.084441781535595</v>
      </c>
      <c r="AE237">
        <v>11.827201997565</v>
      </c>
      <c r="AF237">
        <v>5.7482880355699999E-3</v>
      </c>
      <c r="AG237">
        <v>4.4620804876154994</v>
      </c>
      <c r="AH237">
        <v>29.521298413473698</v>
      </c>
      <c r="AI237">
        <v>0.32162318047299998</v>
      </c>
      <c r="AJ237">
        <v>2.697846386053</v>
      </c>
      <c r="AK237">
        <v>43.167074768510126</v>
      </c>
      <c r="AL237">
        <v>12.1610106368859</v>
      </c>
      <c r="AM237">
        <v>1803.554489736548</v>
      </c>
      <c r="AN237">
        <v>388.88610190645272</v>
      </c>
      <c r="AO237">
        <v>10.578746911633761</v>
      </c>
      <c r="AP237">
        <v>22.575788276362168</v>
      </c>
      <c r="AQ237">
        <v>0</v>
      </c>
      <c r="AR237">
        <v>0</v>
      </c>
      <c r="AS237">
        <v>55.819420564645505</v>
      </c>
      <c r="AT237">
        <v>0</v>
      </c>
      <c r="AU237">
        <v>0</v>
      </c>
      <c r="AV237">
        <v>3.2747534424900002</v>
      </c>
      <c r="AW237">
        <v>18.4388647409485</v>
      </c>
      <c r="AX237">
        <v>0</v>
      </c>
      <c r="AY237">
        <v>50.083774069201603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2">
      <c r="A238" t="s">
        <v>1409</v>
      </c>
      <c r="B238" t="s">
        <v>1173</v>
      </c>
      <c r="C238" t="s">
        <v>233</v>
      </c>
      <c r="D238">
        <v>2017</v>
      </c>
      <c r="E238" t="s">
        <v>1174</v>
      </c>
      <c r="F238" t="s">
        <v>1175</v>
      </c>
      <c r="G238">
        <v>10849.509915337101</v>
      </c>
      <c r="H238">
        <v>10325.586194339063</v>
      </c>
      <c r="I238">
        <v>523.92372099643012</v>
      </c>
      <c r="J238">
        <v>208.46095772423834</v>
      </c>
      <c r="K238">
        <v>343.47078232681145</v>
      </c>
      <c r="L238">
        <v>79.007238126254563</v>
      </c>
      <c r="M238">
        <v>280.73024713569191</v>
      </c>
      <c r="N238">
        <v>5517.4813507274312</v>
      </c>
      <c r="O238">
        <v>3896.4356182986357</v>
      </c>
      <c r="P238">
        <v>523.92372099643012</v>
      </c>
      <c r="Q238">
        <v>0</v>
      </c>
      <c r="R238">
        <v>0</v>
      </c>
      <c r="S238">
        <v>0</v>
      </c>
      <c r="T238">
        <v>208.46095772423834</v>
      </c>
      <c r="U238">
        <v>0</v>
      </c>
      <c r="V238">
        <v>277.41331552825324</v>
      </c>
      <c r="W238">
        <v>8.9809937439218199</v>
      </c>
      <c r="X238">
        <v>2.2640120595503004</v>
      </c>
      <c r="Y238">
        <v>1.57473733718</v>
      </c>
      <c r="Z238">
        <v>53.237723657906102</v>
      </c>
      <c r="AA238">
        <v>0</v>
      </c>
      <c r="AB238">
        <v>0</v>
      </c>
      <c r="AC238">
        <v>4.3252658119580998</v>
      </c>
      <c r="AD238">
        <v>58.859524194362564</v>
      </c>
      <c r="AE238">
        <v>13.925537843672902</v>
      </c>
      <c r="AF238">
        <v>1.896910276261</v>
      </c>
      <c r="AG238">
        <v>14.205516975604201</v>
      </c>
      <c r="AH238">
        <v>141.34994070641741</v>
      </c>
      <c r="AI238">
        <v>0.8430239923659999</v>
      </c>
      <c r="AJ238">
        <v>31.076237203284098</v>
      </c>
      <c r="AK238">
        <v>93.255528258020192</v>
      </c>
      <c r="AL238">
        <v>45.99343497601221</v>
      </c>
      <c r="AM238">
        <v>5471.4879157514188</v>
      </c>
      <c r="AN238">
        <v>2946.2060953625282</v>
      </c>
      <c r="AO238">
        <v>841.86319313415697</v>
      </c>
      <c r="AP238">
        <v>108.3663298019507</v>
      </c>
      <c r="AQ238">
        <v>0</v>
      </c>
      <c r="AR238">
        <v>0</v>
      </c>
      <c r="AS238">
        <v>182.87654036841133</v>
      </c>
      <c r="AT238">
        <v>0</v>
      </c>
      <c r="AU238">
        <v>0</v>
      </c>
      <c r="AV238">
        <v>73.08351590409039</v>
      </c>
      <c r="AW238">
        <v>42.878340016944101</v>
      </c>
      <c r="AX238">
        <v>0</v>
      </c>
      <c r="AY238">
        <v>225.08532470698432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2">
      <c r="A239" t="s">
        <v>1410</v>
      </c>
      <c r="B239" t="s">
        <v>1173</v>
      </c>
      <c r="C239" t="s">
        <v>291</v>
      </c>
      <c r="D239">
        <v>2017</v>
      </c>
      <c r="E239" t="s">
        <v>1174</v>
      </c>
      <c r="F239" t="s">
        <v>1175</v>
      </c>
      <c r="G239">
        <v>1733.8107731362998</v>
      </c>
      <c r="H239">
        <v>1723.9431235819095</v>
      </c>
      <c r="I239">
        <v>9.8676495542125995</v>
      </c>
      <c r="J239">
        <v>52.181915343246821</v>
      </c>
      <c r="K239">
        <v>746.95916551939013</v>
      </c>
      <c r="L239">
        <v>213.57740228495288</v>
      </c>
      <c r="M239">
        <v>203.77127145698134</v>
      </c>
      <c r="N239">
        <v>176.87564282447295</v>
      </c>
      <c r="O239">
        <v>330.57772615286535</v>
      </c>
      <c r="P239">
        <v>9.8676495542125995</v>
      </c>
      <c r="Q239">
        <v>0</v>
      </c>
      <c r="R239">
        <v>0</v>
      </c>
      <c r="S239">
        <v>0</v>
      </c>
      <c r="T239">
        <v>52.181915343246821</v>
      </c>
      <c r="U239">
        <v>0</v>
      </c>
      <c r="V239">
        <v>504.90034189937433</v>
      </c>
      <c r="W239">
        <v>18.873447937570802</v>
      </c>
      <c r="X239">
        <v>72.109338307642787</v>
      </c>
      <c r="Y239">
        <v>34.712675925034901</v>
      </c>
      <c r="Z239">
        <v>116.3633614497674</v>
      </c>
      <c r="AA239">
        <v>32.857951561277098</v>
      </c>
      <c r="AB239">
        <v>0</v>
      </c>
      <c r="AC239">
        <v>4.6234833903049006</v>
      </c>
      <c r="AD239">
        <v>78.480196726980807</v>
      </c>
      <c r="AE239">
        <v>97.615770606390058</v>
      </c>
      <c r="AF239">
        <v>0</v>
      </c>
      <c r="AG239">
        <v>47.205167089951921</v>
      </c>
      <c r="AH239">
        <v>119.33259211053955</v>
      </c>
      <c r="AI239">
        <v>3.0960010800857605</v>
      </c>
      <c r="AJ239">
        <v>22.465918371268803</v>
      </c>
      <c r="AK239">
        <v>11.671592805135298</v>
      </c>
      <c r="AL239">
        <v>0</v>
      </c>
      <c r="AM239">
        <v>176.87564282447295</v>
      </c>
      <c r="AN239">
        <v>279.86822027038983</v>
      </c>
      <c r="AO239">
        <v>50.709505882475554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5.9071267322920002</v>
      </c>
      <c r="AW239">
        <v>0</v>
      </c>
      <c r="AX239">
        <v>0</v>
      </c>
      <c r="AY239">
        <v>3.9605228219205992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x14ac:dyDescent="0.2">
      <c r="A240" t="s">
        <v>1411</v>
      </c>
      <c r="B240" t="s">
        <v>1173</v>
      </c>
      <c r="C240" t="s">
        <v>407</v>
      </c>
      <c r="D240">
        <v>2017</v>
      </c>
      <c r="E240" t="s">
        <v>1174</v>
      </c>
      <c r="F240" t="s">
        <v>1175</v>
      </c>
      <c r="G240">
        <v>5042.3074745546</v>
      </c>
      <c r="H240">
        <v>4756.8142549713957</v>
      </c>
      <c r="I240">
        <v>285.49321958317341</v>
      </c>
      <c r="J240">
        <v>171.60337479230301</v>
      </c>
      <c r="K240">
        <v>596.37472156474189</v>
      </c>
      <c r="L240">
        <v>85.782307488224035</v>
      </c>
      <c r="M240">
        <v>169.6028804724227</v>
      </c>
      <c r="N240">
        <v>3175.4765849001851</v>
      </c>
      <c r="O240">
        <v>557.97438575351862</v>
      </c>
      <c r="P240">
        <v>285.49321958317341</v>
      </c>
      <c r="Q240">
        <v>0</v>
      </c>
      <c r="R240">
        <v>0</v>
      </c>
      <c r="S240">
        <v>0</v>
      </c>
      <c r="T240">
        <v>171.60337479230301</v>
      </c>
      <c r="U240">
        <v>0</v>
      </c>
      <c r="V240">
        <v>344.37415354801902</v>
      </c>
      <c r="W240">
        <v>7.3164978260559987</v>
      </c>
      <c r="X240">
        <v>5.8916726766707006</v>
      </c>
      <c r="Y240">
        <v>80.941580530815273</v>
      </c>
      <c r="Z240">
        <v>157.85081698318095</v>
      </c>
      <c r="AA240">
        <v>0</v>
      </c>
      <c r="AB240">
        <v>0</v>
      </c>
      <c r="AC240">
        <v>4.1566109904455004</v>
      </c>
      <c r="AD240">
        <v>60.628696561667837</v>
      </c>
      <c r="AE240">
        <v>14.581419865222001</v>
      </c>
      <c r="AF240">
        <v>6.4155800708886987</v>
      </c>
      <c r="AG240">
        <v>7.9522762986338709</v>
      </c>
      <c r="AH240">
        <v>40.252083895774796</v>
      </c>
      <c r="AI240">
        <v>0.61115420645399998</v>
      </c>
      <c r="AJ240">
        <v>0.222319337077</v>
      </c>
      <c r="AK240">
        <v>120.56504673448303</v>
      </c>
      <c r="AL240">
        <v>1.4617861909499998</v>
      </c>
      <c r="AM240">
        <v>3174.014798709235</v>
      </c>
      <c r="AN240">
        <v>527.74969181339782</v>
      </c>
      <c r="AO240">
        <v>12.709383229573699</v>
      </c>
      <c r="AP240">
        <v>17.515310710546999</v>
      </c>
      <c r="AQ240">
        <v>0</v>
      </c>
      <c r="AR240">
        <v>0</v>
      </c>
      <c r="AS240">
        <v>72.657120066983211</v>
      </c>
      <c r="AT240">
        <v>0</v>
      </c>
      <c r="AU240">
        <v>0</v>
      </c>
      <c r="AV240">
        <v>11.232677518254899</v>
      </c>
      <c r="AW240">
        <v>73.12711253596828</v>
      </c>
      <c r="AX240">
        <v>0</v>
      </c>
      <c r="AY240">
        <v>128.47630946196702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 spans="1:56" x14ac:dyDescent="0.2">
      <c r="A241" t="s">
        <v>1412</v>
      </c>
      <c r="B241" t="s">
        <v>1173</v>
      </c>
      <c r="C241" t="s">
        <v>55</v>
      </c>
      <c r="D241">
        <v>2017</v>
      </c>
      <c r="E241" t="s">
        <v>1174</v>
      </c>
      <c r="F241" t="s">
        <v>1175</v>
      </c>
      <c r="G241">
        <v>4552.9897160357996</v>
      </c>
      <c r="H241">
        <v>4490.6352551259533</v>
      </c>
      <c r="I241">
        <v>62.35446090958601</v>
      </c>
      <c r="J241">
        <v>352.18748548553441</v>
      </c>
      <c r="K241">
        <v>2081.5571662262787</v>
      </c>
      <c r="L241">
        <v>226.32874684649585</v>
      </c>
      <c r="M241">
        <v>537.18726667575777</v>
      </c>
      <c r="N241">
        <v>780.80097987348938</v>
      </c>
      <c r="O241">
        <v>512.5736100183974</v>
      </c>
      <c r="P241">
        <v>62.35446090958601</v>
      </c>
      <c r="Q241">
        <v>0</v>
      </c>
      <c r="R241">
        <v>0</v>
      </c>
      <c r="S241">
        <v>36.683916656138088</v>
      </c>
      <c r="T241">
        <v>315.50356882939633</v>
      </c>
      <c r="U241">
        <v>0</v>
      </c>
      <c r="V241">
        <v>1436.2621792780092</v>
      </c>
      <c r="W241">
        <v>108.517716956908</v>
      </c>
      <c r="X241">
        <v>26.146329989962428</v>
      </c>
      <c r="Y241">
        <v>131.17814383687434</v>
      </c>
      <c r="Z241">
        <v>379.45279616452461</v>
      </c>
      <c r="AA241">
        <v>0</v>
      </c>
      <c r="AB241">
        <v>0</v>
      </c>
      <c r="AC241">
        <v>27.498809431274609</v>
      </c>
      <c r="AD241">
        <v>114.52081753577959</v>
      </c>
      <c r="AE241">
        <v>84.309119879441667</v>
      </c>
      <c r="AF241">
        <v>0</v>
      </c>
      <c r="AG241">
        <v>410.70757922421416</v>
      </c>
      <c r="AH241">
        <v>108.43083407302505</v>
      </c>
      <c r="AI241">
        <v>6.2572550797158</v>
      </c>
      <c r="AJ241">
        <v>6.3906405368417003</v>
      </c>
      <c r="AK241">
        <v>5.400957761960913</v>
      </c>
      <c r="AL241">
        <v>0</v>
      </c>
      <c r="AM241">
        <v>780.80097987348938</v>
      </c>
      <c r="AN241">
        <v>380.09639749447803</v>
      </c>
      <c r="AO241">
        <v>128.00353050174002</v>
      </c>
      <c r="AP241">
        <v>4.4736820221792994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17.685998837830002</v>
      </c>
      <c r="AW241">
        <v>42.957374340234409</v>
      </c>
      <c r="AX241">
        <v>0</v>
      </c>
      <c r="AY241">
        <v>1.7110877315216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 spans="1:56" x14ac:dyDescent="0.2">
      <c r="A242" t="s">
        <v>1413</v>
      </c>
      <c r="B242" t="s">
        <v>1173</v>
      </c>
      <c r="C242" t="s">
        <v>23</v>
      </c>
      <c r="D242">
        <v>2017</v>
      </c>
      <c r="E242" t="s">
        <v>1174</v>
      </c>
      <c r="F242" t="s">
        <v>1175</v>
      </c>
      <c r="G242">
        <v>2215.2895661224002</v>
      </c>
      <c r="H242">
        <v>2190.8525979752362</v>
      </c>
      <c r="I242">
        <v>24.436968147126898</v>
      </c>
      <c r="J242">
        <v>126.05327381581544</v>
      </c>
      <c r="K242">
        <v>1079.1976740576129</v>
      </c>
      <c r="L242">
        <v>162.00991872079379</v>
      </c>
      <c r="M242">
        <v>275.17679240617696</v>
      </c>
      <c r="N242">
        <v>370.06355368719198</v>
      </c>
      <c r="O242">
        <v>178.3513852876454</v>
      </c>
      <c r="P242">
        <v>24.436968147126898</v>
      </c>
      <c r="Q242">
        <v>0</v>
      </c>
      <c r="R242">
        <v>0</v>
      </c>
      <c r="S242">
        <v>24.657848906729814</v>
      </c>
      <c r="T242">
        <v>101.39542490908563</v>
      </c>
      <c r="U242">
        <v>0</v>
      </c>
      <c r="V242">
        <v>760.81632239648309</v>
      </c>
      <c r="W242">
        <v>28.843842606430844</v>
      </c>
      <c r="X242">
        <v>35.786415586530595</v>
      </c>
      <c r="Y242">
        <v>33.792983286759899</v>
      </c>
      <c r="Z242">
        <v>219.95811018140861</v>
      </c>
      <c r="AA242">
        <v>6.0660168330503996</v>
      </c>
      <c r="AB242">
        <v>1.6450695293220001</v>
      </c>
      <c r="AC242">
        <v>13.115100645068699</v>
      </c>
      <c r="AD242">
        <v>29.970106393698568</v>
      </c>
      <c r="AE242">
        <v>111.21362531965414</v>
      </c>
      <c r="AF242">
        <v>0</v>
      </c>
      <c r="AG242">
        <v>164.85507386597072</v>
      </c>
      <c r="AH242">
        <v>61.169617661715925</v>
      </c>
      <c r="AI242">
        <v>1.3021045060960001</v>
      </c>
      <c r="AJ242">
        <v>47.849996372394315</v>
      </c>
      <c r="AK242">
        <v>0</v>
      </c>
      <c r="AL242">
        <v>0</v>
      </c>
      <c r="AM242">
        <v>370.06355368719198</v>
      </c>
      <c r="AN242">
        <v>178.3513852876454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2.9638492040800002</v>
      </c>
      <c r="AW242">
        <v>0</v>
      </c>
      <c r="AX242">
        <v>0</v>
      </c>
      <c r="AY242">
        <v>21.473118943046899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 spans="1:56" x14ac:dyDescent="0.2">
      <c r="A243" t="s">
        <v>1414</v>
      </c>
      <c r="B243" t="s">
        <v>1173</v>
      </c>
      <c r="C243" t="s">
        <v>71</v>
      </c>
      <c r="D243">
        <v>2017</v>
      </c>
      <c r="E243" t="s">
        <v>1174</v>
      </c>
      <c r="F243" t="s">
        <v>1175</v>
      </c>
      <c r="G243">
        <v>6011.7959170213999</v>
      </c>
      <c r="H243">
        <v>5578.64641301343</v>
      </c>
      <c r="I243">
        <v>433.14950400762291</v>
      </c>
      <c r="J243">
        <v>319.71705455787367</v>
      </c>
      <c r="K243">
        <v>2251.0658822947707</v>
      </c>
      <c r="L243">
        <v>284.05076354884415</v>
      </c>
      <c r="M243">
        <v>544.71352134197298</v>
      </c>
      <c r="N243">
        <v>1918.0618936374433</v>
      </c>
      <c r="O243">
        <v>261.03729763252551</v>
      </c>
      <c r="P243">
        <v>433.14950400762291</v>
      </c>
      <c r="Q243">
        <v>0</v>
      </c>
      <c r="R243">
        <v>0</v>
      </c>
      <c r="S243">
        <v>51.813285277490607</v>
      </c>
      <c r="T243">
        <v>267.90376928038307</v>
      </c>
      <c r="U243">
        <v>0</v>
      </c>
      <c r="V243">
        <v>1458.0898093429594</v>
      </c>
      <c r="W243">
        <v>87.236944348941421</v>
      </c>
      <c r="X243">
        <v>71.479812811974838</v>
      </c>
      <c r="Y243">
        <v>167.59889334839801</v>
      </c>
      <c r="Z243">
        <v>466.66042244249701</v>
      </c>
      <c r="AA243">
        <v>23.699650751741196</v>
      </c>
      <c r="AB243">
        <v>0.68933426253550001</v>
      </c>
      <c r="AC243">
        <v>21.551766944225864</v>
      </c>
      <c r="AD243">
        <v>131.60572009056321</v>
      </c>
      <c r="AE243">
        <v>105.25107473279989</v>
      </c>
      <c r="AF243">
        <v>1.2532167669784999</v>
      </c>
      <c r="AG243">
        <v>248.8909796251061</v>
      </c>
      <c r="AH243">
        <v>205.60323775449024</v>
      </c>
      <c r="AI243">
        <v>19.239634218405296</v>
      </c>
      <c r="AJ243">
        <v>55.959619201432915</v>
      </c>
      <c r="AK243">
        <v>15.020050542538499</v>
      </c>
      <c r="AL243">
        <v>0</v>
      </c>
      <c r="AM243">
        <v>1918.0618936374433</v>
      </c>
      <c r="AN243">
        <v>217.74220088636147</v>
      </c>
      <c r="AO243">
        <v>43.295096746164042</v>
      </c>
      <c r="AP243">
        <v>0</v>
      </c>
      <c r="AQ243">
        <v>0</v>
      </c>
      <c r="AR243">
        <v>0</v>
      </c>
      <c r="AS243">
        <v>236.15852362535367</v>
      </c>
      <c r="AT243">
        <v>0</v>
      </c>
      <c r="AU243">
        <v>0</v>
      </c>
      <c r="AV243">
        <v>94.142889183104216</v>
      </c>
      <c r="AW243">
        <v>27.789361431727908</v>
      </c>
      <c r="AX243">
        <v>0</v>
      </c>
      <c r="AY243">
        <v>75.058729767437086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 x14ac:dyDescent="0.2">
      <c r="A244" t="s">
        <v>1415</v>
      </c>
      <c r="B244" t="s">
        <v>1173</v>
      </c>
      <c r="C244" t="s">
        <v>72</v>
      </c>
      <c r="D244">
        <v>2017</v>
      </c>
      <c r="E244" t="s">
        <v>1174</v>
      </c>
      <c r="F244" t="s">
        <v>1175</v>
      </c>
      <c r="G244">
        <v>2765.7077465429998</v>
      </c>
      <c r="H244">
        <v>2672.5124934616751</v>
      </c>
      <c r="I244">
        <v>93.195253082355634</v>
      </c>
      <c r="J244">
        <v>138.8287175680662</v>
      </c>
      <c r="K244">
        <v>479.82369363535679</v>
      </c>
      <c r="L244">
        <v>33.175477299493622</v>
      </c>
      <c r="M244">
        <v>91.440916523084937</v>
      </c>
      <c r="N244">
        <v>1604.1037854423239</v>
      </c>
      <c r="O244">
        <v>325.13990299334932</v>
      </c>
      <c r="P244">
        <v>93.195253082355634</v>
      </c>
      <c r="Q244">
        <v>0</v>
      </c>
      <c r="R244">
        <v>0</v>
      </c>
      <c r="S244">
        <v>19.243874394054799</v>
      </c>
      <c r="T244">
        <v>119.5229595048491</v>
      </c>
      <c r="U244">
        <v>6.1883669162299995E-2</v>
      </c>
      <c r="V244">
        <v>422.089597031295</v>
      </c>
      <c r="W244">
        <v>3.6530666008579997</v>
      </c>
      <c r="X244">
        <v>2.6502895080744993</v>
      </c>
      <c r="Y244">
        <v>7.2561243268797986</v>
      </c>
      <c r="Z244">
        <v>44.174616168249536</v>
      </c>
      <c r="AA244">
        <v>1.5103960756053798</v>
      </c>
      <c r="AB244">
        <v>0</v>
      </c>
      <c r="AC244">
        <v>3.9998507880550007</v>
      </c>
      <c r="AD244">
        <v>23.003876666584937</v>
      </c>
      <c r="AE244">
        <v>4.6613537692483007</v>
      </c>
      <c r="AF244">
        <v>0</v>
      </c>
      <c r="AG244">
        <v>12.525942057843929</v>
      </c>
      <c r="AH244">
        <v>56.041206716066107</v>
      </c>
      <c r="AI244">
        <v>0.57520367278899998</v>
      </c>
      <c r="AJ244">
        <v>0</v>
      </c>
      <c r="AK244">
        <v>22.298564076385905</v>
      </c>
      <c r="AL244">
        <v>0</v>
      </c>
      <c r="AM244">
        <v>1604.1037854423239</v>
      </c>
      <c r="AN244">
        <v>321.8824558184001</v>
      </c>
      <c r="AO244">
        <v>2.9600041269611999</v>
      </c>
      <c r="AP244">
        <v>0.29744304798799998</v>
      </c>
      <c r="AQ244">
        <v>0</v>
      </c>
      <c r="AR244">
        <v>0</v>
      </c>
      <c r="AS244">
        <v>46.193962620601823</v>
      </c>
      <c r="AT244">
        <v>0</v>
      </c>
      <c r="AU244">
        <v>0</v>
      </c>
      <c r="AV244">
        <v>2.4720183749299998</v>
      </c>
      <c r="AW244">
        <v>15.684872126879304</v>
      </c>
      <c r="AX244">
        <v>0</v>
      </c>
      <c r="AY244">
        <v>28.844399959944504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 spans="1:56" x14ac:dyDescent="0.2">
      <c r="A245" t="s">
        <v>1416</v>
      </c>
      <c r="B245" t="s">
        <v>1173</v>
      </c>
      <c r="C245" t="s">
        <v>652</v>
      </c>
      <c r="D245">
        <v>2017</v>
      </c>
      <c r="E245" t="s">
        <v>1174</v>
      </c>
      <c r="F245" t="s">
        <v>1175</v>
      </c>
      <c r="G245">
        <v>1881.0090213605001</v>
      </c>
      <c r="H245">
        <v>1738.8613028468894</v>
      </c>
      <c r="I245">
        <v>142.14771851328348</v>
      </c>
      <c r="J245">
        <v>51.884128290763854</v>
      </c>
      <c r="K245">
        <v>240.8106464400918</v>
      </c>
      <c r="L245">
        <v>3.8217302526883006</v>
      </c>
      <c r="M245">
        <v>69.302326967943785</v>
      </c>
      <c r="N245">
        <v>703.31301279001548</v>
      </c>
      <c r="O245">
        <v>669.72945810538602</v>
      </c>
      <c r="P245">
        <v>142.14771851328348</v>
      </c>
      <c r="Q245">
        <v>0</v>
      </c>
      <c r="R245">
        <v>0</v>
      </c>
      <c r="S245">
        <v>5.4755041867979504</v>
      </c>
      <c r="T245">
        <v>46.408624103965906</v>
      </c>
      <c r="U245">
        <v>0</v>
      </c>
      <c r="V245">
        <v>207.14042718881478</v>
      </c>
      <c r="W245">
        <v>4.2044809587654006</v>
      </c>
      <c r="X245">
        <v>2.3532381975900001</v>
      </c>
      <c r="Y245">
        <v>10.5060239554078</v>
      </c>
      <c r="Z245">
        <v>16.606476139513799</v>
      </c>
      <c r="AA245">
        <v>0</v>
      </c>
      <c r="AB245">
        <v>0</v>
      </c>
      <c r="AC245">
        <v>1.4302779863005002</v>
      </c>
      <c r="AD245">
        <v>1.2154111899122</v>
      </c>
      <c r="AE245">
        <v>0</v>
      </c>
      <c r="AF245">
        <v>1.1760410764756002</v>
      </c>
      <c r="AG245">
        <v>3.1694255637509996</v>
      </c>
      <c r="AH245">
        <v>22.197103279600597</v>
      </c>
      <c r="AI245">
        <v>1.9906893648099999</v>
      </c>
      <c r="AJ245">
        <v>26.186641946176799</v>
      </c>
      <c r="AK245">
        <v>15.7584668136054</v>
      </c>
      <c r="AL245">
        <v>0</v>
      </c>
      <c r="AM245">
        <v>703.31301279001548</v>
      </c>
      <c r="AN245">
        <v>578.66542422810949</v>
      </c>
      <c r="AO245">
        <v>91.064033877276486</v>
      </c>
      <c r="AP245">
        <v>0</v>
      </c>
      <c r="AQ245">
        <v>0</v>
      </c>
      <c r="AR245">
        <v>0</v>
      </c>
      <c r="AS245">
        <v>43.520485683829911</v>
      </c>
      <c r="AT245">
        <v>0</v>
      </c>
      <c r="AU245">
        <v>0</v>
      </c>
      <c r="AV245">
        <v>56.354687766060792</v>
      </c>
      <c r="AW245">
        <v>0.75484878755980012</v>
      </c>
      <c r="AX245">
        <v>0</v>
      </c>
      <c r="AY245">
        <v>41.517696275832996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">
      <c r="A246" t="s">
        <v>1417</v>
      </c>
      <c r="B246" t="s">
        <v>1173</v>
      </c>
      <c r="C246" t="s">
        <v>658</v>
      </c>
      <c r="D246">
        <v>2017</v>
      </c>
      <c r="E246" t="s">
        <v>1174</v>
      </c>
      <c r="F246" t="s">
        <v>1175</v>
      </c>
      <c r="G246">
        <v>10178.207161438</v>
      </c>
      <c r="H246">
        <v>9989.9996817692809</v>
      </c>
      <c r="I246">
        <v>188.20747966700847</v>
      </c>
      <c r="J246">
        <v>263.62819433198723</v>
      </c>
      <c r="K246">
        <v>487.45230246108918</v>
      </c>
      <c r="L246">
        <v>42.050939359895899</v>
      </c>
      <c r="M246">
        <v>51.965131052826095</v>
      </c>
      <c r="N246">
        <v>7314.0400394459166</v>
      </c>
      <c r="O246">
        <v>1830.863075117566</v>
      </c>
      <c r="P246">
        <v>188.20747966700847</v>
      </c>
      <c r="Q246">
        <v>0</v>
      </c>
      <c r="R246">
        <v>0</v>
      </c>
      <c r="S246">
        <v>3.7584282220258998</v>
      </c>
      <c r="T246">
        <v>259.86976610996135</v>
      </c>
      <c r="U246">
        <v>0</v>
      </c>
      <c r="V246">
        <v>320.32148695323474</v>
      </c>
      <c r="W246">
        <v>11.375918773691698</v>
      </c>
      <c r="X246">
        <v>14.9619385072059</v>
      </c>
      <c r="Y246">
        <v>13.565413623074704</v>
      </c>
      <c r="Z246">
        <v>127.22754460388215</v>
      </c>
      <c r="AA246">
        <v>0</v>
      </c>
      <c r="AB246">
        <v>3.2818943321200003</v>
      </c>
      <c r="AC246">
        <v>3.8568691610237003</v>
      </c>
      <c r="AD246">
        <v>0</v>
      </c>
      <c r="AE246">
        <v>34.9121758667522</v>
      </c>
      <c r="AF246">
        <v>0</v>
      </c>
      <c r="AG246">
        <v>0</v>
      </c>
      <c r="AH246">
        <v>37.536203493574298</v>
      </c>
      <c r="AI246">
        <v>0</v>
      </c>
      <c r="AJ246">
        <v>8.8515332043717994</v>
      </c>
      <c r="AK246">
        <v>5.57739435488</v>
      </c>
      <c r="AL246">
        <v>3.2265310150772999</v>
      </c>
      <c r="AM246">
        <v>7310.8135084308396</v>
      </c>
      <c r="AN246">
        <v>1275.9521573438606</v>
      </c>
      <c r="AO246">
        <v>118.50886458609908</v>
      </c>
      <c r="AP246">
        <v>436.4020531876065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1.0906554154100001</v>
      </c>
      <c r="AW246">
        <v>0</v>
      </c>
      <c r="AX246">
        <v>0</v>
      </c>
      <c r="AY246">
        <v>187.11682425159847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 x14ac:dyDescent="0.2">
      <c r="A247" t="s">
        <v>1418</v>
      </c>
      <c r="B247" t="s">
        <v>1173</v>
      </c>
      <c r="C247" t="s">
        <v>88</v>
      </c>
      <c r="D247">
        <v>2017</v>
      </c>
      <c r="E247" t="s">
        <v>1174</v>
      </c>
      <c r="F247" t="s">
        <v>1175</v>
      </c>
      <c r="G247">
        <v>7105.0925150725006</v>
      </c>
      <c r="H247">
        <v>6063.5630335639062</v>
      </c>
      <c r="I247">
        <v>1041.5294815112359</v>
      </c>
      <c r="J247">
        <v>307.76419824757056</v>
      </c>
      <c r="K247">
        <v>1559.8727564100493</v>
      </c>
      <c r="L247">
        <v>91.021358292781542</v>
      </c>
      <c r="M247">
        <v>380.09452830703424</v>
      </c>
      <c r="N247">
        <v>2781.822960691547</v>
      </c>
      <c r="O247">
        <v>942.9872316149241</v>
      </c>
      <c r="P247">
        <v>1041.5294815112359</v>
      </c>
      <c r="Q247">
        <v>0</v>
      </c>
      <c r="R247">
        <v>0</v>
      </c>
      <c r="S247">
        <v>46.928701879593198</v>
      </c>
      <c r="T247">
        <v>260.83549636797738</v>
      </c>
      <c r="U247">
        <v>0</v>
      </c>
      <c r="V247">
        <v>946.34842841703812</v>
      </c>
      <c r="W247">
        <v>85.378112963324014</v>
      </c>
      <c r="X247">
        <v>23.357327437619503</v>
      </c>
      <c r="Y247">
        <v>58.735527274877136</v>
      </c>
      <c r="Z247">
        <v>446.05336031719065</v>
      </c>
      <c r="AA247">
        <v>0</v>
      </c>
      <c r="AB247">
        <v>2.5816017763338999</v>
      </c>
      <c r="AC247">
        <v>13.830008482952501</v>
      </c>
      <c r="AD247">
        <v>9.0207599117947002</v>
      </c>
      <c r="AE247">
        <v>47.380746986968902</v>
      </c>
      <c r="AF247">
        <v>18.20824113473153</v>
      </c>
      <c r="AG247">
        <v>123.30638447936636</v>
      </c>
      <c r="AH247">
        <v>79.574377292157024</v>
      </c>
      <c r="AI247">
        <v>6.8078650254622985</v>
      </c>
      <c r="AJ247">
        <v>116.31785993549195</v>
      </c>
      <c r="AK247">
        <v>54.088041574556591</v>
      </c>
      <c r="AL247">
        <v>0</v>
      </c>
      <c r="AM247">
        <v>2781.822960691547</v>
      </c>
      <c r="AN247">
        <v>831.2523773567334</v>
      </c>
      <c r="AO247">
        <v>28.854157666504697</v>
      </c>
      <c r="AP247">
        <v>82.880696591686004</v>
      </c>
      <c r="AQ247">
        <v>0</v>
      </c>
      <c r="AR247">
        <v>0</v>
      </c>
      <c r="AS247">
        <v>176.90328604769022</v>
      </c>
      <c r="AT247">
        <v>0</v>
      </c>
      <c r="AU247">
        <v>0</v>
      </c>
      <c r="AV247">
        <v>450.92447792620419</v>
      </c>
      <c r="AW247">
        <v>89.980168046103699</v>
      </c>
      <c r="AX247">
        <v>0</v>
      </c>
      <c r="AY247">
        <v>323.72154949123768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 spans="1:56" x14ac:dyDescent="0.2">
      <c r="A248" t="s">
        <v>1419</v>
      </c>
      <c r="B248" t="s">
        <v>1173</v>
      </c>
      <c r="C248" t="s">
        <v>820</v>
      </c>
      <c r="D248">
        <v>2017</v>
      </c>
      <c r="E248" t="s">
        <v>1174</v>
      </c>
      <c r="F248" t="s">
        <v>1175</v>
      </c>
      <c r="G248">
        <v>1602.9947167819</v>
      </c>
      <c r="H248">
        <v>1602.9947167813382</v>
      </c>
      <c r="I248">
        <v>0</v>
      </c>
      <c r="J248">
        <v>78.581729466347525</v>
      </c>
      <c r="K248">
        <v>241.60399911040761</v>
      </c>
      <c r="L248">
        <v>2.8936894097379997</v>
      </c>
      <c r="M248">
        <v>46.862868376958303</v>
      </c>
      <c r="N248">
        <v>1197.1203154428122</v>
      </c>
      <c r="O248">
        <v>35.932114975074676</v>
      </c>
      <c r="P248">
        <v>0</v>
      </c>
      <c r="Q248">
        <v>0</v>
      </c>
      <c r="R248">
        <v>0</v>
      </c>
      <c r="S248">
        <v>17.682899705308465</v>
      </c>
      <c r="T248">
        <v>60.89882976103906</v>
      </c>
      <c r="U248">
        <v>0</v>
      </c>
      <c r="V248">
        <v>220.17231615435543</v>
      </c>
      <c r="W248">
        <v>0</v>
      </c>
      <c r="X248">
        <v>3.5667146161646008</v>
      </c>
      <c r="Y248">
        <v>5.5246218105903999</v>
      </c>
      <c r="Z248">
        <v>12.3403465292972</v>
      </c>
      <c r="AA248">
        <v>0</v>
      </c>
      <c r="AB248">
        <v>0</v>
      </c>
      <c r="AC248">
        <v>2.8936894097379997</v>
      </c>
      <c r="AD248">
        <v>0</v>
      </c>
      <c r="AE248">
        <v>0</v>
      </c>
      <c r="AF248">
        <v>0</v>
      </c>
      <c r="AG248">
        <v>7.0467020969260004</v>
      </c>
      <c r="AH248">
        <v>23.4447882047298</v>
      </c>
      <c r="AI248">
        <v>0.30826062513899999</v>
      </c>
      <c r="AJ248">
        <v>0</v>
      </c>
      <c r="AK248">
        <v>16.063117450163503</v>
      </c>
      <c r="AL248">
        <v>0</v>
      </c>
      <c r="AM248">
        <v>1197.1203154428122</v>
      </c>
      <c r="AN248">
        <v>34.654565778610774</v>
      </c>
      <c r="AO248">
        <v>1.2775491964639001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2">
      <c r="A249" t="s">
        <v>1420</v>
      </c>
      <c r="B249" t="s">
        <v>1173</v>
      </c>
      <c r="C249" t="s">
        <v>860</v>
      </c>
      <c r="D249">
        <v>2017</v>
      </c>
      <c r="E249" t="s">
        <v>1174</v>
      </c>
      <c r="F249" t="s">
        <v>1175</v>
      </c>
      <c r="G249">
        <v>2279.9787727636999</v>
      </c>
      <c r="H249">
        <v>2092.3456959324767</v>
      </c>
      <c r="I249">
        <v>187.63307683186395</v>
      </c>
      <c r="J249">
        <v>102.01243996626751</v>
      </c>
      <c r="K249">
        <v>740.07745375207787</v>
      </c>
      <c r="L249">
        <v>79.18908650344531</v>
      </c>
      <c r="M249">
        <v>161.50785507504168</v>
      </c>
      <c r="N249">
        <v>904.76565594173519</v>
      </c>
      <c r="O249">
        <v>104.79320469390902</v>
      </c>
      <c r="P249">
        <v>187.63307683186395</v>
      </c>
      <c r="Q249">
        <v>0</v>
      </c>
      <c r="R249">
        <v>0</v>
      </c>
      <c r="S249">
        <v>12.4783073791048</v>
      </c>
      <c r="T249">
        <v>89.534132587162702</v>
      </c>
      <c r="U249">
        <v>0</v>
      </c>
      <c r="V249">
        <v>562.04643564567675</v>
      </c>
      <c r="W249">
        <v>9.1216330934193994</v>
      </c>
      <c r="X249">
        <v>15.450911339953301</v>
      </c>
      <c r="Y249">
        <v>1.7078162984059</v>
      </c>
      <c r="Z249">
        <v>151.75065737462245</v>
      </c>
      <c r="AA249">
        <v>0</v>
      </c>
      <c r="AB249">
        <v>0</v>
      </c>
      <c r="AC249">
        <v>3.7663806045381998</v>
      </c>
      <c r="AD249">
        <v>49.397481214305614</v>
      </c>
      <c r="AE249">
        <v>23.759309701492302</v>
      </c>
      <c r="AF249">
        <v>2.2659149831092003</v>
      </c>
      <c r="AG249">
        <v>111.50377021346048</v>
      </c>
      <c r="AH249">
        <v>47.287680176431799</v>
      </c>
      <c r="AI249">
        <v>1.4558192269293999</v>
      </c>
      <c r="AJ249">
        <v>0</v>
      </c>
      <c r="AK249">
        <v>1.26058545822</v>
      </c>
      <c r="AL249">
        <v>0</v>
      </c>
      <c r="AM249">
        <v>904.76565594173519</v>
      </c>
      <c r="AN249">
        <v>95.749855565028128</v>
      </c>
      <c r="AO249">
        <v>4.6991627421982001</v>
      </c>
      <c r="AP249">
        <v>4.3441863866826989</v>
      </c>
      <c r="AQ249">
        <v>0</v>
      </c>
      <c r="AR249">
        <v>0</v>
      </c>
      <c r="AS249">
        <v>79.953109934303711</v>
      </c>
      <c r="AT249">
        <v>0</v>
      </c>
      <c r="AU249">
        <v>0</v>
      </c>
      <c r="AV249">
        <v>1.6328502140849999</v>
      </c>
      <c r="AW249">
        <v>6.6293731095299995</v>
      </c>
      <c r="AX249">
        <v>0</v>
      </c>
      <c r="AY249">
        <v>99.417743573945245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 x14ac:dyDescent="0.2">
      <c r="A250" t="s">
        <v>1421</v>
      </c>
      <c r="B250" t="s">
        <v>1173</v>
      </c>
      <c r="C250" t="s">
        <v>913</v>
      </c>
      <c r="D250">
        <v>2017</v>
      </c>
      <c r="E250" t="s">
        <v>1174</v>
      </c>
      <c r="F250" t="s">
        <v>1175</v>
      </c>
      <c r="G250">
        <v>2389.8053517751</v>
      </c>
      <c r="H250">
        <v>2388.8343522103023</v>
      </c>
      <c r="I250">
        <v>0.97099956513930008</v>
      </c>
      <c r="J250">
        <v>52.568987156773147</v>
      </c>
      <c r="K250">
        <v>191.00237562728825</v>
      </c>
      <c r="L250">
        <v>3.8346575606483606</v>
      </c>
      <c r="M250">
        <v>89.125169548056789</v>
      </c>
      <c r="N250">
        <v>1464.9799003799722</v>
      </c>
      <c r="O250">
        <v>587.32326193756364</v>
      </c>
      <c r="P250">
        <v>0.97099956513930008</v>
      </c>
      <c r="Q250">
        <v>0</v>
      </c>
      <c r="R250">
        <v>0</v>
      </c>
      <c r="S250">
        <v>0</v>
      </c>
      <c r="T250">
        <v>52.568987156773147</v>
      </c>
      <c r="U250">
        <v>0</v>
      </c>
      <c r="V250">
        <v>153.60386449480785</v>
      </c>
      <c r="W250">
        <v>17.800393539147905</v>
      </c>
      <c r="X250">
        <v>1.1284651639426</v>
      </c>
      <c r="Y250">
        <v>7.7679089608150012</v>
      </c>
      <c r="Z250">
        <v>10.701743468574902</v>
      </c>
      <c r="AA250">
        <v>0</v>
      </c>
      <c r="AB250">
        <v>0</v>
      </c>
      <c r="AC250">
        <v>2.2253681861047605</v>
      </c>
      <c r="AD250">
        <v>0</v>
      </c>
      <c r="AE250">
        <v>1.6092893745436001</v>
      </c>
      <c r="AF250">
        <v>0</v>
      </c>
      <c r="AG250">
        <v>12.2441025122104</v>
      </c>
      <c r="AH250">
        <v>20.759803045447999</v>
      </c>
      <c r="AI250">
        <v>0</v>
      </c>
      <c r="AJ250">
        <v>13.139123386281801</v>
      </c>
      <c r="AK250">
        <v>42.982140604116594</v>
      </c>
      <c r="AL250">
        <v>0</v>
      </c>
      <c r="AM250">
        <v>1464.9799003799722</v>
      </c>
      <c r="AN250">
        <v>587.32326193756364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0.97099956513930008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 spans="1:56" x14ac:dyDescent="0.2">
      <c r="A251" t="s">
        <v>1422</v>
      </c>
      <c r="B251" t="s">
        <v>1173</v>
      </c>
      <c r="C251" t="s">
        <v>101</v>
      </c>
      <c r="D251">
        <v>2017</v>
      </c>
      <c r="E251" t="s">
        <v>1174</v>
      </c>
      <c r="F251" t="s">
        <v>1175</v>
      </c>
      <c r="G251">
        <v>12899.1278969995</v>
      </c>
      <c r="H251">
        <v>12416.002405088699</v>
      </c>
      <c r="I251">
        <v>483.12549191114203</v>
      </c>
      <c r="J251">
        <v>743.29657366447623</v>
      </c>
      <c r="K251">
        <v>2929.5586327307392</v>
      </c>
      <c r="L251">
        <v>487.74628720119631</v>
      </c>
      <c r="M251">
        <v>599.78919827894003</v>
      </c>
      <c r="N251">
        <v>4751.1277424639375</v>
      </c>
      <c r="O251">
        <v>2904.4839707494079</v>
      </c>
      <c r="P251">
        <v>483.12549191114203</v>
      </c>
      <c r="Q251">
        <v>0</v>
      </c>
      <c r="R251">
        <v>0</v>
      </c>
      <c r="S251">
        <v>78.945118163517023</v>
      </c>
      <c r="T251">
        <v>625.43013522580657</v>
      </c>
      <c r="U251">
        <v>38.921320275152603</v>
      </c>
      <c r="V251">
        <v>1526.1413472333477</v>
      </c>
      <c r="W251">
        <v>92.236222492774814</v>
      </c>
      <c r="X251">
        <v>57.761163548178665</v>
      </c>
      <c r="Y251">
        <v>181.01243697483724</v>
      </c>
      <c r="Z251">
        <v>1072.4074624816005</v>
      </c>
      <c r="AA251">
        <v>0</v>
      </c>
      <c r="AB251">
        <v>0</v>
      </c>
      <c r="AC251">
        <v>26.819878171013034</v>
      </c>
      <c r="AD251">
        <v>100.45209480732298</v>
      </c>
      <c r="AE251">
        <v>337.87830899749798</v>
      </c>
      <c r="AF251">
        <v>22.596005225362305</v>
      </c>
      <c r="AG251">
        <v>278.70490064913213</v>
      </c>
      <c r="AH251">
        <v>166.31426327054834</v>
      </c>
      <c r="AI251">
        <v>5.5632520456218</v>
      </c>
      <c r="AJ251">
        <v>34.920736203153204</v>
      </c>
      <c r="AK251">
        <v>114.28604611048461</v>
      </c>
      <c r="AL251">
        <v>312.93233811178919</v>
      </c>
      <c r="AM251">
        <v>4438.1954043521482</v>
      </c>
      <c r="AN251">
        <v>2634.0331113080661</v>
      </c>
      <c r="AO251">
        <v>208.25760179441272</v>
      </c>
      <c r="AP251">
        <v>62.193257646929311</v>
      </c>
      <c r="AQ251">
        <v>0</v>
      </c>
      <c r="AR251">
        <v>0</v>
      </c>
      <c r="AS251">
        <v>233.33531492496476</v>
      </c>
      <c r="AT251">
        <v>0</v>
      </c>
      <c r="AU251">
        <v>0</v>
      </c>
      <c r="AV251">
        <v>20.866558999532</v>
      </c>
      <c r="AW251">
        <v>77.177224680500288</v>
      </c>
      <c r="AX251">
        <v>1.48325955177</v>
      </c>
      <c r="AY251">
        <v>150.26313375437499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x14ac:dyDescent="0.2">
      <c r="A252" t="s">
        <v>1423</v>
      </c>
      <c r="B252" t="s">
        <v>1173</v>
      </c>
      <c r="C252" t="s">
        <v>102</v>
      </c>
      <c r="D252">
        <v>2017</v>
      </c>
      <c r="E252" t="s">
        <v>1174</v>
      </c>
      <c r="F252" t="s">
        <v>1175</v>
      </c>
      <c r="G252">
        <v>16500.183193344899</v>
      </c>
      <c r="H252">
        <v>16318.06807670787</v>
      </c>
      <c r="I252">
        <v>182.11511663528972</v>
      </c>
      <c r="J252">
        <v>467.07535499408198</v>
      </c>
      <c r="K252">
        <v>1543.6588054753886</v>
      </c>
      <c r="L252">
        <v>145.04696746187869</v>
      </c>
      <c r="M252">
        <v>250.35559983362282</v>
      </c>
      <c r="N252">
        <v>10883.513371311894</v>
      </c>
      <c r="O252">
        <v>3028.4179776310057</v>
      </c>
      <c r="P252">
        <v>182.11511663528972</v>
      </c>
      <c r="Q252">
        <v>0</v>
      </c>
      <c r="R252">
        <v>0</v>
      </c>
      <c r="S252">
        <v>19.659369339273194</v>
      </c>
      <c r="T252">
        <v>427.05701064520878</v>
      </c>
      <c r="U252">
        <v>20.358975009600002</v>
      </c>
      <c r="V252">
        <v>755.36114927395204</v>
      </c>
      <c r="W252">
        <v>22.595743473004301</v>
      </c>
      <c r="X252">
        <v>269.97011385285282</v>
      </c>
      <c r="Y252">
        <v>86.77187946841353</v>
      </c>
      <c r="Z252">
        <v>408.95991940716596</v>
      </c>
      <c r="AA252">
        <v>6.87285712063</v>
      </c>
      <c r="AB252">
        <v>1.0817137744700001</v>
      </c>
      <c r="AC252">
        <v>43.933206352912002</v>
      </c>
      <c r="AD252">
        <v>26.503584061463801</v>
      </c>
      <c r="AE252">
        <v>66.655606152402882</v>
      </c>
      <c r="AF252">
        <v>0</v>
      </c>
      <c r="AG252">
        <v>27.938807687394089</v>
      </c>
      <c r="AH252">
        <v>140.54360050788873</v>
      </c>
      <c r="AI252">
        <v>0.46827168394700003</v>
      </c>
      <c r="AJ252">
        <v>11.617870410150507</v>
      </c>
      <c r="AK252">
        <v>69.787049544242521</v>
      </c>
      <c r="AL252">
        <v>25.782029893679116</v>
      </c>
      <c r="AM252">
        <v>10857.731341418215</v>
      </c>
      <c r="AN252">
        <v>2853.6665498561601</v>
      </c>
      <c r="AO252">
        <v>130.93367200064549</v>
      </c>
      <c r="AP252">
        <v>43.81775577419991</v>
      </c>
      <c r="AQ252">
        <v>0</v>
      </c>
      <c r="AR252">
        <v>0</v>
      </c>
      <c r="AS252">
        <v>63.680688999872203</v>
      </c>
      <c r="AT252">
        <v>0</v>
      </c>
      <c r="AU252">
        <v>0</v>
      </c>
      <c r="AV252">
        <v>12.481130736806801</v>
      </c>
      <c r="AW252">
        <v>59.181229689348328</v>
      </c>
      <c r="AX252">
        <v>0</v>
      </c>
      <c r="AY252">
        <v>46.772067209262403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">
      <c r="A253" t="s">
        <v>1424</v>
      </c>
      <c r="B253" t="s">
        <v>1173</v>
      </c>
      <c r="C253" t="s">
        <v>104</v>
      </c>
      <c r="D253">
        <v>2017</v>
      </c>
      <c r="E253" t="s">
        <v>1174</v>
      </c>
      <c r="F253" t="s">
        <v>1175</v>
      </c>
      <c r="G253">
        <v>3152.1108438299002</v>
      </c>
      <c r="H253">
        <v>3151.0423735834606</v>
      </c>
      <c r="I253">
        <v>1.0684702453800001</v>
      </c>
      <c r="J253">
        <v>139.38533238289949</v>
      </c>
      <c r="K253">
        <v>298.84682333222128</v>
      </c>
      <c r="L253">
        <v>5.8274155301202999</v>
      </c>
      <c r="M253">
        <v>94.756456985338204</v>
      </c>
      <c r="N253">
        <v>2530.9496447822689</v>
      </c>
      <c r="O253">
        <v>81.276700570612277</v>
      </c>
      <c r="P253">
        <v>1.0684702453800001</v>
      </c>
      <c r="Q253">
        <v>0</v>
      </c>
      <c r="R253">
        <v>0</v>
      </c>
      <c r="S253">
        <v>16.717418396681296</v>
      </c>
      <c r="T253">
        <v>122.66791398621818</v>
      </c>
      <c r="U253">
        <v>0</v>
      </c>
      <c r="V253">
        <v>268.68974359309578</v>
      </c>
      <c r="W253">
        <v>1.6439049028099999</v>
      </c>
      <c r="X253">
        <v>2.1443246235691</v>
      </c>
      <c r="Y253">
        <v>6.9650996918228003</v>
      </c>
      <c r="Z253">
        <v>19.403750520923598</v>
      </c>
      <c r="AA253">
        <v>0</v>
      </c>
      <c r="AB253">
        <v>0</v>
      </c>
      <c r="AC253">
        <v>2.8219678183947998</v>
      </c>
      <c r="AD253">
        <v>1.3660099933654999</v>
      </c>
      <c r="AE253">
        <v>1.6394377183600002</v>
      </c>
      <c r="AF253">
        <v>0</v>
      </c>
      <c r="AG253">
        <v>14.5894125841301</v>
      </c>
      <c r="AH253">
        <v>64.247293083964891</v>
      </c>
      <c r="AI253">
        <v>0</v>
      </c>
      <c r="AJ253">
        <v>2.2577779142000001</v>
      </c>
      <c r="AK253">
        <v>13.6619734030432</v>
      </c>
      <c r="AL253">
        <v>0</v>
      </c>
      <c r="AM253">
        <v>2530.9496447822689</v>
      </c>
      <c r="AN253">
        <v>75.705820395292278</v>
      </c>
      <c r="AO253">
        <v>5.5708801753200001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1.0684702453800001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x14ac:dyDescent="0.2">
      <c r="A254" t="s">
        <v>1425</v>
      </c>
      <c r="B254" t="s">
        <v>1173</v>
      </c>
      <c r="C254" t="s">
        <v>108</v>
      </c>
      <c r="D254">
        <v>2017</v>
      </c>
      <c r="E254" t="s">
        <v>1174</v>
      </c>
      <c r="F254" t="s">
        <v>1175</v>
      </c>
      <c r="G254">
        <v>10553.569748063301</v>
      </c>
      <c r="H254">
        <v>10424.572673911185</v>
      </c>
      <c r="I254">
        <v>128.99707415312474</v>
      </c>
      <c r="J254">
        <v>434.57970499914745</v>
      </c>
      <c r="K254">
        <v>1483.6102463486836</v>
      </c>
      <c r="L254">
        <v>95.546749877839204</v>
      </c>
      <c r="M254">
        <v>307.49567204451625</v>
      </c>
      <c r="N254">
        <v>5671.4110072165176</v>
      </c>
      <c r="O254">
        <v>2431.9292934244804</v>
      </c>
      <c r="P254">
        <v>128.99707415312474</v>
      </c>
      <c r="Q254">
        <v>0</v>
      </c>
      <c r="R254">
        <v>0</v>
      </c>
      <c r="S254">
        <v>44.304133957430807</v>
      </c>
      <c r="T254">
        <v>390.27557104171666</v>
      </c>
      <c r="U254">
        <v>0</v>
      </c>
      <c r="V254">
        <v>869.02765828770009</v>
      </c>
      <c r="W254">
        <v>45.859015409508437</v>
      </c>
      <c r="X254">
        <v>116.44755234505341</v>
      </c>
      <c r="Y254">
        <v>36.381384532826303</v>
      </c>
      <c r="Z254">
        <v>415.8946357735955</v>
      </c>
      <c r="AA254">
        <v>0</v>
      </c>
      <c r="AB254">
        <v>3.2989422294500002</v>
      </c>
      <c r="AC254">
        <v>4.6440726475725</v>
      </c>
      <c r="AD254">
        <v>19.503752146939174</v>
      </c>
      <c r="AE254">
        <v>68.099982853877535</v>
      </c>
      <c r="AF254">
        <v>0</v>
      </c>
      <c r="AG254">
        <v>79.10551362810034</v>
      </c>
      <c r="AH254">
        <v>148.841781408971</v>
      </c>
      <c r="AI254">
        <v>12.290310157732</v>
      </c>
      <c r="AJ254">
        <v>4.3870690198799993</v>
      </c>
      <c r="AK254">
        <v>62.870997829832902</v>
      </c>
      <c r="AL254">
        <v>6.8201491715319005</v>
      </c>
      <c r="AM254">
        <v>5664.5908580449859</v>
      </c>
      <c r="AN254">
        <v>1927.8929422115789</v>
      </c>
      <c r="AO254">
        <v>402.27318943230591</v>
      </c>
      <c r="AP254">
        <v>101.76316178059555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22.184604067789998</v>
      </c>
      <c r="AW254">
        <v>30.469324436660802</v>
      </c>
      <c r="AX254">
        <v>0</v>
      </c>
      <c r="AY254">
        <v>76.343145648673939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 x14ac:dyDescent="0.2">
      <c r="A255" t="s">
        <v>1426</v>
      </c>
      <c r="B255" t="s">
        <v>1173</v>
      </c>
      <c r="C255" t="s">
        <v>916</v>
      </c>
      <c r="D255">
        <v>2017</v>
      </c>
      <c r="E255" t="s">
        <v>1174</v>
      </c>
      <c r="F255" t="s">
        <v>1175</v>
      </c>
      <c r="G255">
        <v>3692.4172913851999</v>
      </c>
      <c r="H255">
        <v>3672.7231305331297</v>
      </c>
      <c r="I255">
        <v>19.694160852647101</v>
      </c>
      <c r="J255">
        <v>159.31524125513602</v>
      </c>
      <c r="K255">
        <v>404.28940833020971</v>
      </c>
      <c r="L255">
        <v>19.564935305805299</v>
      </c>
      <c r="M255">
        <v>116.33223047383701</v>
      </c>
      <c r="N255">
        <v>2421.0698376742585</v>
      </c>
      <c r="O255">
        <v>552.15147749388314</v>
      </c>
      <c r="P255">
        <v>19.694160852647101</v>
      </c>
      <c r="Q255">
        <v>0</v>
      </c>
      <c r="R255">
        <v>0</v>
      </c>
      <c r="S255">
        <v>21.172460873260601</v>
      </c>
      <c r="T255">
        <v>138.14278038187541</v>
      </c>
      <c r="U255">
        <v>0</v>
      </c>
      <c r="V255">
        <v>318.8618296475928</v>
      </c>
      <c r="W255">
        <v>28.380786440306903</v>
      </c>
      <c r="X255">
        <v>1.45607743159</v>
      </c>
      <c r="Y255">
        <v>34.522835318356009</v>
      </c>
      <c r="Z255">
        <v>21.067879492364003</v>
      </c>
      <c r="AA255">
        <v>0</v>
      </c>
      <c r="AB255">
        <v>0</v>
      </c>
      <c r="AC255">
        <v>6.5291055797138995</v>
      </c>
      <c r="AD255">
        <v>12.039214577618999</v>
      </c>
      <c r="AE255">
        <v>0.99661514847239996</v>
      </c>
      <c r="AF255">
        <v>0</v>
      </c>
      <c r="AG255">
        <v>15.396726868676399</v>
      </c>
      <c r="AH255">
        <v>24.825722081625198</v>
      </c>
      <c r="AI255">
        <v>0.99323814245260023</v>
      </c>
      <c r="AJ255">
        <v>16.792476291651603</v>
      </c>
      <c r="AK255">
        <v>58.324067089431217</v>
      </c>
      <c r="AL255">
        <v>0</v>
      </c>
      <c r="AM255">
        <v>2421.0698376742585</v>
      </c>
      <c r="AN255">
        <v>519.81404690415661</v>
      </c>
      <c r="AO255">
        <v>11.2816541140265</v>
      </c>
      <c r="AP255">
        <v>21.0557764757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19.694160852647101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x14ac:dyDescent="0.2">
      <c r="A256" t="s">
        <v>1427</v>
      </c>
      <c r="B256" t="s">
        <v>1173</v>
      </c>
      <c r="C256" t="s">
        <v>69</v>
      </c>
      <c r="D256">
        <v>2017</v>
      </c>
      <c r="E256" t="s">
        <v>1174</v>
      </c>
      <c r="F256" t="s">
        <v>1175</v>
      </c>
      <c r="G256">
        <v>76545.243952534103</v>
      </c>
      <c r="H256">
        <v>22899.871207083164</v>
      </c>
      <c r="I256">
        <v>53645.372745470384</v>
      </c>
      <c r="J256">
        <v>786.34579040642757</v>
      </c>
      <c r="K256">
        <v>2135.9090915082725</v>
      </c>
      <c r="L256">
        <v>586.20608133114786</v>
      </c>
      <c r="M256">
        <v>917.50872089386189</v>
      </c>
      <c r="N256">
        <v>11324.555219365075</v>
      </c>
      <c r="O256">
        <v>7149.3463035783789</v>
      </c>
      <c r="P256">
        <v>53645.372745470384</v>
      </c>
      <c r="Q256">
        <v>0</v>
      </c>
      <c r="R256">
        <v>0</v>
      </c>
      <c r="S256">
        <v>94.218362537254194</v>
      </c>
      <c r="T256">
        <v>634.81044959578333</v>
      </c>
      <c r="U256">
        <v>57.31697827339012</v>
      </c>
      <c r="V256">
        <v>1290.1784535462109</v>
      </c>
      <c r="W256">
        <v>85.607933558054853</v>
      </c>
      <c r="X256">
        <v>149.02973226256111</v>
      </c>
      <c r="Y256">
        <v>162.3738760232329</v>
      </c>
      <c r="Z256">
        <v>448.71909611821286</v>
      </c>
      <c r="AA256">
        <v>49.193082635315498</v>
      </c>
      <c r="AB256">
        <v>1.9912690506399999</v>
      </c>
      <c r="AC256">
        <v>6.8936958219699997</v>
      </c>
      <c r="AD256">
        <v>0</v>
      </c>
      <c r="AE256">
        <v>335.41568694835445</v>
      </c>
      <c r="AF256">
        <v>192.71234687486793</v>
      </c>
      <c r="AG256">
        <v>377.44893049234787</v>
      </c>
      <c r="AH256">
        <v>241.38460672956325</v>
      </c>
      <c r="AI256">
        <v>34.828384297731098</v>
      </c>
      <c r="AJ256">
        <v>228.98105013315532</v>
      </c>
      <c r="AK256">
        <v>34.8657492410644</v>
      </c>
      <c r="AL256">
        <v>0</v>
      </c>
      <c r="AM256">
        <v>11324.555219365075</v>
      </c>
      <c r="AN256">
        <v>3226.5008136088018</v>
      </c>
      <c r="AO256">
        <v>1499.7940390662811</v>
      </c>
      <c r="AP256">
        <v>2423.0514509032964</v>
      </c>
      <c r="AQ256">
        <v>50731.725384428479</v>
      </c>
      <c r="AR256">
        <v>0</v>
      </c>
      <c r="AS256">
        <v>0</v>
      </c>
      <c r="AT256">
        <v>0</v>
      </c>
      <c r="AU256">
        <v>0</v>
      </c>
      <c r="AV256">
        <v>268.39284075860053</v>
      </c>
      <c r="AW256">
        <v>0</v>
      </c>
      <c r="AX256">
        <v>0</v>
      </c>
      <c r="AY256">
        <v>2645.2545202833053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x14ac:dyDescent="0.2">
      <c r="A257" t="s">
        <v>1428</v>
      </c>
      <c r="B257" t="s">
        <v>1173</v>
      </c>
      <c r="C257" t="s">
        <v>517</v>
      </c>
      <c r="D257">
        <v>2017</v>
      </c>
      <c r="E257" t="s">
        <v>1174</v>
      </c>
      <c r="F257" t="s">
        <v>1175</v>
      </c>
      <c r="G257">
        <v>19191.683197003498</v>
      </c>
      <c r="H257">
        <v>18867.493216300332</v>
      </c>
      <c r="I257">
        <v>324.18998070151144</v>
      </c>
      <c r="J257">
        <v>536.82819928116623</v>
      </c>
      <c r="K257">
        <v>1066.1196677907765</v>
      </c>
      <c r="L257">
        <v>75.228501721813743</v>
      </c>
      <c r="M257">
        <v>517.76095120589741</v>
      </c>
      <c r="N257">
        <v>13084.153334230703</v>
      </c>
      <c r="O257">
        <v>3587.4025620699776</v>
      </c>
      <c r="P257">
        <v>324.18998070151144</v>
      </c>
      <c r="Q257">
        <v>0</v>
      </c>
      <c r="R257">
        <v>0</v>
      </c>
      <c r="S257">
        <v>51.666461585712618</v>
      </c>
      <c r="T257">
        <v>485.16173769545361</v>
      </c>
      <c r="U257">
        <v>0</v>
      </c>
      <c r="V257">
        <v>742.038969477455</v>
      </c>
      <c r="W257">
        <v>15.666507179753602</v>
      </c>
      <c r="X257">
        <v>21.871585110289562</v>
      </c>
      <c r="Y257">
        <v>25.583705329401802</v>
      </c>
      <c r="Z257">
        <v>260.95890069387656</v>
      </c>
      <c r="AA257">
        <v>0</v>
      </c>
      <c r="AB257">
        <v>1.5275024065338001</v>
      </c>
      <c r="AC257">
        <v>7.937172768329301</v>
      </c>
      <c r="AD257">
        <v>10.694400012080798</v>
      </c>
      <c r="AE257">
        <v>46.267725876255597</v>
      </c>
      <c r="AF257">
        <v>8.8017006586142497</v>
      </c>
      <c r="AG257">
        <v>11.3364182346604</v>
      </c>
      <c r="AH257">
        <v>208.40559836525688</v>
      </c>
      <c r="AI257">
        <v>3.0947419611360996</v>
      </c>
      <c r="AJ257">
        <v>74.449267191645887</v>
      </c>
      <c r="AK257">
        <v>220.4749254531981</v>
      </c>
      <c r="AL257">
        <v>384.86836886221084</v>
      </c>
      <c r="AM257">
        <v>12699.284965368492</v>
      </c>
      <c r="AN257">
        <v>2879.5979603954879</v>
      </c>
      <c r="AO257">
        <v>332.44095079773643</v>
      </c>
      <c r="AP257">
        <v>375.3636508767533</v>
      </c>
      <c r="AQ257">
        <v>0</v>
      </c>
      <c r="AR257">
        <v>0</v>
      </c>
      <c r="AS257">
        <v>106.56016915028611</v>
      </c>
      <c r="AT257">
        <v>0</v>
      </c>
      <c r="AU257">
        <v>0</v>
      </c>
      <c r="AV257">
        <v>44.446065554216304</v>
      </c>
      <c r="AW257">
        <v>11.688349204846599</v>
      </c>
      <c r="AX257">
        <v>0</v>
      </c>
      <c r="AY257">
        <v>161.49539679216247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 spans="1:56" x14ac:dyDescent="0.2">
      <c r="A258" t="s">
        <v>1429</v>
      </c>
      <c r="B258" t="s">
        <v>1173</v>
      </c>
      <c r="C258" t="s">
        <v>735</v>
      </c>
      <c r="D258">
        <v>2017</v>
      </c>
      <c r="E258" t="s">
        <v>1174</v>
      </c>
      <c r="F258" t="s">
        <v>1175</v>
      </c>
      <c r="G258">
        <v>13795.227814159301</v>
      </c>
      <c r="H258">
        <v>13607.06565024874</v>
      </c>
      <c r="I258">
        <v>188.16216403808306</v>
      </c>
      <c r="J258">
        <v>406.76312936327912</v>
      </c>
      <c r="K258">
        <v>1063.7330828843344</v>
      </c>
      <c r="L258">
        <v>92.131377898214296</v>
      </c>
      <c r="M258">
        <v>217.6785138631904</v>
      </c>
      <c r="N258">
        <v>11205.882636565133</v>
      </c>
      <c r="O258">
        <v>620.87690967458832</v>
      </c>
      <c r="P258">
        <v>188.16216403808306</v>
      </c>
      <c r="Q258">
        <v>0</v>
      </c>
      <c r="R258">
        <v>0</v>
      </c>
      <c r="S258">
        <v>12.768618889731002</v>
      </c>
      <c r="T258">
        <v>393.99451047354813</v>
      </c>
      <c r="U258">
        <v>0</v>
      </c>
      <c r="V258">
        <v>713.05340660515765</v>
      </c>
      <c r="W258">
        <v>32.536483858289493</v>
      </c>
      <c r="X258">
        <v>21.255599651545314</v>
      </c>
      <c r="Y258">
        <v>33.496952021994893</v>
      </c>
      <c r="Z258">
        <v>263.39064074734716</v>
      </c>
      <c r="AA258">
        <v>0</v>
      </c>
      <c r="AB258">
        <v>0</v>
      </c>
      <c r="AC258">
        <v>12.159786976631599</v>
      </c>
      <c r="AD258">
        <v>26.141608003455399</v>
      </c>
      <c r="AE258">
        <v>53.8299829181273</v>
      </c>
      <c r="AF258">
        <v>0</v>
      </c>
      <c r="AG258">
        <v>30.585052055866999</v>
      </c>
      <c r="AH258">
        <v>101.26474350091659</v>
      </c>
      <c r="AI258">
        <v>6.1917498141021996</v>
      </c>
      <c r="AJ258">
        <v>19.13057965473941</v>
      </c>
      <c r="AK258">
        <v>60.506388837565204</v>
      </c>
      <c r="AL258">
        <v>1.08636992653</v>
      </c>
      <c r="AM258">
        <v>11204.796266638603</v>
      </c>
      <c r="AN258">
        <v>615.72053515248729</v>
      </c>
      <c r="AO258">
        <v>3.0849770280720006</v>
      </c>
      <c r="AP258">
        <v>2.0713974940290298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41.752507881105906</v>
      </c>
      <c r="AW258">
        <v>58.665119020745102</v>
      </c>
      <c r="AX258">
        <v>0</v>
      </c>
      <c r="AY258">
        <v>87.744537136232054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 x14ac:dyDescent="0.2">
      <c r="A259" t="s">
        <v>1430</v>
      </c>
      <c r="B259" t="s">
        <v>1173</v>
      </c>
      <c r="C259" t="s">
        <v>878</v>
      </c>
      <c r="D259">
        <v>2017</v>
      </c>
      <c r="E259" t="s">
        <v>1174</v>
      </c>
      <c r="F259" t="s">
        <v>1175</v>
      </c>
      <c r="G259">
        <v>3348.6977091921003</v>
      </c>
      <c r="H259">
        <v>2831.8744341808956</v>
      </c>
      <c r="I259">
        <v>516.82327501029476</v>
      </c>
      <c r="J259">
        <v>132.70627553866009</v>
      </c>
      <c r="K259">
        <v>649.4096495008032</v>
      </c>
      <c r="L259">
        <v>24.235859802472802</v>
      </c>
      <c r="M259">
        <v>212.40487138557114</v>
      </c>
      <c r="N259">
        <v>1737.1558293032381</v>
      </c>
      <c r="O259">
        <v>75.961948650150092</v>
      </c>
      <c r="P259">
        <v>516.82327501029476</v>
      </c>
      <c r="Q259">
        <v>0</v>
      </c>
      <c r="R259">
        <v>0</v>
      </c>
      <c r="S259">
        <v>41.749728775811896</v>
      </c>
      <c r="T259">
        <v>90.956546762848191</v>
      </c>
      <c r="U259">
        <v>0</v>
      </c>
      <c r="V259">
        <v>441.95471383038398</v>
      </c>
      <c r="W259">
        <v>22.877990151322301</v>
      </c>
      <c r="X259">
        <v>11.780808297696403</v>
      </c>
      <c r="Y259">
        <v>25.826384497278497</v>
      </c>
      <c r="Z259">
        <v>146.96975272412206</v>
      </c>
      <c r="AA259">
        <v>0</v>
      </c>
      <c r="AB259">
        <v>0</v>
      </c>
      <c r="AC259">
        <v>2.7630915329087999</v>
      </c>
      <c r="AD259">
        <v>0</v>
      </c>
      <c r="AE259">
        <v>21.472768269564003</v>
      </c>
      <c r="AF259">
        <v>0</v>
      </c>
      <c r="AG259">
        <v>33.986761519447491</v>
      </c>
      <c r="AH259">
        <v>85.058677271608758</v>
      </c>
      <c r="AI259">
        <v>12.4947221246507</v>
      </c>
      <c r="AJ259">
        <v>31.345043899856798</v>
      </c>
      <c r="AK259">
        <v>49.519666570007374</v>
      </c>
      <c r="AL259">
        <v>8.5280779369136415</v>
      </c>
      <c r="AM259">
        <v>1728.6277513663244</v>
      </c>
      <c r="AN259">
        <v>52.757603533912693</v>
      </c>
      <c r="AO259">
        <v>0</v>
      </c>
      <c r="AP259">
        <v>23.204345116237398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14.545975964085901</v>
      </c>
      <c r="AW259">
        <v>0</v>
      </c>
      <c r="AX259">
        <v>0</v>
      </c>
      <c r="AY259">
        <v>502.2772990462089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 spans="1:56" x14ac:dyDescent="0.2">
      <c r="A260" t="s">
        <v>1431</v>
      </c>
      <c r="B260" t="s">
        <v>1173</v>
      </c>
      <c r="C260" t="s">
        <v>910</v>
      </c>
      <c r="D260">
        <v>2017</v>
      </c>
      <c r="E260" t="s">
        <v>1174</v>
      </c>
      <c r="F260" t="s">
        <v>1175</v>
      </c>
      <c r="G260">
        <v>13394.0604187066</v>
      </c>
      <c r="H260">
        <v>13201.797916509737</v>
      </c>
      <c r="I260">
        <v>192.26250219632183</v>
      </c>
      <c r="J260">
        <v>345.44881138873512</v>
      </c>
      <c r="K260">
        <v>1196.4630823623625</v>
      </c>
      <c r="L260">
        <v>55.261556919331561</v>
      </c>
      <c r="M260">
        <v>625.7847536135514</v>
      </c>
      <c r="N260">
        <v>4840.3433726017938</v>
      </c>
      <c r="O260">
        <v>6138.4963396239627</v>
      </c>
      <c r="P260">
        <v>192.26250219632183</v>
      </c>
      <c r="Q260">
        <v>0</v>
      </c>
      <c r="R260">
        <v>0</v>
      </c>
      <c r="S260">
        <v>63.29875283915711</v>
      </c>
      <c r="T260">
        <v>282.15005854957803</v>
      </c>
      <c r="U260">
        <v>0</v>
      </c>
      <c r="V260">
        <v>931.61139967571455</v>
      </c>
      <c r="W260">
        <v>29.301858843837604</v>
      </c>
      <c r="X260">
        <v>44.708064445442488</v>
      </c>
      <c r="Y260">
        <v>132.66050534930767</v>
      </c>
      <c r="Z260">
        <v>58.181254048060168</v>
      </c>
      <c r="AA260">
        <v>7.7382480321099996</v>
      </c>
      <c r="AB260">
        <v>0</v>
      </c>
      <c r="AC260">
        <v>30.776512968656707</v>
      </c>
      <c r="AD260">
        <v>0</v>
      </c>
      <c r="AE260">
        <v>11.14450902291229</v>
      </c>
      <c r="AF260">
        <v>5.6022868956525702</v>
      </c>
      <c r="AG260">
        <v>114.4874988797244</v>
      </c>
      <c r="AH260">
        <v>173.95477785605334</v>
      </c>
      <c r="AI260">
        <v>3.9886897721308006</v>
      </c>
      <c r="AJ260">
        <v>40.018460246562995</v>
      </c>
      <c r="AK260">
        <v>293.33532685907983</v>
      </c>
      <c r="AL260">
        <v>1.8917186238300001</v>
      </c>
      <c r="AM260">
        <v>4838.4516539779643</v>
      </c>
      <c r="AN260">
        <v>5676.1814030788082</v>
      </c>
      <c r="AO260">
        <v>379.48458989601403</v>
      </c>
      <c r="AP260">
        <v>82.830346649140708</v>
      </c>
      <c r="AQ260">
        <v>0</v>
      </c>
      <c r="AR260">
        <v>0</v>
      </c>
      <c r="AS260">
        <v>59.755737952917585</v>
      </c>
      <c r="AT260">
        <v>0</v>
      </c>
      <c r="AU260">
        <v>0</v>
      </c>
      <c r="AV260">
        <v>8.4354087928696</v>
      </c>
      <c r="AW260">
        <v>0</v>
      </c>
      <c r="AX260">
        <v>0</v>
      </c>
      <c r="AY260">
        <v>124.07135545053465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x14ac:dyDescent="0.2">
      <c r="A261" t="s">
        <v>1432</v>
      </c>
      <c r="B261" t="s">
        <v>1173</v>
      </c>
      <c r="C261" t="s">
        <v>715</v>
      </c>
      <c r="D261">
        <v>2017</v>
      </c>
      <c r="E261" t="s">
        <v>1174</v>
      </c>
      <c r="F261" t="s">
        <v>1175</v>
      </c>
      <c r="G261">
        <v>11043.5645621232</v>
      </c>
      <c r="H261">
        <v>10993.418037384317</v>
      </c>
      <c r="I261">
        <v>50.146524735820584</v>
      </c>
      <c r="J261">
        <v>337.26847980513276</v>
      </c>
      <c r="K261">
        <v>812.91474867023601</v>
      </c>
      <c r="L261">
        <v>119.87186477097804</v>
      </c>
      <c r="M261">
        <v>217.63713192955171</v>
      </c>
      <c r="N261">
        <v>8954.9354183022351</v>
      </c>
      <c r="O261">
        <v>550.79039390618334</v>
      </c>
      <c r="P261">
        <v>50.146524735820584</v>
      </c>
      <c r="Q261">
        <v>0</v>
      </c>
      <c r="R261">
        <v>0</v>
      </c>
      <c r="S261">
        <v>14.343741460865099</v>
      </c>
      <c r="T261">
        <v>322.92473834426767</v>
      </c>
      <c r="U261">
        <v>0</v>
      </c>
      <c r="V261">
        <v>510.6728739482009</v>
      </c>
      <c r="W261">
        <v>26.432140622407001</v>
      </c>
      <c r="X261">
        <v>6.7991474350522996</v>
      </c>
      <c r="Y261">
        <v>33.868519451428796</v>
      </c>
      <c r="Z261">
        <v>235.14206721314699</v>
      </c>
      <c r="AA261">
        <v>0</v>
      </c>
      <c r="AB261">
        <v>0</v>
      </c>
      <c r="AC261">
        <v>8.4606609264095027</v>
      </c>
      <c r="AD261">
        <v>0</v>
      </c>
      <c r="AE261">
        <v>111.41120384456853</v>
      </c>
      <c r="AF261">
        <v>0</v>
      </c>
      <c r="AG261">
        <v>85.421818071340198</v>
      </c>
      <c r="AH261">
        <v>69.747705489929629</v>
      </c>
      <c r="AI261">
        <v>2.3946426852599996</v>
      </c>
      <c r="AJ261">
        <v>8.0067258764777982</v>
      </c>
      <c r="AK261">
        <v>52.066239806544083</v>
      </c>
      <c r="AL261">
        <v>0</v>
      </c>
      <c r="AM261">
        <v>8954.9354183022351</v>
      </c>
      <c r="AN261">
        <v>488.9625163213542</v>
      </c>
      <c r="AO261">
        <v>41.873281916963847</v>
      </c>
      <c r="AP261">
        <v>19.954595667865298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4.0295987745500002</v>
      </c>
      <c r="AW261">
        <v>0</v>
      </c>
      <c r="AX261">
        <v>0</v>
      </c>
      <c r="AY261">
        <v>46.116925961270582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2">
      <c r="A262" t="s">
        <v>1433</v>
      </c>
      <c r="B262" t="s">
        <v>1173</v>
      </c>
      <c r="C262" t="s">
        <v>544</v>
      </c>
      <c r="D262">
        <v>2017</v>
      </c>
      <c r="E262" t="s">
        <v>1174</v>
      </c>
      <c r="F262" t="s">
        <v>1175</v>
      </c>
      <c r="G262">
        <v>8408.3919015857991</v>
      </c>
      <c r="H262">
        <v>8025.539428573863</v>
      </c>
      <c r="I262">
        <v>382.85247301356912</v>
      </c>
      <c r="J262">
        <v>300.22932653343082</v>
      </c>
      <c r="K262">
        <v>487.47474922897982</v>
      </c>
      <c r="L262">
        <v>47.614200986455494</v>
      </c>
      <c r="M262">
        <v>189.44693227808855</v>
      </c>
      <c r="N262">
        <v>6945.7288852798911</v>
      </c>
      <c r="O262">
        <v>55.045334267017495</v>
      </c>
      <c r="P262">
        <v>382.85247301356912</v>
      </c>
      <c r="Q262">
        <v>0</v>
      </c>
      <c r="R262">
        <v>0</v>
      </c>
      <c r="S262">
        <v>31.423074035085527</v>
      </c>
      <c r="T262">
        <v>268.80625249834532</v>
      </c>
      <c r="U262">
        <v>0</v>
      </c>
      <c r="V262">
        <v>378.10702815095942</v>
      </c>
      <c r="W262">
        <v>9.9621315525746503</v>
      </c>
      <c r="X262">
        <v>4.2675293642467</v>
      </c>
      <c r="Y262">
        <v>4.8180279959118</v>
      </c>
      <c r="Z262">
        <v>90.320032165287259</v>
      </c>
      <c r="AA262">
        <v>0</v>
      </c>
      <c r="AB262">
        <v>0</v>
      </c>
      <c r="AC262">
        <v>2.9320205885139003</v>
      </c>
      <c r="AD262">
        <v>0</v>
      </c>
      <c r="AE262">
        <v>43.657866978869492</v>
      </c>
      <c r="AF262">
        <v>1.0243134190721002</v>
      </c>
      <c r="AG262">
        <v>19.691470497207558</v>
      </c>
      <c r="AH262">
        <v>75.729691190968325</v>
      </c>
      <c r="AI262">
        <v>5.0683805200360998</v>
      </c>
      <c r="AJ262">
        <v>31.8938555535115</v>
      </c>
      <c r="AK262">
        <v>57.063534516365081</v>
      </c>
      <c r="AL262">
        <v>60.253394706360915</v>
      </c>
      <c r="AM262">
        <v>6885.4754905735299</v>
      </c>
      <c r="AN262">
        <v>40.213402141087499</v>
      </c>
      <c r="AO262">
        <v>0</v>
      </c>
      <c r="AP262">
        <v>14.831932125929999</v>
      </c>
      <c r="AQ262">
        <v>79.114127877977893</v>
      </c>
      <c r="AR262">
        <v>0</v>
      </c>
      <c r="AS262">
        <v>0</v>
      </c>
      <c r="AT262">
        <v>0</v>
      </c>
      <c r="AU262">
        <v>0</v>
      </c>
      <c r="AV262">
        <v>32.346859903874496</v>
      </c>
      <c r="AW262">
        <v>0</v>
      </c>
      <c r="AX262">
        <v>0</v>
      </c>
      <c r="AY262">
        <v>271.39148523171673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2">
      <c r="A263" t="s">
        <v>1434</v>
      </c>
      <c r="B263" t="s">
        <v>1173</v>
      </c>
      <c r="C263" t="s">
        <v>564</v>
      </c>
      <c r="D263">
        <v>2017</v>
      </c>
      <c r="E263" t="s">
        <v>1174</v>
      </c>
      <c r="F263" t="s">
        <v>1175</v>
      </c>
      <c r="G263">
        <v>5639.2413616265003</v>
      </c>
      <c r="H263">
        <v>5327.2435617192123</v>
      </c>
      <c r="I263">
        <v>311.99779990707026</v>
      </c>
      <c r="J263">
        <v>286.71775146211053</v>
      </c>
      <c r="K263">
        <v>1147.1426716514975</v>
      </c>
      <c r="L263">
        <v>291.26461551792289</v>
      </c>
      <c r="M263">
        <v>446.97096359245973</v>
      </c>
      <c r="N263">
        <v>2946.4497123292986</v>
      </c>
      <c r="O263">
        <v>208.69784716592341</v>
      </c>
      <c r="P263">
        <v>311.99779990707026</v>
      </c>
      <c r="Q263">
        <v>0</v>
      </c>
      <c r="R263">
        <v>0</v>
      </c>
      <c r="S263">
        <v>20.468043722756228</v>
      </c>
      <c r="T263">
        <v>266.24970773935428</v>
      </c>
      <c r="U263">
        <v>0</v>
      </c>
      <c r="V263">
        <v>755.598354279673</v>
      </c>
      <c r="W263">
        <v>20.350071245856004</v>
      </c>
      <c r="X263">
        <v>10.5560839313099</v>
      </c>
      <c r="Y263">
        <v>16.6315729578351</v>
      </c>
      <c r="Z263">
        <v>344.0065892368234</v>
      </c>
      <c r="AA263">
        <v>1.0715701481782001</v>
      </c>
      <c r="AB263">
        <v>3.0345925940798999</v>
      </c>
      <c r="AC263">
        <v>3.4625194145420997</v>
      </c>
      <c r="AD263">
        <v>0</v>
      </c>
      <c r="AE263">
        <v>283.69593336112268</v>
      </c>
      <c r="AF263">
        <v>0</v>
      </c>
      <c r="AG263">
        <v>124.94087248460592</v>
      </c>
      <c r="AH263">
        <v>136.60109895504061</v>
      </c>
      <c r="AI263">
        <v>8.5438809550645995</v>
      </c>
      <c r="AJ263">
        <v>176.88511119774861</v>
      </c>
      <c r="AK263">
        <v>0</v>
      </c>
      <c r="AL263">
        <v>1189.9142675497376</v>
      </c>
      <c r="AM263">
        <v>1756.5354447795607</v>
      </c>
      <c r="AN263">
        <v>184.92698008196101</v>
      </c>
      <c r="AO263">
        <v>0</v>
      </c>
      <c r="AP263">
        <v>23.770867083962397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43.314328088639904</v>
      </c>
      <c r="AW263">
        <v>0</v>
      </c>
      <c r="AX263">
        <v>0</v>
      </c>
      <c r="AY263">
        <v>268.68347181843035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x14ac:dyDescent="0.2">
      <c r="A264" t="s">
        <v>1435</v>
      </c>
      <c r="B264" t="s">
        <v>1173</v>
      </c>
      <c r="C264" t="s">
        <v>582</v>
      </c>
      <c r="D264">
        <v>2017</v>
      </c>
      <c r="E264" t="s">
        <v>1174</v>
      </c>
      <c r="F264" t="s">
        <v>1175</v>
      </c>
      <c r="G264">
        <v>16490.511692697401</v>
      </c>
      <c r="H264">
        <v>16250.810774028749</v>
      </c>
      <c r="I264">
        <v>239.70091867047176</v>
      </c>
      <c r="J264">
        <v>514.56093856610789</v>
      </c>
      <c r="K264">
        <v>1171.249997551264</v>
      </c>
      <c r="L264">
        <v>111.04351824083874</v>
      </c>
      <c r="M264">
        <v>286.65154723288509</v>
      </c>
      <c r="N264">
        <v>11290.387718679402</v>
      </c>
      <c r="O264">
        <v>2876.9170537582495</v>
      </c>
      <c r="P264">
        <v>239.70091867047176</v>
      </c>
      <c r="Q264">
        <v>0</v>
      </c>
      <c r="R264">
        <v>0</v>
      </c>
      <c r="S264">
        <v>25.344426308838901</v>
      </c>
      <c r="T264">
        <v>489.21651225726896</v>
      </c>
      <c r="U264">
        <v>0</v>
      </c>
      <c r="V264">
        <v>826.22497040917972</v>
      </c>
      <c r="W264">
        <v>12.1763909411219</v>
      </c>
      <c r="X264">
        <v>36.8151065076637</v>
      </c>
      <c r="Y264">
        <v>74.906206086168666</v>
      </c>
      <c r="Z264">
        <v>221.12732360713002</v>
      </c>
      <c r="AA264">
        <v>1.0255922042300001</v>
      </c>
      <c r="AB264">
        <v>5.6126258414686996</v>
      </c>
      <c r="AC264">
        <v>10.563242386166397</v>
      </c>
      <c r="AD264">
        <v>3.0959906482392499</v>
      </c>
      <c r="AE264">
        <v>88.762193453898391</v>
      </c>
      <c r="AF264">
        <v>1.9838737068359997</v>
      </c>
      <c r="AG264">
        <v>32.814776877373397</v>
      </c>
      <c r="AH264">
        <v>120.69390685035181</v>
      </c>
      <c r="AI264">
        <v>5.6934587349559997</v>
      </c>
      <c r="AJ264">
        <v>7.522419202241303</v>
      </c>
      <c r="AK264">
        <v>119.92698556796255</v>
      </c>
      <c r="AL264">
        <v>43.902396943436329</v>
      </c>
      <c r="AM264">
        <v>11246.485321735965</v>
      </c>
      <c r="AN264">
        <v>2787.2001247369835</v>
      </c>
      <c r="AO264">
        <v>23.780762218452558</v>
      </c>
      <c r="AP264">
        <v>65.936166802813162</v>
      </c>
      <c r="AQ264">
        <v>0</v>
      </c>
      <c r="AR264">
        <v>0</v>
      </c>
      <c r="AS264">
        <v>27.635439446298999</v>
      </c>
      <c r="AT264">
        <v>0</v>
      </c>
      <c r="AU264">
        <v>0</v>
      </c>
      <c r="AV264">
        <v>3.2868106038141001</v>
      </c>
      <c r="AW264">
        <v>43.61565642256874</v>
      </c>
      <c r="AX264">
        <v>3.0954129527799994</v>
      </c>
      <c r="AY264">
        <v>162.06759924500992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2">
      <c r="A265" t="s">
        <v>1436</v>
      </c>
      <c r="B265" t="s">
        <v>1173</v>
      </c>
      <c r="C265" t="s">
        <v>608</v>
      </c>
      <c r="D265">
        <v>2017</v>
      </c>
      <c r="E265" t="s">
        <v>1174</v>
      </c>
      <c r="F265" t="s">
        <v>1175</v>
      </c>
      <c r="G265">
        <v>5811.7107146717999</v>
      </c>
      <c r="H265">
        <v>4569.7993736308335</v>
      </c>
      <c r="I265">
        <v>1241.9113410408127</v>
      </c>
      <c r="J265">
        <v>203.70209187683355</v>
      </c>
      <c r="K265">
        <v>904.38663465700199</v>
      </c>
      <c r="L265">
        <v>90.765338110305294</v>
      </c>
      <c r="M265">
        <v>349.263084714576</v>
      </c>
      <c r="N265">
        <v>2380.5486051911362</v>
      </c>
      <c r="O265">
        <v>641.13361908098091</v>
      </c>
      <c r="P265">
        <v>1241.9113410408127</v>
      </c>
      <c r="Q265">
        <v>0</v>
      </c>
      <c r="R265">
        <v>0</v>
      </c>
      <c r="S265">
        <v>7.8038902743566014</v>
      </c>
      <c r="T265">
        <v>195.89820160247695</v>
      </c>
      <c r="U265">
        <v>0</v>
      </c>
      <c r="V265">
        <v>586.02523099051234</v>
      </c>
      <c r="W265">
        <v>6.8997197916799999</v>
      </c>
      <c r="X265">
        <v>110.9423817587638</v>
      </c>
      <c r="Y265">
        <v>43.220454588788733</v>
      </c>
      <c r="Z265">
        <v>157.29884752725718</v>
      </c>
      <c r="AA265">
        <v>0</v>
      </c>
      <c r="AB265">
        <v>0</v>
      </c>
      <c r="AC265">
        <v>7.4399956268104086</v>
      </c>
      <c r="AD265">
        <v>0</v>
      </c>
      <c r="AE265">
        <v>67.943636235803069</v>
      </c>
      <c r="AF265">
        <v>15.381706247691804</v>
      </c>
      <c r="AG265">
        <v>27.526773092134793</v>
      </c>
      <c r="AH265">
        <v>51.296017660681493</v>
      </c>
      <c r="AI265">
        <v>0</v>
      </c>
      <c r="AJ265">
        <v>173.68756248918567</v>
      </c>
      <c r="AK265">
        <v>96.752731472574041</v>
      </c>
      <c r="AL265">
        <v>1.0839711385859998</v>
      </c>
      <c r="AM265">
        <v>2379.4646340525501</v>
      </c>
      <c r="AN265">
        <v>546.76826379680267</v>
      </c>
      <c r="AO265">
        <v>73.612554621012606</v>
      </c>
      <c r="AP265">
        <v>20.752800663165697</v>
      </c>
      <c r="AQ265">
        <v>0</v>
      </c>
      <c r="AR265">
        <v>0</v>
      </c>
      <c r="AS265">
        <v>138.6295242288339</v>
      </c>
      <c r="AT265">
        <v>0</v>
      </c>
      <c r="AU265">
        <v>0</v>
      </c>
      <c r="AV265">
        <v>207.61537848414011</v>
      </c>
      <c r="AW265">
        <v>0</v>
      </c>
      <c r="AX265">
        <v>0</v>
      </c>
      <c r="AY265">
        <v>895.6664383278387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2">
      <c r="A266" t="s">
        <v>1437</v>
      </c>
      <c r="B266" t="s">
        <v>1173</v>
      </c>
      <c r="C266" t="s">
        <v>404</v>
      </c>
      <c r="D266">
        <v>2017</v>
      </c>
      <c r="E266" t="s">
        <v>1174</v>
      </c>
      <c r="F266" t="s">
        <v>1175</v>
      </c>
      <c r="G266">
        <v>12333.8786587668</v>
      </c>
      <c r="H266">
        <v>12206.547014241614</v>
      </c>
      <c r="I266">
        <v>127.33164452059478</v>
      </c>
      <c r="J266">
        <v>279.30672569343778</v>
      </c>
      <c r="K266">
        <v>781.72301861720746</v>
      </c>
      <c r="L266">
        <v>119.27108037302548</v>
      </c>
      <c r="M266">
        <v>263.39673677072346</v>
      </c>
      <c r="N266">
        <v>7769.8565718055952</v>
      </c>
      <c r="O266">
        <v>2992.9928809816247</v>
      </c>
      <c r="P266">
        <v>127.33164452059478</v>
      </c>
      <c r="Q266">
        <v>0</v>
      </c>
      <c r="R266">
        <v>0</v>
      </c>
      <c r="S266">
        <v>0</v>
      </c>
      <c r="T266">
        <v>264.23549706613778</v>
      </c>
      <c r="U266">
        <v>15.0712286273</v>
      </c>
      <c r="V266">
        <v>551.39672071436416</v>
      </c>
      <c r="W266">
        <v>15.799676184356001</v>
      </c>
      <c r="X266">
        <v>22.22284926931</v>
      </c>
      <c r="Y266">
        <v>39.232337449361701</v>
      </c>
      <c r="Z266">
        <v>153.07143499981555</v>
      </c>
      <c r="AA266">
        <v>0</v>
      </c>
      <c r="AB266">
        <v>2.3607702773417998</v>
      </c>
      <c r="AC266">
        <v>7.7454937696909996</v>
      </c>
      <c r="AD266">
        <v>52.024862082448891</v>
      </c>
      <c r="AE266">
        <v>57.139954243543805</v>
      </c>
      <c r="AF266">
        <v>0</v>
      </c>
      <c r="AG266">
        <v>24.3739423839511</v>
      </c>
      <c r="AH266">
        <v>152.34847634104671</v>
      </c>
      <c r="AI266">
        <v>2.039098331245</v>
      </c>
      <c r="AJ266">
        <v>6.8190554705353001</v>
      </c>
      <c r="AK266">
        <v>77.816164243945394</v>
      </c>
      <c r="AL266">
        <v>16.051488726992503</v>
      </c>
      <c r="AM266">
        <v>7753.8050830786024</v>
      </c>
      <c r="AN266">
        <v>2820.3138862391866</v>
      </c>
      <c r="AO266">
        <v>148.8498984363068</v>
      </c>
      <c r="AP266">
        <v>23.829096306131099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17.060755014596499</v>
      </c>
      <c r="AW266">
        <v>89.226434440057602</v>
      </c>
      <c r="AX266">
        <v>0</v>
      </c>
      <c r="AY266">
        <v>21.044455065940674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2">
      <c r="A267" t="s">
        <v>1438</v>
      </c>
      <c r="B267" t="s">
        <v>1173</v>
      </c>
      <c r="C267" t="s">
        <v>444</v>
      </c>
      <c r="D267">
        <v>2017</v>
      </c>
      <c r="E267" t="s">
        <v>1174</v>
      </c>
      <c r="F267" t="s">
        <v>1175</v>
      </c>
      <c r="G267">
        <v>7521.4852298052001</v>
      </c>
      <c r="H267">
        <v>7444.3246769027755</v>
      </c>
      <c r="I267">
        <v>77.16055290149599</v>
      </c>
      <c r="J267">
        <v>336.37962705741501</v>
      </c>
      <c r="K267">
        <v>818.41348048626003</v>
      </c>
      <c r="L267">
        <v>60.588533492469345</v>
      </c>
      <c r="M267">
        <v>174.4086154583897</v>
      </c>
      <c r="N267">
        <v>5775.6972043825499</v>
      </c>
      <c r="O267">
        <v>278.83721602569119</v>
      </c>
      <c r="P267">
        <v>77.16055290149599</v>
      </c>
      <c r="Q267">
        <v>0</v>
      </c>
      <c r="R267">
        <v>0</v>
      </c>
      <c r="S267">
        <v>28.631229102362798</v>
      </c>
      <c r="T267">
        <v>298.22869302322471</v>
      </c>
      <c r="U267">
        <v>9.5197049318274978</v>
      </c>
      <c r="V267">
        <v>498.1458406801998</v>
      </c>
      <c r="W267">
        <v>21.655250622343399</v>
      </c>
      <c r="X267">
        <v>6.2263363841000992</v>
      </c>
      <c r="Y267">
        <v>29.739913206347701</v>
      </c>
      <c r="Z267">
        <v>262.64613959326891</v>
      </c>
      <c r="AA267">
        <v>0</v>
      </c>
      <c r="AB267">
        <v>0</v>
      </c>
      <c r="AC267">
        <v>5.7113715681301382</v>
      </c>
      <c r="AD267">
        <v>0</v>
      </c>
      <c r="AE267">
        <v>54.877161924339205</v>
      </c>
      <c r="AF267">
        <v>0</v>
      </c>
      <c r="AG267">
        <v>28.875897592183591</v>
      </c>
      <c r="AH267">
        <v>59.703515753566919</v>
      </c>
      <c r="AI267">
        <v>0</v>
      </c>
      <c r="AJ267">
        <v>11.7268468549068</v>
      </c>
      <c r="AK267">
        <v>74.102355257732412</v>
      </c>
      <c r="AL267">
        <v>33.217687489112933</v>
      </c>
      <c r="AM267">
        <v>5742.479516893437</v>
      </c>
      <c r="AN267">
        <v>267.19064703006302</v>
      </c>
      <c r="AO267">
        <v>0</v>
      </c>
      <c r="AP267">
        <v>11.646568995628201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4.8822578517433675</v>
      </c>
      <c r="AW267">
        <v>0</v>
      </c>
      <c r="AX267">
        <v>0</v>
      </c>
      <c r="AY267">
        <v>72.278295049752629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 x14ac:dyDescent="0.2">
      <c r="A268" t="s">
        <v>1439</v>
      </c>
      <c r="B268" t="s">
        <v>1173</v>
      </c>
      <c r="C268" t="s">
        <v>469</v>
      </c>
      <c r="D268">
        <v>2017</v>
      </c>
      <c r="E268" t="s">
        <v>1174</v>
      </c>
      <c r="F268" t="s">
        <v>1175</v>
      </c>
      <c r="G268">
        <v>10504.483044757199</v>
      </c>
      <c r="H268">
        <v>10392.304606802019</v>
      </c>
      <c r="I268">
        <v>112.17843795568444</v>
      </c>
      <c r="J268">
        <v>173.03322794613723</v>
      </c>
      <c r="K268">
        <v>526.07781761010597</v>
      </c>
      <c r="L268">
        <v>17.390387473285998</v>
      </c>
      <c r="M268">
        <v>157.82088476121032</v>
      </c>
      <c r="N268">
        <v>4436.0953184083983</v>
      </c>
      <c r="O268">
        <v>5081.8869706028818</v>
      </c>
      <c r="P268">
        <v>112.17843795568444</v>
      </c>
      <c r="Q268">
        <v>0</v>
      </c>
      <c r="R268">
        <v>0</v>
      </c>
      <c r="S268">
        <v>15.8915874445192</v>
      </c>
      <c r="T268">
        <v>157.14164050161804</v>
      </c>
      <c r="U268">
        <v>0</v>
      </c>
      <c r="V268">
        <v>384.28752399165023</v>
      </c>
      <c r="W268">
        <v>8.9750562901276005</v>
      </c>
      <c r="X268">
        <v>1.2134672306000001</v>
      </c>
      <c r="Y268">
        <v>54.310192960307575</v>
      </c>
      <c r="Z268">
        <v>77.291577137420617</v>
      </c>
      <c r="AA268">
        <v>0</v>
      </c>
      <c r="AB268">
        <v>0</v>
      </c>
      <c r="AC268">
        <v>3.9234526728788994</v>
      </c>
      <c r="AD268">
        <v>0</v>
      </c>
      <c r="AE268">
        <v>6.1851942554037</v>
      </c>
      <c r="AF268">
        <v>7.2817405450033998</v>
      </c>
      <c r="AG268">
        <v>8.1915955017639988</v>
      </c>
      <c r="AH268">
        <v>84.635482632784516</v>
      </c>
      <c r="AI268">
        <v>1.447844324222</v>
      </c>
      <c r="AJ268">
        <v>10.199348206320302</v>
      </c>
      <c r="AK268">
        <v>53.346614096119509</v>
      </c>
      <c r="AL268">
        <v>0</v>
      </c>
      <c r="AM268">
        <v>4436.0953184083983</v>
      </c>
      <c r="AN268">
        <v>2989.8016351295573</v>
      </c>
      <c r="AO268">
        <v>1862.647491253899</v>
      </c>
      <c r="AP268">
        <v>229.43784421942607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11.9673383932936</v>
      </c>
      <c r="AW268">
        <v>0</v>
      </c>
      <c r="AX268">
        <v>0</v>
      </c>
      <c r="AY268">
        <v>100.21109956239084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 spans="1:56" x14ac:dyDescent="0.2">
      <c r="A269" t="s">
        <v>1440</v>
      </c>
      <c r="B269" t="s">
        <v>1173</v>
      </c>
      <c r="C269" t="s">
        <v>553</v>
      </c>
      <c r="D269">
        <v>2017</v>
      </c>
      <c r="E269" t="s">
        <v>1174</v>
      </c>
      <c r="F269" t="s">
        <v>1175</v>
      </c>
      <c r="G269">
        <v>5616.6123729009005</v>
      </c>
      <c r="H269">
        <v>5535.1120704882032</v>
      </c>
      <c r="I269">
        <v>81.500302412986855</v>
      </c>
      <c r="J269">
        <v>166.05640623704181</v>
      </c>
      <c r="K269">
        <v>676.54770751491651</v>
      </c>
      <c r="L269">
        <v>91.326058345244817</v>
      </c>
      <c r="M269">
        <v>198.11017967418002</v>
      </c>
      <c r="N269">
        <v>3844.2436606368465</v>
      </c>
      <c r="O269">
        <v>558.8280580799734</v>
      </c>
      <c r="P269">
        <v>81.500302412986855</v>
      </c>
      <c r="Q269">
        <v>0</v>
      </c>
      <c r="R269">
        <v>0</v>
      </c>
      <c r="S269">
        <v>0</v>
      </c>
      <c r="T269">
        <v>166.05640623704181</v>
      </c>
      <c r="U269">
        <v>0</v>
      </c>
      <c r="V269">
        <v>437.24030927239033</v>
      </c>
      <c r="W269">
        <v>11.205815455026901</v>
      </c>
      <c r="X269">
        <v>42.975991624842997</v>
      </c>
      <c r="Y269">
        <v>15.233886519138501</v>
      </c>
      <c r="Z269">
        <v>169.89170464351778</v>
      </c>
      <c r="AA269">
        <v>0</v>
      </c>
      <c r="AB269">
        <v>0</v>
      </c>
      <c r="AC269">
        <v>2.6897128922383002</v>
      </c>
      <c r="AD269">
        <v>0</v>
      </c>
      <c r="AE269">
        <v>88.636345453006513</v>
      </c>
      <c r="AF269">
        <v>0</v>
      </c>
      <c r="AG269">
        <v>34.988530114649201</v>
      </c>
      <c r="AH269">
        <v>46.022404435009996</v>
      </c>
      <c r="AI269">
        <v>5.0116540049444005</v>
      </c>
      <c r="AJ269">
        <v>3.2662198221700001</v>
      </c>
      <c r="AK269">
        <v>108.82137129740643</v>
      </c>
      <c r="AL269">
        <v>40.176166075485291</v>
      </c>
      <c r="AM269">
        <v>3804.0674945613614</v>
      </c>
      <c r="AN269">
        <v>548.63945069477768</v>
      </c>
      <c r="AO269">
        <v>3.9387827313236996</v>
      </c>
      <c r="AP269">
        <v>6.2498246538720199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2.1266472158600003</v>
      </c>
      <c r="AW269">
        <v>0</v>
      </c>
      <c r="AX269">
        <v>0</v>
      </c>
      <c r="AY269">
        <v>79.373655197126851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 x14ac:dyDescent="0.2">
      <c r="A270" t="s">
        <v>1441</v>
      </c>
      <c r="B270" t="s">
        <v>1173</v>
      </c>
      <c r="C270" t="s">
        <v>774</v>
      </c>
      <c r="D270">
        <v>2017</v>
      </c>
      <c r="E270" t="s">
        <v>1174</v>
      </c>
      <c r="F270" t="s">
        <v>1175</v>
      </c>
      <c r="G270">
        <v>7866.3279696850004</v>
      </c>
      <c r="H270">
        <v>7781.1141929752239</v>
      </c>
      <c r="I270">
        <v>85.213774873285388</v>
      </c>
      <c r="J270">
        <v>130.97166559672996</v>
      </c>
      <c r="K270">
        <v>316.96724571773564</v>
      </c>
      <c r="L270">
        <v>21.304245465771196</v>
      </c>
      <c r="M270">
        <v>145.64254289771753</v>
      </c>
      <c r="N270">
        <v>4825.266720907779</v>
      </c>
      <c r="O270">
        <v>2340.9617723894908</v>
      </c>
      <c r="P270">
        <v>85.213774873285388</v>
      </c>
      <c r="Q270">
        <v>0</v>
      </c>
      <c r="R270">
        <v>0</v>
      </c>
      <c r="S270">
        <v>0</v>
      </c>
      <c r="T270">
        <v>130.97166559672996</v>
      </c>
      <c r="U270">
        <v>0</v>
      </c>
      <c r="V270">
        <v>251.29245034104781</v>
      </c>
      <c r="W270">
        <v>10.602099628579301</v>
      </c>
      <c r="X270">
        <v>0</v>
      </c>
      <c r="Y270">
        <v>1.0420052812268001</v>
      </c>
      <c r="Z270">
        <v>54.030690466881715</v>
      </c>
      <c r="AA270">
        <v>0</v>
      </c>
      <c r="AB270">
        <v>0</v>
      </c>
      <c r="AC270">
        <v>1.197576826358</v>
      </c>
      <c r="AD270">
        <v>0</v>
      </c>
      <c r="AE270">
        <v>20.106668639413197</v>
      </c>
      <c r="AF270">
        <v>0</v>
      </c>
      <c r="AG270">
        <v>2.3414612534502002</v>
      </c>
      <c r="AH270">
        <v>57.203837267654031</v>
      </c>
      <c r="AI270">
        <v>2.2586273777400003</v>
      </c>
      <c r="AJ270">
        <v>11.4520313721675</v>
      </c>
      <c r="AK270">
        <v>72.386585626705795</v>
      </c>
      <c r="AL270">
        <v>3.1993093725100001</v>
      </c>
      <c r="AM270">
        <v>4822.0674115352695</v>
      </c>
      <c r="AN270">
        <v>2047.4986532996784</v>
      </c>
      <c r="AO270">
        <v>162.74672894542968</v>
      </c>
      <c r="AP270">
        <v>130.71639014438284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4.0737542893000009</v>
      </c>
      <c r="AW270">
        <v>0</v>
      </c>
      <c r="AX270">
        <v>0</v>
      </c>
      <c r="AY270">
        <v>81.14002058398539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 x14ac:dyDescent="0.2">
      <c r="A271" t="s">
        <v>1442</v>
      </c>
      <c r="B271" t="s">
        <v>1173</v>
      </c>
      <c r="C271" t="s">
        <v>789</v>
      </c>
      <c r="D271">
        <v>2017</v>
      </c>
      <c r="E271" t="s">
        <v>1174</v>
      </c>
      <c r="F271" t="s">
        <v>1175</v>
      </c>
      <c r="G271">
        <v>8878.5634982298998</v>
      </c>
      <c r="H271">
        <v>8821.4096759287713</v>
      </c>
      <c r="I271">
        <v>57.153822193197911</v>
      </c>
      <c r="J271">
        <v>210.18158887057444</v>
      </c>
      <c r="K271">
        <v>630.00078844004395</v>
      </c>
      <c r="L271">
        <v>65.224664727407998</v>
      </c>
      <c r="M271">
        <v>205.94968128314491</v>
      </c>
      <c r="N271">
        <v>4919.1369527046218</v>
      </c>
      <c r="O271">
        <v>2790.915999902978</v>
      </c>
      <c r="P271">
        <v>57.153822193197911</v>
      </c>
      <c r="Q271">
        <v>0</v>
      </c>
      <c r="R271">
        <v>0</v>
      </c>
      <c r="S271">
        <v>17.5393897358041</v>
      </c>
      <c r="T271">
        <v>192.64219913477035</v>
      </c>
      <c r="U271">
        <v>0</v>
      </c>
      <c r="V271">
        <v>509.3703302318915</v>
      </c>
      <c r="W271">
        <v>14.053766670457003</v>
      </c>
      <c r="X271">
        <v>1.9259284057882002</v>
      </c>
      <c r="Y271">
        <v>32.302977731707806</v>
      </c>
      <c r="Z271">
        <v>72.347785400199385</v>
      </c>
      <c r="AA271">
        <v>34.517210213796403</v>
      </c>
      <c r="AB271">
        <v>3.3068188840800004E-2</v>
      </c>
      <c r="AC271">
        <v>17.804502472251301</v>
      </c>
      <c r="AD271">
        <v>0</v>
      </c>
      <c r="AE271">
        <v>12.8698838525195</v>
      </c>
      <c r="AF271">
        <v>0</v>
      </c>
      <c r="AG271">
        <v>5.2143104676787004</v>
      </c>
      <c r="AH271">
        <v>93.501430644074716</v>
      </c>
      <c r="AI271">
        <v>2.8429048192538997</v>
      </c>
      <c r="AJ271">
        <v>10.0335289064287</v>
      </c>
      <c r="AK271">
        <v>94.357506445708907</v>
      </c>
      <c r="AL271">
        <v>5.9010998479012002</v>
      </c>
      <c r="AM271">
        <v>4913.2358528567202</v>
      </c>
      <c r="AN271">
        <v>2298.6586334622825</v>
      </c>
      <c r="AO271">
        <v>406.31026610743993</v>
      </c>
      <c r="AP271">
        <v>85.947100333255705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3.2123086789779998</v>
      </c>
      <c r="AW271">
        <v>0</v>
      </c>
      <c r="AX271">
        <v>0</v>
      </c>
      <c r="AY271">
        <v>53.941513514219913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x14ac:dyDescent="0.2">
      <c r="A272" t="s">
        <v>1443</v>
      </c>
      <c r="B272" t="s">
        <v>1173</v>
      </c>
      <c r="C272" t="s">
        <v>89</v>
      </c>
      <c r="D272">
        <v>2017</v>
      </c>
      <c r="E272" t="s">
        <v>1174</v>
      </c>
      <c r="F272" t="s">
        <v>1175</v>
      </c>
      <c r="G272">
        <v>10716.454597959601</v>
      </c>
      <c r="H272">
        <v>10649.715796851182</v>
      </c>
      <c r="I272">
        <v>66.738802276238289</v>
      </c>
      <c r="J272">
        <v>483.09288408553755</v>
      </c>
      <c r="K272">
        <v>1944.4795323941066</v>
      </c>
      <c r="L272">
        <v>131.97471863037256</v>
      </c>
      <c r="M272">
        <v>292.36915247948855</v>
      </c>
      <c r="N272">
        <v>7124.4131360695637</v>
      </c>
      <c r="O272">
        <v>673.38637319211273</v>
      </c>
      <c r="P272">
        <v>66.738802276238289</v>
      </c>
      <c r="Q272">
        <v>0</v>
      </c>
      <c r="R272">
        <v>0</v>
      </c>
      <c r="S272">
        <v>77.674328726060565</v>
      </c>
      <c r="T272">
        <v>405.41855535947701</v>
      </c>
      <c r="U272">
        <v>0</v>
      </c>
      <c r="V272">
        <v>1200.6550872758844</v>
      </c>
      <c r="W272">
        <v>67.518590176746457</v>
      </c>
      <c r="X272">
        <v>60.915234459088339</v>
      </c>
      <c r="Y272">
        <v>73.148797326320292</v>
      </c>
      <c r="Z272">
        <v>542.24182315606674</v>
      </c>
      <c r="AA272">
        <v>3.9074769293249001</v>
      </c>
      <c r="AB272">
        <v>8.3328306539368011</v>
      </c>
      <c r="AC272">
        <v>17.548215131529595</v>
      </c>
      <c r="AD272">
        <v>9.4555445350568021</v>
      </c>
      <c r="AE272">
        <v>92.730651380524463</v>
      </c>
      <c r="AF272">
        <v>0</v>
      </c>
      <c r="AG272">
        <v>115.22090153071677</v>
      </c>
      <c r="AH272">
        <v>134.82566682444124</v>
      </c>
      <c r="AI272">
        <v>7.6034267641441691</v>
      </c>
      <c r="AJ272">
        <v>0</v>
      </c>
      <c r="AK272">
        <v>34.719157360186408</v>
      </c>
      <c r="AL272">
        <v>52.691046337417596</v>
      </c>
      <c r="AM272">
        <v>7071.7220897321458</v>
      </c>
      <c r="AN272">
        <v>665.06711878856277</v>
      </c>
      <c r="AO272">
        <v>4.7879644434899999</v>
      </c>
      <c r="AP272">
        <v>3.5312899600600001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5.9047545903139991</v>
      </c>
      <c r="AW272">
        <v>8.0633711521300011</v>
      </c>
      <c r="AX272">
        <v>9.8231778302818</v>
      </c>
      <c r="AY272">
        <v>42.947498703512494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 spans="1:56" x14ac:dyDescent="0.2">
      <c r="A273" t="s">
        <v>1444</v>
      </c>
      <c r="B273" t="s">
        <v>1173</v>
      </c>
      <c r="C273" t="s">
        <v>817</v>
      </c>
      <c r="D273">
        <v>2017</v>
      </c>
      <c r="E273" t="s">
        <v>1174</v>
      </c>
      <c r="F273" t="s">
        <v>1175</v>
      </c>
      <c r="G273">
        <v>48820.749971644997</v>
      </c>
      <c r="H273">
        <v>22859.786185108096</v>
      </c>
      <c r="I273">
        <v>25960.963786530236</v>
      </c>
      <c r="J273">
        <v>823.70983146002027</v>
      </c>
      <c r="K273">
        <v>1113.4815044964062</v>
      </c>
      <c r="L273">
        <v>323.07815408284318</v>
      </c>
      <c r="M273">
        <v>1215.2943725714517</v>
      </c>
      <c r="N273">
        <v>15401.477534142394</v>
      </c>
      <c r="O273">
        <v>3982.744788354978</v>
      </c>
      <c r="P273">
        <v>7249.7632533376946</v>
      </c>
      <c r="Q273">
        <v>18711.200533192539</v>
      </c>
      <c r="R273">
        <v>0</v>
      </c>
      <c r="S273">
        <v>0</v>
      </c>
      <c r="T273">
        <v>811.25528071861845</v>
      </c>
      <c r="U273">
        <v>12.4545507414018</v>
      </c>
      <c r="V273">
        <v>825.99726200797022</v>
      </c>
      <c r="W273">
        <v>44.98255591023279</v>
      </c>
      <c r="X273">
        <v>31.499217933117446</v>
      </c>
      <c r="Y273">
        <v>30.538088601708097</v>
      </c>
      <c r="Z273">
        <v>180.46438004337756</v>
      </c>
      <c r="AA273">
        <v>0</v>
      </c>
      <c r="AB273">
        <v>4.2803939060399996</v>
      </c>
      <c r="AC273">
        <v>24.410052034301899</v>
      </c>
      <c r="AD273">
        <v>0</v>
      </c>
      <c r="AE273">
        <v>66.652849610721674</v>
      </c>
      <c r="AF273">
        <v>227.73485853177962</v>
      </c>
      <c r="AG273">
        <v>59.176187033222604</v>
      </c>
      <c r="AH273">
        <v>134.86360035081006</v>
      </c>
      <c r="AI273">
        <v>16.3129467009365</v>
      </c>
      <c r="AJ273">
        <v>79.782729846408714</v>
      </c>
      <c r="AK273">
        <v>925.15890864007383</v>
      </c>
      <c r="AL273">
        <v>75.307135904894395</v>
      </c>
      <c r="AM273">
        <v>15326.1703982375</v>
      </c>
      <c r="AN273">
        <v>924.50708400153087</v>
      </c>
      <c r="AO273">
        <v>2085.1644698784876</v>
      </c>
      <c r="AP273">
        <v>973.07323447495958</v>
      </c>
      <c r="AQ273">
        <v>0</v>
      </c>
      <c r="AR273">
        <v>6469.4461455809533</v>
      </c>
      <c r="AS273">
        <v>0</v>
      </c>
      <c r="AT273">
        <v>0</v>
      </c>
      <c r="AU273">
        <v>86.933835445322799</v>
      </c>
      <c r="AV273">
        <v>59.163974869399475</v>
      </c>
      <c r="AW273">
        <v>0</v>
      </c>
      <c r="AX273">
        <v>0</v>
      </c>
      <c r="AY273">
        <v>634.21929744201907</v>
      </c>
      <c r="AZ273">
        <v>0</v>
      </c>
      <c r="BA273">
        <v>13006.959806452822</v>
      </c>
      <c r="BB273">
        <v>0</v>
      </c>
      <c r="BC273">
        <v>5704.2407267397184</v>
      </c>
      <c r="BD273">
        <v>0</v>
      </c>
    </row>
    <row r="274" spans="1:56" x14ac:dyDescent="0.2">
      <c r="A274" t="s">
        <v>1445</v>
      </c>
      <c r="B274" t="s">
        <v>1173</v>
      </c>
      <c r="C274" t="s">
        <v>129</v>
      </c>
      <c r="D274">
        <v>2017</v>
      </c>
      <c r="E274" t="s">
        <v>1174</v>
      </c>
      <c r="F274" t="s">
        <v>1175</v>
      </c>
      <c r="G274">
        <v>27887.490349395299</v>
      </c>
      <c r="H274">
        <v>27606.032316816174</v>
      </c>
      <c r="I274">
        <v>281.45803170283347</v>
      </c>
      <c r="J274">
        <v>597.45225339434785</v>
      </c>
      <c r="K274">
        <v>971.54717291713007</v>
      </c>
      <c r="L274">
        <v>90.771852784214801</v>
      </c>
      <c r="M274">
        <v>569.24119717051451</v>
      </c>
      <c r="N274">
        <v>18748.84264703091</v>
      </c>
      <c r="O274">
        <v>6628.1771935190582</v>
      </c>
      <c r="P274">
        <v>281.45803170283347</v>
      </c>
      <c r="Q274">
        <v>0</v>
      </c>
      <c r="R274">
        <v>0</v>
      </c>
      <c r="S274">
        <v>0.1662478212297</v>
      </c>
      <c r="T274">
        <v>597.28600557311813</v>
      </c>
      <c r="U274">
        <v>0</v>
      </c>
      <c r="V274">
        <v>752.99109556886708</v>
      </c>
      <c r="W274">
        <v>13.4255177877927</v>
      </c>
      <c r="X274">
        <v>16.759832331145297</v>
      </c>
      <c r="Y274">
        <v>79.250642708601006</v>
      </c>
      <c r="Z274">
        <v>109.12008452072392</v>
      </c>
      <c r="AA274">
        <v>0</v>
      </c>
      <c r="AB274">
        <v>0</v>
      </c>
      <c r="AC274">
        <v>52.101113881093298</v>
      </c>
      <c r="AD274">
        <v>23.292597994787499</v>
      </c>
      <c r="AE274">
        <v>15.378140908334002</v>
      </c>
      <c r="AF274">
        <v>0</v>
      </c>
      <c r="AG274">
        <v>28.610163617342298</v>
      </c>
      <c r="AH274">
        <v>162.18097885447659</v>
      </c>
      <c r="AI274">
        <v>5.7165906996575995</v>
      </c>
      <c r="AJ274">
        <v>9.2582190163159996</v>
      </c>
      <c r="AK274">
        <v>363.47524498272202</v>
      </c>
      <c r="AL274">
        <v>0</v>
      </c>
      <c r="AM274">
        <v>18748.84264703091</v>
      </c>
      <c r="AN274">
        <v>5085.279227859407</v>
      </c>
      <c r="AO274">
        <v>906.61130624876046</v>
      </c>
      <c r="AP274">
        <v>636.28665941089093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71.384640692506196</v>
      </c>
      <c r="AW274">
        <v>25.323989444556332</v>
      </c>
      <c r="AX274">
        <v>4.4707934792124</v>
      </c>
      <c r="AY274">
        <v>180.27860808655853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 spans="1:56" x14ac:dyDescent="0.2">
      <c r="A275" t="s">
        <v>1446</v>
      </c>
      <c r="B275" t="s">
        <v>1173</v>
      </c>
      <c r="C275" t="s">
        <v>271</v>
      </c>
      <c r="D275">
        <v>2017</v>
      </c>
      <c r="E275" t="s">
        <v>1174</v>
      </c>
      <c r="F275" t="s">
        <v>1175</v>
      </c>
      <c r="G275">
        <v>27789.150363435201</v>
      </c>
      <c r="H275">
        <v>27468.570220411311</v>
      </c>
      <c r="I275">
        <v>320.58014302272369</v>
      </c>
      <c r="J275">
        <v>563.86344131167209</v>
      </c>
      <c r="K275">
        <v>1024.008112189244</v>
      </c>
      <c r="L275">
        <v>82.558288918968003</v>
      </c>
      <c r="M275">
        <v>426.20021625868304</v>
      </c>
      <c r="N275">
        <v>21311.438554296328</v>
      </c>
      <c r="O275">
        <v>4060.5016074364194</v>
      </c>
      <c r="P275">
        <v>320.58014302272369</v>
      </c>
      <c r="Q275">
        <v>0</v>
      </c>
      <c r="R275">
        <v>0</v>
      </c>
      <c r="S275">
        <v>9.6895468680949989E-2</v>
      </c>
      <c r="T275">
        <v>563.76654584299115</v>
      </c>
      <c r="U275">
        <v>0</v>
      </c>
      <c r="V275">
        <v>823.52568578026978</v>
      </c>
      <c r="W275">
        <v>14.164165739139001</v>
      </c>
      <c r="X275">
        <v>59.942368293200467</v>
      </c>
      <c r="Y275">
        <v>13.916410789774</v>
      </c>
      <c r="Z275">
        <v>112.45948158686086</v>
      </c>
      <c r="AA275">
        <v>8.1988743075399988</v>
      </c>
      <c r="AB275">
        <v>0.85616496718910007</v>
      </c>
      <c r="AC275">
        <v>15.925433712282087</v>
      </c>
      <c r="AD275">
        <v>44.784167250008814</v>
      </c>
      <c r="AE275">
        <v>12.793648681948001</v>
      </c>
      <c r="AF275">
        <v>0</v>
      </c>
      <c r="AG275">
        <v>48.992699861412902</v>
      </c>
      <c r="AH275">
        <v>105.82781364979614</v>
      </c>
      <c r="AI275">
        <v>1.2968762698984999</v>
      </c>
      <c r="AJ275">
        <v>13.6652021775592</v>
      </c>
      <c r="AK275">
        <v>256.41762430001631</v>
      </c>
      <c r="AL275">
        <v>0</v>
      </c>
      <c r="AM275">
        <v>21311.438554296328</v>
      </c>
      <c r="AN275">
        <v>3312.9942223340199</v>
      </c>
      <c r="AO275">
        <v>600.71063772614593</v>
      </c>
      <c r="AP275">
        <v>146.79674737625382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13.694832994365898</v>
      </c>
      <c r="AW275">
        <v>83.642036960557377</v>
      </c>
      <c r="AX275">
        <v>15.640068802974582</v>
      </c>
      <c r="AY275">
        <v>207.60320426482585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x14ac:dyDescent="0.2">
      <c r="A276" t="s">
        <v>1447</v>
      </c>
      <c r="B276" t="s">
        <v>1173</v>
      </c>
      <c r="C276" t="s">
        <v>1024</v>
      </c>
      <c r="D276">
        <v>2017</v>
      </c>
      <c r="E276" t="s">
        <v>1174</v>
      </c>
      <c r="F276" t="s">
        <v>1175</v>
      </c>
      <c r="G276">
        <v>22634.532943942799</v>
      </c>
      <c r="H276">
        <v>22439.011971626609</v>
      </c>
      <c r="I276">
        <v>195.52097138855419</v>
      </c>
      <c r="J276">
        <v>516.03443292503209</v>
      </c>
      <c r="K276">
        <v>583.02239903374686</v>
      </c>
      <c r="L276">
        <v>64.295477897274594</v>
      </c>
      <c r="M276">
        <v>247.824017850275</v>
      </c>
      <c r="N276">
        <v>18501.621224946855</v>
      </c>
      <c r="O276">
        <v>2526.2144189734236</v>
      </c>
      <c r="P276">
        <v>195.52097138855419</v>
      </c>
      <c r="Q276">
        <v>0</v>
      </c>
      <c r="R276">
        <v>0</v>
      </c>
      <c r="S276">
        <v>21.237820024449007</v>
      </c>
      <c r="T276">
        <v>494.79661290058306</v>
      </c>
      <c r="U276">
        <v>0</v>
      </c>
      <c r="V276">
        <v>484.26429421594787</v>
      </c>
      <c r="W276">
        <v>6.8666258546278813</v>
      </c>
      <c r="X276">
        <v>2.8954615780677</v>
      </c>
      <c r="Y276">
        <v>13.1633458914713</v>
      </c>
      <c r="Z276">
        <v>75.832671493632105</v>
      </c>
      <c r="AA276">
        <v>0</v>
      </c>
      <c r="AB276">
        <v>0</v>
      </c>
      <c r="AC276">
        <v>12.622418988203398</v>
      </c>
      <c r="AD276">
        <v>30.847282961426995</v>
      </c>
      <c r="AE276">
        <v>20.825775947644196</v>
      </c>
      <c r="AF276">
        <v>0</v>
      </c>
      <c r="AG276">
        <v>8.3133234623587011</v>
      </c>
      <c r="AH276">
        <v>83.098954029060394</v>
      </c>
      <c r="AI276">
        <v>5.8152329776181997</v>
      </c>
      <c r="AJ276">
        <v>5.9005429517578003</v>
      </c>
      <c r="AK276">
        <v>144.69596442947991</v>
      </c>
      <c r="AL276">
        <v>0</v>
      </c>
      <c r="AM276">
        <v>18501.621224946855</v>
      </c>
      <c r="AN276">
        <v>2099.8089660528585</v>
      </c>
      <c r="AO276">
        <v>304.42075151183963</v>
      </c>
      <c r="AP276">
        <v>121.98470140872526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1.7450388232699998</v>
      </c>
      <c r="AW276">
        <v>48.637351314695145</v>
      </c>
      <c r="AX276">
        <v>0</v>
      </c>
      <c r="AY276">
        <v>145.13858125058906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2">
      <c r="A277" t="s">
        <v>1448</v>
      </c>
      <c r="B277" t="s">
        <v>1173</v>
      </c>
      <c r="C277" t="s">
        <v>677</v>
      </c>
      <c r="D277">
        <v>2017</v>
      </c>
      <c r="E277" t="s">
        <v>1174</v>
      </c>
      <c r="F277" t="s">
        <v>1175</v>
      </c>
      <c r="G277">
        <v>12158.355325007798</v>
      </c>
      <c r="H277">
        <v>8600.2673332098548</v>
      </c>
      <c r="I277">
        <v>3558.087991801754</v>
      </c>
      <c r="J277">
        <v>372.45082731256656</v>
      </c>
      <c r="K277">
        <v>251.59514880897217</v>
      </c>
      <c r="L277">
        <v>113.34103627221161</v>
      </c>
      <c r="M277">
        <v>370.82582337097222</v>
      </c>
      <c r="N277">
        <v>6965.7006687351395</v>
      </c>
      <c r="O277">
        <v>526.35382870999217</v>
      </c>
      <c r="P277">
        <v>707.52351812042707</v>
      </c>
      <c r="Q277">
        <v>2850.5644736813269</v>
      </c>
      <c r="R277">
        <v>0</v>
      </c>
      <c r="S277">
        <v>0</v>
      </c>
      <c r="T277">
        <v>372.45082731256656</v>
      </c>
      <c r="U277">
        <v>0</v>
      </c>
      <c r="V277">
        <v>168.14572585584628</v>
      </c>
      <c r="W277">
        <v>19.5228184467137</v>
      </c>
      <c r="X277">
        <v>3.4199051268588003</v>
      </c>
      <c r="Y277">
        <v>0</v>
      </c>
      <c r="Z277">
        <v>60.506699379553389</v>
      </c>
      <c r="AA277">
        <v>0</v>
      </c>
      <c r="AB277">
        <v>0</v>
      </c>
      <c r="AC277">
        <v>8.7023788244450007</v>
      </c>
      <c r="AD277">
        <v>0</v>
      </c>
      <c r="AE277">
        <v>39.552755139613801</v>
      </c>
      <c r="AF277">
        <v>65.085902308152811</v>
      </c>
      <c r="AG277">
        <v>1.4132882973907999</v>
      </c>
      <c r="AH277">
        <v>18.873000303649299</v>
      </c>
      <c r="AI277">
        <v>7.7263987216817984</v>
      </c>
      <c r="AJ277">
        <v>26.303335206111409</v>
      </c>
      <c r="AK277">
        <v>316.50980084213893</v>
      </c>
      <c r="AL277">
        <v>0</v>
      </c>
      <c r="AM277">
        <v>6965.7006687351395</v>
      </c>
      <c r="AN277">
        <v>255.85305273904257</v>
      </c>
      <c r="AO277">
        <v>217.20129530057235</v>
      </c>
      <c r="AP277">
        <v>53.299480670377285</v>
      </c>
      <c r="AQ277">
        <v>0</v>
      </c>
      <c r="AR277">
        <v>595.18561173940066</v>
      </c>
      <c r="AS277">
        <v>0</v>
      </c>
      <c r="AT277">
        <v>0</v>
      </c>
      <c r="AU277">
        <v>0</v>
      </c>
      <c r="AV277">
        <v>38.14230908467426</v>
      </c>
      <c r="AW277">
        <v>0</v>
      </c>
      <c r="AX277">
        <v>0</v>
      </c>
      <c r="AY277">
        <v>74.195597296352176</v>
      </c>
      <c r="AZ277">
        <v>0</v>
      </c>
      <c r="BA277">
        <v>2720.4918017836767</v>
      </c>
      <c r="BB277">
        <v>0</v>
      </c>
      <c r="BC277">
        <v>130.07267189765031</v>
      </c>
      <c r="BD277">
        <v>0</v>
      </c>
    </row>
    <row r="278" spans="1:56" x14ac:dyDescent="0.2">
      <c r="A278" t="s">
        <v>1449</v>
      </c>
      <c r="B278" t="s">
        <v>1173</v>
      </c>
      <c r="C278" t="s">
        <v>1011</v>
      </c>
      <c r="D278">
        <v>2017</v>
      </c>
      <c r="E278" t="s">
        <v>1174</v>
      </c>
      <c r="F278" t="s">
        <v>1175</v>
      </c>
      <c r="G278">
        <v>7636.0310225495996</v>
      </c>
      <c r="H278">
        <v>4753.737366334125</v>
      </c>
      <c r="I278">
        <v>2882.293656215224</v>
      </c>
      <c r="J278">
        <v>111.69783173683707</v>
      </c>
      <c r="K278">
        <v>548.79308814621163</v>
      </c>
      <c r="L278">
        <v>17.30137553732472</v>
      </c>
      <c r="M278">
        <v>283.72673198231473</v>
      </c>
      <c r="N278">
        <v>2655.5891440253531</v>
      </c>
      <c r="O278">
        <v>1136.6291949060835</v>
      </c>
      <c r="P278">
        <v>2882.293656215224</v>
      </c>
      <c r="Q278">
        <v>0</v>
      </c>
      <c r="R278">
        <v>0</v>
      </c>
      <c r="S278">
        <v>0</v>
      </c>
      <c r="T278">
        <v>111.66944881330647</v>
      </c>
      <c r="U278">
        <v>2.8382923530596703E-2</v>
      </c>
      <c r="V278">
        <v>368.9608876057614</v>
      </c>
      <c r="W278">
        <v>12.881249491697597</v>
      </c>
      <c r="X278">
        <v>32.630508859639406</v>
      </c>
      <c r="Y278">
        <v>14.4265992335144</v>
      </c>
      <c r="Z278">
        <v>119.89384295559877</v>
      </c>
      <c r="AA278">
        <v>6.8913168742921993</v>
      </c>
      <c r="AB278">
        <v>0</v>
      </c>
      <c r="AC278">
        <v>8.1762488494768206</v>
      </c>
      <c r="AD278">
        <v>0</v>
      </c>
      <c r="AE278">
        <v>2.2338098135557001</v>
      </c>
      <c r="AF278">
        <v>0</v>
      </c>
      <c r="AG278">
        <v>14.303164973375502</v>
      </c>
      <c r="AH278">
        <v>67.543427928129802</v>
      </c>
      <c r="AI278">
        <v>13.628578223057527</v>
      </c>
      <c r="AJ278">
        <v>66.93911001555459</v>
      </c>
      <c r="AK278">
        <v>121.31245084219734</v>
      </c>
      <c r="AL278">
        <v>2.7366381442486998</v>
      </c>
      <c r="AM278">
        <v>2652.8525058811042</v>
      </c>
      <c r="AN278">
        <v>888.64291911890098</v>
      </c>
      <c r="AO278">
        <v>11.0115253966552</v>
      </c>
      <c r="AP278">
        <v>236.97475039052736</v>
      </c>
      <c r="AQ278">
        <v>0</v>
      </c>
      <c r="AR278">
        <v>0</v>
      </c>
      <c r="AS278">
        <v>0</v>
      </c>
      <c r="AT278">
        <v>0</v>
      </c>
      <c r="AU278">
        <v>122.50617942200951</v>
      </c>
      <c r="AV278">
        <v>71.012920035362171</v>
      </c>
      <c r="AW278">
        <v>0</v>
      </c>
      <c r="AX278">
        <v>0</v>
      </c>
      <c r="AY278">
        <v>2688.7745567578522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x14ac:dyDescent="0.2">
      <c r="A279" t="s">
        <v>1450</v>
      </c>
      <c r="B279" t="s">
        <v>1173</v>
      </c>
      <c r="C279" t="s">
        <v>680</v>
      </c>
      <c r="D279">
        <v>2017</v>
      </c>
      <c r="E279" t="s">
        <v>1174</v>
      </c>
      <c r="F279" t="s">
        <v>1175</v>
      </c>
      <c r="G279">
        <v>20529.053897170499</v>
      </c>
      <c r="H279">
        <v>19901.244382452845</v>
      </c>
      <c r="I279">
        <v>627.80951471761307</v>
      </c>
      <c r="J279">
        <v>335.90356908426213</v>
      </c>
      <c r="K279">
        <v>1013.8378010276886</v>
      </c>
      <c r="L279">
        <v>102.71591943097258</v>
      </c>
      <c r="M279">
        <v>399.62748138654399</v>
      </c>
      <c r="N279">
        <v>12999.74098060974</v>
      </c>
      <c r="O279">
        <v>5049.4186309136367</v>
      </c>
      <c r="P279">
        <v>627.80951471761307</v>
      </c>
      <c r="Q279">
        <v>0</v>
      </c>
      <c r="R279">
        <v>0</v>
      </c>
      <c r="S279">
        <v>0</v>
      </c>
      <c r="T279">
        <v>335.90356908426213</v>
      </c>
      <c r="U279">
        <v>0</v>
      </c>
      <c r="V279">
        <v>720.37631762893716</v>
      </c>
      <c r="W279">
        <v>27.58751447766241</v>
      </c>
      <c r="X279">
        <v>102.66704587527458</v>
      </c>
      <c r="Y279">
        <v>32.012390670804706</v>
      </c>
      <c r="Z279">
        <v>131.19453237500971</v>
      </c>
      <c r="AA279">
        <v>0</v>
      </c>
      <c r="AB279">
        <v>2.7785071836969997</v>
      </c>
      <c r="AC279">
        <v>14.194691532855298</v>
      </c>
      <c r="AD279">
        <v>58.598653800661999</v>
      </c>
      <c r="AE279">
        <v>27.144066913758277</v>
      </c>
      <c r="AF279">
        <v>0</v>
      </c>
      <c r="AG279">
        <v>30.727604499567789</v>
      </c>
      <c r="AH279">
        <v>129.82973233562211</v>
      </c>
      <c r="AI279">
        <v>5.0929662792966006</v>
      </c>
      <c r="AJ279">
        <v>23.202800690430301</v>
      </c>
      <c r="AK279">
        <v>210.77437758162719</v>
      </c>
      <c r="AL279">
        <v>0</v>
      </c>
      <c r="AM279">
        <v>12999.74098060974</v>
      </c>
      <c r="AN279">
        <v>2590.9977563320263</v>
      </c>
      <c r="AO279">
        <v>245.21566736992341</v>
      </c>
      <c r="AP279">
        <v>2213.2052072116867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11.621169596709999</v>
      </c>
      <c r="AW279">
        <v>34.855199348158102</v>
      </c>
      <c r="AX279">
        <v>0</v>
      </c>
      <c r="AY279">
        <v>581.33314577274496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x14ac:dyDescent="0.2">
      <c r="A280" t="s">
        <v>1451</v>
      </c>
      <c r="B280" t="s">
        <v>1173</v>
      </c>
      <c r="C280" t="s">
        <v>891</v>
      </c>
      <c r="D280">
        <v>2017</v>
      </c>
      <c r="E280" t="s">
        <v>1174</v>
      </c>
      <c r="F280" t="s">
        <v>1175</v>
      </c>
      <c r="G280">
        <v>10813.501942637999</v>
      </c>
      <c r="H280">
        <v>10614.005126260699</v>
      </c>
      <c r="I280">
        <v>199.49681637966671</v>
      </c>
      <c r="J280">
        <v>319.37836396271683</v>
      </c>
      <c r="K280">
        <v>951.69330474731419</v>
      </c>
      <c r="L280">
        <v>62.178993350401605</v>
      </c>
      <c r="M280">
        <v>128.89967364732851</v>
      </c>
      <c r="N280">
        <v>7928.5878196972517</v>
      </c>
      <c r="O280">
        <v>1223.2669708556864</v>
      </c>
      <c r="P280">
        <v>199.49681637966671</v>
      </c>
      <c r="Q280">
        <v>0</v>
      </c>
      <c r="R280">
        <v>0</v>
      </c>
      <c r="S280">
        <v>19.722692593385698</v>
      </c>
      <c r="T280">
        <v>299.65567136933112</v>
      </c>
      <c r="U280">
        <v>0</v>
      </c>
      <c r="V280">
        <v>700.44603854745344</v>
      </c>
      <c r="W280">
        <v>16.200657160402599</v>
      </c>
      <c r="X280">
        <v>7.8458114643286008</v>
      </c>
      <c r="Y280">
        <v>12.746540689659202</v>
      </c>
      <c r="Z280">
        <v>214.45425688547036</v>
      </c>
      <c r="AA280">
        <v>0</v>
      </c>
      <c r="AB280">
        <v>4.8715297058637992</v>
      </c>
      <c r="AC280">
        <v>24.7202344063552</v>
      </c>
      <c r="AD280">
        <v>13.8030213567523</v>
      </c>
      <c r="AE280">
        <v>18.784207881430305</v>
      </c>
      <c r="AF280">
        <v>0</v>
      </c>
      <c r="AG280">
        <v>16.733789538717797</v>
      </c>
      <c r="AH280">
        <v>75.762013177194987</v>
      </c>
      <c r="AI280">
        <v>2.0545279376379</v>
      </c>
      <c r="AJ280">
        <v>4.7046207094304302</v>
      </c>
      <c r="AK280">
        <v>29.644722284347406</v>
      </c>
      <c r="AL280">
        <v>0</v>
      </c>
      <c r="AM280">
        <v>7928.5878196972517</v>
      </c>
      <c r="AN280">
        <v>538.64702855226335</v>
      </c>
      <c r="AO280">
        <v>279.16029118001603</v>
      </c>
      <c r="AP280">
        <v>405.45965112340701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12.770982900626999</v>
      </c>
      <c r="AW280">
        <v>19.488969948367298</v>
      </c>
      <c r="AX280">
        <v>0</v>
      </c>
      <c r="AY280">
        <v>167.23686353067242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 spans="1:56" x14ac:dyDescent="0.2">
      <c r="A281" t="s">
        <v>1452</v>
      </c>
      <c r="B281" t="s">
        <v>1173</v>
      </c>
      <c r="C281" t="s">
        <v>993</v>
      </c>
      <c r="D281">
        <v>2017</v>
      </c>
      <c r="E281" t="s">
        <v>1174</v>
      </c>
      <c r="F281" t="s">
        <v>1175</v>
      </c>
      <c r="G281">
        <v>28273.915950468301</v>
      </c>
      <c r="H281">
        <v>27864.917093156775</v>
      </c>
      <c r="I281">
        <v>408.99885731246934</v>
      </c>
      <c r="J281">
        <v>479.37604844671853</v>
      </c>
      <c r="K281">
        <v>552.50864401976901</v>
      </c>
      <c r="L281">
        <v>44.419352331398102</v>
      </c>
      <c r="M281">
        <v>550.55501493015163</v>
      </c>
      <c r="N281">
        <v>15581.363250161949</v>
      </c>
      <c r="O281">
        <v>10656.69478326679</v>
      </c>
      <c r="P281">
        <v>408.99885731246934</v>
      </c>
      <c r="Q281">
        <v>0</v>
      </c>
      <c r="R281">
        <v>0</v>
      </c>
      <c r="S281">
        <v>0</v>
      </c>
      <c r="T281">
        <v>479.37604844671853</v>
      </c>
      <c r="U281">
        <v>0</v>
      </c>
      <c r="V281">
        <v>416.45912767334244</v>
      </c>
      <c r="W281">
        <v>26.817917163646996</v>
      </c>
      <c r="X281">
        <v>24.865230256380613</v>
      </c>
      <c r="Y281">
        <v>44.154697203657904</v>
      </c>
      <c r="Z281">
        <v>40.211671722741102</v>
      </c>
      <c r="AA281">
        <v>0</v>
      </c>
      <c r="AB281">
        <v>0</v>
      </c>
      <c r="AC281">
        <v>13.3525653732059</v>
      </c>
      <c r="AD281">
        <v>17.085604498707106</v>
      </c>
      <c r="AE281">
        <v>13.981182459485099</v>
      </c>
      <c r="AF281">
        <v>0</v>
      </c>
      <c r="AG281">
        <v>10.024394611626503</v>
      </c>
      <c r="AH281">
        <v>123.02001341538397</v>
      </c>
      <c r="AI281">
        <v>2.8369021773500003</v>
      </c>
      <c r="AJ281">
        <v>21.144134782908001</v>
      </c>
      <c r="AK281">
        <v>393.5295699428832</v>
      </c>
      <c r="AL281">
        <v>0</v>
      </c>
      <c r="AM281">
        <v>15581.363250161949</v>
      </c>
      <c r="AN281">
        <v>6906.0798611532327</v>
      </c>
      <c r="AO281">
        <v>2830.4415229934343</v>
      </c>
      <c r="AP281">
        <v>920.17339912012392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18.207498764579999</v>
      </c>
      <c r="AW281">
        <v>42.018868295465495</v>
      </c>
      <c r="AX281">
        <v>0</v>
      </c>
      <c r="AY281">
        <v>348.77249025242384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2">
      <c r="A282" t="s">
        <v>1453</v>
      </c>
      <c r="B282" t="s">
        <v>1173</v>
      </c>
      <c r="C282" t="s">
        <v>588</v>
      </c>
      <c r="D282">
        <v>2017</v>
      </c>
      <c r="E282" t="s">
        <v>1174</v>
      </c>
      <c r="F282" t="s">
        <v>1175</v>
      </c>
      <c r="G282">
        <v>6914.2789555575</v>
      </c>
      <c r="H282">
        <v>6196.4813203863596</v>
      </c>
      <c r="I282">
        <v>717.79763517383287</v>
      </c>
      <c r="J282">
        <v>226.80721765236871</v>
      </c>
      <c r="K282">
        <v>1047.7077575097755</v>
      </c>
      <c r="L282">
        <v>67.580316178801695</v>
      </c>
      <c r="M282">
        <v>156.94291572271544</v>
      </c>
      <c r="N282">
        <v>4544.7439605994987</v>
      </c>
      <c r="O282">
        <v>152.69915272319918</v>
      </c>
      <c r="P282">
        <v>717.79763517383287</v>
      </c>
      <c r="Q282">
        <v>0</v>
      </c>
      <c r="R282">
        <v>0</v>
      </c>
      <c r="S282">
        <v>11.182015263483395</v>
      </c>
      <c r="T282">
        <v>215.6252023888853</v>
      </c>
      <c r="U282">
        <v>0</v>
      </c>
      <c r="V282">
        <v>762.06994705054001</v>
      </c>
      <c r="W282">
        <v>27.474019242022798</v>
      </c>
      <c r="X282">
        <v>4.0577226273594995</v>
      </c>
      <c r="Y282">
        <v>22.828862888477602</v>
      </c>
      <c r="Z282">
        <v>231.27720570137581</v>
      </c>
      <c r="AA282">
        <v>0</v>
      </c>
      <c r="AB282">
        <v>0.84315959863000012</v>
      </c>
      <c r="AC282">
        <v>8.8585722437091992</v>
      </c>
      <c r="AD282">
        <v>20.177651953964997</v>
      </c>
      <c r="AE282">
        <v>28.244165588506799</v>
      </c>
      <c r="AF282">
        <v>9.456766793990699</v>
      </c>
      <c r="AG282">
        <v>64.825373458827315</v>
      </c>
      <c r="AH282">
        <v>63.624713202028119</v>
      </c>
      <c r="AI282">
        <v>2.5242011875863</v>
      </c>
      <c r="AJ282">
        <v>0</v>
      </c>
      <c r="AK282">
        <v>25.968627874273704</v>
      </c>
      <c r="AL282">
        <v>225.67514030684745</v>
      </c>
      <c r="AM282">
        <v>4319.0688202926513</v>
      </c>
      <c r="AN282">
        <v>99.047977888086848</v>
      </c>
      <c r="AO282">
        <v>32.578471864642601</v>
      </c>
      <c r="AP282">
        <v>21.07270297046971</v>
      </c>
      <c r="AQ282">
        <v>0</v>
      </c>
      <c r="AR282">
        <v>0</v>
      </c>
      <c r="AS282">
        <v>401.62304414202157</v>
      </c>
      <c r="AT282">
        <v>0</v>
      </c>
      <c r="AU282">
        <v>0</v>
      </c>
      <c r="AV282">
        <v>31.883176944026101</v>
      </c>
      <c r="AW282">
        <v>39.27952175684171</v>
      </c>
      <c r="AX282">
        <v>0</v>
      </c>
      <c r="AY282">
        <v>245.01189233094351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 x14ac:dyDescent="0.2">
      <c r="A283" t="s">
        <v>1454</v>
      </c>
      <c r="B283" t="s">
        <v>1173</v>
      </c>
      <c r="C283" t="s">
        <v>308</v>
      </c>
      <c r="D283">
        <v>2017</v>
      </c>
      <c r="E283" t="s">
        <v>1174</v>
      </c>
      <c r="F283" t="s">
        <v>1175</v>
      </c>
      <c r="G283">
        <v>7805.0093757147997</v>
      </c>
      <c r="H283">
        <v>7649.6415004774044</v>
      </c>
      <c r="I283">
        <v>155.36787523605776</v>
      </c>
      <c r="J283">
        <v>234.57626331670212</v>
      </c>
      <c r="K283">
        <v>897.80832618696786</v>
      </c>
      <c r="L283">
        <v>25.293038405120999</v>
      </c>
      <c r="M283">
        <v>107.9398919933563</v>
      </c>
      <c r="N283">
        <v>3722.619993697806</v>
      </c>
      <c r="O283">
        <v>2661.4039868774507</v>
      </c>
      <c r="P283">
        <v>155.36787523605776</v>
      </c>
      <c r="Q283">
        <v>0</v>
      </c>
      <c r="R283">
        <v>0</v>
      </c>
      <c r="S283">
        <v>27.129200154787849</v>
      </c>
      <c r="T283">
        <v>193.8240394112255</v>
      </c>
      <c r="U283">
        <v>13.623023750688802</v>
      </c>
      <c r="V283">
        <v>515.70349234061098</v>
      </c>
      <c r="W283">
        <v>7.4711880888480007</v>
      </c>
      <c r="X283">
        <v>103.79947544019532</v>
      </c>
      <c r="Y283">
        <v>12.662192646028998</v>
      </c>
      <c r="Z283">
        <v>258.17197767128454</v>
      </c>
      <c r="AA283">
        <v>0</v>
      </c>
      <c r="AB283">
        <v>0</v>
      </c>
      <c r="AC283">
        <v>6.2003267001737008</v>
      </c>
      <c r="AD283">
        <v>0</v>
      </c>
      <c r="AE283">
        <v>17.7520175667992</v>
      </c>
      <c r="AF283">
        <v>1.3406941381480999</v>
      </c>
      <c r="AG283">
        <v>16.966253791883801</v>
      </c>
      <c r="AH283">
        <v>57.737740273868482</v>
      </c>
      <c r="AI283">
        <v>0.82908131927499995</v>
      </c>
      <c r="AJ283">
        <v>13.675030288089998</v>
      </c>
      <c r="AK283">
        <v>18.731786320239003</v>
      </c>
      <c r="AL283">
        <v>11.210291571915901</v>
      </c>
      <c r="AM283">
        <v>3711.4097021258899</v>
      </c>
      <c r="AN283">
        <v>1914.540092424689</v>
      </c>
      <c r="AO283">
        <v>592.6503512158273</v>
      </c>
      <c r="AP283">
        <v>154.21354323693438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3.6046228383349996</v>
      </c>
      <c r="AW283">
        <v>0</v>
      </c>
      <c r="AX283">
        <v>2.7462743772699998</v>
      </c>
      <c r="AY283">
        <v>149.01697802045277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 x14ac:dyDescent="0.2">
      <c r="A284" t="s">
        <v>1455</v>
      </c>
      <c r="B284" t="s">
        <v>1173</v>
      </c>
      <c r="C284" t="s">
        <v>857</v>
      </c>
      <c r="D284">
        <v>2017</v>
      </c>
      <c r="E284" t="s">
        <v>1174</v>
      </c>
      <c r="F284" t="s">
        <v>1175</v>
      </c>
      <c r="G284">
        <v>32159.056242777504</v>
      </c>
      <c r="H284">
        <v>28831.323997483116</v>
      </c>
      <c r="I284">
        <v>3327.7322452929984</v>
      </c>
      <c r="J284">
        <v>661.29209567473822</v>
      </c>
      <c r="K284">
        <v>1217.9600667725745</v>
      </c>
      <c r="L284">
        <v>170.11309812014221</v>
      </c>
      <c r="M284">
        <v>488.95599153199163</v>
      </c>
      <c r="N284">
        <v>19039.263370568566</v>
      </c>
      <c r="O284">
        <v>7253.7393748151026</v>
      </c>
      <c r="P284">
        <v>3327.7322452929984</v>
      </c>
      <c r="Q284">
        <v>0</v>
      </c>
      <c r="R284">
        <v>0</v>
      </c>
      <c r="S284">
        <v>29.503678450931137</v>
      </c>
      <c r="T284">
        <v>631.78841722380707</v>
      </c>
      <c r="U284">
        <v>0</v>
      </c>
      <c r="V284">
        <v>799.0487267875443</v>
      </c>
      <c r="W284">
        <v>41.5076011843</v>
      </c>
      <c r="X284">
        <v>85.022491055675772</v>
      </c>
      <c r="Y284">
        <v>21.228922183814397</v>
      </c>
      <c r="Z284">
        <v>271.15232556123993</v>
      </c>
      <c r="AA284">
        <v>0</v>
      </c>
      <c r="AB284">
        <v>0</v>
      </c>
      <c r="AC284">
        <v>22.979786639574304</v>
      </c>
      <c r="AD284">
        <v>8.9608038411811997</v>
      </c>
      <c r="AE284">
        <v>136.3955708703738</v>
      </c>
      <c r="AF284">
        <v>1.7769367690128999</v>
      </c>
      <c r="AG284">
        <v>75.52268301276186</v>
      </c>
      <c r="AH284">
        <v>110.75816141059317</v>
      </c>
      <c r="AI284">
        <v>14.163471316835496</v>
      </c>
      <c r="AJ284">
        <v>19.969872886665499</v>
      </c>
      <c r="AK284">
        <v>268.54180290513563</v>
      </c>
      <c r="AL284">
        <v>0</v>
      </c>
      <c r="AM284">
        <v>19039.263370568566</v>
      </c>
      <c r="AN284">
        <v>2293.3433612147119</v>
      </c>
      <c r="AO284">
        <v>169.29693362833305</v>
      </c>
      <c r="AP284">
        <v>4791.0990799720576</v>
      </c>
      <c r="AQ284">
        <v>0</v>
      </c>
      <c r="AR284">
        <v>0</v>
      </c>
      <c r="AS284">
        <v>0</v>
      </c>
      <c r="AT284">
        <v>1.317180144506968</v>
      </c>
      <c r="AU284">
        <v>0</v>
      </c>
      <c r="AV284">
        <v>23.586930875899004</v>
      </c>
      <c r="AW284">
        <v>0</v>
      </c>
      <c r="AX284">
        <v>0</v>
      </c>
      <c r="AY284">
        <v>3302.8281342725923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">
      <c r="A285" t="s">
        <v>1456</v>
      </c>
      <c r="B285" t="s">
        <v>1173</v>
      </c>
      <c r="C285" t="s">
        <v>640</v>
      </c>
      <c r="D285">
        <v>2017</v>
      </c>
      <c r="E285" t="s">
        <v>1174</v>
      </c>
      <c r="F285" t="s">
        <v>1175</v>
      </c>
      <c r="G285">
        <v>18402.532193465002</v>
      </c>
      <c r="H285">
        <v>15916.854328541571</v>
      </c>
      <c r="I285">
        <v>2485.6778649249759</v>
      </c>
      <c r="J285">
        <v>931.15896587190855</v>
      </c>
      <c r="K285">
        <v>1974.6526671642096</v>
      </c>
      <c r="L285">
        <v>473.20224930441645</v>
      </c>
      <c r="M285">
        <v>304.27086163146129</v>
      </c>
      <c r="N285">
        <v>11624.07236177786</v>
      </c>
      <c r="O285">
        <v>609.49722279171544</v>
      </c>
      <c r="P285">
        <v>2485.6778649249759</v>
      </c>
      <c r="Q285">
        <v>0</v>
      </c>
      <c r="R285">
        <v>0</v>
      </c>
      <c r="S285">
        <v>148.55581511565441</v>
      </c>
      <c r="T285">
        <v>782.60315075625419</v>
      </c>
      <c r="U285">
        <v>0</v>
      </c>
      <c r="V285">
        <v>637.36055204729269</v>
      </c>
      <c r="W285">
        <v>24.480305976583647</v>
      </c>
      <c r="X285">
        <v>101.55139517098603</v>
      </c>
      <c r="Y285">
        <v>11.863889901604301</v>
      </c>
      <c r="Z285">
        <v>1199.396524067743</v>
      </c>
      <c r="AA285">
        <v>27.733352961794399</v>
      </c>
      <c r="AB285">
        <v>1.7864587905650002</v>
      </c>
      <c r="AC285">
        <v>10.313659673538799</v>
      </c>
      <c r="AD285">
        <v>0</v>
      </c>
      <c r="AE285">
        <v>367.73157777573675</v>
      </c>
      <c r="AF285">
        <v>65.63720010278152</v>
      </c>
      <c r="AG285">
        <v>165.59848232991135</v>
      </c>
      <c r="AH285">
        <v>83.193878635494301</v>
      </c>
      <c r="AI285">
        <v>7.8287350779682008</v>
      </c>
      <c r="AJ285">
        <v>10.852968304544282</v>
      </c>
      <c r="AK285">
        <v>36.796797283543206</v>
      </c>
      <c r="AL285">
        <v>68.788193207033927</v>
      </c>
      <c r="AM285">
        <v>11555.284168570826</v>
      </c>
      <c r="AN285">
        <v>425.815858240409</v>
      </c>
      <c r="AO285">
        <v>19.019951072001302</v>
      </c>
      <c r="AP285">
        <v>164.66141347930514</v>
      </c>
      <c r="AQ285">
        <v>0</v>
      </c>
      <c r="AR285">
        <v>2028.3748680400654</v>
      </c>
      <c r="AS285">
        <v>1.8197472126799998</v>
      </c>
      <c r="AT285">
        <v>0</v>
      </c>
      <c r="AU285">
        <v>0</v>
      </c>
      <c r="AV285">
        <v>31.927379716076718</v>
      </c>
      <c r="AW285">
        <v>0</v>
      </c>
      <c r="AX285">
        <v>74.856947463147421</v>
      </c>
      <c r="AY285">
        <v>348.69892249300648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 spans="1:56" x14ac:dyDescent="0.2">
      <c r="A286" t="s">
        <v>1457</v>
      </c>
      <c r="B286" t="s">
        <v>1173</v>
      </c>
      <c r="C286" t="s">
        <v>355</v>
      </c>
      <c r="D286">
        <v>2017</v>
      </c>
      <c r="E286" t="s">
        <v>1174</v>
      </c>
      <c r="F286" t="s">
        <v>1175</v>
      </c>
      <c r="G286">
        <v>10461.9184285175</v>
      </c>
      <c r="H286">
        <v>10302.282996085203</v>
      </c>
      <c r="I286">
        <v>159.63543239668462</v>
      </c>
      <c r="J286">
        <v>348.15362960900472</v>
      </c>
      <c r="K286">
        <v>1059.6091674519059</v>
      </c>
      <c r="L286">
        <v>170.06917506831769</v>
      </c>
      <c r="M286">
        <v>199.45401670978197</v>
      </c>
      <c r="N286">
        <v>7047.1523382832111</v>
      </c>
      <c r="O286">
        <v>1477.8446689629818</v>
      </c>
      <c r="P286">
        <v>159.63543239668462</v>
      </c>
      <c r="Q286">
        <v>0</v>
      </c>
      <c r="R286">
        <v>0</v>
      </c>
      <c r="S286">
        <v>27.726004484588501</v>
      </c>
      <c r="T286">
        <v>320.42762512441624</v>
      </c>
      <c r="U286">
        <v>0</v>
      </c>
      <c r="V286">
        <v>753.63731594675653</v>
      </c>
      <c r="W286">
        <v>21.278896017484495</v>
      </c>
      <c r="X286">
        <v>24.0685582624583</v>
      </c>
      <c r="Y286">
        <v>51.810935620344303</v>
      </c>
      <c r="Z286">
        <v>208.81346160486234</v>
      </c>
      <c r="AA286">
        <v>0</v>
      </c>
      <c r="AB286">
        <v>2.2242338031000002</v>
      </c>
      <c r="AC286">
        <v>7.562256692819699</v>
      </c>
      <c r="AD286">
        <v>63.65585863759371</v>
      </c>
      <c r="AE286">
        <v>95.523744007313397</v>
      </c>
      <c r="AF286">
        <v>1.1030819274909001</v>
      </c>
      <c r="AG286">
        <v>31.428451742391974</v>
      </c>
      <c r="AH286">
        <v>97.312644924276583</v>
      </c>
      <c r="AI286">
        <v>0.592369363727</v>
      </c>
      <c r="AJ286">
        <v>2.3882729237548999</v>
      </c>
      <c r="AK286">
        <v>67.7322777556315</v>
      </c>
      <c r="AL286">
        <v>0</v>
      </c>
      <c r="AM286">
        <v>7047.1523382832111</v>
      </c>
      <c r="AN286">
        <v>1472.0327180484819</v>
      </c>
      <c r="AO286">
        <v>3.4539661394299999</v>
      </c>
      <c r="AP286">
        <v>2.3579847750699998</v>
      </c>
      <c r="AQ286">
        <v>0</v>
      </c>
      <c r="AR286">
        <v>0</v>
      </c>
      <c r="AS286">
        <v>38.366585684649003</v>
      </c>
      <c r="AT286">
        <v>0</v>
      </c>
      <c r="AU286">
        <v>0</v>
      </c>
      <c r="AV286">
        <v>7.6844386909299995</v>
      </c>
      <c r="AW286">
        <v>38.730425574662696</v>
      </c>
      <c r="AX286">
        <v>0</v>
      </c>
      <c r="AY286">
        <v>74.853982446442913</v>
      </c>
      <c r="AZ286">
        <v>0</v>
      </c>
      <c r="BA286">
        <v>0</v>
      </c>
      <c r="BB286">
        <v>0</v>
      </c>
      <c r="BC286">
        <v>0</v>
      </c>
      <c r="BD286">
        <v>0</v>
      </c>
    </row>
    <row r="287" spans="1:56" x14ac:dyDescent="0.2">
      <c r="A287" t="s">
        <v>1458</v>
      </c>
      <c r="B287" t="s">
        <v>1173</v>
      </c>
      <c r="C287" t="s">
        <v>831</v>
      </c>
      <c r="D287">
        <v>2017</v>
      </c>
      <c r="E287" t="s">
        <v>1174</v>
      </c>
      <c r="F287" t="s">
        <v>1175</v>
      </c>
      <c r="G287">
        <v>30716.405288573496</v>
      </c>
      <c r="H287">
        <v>27860.275138777601</v>
      </c>
      <c r="I287">
        <v>2856.1301497789841</v>
      </c>
      <c r="J287">
        <v>753.82315674993208</v>
      </c>
      <c r="K287">
        <v>806.55609367524721</v>
      </c>
      <c r="L287">
        <v>336.07649213231525</v>
      </c>
      <c r="M287">
        <v>695.25588492947941</v>
      </c>
      <c r="N287">
        <v>24571.999436789956</v>
      </c>
      <c r="O287">
        <v>696.56407450067263</v>
      </c>
      <c r="P287">
        <v>462.79697076558602</v>
      </c>
      <c r="Q287">
        <v>2393.333179013398</v>
      </c>
      <c r="R287">
        <v>0</v>
      </c>
      <c r="S287">
        <v>0</v>
      </c>
      <c r="T287">
        <v>753.82315674993208</v>
      </c>
      <c r="U287">
        <v>0</v>
      </c>
      <c r="V287">
        <v>573.4071907696092</v>
      </c>
      <c r="W287">
        <v>48.201779971481841</v>
      </c>
      <c r="X287">
        <v>22.3452307722117</v>
      </c>
      <c r="Y287">
        <v>23.053203772303984</v>
      </c>
      <c r="Z287">
        <v>139.5486883896404</v>
      </c>
      <c r="AA287">
        <v>0</v>
      </c>
      <c r="AB287">
        <v>0</v>
      </c>
      <c r="AC287">
        <v>20.051068622687904</v>
      </c>
      <c r="AD287">
        <v>0</v>
      </c>
      <c r="AE287">
        <v>276.93517442166518</v>
      </c>
      <c r="AF287">
        <v>39.090249087962121</v>
      </c>
      <c r="AG287">
        <v>90.506681389411625</v>
      </c>
      <c r="AH287">
        <v>116.44276598114686</v>
      </c>
      <c r="AI287">
        <v>6.5645423466136013</v>
      </c>
      <c r="AJ287">
        <v>23.946463348634278</v>
      </c>
      <c r="AK287">
        <v>457.79543186367312</v>
      </c>
      <c r="AL287">
        <v>1.06821475635</v>
      </c>
      <c r="AM287">
        <v>24570.931222033607</v>
      </c>
      <c r="AN287">
        <v>152.50612999388676</v>
      </c>
      <c r="AO287">
        <v>303.82334114571188</v>
      </c>
      <c r="AP287">
        <v>240.23460336107402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31.228499806278595</v>
      </c>
      <c r="AW287">
        <v>0</v>
      </c>
      <c r="AX287">
        <v>0</v>
      </c>
      <c r="AY287">
        <v>431.56847095930743</v>
      </c>
      <c r="AZ287">
        <v>0</v>
      </c>
      <c r="BA287">
        <v>0</v>
      </c>
      <c r="BB287">
        <v>2136.6993397013025</v>
      </c>
      <c r="BC287">
        <v>256.63383931209523</v>
      </c>
      <c r="BD287">
        <v>0</v>
      </c>
    </row>
    <row r="288" spans="1:56" x14ac:dyDescent="0.2">
      <c r="A288" t="s">
        <v>1459</v>
      </c>
      <c r="B288" t="s">
        <v>1173</v>
      </c>
      <c r="C288" t="s">
        <v>345</v>
      </c>
      <c r="D288">
        <v>2017</v>
      </c>
      <c r="E288" t="s">
        <v>1174</v>
      </c>
      <c r="F288" t="s">
        <v>1175</v>
      </c>
      <c r="G288">
        <v>11942.7597334724</v>
      </c>
      <c r="H288">
        <v>9505.1225358775664</v>
      </c>
      <c r="I288">
        <v>2437.6371975935999</v>
      </c>
      <c r="J288">
        <v>284.2974228793833</v>
      </c>
      <c r="K288">
        <v>639.17962902037391</v>
      </c>
      <c r="L288">
        <v>58.104634249745992</v>
      </c>
      <c r="M288">
        <v>112.8117466678441</v>
      </c>
      <c r="N288">
        <v>6690.8414458408661</v>
      </c>
      <c r="O288">
        <v>1719.8876572193535</v>
      </c>
      <c r="P288">
        <v>2437.6371975935999</v>
      </c>
      <c r="Q288">
        <v>0</v>
      </c>
      <c r="R288">
        <v>0</v>
      </c>
      <c r="S288">
        <v>24.240717381514987</v>
      </c>
      <c r="T288">
        <v>260.05670549786834</v>
      </c>
      <c r="U288">
        <v>0</v>
      </c>
      <c r="V288">
        <v>475.19614027726783</v>
      </c>
      <c r="W288">
        <v>6.0414862490747003</v>
      </c>
      <c r="X288">
        <v>63.024427435796802</v>
      </c>
      <c r="Y288">
        <v>8.669674329694999</v>
      </c>
      <c r="Z288">
        <v>86.247900728539534</v>
      </c>
      <c r="AA288">
        <v>0</v>
      </c>
      <c r="AB288">
        <v>8.7178884250286011</v>
      </c>
      <c r="AC288">
        <v>6.8724317573542999</v>
      </c>
      <c r="AD288">
        <v>0</v>
      </c>
      <c r="AE288">
        <v>13.587300571287701</v>
      </c>
      <c r="AF288">
        <v>28.927013496075389</v>
      </c>
      <c r="AG288">
        <v>25.919275940828804</v>
      </c>
      <c r="AH288">
        <v>42.556885709836592</v>
      </c>
      <c r="AI288">
        <v>3.7305250738666</v>
      </c>
      <c r="AJ288">
        <v>27.663178986573801</v>
      </c>
      <c r="AK288">
        <v>12.9418809567383</v>
      </c>
      <c r="AL288">
        <v>199.24783550935012</v>
      </c>
      <c r="AM288">
        <v>6491.5936103315162</v>
      </c>
      <c r="AN288">
        <v>728.10880317626265</v>
      </c>
      <c r="AO288">
        <v>0</v>
      </c>
      <c r="AP288">
        <v>991.77885404309086</v>
      </c>
      <c r="AQ288">
        <v>0</v>
      </c>
      <c r="AR288">
        <v>0</v>
      </c>
      <c r="AS288">
        <v>685.0001936183387</v>
      </c>
      <c r="AT288">
        <v>0</v>
      </c>
      <c r="AU288">
        <v>619.31924330599998</v>
      </c>
      <c r="AV288">
        <v>21.231157539374411</v>
      </c>
      <c r="AW288">
        <v>0</v>
      </c>
      <c r="AX288">
        <v>0</v>
      </c>
      <c r="AY288">
        <v>1112.0866031298867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 spans="1:56" x14ac:dyDescent="0.2">
      <c r="A289" t="s">
        <v>1460</v>
      </c>
      <c r="B289" t="s">
        <v>1173</v>
      </c>
      <c r="C289" t="s">
        <v>244</v>
      </c>
      <c r="D289">
        <v>2017</v>
      </c>
      <c r="E289" t="s">
        <v>1174</v>
      </c>
      <c r="F289" t="s">
        <v>1175</v>
      </c>
      <c r="G289">
        <v>9040.5787894502992</v>
      </c>
      <c r="H289">
        <v>8972.6368383071131</v>
      </c>
      <c r="I289">
        <v>67.941951048407518</v>
      </c>
      <c r="J289">
        <v>355.2046880819579</v>
      </c>
      <c r="K289">
        <v>765.98388784554186</v>
      </c>
      <c r="L289">
        <v>36.246022737762999</v>
      </c>
      <c r="M289">
        <v>187.4470747410503</v>
      </c>
      <c r="N289">
        <v>6564.8802624006821</v>
      </c>
      <c r="O289">
        <v>1062.8749025001182</v>
      </c>
      <c r="P289">
        <v>67.941951048407518</v>
      </c>
      <c r="Q289">
        <v>0</v>
      </c>
      <c r="R289">
        <v>0</v>
      </c>
      <c r="S289">
        <v>0</v>
      </c>
      <c r="T289">
        <v>340.08819435292492</v>
      </c>
      <c r="U289">
        <v>15.116493729033001</v>
      </c>
      <c r="V289">
        <v>551.40381304583366</v>
      </c>
      <c r="W289">
        <v>22.014117015395602</v>
      </c>
      <c r="X289">
        <v>39.975111876811994</v>
      </c>
      <c r="Y289">
        <v>19.239482850350552</v>
      </c>
      <c r="Z289">
        <v>133.35136305715005</v>
      </c>
      <c r="AA289">
        <v>0</v>
      </c>
      <c r="AB289">
        <v>0</v>
      </c>
      <c r="AC289">
        <v>4.9566469734631999</v>
      </c>
      <c r="AD289">
        <v>0</v>
      </c>
      <c r="AE289">
        <v>31.289375764299802</v>
      </c>
      <c r="AF289">
        <v>0</v>
      </c>
      <c r="AG289">
        <v>24.711286694775595</v>
      </c>
      <c r="AH289">
        <v>112.67923059597814</v>
      </c>
      <c r="AI289">
        <v>2.6220415584098</v>
      </c>
      <c r="AJ289">
        <v>2.9390643161669998</v>
      </c>
      <c r="AK289">
        <v>44.495451575719798</v>
      </c>
      <c r="AL289">
        <v>1.6055244760290999</v>
      </c>
      <c r="AM289">
        <v>6563.274737924653</v>
      </c>
      <c r="AN289">
        <v>985.5473047974881</v>
      </c>
      <c r="AO289">
        <v>73.633485714019983</v>
      </c>
      <c r="AP289">
        <v>3.69411198861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7.2248858691760001</v>
      </c>
      <c r="AW289">
        <v>0</v>
      </c>
      <c r="AX289">
        <v>0</v>
      </c>
      <c r="AY289">
        <v>60.717065179231518</v>
      </c>
      <c r="AZ289">
        <v>0</v>
      </c>
      <c r="BA289">
        <v>0</v>
      </c>
      <c r="BB289">
        <v>0</v>
      </c>
      <c r="BC289">
        <v>0</v>
      </c>
      <c r="BD289">
        <v>0</v>
      </c>
    </row>
    <row r="290" spans="1:56" x14ac:dyDescent="0.2">
      <c r="A290" t="s">
        <v>1461</v>
      </c>
      <c r="B290" t="s">
        <v>1173</v>
      </c>
      <c r="C290" t="s">
        <v>176</v>
      </c>
      <c r="D290">
        <v>2017</v>
      </c>
      <c r="E290" t="s">
        <v>1174</v>
      </c>
      <c r="F290" t="s">
        <v>1175</v>
      </c>
      <c r="G290">
        <v>9352.1119608725003</v>
      </c>
      <c r="H290">
        <v>9298.0240047021998</v>
      </c>
      <c r="I290">
        <v>54.087956169965203</v>
      </c>
      <c r="J290">
        <v>157.20543048999161</v>
      </c>
      <c r="K290">
        <v>328.76455404454401</v>
      </c>
      <c r="L290">
        <v>16.682928578358698</v>
      </c>
      <c r="M290">
        <v>197.12770861416169</v>
      </c>
      <c r="N290">
        <v>6550.847044352412</v>
      </c>
      <c r="O290">
        <v>2047.3963386227308</v>
      </c>
      <c r="P290">
        <v>54.087956169965203</v>
      </c>
      <c r="Q290">
        <v>0</v>
      </c>
      <c r="R290">
        <v>0</v>
      </c>
      <c r="S290">
        <v>0</v>
      </c>
      <c r="T290">
        <v>157.20543048999161</v>
      </c>
      <c r="U290">
        <v>0</v>
      </c>
      <c r="V290">
        <v>182.88860220244194</v>
      </c>
      <c r="W290">
        <v>9.0441866182428985</v>
      </c>
      <c r="X290">
        <v>91.361940281300704</v>
      </c>
      <c r="Y290">
        <v>0</v>
      </c>
      <c r="Z290">
        <v>45.469824942558468</v>
      </c>
      <c r="AA290">
        <v>1.60486976043</v>
      </c>
      <c r="AB290">
        <v>0.98237693323500008</v>
      </c>
      <c r="AC290">
        <v>2.1327997369569998</v>
      </c>
      <c r="AD290">
        <v>5.2599676680599998</v>
      </c>
      <c r="AE290">
        <v>6.7029144796767</v>
      </c>
      <c r="AF290">
        <v>0</v>
      </c>
      <c r="AG290">
        <v>0</v>
      </c>
      <c r="AH290">
        <v>17.596715303990997</v>
      </c>
      <c r="AI290">
        <v>1.4977937330881999</v>
      </c>
      <c r="AJ290">
        <v>37.059299394252299</v>
      </c>
      <c r="AK290">
        <v>140.97390018283019</v>
      </c>
      <c r="AL290">
        <v>18.3775983490284</v>
      </c>
      <c r="AM290">
        <v>6532.4694460033834</v>
      </c>
      <c r="AN290">
        <v>1864.18459420317</v>
      </c>
      <c r="AO290">
        <v>111.30786152620048</v>
      </c>
      <c r="AP290">
        <v>71.903882893360262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11.0162992229578</v>
      </c>
      <c r="AW290">
        <v>0</v>
      </c>
      <c r="AX290">
        <v>0</v>
      </c>
      <c r="AY290">
        <v>43.071656947007405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 spans="1:56" x14ac:dyDescent="0.2">
      <c r="A291" t="s">
        <v>1462</v>
      </c>
      <c r="B291" t="s">
        <v>1173</v>
      </c>
      <c r="C291" t="s">
        <v>230</v>
      </c>
      <c r="D291">
        <v>2017</v>
      </c>
      <c r="E291" t="s">
        <v>1174</v>
      </c>
      <c r="F291" t="s">
        <v>1175</v>
      </c>
      <c r="G291">
        <v>10175.371847599799</v>
      </c>
      <c r="H291">
        <v>10101.835181391903</v>
      </c>
      <c r="I291">
        <v>73.536666207679104</v>
      </c>
      <c r="J291">
        <v>164.12977914242387</v>
      </c>
      <c r="K291">
        <v>618.56969825981162</v>
      </c>
      <c r="L291">
        <v>14.076421260177701</v>
      </c>
      <c r="M291">
        <v>262.96332402437315</v>
      </c>
      <c r="N291">
        <v>6166.4193836879449</v>
      </c>
      <c r="O291">
        <v>2875.6765750171726</v>
      </c>
      <c r="P291">
        <v>73.536666207679104</v>
      </c>
      <c r="Q291">
        <v>0</v>
      </c>
      <c r="R291">
        <v>0</v>
      </c>
      <c r="S291">
        <v>0</v>
      </c>
      <c r="T291">
        <v>164.12977914242387</v>
      </c>
      <c r="U291">
        <v>0</v>
      </c>
      <c r="V291">
        <v>494.41193735807127</v>
      </c>
      <c r="W291">
        <v>4.1493560338302995</v>
      </c>
      <c r="X291">
        <v>1.5219410506097002</v>
      </c>
      <c r="Y291">
        <v>4.7373630945906999</v>
      </c>
      <c r="Z291">
        <v>113.74910072270964</v>
      </c>
      <c r="AA291">
        <v>0</v>
      </c>
      <c r="AB291">
        <v>0</v>
      </c>
      <c r="AC291">
        <v>4.9182172328107008</v>
      </c>
      <c r="AD291">
        <v>0</v>
      </c>
      <c r="AE291">
        <v>9.1582040273670007</v>
      </c>
      <c r="AF291">
        <v>0</v>
      </c>
      <c r="AG291">
        <v>15.688861316991897</v>
      </c>
      <c r="AH291">
        <v>55.773110476292999</v>
      </c>
      <c r="AI291">
        <v>0.89560640497400001</v>
      </c>
      <c r="AJ291">
        <v>9.6957448512860989</v>
      </c>
      <c r="AK291">
        <v>180.91000097482816</v>
      </c>
      <c r="AL291">
        <v>0</v>
      </c>
      <c r="AM291">
        <v>6166.4193836879449</v>
      </c>
      <c r="AN291">
        <v>2721.9547068295237</v>
      </c>
      <c r="AO291">
        <v>125.74629151102977</v>
      </c>
      <c r="AP291">
        <v>27.975576676619205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35.608626457659007</v>
      </c>
      <c r="AW291">
        <v>0</v>
      </c>
      <c r="AX291">
        <v>0</v>
      </c>
      <c r="AY291">
        <v>37.928039750020105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 x14ac:dyDescent="0.2">
      <c r="A292" t="s">
        <v>1463</v>
      </c>
      <c r="B292" t="s">
        <v>1173</v>
      </c>
      <c r="C292" t="s">
        <v>257</v>
      </c>
      <c r="D292">
        <v>2017</v>
      </c>
      <c r="E292" t="s">
        <v>1174</v>
      </c>
      <c r="F292" t="s">
        <v>1175</v>
      </c>
      <c r="G292">
        <v>7562.3311608688</v>
      </c>
      <c r="H292">
        <v>7533.3985082654308</v>
      </c>
      <c r="I292">
        <v>28.932652115548301</v>
      </c>
      <c r="J292">
        <v>174.83174423867547</v>
      </c>
      <c r="K292">
        <v>661.26322449262705</v>
      </c>
      <c r="L292">
        <v>37.439633124943406</v>
      </c>
      <c r="M292">
        <v>229.01300915091275</v>
      </c>
      <c r="N292">
        <v>4214.4051132953691</v>
      </c>
      <c r="O292">
        <v>2216.4457839629035</v>
      </c>
      <c r="P292">
        <v>28.932652115548301</v>
      </c>
      <c r="Q292">
        <v>0</v>
      </c>
      <c r="R292">
        <v>0</v>
      </c>
      <c r="S292">
        <v>0</v>
      </c>
      <c r="T292">
        <v>174.83174423867547</v>
      </c>
      <c r="U292">
        <v>0</v>
      </c>
      <c r="V292">
        <v>418.49841350812795</v>
      </c>
      <c r="W292">
        <v>12.033302431121001</v>
      </c>
      <c r="X292">
        <v>13.522033725583398</v>
      </c>
      <c r="Y292">
        <v>11.199764488595399</v>
      </c>
      <c r="Z292">
        <v>206.00971033919924</v>
      </c>
      <c r="AA292">
        <v>2.4425580627799999</v>
      </c>
      <c r="AB292">
        <v>0</v>
      </c>
      <c r="AC292">
        <v>2.2586322513867003</v>
      </c>
      <c r="AD292">
        <v>0</v>
      </c>
      <c r="AE292">
        <v>32.738442810776704</v>
      </c>
      <c r="AF292">
        <v>0</v>
      </c>
      <c r="AG292">
        <v>27.390428492192203</v>
      </c>
      <c r="AH292">
        <v>81.239793004055088</v>
      </c>
      <c r="AI292">
        <v>3.7302131324980001</v>
      </c>
      <c r="AJ292">
        <v>3.014224162943</v>
      </c>
      <c r="AK292">
        <v>113.63835035922448</v>
      </c>
      <c r="AL292">
        <v>10.030718662185999</v>
      </c>
      <c r="AM292">
        <v>4204.3743946331833</v>
      </c>
      <c r="AN292">
        <v>1769.4683092352461</v>
      </c>
      <c r="AO292">
        <v>366.5798327347897</v>
      </c>
      <c r="AP292">
        <v>80.397641992867506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7.1131883814400005</v>
      </c>
      <c r="AW292">
        <v>0</v>
      </c>
      <c r="AX292">
        <v>0</v>
      </c>
      <c r="AY292">
        <v>21.8194637341083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2">
      <c r="A293" t="s">
        <v>1464</v>
      </c>
      <c r="B293" t="s">
        <v>1173</v>
      </c>
      <c r="C293" t="s">
        <v>433</v>
      </c>
      <c r="D293">
        <v>2017</v>
      </c>
      <c r="E293" t="s">
        <v>1174</v>
      </c>
      <c r="F293" t="s">
        <v>1175</v>
      </c>
      <c r="G293">
        <v>7336.0503273927006</v>
      </c>
      <c r="H293">
        <v>7318.0766813427472</v>
      </c>
      <c r="I293">
        <v>17.973646050185504</v>
      </c>
      <c r="J293">
        <v>186.54464954876534</v>
      </c>
      <c r="K293">
        <v>301.65433462888325</v>
      </c>
      <c r="L293">
        <v>5.5822836015648001</v>
      </c>
      <c r="M293">
        <v>178.6172046041028</v>
      </c>
      <c r="N293">
        <v>5841.7349020811971</v>
      </c>
      <c r="O293">
        <v>803.94330687823367</v>
      </c>
      <c r="P293">
        <v>17.973646050185504</v>
      </c>
      <c r="Q293">
        <v>0</v>
      </c>
      <c r="R293">
        <v>0</v>
      </c>
      <c r="S293">
        <v>17.195090326317946</v>
      </c>
      <c r="T293">
        <v>169.3495592224474</v>
      </c>
      <c r="U293">
        <v>0</v>
      </c>
      <c r="V293">
        <v>260.92324737732184</v>
      </c>
      <c r="W293">
        <v>6.558479951298601</v>
      </c>
      <c r="X293">
        <v>4.3466903083400004</v>
      </c>
      <c r="Y293">
        <v>17.737122572990398</v>
      </c>
      <c r="Z293">
        <v>12.0887944189324</v>
      </c>
      <c r="AA293">
        <v>0</v>
      </c>
      <c r="AB293">
        <v>0</v>
      </c>
      <c r="AC293">
        <v>5.5822836015648001</v>
      </c>
      <c r="AD293">
        <v>0</v>
      </c>
      <c r="AE293">
        <v>0</v>
      </c>
      <c r="AF293">
        <v>0</v>
      </c>
      <c r="AG293">
        <v>20.893768333304298</v>
      </c>
      <c r="AH293">
        <v>85.708483554376102</v>
      </c>
      <c r="AI293">
        <v>0</v>
      </c>
      <c r="AJ293">
        <v>10.321899094899999</v>
      </c>
      <c r="AK293">
        <v>61.693053621522395</v>
      </c>
      <c r="AL293">
        <v>0</v>
      </c>
      <c r="AM293">
        <v>5841.7349020811971</v>
      </c>
      <c r="AN293">
        <v>801.37980928784361</v>
      </c>
      <c r="AO293">
        <v>2.5634975903899999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17.973646050185504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x14ac:dyDescent="0.2">
      <c r="A294" t="s">
        <v>1465</v>
      </c>
      <c r="B294" t="s">
        <v>1173</v>
      </c>
      <c r="C294" t="s">
        <v>894</v>
      </c>
      <c r="D294">
        <v>2017</v>
      </c>
      <c r="E294" t="s">
        <v>1174</v>
      </c>
      <c r="F294" t="s">
        <v>1175</v>
      </c>
      <c r="G294">
        <v>14769.865042756799</v>
      </c>
      <c r="H294">
        <v>14287.738400862836</v>
      </c>
      <c r="I294">
        <v>482.12664189476095</v>
      </c>
      <c r="J294">
        <v>435.23711808193622</v>
      </c>
      <c r="K294">
        <v>1126.1358942324521</v>
      </c>
      <c r="L294">
        <v>125.67052902423319</v>
      </c>
      <c r="M294">
        <v>303.08194883158308</v>
      </c>
      <c r="N294">
        <v>10778.626123630511</v>
      </c>
      <c r="O294">
        <v>1518.9867870621194</v>
      </c>
      <c r="P294">
        <v>482.12664189476095</v>
      </c>
      <c r="Q294">
        <v>0</v>
      </c>
      <c r="R294">
        <v>0</v>
      </c>
      <c r="S294">
        <v>25.556370910512332</v>
      </c>
      <c r="T294">
        <v>359.01082080273238</v>
      </c>
      <c r="U294">
        <v>50.669926368691506</v>
      </c>
      <c r="V294">
        <v>830.20949180260175</v>
      </c>
      <c r="W294">
        <v>20.786450924439798</v>
      </c>
      <c r="X294">
        <v>61.1683333699267</v>
      </c>
      <c r="Y294">
        <v>95.434098569769688</v>
      </c>
      <c r="Z294">
        <v>118.53751956571404</v>
      </c>
      <c r="AA294">
        <v>0</v>
      </c>
      <c r="AB294">
        <v>0</v>
      </c>
      <c r="AC294">
        <v>15.220355954512296</v>
      </c>
      <c r="AD294">
        <v>17.722062864138298</v>
      </c>
      <c r="AE294">
        <v>92.728110205582595</v>
      </c>
      <c r="AF294">
        <v>0</v>
      </c>
      <c r="AG294">
        <v>31.242550291790195</v>
      </c>
      <c r="AH294">
        <v>84.975533642413438</v>
      </c>
      <c r="AI294">
        <v>4.1214015751883997</v>
      </c>
      <c r="AJ294">
        <v>38.579173621206927</v>
      </c>
      <c r="AK294">
        <v>144.16328970098408</v>
      </c>
      <c r="AL294">
        <v>8.0743780621194006</v>
      </c>
      <c r="AM294">
        <v>10770.551745568391</v>
      </c>
      <c r="AN294">
        <v>963.56670345892474</v>
      </c>
      <c r="AO294">
        <v>167.41387566372129</v>
      </c>
      <c r="AP294">
        <v>388.00620793947337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26.387464886361499</v>
      </c>
      <c r="AW294">
        <v>32.611671333354799</v>
      </c>
      <c r="AX294">
        <v>0</v>
      </c>
      <c r="AY294">
        <v>423.12750567504463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2">
      <c r="A295" t="s">
        <v>1466</v>
      </c>
      <c r="B295" t="s">
        <v>1173</v>
      </c>
      <c r="C295" t="s">
        <v>634</v>
      </c>
      <c r="D295">
        <v>2017</v>
      </c>
      <c r="E295" t="s">
        <v>1174</v>
      </c>
      <c r="F295" t="s">
        <v>1175</v>
      </c>
      <c r="G295">
        <v>34587.3830762121</v>
      </c>
      <c r="H295">
        <v>34062.237937351965</v>
      </c>
      <c r="I295">
        <v>525.14513886421275</v>
      </c>
      <c r="J295">
        <v>885.5399841240112</v>
      </c>
      <c r="K295">
        <v>1156.8836271493892</v>
      </c>
      <c r="L295">
        <v>242.50661911531978</v>
      </c>
      <c r="M295">
        <v>447.44820857311697</v>
      </c>
      <c r="N295">
        <v>25052.427178323669</v>
      </c>
      <c r="O295">
        <v>6277.4323200664548</v>
      </c>
      <c r="P295">
        <v>525.14513886421275</v>
      </c>
      <c r="Q295">
        <v>0</v>
      </c>
      <c r="R295">
        <v>0</v>
      </c>
      <c r="S295">
        <v>53.243889056463971</v>
      </c>
      <c r="T295">
        <v>832.29609506754718</v>
      </c>
      <c r="U295">
        <v>0</v>
      </c>
      <c r="V295">
        <v>761.76437178193828</v>
      </c>
      <c r="W295">
        <v>21.943312249375193</v>
      </c>
      <c r="X295">
        <v>55.615006367787309</v>
      </c>
      <c r="Y295">
        <v>80.777043417517703</v>
      </c>
      <c r="Z295">
        <v>236.78389333277079</v>
      </c>
      <c r="AA295">
        <v>117.0127618195896</v>
      </c>
      <c r="AB295">
        <v>0</v>
      </c>
      <c r="AC295">
        <v>20.845696516823601</v>
      </c>
      <c r="AD295">
        <v>81.595300912795793</v>
      </c>
      <c r="AE295">
        <v>23.052859866110804</v>
      </c>
      <c r="AF295">
        <v>0</v>
      </c>
      <c r="AG295">
        <v>46.697333472326974</v>
      </c>
      <c r="AH295">
        <v>99.496974622902513</v>
      </c>
      <c r="AI295">
        <v>6.2809894917140001</v>
      </c>
      <c r="AJ295">
        <v>12.204711863029999</v>
      </c>
      <c r="AK295">
        <v>282.76819912314352</v>
      </c>
      <c r="AL295">
        <v>0</v>
      </c>
      <c r="AM295">
        <v>25052.427178323669</v>
      </c>
      <c r="AN295">
        <v>3945.403698134668</v>
      </c>
      <c r="AO295">
        <v>1854.0496426888212</v>
      </c>
      <c r="AP295">
        <v>477.97897924296541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5.7161251724129993</v>
      </c>
      <c r="AW295">
        <v>87.836202136410904</v>
      </c>
      <c r="AX295">
        <v>3.9468554140236005</v>
      </c>
      <c r="AY295">
        <v>427.64595614136522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">
      <c r="A296" t="s">
        <v>1467</v>
      </c>
      <c r="B296" t="s">
        <v>1173</v>
      </c>
      <c r="C296" t="s">
        <v>744</v>
      </c>
      <c r="D296">
        <v>2017</v>
      </c>
      <c r="E296" t="s">
        <v>1174</v>
      </c>
      <c r="F296" t="s">
        <v>1175</v>
      </c>
      <c r="G296">
        <v>11508.413479376399</v>
      </c>
      <c r="H296">
        <v>10903.315126384106</v>
      </c>
      <c r="I296">
        <v>605.09835299050951</v>
      </c>
      <c r="J296">
        <v>578.96623760393277</v>
      </c>
      <c r="K296">
        <v>1182.5249167693723</v>
      </c>
      <c r="L296">
        <v>97.256819562313311</v>
      </c>
      <c r="M296">
        <v>282.23950905979234</v>
      </c>
      <c r="N296">
        <v>8505.155026199609</v>
      </c>
      <c r="O296">
        <v>257.17261718908833</v>
      </c>
      <c r="P296">
        <v>605.09835299050951</v>
      </c>
      <c r="Q296">
        <v>0</v>
      </c>
      <c r="R296">
        <v>0</v>
      </c>
      <c r="S296">
        <v>100.67953192585715</v>
      </c>
      <c r="T296">
        <v>478.28670567807563</v>
      </c>
      <c r="U296">
        <v>0</v>
      </c>
      <c r="V296">
        <v>793.36737873523657</v>
      </c>
      <c r="W296">
        <v>26.433125221171807</v>
      </c>
      <c r="X296">
        <v>15.081774797821918</v>
      </c>
      <c r="Y296">
        <v>38.238864383674127</v>
      </c>
      <c r="Z296">
        <v>309.4037736314678</v>
      </c>
      <c r="AA296">
        <v>0</v>
      </c>
      <c r="AB296">
        <v>0</v>
      </c>
      <c r="AC296">
        <v>10.853535585315203</v>
      </c>
      <c r="AD296">
        <v>11.095884774772616</v>
      </c>
      <c r="AE296">
        <v>67.091979989655187</v>
      </c>
      <c r="AF296">
        <v>8.2154192125702998</v>
      </c>
      <c r="AG296">
        <v>32.543277550980598</v>
      </c>
      <c r="AH296">
        <v>130.90055611667614</v>
      </c>
      <c r="AI296">
        <v>3.7707353487563005</v>
      </c>
      <c r="AJ296">
        <v>76.340005391331815</v>
      </c>
      <c r="AK296">
        <v>38.684934652047495</v>
      </c>
      <c r="AL296">
        <v>24.894622999337198</v>
      </c>
      <c r="AM296">
        <v>8480.260403200271</v>
      </c>
      <c r="AN296">
        <v>186.3663798515357</v>
      </c>
      <c r="AO296">
        <v>18.027716781353629</v>
      </c>
      <c r="AP296">
        <v>52.778520556198991</v>
      </c>
      <c r="AQ296">
        <v>0</v>
      </c>
      <c r="AR296">
        <v>0</v>
      </c>
      <c r="AS296">
        <v>279.82880638494782</v>
      </c>
      <c r="AT296">
        <v>0</v>
      </c>
      <c r="AU296">
        <v>0</v>
      </c>
      <c r="AV296">
        <v>119.89336909753699</v>
      </c>
      <c r="AW296">
        <v>34.277943405837895</v>
      </c>
      <c r="AX296">
        <v>0</v>
      </c>
      <c r="AY296">
        <v>171.09823410218678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2">
      <c r="A297" t="s">
        <v>1468</v>
      </c>
      <c r="B297" t="s">
        <v>1173</v>
      </c>
      <c r="C297" t="s">
        <v>504</v>
      </c>
      <c r="D297">
        <v>2017</v>
      </c>
      <c r="E297" t="s">
        <v>1174</v>
      </c>
      <c r="F297" t="s">
        <v>1175</v>
      </c>
      <c r="G297">
        <v>21540.9428550468</v>
      </c>
      <c r="H297">
        <v>21243.296672545057</v>
      </c>
      <c r="I297">
        <v>297.64618250282541</v>
      </c>
      <c r="J297">
        <v>648.71787909908358</v>
      </c>
      <c r="K297">
        <v>951.36792459080493</v>
      </c>
      <c r="L297">
        <v>117.15517900880761</v>
      </c>
      <c r="M297">
        <v>403.03107561773265</v>
      </c>
      <c r="N297">
        <v>15685.794790346876</v>
      </c>
      <c r="O297">
        <v>3437.2298238817539</v>
      </c>
      <c r="P297">
        <v>297.64618250282541</v>
      </c>
      <c r="Q297">
        <v>0</v>
      </c>
      <c r="R297">
        <v>0</v>
      </c>
      <c r="S297">
        <v>49.726708823757093</v>
      </c>
      <c r="T297">
        <v>598.99117027532645</v>
      </c>
      <c r="U297">
        <v>0</v>
      </c>
      <c r="V297">
        <v>631.80070681332859</v>
      </c>
      <c r="W297">
        <v>33.007577035754203</v>
      </c>
      <c r="X297">
        <v>36.105450609992694</v>
      </c>
      <c r="Y297">
        <v>26.729133069677896</v>
      </c>
      <c r="Z297">
        <v>223.72505706205149</v>
      </c>
      <c r="AA297">
        <v>28.387829257547704</v>
      </c>
      <c r="AB297">
        <v>0</v>
      </c>
      <c r="AC297">
        <v>18.275089372244402</v>
      </c>
      <c r="AD297">
        <v>34.346834668994802</v>
      </c>
      <c r="AE297">
        <v>36.145425710020703</v>
      </c>
      <c r="AF297">
        <v>0</v>
      </c>
      <c r="AG297">
        <v>62.548587701304058</v>
      </c>
      <c r="AH297">
        <v>173.67526003909495</v>
      </c>
      <c r="AI297">
        <v>7.5178914263185987</v>
      </c>
      <c r="AJ297">
        <v>5.3521101678399994</v>
      </c>
      <c r="AK297">
        <v>153.93722628317508</v>
      </c>
      <c r="AL297">
        <v>0</v>
      </c>
      <c r="AM297">
        <v>15685.794790346876</v>
      </c>
      <c r="AN297">
        <v>3083.4006589609999</v>
      </c>
      <c r="AO297">
        <v>272.05075839565245</v>
      </c>
      <c r="AP297">
        <v>81.778406525101801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4.2719933901299996</v>
      </c>
      <c r="AW297">
        <v>83.164683721399896</v>
      </c>
      <c r="AX297">
        <v>0</v>
      </c>
      <c r="AY297">
        <v>210.20950539129552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 x14ac:dyDescent="0.2">
      <c r="A298" t="s">
        <v>1469</v>
      </c>
      <c r="B298" t="s">
        <v>1173</v>
      </c>
      <c r="C298" t="s">
        <v>655</v>
      </c>
      <c r="D298">
        <v>2017</v>
      </c>
      <c r="E298" t="s">
        <v>1174</v>
      </c>
      <c r="F298" t="s">
        <v>1175</v>
      </c>
      <c r="G298">
        <v>6746.1073851817991</v>
      </c>
      <c r="H298">
        <v>5999.0014047333189</v>
      </c>
      <c r="I298">
        <v>747.10598044893709</v>
      </c>
      <c r="J298">
        <v>375.0396918239079</v>
      </c>
      <c r="K298">
        <v>616.9689834427777</v>
      </c>
      <c r="L298">
        <v>66.909664508120841</v>
      </c>
      <c r="M298">
        <v>94.604082509347194</v>
      </c>
      <c r="N298">
        <v>4745.9706199440434</v>
      </c>
      <c r="O298">
        <v>99.508362505121568</v>
      </c>
      <c r="P298">
        <v>747.10598044893709</v>
      </c>
      <c r="Q298">
        <v>0</v>
      </c>
      <c r="R298">
        <v>0</v>
      </c>
      <c r="S298">
        <v>53.681170255471798</v>
      </c>
      <c r="T298">
        <v>321.35852156843612</v>
      </c>
      <c r="U298">
        <v>0</v>
      </c>
      <c r="V298">
        <v>339.99261975682083</v>
      </c>
      <c r="W298">
        <v>19.8540646412706</v>
      </c>
      <c r="X298">
        <v>20.029596863160695</v>
      </c>
      <c r="Y298">
        <v>13.5538284457797</v>
      </c>
      <c r="Z298">
        <v>223.53887373574594</v>
      </c>
      <c r="AA298">
        <v>1.8423867750099998</v>
      </c>
      <c r="AB298">
        <v>0</v>
      </c>
      <c r="AC298">
        <v>11.080862836859799</v>
      </c>
      <c r="AD298">
        <v>11.5244179095193</v>
      </c>
      <c r="AE298">
        <v>30.076716373108699</v>
      </c>
      <c r="AF298">
        <v>12.385280613623031</v>
      </c>
      <c r="AG298">
        <v>18.649549838206251</v>
      </c>
      <c r="AH298">
        <v>31.670634234946803</v>
      </c>
      <c r="AI298">
        <v>0</v>
      </c>
      <c r="AJ298">
        <v>0</v>
      </c>
      <c r="AK298">
        <v>44.283898436194143</v>
      </c>
      <c r="AL298">
        <v>10.381048304270191</v>
      </c>
      <c r="AM298">
        <v>4735.5895716397736</v>
      </c>
      <c r="AN298">
        <v>44.169456262058773</v>
      </c>
      <c r="AO298">
        <v>27.690738215642714</v>
      </c>
      <c r="AP298">
        <v>27.648168027420091</v>
      </c>
      <c r="AQ298">
        <v>0</v>
      </c>
      <c r="AR298">
        <v>0</v>
      </c>
      <c r="AS298">
        <v>375.88059836998411</v>
      </c>
      <c r="AT298">
        <v>0</v>
      </c>
      <c r="AU298">
        <v>0</v>
      </c>
      <c r="AV298">
        <v>4.3697609568342397</v>
      </c>
      <c r="AW298">
        <v>71.587057398702683</v>
      </c>
      <c r="AX298">
        <v>0</v>
      </c>
      <c r="AY298">
        <v>295.26856372341609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x14ac:dyDescent="0.2">
      <c r="A299" t="s">
        <v>1470</v>
      </c>
      <c r="B299" t="s">
        <v>1173</v>
      </c>
      <c r="C299" t="s">
        <v>784</v>
      </c>
      <c r="D299">
        <v>2017</v>
      </c>
      <c r="E299" t="s">
        <v>1174</v>
      </c>
      <c r="F299" t="s">
        <v>1175</v>
      </c>
      <c r="G299">
        <v>9437.7337707925999</v>
      </c>
      <c r="H299">
        <v>9412.3212033833006</v>
      </c>
      <c r="I299">
        <v>25.412567409875802</v>
      </c>
      <c r="J299">
        <v>362.13132006591758</v>
      </c>
      <c r="K299">
        <v>932.45885902217697</v>
      </c>
      <c r="L299">
        <v>58.547813364484803</v>
      </c>
      <c r="M299">
        <v>279.3904055303837</v>
      </c>
      <c r="N299">
        <v>5343.207434963937</v>
      </c>
      <c r="O299">
        <v>2436.5853704364008</v>
      </c>
      <c r="P299">
        <v>25.412567409875802</v>
      </c>
      <c r="Q299">
        <v>0</v>
      </c>
      <c r="R299">
        <v>0</v>
      </c>
      <c r="S299">
        <v>31.340140756240896</v>
      </c>
      <c r="T299">
        <v>330.79117930967669</v>
      </c>
      <c r="U299">
        <v>0</v>
      </c>
      <c r="V299">
        <v>591.51353232715746</v>
      </c>
      <c r="W299">
        <v>28.808885791631106</v>
      </c>
      <c r="X299">
        <v>17.228481770260601</v>
      </c>
      <c r="Y299">
        <v>20.860880524249598</v>
      </c>
      <c r="Z299">
        <v>274.04707860887817</v>
      </c>
      <c r="AA299">
        <v>0</v>
      </c>
      <c r="AB299">
        <v>0</v>
      </c>
      <c r="AC299">
        <v>23.181384719729103</v>
      </c>
      <c r="AD299">
        <v>0</v>
      </c>
      <c r="AE299">
        <v>35.3664286447557</v>
      </c>
      <c r="AF299">
        <v>0</v>
      </c>
      <c r="AG299">
        <v>34.707939626062199</v>
      </c>
      <c r="AH299">
        <v>65.66738408872672</v>
      </c>
      <c r="AI299">
        <v>3.4448234268394997</v>
      </c>
      <c r="AJ299">
        <v>24.2598673225535</v>
      </c>
      <c r="AK299">
        <v>151.31039106620179</v>
      </c>
      <c r="AL299">
        <v>0</v>
      </c>
      <c r="AM299">
        <v>5343.207434963937</v>
      </c>
      <c r="AN299">
        <v>2193.6262910145642</v>
      </c>
      <c r="AO299">
        <v>159.25925794053938</v>
      </c>
      <c r="AP299">
        <v>83.699821481296993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6.8622278878500005</v>
      </c>
      <c r="AW299">
        <v>0</v>
      </c>
      <c r="AX299">
        <v>0</v>
      </c>
      <c r="AY299">
        <v>18.550339522025801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2">
      <c r="A300" t="s">
        <v>1471</v>
      </c>
      <c r="B300" t="s">
        <v>1173</v>
      </c>
      <c r="C300" t="s">
        <v>401</v>
      </c>
      <c r="D300">
        <v>2017</v>
      </c>
      <c r="E300" t="s">
        <v>1174</v>
      </c>
      <c r="F300" t="s">
        <v>1175</v>
      </c>
      <c r="G300">
        <v>3138.7314534184998</v>
      </c>
      <c r="H300">
        <v>3101.4497218788883</v>
      </c>
      <c r="I300">
        <v>37.281731539365538</v>
      </c>
      <c r="J300">
        <v>131.17796384166417</v>
      </c>
      <c r="K300">
        <v>912.2904589105068</v>
      </c>
      <c r="L300">
        <v>28.337642418477913</v>
      </c>
      <c r="M300">
        <v>289.8880682625325</v>
      </c>
      <c r="N300">
        <v>1039.3079603125441</v>
      </c>
      <c r="O300">
        <v>700.44762813316333</v>
      </c>
      <c r="P300">
        <v>37.281731539365538</v>
      </c>
      <c r="Q300">
        <v>0</v>
      </c>
      <c r="R300">
        <v>0</v>
      </c>
      <c r="S300">
        <v>11.950487539453498</v>
      </c>
      <c r="T300">
        <v>119.22747630221066</v>
      </c>
      <c r="U300">
        <v>0</v>
      </c>
      <c r="V300">
        <v>691.11499259511777</v>
      </c>
      <c r="W300">
        <v>25.404246051198502</v>
      </c>
      <c r="X300">
        <v>12.240612818199001</v>
      </c>
      <c r="Y300">
        <v>26.864620420460682</v>
      </c>
      <c r="Z300">
        <v>156.66598702553085</v>
      </c>
      <c r="AA300">
        <v>0</v>
      </c>
      <c r="AB300">
        <v>0.54957356746699992</v>
      </c>
      <c r="AC300">
        <v>5.8868895532337007</v>
      </c>
      <c r="AD300">
        <v>0</v>
      </c>
      <c r="AE300">
        <v>21.901179297777212</v>
      </c>
      <c r="AF300">
        <v>0</v>
      </c>
      <c r="AG300">
        <v>52.852029285792959</v>
      </c>
      <c r="AH300">
        <v>129.23903118011793</v>
      </c>
      <c r="AI300">
        <v>5.1189708051764287</v>
      </c>
      <c r="AJ300">
        <v>35.278549595477202</v>
      </c>
      <c r="AK300">
        <v>67.399487395967995</v>
      </c>
      <c r="AL300">
        <v>0</v>
      </c>
      <c r="AM300">
        <v>1039.3079603125441</v>
      </c>
      <c r="AN300">
        <v>665.44900604384429</v>
      </c>
      <c r="AO300">
        <v>14.338141676300999</v>
      </c>
      <c r="AP300">
        <v>20.660480413018053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16.8776413131338</v>
      </c>
      <c r="AW300">
        <v>0</v>
      </c>
      <c r="AX300">
        <v>0</v>
      </c>
      <c r="AY300">
        <v>20.404090226231734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6" x14ac:dyDescent="0.2">
      <c r="A301" t="s">
        <v>1472</v>
      </c>
      <c r="B301" t="s">
        <v>1173</v>
      </c>
      <c r="C301" t="s">
        <v>710</v>
      </c>
      <c r="D301">
        <v>2017</v>
      </c>
      <c r="E301" t="s">
        <v>1174</v>
      </c>
      <c r="F301" t="s">
        <v>1175</v>
      </c>
      <c r="G301">
        <v>11836.9441447231</v>
      </c>
      <c r="H301">
        <v>11366.240249113329</v>
      </c>
      <c r="I301">
        <v>470.70389561019675</v>
      </c>
      <c r="J301">
        <v>303.97139804271427</v>
      </c>
      <c r="K301">
        <v>387.98133731667724</v>
      </c>
      <c r="L301">
        <v>57.120751176766831</v>
      </c>
      <c r="M301">
        <v>86.676387805201188</v>
      </c>
      <c r="N301">
        <v>9632.5354846887567</v>
      </c>
      <c r="O301">
        <v>897.95489008321158</v>
      </c>
      <c r="P301">
        <v>470.70389561019675</v>
      </c>
      <c r="Q301">
        <v>0</v>
      </c>
      <c r="R301">
        <v>0</v>
      </c>
      <c r="S301">
        <v>40.773443855758195</v>
      </c>
      <c r="T301">
        <v>263.19795418695605</v>
      </c>
      <c r="U301">
        <v>0</v>
      </c>
      <c r="V301">
        <v>274.7095199217809</v>
      </c>
      <c r="W301">
        <v>12.897226441560599</v>
      </c>
      <c r="X301">
        <v>3.6880530056899996</v>
      </c>
      <c r="Y301">
        <v>23.570617750105697</v>
      </c>
      <c r="Z301">
        <v>73.115920197540078</v>
      </c>
      <c r="AA301">
        <v>1.9908488617</v>
      </c>
      <c r="AB301">
        <v>0</v>
      </c>
      <c r="AC301">
        <v>5.4067315741564004</v>
      </c>
      <c r="AD301">
        <v>0</v>
      </c>
      <c r="AE301">
        <v>34.419123627095402</v>
      </c>
      <c r="AF301">
        <v>15.304047113815034</v>
      </c>
      <c r="AG301">
        <v>12.896105220137802</v>
      </c>
      <c r="AH301">
        <v>36.88835694671841</v>
      </c>
      <c r="AI301">
        <v>2.4474075030310001</v>
      </c>
      <c r="AJ301">
        <v>2.4635035512054801</v>
      </c>
      <c r="AK301">
        <v>31.981014584108493</v>
      </c>
      <c r="AL301">
        <v>0</v>
      </c>
      <c r="AM301">
        <v>9632.5354846887567</v>
      </c>
      <c r="AN301">
        <v>870.77303501380436</v>
      </c>
      <c r="AO301">
        <v>0</v>
      </c>
      <c r="AP301">
        <v>27.181855069407248</v>
      </c>
      <c r="AQ301">
        <v>0</v>
      </c>
      <c r="AR301">
        <v>0</v>
      </c>
      <c r="AS301">
        <v>186.64051872647266</v>
      </c>
      <c r="AT301">
        <v>0</v>
      </c>
      <c r="AU301">
        <v>0</v>
      </c>
      <c r="AV301">
        <v>0.46620558642580001</v>
      </c>
      <c r="AW301">
        <v>0</v>
      </c>
      <c r="AX301">
        <v>0</v>
      </c>
      <c r="AY301">
        <v>283.5971712972983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2">
      <c r="A302" t="s">
        <v>1473</v>
      </c>
      <c r="B302" t="s">
        <v>1173</v>
      </c>
      <c r="C302" t="s">
        <v>329</v>
      </c>
      <c r="D302">
        <v>2017</v>
      </c>
      <c r="E302" t="s">
        <v>1174</v>
      </c>
      <c r="F302" t="s">
        <v>1175</v>
      </c>
      <c r="G302">
        <v>17682.682061843301</v>
      </c>
      <c r="H302">
        <v>17572.407305876597</v>
      </c>
      <c r="I302">
        <v>110.27475353362644</v>
      </c>
      <c r="J302">
        <v>436.33222531055236</v>
      </c>
      <c r="K302">
        <v>629.18197240218001</v>
      </c>
      <c r="L302">
        <v>43.211530675869099</v>
      </c>
      <c r="M302">
        <v>218.83861105104816</v>
      </c>
      <c r="N302">
        <v>14277.948547957767</v>
      </c>
      <c r="O302">
        <v>1966.8944184791808</v>
      </c>
      <c r="P302">
        <v>110.27475353362644</v>
      </c>
      <c r="Q302">
        <v>0</v>
      </c>
      <c r="R302">
        <v>0</v>
      </c>
      <c r="S302">
        <v>8.1734806793790007</v>
      </c>
      <c r="T302">
        <v>428.15874463117336</v>
      </c>
      <c r="U302">
        <v>0</v>
      </c>
      <c r="V302">
        <v>462.93052602856289</v>
      </c>
      <c r="W302">
        <v>33.767558904526595</v>
      </c>
      <c r="X302">
        <v>4.9032733011919989</v>
      </c>
      <c r="Y302">
        <v>12.340091132129279</v>
      </c>
      <c r="Z302">
        <v>115.24052303576921</v>
      </c>
      <c r="AA302">
        <v>0</v>
      </c>
      <c r="AB302">
        <v>0</v>
      </c>
      <c r="AC302">
        <v>7.6674885611678008</v>
      </c>
      <c r="AD302">
        <v>2.8609441965139997</v>
      </c>
      <c r="AE302">
        <v>32.6830979181873</v>
      </c>
      <c r="AF302">
        <v>0</v>
      </c>
      <c r="AG302">
        <v>17.434148509033797</v>
      </c>
      <c r="AH302">
        <v>79.0925956193677</v>
      </c>
      <c r="AI302">
        <v>1.4036663565956999</v>
      </c>
      <c r="AJ302">
        <v>15.748480351894299</v>
      </c>
      <c r="AK302">
        <v>105.15972021415666</v>
      </c>
      <c r="AL302">
        <v>37.574541714110239</v>
      </c>
      <c r="AM302">
        <v>14240.374006243657</v>
      </c>
      <c r="AN302">
        <v>1834.7021848471002</v>
      </c>
      <c r="AO302">
        <v>97.028141553841877</v>
      </c>
      <c r="AP302">
        <v>35.164092078238902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3.9160973390899998</v>
      </c>
      <c r="AW302">
        <v>0</v>
      </c>
      <c r="AX302">
        <v>0</v>
      </c>
      <c r="AY302">
        <v>106.35865619453644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 x14ac:dyDescent="0.2">
      <c r="A303" t="s">
        <v>1474</v>
      </c>
      <c r="B303" t="s">
        <v>1173</v>
      </c>
      <c r="C303" t="s">
        <v>1001</v>
      </c>
      <c r="D303">
        <v>2017</v>
      </c>
      <c r="E303" t="s">
        <v>1174</v>
      </c>
      <c r="F303" t="s">
        <v>1175</v>
      </c>
      <c r="G303">
        <v>9073.6415062563992</v>
      </c>
      <c r="H303">
        <v>8075.6371234754752</v>
      </c>
      <c r="I303">
        <v>998.00438776445196</v>
      </c>
      <c r="J303">
        <v>424.58501490828729</v>
      </c>
      <c r="K303">
        <v>1889.9011391459644</v>
      </c>
      <c r="L303">
        <v>152.56474914439167</v>
      </c>
      <c r="M303">
        <v>258.83618327502978</v>
      </c>
      <c r="N303">
        <v>4819.1679960875936</v>
      </c>
      <c r="O303">
        <v>530.5820409142093</v>
      </c>
      <c r="P303">
        <v>225.4244501031383</v>
      </c>
      <c r="Q303">
        <v>772.57993766131369</v>
      </c>
      <c r="R303">
        <v>0</v>
      </c>
      <c r="S303">
        <v>0</v>
      </c>
      <c r="T303">
        <v>424.58501490828729</v>
      </c>
      <c r="U303">
        <v>0</v>
      </c>
      <c r="V303">
        <v>1084.1439887273159</v>
      </c>
      <c r="W303">
        <v>61.798383657817638</v>
      </c>
      <c r="X303">
        <v>24.857948538392392</v>
      </c>
      <c r="Y303">
        <v>56.34111539619601</v>
      </c>
      <c r="Z303">
        <v>662.75970282624257</v>
      </c>
      <c r="AA303">
        <v>0</v>
      </c>
      <c r="AB303">
        <v>0.82779719624600001</v>
      </c>
      <c r="AC303">
        <v>17.2054356249938</v>
      </c>
      <c r="AD303">
        <v>1.4452676462014198</v>
      </c>
      <c r="AE303">
        <v>133.08624867695045</v>
      </c>
      <c r="AF303">
        <v>0</v>
      </c>
      <c r="AG303">
        <v>54.272877224047015</v>
      </c>
      <c r="AH303">
        <v>131.35208231780231</v>
      </c>
      <c r="AI303">
        <v>6.05445749493098</v>
      </c>
      <c r="AJ303">
        <v>33.144461377818139</v>
      </c>
      <c r="AK303">
        <v>34.012304860431335</v>
      </c>
      <c r="AL303">
        <v>3846.5815448136091</v>
      </c>
      <c r="AM303">
        <v>972.58645127398404</v>
      </c>
      <c r="AN303">
        <v>99.808570204601693</v>
      </c>
      <c r="AO303">
        <v>425.88804157427961</v>
      </c>
      <c r="AP303">
        <v>4.8854291353279997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22.822666801244999</v>
      </c>
      <c r="AW303">
        <v>0</v>
      </c>
      <c r="AX303">
        <v>0</v>
      </c>
      <c r="AY303">
        <v>202.60178330189331</v>
      </c>
      <c r="AZ303">
        <v>0</v>
      </c>
      <c r="BA303">
        <v>0</v>
      </c>
      <c r="BB303">
        <v>0</v>
      </c>
      <c r="BC303">
        <v>772.57993766131369</v>
      </c>
      <c r="BD303">
        <v>0</v>
      </c>
    </row>
    <row r="304" spans="1:56" x14ac:dyDescent="0.2">
      <c r="A304" t="s">
        <v>1475</v>
      </c>
      <c r="B304" t="s">
        <v>1173</v>
      </c>
      <c r="C304" t="s">
        <v>631</v>
      </c>
      <c r="D304">
        <v>2017</v>
      </c>
      <c r="E304" t="s">
        <v>1174</v>
      </c>
      <c r="F304" t="s">
        <v>1175</v>
      </c>
      <c r="G304">
        <v>4937.8740898056994</v>
      </c>
      <c r="H304">
        <v>4718.7210399273899</v>
      </c>
      <c r="I304">
        <v>219.1530448952937</v>
      </c>
      <c r="J304">
        <v>206.0219111865101</v>
      </c>
      <c r="K304">
        <v>330.65547964950747</v>
      </c>
      <c r="L304">
        <v>49.698639602362661</v>
      </c>
      <c r="M304">
        <v>213.1848659408252</v>
      </c>
      <c r="N304">
        <v>3797.0401325165058</v>
      </c>
      <c r="O304">
        <v>122.12001103167849</v>
      </c>
      <c r="P304">
        <v>219.1530448952937</v>
      </c>
      <c r="Q304">
        <v>0</v>
      </c>
      <c r="R304">
        <v>0</v>
      </c>
      <c r="S304">
        <v>1.9975742259158</v>
      </c>
      <c r="T304">
        <v>204.0243369605943</v>
      </c>
      <c r="U304">
        <v>0</v>
      </c>
      <c r="V304">
        <v>218.19919040951348</v>
      </c>
      <c r="W304">
        <v>0</v>
      </c>
      <c r="X304">
        <v>31.721034702534606</v>
      </c>
      <c r="Y304">
        <v>6.0165998505900005</v>
      </c>
      <c r="Z304">
        <v>74.718654686869385</v>
      </c>
      <c r="AA304">
        <v>0</v>
      </c>
      <c r="AB304">
        <v>1.0893981274408</v>
      </c>
      <c r="AC304">
        <v>3.8953866545805003</v>
      </c>
      <c r="AD304">
        <v>4.0517285600618997</v>
      </c>
      <c r="AE304">
        <v>40.662126260279464</v>
      </c>
      <c r="AF304">
        <v>0</v>
      </c>
      <c r="AG304">
        <v>19.994377667116911</v>
      </c>
      <c r="AH304">
        <v>160.2019099608911</v>
      </c>
      <c r="AI304">
        <v>3.5523385062262998</v>
      </c>
      <c r="AJ304">
        <v>26.55511928136869</v>
      </c>
      <c r="AK304">
        <v>2.8811205252222005</v>
      </c>
      <c r="AL304">
        <v>270.56488822473824</v>
      </c>
      <c r="AM304">
        <v>3526.4752442917675</v>
      </c>
      <c r="AN304">
        <v>25.804867406110802</v>
      </c>
      <c r="AO304">
        <v>0</v>
      </c>
      <c r="AP304">
        <v>96.315143625567686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30.796960443043034</v>
      </c>
      <c r="AW304">
        <v>0</v>
      </c>
      <c r="AX304">
        <v>0</v>
      </c>
      <c r="AY304">
        <v>188.35608445225066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2">
      <c r="A305" t="s">
        <v>1476</v>
      </c>
      <c r="B305" t="s">
        <v>1173</v>
      </c>
      <c r="C305" t="s">
        <v>241</v>
      </c>
      <c r="D305">
        <v>2017</v>
      </c>
      <c r="E305" t="s">
        <v>1174</v>
      </c>
      <c r="F305" t="s">
        <v>1175</v>
      </c>
      <c r="G305">
        <v>26021.322331406998</v>
      </c>
      <c r="H305">
        <v>25809.175602602703</v>
      </c>
      <c r="I305">
        <v>212.1467288069818</v>
      </c>
      <c r="J305">
        <v>714.42457864375149</v>
      </c>
      <c r="K305">
        <v>1182.5894082938455</v>
      </c>
      <c r="L305">
        <v>139.15435858239039</v>
      </c>
      <c r="M305">
        <v>365.56805571405619</v>
      </c>
      <c r="N305">
        <v>21159.115296449112</v>
      </c>
      <c r="O305">
        <v>2248.3239049195467</v>
      </c>
      <c r="P305">
        <v>212.1467288069818</v>
      </c>
      <c r="Q305">
        <v>0</v>
      </c>
      <c r="R305">
        <v>0</v>
      </c>
      <c r="S305">
        <v>18.587006640633316</v>
      </c>
      <c r="T305">
        <v>695.83757200311823</v>
      </c>
      <c r="U305">
        <v>0</v>
      </c>
      <c r="V305">
        <v>771.08539718782617</v>
      </c>
      <c r="W305">
        <v>32.4026929940364</v>
      </c>
      <c r="X305">
        <v>38.185263575747904</v>
      </c>
      <c r="Y305">
        <v>50.609432545125692</v>
      </c>
      <c r="Z305">
        <v>290.3066219911093</v>
      </c>
      <c r="AA305">
        <v>0</v>
      </c>
      <c r="AB305">
        <v>2.1599958425084003</v>
      </c>
      <c r="AC305">
        <v>23.227907983458298</v>
      </c>
      <c r="AD305">
        <v>0</v>
      </c>
      <c r="AE305">
        <v>113.7664547564237</v>
      </c>
      <c r="AF305">
        <v>0</v>
      </c>
      <c r="AG305">
        <v>69.3700327848711</v>
      </c>
      <c r="AH305">
        <v>126.27663068196068</v>
      </c>
      <c r="AI305">
        <v>8.4592073904056004</v>
      </c>
      <c r="AJ305">
        <v>19.946178527132805</v>
      </c>
      <c r="AK305">
        <v>141.51600632968601</v>
      </c>
      <c r="AL305">
        <v>0</v>
      </c>
      <c r="AM305">
        <v>21159.115296449112</v>
      </c>
      <c r="AN305">
        <v>2002.8645616089693</v>
      </c>
      <c r="AO305">
        <v>58.182226853279211</v>
      </c>
      <c r="AP305">
        <v>187.27711645729826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26.972816365534005</v>
      </c>
      <c r="AW305">
        <v>0</v>
      </c>
      <c r="AX305">
        <v>0</v>
      </c>
      <c r="AY305">
        <v>185.17391244144778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 x14ac:dyDescent="0.2">
      <c r="A306" t="s">
        <v>1477</v>
      </c>
      <c r="B306" t="s">
        <v>1173</v>
      </c>
      <c r="C306" t="s">
        <v>286</v>
      </c>
      <c r="D306">
        <v>2017</v>
      </c>
      <c r="E306" t="s">
        <v>1174</v>
      </c>
      <c r="F306" t="s">
        <v>1175</v>
      </c>
      <c r="G306">
        <v>28642.404247562401</v>
      </c>
      <c r="H306">
        <v>28353.268988271175</v>
      </c>
      <c r="I306">
        <v>289.13525916256651</v>
      </c>
      <c r="J306">
        <v>667.30612812478853</v>
      </c>
      <c r="K306">
        <v>885.61036417042897</v>
      </c>
      <c r="L306">
        <v>75.831804900169828</v>
      </c>
      <c r="M306">
        <v>491.02433165602707</v>
      </c>
      <c r="N306">
        <v>22666.500350547471</v>
      </c>
      <c r="O306">
        <v>3566.9960088722919</v>
      </c>
      <c r="P306">
        <v>289.13525916256651</v>
      </c>
      <c r="Q306">
        <v>0</v>
      </c>
      <c r="R306">
        <v>0</v>
      </c>
      <c r="S306">
        <v>17.473131616045443</v>
      </c>
      <c r="T306">
        <v>649.83299650874312</v>
      </c>
      <c r="U306">
        <v>0</v>
      </c>
      <c r="V306">
        <v>622.23819450120948</v>
      </c>
      <c r="W306">
        <v>17.14529863398436</v>
      </c>
      <c r="X306">
        <v>27.625118057812902</v>
      </c>
      <c r="Y306">
        <v>15.739100818019701</v>
      </c>
      <c r="Z306">
        <v>202.86265215940261</v>
      </c>
      <c r="AA306">
        <v>35.162844561580499</v>
      </c>
      <c r="AB306">
        <v>0</v>
      </c>
      <c r="AC306">
        <v>23.151194499804301</v>
      </c>
      <c r="AD306">
        <v>5.9297156635916002</v>
      </c>
      <c r="AE306">
        <v>9.369660415712799</v>
      </c>
      <c r="AF306">
        <v>2.2183897594806297</v>
      </c>
      <c r="AG306">
        <v>37.208275195072503</v>
      </c>
      <c r="AH306">
        <v>220.1973663597162</v>
      </c>
      <c r="AI306">
        <v>2.8735936889460003</v>
      </c>
      <c r="AJ306">
        <v>44.942557360432929</v>
      </c>
      <c r="AK306">
        <v>185.80253905185941</v>
      </c>
      <c r="AL306">
        <v>2.760027757359</v>
      </c>
      <c r="AM306">
        <v>22663.740322790112</v>
      </c>
      <c r="AN306">
        <v>3448.2676261990564</v>
      </c>
      <c r="AO306">
        <v>50.943573664855286</v>
      </c>
      <c r="AP306">
        <v>67.78480900838052</v>
      </c>
      <c r="AQ306">
        <v>0</v>
      </c>
      <c r="AR306">
        <v>0</v>
      </c>
      <c r="AS306">
        <v>63.984941396021611</v>
      </c>
      <c r="AT306">
        <v>0</v>
      </c>
      <c r="AU306">
        <v>0</v>
      </c>
      <c r="AV306">
        <v>36.753538391743511</v>
      </c>
      <c r="AW306">
        <v>11.6173999413773</v>
      </c>
      <c r="AX306">
        <v>0</v>
      </c>
      <c r="AY306">
        <v>176.77937943342405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6" x14ac:dyDescent="0.2">
      <c r="A307" t="s">
        <v>1478</v>
      </c>
      <c r="B307" t="s">
        <v>1173</v>
      </c>
      <c r="C307" t="s">
        <v>826</v>
      </c>
      <c r="D307">
        <v>2017</v>
      </c>
      <c r="E307" t="s">
        <v>1174</v>
      </c>
      <c r="F307" t="s">
        <v>1175</v>
      </c>
      <c r="G307">
        <v>8058.4402071122004</v>
      </c>
      <c r="H307">
        <v>7861.4331958728108</v>
      </c>
      <c r="I307">
        <v>197.00701123935852</v>
      </c>
      <c r="J307">
        <v>493.57473393964602</v>
      </c>
      <c r="K307">
        <v>3225.1391731362282</v>
      </c>
      <c r="L307">
        <v>250.51428451648272</v>
      </c>
      <c r="M307">
        <v>457.24140406917644</v>
      </c>
      <c r="N307">
        <v>3038.2369830481189</v>
      </c>
      <c r="O307">
        <v>396.72661716315793</v>
      </c>
      <c r="P307">
        <v>197.00701123935852</v>
      </c>
      <c r="Q307">
        <v>0</v>
      </c>
      <c r="R307">
        <v>0</v>
      </c>
      <c r="S307">
        <v>107.92560869401477</v>
      </c>
      <c r="T307">
        <v>385.64912524563124</v>
      </c>
      <c r="U307">
        <v>0</v>
      </c>
      <c r="V307">
        <v>1758.7101866184414</v>
      </c>
      <c r="W307">
        <v>83.085195636084947</v>
      </c>
      <c r="X307">
        <v>29.300745167369094</v>
      </c>
      <c r="Y307">
        <v>118.02752159378012</v>
      </c>
      <c r="Z307">
        <v>1236.0155241205528</v>
      </c>
      <c r="AA307">
        <v>0</v>
      </c>
      <c r="AB307">
        <v>0</v>
      </c>
      <c r="AC307">
        <v>32.244096976031805</v>
      </c>
      <c r="AD307">
        <v>57.62918306127699</v>
      </c>
      <c r="AE307">
        <v>160.64100447917392</v>
      </c>
      <c r="AF307">
        <v>0</v>
      </c>
      <c r="AG307">
        <v>241.69681454381123</v>
      </c>
      <c r="AH307">
        <v>189.43246794266909</v>
      </c>
      <c r="AI307">
        <v>14.027569572329948</v>
      </c>
      <c r="AJ307">
        <v>8.8839207076100006</v>
      </c>
      <c r="AK307">
        <v>3.2006313027561997</v>
      </c>
      <c r="AL307">
        <v>0</v>
      </c>
      <c r="AM307">
        <v>3038.2369830481189</v>
      </c>
      <c r="AN307">
        <v>396.72661716315793</v>
      </c>
      <c r="AO307">
        <v>0</v>
      </c>
      <c r="AP307">
        <v>0</v>
      </c>
      <c r="AQ307">
        <v>0</v>
      </c>
      <c r="AR307">
        <v>0</v>
      </c>
      <c r="AS307">
        <v>48.185941119744491</v>
      </c>
      <c r="AT307">
        <v>0</v>
      </c>
      <c r="AU307">
        <v>0</v>
      </c>
      <c r="AV307">
        <v>12.780851515178108</v>
      </c>
      <c r="AW307">
        <v>18.345591032810002</v>
      </c>
      <c r="AX307">
        <v>0</v>
      </c>
      <c r="AY307">
        <v>117.69462757162592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 x14ac:dyDescent="0.2">
      <c r="A308" t="s">
        <v>1479</v>
      </c>
      <c r="B308" t="s">
        <v>1173</v>
      </c>
      <c r="C308" t="s">
        <v>531</v>
      </c>
      <c r="D308">
        <v>2017</v>
      </c>
      <c r="E308" t="s">
        <v>1174</v>
      </c>
      <c r="F308" t="s">
        <v>1175</v>
      </c>
      <c r="G308">
        <v>7223.9335910031004</v>
      </c>
      <c r="H308">
        <v>6313.4650204362833</v>
      </c>
      <c r="I308">
        <v>910.46857056773172</v>
      </c>
      <c r="J308">
        <v>244.74575655048167</v>
      </c>
      <c r="K308">
        <v>491.75312622309411</v>
      </c>
      <c r="L308">
        <v>35.899512071622098</v>
      </c>
      <c r="M308">
        <v>116.58353243406873</v>
      </c>
      <c r="N308">
        <v>5380.373045707167</v>
      </c>
      <c r="O308">
        <v>44.110047449850121</v>
      </c>
      <c r="P308">
        <v>910.46857056773172</v>
      </c>
      <c r="Q308">
        <v>0</v>
      </c>
      <c r="R308">
        <v>0</v>
      </c>
      <c r="S308">
        <v>19.311274514615075</v>
      </c>
      <c r="T308">
        <v>225.43448203586661</v>
      </c>
      <c r="U308">
        <v>0</v>
      </c>
      <c r="V308">
        <v>388.04021009276801</v>
      </c>
      <c r="W308">
        <v>9.8710173436014994</v>
      </c>
      <c r="X308">
        <v>11.569571036396299</v>
      </c>
      <c r="Y308">
        <v>4.33322712918</v>
      </c>
      <c r="Z308">
        <v>77.939100621148299</v>
      </c>
      <c r="AA308">
        <v>0</v>
      </c>
      <c r="AB308">
        <v>0</v>
      </c>
      <c r="AC308">
        <v>2.8259341463399998</v>
      </c>
      <c r="AD308">
        <v>0</v>
      </c>
      <c r="AE308">
        <v>33.073577925282102</v>
      </c>
      <c r="AF308">
        <v>0</v>
      </c>
      <c r="AG308">
        <v>9.9914205416454003</v>
      </c>
      <c r="AH308">
        <v>45.816997523558101</v>
      </c>
      <c r="AI308">
        <v>7.0895275647938991</v>
      </c>
      <c r="AJ308">
        <v>18.728103731274501</v>
      </c>
      <c r="AK308">
        <v>34.957483072796833</v>
      </c>
      <c r="AL308">
        <v>163.83271118968293</v>
      </c>
      <c r="AM308">
        <v>5216.5403345174836</v>
      </c>
      <c r="AN308">
        <v>33.80342348413172</v>
      </c>
      <c r="AO308">
        <v>0</v>
      </c>
      <c r="AP308">
        <v>10.3066239657184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16.374180972430306</v>
      </c>
      <c r="AW308">
        <v>0</v>
      </c>
      <c r="AX308">
        <v>0</v>
      </c>
      <c r="AY308">
        <v>894.09438959530144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x14ac:dyDescent="0.2">
      <c r="A309" t="s">
        <v>1480</v>
      </c>
      <c r="B309" t="s">
        <v>1173</v>
      </c>
      <c r="C309" t="s">
        <v>315</v>
      </c>
      <c r="D309">
        <v>2017</v>
      </c>
      <c r="E309" t="s">
        <v>1174</v>
      </c>
      <c r="F309" t="s">
        <v>1175</v>
      </c>
      <c r="G309">
        <v>8752.7004049310999</v>
      </c>
      <c r="H309">
        <v>8459.7145207571466</v>
      </c>
      <c r="I309">
        <v>292.98588417553208</v>
      </c>
      <c r="J309">
        <v>243.82270325596033</v>
      </c>
      <c r="K309">
        <v>573.73250839024115</v>
      </c>
      <c r="L309">
        <v>23.000769248938404</v>
      </c>
      <c r="M309">
        <v>119.86386807857183</v>
      </c>
      <c r="N309">
        <v>6990.8518525795753</v>
      </c>
      <c r="O309">
        <v>508.44281920386032</v>
      </c>
      <c r="P309">
        <v>292.98588417553208</v>
      </c>
      <c r="Q309">
        <v>0</v>
      </c>
      <c r="R309">
        <v>0</v>
      </c>
      <c r="S309">
        <v>14.315213709163203</v>
      </c>
      <c r="T309">
        <v>229.50748954679713</v>
      </c>
      <c r="U309">
        <v>0</v>
      </c>
      <c r="V309">
        <v>460.40083132301328</v>
      </c>
      <c r="W309">
        <v>9.7729887218116005</v>
      </c>
      <c r="X309">
        <v>7.9324404341479005</v>
      </c>
      <c r="Y309">
        <v>22.798623932912999</v>
      </c>
      <c r="Z309">
        <v>72.827623978355348</v>
      </c>
      <c r="AA309">
        <v>1.5006085893259999</v>
      </c>
      <c r="AB309">
        <v>0.77117888224199993</v>
      </c>
      <c r="AC309">
        <v>10.388372585068801</v>
      </c>
      <c r="AD309">
        <v>10.340609192301601</v>
      </c>
      <c r="AE309">
        <v>0</v>
      </c>
      <c r="AF309">
        <v>0</v>
      </c>
      <c r="AG309">
        <v>27.9375973586369</v>
      </c>
      <c r="AH309">
        <v>54.960640970944326</v>
      </c>
      <c r="AI309">
        <v>2.665234791749</v>
      </c>
      <c r="AJ309">
        <v>18.866879801371898</v>
      </c>
      <c r="AK309">
        <v>15.433515155869699</v>
      </c>
      <c r="AL309">
        <v>2.826228430399</v>
      </c>
      <c r="AM309">
        <v>6988.0256241491761</v>
      </c>
      <c r="AN309">
        <v>92.232614376224149</v>
      </c>
      <c r="AO309">
        <v>0</v>
      </c>
      <c r="AP309">
        <v>416.21020482763618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2.3667840805419997</v>
      </c>
      <c r="AW309">
        <v>0</v>
      </c>
      <c r="AX309">
        <v>0</v>
      </c>
      <c r="AY309">
        <v>290.61910009499007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 x14ac:dyDescent="0.2">
      <c r="A310" t="s">
        <v>1481</v>
      </c>
      <c r="B310" t="s">
        <v>1173</v>
      </c>
      <c r="C310" t="s">
        <v>1053</v>
      </c>
      <c r="D310">
        <v>2017</v>
      </c>
      <c r="E310" t="s">
        <v>1174</v>
      </c>
      <c r="F310" t="s">
        <v>1175</v>
      </c>
      <c r="G310">
        <v>6405.0037362186004</v>
      </c>
      <c r="H310">
        <v>5795.6869085982225</v>
      </c>
      <c r="I310">
        <v>609.3168276183427</v>
      </c>
      <c r="J310">
        <v>345.39398994502221</v>
      </c>
      <c r="K310">
        <v>789.35699339191922</v>
      </c>
      <c r="L310">
        <v>125.76435136470218</v>
      </c>
      <c r="M310">
        <v>262.3000812369915</v>
      </c>
      <c r="N310">
        <v>4103.5120228069154</v>
      </c>
      <c r="O310">
        <v>169.35946985267242</v>
      </c>
      <c r="P310">
        <v>609.3168276183427</v>
      </c>
      <c r="Q310">
        <v>0</v>
      </c>
      <c r="R310">
        <v>0</v>
      </c>
      <c r="S310">
        <v>67.416290107874602</v>
      </c>
      <c r="T310">
        <v>277.97769983714761</v>
      </c>
      <c r="U310">
        <v>0</v>
      </c>
      <c r="V310">
        <v>521.07849260960268</v>
      </c>
      <c r="W310">
        <v>27.195241407933697</v>
      </c>
      <c r="X310">
        <v>6.6742729517301997</v>
      </c>
      <c r="Y310">
        <v>4.4268846106352004</v>
      </c>
      <c r="Z310">
        <v>229.98210181201742</v>
      </c>
      <c r="AA310">
        <v>0</v>
      </c>
      <c r="AB310">
        <v>1.0236242810242999</v>
      </c>
      <c r="AC310">
        <v>9.1552669207578017</v>
      </c>
      <c r="AD310">
        <v>0</v>
      </c>
      <c r="AE310">
        <v>107.10703354746187</v>
      </c>
      <c r="AF310">
        <v>8.4784266154581989</v>
      </c>
      <c r="AG310">
        <v>50.307093300940387</v>
      </c>
      <c r="AH310">
        <v>104.61162763556668</v>
      </c>
      <c r="AI310">
        <v>4.815533006611501</v>
      </c>
      <c r="AJ310">
        <v>52.339861044774516</v>
      </c>
      <c r="AK310">
        <v>50.225966249098398</v>
      </c>
      <c r="AL310">
        <v>410.45411334954173</v>
      </c>
      <c r="AM310">
        <v>3693.0579094573736</v>
      </c>
      <c r="AN310">
        <v>91.38361657085413</v>
      </c>
      <c r="AO310">
        <v>0</v>
      </c>
      <c r="AP310">
        <v>77.975853281818274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6.4264127953554997</v>
      </c>
      <c r="AW310">
        <v>0</v>
      </c>
      <c r="AX310">
        <v>0</v>
      </c>
      <c r="AY310">
        <v>602.89041482298717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2">
      <c r="A311" t="s">
        <v>1482</v>
      </c>
      <c r="B311" t="s">
        <v>1173</v>
      </c>
      <c r="C311" t="s">
        <v>750</v>
      </c>
      <c r="D311">
        <v>2017</v>
      </c>
      <c r="E311" t="s">
        <v>1174</v>
      </c>
      <c r="F311" t="s">
        <v>1175</v>
      </c>
      <c r="G311">
        <v>16135.2545979229</v>
      </c>
      <c r="H311">
        <v>15935.150731342792</v>
      </c>
      <c r="I311">
        <v>200.1038665777842</v>
      </c>
      <c r="J311">
        <v>480.74901894311944</v>
      </c>
      <c r="K311">
        <v>1172.3762622621814</v>
      </c>
      <c r="L311">
        <v>75.701065751011797</v>
      </c>
      <c r="M311">
        <v>354.03186163514545</v>
      </c>
      <c r="N311">
        <v>11227.331713860942</v>
      </c>
      <c r="O311">
        <v>2624.9608088903919</v>
      </c>
      <c r="P311">
        <v>200.1038665777842</v>
      </c>
      <c r="Q311">
        <v>0</v>
      </c>
      <c r="R311">
        <v>0</v>
      </c>
      <c r="S311">
        <v>0</v>
      </c>
      <c r="T311">
        <v>480.74901894311944</v>
      </c>
      <c r="U311">
        <v>0</v>
      </c>
      <c r="V311">
        <v>809.47235943650048</v>
      </c>
      <c r="W311">
        <v>21.164639249422205</v>
      </c>
      <c r="X311">
        <v>16.881244472742601</v>
      </c>
      <c r="Y311">
        <v>26.979731382558093</v>
      </c>
      <c r="Z311">
        <v>297.87828772095799</v>
      </c>
      <c r="AA311">
        <v>3.3403156177479794</v>
      </c>
      <c r="AB311">
        <v>1.9330158276941001</v>
      </c>
      <c r="AC311">
        <v>7.8922217726402053</v>
      </c>
      <c r="AD311">
        <v>18.086192267658799</v>
      </c>
      <c r="AE311">
        <v>41.30600801713522</v>
      </c>
      <c r="AF311">
        <v>3.1433122481355</v>
      </c>
      <c r="AG311">
        <v>19.926589225430302</v>
      </c>
      <c r="AH311">
        <v>134.89474043450954</v>
      </c>
      <c r="AI311">
        <v>0.74331169751880011</v>
      </c>
      <c r="AJ311">
        <v>15.7143542890337</v>
      </c>
      <c r="AK311">
        <v>182.7528659886531</v>
      </c>
      <c r="AL311">
        <v>473.04150989078664</v>
      </c>
      <c r="AM311">
        <v>10754.290203970155</v>
      </c>
      <c r="AN311">
        <v>2557.2725488544579</v>
      </c>
      <c r="AO311">
        <v>25.058985664128599</v>
      </c>
      <c r="AP311">
        <v>42.629274371805494</v>
      </c>
      <c r="AQ311">
        <v>0</v>
      </c>
      <c r="AR311">
        <v>0</v>
      </c>
      <c r="AS311">
        <v>115.6202032215019</v>
      </c>
      <c r="AT311">
        <v>0</v>
      </c>
      <c r="AU311">
        <v>0</v>
      </c>
      <c r="AV311">
        <v>10.880490010725998</v>
      </c>
      <c r="AW311">
        <v>7.9183928210686005</v>
      </c>
      <c r="AX311">
        <v>0</v>
      </c>
      <c r="AY311">
        <v>65.684780524487707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6" x14ac:dyDescent="0.2">
      <c r="A312" t="s">
        <v>1483</v>
      </c>
      <c r="B312" t="s">
        <v>1173</v>
      </c>
      <c r="C312" t="s">
        <v>702</v>
      </c>
      <c r="D312">
        <v>2017</v>
      </c>
      <c r="E312" t="s">
        <v>1174</v>
      </c>
      <c r="F312" t="s">
        <v>1175</v>
      </c>
      <c r="G312">
        <v>29595.972883784802</v>
      </c>
      <c r="H312">
        <v>22657.229571942244</v>
      </c>
      <c r="I312">
        <v>6938.7433118470999</v>
      </c>
      <c r="J312">
        <v>652.74882196757403</v>
      </c>
      <c r="K312">
        <v>1375.667721581221</v>
      </c>
      <c r="L312">
        <v>327.27985501790283</v>
      </c>
      <c r="M312">
        <v>296.58575901022215</v>
      </c>
      <c r="N312">
        <v>18331.891870372525</v>
      </c>
      <c r="O312">
        <v>1673.0555439927994</v>
      </c>
      <c r="P312">
        <v>1392.1653863008721</v>
      </c>
      <c r="Q312">
        <v>5546.5779255462276</v>
      </c>
      <c r="R312">
        <v>0</v>
      </c>
      <c r="S312">
        <v>50.407529462039832</v>
      </c>
      <c r="T312">
        <v>584.56500509166574</v>
      </c>
      <c r="U312">
        <v>17.776287413868403</v>
      </c>
      <c r="V312">
        <v>981.83588369595293</v>
      </c>
      <c r="W312">
        <v>32.434290571599071</v>
      </c>
      <c r="X312">
        <v>24.755592623225454</v>
      </c>
      <c r="Y312">
        <v>79.088124468878718</v>
      </c>
      <c r="Z312">
        <v>257.55383022156474</v>
      </c>
      <c r="AA312">
        <v>7.2436221968427006</v>
      </c>
      <c r="AB312">
        <v>1.4358240790050001</v>
      </c>
      <c r="AC312">
        <v>32.227774646744606</v>
      </c>
      <c r="AD312">
        <v>75.249533159287523</v>
      </c>
      <c r="AE312">
        <v>190.06791816849898</v>
      </c>
      <c r="AF312">
        <v>21.055182767523998</v>
      </c>
      <c r="AG312">
        <v>116.46073881399927</v>
      </c>
      <c r="AH312">
        <v>91.492568674991901</v>
      </c>
      <c r="AI312">
        <v>10.179261230266397</v>
      </c>
      <c r="AJ312">
        <v>47.965090805253503</v>
      </c>
      <c r="AK312">
        <v>30.488099485711089</v>
      </c>
      <c r="AL312">
        <v>0</v>
      </c>
      <c r="AM312">
        <v>18331.891870372525</v>
      </c>
      <c r="AN312">
        <v>756.83198543595211</v>
      </c>
      <c r="AO312">
        <v>0</v>
      </c>
      <c r="AP312">
        <v>916.22355855684725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67.6487227353675</v>
      </c>
      <c r="AW312">
        <v>0</v>
      </c>
      <c r="AX312">
        <v>0</v>
      </c>
      <c r="AY312">
        <v>1324.5166635655046</v>
      </c>
      <c r="AZ312">
        <v>5546.5779255462276</v>
      </c>
      <c r="BA312">
        <v>0</v>
      </c>
      <c r="BB312">
        <v>0</v>
      </c>
      <c r="BC312">
        <v>0</v>
      </c>
      <c r="BD312">
        <v>0</v>
      </c>
    </row>
    <row r="313" spans="1:56" x14ac:dyDescent="0.2">
      <c r="A313" t="s">
        <v>1484</v>
      </c>
      <c r="B313" t="s">
        <v>1173</v>
      </c>
      <c r="C313" t="s">
        <v>1061</v>
      </c>
      <c r="D313">
        <v>2017</v>
      </c>
      <c r="E313" t="s">
        <v>1174</v>
      </c>
      <c r="F313" t="s">
        <v>1175</v>
      </c>
      <c r="G313">
        <v>8785.6892786064</v>
      </c>
      <c r="H313">
        <v>8235.5564280674444</v>
      </c>
      <c r="I313">
        <v>550.13285053738514</v>
      </c>
      <c r="J313">
        <v>205.8234899841145</v>
      </c>
      <c r="K313">
        <v>642.51536745282567</v>
      </c>
      <c r="L313">
        <v>38.830786636942456</v>
      </c>
      <c r="M313">
        <v>89.754639526271177</v>
      </c>
      <c r="N313">
        <v>6765.1264291210236</v>
      </c>
      <c r="O313">
        <v>493.50571534626761</v>
      </c>
      <c r="P313">
        <v>550.13285053738514</v>
      </c>
      <c r="Q313">
        <v>0</v>
      </c>
      <c r="R313">
        <v>0</v>
      </c>
      <c r="S313">
        <v>0</v>
      </c>
      <c r="T313">
        <v>205.8234899841145</v>
      </c>
      <c r="U313">
        <v>0</v>
      </c>
      <c r="V313">
        <v>303.36805396321029</v>
      </c>
      <c r="W313">
        <v>11.3099971835247</v>
      </c>
      <c r="X313">
        <v>11.961683141081799</v>
      </c>
      <c r="Y313">
        <v>14.500699786056803</v>
      </c>
      <c r="Z313">
        <v>301.37493337895205</v>
      </c>
      <c r="AA313">
        <v>0</v>
      </c>
      <c r="AB313">
        <v>0</v>
      </c>
      <c r="AC313">
        <v>6.4627823710838994</v>
      </c>
      <c r="AD313">
        <v>12.352648959002998</v>
      </c>
      <c r="AE313">
        <v>17.056955896144295</v>
      </c>
      <c r="AF313">
        <v>2.9583994107112597</v>
      </c>
      <c r="AG313">
        <v>33.153898027515694</v>
      </c>
      <c r="AH313">
        <v>37.705063508528177</v>
      </c>
      <c r="AI313">
        <v>9.0091600035693009</v>
      </c>
      <c r="AJ313">
        <v>3.4753307364337003</v>
      </c>
      <c r="AK313">
        <v>6.4111872502242999</v>
      </c>
      <c r="AL313">
        <v>0</v>
      </c>
      <c r="AM313">
        <v>6765.1264291210236</v>
      </c>
      <c r="AN313">
        <v>117.69026698762157</v>
      </c>
      <c r="AO313">
        <v>22.149613781022101</v>
      </c>
      <c r="AP313">
        <v>353.66583457762391</v>
      </c>
      <c r="AQ313">
        <v>0</v>
      </c>
      <c r="AR313">
        <v>0</v>
      </c>
      <c r="AS313">
        <v>0</v>
      </c>
      <c r="AT313">
        <v>80.122619454992545</v>
      </c>
      <c r="AU313">
        <v>0</v>
      </c>
      <c r="AV313">
        <v>19.52041695647959</v>
      </c>
      <c r="AW313">
        <v>24.212841137270001</v>
      </c>
      <c r="AX313">
        <v>0</v>
      </c>
      <c r="AY313">
        <v>426.27697298864302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x14ac:dyDescent="0.2">
      <c r="A314" t="s">
        <v>1485</v>
      </c>
      <c r="B314" t="s">
        <v>1173</v>
      </c>
      <c r="C314" t="s">
        <v>866</v>
      </c>
      <c r="D314">
        <v>2017</v>
      </c>
      <c r="E314" t="s">
        <v>1174</v>
      </c>
      <c r="F314" t="s">
        <v>1175</v>
      </c>
      <c r="G314">
        <v>90785.89801592291</v>
      </c>
      <c r="H314">
        <v>52269.709907260883</v>
      </c>
      <c r="I314">
        <v>38516.188108659859</v>
      </c>
      <c r="J314">
        <v>1381.5132565005836</v>
      </c>
      <c r="K314">
        <v>2503.4198123763472</v>
      </c>
      <c r="L314">
        <v>329.68753377534824</v>
      </c>
      <c r="M314">
        <v>861.29184267379799</v>
      </c>
      <c r="N314">
        <v>45842.838755790232</v>
      </c>
      <c r="O314">
        <v>1350.9587061445786</v>
      </c>
      <c r="P314">
        <v>37873.60763408753</v>
      </c>
      <c r="Q314">
        <v>642.58047457232897</v>
      </c>
      <c r="R314">
        <v>0</v>
      </c>
      <c r="S314">
        <v>86.278818507362232</v>
      </c>
      <c r="T314">
        <v>1295.2344379932213</v>
      </c>
      <c r="U314">
        <v>0</v>
      </c>
      <c r="V314">
        <v>1655.3314872182077</v>
      </c>
      <c r="W314">
        <v>89.857542866096182</v>
      </c>
      <c r="X314">
        <v>29.470063433600707</v>
      </c>
      <c r="Y314">
        <v>87.853759564066905</v>
      </c>
      <c r="Z314">
        <v>640.90695929437595</v>
      </c>
      <c r="AA314">
        <v>5.9027111540731996</v>
      </c>
      <c r="AB314">
        <v>0.99425809372500007</v>
      </c>
      <c r="AC314">
        <v>37.26120982990502</v>
      </c>
      <c r="AD314">
        <v>6.0197819542277005</v>
      </c>
      <c r="AE314">
        <v>78.757192553179209</v>
      </c>
      <c r="AF314">
        <v>200.75238019023814</v>
      </c>
      <c r="AG314">
        <v>200.76063782721067</v>
      </c>
      <c r="AH314">
        <v>203.62984816506366</v>
      </c>
      <c r="AI314">
        <v>15.978170984010504</v>
      </c>
      <c r="AJ314">
        <v>125.44017748552214</v>
      </c>
      <c r="AK314">
        <v>315.48300821199109</v>
      </c>
      <c r="AL314">
        <v>9.425901661291201</v>
      </c>
      <c r="AM314">
        <v>45833.412854128939</v>
      </c>
      <c r="AN314">
        <v>145.84684510345983</v>
      </c>
      <c r="AO314">
        <v>42.402839750315351</v>
      </c>
      <c r="AP314">
        <v>1162.7090212908033</v>
      </c>
      <c r="AQ314">
        <v>32636.809642626482</v>
      </c>
      <c r="AR314">
        <v>0</v>
      </c>
      <c r="AS314">
        <v>0</v>
      </c>
      <c r="AT314">
        <v>0</v>
      </c>
      <c r="AU314">
        <v>0</v>
      </c>
      <c r="AV314">
        <v>139.72047267812243</v>
      </c>
      <c r="AW314">
        <v>0</v>
      </c>
      <c r="AX314">
        <v>0</v>
      </c>
      <c r="AY314">
        <v>5097.0775187829304</v>
      </c>
      <c r="AZ314">
        <v>642.58047457232897</v>
      </c>
      <c r="BA314">
        <v>0</v>
      </c>
      <c r="BB314">
        <v>0</v>
      </c>
      <c r="BC314">
        <v>0</v>
      </c>
      <c r="BD314">
        <v>0</v>
      </c>
    </row>
    <row r="315" spans="1:56" x14ac:dyDescent="0.2">
      <c r="A315" t="s">
        <v>1486</v>
      </c>
      <c r="B315" t="s">
        <v>1173</v>
      </c>
      <c r="C315" t="s">
        <v>265</v>
      </c>
      <c r="D315">
        <v>2017</v>
      </c>
      <c r="E315" t="s">
        <v>1174</v>
      </c>
      <c r="F315" t="s">
        <v>1175</v>
      </c>
      <c r="G315">
        <v>8863.9500128854997</v>
      </c>
      <c r="H315">
        <v>7540.3604197481209</v>
      </c>
      <c r="I315">
        <v>1323.5895931341704</v>
      </c>
      <c r="J315">
        <v>309.31675298481701</v>
      </c>
      <c r="K315">
        <v>600.65406444988639</v>
      </c>
      <c r="L315">
        <v>46.849752793549257</v>
      </c>
      <c r="M315">
        <v>201.03929436372766</v>
      </c>
      <c r="N315">
        <v>6289.0349826545735</v>
      </c>
      <c r="O315">
        <v>93.46557250156701</v>
      </c>
      <c r="P315">
        <v>1323.5895931341704</v>
      </c>
      <c r="Q315">
        <v>0</v>
      </c>
      <c r="R315">
        <v>0</v>
      </c>
      <c r="S315">
        <v>41.393115173939464</v>
      </c>
      <c r="T315">
        <v>267.92363781087755</v>
      </c>
      <c r="U315">
        <v>0</v>
      </c>
      <c r="V315">
        <v>415.0590518555797</v>
      </c>
      <c r="W315">
        <v>10.423158241591699</v>
      </c>
      <c r="X315">
        <v>12.364921725654701</v>
      </c>
      <c r="Y315">
        <v>5.9702288490104003</v>
      </c>
      <c r="Z315">
        <v>156.83670377804981</v>
      </c>
      <c r="AA315">
        <v>2.9889238443985597</v>
      </c>
      <c r="AB315">
        <v>0</v>
      </c>
      <c r="AC315">
        <v>5.0789674010151407</v>
      </c>
      <c r="AD315">
        <v>0</v>
      </c>
      <c r="AE315">
        <v>38.781861548135559</v>
      </c>
      <c r="AF315">
        <v>0</v>
      </c>
      <c r="AG315">
        <v>22.417366053970582</v>
      </c>
      <c r="AH315">
        <v>48.377910694982596</v>
      </c>
      <c r="AI315">
        <v>12.520431731358102</v>
      </c>
      <c r="AJ315">
        <v>71.8188500677159</v>
      </c>
      <c r="AK315">
        <v>45.904735815700484</v>
      </c>
      <c r="AL315">
        <v>9.1804395833025012</v>
      </c>
      <c r="AM315">
        <v>6279.8545430712711</v>
      </c>
      <c r="AN315">
        <v>59.754716278303412</v>
      </c>
      <c r="AO315">
        <v>0</v>
      </c>
      <c r="AP315">
        <v>33.71085622326359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3.6142944822689</v>
      </c>
      <c r="AW315">
        <v>0</v>
      </c>
      <c r="AX315">
        <v>0</v>
      </c>
      <c r="AY315">
        <v>1319.9752986519015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6" x14ac:dyDescent="0.2">
      <c r="A316" t="s">
        <v>1487</v>
      </c>
      <c r="B316" t="s">
        <v>1173</v>
      </c>
      <c r="C316" t="s">
        <v>374</v>
      </c>
      <c r="D316">
        <v>2017</v>
      </c>
      <c r="E316" t="s">
        <v>1174</v>
      </c>
      <c r="F316" t="s">
        <v>1175</v>
      </c>
      <c r="G316">
        <v>7876.8131402483996</v>
      </c>
      <c r="H316">
        <v>7755.6931684694409</v>
      </c>
      <c r="I316">
        <v>121.1199717786394</v>
      </c>
      <c r="J316">
        <v>229.0628994565256</v>
      </c>
      <c r="K316">
        <v>666.78767842678064</v>
      </c>
      <c r="L316">
        <v>71.388616172617105</v>
      </c>
      <c r="M316">
        <v>220.96991799550887</v>
      </c>
      <c r="N316">
        <v>6062.0538576157433</v>
      </c>
      <c r="O316">
        <v>505.43019880226501</v>
      </c>
      <c r="P316">
        <v>121.1199717786394</v>
      </c>
      <c r="Q316">
        <v>0</v>
      </c>
      <c r="R316">
        <v>0</v>
      </c>
      <c r="S316">
        <v>8.2220575520514902</v>
      </c>
      <c r="T316">
        <v>220.8408419044741</v>
      </c>
      <c r="U316">
        <v>0</v>
      </c>
      <c r="V316">
        <v>511.99992268114352</v>
      </c>
      <c r="W316">
        <v>7.7502014775085</v>
      </c>
      <c r="X316">
        <v>2.7371360322599996</v>
      </c>
      <c r="Y316">
        <v>36.226417974007902</v>
      </c>
      <c r="Z316">
        <v>108.0740002618608</v>
      </c>
      <c r="AA316">
        <v>0</v>
      </c>
      <c r="AB316">
        <v>0</v>
      </c>
      <c r="AC316">
        <v>26.351688042179898</v>
      </c>
      <c r="AD316">
        <v>22.773803091323099</v>
      </c>
      <c r="AE316">
        <v>22.263125039114101</v>
      </c>
      <c r="AF316">
        <v>0</v>
      </c>
      <c r="AG316">
        <v>16.013568937357199</v>
      </c>
      <c r="AH316">
        <v>105.93182685230707</v>
      </c>
      <c r="AI316">
        <v>2.7446469272116003</v>
      </c>
      <c r="AJ316">
        <v>57.234104243932293</v>
      </c>
      <c r="AK316">
        <v>39.045771034700699</v>
      </c>
      <c r="AL316">
        <v>0</v>
      </c>
      <c r="AM316">
        <v>6062.0538576157433</v>
      </c>
      <c r="AN316">
        <v>502.55136615509502</v>
      </c>
      <c r="AO316">
        <v>0</v>
      </c>
      <c r="AP316">
        <v>2.8788326471699999</v>
      </c>
      <c r="AQ316">
        <v>0</v>
      </c>
      <c r="AR316">
        <v>0</v>
      </c>
      <c r="AS316">
        <v>43.227375545674001</v>
      </c>
      <c r="AT316">
        <v>0</v>
      </c>
      <c r="AU316">
        <v>0</v>
      </c>
      <c r="AV316">
        <v>71.470523588918809</v>
      </c>
      <c r="AW316">
        <v>0</v>
      </c>
      <c r="AX316">
        <v>0</v>
      </c>
      <c r="AY316">
        <v>6.4220726440465992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 x14ac:dyDescent="0.2">
      <c r="A317" t="s">
        <v>1488</v>
      </c>
      <c r="B317" t="s">
        <v>1173</v>
      </c>
      <c r="C317" t="s">
        <v>863</v>
      </c>
      <c r="D317">
        <v>2017</v>
      </c>
      <c r="E317" t="s">
        <v>1174</v>
      </c>
      <c r="F317" t="s">
        <v>1175</v>
      </c>
      <c r="G317">
        <v>10681.927417188101</v>
      </c>
      <c r="H317">
        <v>9603.5702615040736</v>
      </c>
      <c r="I317">
        <v>1078.3571556853592</v>
      </c>
      <c r="J317">
        <v>554.46893995161281</v>
      </c>
      <c r="K317">
        <v>1088.7483812788691</v>
      </c>
      <c r="L317">
        <v>37.620459515779999</v>
      </c>
      <c r="M317">
        <v>398.72994673242192</v>
      </c>
      <c r="N317">
        <v>7038.5292907979901</v>
      </c>
      <c r="O317">
        <v>485.47324322740013</v>
      </c>
      <c r="P317">
        <v>1078.3571556853592</v>
      </c>
      <c r="Q317">
        <v>0</v>
      </c>
      <c r="R317">
        <v>0</v>
      </c>
      <c r="S317">
        <v>74.547876984084496</v>
      </c>
      <c r="T317">
        <v>479.92106296752831</v>
      </c>
      <c r="U317">
        <v>0</v>
      </c>
      <c r="V317">
        <v>790.15175976827504</v>
      </c>
      <c r="W317">
        <v>33.902514671596734</v>
      </c>
      <c r="X317">
        <v>25.039899183144122</v>
      </c>
      <c r="Y317">
        <v>65.268008313955093</v>
      </c>
      <c r="Z317">
        <v>174.3861993418983</v>
      </c>
      <c r="AA317">
        <v>0</v>
      </c>
      <c r="AB317">
        <v>0</v>
      </c>
      <c r="AC317">
        <v>12.042775907426803</v>
      </c>
      <c r="AD317">
        <v>0</v>
      </c>
      <c r="AE317">
        <v>25.577683608353198</v>
      </c>
      <c r="AF317">
        <v>0</v>
      </c>
      <c r="AG317">
        <v>160.40314333738246</v>
      </c>
      <c r="AH317">
        <v>100.56497346310701</v>
      </c>
      <c r="AI317">
        <v>14.200666239441</v>
      </c>
      <c r="AJ317">
        <v>58.150980280669685</v>
      </c>
      <c r="AK317">
        <v>65.410183411821791</v>
      </c>
      <c r="AL317">
        <v>15.7059646023421</v>
      </c>
      <c r="AM317">
        <v>7022.8233261956484</v>
      </c>
      <c r="AN317">
        <v>277.26468373685339</v>
      </c>
      <c r="AO317">
        <v>18.218052335184066</v>
      </c>
      <c r="AP317">
        <v>189.99050715536271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116.89369855922625</v>
      </c>
      <c r="AW317">
        <v>0</v>
      </c>
      <c r="AX317">
        <v>0</v>
      </c>
      <c r="AY317">
        <v>961.46345712613299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6" x14ac:dyDescent="0.2">
      <c r="A318" t="s">
        <v>1489</v>
      </c>
      <c r="B318" t="s">
        <v>1173</v>
      </c>
      <c r="C318" t="s">
        <v>510</v>
      </c>
      <c r="D318">
        <v>2017</v>
      </c>
      <c r="E318" t="s">
        <v>1174</v>
      </c>
      <c r="F318" t="s">
        <v>1175</v>
      </c>
      <c r="G318">
        <v>66219.673967827795</v>
      </c>
      <c r="H318">
        <v>35763.239796268215</v>
      </c>
      <c r="I318">
        <v>30456.434171550292</v>
      </c>
      <c r="J318">
        <v>994.81006136187455</v>
      </c>
      <c r="K318">
        <v>1262.5846523505038</v>
      </c>
      <c r="L318">
        <v>501.11159196681689</v>
      </c>
      <c r="M318">
        <v>398.7391019181843</v>
      </c>
      <c r="N318">
        <v>31663.735138222786</v>
      </c>
      <c r="O318">
        <v>942.25925044804603</v>
      </c>
      <c r="P318">
        <v>12607.632878651082</v>
      </c>
      <c r="Q318">
        <v>17848.80129289921</v>
      </c>
      <c r="R318">
        <v>0</v>
      </c>
      <c r="S318">
        <v>19.372591181459299</v>
      </c>
      <c r="T318">
        <v>954.84878237424937</v>
      </c>
      <c r="U318">
        <v>20.588687806165904</v>
      </c>
      <c r="V318">
        <v>902.27402226042341</v>
      </c>
      <c r="W318">
        <v>28.516442060153651</v>
      </c>
      <c r="X318">
        <v>48.136613625004316</v>
      </c>
      <c r="Y318">
        <v>12.708145868340999</v>
      </c>
      <c r="Z318">
        <v>270.94942853658137</v>
      </c>
      <c r="AA318">
        <v>75.029336062887452</v>
      </c>
      <c r="AB318">
        <v>0</v>
      </c>
      <c r="AC318">
        <v>15.806874243417999</v>
      </c>
      <c r="AD318">
        <v>19.740075468938805</v>
      </c>
      <c r="AE318">
        <v>209.3997552935441</v>
      </c>
      <c r="AF318">
        <v>181.1355508980285</v>
      </c>
      <c r="AG318">
        <v>92.147388824775007</v>
      </c>
      <c r="AH318">
        <v>176.83832097634703</v>
      </c>
      <c r="AI318">
        <v>15.152452332667798</v>
      </c>
      <c r="AJ318">
        <v>53.14286851595952</v>
      </c>
      <c r="AK318">
        <v>61.458071268434914</v>
      </c>
      <c r="AL318">
        <v>426.41980888989065</v>
      </c>
      <c r="AM318">
        <v>31237.315329332894</v>
      </c>
      <c r="AN318">
        <v>708.79024788917457</v>
      </c>
      <c r="AO318">
        <v>50.411845680617901</v>
      </c>
      <c r="AP318">
        <v>183.05715687825349</v>
      </c>
      <c r="AQ318">
        <v>10963.919797213313</v>
      </c>
      <c r="AR318">
        <v>0</v>
      </c>
      <c r="AS318">
        <v>0</v>
      </c>
      <c r="AT318">
        <v>0</v>
      </c>
      <c r="AU318">
        <v>9.1270136618699986</v>
      </c>
      <c r="AV318">
        <v>15.380894524735366</v>
      </c>
      <c r="AW318">
        <v>0</v>
      </c>
      <c r="AX318">
        <v>0</v>
      </c>
      <c r="AY318">
        <v>1619.2051732511638</v>
      </c>
      <c r="AZ318">
        <v>17848.80129289921</v>
      </c>
      <c r="BA318">
        <v>0</v>
      </c>
      <c r="BB318">
        <v>0</v>
      </c>
      <c r="BC318">
        <v>0</v>
      </c>
      <c r="BD318">
        <v>0</v>
      </c>
    </row>
    <row r="319" spans="1:56" x14ac:dyDescent="0.2">
      <c r="A319" t="s">
        <v>1490</v>
      </c>
      <c r="B319" t="s">
        <v>1173</v>
      </c>
      <c r="C319" t="s">
        <v>577</v>
      </c>
      <c r="D319">
        <v>2017</v>
      </c>
      <c r="E319" t="s">
        <v>1174</v>
      </c>
      <c r="F319" t="s">
        <v>1175</v>
      </c>
      <c r="G319">
        <v>3561.8150645906003</v>
      </c>
      <c r="H319">
        <v>3260.9868564741128</v>
      </c>
      <c r="I319">
        <v>300.82820811746387</v>
      </c>
      <c r="J319">
        <v>146.40578336863629</v>
      </c>
      <c r="K319">
        <v>972.4146375999992</v>
      </c>
      <c r="L319">
        <v>20.665563128235103</v>
      </c>
      <c r="M319">
        <v>279.76157732772594</v>
      </c>
      <c r="N319">
        <v>1691.9892105692097</v>
      </c>
      <c r="O319">
        <v>149.75008448030638</v>
      </c>
      <c r="P319">
        <v>300.82820811746387</v>
      </c>
      <c r="Q319">
        <v>0</v>
      </c>
      <c r="R319">
        <v>0</v>
      </c>
      <c r="S319">
        <v>14.639977887691803</v>
      </c>
      <c r="T319">
        <v>131.76580548094449</v>
      </c>
      <c r="U319">
        <v>0</v>
      </c>
      <c r="V319">
        <v>780.22094637784949</v>
      </c>
      <c r="W319">
        <v>45.28410303665499</v>
      </c>
      <c r="X319">
        <v>4.1460663814465999</v>
      </c>
      <c r="Y319">
        <v>82.685671213023213</v>
      </c>
      <c r="Z319">
        <v>60.077850591024884</v>
      </c>
      <c r="AA319">
        <v>0</v>
      </c>
      <c r="AB319">
        <v>0</v>
      </c>
      <c r="AC319">
        <v>13.821994190283101</v>
      </c>
      <c r="AD319">
        <v>0.56339126405099993</v>
      </c>
      <c r="AE319">
        <v>6.280177673901</v>
      </c>
      <c r="AF319">
        <v>0</v>
      </c>
      <c r="AG319">
        <v>111.94540683372375</v>
      </c>
      <c r="AH319">
        <v>59.306118099071284</v>
      </c>
      <c r="AI319">
        <v>19.759840765145469</v>
      </c>
      <c r="AJ319">
        <v>85.053106238852223</v>
      </c>
      <c r="AK319">
        <v>3.697105390933217</v>
      </c>
      <c r="AL319">
        <v>30.612778618837403</v>
      </c>
      <c r="AM319">
        <v>1661.3764319503723</v>
      </c>
      <c r="AN319">
        <v>135.87548895891248</v>
      </c>
      <c r="AO319">
        <v>0</v>
      </c>
      <c r="AP319">
        <v>13.874595521393898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163.74067426059523</v>
      </c>
      <c r="AW319">
        <v>0</v>
      </c>
      <c r="AX319">
        <v>0</v>
      </c>
      <c r="AY319">
        <v>137.08753385686865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 spans="1:56" x14ac:dyDescent="0.2">
      <c r="A320" t="s">
        <v>1491</v>
      </c>
      <c r="B320" t="s">
        <v>1173</v>
      </c>
      <c r="C320" t="s">
        <v>413</v>
      </c>
      <c r="D320">
        <v>2017</v>
      </c>
      <c r="E320" t="s">
        <v>1174</v>
      </c>
      <c r="F320" t="s">
        <v>1175</v>
      </c>
      <c r="G320">
        <v>42234.787980123401</v>
      </c>
      <c r="H320">
        <v>26220.188414135882</v>
      </c>
      <c r="I320">
        <v>16014.599565988741</v>
      </c>
      <c r="J320">
        <v>892.89309758626018</v>
      </c>
      <c r="K320">
        <v>1233.5781320236297</v>
      </c>
      <c r="L320">
        <v>281.89896580890138</v>
      </c>
      <c r="M320">
        <v>810.60581062497477</v>
      </c>
      <c r="N320">
        <v>18032.958511372795</v>
      </c>
      <c r="O320">
        <v>4968.2538967193204</v>
      </c>
      <c r="P320">
        <v>11617.74509052495</v>
      </c>
      <c r="Q320">
        <v>4396.8544754637924</v>
      </c>
      <c r="R320">
        <v>0</v>
      </c>
      <c r="S320">
        <v>0</v>
      </c>
      <c r="T320">
        <v>892.89309758626018</v>
      </c>
      <c r="U320">
        <v>0</v>
      </c>
      <c r="V320">
        <v>803.7946764088349</v>
      </c>
      <c r="W320">
        <v>32.314433771954398</v>
      </c>
      <c r="X320">
        <v>34.578974301517434</v>
      </c>
      <c r="Y320">
        <v>47.343275431855702</v>
      </c>
      <c r="Z320">
        <v>315.54677210946733</v>
      </c>
      <c r="AA320">
        <v>6.6772482202022001</v>
      </c>
      <c r="AB320">
        <v>2.8716622197960002</v>
      </c>
      <c r="AC320">
        <v>35.913209596171505</v>
      </c>
      <c r="AD320">
        <v>0</v>
      </c>
      <c r="AE320">
        <v>104.16040295108375</v>
      </c>
      <c r="AF320">
        <v>132.27644282164789</v>
      </c>
      <c r="AG320">
        <v>59.148534052241907</v>
      </c>
      <c r="AH320">
        <v>146.46647301576249</v>
      </c>
      <c r="AI320">
        <v>49.586840343737613</v>
      </c>
      <c r="AJ320">
        <v>87.157822441578091</v>
      </c>
      <c r="AK320">
        <v>468.24614077165472</v>
      </c>
      <c r="AL320">
        <v>38.566072294017012</v>
      </c>
      <c r="AM320">
        <v>17994.39243907878</v>
      </c>
      <c r="AN320">
        <v>1003.6777307608353</v>
      </c>
      <c r="AO320">
        <v>2026.1899658823545</v>
      </c>
      <c r="AP320">
        <v>1938.3862000761308</v>
      </c>
      <c r="AQ320">
        <v>0</v>
      </c>
      <c r="AR320">
        <v>11175.192383644655</v>
      </c>
      <c r="AS320">
        <v>0</v>
      </c>
      <c r="AT320">
        <v>0</v>
      </c>
      <c r="AU320">
        <v>0</v>
      </c>
      <c r="AV320">
        <v>63.863058231714298</v>
      </c>
      <c r="AW320">
        <v>0</v>
      </c>
      <c r="AX320">
        <v>0</v>
      </c>
      <c r="AY320">
        <v>378.68964864858094</v>
      </c>
      <c r="AZ320">
        <v>0</v>
      </c>
      <c r="BA320">
        <v>0</v>
      </c>
      <c r="BB320">
        <v>0</v>
      </c>
      <c r="BC320">
        <v>4396.8544754637924</v>
      </c>
      <c r="BD320">
        <v>0</v>
      </c>
    </row>
    <row r="321" spans="1:56" x14ac:dyDescent="0.2">
      <c r="A321" t="s">
        <v>1492</v>
      </c>
      <c r="B321" t="s">
        <v>1173</v>
      </c>
      <c r="C321" t="s">
        <v>756</v>
      </c>
      <c r="D321">
        <v>2017</v>
      </c>
      <c r="E321" t="s">
        <v>1174</v>
      </c>
      <c r="F321" t="s">
        <v>1175</v>
      </c>
      <c r="G321">
        <v>3861.6282010663999</v>
      </c>
      <c r="H321">
        <v>3687.3674565120418</v>
      </c>
      <c r="I321">
        <v>174.26074455375968</v>
      </c>
      <c r="J321">
        <v>116.46454098300505</v>
      </c>
      <c r="K321">
        <v>821.83634317430017</v>
      </c>
      <c r="L321">
        <v>77.861288847127128</v>
      </c>
      <c r="M321">
        <v>171.34142878300227</v>
      </c>
      <c r="N321">
        <v>2141.4706423111043</v>
      </c>
      <c r="O321">
        <v>358.39321241350274</v>
      </c>
      <c r="P321">
        <v>174.26074455375968</v>
      </c>
      <c r="Q321">
        <v>0</v>
      </c>
      <c r="R321">
        <v>0</v>
      </c>
      <c r="S321">
        <v>5.3969086753262419</v>
      </c>
      <c r="T321">
        <v>111.06763230767881</v>
      </c>
      <c r="U321">
        <v>0</v>
      </c>
      <c r="V321">
        <v>618.90144231604086</v>
      </c>
      <c r="W321">
        <v>22.3328333273505</v>
      </c>
      <c r="X321">
        <v>7.9414782251732987</v>
      </c>
      <c r="Y321">
        <v>27.395018613722005</v>
      </c>
      <c r="Z321">
        <v>145.26557069201348</v>
      </c>
      <c r="AA321">
        <v>0</v>
      </c>
      <c r="AB321">
        <v>0</v>
      </c>
      <c r="AC321">
        <v>4.2731160023699006</v>
      </c>
      <c r="AD321">
        <v>0</v>
      </c>
      <c r="AE321">
        <v>73.588172844757224</v>
      </c>
      <c r="AF321">
        <v>0</v>
      </c>
      <c r="AG321">
        <v>83.178817592715106</v>
      </c>
      <c r="AH321">
        <v>51.399966345376583</v>
      </c>
      <c r="AI321">
        <v>3.6214114660347994</v>
      </c>
      <c r="AJ321">
        <v>28.910743968662874</v>
      </c>
      <c r="AK321">
        <v>4.2304894102128996</v>
      </c>
      <c r="AL321">
        <v>533.40596444759876</v>
      </c>
      <c r="AM321">
        <v>1608.0646778635055</v>
      </c>
      <c r="AN321">
        <v>300.45211453349657</v>
      </c>
      <c r="AO321">
        <v>0</v>
      </c>
      <c r="AP321">
        <v>57.941097880006197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21.5540564104728</v>
      </c>
      <c r="AW321">
        <v>0</v>
      </c>
      <c r="AX321">
        <v>0</v>
      </c>
      <c r="AY321">
        <v>152.70668814328687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6" x14ac:dyDescent="0.2">
      <c r="A322" t="s">
        <v>1493</v>
      </c>
      <c r="B322" t="s">
        <v>1173</v>
      </c>
      <c r="C322" t="s">
        <v>671</v>
      </c>
      <c r="D322">
        <v>2017</v>
      </c>
      <c r="E322" t="s">
        <v>1174</v>
      </c>
      <c r="F322" t="s">
        <v>1175</v>
      </c>
      <c r="G322">
        <v>8379.2948981538993</v>
      </c>
      <c r="H322">
        <v>7331.0007029954731</v>
      </c>
      <c r="I322">
        <v>1048.2941951570415</v>
      </c>
      <c r="J322">
        <v>256.5260850499825</v>
      </c>
      <c r="K322">
        <v>1276.0261011465554</v>
      </c>
      <c r="L322">
        <v>108.21474774387744</v>
      </c>
      <c r="M322">
        <v>488.84967780390213</v>
      </c>
      <c r="N322">
        <v>4592.9861105711116</v>
      </c>
      <c r="O322">
        <v>608.39798068004404</v>
      </c>
      <c r="P322">
        <v>1048.2941951570415</v>
      </c>
      <c r="Q322">
        <v>0</v>
      </c>
      <c r="R322">
        <v>0</v>
      </c>
      <c r="S322">
        <v>0</v>
      </c>
      <c r="T322">
        <v>256.5260850499825</v>
      </c>
      <c r="U322">
        <v>0</v>
      </c>
      <c r="V322">
        <v>958.9536128220243</v>
      </c>
      <c r="W322">
        <v>58.290895625417519</v>
      </c>
      <c r="X322">
        <v>51.506801789434093</v>
      </c>
      <c r="Y322">
        <v>41.2788238333926</v>
      </c>
      <c r="Z322">
        <v>165.99596707628686</v>
      </c>
      <c r="AA322">
        <v>2.1000718841099997</v>
      </c>
      <c r="AB322">
        <v>0</v>
      </c>
      <c r="AC322">
        <v>12.290205621870001</v>
      </c>
      <c r="AD322">
        <v>0</v>
      </c>
      <c r="AE322">
        <v>65.765565420603693</v>
      </c>
      <c r="AF322">
        <v>28.058904817293758</v>
      </c>
      <c r="AG322">
        <v>262.55090811147198</v>
      </c>
      <c r="AH322">
        <v>101.95036379850549</v>
      </c>
      <c r="AI322">
        <v>24.050798976683197</v>
      </c>
      <c r="AJ322">
        <v>95.074860580383401</v>
      </c>
      <c r="AK322">
        <v>5.222746336858</v>
      </c>
      <c r="AL322">
        <v>3.2067180215742002</v>
      </c>
      <c r="AM322">
        <v>4589.7793925495371</v>
      </c>
      <c r="AN322">
        <v>172.84447373226701</v>
      </c>
      <c r="AO322">
        <v>0</v>
      </c>
      <c r="AP322">
        <v>435.55350694777707</v>
      </c>
      <c r="AQ322">
        <v>0</v>
      </c>
      <c r="AR322">
        <v>340.90867153590648</v>
      </c>
      <c r="AS322">
        <v>263.39884467391067</v>
      </c>
      <c r="AT322">
        <v>0</v>
      </c>
      <c r="AU322">
        <v>129.37975989298684</v>
      </c>
      <c r="AV322">
        <v>65.699384693996706</v>
      </c>
      <c r="AW322">
        <v>0</v>
      </c>
      <c r="AX322">
        <v>0</v>
      </c>
      <c r="AY322">
        <v>248.90753436024067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6" x14ac:dyDescent="0.2">
      <c r="A323" t="s">
        <v>1494</v>
      </c>
      <c r="B323" t="s">
        <v>1173</v>
      </c>
      <c r="C323" t="s">
        <v>550</v>
      </c>
      <c r="D323">
        <v>2017</v>
      </c>
      <c r="E323" t="s">
        <v>1174</v>
      </c>
      <c r="F323" t="s">
        <v>1175</v>
      </c>
      <c r="G323">
        <v>16130.871304688701</v>
      </c>
      <c r="H323">
        <v>14831.997927308243</v>
      </c>
      <c r="I323">
        <v>1298.8733773796523</v>
      </c>
      <c r="J323">
        <v>272.26949216900675</v>
      </c>
      <c r="K323">
        <v>1046.4281112152883</v>
      </c>
      <c r="L323">
        <v>82.34713915641116</v>
      </c>
      <c r="M323">
        <v>243.42840822660253</v>
      </c>
      <c r="N323">
        <v>12832.422063175951</v>
      </c>
      <c r="O323">
        <v>355.1027133649834</v>
      </c>
      <c r="P323">
        <v>1298.8733773796523</v>
      </c>
      <c r="Q323">
        <v>0</v>
      </c>
      <c r="R323">
        <v>0</v>
      </c>
      <c r="S323">
        <v>1.4088706179700001E-2</v>
      </c>
      <c r="T323">
        <v>272.25540346282708</v>
      </c>
      <c r="U323">
        <v>0</v>
      </c>
      <c r="V323">
        <v>753.06602349997661</v>
      </c>
      <c r="W323">
        <v>21.059397232259798</v>
      </c>
      <c r="X323">
        <v>21.279495828655701</v>
      </c>
      <c r="Y323">
        <v>11.0799749115158</v>
      </c>
      <c r="Z323">
        <v>239.94321974288033</v>
      </c>
      <c r="AA323">
        <v>0</v>
      </c>
      <c r="AB323">
        <v>0</v>
      </c>
      <c r="AC323">
        <v>14.505334035261651</v>
      </c>
      <c r="AD323">
        <v>0</v>
      </c>
      <c r="AE323">
        <v>48.477987450025097</v>
      </c>
      <c r="AF323">
        <v>19.363817671124405</v>
      </c>
      <c r="AG323">
        <v>45.715738771833557</v>
      </c>
      <c r="AH323">
        <v>85.234607257614016</v>
      </c>
      <c r="AI323">
        <v>23.250760875425801</v>
      </c>
      <c r="AJ323">
        <v>41.133809781788095</v>
      </c>
      <c r="AK323">
        <v>48.09349153994102</v>
      </c>
      <c r="AL323">
        <v>0</v>
      </c>
      <c r="AM323">
        <v>12832.422063175951</v>
      </c>
      <c r="AN323">
        <v>171.13619296986536</v>
      </c>
      <c r="AO323">
        <v>1.1230491724358</v>
      </c>
      <c r="AP323">
        <v>182.84347122268224</v>
      </c>
      <c r="AQ323">
        <v>0</v>
      </c>
      <c r="AR323">
        <v>0</v>
      </c>
      <c r="AS323">
        <v>376.35967964695141</v>
      </c>
      <c r="AT323">
        <v>0</v>
      </c>
      <c r="AU323">
        <v>0</v>
      </c>
      <c r="AV323">
        <v>13.791244393900781</v>
      </c>
      <c r="AW323">
        <v>0</v>
      </c>
      <c r="AX323">
        <v>0</v>
      </c>
      <c r="AY323">
        <v>908.72245333880016</v>
      </c>
      <c r="AZ323">
        <v>0</v>
      </c>
      <c r="BA323">
        <v>0</v>
      </c>
      <c r="BB323">
        <v>0</v>
      </c>
      <c r="BC323">
        <v>0</v>
      </c>
      <c r="BD323">
        <v>0</v>
      </c>
    </row>
    <row r="324" spans="1:56" x14ac:dyDescent="0.2">
      <c r="A324" t="s">
        <v>1495</v>
      </c>
      <c r="B324" t="s">
        <v>1173</v>
      </c>
      <c r="C324" t="s">
        <v>395</v>
      </c>
      <c r="D324">
        <v>2017</v>
      </c>
      <c r="E324" t="s">
        <v>1174</v>
      </c>
      <c r="F324" t="s">
        <v>1175</v>
      </c>
      <c r="G324">
        <v>54910.315090844408</v>
      </c>
      <c r="H324">
        <v>35121.015657638971</v>
      </c>
      <c r="I324">
        <v>19789.299433205568</v>
      </c>
      <c r="J324">
        <v>846.96833194951319</v>
      </c>
      <c r="K324">
        <v>1505.4356488180952</v>
      </c>
      <c r="L324">
        <v>222.32549404084867</v>
      </c>
      <c r="M324">
        <v>739.53164389722929</v>
      </c>
      <c r="N324">
        <v>29176.625501540428</v>
      </c>
      <c r="O324">
        <v>2630.129037392855</v>
      </c>
      <c r="P324">
        <v>19789.299433205568</v>
      </c>
      <c r="Q324">
        <v>0</v>
      </c>
      <c r="R324">
        <v>0</v>
      </c>
      <c r="S324">
        <v>0</v>
      </c>
      <c r="T324">
        <v>846.96833194951319</v>
      </c>
      <c r="U324">
        <v>0</v>
      </c>
      <c r="V324">
        <v>1037.0267102353241</v>
      </c>
      <c r="W324">
        <v>57.754820044947401</v>
      </c>
      <c r="X324">
        <v>24.352212110705803</v>
      </c>
      <c r="Y324">
        <v>30.376959131877801</v>
      </c>
      <c r="Z324">
        <v>355.92494729524003</v>
      </c>
      <c r="AA324">
        <v>10.355452282636699</v>
      </c>
      <c r="AB324">
        <v>2.8555486348864405</v>
      </c>
      <c r="AC324">
        <v>23.437402290228491</v>
      </c>
      <c r="AD324">
        <v>7.8980639243200007E-2</v>
      </c>
      <c r="AE324">
        <v>155.32600266783635</v>
      </c>
      <c r="AF324">
        <v>30.272107526017503</v>
      </c>
      <c r="AG324">
        <v>66.151843986844995</v>
      </c>
      <c r="AH324">
        <v>229.4248900259478</v>
      </c>
      <c r="AI324">
        <v>10.632383093334498</v>
      </c>
      <c r="AJ324">
        <v>90.551147403397991</v>
      </c>
      <c r="AK324">
        <v>342.77137938770403</v>
      </c>
      <c r="AL324">
        <v>0.30793892473900003</v>
      </c>
      <c r="AM324">
        <v>29176.317562615688</v>
      </c>
      <c r="AN324">
        <v>1549.7497484457051</v>
      </c>
      <c r="AO324">
        <v>34.733403290928706</v>
      </c>
      <c r="AP324">
        <v>1045.645885656221</v>
      </c>
      <c r="AQ324">
        <v>13123.670664021814</v>
      </c>
      <c r="AR324">
        <v>0</v>
      </c>
      <c r="AS324">
        <v>0</v>
      </c>
      <c r="AT324">
        <v>0</v>
      </c>
      <c r="AU324">
        <v>0</v>
      </c>
      <c r="AV324">
        <v>119.52397525503784</v>
      </c>
      <c r="AW324">
        <v>0</v>
      </c>
      <c r="AX324">
        <v>1.05446600614</v>
      </c>
      <c r="AY324">
        <v>6545.0503279225768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 x14ac:dyDescent="0.2">
      <c r="A325" t="s">
        <v>1496</v>
      </c>
      <c r="B325" t="s">
        <v>1173</v>
      </c>
      <c r="C325" t="s">
        <v>421</v>
      </c>
      <c r="D325">
        <v>2017</v>
      </c>
      <c r="E325" t="s">
        <v>1174</v>
      </c>
      <c r="F325" t="s">
        <v>1175</v>
      </c>
      <c r="G325">
        <v>7520.7519285100998</v>
      </c>
      <c r="H325">
        <v>4143.4410523423394</v>
      </c>
      <c r="I325">
        <v>3377.3108761662938</v>
      </c>
      <c r="J325">
        <v>338.65959375432453</v>
      </c>
      <c r="K325">
        <v>1081.0735563841386</v>
      </c>
      <c r="L325">
        <v>165.15692820211694</v>
      </c>
      <c r="M325">
        <v>304.33200388900741</v>
      </c>
      <c r="N325">
        <v>1322.2762612256536</v>
      </c>
      <c r="O325">
        <v>931.94270888709798</v>
      </c>
      <c r="P325">
        <v>3377.3108761662938</v>
      </c>
      <c r="Q325">
        <v>0</v>
      </c>
      <c r="R325">
        <v>0</v>
      </c>
      <c r="S325">
        <v>35.742531745581644</v>
      </c>
      <c r="T325">
        <v>302.9170620087429</v>
      </c>
      <c r="U325">
        <v>0</v>
      </c>
      <c r="V325">
        <v>873.53653257162307</v>
      </c>
      <c r="W325">
        <v>37.245781712517008</v>
      </c>
      <c r="X325">
        <v>26.981236435990898</v>
      </c>
      <c r="Y325">
        <v>43.78022237705418</v>
      </c>
      <c r="Z325">
        <v>99.529783286953389</v>
      </c>
      <c r="AA325">
        <v>0</v>
      </c>
      <c r="AB325">
        <v>0</v>
      </c>
      <c r="AC325">
        <v>31.645016821414</v>
      </c>
      <c r="AD325">
        <v>0</v>
      </c>
      <c r="AE325">
        <v>125.32848118896655</v>
      </c>
      <c r="AF325">
        <v>8.1834301917364005</v>
      </c>
      <c r="AG325">
        <v>95.532200172430848</v>
      </c>
      <c r="AH325">
        <v>144.48183428716939</v>
      </c>
      <c r="AI325">
        <v>8.7595245877561005</v>
      </c>
      <c r="AJ325">
        <v>51.323626994519003</v>
      </c>
      <c r="AK325">
        <v>4.2348178471321001</v>
      </c>
      <c r="AL325">
        <v>0</v>
      </c>
      <c r="AM325">
        <v>1322.2762612256536</v>
      </c>
      <c r="AN325">
        <v>666.59345105315538</v>
      </c>
      <c r="AO325">
        <v>31.121745850263572</v>
      </c>
      <c r="AP325">
        <v>234.22751198367911</v>
      </c>
      <c r="AQ325">
        <v>2110.3625768639458</v>
      </c>
      <c r="AR325">
        <v>0</v>
      </c>
      <c r="AS325">
        <v>0</v>
      </c>
      <c r="AT325">
        <v>856.81600382484157</v>
      </c>
      <c r="AU325">
        <v>0</v>
      </c>
      <c r="AV325">
        <v>80.381776376616443</v>
      </c>
      <c r="AW325">
        <v>0</v>
      </c>
      <c r="AX325">
        <v>0</v>
      </c>
      <c r="AY325">
        <v>329.75051910089013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x14ac:dyDescent="0.2">
      <c r="A326" t="s">
        <v>1497</v>
      </c>
      <c r="B326" t="s">
        <v>1173</v>
      </c>
      <c r="C326" t="s">
        <v>227</v>
      </c>
      <c r="D326">
        <v>2017</v>
      </c>
      <c r="E326" t="s">
        <v>1174</v>
      </c>
      <c r="F326" t="s">
        <v>1175</v>
      </c>
      <c r="G326">
        <v>9328.0998233795999</v>
      </c>
      <c r="H326">
        <v>8638.8698940498798</v>
      </c>
      <c r="I326">
        <v>689.22992932859052</v>
      </c>
      <c r="J326">
        <v>199.79949807576955</v>
      </c>
      <c r="K326">
        <v>850.58506960857267</v>
      </c>
      <c r="L326">
        <v>81.65953506418532</v>
      </c>
      <c r="M326">
        <v>344.60307677972912</v>
      </c>
      <c r="N326">
        <v>4971.8076912374454</v>
      </c>
      <c r="O326">
        <v>2190.4150232841766</v>
      </c>
      <c r="P326">
        <v>689.22992932859052</v>
      </c>
      <c r="Q326">
        <v>0</v>
      </c>
      <c r="R326">
        <v>0</v>
      </c>
      <c r="S326">
        <v>12.392011053432118</v>
      </c>
      <c r="T326">
        <v>187.40748702233742</v>
      </c>
      <c r="U326">
        <v>0</v>
      </c>
      <c r="V326">
        <v>653.35900473152878</v>
      </c>
      <c r="W326">
        <v>16.041378204744099</v>
      </c>
      <c r="X326">
        <v>6.8019889368314006</v>
      </c>
      <c r="Y326">
        <v>80.99993544427781</v>
      </c>
      <c r="Z326">
        <v>93.382762291190545</v>
      </c>
      <c r="AA326">
        <v>4.6414036614400001</v>
      </c>
      <c r="AB326">
        <v>0.84580532147400012</v>
      </c>
      <c r="AC326">
        <v>12.497055504012602</v>
      </c>
      <c r="AD326">
        <v>33.420744180937803</v>
      </c>
      <c r="AE326">
        <v>12.872522174975</v>
      </c>
      <c r="AF326">
        <v>17.382004221345902</v>
      </c>
      <c r="AG326">
        <v>25.835256204056023</v>
      </c>
      <c r="AH326">
        <v>199.21638486061869</v>
      </c>
      <c r="AI326">
        <v>0.90971556331899994</v>
      </c>
      <c r="AJ326">
        <v>64.808467868868107</v>
      </c>
      <c r="AK326">
        <v>53.833252282867292</v>
      </c>
      <c r="AL326">
        <v>2.23238922037</v>
      </c>
      <c r="AM326">
        <v>4969.575302017075</v>
      </c>
      <c r="AN326">
        <v>1795.4029085727877</v>
      </c>
      <c r="AO326">
        <v>184.05108168923562</v>
      </c>
      <c r="AP326">
        <v>210.9610330221532</v>
      </c>
      <c r="AQ326">
        <v>0</v>
      </c>
      <c r="AR326">
        <v>0</v>
      </c>
      <c r="AS326">
        <v>302.42171122411708</v>
      </c>
      <c r="AT326">
        <v>0</v>
      </c>
      <c r="AU326">
        <v>0</v>
      </c>
      <c r="AV326">
        <v>6.5949284062599993</v>
      </c>
      <c r="AW326">
        <v>38.963706535059096</v>
      </c>
      <c r="AX326">
        <v>0</v>
      </c>
      <c r="AY326">
        <v>341.24958316315434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 x14ac:dyDescent="0.2">
      <c r="A327" t="s">
        <v>1498</v>
      </c>
      <c r="B327" t="s">
        <v>1173</v>
      </c>
      <c r="C327" t="s">
        <v>624</v>
      </c>
      <c r="D327">
        <v>2017</v>
      </c>
      <c r="E327" t="s">
        <v>1174</v>
      </c>
      <c r="F327" t="s">
        <v>1175</v>
      </c>
      <c r="G327">
        <v>18551.883603137499</v>
      </c>
      <c r="H327">
        <v>18399.811843584408</v>
      </c>
      <c r="I327">
        <v>152.07175955006346</v>
      </c>
      <c r="J327">
        <v>663.26691366297132</v>
      </c>
      <c r="K327">
        <v>2241.2467857958213</v>
      </c>
      <c r="L327">
        <v>239.1604595595515</v>
      </c>
      <c r="M327">
        <v>406.62294479316722</v>
      </c>
      <c r="N327">
        <v>13184.250120611532</v>
      </c>
      <c r="O327">
        <v>1665.2646191613658</v>
      </c>
      <c r="P327">
        <v>152.07175955006346</v>
      </c>
      <c r="Q327">
        <v>0</v>
      </c>
      <c r="R327">
        <v>0</v>
      </c>
      <c r="S327">
        <v>22.302545224053286</v>
      </c>
      <c r="T327">
        <v>640.96436843891809</v>
      </c>
      <c r="U327">
        <v>0</v>
      </c>
      <c r="V327">
        <v>1289.3484270620438</v>
      </c>
      <c r="W327">
        <v>64.785574209167592</v>
      </c>
      <c r="X327">
        <v>47.319077418442099</v>
      </c>
      <c r="Y327">
        <v>65.620175891031522</v>
      </c>
      <c r="Z327">
        <v>774.17353121513634</v>
      </c>
      <c r="AA327">
        <v>0</v>
      </c>
      <c r="AB327">
        <v>6.3336070840269993</v>
      </c>
      <c r="AC327">
        <v>13.6559455137744</v>
      </c>
      <c r="AD327">
        <v>0</v>
      </c>
      <c r="AE327">
        <v>219.17090696175009</v>
      </c>
      <c r="AF327">
        <v>0</v>
      </c>
      <c r="AG327">
        <v>144.52964494107351</v>
      </c>
      <c r="AH327">
        <v>196.91692925556995</v>
      </c>
      <c r="AI327">
        <v>4.8970782440640006</v>
      </c>
      <c r="AJ327">
        <v>12.135153991867099</v>
      </c>
      <c r="AK327">
        <v>48.144138360592606</v>
      </c>
      <c r="AL327">
        <v>33.214062161297988</v>
      </c>
      <c r="AM327">
        <v>13151.036058450234</v>
      </c>
      <c r="AN327">
        <v>1622.2183062664378</v>
      </c>
      <c r="AO327">
        <v>19.989235852750497</v>
      </c>
      <c r="AP327">
        <v>23.057077042177504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8.4651785144663005</v>
      </c>
      <c r="AW327">
        <v>0</v>
      </c>
      <c r="AX327">
        <v>0</v>
      </c>
      <c r="AY327">
        <v>143.60658103559717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2">
      <c r="A328" t="s">
        <v>1499</v>
      </c>
      <c r="B328" t="s">
        <v>1173</v>
      </c>
      <c r="C328" t="s">
        <v>962</v>
      </c>
      <c r="D328">
        <v>2017</v>
      </c>
      <c r="E328" t="s">
        <v>1174</v>
      </c>
      <c r="F328" t="s">
        <v>1175</v>
      </c>
      <c r="G328">
        <v>31581.8444726093</v>
      </c>
      <c r="H328">
        <v>28541.815132724529</v>
      </c>
      <c r="I328">
        <v>3040.0293398855169</v>
      </c>
      <c r="J328">
        <v>748.44273512300424</v>
      </c>
      <c r="K328">
        <v>1385.7814057819869</v>
      </c>
      <c r="L328">
        <v>124.50793622879098</v>
      </c>
      <c r="M328">
        <v>256.92562419898138</v>
      </c>
      <c r="N328">
        <v>25355.730038482849</v>
      </c>
      <c r="O328">
        <v>670.42739290891836</v>
      </c>
      <c r="P328">
        <v>397.34675022647309</v>
      </c>
      <c r="Q328">
        <v>2642.682589659044</v>
      </c>
      <c r="R328">
        <v>0</v>
      </c>
      <c r="S328">
        <v>36.385402744470397</v>
      </c>
      <c r="T328">
        <v>712.05733237853383</v>
      </c>
      <c r="U328">
        <v>0</v>
      </c>
      <c r="V328">
        <v>976.54092764584755</v>
      </c>
      <c r="W328">
        <v>22.379557198094997</v>
      </c>
      <c r="X328">
        <v>18.258123449804405</v>
      </c>
      <c r="Y328">
        <v>50.036298647072698</v>
      </c>
      <c r="Z328">
        <v>318.56649884116729</v>
      </c>
      <c r="AA328">
        <v>2.1617819262500002</v>
      </c>
      <c r="AB328">
        <v>0.50505377859599998</v>
      </c>
      <c r="AC328">
        <v>17.440684897541093</v>
      </c>
      <c r="AD328">
        <v>6.5197257346279995</v>
      </c>
      <c r="AE328">
        <v>28.927428605655603</v>
      </c>
      <c r="AF328">
        <v>68.953261286120281</v>
      </c>
      <c r="AG328">
        <v>72.891175039244715</v>
      </c>
      <c r="AH328">
        <v>126.15047479881451</v>
      </c>
      <c r="AI328">
        <v>4.3546433408170007</v>
      </c>
      <c r="AJ328">
        <v>19.152326056944901</v>
      </c>
      <c r="AK328">
        <v>34.377004963160218</v>
      </c>
      <c r="AL328">
        <v>164.62509915352177</v>
      </c>
      <c r="AM328">
        <v>25191.104939329325</v>
      </c>
      <c r="AN328">
        <v>63.991993296271424</v>
      </c>
      <c r="AO328">
        <v>0</v>
      </c>
      <c r="AP328">
        <v>606.43539961264696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4.1228064482770996</v>
      </c>
      <c r="AW328">
        <v>0</v>
      </c>
      <c r="AX328">
        <v>0</v>
      </c>
      <c r="AY328">
        <v>393.22394377819597</v>
      </c>
      <c r="AZ328">
        <v>2642.682589659044</v>
      </c>
      <c r="BA328">
        <v>0</v>
      </c>
      <c r="BB328">
        <v>0</v>
      </c>
      <c r="BC328">
        <v>0</v>
      </c>
      <c r="BD328">
        <v>0</v>
      </c>
    </row>
    <row r="329" spans="1:56" x14ac:dyDescent="0.2">
      <c r="A329" t="s">
        <v>1500</v>
      </c>
      <c r="B329" t="s">
        <v>1173</v>
      </c>
      <c r="C329" t="s">
        <v>998</v>
      </c>
      <c r="D329">
        <v>2017</v>
      </c>
      <c r="E329" t="s">
        <v>1174</v>
      </c>
      <c r="F329" t="s">
        <v>1175</v>
      </c>
      <c r="G329">
        <v>28064.556238243003</v>
      </c>
      <c r="H329">
        <v>27576.967489501272</v>
      </c>
      <c r="I329">
        <v>487.58874874237296</v>
      </c>
      <c r="J329">
        <v>596.56484948498348</v>
      </c>
      <c r="K329">
        <v>1056.0994008724531</v>
      </c>
      <c r="L329">
        <v>71.236281919468468</v>
      </c>
      <c r="M329">
        <v>373.80223414996317</v>
      </c>
      <c r="N329">
        <v>23618.015426930306</v>
      </c>
      <c r="O329">
        <v>1861.2492961441001</v>
      </c>
      <c r="P329">
        <v>487.58874874237296</v>
      </c>
      <c r="Q329">
        <v>0</v>
      </c>
      <c r="R329">
        <v>0</v>
      </c>
      <c r="S329">
        <v>0</v>
      </c>
      <c r="T329">
        <v>596.56484948498348</v>
      </c>
      <c r="U329">
        <v>0</v>
      </c>
      <c r="V329">
        <v>741.84988992347724</v>
      </c>
      <c r="W329">
        <v>15.138134991577198</v>
      </c>
      <c r="X329">
        <v>55.904932095767293</v>
      </c>
      <c r="Y329">
        <v>57.984185485437592</v>
      </c>
      <c r="Z329">
        <v>185.22225837619376</v>
      </c>
      <c r="AA329">
        <v>0</v>
      </c>
      <c r="AB329">
        <v>0</v>
      </c>
      <c r="AC329">
        <v>19.856412629557497</v>
      </c>
      <c r="AD329">
        <v>42.258492136790501</v>
      </c>
      <c r="AE329">
        <v>9.1213771531204699</v>
      </c>
      <c r="AF329">
        <v>0</v>
      </c>
      <c r="AG329">
        <v>57.75805001893049</v>
      </c>
      <c r="AH329">
        <v>116.01260649890209</v>
      </c>
      <c r="AI329">
        <v>0.58077411021300007</v>
      </c>
      <c r="AJ329">
        <v>64.128260387655899</v>
      </c>
      <c r="AK329">
        <v>135.32254313426171</v>
      </c>
      <c r="AL329">
        <v>0</v>
      </c>
      <c r="AM329">
        <v>23618.015426930306</v>
      </c>
      <c r="AN329">
        <v>1453.4202730345671</v>
      </c>
      <c r="AO329">
        <v>53.772764113256997</v>
      </c>
      <c r="AP329">
        <v>354.05625899627603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49.220518491717407</v>
      </c>
      <c r="AW329">
        <v>88.376897795405569</v>
      </c>
      <c r="AX329">
        <v>16.643156059733698</v>
      </c>
      <c r="AY329">
        <v>333.3481763955163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x14ac:dyDescent="0.2">
      <c r="A330" t="s">
        <v>1501</v>
      </c>
      <c r="B330" t="s">
        <v>1173</v>
      </c>
      <c r="C330" t="s">
        <v>637</v>
      </c>
      <c r="D330">
        <v>2017</v>
      </c>
      <c r="E330" t="s">
        <v>1174</v>
      </c>
      <c r="F330" t="s">
        <v>1175</v>
      </c>
      <c r="G330">
        <v>29576.511659502397</v>
      </c>
      <c r="H330">
        <v>27794.869258319191</v>
      </c>
      <c r="I330">
        <v>1781.6424011851352</v>
      </c>
      <c r="J330">
        <v>905.94646512114798</v>
      </c>
      <c r="K330">
        <v>2037.4424233973025</v>
      </c>
      <c r="L330">
        <v>333.45340301670956</v>
      </c>
      <c r="M330">
        <v>482.94443232209051</v>
      </c>
      <c r="N330">
        <v>22123.261056275518</v>
      </c>
      <c r="O330">
        <v>1911.8214781864222</v>
      </c>
      <c r="P330">
        <v>1781.6424011851352</v>
      </c>
      <c r="Q330">
        <v>0</v>
      </c>
      <c r="R330">
        <v>0</v>
      </c>
      <c r="S330">
        <v>68.758930142898635</v>
      </c>
      <c r="T330">
        <v>837.18753497824935</v>
      </c>
      <c r="U330">
        <v>0</v>
      </c>
      <c r="V330">
        <v>1392.7485430686886</v>
      </c>
      <c r="W330">
        <v>37.069384813790087</v>
      </c>
      <c r="X330">
        <v>48.115803400388785</v>
      </c>
      <c r="Y330">
        <v>81.843113225033775</v>
      </c>
      <c r="Z330">
        <v>477.66557888940127</v>
      </c>
      <c r="AA330">
        <v>2.1220341381499996</v>
      </c>
      <c r="AB330">
        <v>0</v>
      </c>
      <c r="AC330">
        <v>38.468127846082204</v>
      </c>
      <c r="AD330">
        <v>162.47324099798237</v>
      </c>
      <c r="AE330">
        <v>130.39000003449499</v>
      </c>
      <c r="AF330">
        <v>0</v>
      </c>
      <c r="AG330">
        <v>203.74560927565381</v>
      </c>
      <c r="AH330">
        <v>150.2810223102413</v>
      </c>
      <c r="AI330">
        <v>5.3389426865524001</v>
      </c>
      <c r="AJ330">
        <v>54.689104509912688</v>
      </c>
      <c r="AK330">
        <v>68.889753539730364</v>
      </c>
      <c r="AL330">
        <v>75.26552401814817</v>
      </c>
      <c r="AM330">
        <v>22047.99553225737</v>
      </c>
      <c r="AN330">
        <v>964.54401048612226</v>
      </c>
      <c r="AO330">
        <v>17.4531316044325</v>
      </c>
      <c r="AP330">
        <v>929.82433609586747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53.930348908217496</v>
      </c>
      <c r="AW330">
        <v>54.317436829031074</v>
      </c>
      <c r="AX330">
        <v>0</v>
      </c>
      <c r="AY330">
        <v>1673.3946154478867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 spans="1:56" x14ac:dyDescent="0.2">
      <c r="A331" t="s">
        <v>1502</v>
      </c>
      <c r="B331" t="s">
        <v>1173</v>
      </c>
      <c r="C331" t="s">
        <v>221</v>
      </c>
      <c r="D331">
        <v>2017</v>
      </c>
      <c r="E331" t="s">
        <v>1174</v>
      </c>
      <c r="F331" t="s">
        <v>1175</v>
      </c>
      <c r="G331">
        <v>7848.9602399435998</v>
      </c>
      <c r="H331">
        <v>7830.1319703964327</v>
      </c>
      <c r="I331">
        <v>18.828269547061968</v>
      </c>
      <c r="J331">
        <v>285.2533605329329</v>
      </c>
      <c r="K331">
        <v>971.79816556559911</v>
      </c>
      <c r="L331">
        <v>65.711864768460075</v>
      </c>
      <c r="M331">
        <v>160.89221333375238</v>
      </c>
      <c r="N331">
        <v>5603.7879543541885</v>
      </c>
      <c r="O331">
        <v>742.6884118415004</v>
      </c>
      <c r="P331">
        <v>18.828269547061968</v>
      </c>
      <c r="Q331">
        <v>0</v>
      </c>
      <c r="R331">
        <v>0</v>
      </c>
      <c r="S331">
        <v>17.630250675580996</v>
      </c>
      <c r="T331">
        <v>245.82512035472743</v>
      </c>
      <c r="U331">
        <v>21.7979895026245</v>
      </c>
      <c r="V331">
        <v>820.04994698311668</v>
      </c>
      <c r="W331">
        <v>7.9917186437031997</v>
      </c>
      <c r="X331">
        <v>15.135484617919001</v>
      </c>
      <c r="Y331">
        <v>14.004173313648099</v>
      </c>
      <c r="Z331">
        <v>114.61684200721204</v>
      </c>
      <c r="AA331">
        <v>0</v>
      </c>
      <c r="AB331">
        <v>0</v>
      </c>
      <c r="AC331">
        <v>10.702446951744312</v>
      </c>
      <c r="AD331">
        <v>18.314011271249399</v>
      </c>
      <c r="AE331">
        <v>36.695406545466362</v>
      </c>
      <c r="AF331">
        <v>0</v>
      </c>
      <c r="AG331">
        <v>44.112165127429499</v>
      </c>
      <c r="AH331">
        <v>84.28290579203906</v>
      </c>
      <c r="AI331">
        <v>2.4320483926200001</v>
      </c>
      <c r="AJ331">
        <v>0</v>
      </c>
      <c r="AK331">
        <v>30.065094021663811</v>
      </c>
      <c r="AL331">
        <v>0</v>
      </c>
      <c r="AM331">
        <v>5603.7879543541885</v>
      </c>
      <c r="AN331">
        <v>698.35142115098517</v>
      </c>
      <c r="AO331">
        <v>21.140701927878599</v>
      </c>
      <c r="AP331">
        <v>23.196288762636598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1.16147018214</v>
      </c>
      <c r="AW331">
        <v>0</v>
      </c>
      <c r="AX331">
        <v>0</v>
      </c>
      <c r="AY331">
        <v>17.666799364921967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 x14ac:dyDescent="0.2">
      <c r="A332" t="s">
        <v>1503</v>
      </c>
      <c r="B332" t="s">
        <v>1173</v>
      </c>
      <c r="C332" t="s">
        <v>646</v>
      </c>
      <c r="D332">
        <v>2017</v>
      </c>
      <c r="E332" t="s">
        <v>1174</v>
      </c>
      <c r="F332" t="s">
        <v>1175</v>
      </c>
      <c r="G332">
        <v>10663.731310692399</v>
      </c>
      <c r="H332">
        <v>10569.816483051811</v>
      </c>
      <c r="I332">
        <v>93.914827641563463</v>
      </c>
      <c r="J332">
        <v>296.01076060263756</v>
      </c>
      <c r="K332">
        <v>909.11010133040759</v>
      </c>
      <c r="L332">
        <v>25.806415359488287</v>
      </c>
      <c r="M332">
        <v>167.92500162157845</v>
      </c>
      <c r="N332">
        <v>7341.4357671488378</v>
      </c>
      <c r="O332">
        <v>1829.5284369888604</v>
      </c>
      <c r="P332">
        <v>93.914827641563463</v>
      </c>
      <c r="Q332">
        <v>0</v>
      </c>
      <c r="R332">
        <v>0</v>
      </c>
      <c r="S332">
        <v>6.1158783708305</v>
      </c>
      <c r="T332">
        <v>289.89488223180706</v>
      </c>
      <c r="U332">
        <v>0</v>
      </c>
      <c r="V332">
        <v>614.98676945111038</v>
      </c>
      <c r="W332">
        <v>20.989398739997704</v>
      </c>
      <c r="X332">
        <v>11.123733309956599</v>
      </c>
      <c r="Y332">
        <v>18.398341579495195</v>
      </c>
      <c r="Z332">
        <v>243.61185824984778</v>
      </c>
      <c r="AA332">
        <v>0</v>
      </c>
      <c r="AB332">
        <v>0</v>
      </c>
      <c r="AC332">
        <v>7.7295969763738004</v>
      </c>
      <c r="AD332">
        <v>0.18621420192093002</v>
      </c>
      <c r="AE332">
        <v>17.890604181193556</v>
      </c>
      <c r="AF332">
        <v>0</v>
      </c>
      <c r="AG332">
        <v>18.505013315499401</v>
      </c>
      <c r="AH332">
        <v>68.105952860967051</v>
      </c>
      <c r="AI332">
        <v>2.1911093152598</v>
      </c>
      <c r="AJ332">
        <v>32.610430814695704</v>
      </c>
      <c r="AK332">
        <v>46.512495315156507</v>
      </c>
      <c r="AL332">
        <v>0</v>
      </c>
      <c r="AM332">
        <v>7341.4357671488378</v>
      </c>
      <c r="AN332">
        <v>1793.7926127487544</v>
      </c>
      <c r="AO332">
        <v>34.1907223152431</v>
      </c>
      <c r="AP332">
        <v>1.5451019248628002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35.565573039183903</v>
      </c>
      <c r="AW332">
        <v>0</v>
      </c>
      <c r="AX332">
        <v>0</v>
      </c>
      <c r="AY332">
        <v>58.34925460237956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x14ac:dyDescent="0.2">
      <c r="A333" t="s">
        <v>1504</v>
      </c>
      <c r="B333" t="s">
        <v>1173</v>
      </c>
      <c r="C333" t="s">
        <v>182</v>
      </c>
      <c r="D333">
        <v>2017</v>
      </c>
      <c r="E333" t="s">
        <v>1174</v>
      </c>
      <c r="F333" t="s">
        <v>1175</v>
      </c>
      <c r="G333">
        <v>22664.294760855202</v>
      </c>
      <c r="H333">
        <v>19973.98075973073</v>
      </c>
      <c r="I333">
        <v>2690.3140011257578</v>
      </c>
      <c r="J333">
        <v>598.21056260519595</v>
      </c>
      <c r="K333">
        <v>1502.8807554403552</v>
      </c>
      <c r="L333">
        <v>168.08954796135407</v>
      </c>
      <c r="M333">
        <v>368.01809499538484</v>
      </c>
      <c r="N333">
        <v>15474.11415824699</v>
      </c>
      <c r="O333">
        <v>1862.6676404814507</v>
      </c>
      <c r="P333">
        <v>2690.3140011257578</v>
      </c>
      <c r="Q333">
        <v>0</v>
      </c>
      <c r="R333">
        <v>0</v>
      </c>
      <c r="S333">
        <v>0</v>
      </c>
      <c r="T333">
        <v>598.21056260519595</v>
      </c>
      <c r="U333">
        <v>0</v>
      </c>
      <c r="V333">
        <v>1031.8484614521901</v>
      </c>
      <c r="W333">
        <v>26.366794759871201</v>
      </c>
      <c r="X333">
        <v>52.537326363235685</v>
      </c>
      <c r="Y333">
        <v>33.397883034814996</v>
      </c>
      <c r="Z333">
        <v>358.73028983024295</v>
      </c>
      <c r="AA333">
        <v>2.6441958754999999</v>
      </c>
      <c r="AB333">
        <v>3.0593372072309997</v>
      </c>
      <c r="AC333">
        <v>21.189352301406338</v>
      </c>
      <c r="AD333">
        <v>0</v>
      </c>
      <c r="AE333">
        <v>99.478233774209514</v>
      </c>
      <c r="AF333">
        <v>41.718428803007228</v>
      </c>
      <c r="AG333">
        <v>83.802912377716169</v>
      </c>
      <c r="AH333">
        <v>189.30102502715778</v>
      </c>
      <c r="AI333">
        <v>11.076091159284401</v>
      </c>
      <c r="AJ333">
        <v>35.323866800423794</v>
      </c>
      <c r="AK333">
        <v>48.51419963080275</v>
      </c>
      <c r="AL333">
        <v>36.654879022549416</v>
      </c>
      <c r="AM333">
        <v>15437.45927922444</v>
      </c>
      <c r="AN333">
        <v>861.57214319086188</v>
      </c>
      <c r="AO333">
        <v>10.192740054971202</v>
      </c>
      <c r="AP333">
        <v>990.90275723561774</v>
      </c>
      <c r="AQ333">
        <v>0</v>
      </c>
      <c r="AR333">
        <v>0</v>
      </c>
      <c r="AS333">
        <v>1127.5824932172688</v>
      </c>
      <c r="AT333">
        <v>0</v>
      </c>
      <c r="AU333">
        <v>0</v>
      </c>
      <c r="AV333">
        <v>66.032622557981412</v>
      </c>
      <c r="AW333">
        <v>0</v>
      </c>
      <c r="AX333">
        <v>0</v>
      </c>
      <c r="AY333">
        <v>1496.6988853505077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x14ac:dyDescent="0.2">
      <c r="A334" t="s">
        <v>1505</v>
      </c>
      <c r="B334" t="s">
        <v>1173</v>
      </c>
      <c r="C334" t="s">
        <v>984</v>
      </c>
      <c r="D334">
        <v>2017</v>
      </c>
      <c r="E334" t="s">
        <v>1174</v>
      </c>
      <c r="F334" t="s">
        <v>1175</v>
      </c>
      <c r="G334">
        <v>22912.140071955</v>
      </c>
      <c r="H334">
        <v>21592.656314578922</v>
      </c>
      <c r="I334">
        <v>1319.4837573768623</v>
      </c>
      <c r="J334">
        <v>1005.1590749702482</v>
      </c>
      <c r="K334">
        <v>1552.2146219750093</v>
      </c>
      <c r="L334">
        <v>238.51035660779544</v>
      </c>
      <c r="M334">
        <v>288.0655363728855</v>
      </c>
      <c r="N334">
        <v>17151.02350721131</v>
      </c>
      <c r="O334">
        <v>1357.683217441675</v>
      </c>
      <c r="P334">
        <v>1319.4837573768623</v>
      </c>
      <c r="Q334">
        <v>0</v>
      </c>
      <c r="R334">
        <v>0</v>
      </c>
      <c r="S334">
        <v>134.3403923729723</v>
      </c>
      <c r="T334">
        <v>870.81868259727582</v>
      </c>
      <c r="U334">
        <v>0</v>
      </c>
      <c r="V334">
        <v>967.77154674379358</v>
      </c>
      <c r="W334">
        <v>21.600799802738777</v>
      </c>
      <c r="X334">
        <v>26.003635148236242</v>
      </c>
      <c r="Y334">
        <v>47.112162901017392</v>
      </c>
      <c r="Z334">
        <v>489.72647737922341</v>
      </c>
      <c r="AA334">
        <v>29.124504704144318</v>
      </c>
      <c r="AB334">
        <v>0</v>
      </c>
      <c r="AC334">
        <v>26.670879058996281</v>
      </c>
      <c r="AD334">
        <v>54.604655452723357</v>
      </c>
      <c r="AE334">
        <v>105.18999640264255</v>
      </c>
      <c r="AF334">
        <v>22.920320989288946</v>
      </c>
      <c r="AG334">
        <v>42.726584409802996</v>
      </c>
      <c r="AH334">
        <v>158.84281454317917</v>
      </c>
      <c r="AI334">
        <v>9.4730962811477024</v>
      </c>
      <c r="AJ334">
        <v>20.9106171851443</v>
      </c>
      <c r="AK334">
        <v>56.112423953611319</v>
      </c>
      <c r="AL334">
        <v>105.31474007388491</v>
      </c>
      <c r="AM334">
        <v>17045.708767137425</v>
      </c>
      <c r="AN334">
        <v>1164.9837661593042</v>
      </c>
      <c r="AO334">
        <v>27.855836975686351</v>
      </c>
      <c r="AP334">
        <v>164.84361430668446</v>
      </c>
      <c r="AQ334">
        <v>0</v>
      </c>
      <c r="AR334">
        <v>0</v>
      </c>
      <c r="AS334">
        <v>639.48192715589937</v>
      </c>
      <c r="AT334">
        <v>0</v>
      </c>
      <c r="AU334">
        <v>0</v>
      </c>
      <c r="AV334">
        <v>30.548231476153202</v>
      </c>
      <c r="AW334">
        <v>25.3760718485259</v>
      </c>
      <c r="AX334">
        <v>0</v>
      </c>
      <c r="AY334">
        <v>624.07752689628376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2">
      <c r="A335" t="s">
        <v>1506</v>
      </c>
      <c r="B335" t="s">
        <v>1173</v>
      </c>
      <c r="C335" t="s">
        <v>939</v>
      </c>
      <c r="D335">
        <v>2017</v>
      </c>
      <c r="E335" t="s">
        <v>1174</v>
      </c>
      <c r="F335" t="s">
        <v>1175</v>
      </c>
      <c r="G335">
        <v>15331.281714996299</v>
      </c>
      <c r="H335">
        <v>14627.989976866105</v>
      </c>
      <c r="I335">
        <v>703.29173813034367</v>
      </c>
      <c r="J335">
        <v>535.32092497057533</v>
      </c>
      <c r="K335">
        <v>1141.831324804544</v>
      </c>
      <c r="L335">
        <v>113.95853061847971</v>
      </c>
      <c r="M335">
        <v>258.98836407218568</v>
      </c>
      <c r="N335">
        <v>11758.892481876423</v>
      </c>
      <c r="O335">
        <v>818.99835052389733</v>
      </c>
      <c r="P335">
        <v>703.29173813034367</v>
      </c>
      <c r="Q335">
        <v>0</v>
      </c>
      <c r="R335">
        <v>0</v>
      </c>
      <c r="S335">
        <v>17.549092687721089</v>
      </c>
      <c r="T335">
        <v>517.77183228285423</v>
      </c>
      <c r="U335">
        <v>0</v>
      </c>
      <c r="V335">
        <v>695.15923817151111</v>
      </c>
      <c r="W335">
        <v>35.18643714906279</v>
      </c>
      <c r="X335">
        <v>22.357186575187914</v>
      </c>
      <c r="Y335">
        <v>15.331691942149401</v>
      </c>
      <c r="Z335">
        <v>373.79677096663266</v>
      </c>
      <c r="AA335">
        <v>0</v>
      </c>
      <c r="AB335">
        <v>0</v>
      </c>
      <c r="AC335">
        <v>14.142469219191236</v>
      </c>
      <c r="AD335">
        <v>0</v>
      </c>
      <c r="AE335">
        <v>84.021865781371289</v>
      </c>
      <c r="AF335">
        <v>15.794195617917186</v>
      </c>
      <c r="AG335">
        <v>39.064382942038883</v>
      </c>
      <c r="AH335">
        <v>120.10031368367902</v>
      </c>
      <c r="AI335">
        <v>13.4140483670571</v>
      </c>
      <c r="AJ335">
        <v>16.528381931953849</v>
      </c>
      <c r="AK335">
        <v>69.881237147456844</v>
      </c>
      <c r="AL335">
        <v>0</v>
      </c>
      <c r="AM335">
        <v>11758.892481876423</v>
      </c>
      <c r="AN335">
        <v>600.29847325502362</v>
      </c>
      <c r="AO335">
        <v>5.206199250525902</v>
      </c>
      <c r="AP335">
        <v>213.49367801834782</v>
      </c>
      <c r="AQ335">
        <v>0</v>
      </c>
      <c r="AR335">
        <v>0</v>
      </c>
      <c r="AS335">
        <v>317.99994959794429</v>
      </c>
      <c r="AT335">
        <v>0</v>
      </c>
      <c r="AU335">
        <v>0</v>
      </c>
      <c r="AV335">
        <v>58.320064767047299</v>
      </c>
      <c r="AW335">
        <v>0</v>
      </c>
      <c r="AX335">
        <v>0</v>
      </c>
      <c r="AY335">
        <v>326.97172376535201</v>
      </c>
      <c r="AZ335">
        <v>0</v>
      </c>
      <c r="BA335">
        <v>0</v>
      </c>
      <c r="BB335">
        <v>0</v>
      </c>
      <c r="BC335">
        <v>0</v>
      </c>
      <c r="BD335">
        <v>0</v>
      </c>
    </row>
    <row r="336" spans="1:56" x14ac:dyDescent="0.2">
      <c r="A336" t="s">
        <v>1507</v>
      </c>
      <c r="B336" t="s">
        <v>1173</v>
      </c>
      <c r="C336" t="s">
        <v>501</v>
      </c>
      <c r="D336">
        <v>2017</v>
      </c>
      <c r="E336" t="s">
        <v>1174</v>
      </c>
      <c r="F336" t="s">
        <v>1175</v>
      </c>
      <c r="G336">
        <v>32368.5382678936</v>
      </c>
      <c r="H336">
        <v>26854.000919820654</v>
      </c>
      <c r="I336">
        <v>5514.5373480824455</v>
      </c>
      <c r="J336">
        <v>860.32992324225336</v>
      </c>
      <c r="K336">
        <v>1987.3839284221981</v>
      </c>
      <c r="L336">
        <v>243.04380093822763</v>
      </c>
      <c r="M336">
        <v>471.55296078587088</v>
      </c>
      <c r="N336">
        <v>21397.384359388656</v>
      </c>
      <c r="O336">
        <v>1894.3059470434509</v>
      </c>
      <c r="P336">
        <v>5514.5373480824455</v>
      </c>
      <c r="Q336">
        <v>0</v>
      </c>
      <c r="R336">
        <v>0</v>
      </c>
      <c r="S336">
        <v>21.50748325898827</v>
      </c>
      <c r="T336">
        <v>838.8224399832651</v>
      </c>
      <c r="U336">
        <v>0</v>
      </c>
      <c r="V336">
        <v>1320.9180512183289</v>
      </c>
      <c r="W336">
        <v>51.786105883771199</v>
      </c>
      <c r="X336">
        <v>70.383548817900149</v>
      </c>
      <c r="Y336">
        <v>36.925840150009101</v>
      </c>
      <c r="Z336">
        <v>507.3703823521887</v>
      </c>
      <c r="AA336">
        <v>0</v>
      </c>
      <c r="AB336">
        <v>0.211599359968</v>
      </c>
      <c r="AC336">
        <v>24.131154771928504</v>
      </c>
      <c r="AD336">
        <v>1.77004959274</v>
      </c>
      <c r="AE336">
        <v>165.52632703375519</v>
      </c>
      <c r="AF336">
        <v>51.404670179835932</v>
      </c>
      <c r="AG336">
        <v>115.29047617055839</v>
      </c>
      <c r="AH336">
        <v>221.822454041177</v>
      </c>
      <c r="AI336">
        <v>45.335034943328601</v>
      </c>
      <c r="AJ336">
        <v>30.547934044518897</v>
      </c>
      <c r="AK336">
        <v>58.557061586288015</v>
      </c>
      <c r="AL336">
        <v>79.351821452402234</v>
      </c>
      <c r="AM336">
        <v>21318.032537936255</v>
      </c>
      <c r="AN336">
        <v>389.94921753284609</v>
      </c>
      <c r="AO336">
        <v>63.316345264477711</v>
      </c>
      <c r="AP336">
        <v>1441.0403842461271</v>
      </c>
      <c r="AQ336">
        <v>0</v>
      </c>
      <c r="AR336">
        <v>4171.7051498865494</v>
      </c>
      <c r="AS336">
        <v>552.77722662240501</v>
      </c>
      <c r="AT336">
        <v>0</v>
      </c>
      <c r="AU336">
        <v>0</v>
      </c>
      <c r="AV336">
        <v>33.275783328562603</v>
      </c>
      <c r="AW336">
        <v>0</v>
      </c>
      <c r="AX336">
        <v>8.0361810174854007</v>
      </c>
      <c r="AY336">
        <v>748.7430072274434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 spans="1:56" x14ac:dyDescent="0.2">
      <c r="A337" t="s">
        <v>1508</v>
      </c>
      <c r="B337" t="s">
        <v>1173</v>
      </c>
      <c r="C337" t="s">
        <v>507</v>
      </c>
      <c r="D337">
        <v>2017</v>
      </c>
      <c r="E337" t="s">
        <v>1174</v>
      </c>
      <c r="F337" t="s">
        <v>1175</v>
      </c>
      <c r="G337">
        <v>90308.130497763603</v>
      </c>
      <c r="H337">
        <v>47674.325988701297</v>
      </c>
      <c r="I337">
        <v>42633.80450906133</v>
      </c>
      <c r="J337">
        <v>1012.9307192929291</v>
      </c>
      <c r="K337">
        <v>1981.9916960374583</v>
      </c>
      <c r="L337">
        <v>652.01399590232677</v>
      </c>
      <c r="M337">
        <v>397.63626394915997</v>
      </c>
      <c r="N337">
        <v>38527.237734712267</v>
      </c>
      <c r="O337">
        <v>5102.5155788071588</v>
      </c>
      <c r="P337">
        <v>1782.2163634352687</v>
      </c>
      <c r="Q337">
        <v>40851.588145626061</v>
      </c>
      <c r="R337">
        <v>0</v>
      </c>
      <c r="S337">
        <v>79.162528922779202</v>
      </c>
      <c r="T337">
        <v>933.76819037014991</v>
      </c>
      <c r="U337">
        <v>0</v>
      </c>
      <c r="V337">
        <v>1205.8010523554299</v>
      </c>
      <c r="W337">
        <v>25.576367037611899</v>
      </c>
      <c r="X337">
        <v>307.81737448265653</v>
      </c>
      <c r="Y337">
        <v>40.769066825468521</v>
      </c>
      <c r="Z337">
        <v>402.0278353362915</v>
      </c>
      <c r="AA337">
        <v>12.483776198599999</v>
      </c>
      <c r="AB337">
        <v>2.9727164427192001</v>
      </c>
      <c r="AC337">
        <v>52.762851285830685</v>
      </c>
      <c r="AD337">
        <v>47.035183426758095</v>
      </c>
      <c r="AE337">
        <v>389.82529350565767</v>
      </c>
      <c r="AF337">
        <v>146.9341750427611</v>
      </c>
      <c r="AG337">
        <v>89.916146844449415</v>
      </c>
      <c r="AH337">
        <v>134.82795923215451</v>
      </c>
      <c r="AI337">
        <v>10.654678025036958</v>
      </c>
      <c r="AJ337">
        <v>58.42247801344498</v>
      </c>
      <c r="AK337">
        <v>103.81500183407411</v>
      </c>
      <c r="AL337">
        <v>9.235108389418901</v>
      </c>
      <c r="AM337">
        <v>38518.00262632285</v>
      </c>
      <c r="AN337">
        <v>1100.7524346749972</v>
      </c>
      <c r="AO337">
        <v>2514.7532118523559</v>
      </c>
      <c r="AP337">
        <v>1487.0099322798064</v>
      </c>
      <c r="AQ337">
        <v>0</v>
      </c>
      <c r="AR337">
        <v>1242.9966791702391</v>
      </c>
      <c r="AS337">
        <v>0</v>
      </c>
      <c r="AT337">
        <v>0</v>
      </c>
      <c r="AU337">
        <v>0</v>
      </c>
      <c r="AV337">
        <v>15.931486318515791</v>
      </c>
      <c r="AW337">
        <v>0</v>
      </c>
      <c r="AX337">
        <v>7.2337809954200001</v>
      </c>
      <c r="AY337">
        <v>516.05441695109403</v>
      </c>
      <c r="AZ337">
        <v>36059.370751117378</v>
      </c>
      <c r="BA337">
        <v>0</v>
      </c>
      <c r="BB337">
        <v>0</v>
      </c>
      <c r="BC337">
        <v>4792.2173945086834</v>
      </c>
      <c r="BD337">
        <v>0</v>
      </c>
    </row>
    <row r="338" spans="1:56" x14ac:dyDescent="0.2">
      <c r="A338" t="s">
        <v>1509</v>
      </c>
      <c r="B338" t="s">
        <v>1173</v>
      </c>
      <c r="C338" t="s">
        <v>990</v>
      </c>
      <c r="D338">
        <v>2017</v>
      </c>
      <c r="E338" t="s">
        <v>1174</v>
      </c>
      <c r="F338" t="s">
        <v>1175</v>
      </c>
      <c r="G338">
        <v>36887.272129869401</v>
      </c>
      <c r="H338">
        <v>36263.370295940891</v>
      </c>
      <c r="I338">
        <v>623.90183392554422</v>
      </c>
      <c r="J338">
        <v>924.48396870217164</v>
      </c>
      <c r="K338">
        <v>1839.4018953676355</v>
      </c>
      <c r="L338">
        <v>223.04655251288025</v>
      </c>
      <c r="M338">
        <v>467.19500955680263</v>
      </c>
      <c r="N338">
        <v>32248.695665562813</v>
      </c>
      <c r="O338">
        <v>560.54720423859112</v>
      </c>
      <c r="P338">
        <v>623.90183392554422</v>
      </c>
      <c r="Q338">
        <v>0</v>
      </c>
      <c r="R338">
        <v>0</v>
      </c>
      <c r="S338">
        <v>39.813787857045902</v>
      </c>
      <c r="T338">
        <v>884.67018084512574</v>
      </c>
      <c r="U338">
        <v>0</v>
      </c>
      <c r="V338">
        <v>1375.1481388145446</v>
      </c>
      <c r="W338">
        <v>49.925681235700033</v>
      </c>
      <c r="X338">
        <v>27.396923150930608</v>
      </c>
      <c r="Y338">
        <v>56.568693162597597</v>
      </c>
      <c r="Z338">
        <v>330.36245900386268</v>
      </c>
      <c r="AA338">
        <v>20.037806697289003</v>
      </c>
      <c r="AB338">
        <v>5.7890090038830015</v>
      </c>
      <c r="AC338">
        <v>34.144518138909262</v>
      </c>
      <c r="AD338">
        <v>96.472640140990791</v>
      </c>
      <c r="AE338">
        <v>64.50160974148119</v>
      </c>
      <c r="AF338">
        <v>2.1009687903270002</v>
      </c>
      <c r="AG338">
        <v>106.93787648938799</v>
      </c>
      <c r="AH338">
        <v>176.08930179816574</v>
      </c>
      <c r="AI338">
        <v>5.0896255374528003</v>
      </c>
      <c r="AJ338">
        <v>108.22143063193518</v>
      </c>
      <c r="AK338">
        <v>70.856775099860968</v>
      </c>
      <c r="AL338">
        <v>2.6842598035200003</v>
      </c>
      <c r="AM338">
        <v>32246.011405759295</v>
      </c>
      <c r="AN338">
        <v>292.32470686413177</v>
      </c>
      <c r="AO338">
        <v>59.61904646220367</v>
      </c>
      <c r="AP338">
        <v>208.60345091225568</v>
      </c>
      <c r="AQ338">
        <v>0</v>
      </c>
      <c r="AR338">
        <v>2.6792595859300001</v>
      </c>
      <c r="AS338">
        <v>0</v>
      </c>
      <c r="AT338">
        <v>0</v>
      </c>
      <c r="AU338">
        <v>0</v>
      </c>
      <c r="AV338">
        <v>16.160886907689701</v>
      </c>
      <c r="AW338">
        <v>36.150416662041508</v>
      </c>
      <c r="AX338">
        <v>0</v>
      </c>
      <c r="AY338">
        <v>568.911270769883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 spans="1:56" x14ac:dyDescent="0.2">
      <c r="A339" t="s">
        <v>1510</v>
      </c>
      <c r="B339" t="s">
        <v>1173</v>
      </c>
      <c r="C339" t="s">
        <v>674</v>
      </c>
      <c r="D339">
        <v>2017</v>
      </c>
      <c r="E339" t="s">
        <v>1174</v>
      </c>
      <c r="F339" t="s">
        <v>1175</v>
      </c>
      <c r="G339">
        <v>51645.059042741195</v>
      </c>
      <c r="H339">
        <v>37921.89842628887</v>
      </c>
      <c r="I339">
        <v>13723.160616454536</v>
      </c>
      <c r="J339">
        <v>818.26203886490339</v>
      </c>
      <c r="K339">
        <v>1382.0843214799859</v>
      </c>
      <c r="L339">
        <v>230.30179937134596</v>
      </c>
      <c r="M339">
        <v>345.29953920440698</v>
      </c>
      <c r="N339">
        <v>30528.036712279987</v>
      </c>
      <c r="O339">
        <v>4617.9140150882367</v>
      </c>
      <c r="P339">
        <v>1760.3279945532324</v>
      </c>
      <c r="Q339">
        <v>11962.832621901303</v>
      </c>
      <c r="R339">
        <v>0</v>
      </c>
      <c r="S339">
        <v>5.4951708288179013</v>
      </c>
      <c r="T339">
        <v>812.7668680360855</v>
      </c>
      <c r="U339">
        <v>0</v>
      </c>
      <c r="V339">
        <v>976.86872796562591</v>
      </c>
      <c r="W339">
        <v>29.780250044461187</v>
      </c>
      <c r="X339">
        <v>54.034020754303228</v>
      </c>
      <c r="Y339">
        <v>52.870005680324496</v>
      </c>
      <c r="Z339">
        <v>268.53131703527112</v>
      </c>
      <c r="AA339">
        <v>6.4355760957813999</v>
      </c>
      <c r="AB339">
        <v>1.7722516831426001</v>
      </c>
      <c r="AC339">
        <v>26.80310949491739</v>
      </c>
      <c r="AD339">
        <v>32.660908937190015</v>
      </c>
      <c r="AE339">
        <v>66.945274304640975</v>
      </c>
      <c r="AF339">
        <v>95.684678855673567</v>
      </c>
      <c r="AG339">
        <v>80.856688026769476</v>
      </c>
      <c r="AH339">
        <v>117.29601665290618</v>
      </c>
      <c r="AI339">
        <v>7.4983774235608509</v>
      </c>
      <c r="AJ339">
        <v>47.763419806902299</v>
      </c>
      <c r="AK339">
        <v>91.885037294268187</v>
      </c>
      <c r="AL339">
        <v>2.2679002695007999</v>
      </c>
      <c r="AM339">
        <v>30525.768812010487</v>
      </c>
      <c r="AN339">
        <v>278.03788910423123</v>
      </c>
      <c r="AO339">
        <v>397.82938456520611</v>
      </c>
      <c r="AP339">
        <v>3942.0467414187997</v>
      </c>
      <c r="AQ339">
        <v>0</v>
      </c>
      <c r="AR339">
        <v>1146.7305145756036</v>
      </c>
      <c r="AS339">
        <v>0</v>
      </c>
      <c r="AT339">
        <v>0</v>
      </c>
      <c r="AU339">
        <v>0</v>
      </c>
      <c r="AV339">
        <v>39.954115830437161</v>
      </c>
      <c r="AW339">
        <v>0</v>
      </c>
      <c r="AX339">
        <v>0</v>
      </c>
      <c r="AY339">
        <v>573.64336414719173</v>
      </c>
      <c r="AZ339">
        <v>11111.64119251</v>
      </c>
      <c r="BA339">
        <v>0</v>
      </c>
      <c r="BB339">
        <v>0</v>
      </c>
      <c r="BC339">
        <v>851.19142939130256</v>
      </c>
      <c r="BD339">
        <v>0</v>
      </c>
    </row>
    <row r="340" spans="1:56" x14ac:dyDescent="0.2">
      <c r="A340" t="s">
        <v>1511</v>
      </c>
      <c r="B340" t="s">
        <v>1173</v>
      </c>
      <c r="C340" t="s">
        <v>643</v>
      </c>
      <c r="D340">
        <v>2017</v>
      </c>
      <c r="E340" t="s">
        <v>1174</v>
      </c>
      <c r="F340" t="s">
        <v>1175</v>
      </c>
      <c r="G340">
        <v>19158.409182006202</v>
      </c>
      <c r="H340">
        <v>18157.231895099845</v>
      </c>
      <c r="I340">
        <v>1001.1772869096051</v>
      </c>
      <c r="J340">
        <v>483.47586689497803</v>
      </c>
      <c r="K340">
        <v>986.55087620043673</v>
      </c>
      <c r="L340">
        <v>62.288015658638216</v>
      </c>
      <c r="M340">
        <v>170.45451688934253</v>
      </c>
      <c r="N340">
        <v>16129.092439487935</v>
      </c>
      <c r="O340">
        <v>325.370179968515</v>
      </c>
      <c r="P340">
        <v>1001.1772869096051</v>
      </c>
      <c r="Q340">
        <v>0</v>
      </c>
      <c r="R340">
        <v>0</v>
      </c>
      <c r="S340">
        <v>21.969156690362492</v>
      </c>
      <c r="T340">
        <v>461.50671020461556</v>
      </c>
      <c r="U340">
        <v>0</v>
      </c>
      <c r="V340">
        <v>644.41758501783454</v>
      </c>
      <c r="W340">
        <v>4.6327229535926007</v>
      </c>
      <c r="X340">
        <v>30.150761982381727</v>
      </c>
      <c r="Y340">
        <v>3.5228959740182</v>
      </c>
      <c r="Z340">
        <v>303.82691027260967</v>
      </c>
      <c r="AA340">
        <v>0</v>
      </c>
      <c r="AB340">
        <v>0</v>
      </c>
      <c r="AC340">
        <v>16.934740719724395</v>
      </c>
      <c r="AD340">
        <v>0</v>
      </c>
      <c r="AE340">
        <v>23.829200883200492</v>
      </c>
      <c r="AF340">
        <v>21.524074055713331</v>
      </c>
      <c r="AG340">
        <v>17.804674762591599</v>
      </c>
      <c r="AH340">
        <v>78.717013739193689</v>
      </c>
      <c r="AI340">
        <v>19.163774412370095</v>
      </c>
      <c r="AJ340">
        <v>35.968388711369634</v>
      </c>
      <c r="AK340">
        <v>18.800665263817496</v>
      </c>
      <c r="AL340">
        <v>0</v>
      </c>
      <c r="AM340">
        <v>16129.092439487935</v>
      </c>
      <c r="AN340">
        <v>170.98453302292529</v>
      </c>
      <c r="AO340">
        <v>5.6140120029385003E-2</v>
      </c>
      <c r="AP340">
        <v>154.32950682556034</v>
      </c>
      <c r="AQ340">
        <v>0</v>
      </c>
      <c r="AR340">
        <v>0</v>
      </c>
      <c r="AS340">
        <v>363.23959682738285</v>
      </c>
      <c r="AT340">
        <v>0</v>
      </c>
      <c r="AU340">
        <v>0</v>
      </c>
      <c r="AV340">
        <v>21.266223689491422</v>
      </c>
      <c r="AW340">
        <v>0</v>
      </c>
      <c r="AX340">
        <v>0</v>
      </c>
      <c r="AY340">
        <v>616.67146639273085</v>
      </c>
      <c r="AZ340">
        <v>0</v>
      </c>
      <c r="BA340">
        <v>0</v>
      </c>
      <c r="BB340">
        <v>0</v>
      </c>
      <c r="BC340">
        <v>0</v>
      </c>
      <c r="BD340">
        <v>0</v>
      </c>
    </row>
    <row r="341" spans="1:56" x14ac:dyDescent="0.2">
      <c r="A341" t="s">
        <v>1512</v>
      </c>
      <c r="B341" t="s">
        <v>1173</v>
      </c>
      <c r="C341" t="s">
        <v>366</v>
      </c>
      <c r="D341">
        <v>2017</v>
      </c>
      <c r="E341" t="s">
        <v>1174</v>
      </c>
      <c r="F341" t="s">
        <v>1175</v>
      </c>
      <c r="G341">
        <v>36406.948857951997</v>
      </c>
      <c r="H341">
        <v>26807.011451303752</v>
      </c>
      <c r="I341">
        <v>9599.9374066447781</v>
      </c>
      <c r="J341">
        <v>737.84144312143337</v>
      </c>
      <c r="K341">
        <v>1803.3540236093661</v>
      </c>
      <c r="L341">
        <v>499.59923113101365</v>
      </c>
      <c r="M341">
        <v>369.97714306457715</v>
      </c>
      <c r="N341">
        <v>22554.35600959108</v>
      </c>
      <c r="O341">
        <v>841.88360078628216</v>
      </c>
      <c r="P341">
        <v>480.11066892203252</v>
      </c>
      <c r="Q341">
        <v>9119.8267377227457</v>
      </c>
      <c r="R341">
        <v>0</v>
      </c>
      <c r="S341">
        <v>57.719650698090192</v>
      </c>
      <c r="T341">
        <v>680.12179242334321</v>
      </c>
      <c r="U341">
        <v>0</v>
      </c>
      <c r="V341">
        <v>1115.4760982323453</v>
      </c>
      <c r="W341">
        <v>49.162241137833995</v>
      </c>
      <c r="X341">
        <v>60.954084297587407</v>
      </c>
      <c r="Y341">
        <v>63.673315764975584</v>
      </c>
      <c r="Z341">
        <v>514.08828417662403</v>
      </c>
      <c r="AA341">
        <v>24.238293993105898</v>
      </c>
      <c r="AB341">
        <v>0</v>
      </c>
      <c r="AC341">
        <v>54.492327482765809</v>
      </c>
      <c r="AD341">
        <v>51.621616315352505</v>
      </c>
      <c r="AE341">
        <v>260.21950719522818</v>
      </c>
      <c r="AF341">
        <v>109.02748614456132</v>
      </c>
      <c r="AG341">
        <v>194.02225203769567</v>
      </c>
      <c r="AH341">
        <v>137.49787462207692</v>
      </c>
      <c r="AI341">
        <v>9.7294730923408999</v>
      </c>
      <c r="AJ341">
        <v>10.858495576061419</v>
      </c>
      <c r="AK341">
        <v>17.869047736402198</v>
      </c>
      <c r="AL341">
        <v>0</v>
      </c>
      <c r="AM341">
        <v>22554.35600959108</v>
      </c>
      <c r="AN341">
        <v>364.55762946167721</v>
      </c>
      <c r="AO341">
        <v>12.826252375793043</v>
      </c>
      <c r="AP341">
        <v>464.49971894881185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18.701561714060499</v>
      </c>
      <c r="AW341">
        <v>0</v>
      </c>
      <c r="AX341">
        <v>1.9108231248811001</v>
      </c>
      <c r="AY341">
        <v>459.49828408309094</v>
      </c>
      <c r="AZ341">
        <v>9119.8267377227457</v>
      </c>
      <c r="BA341">
        <v>0</v>
      </c>
      <c r="BB341">
        <v>0</v>
      </c>
      <c r="BC341">
        <v>0</v>
      </c>
      <c r="BD341">
        <v>0</v>
      </c>
    </row>
    <row r="342" spans="1:56" x14ac:dyDescent="0.2">
      <c r="A342" t="s">
        <v>1513</v>
      </c>
      <c r="B342" t="s">
        <v>1173</v>
      </c>
      <c r="C342" t="s">
        <v>326</v>
      </c>
      <c r="D342">
        <v>2017</v>
      </c>
      <c r="E342" t="s">
        <v>1174</v>
      </c>
      <c r="F342" t="s">
        <v>1175</v>
      </c>
      <c r="G342">
        <v>6702.0934420212998</v>
      </c>
      <c r="H342">
        <v>6189.9244763458291</v>
      </c>
      <c r="I342">
        <v>512.16896567655931</v>
      </c>
      <c r="J342">
        <v>338.39162836505847</v>
      </c>
      <c r="K342">
        <v>1784.1117945728256</v>
      </c>
      <c r="L342">
        <v>267.62144057776646</v>
      </c>
      <c r="M342">
        <v>375.97112946923875</v>
      </c>
      <c r="N342">
        <v>3263.6212308831959</v>
      </c>
      <c r="O342">
        <v>160.20725247774382</v>
      </c>
      <c r="P342">
        <v>512.16896567655931</v>
      </c>
      <c r="Q342">
        <v>0</v>
      </c>
      <c r="R342">
        <v>0</v>
      </c>
      <c r="S342">
        <v>26.757127426764637</v>
      </c>
      <c r="T342">
        <v>311.63450093829385</v>
      </c>
      <c r="U342">
        <v>0</v>
      </c>
      <c r="V342">
        <v>1295.5435694999287</v>
      </c>
      <c r="W342">
        <v>79.040923187380471</v>
      </c>
      <c r="X342">
        <v>17.1465213883335</v>
      </c>
      <c r="Y342">
        <v>54.862433800082499</v>
      </c>
      <c r="Z342">
        <v>337.51834669710047</v>
      </c>
      <c r="AA342">
        <v>0</v>
      </c>
      <c r="AB342">
        <v>11.127341370696398</v>
      </c>
      <c r="AC342">
        <v>11.887439554313199</v>
      </c>
      <c r="AD342">
        <v>0</v>
      </c>
      <c r="AE342">
        <v>244.60665965275689</v>
      </c>
      <c r="AF342">
        <v>0</v>
      </c>
      <c r="AG342">
        <v>160.72322075143259</v>
      </c>
      <c r="AH342">
        <v>97.493310023495923</v>
      </c>
      <c r="AI342">
        <v>21.650301326963099</v>
      </c>
      <c r="AJ342">
        <v>75.258401581891889</v>
      </c>
      <c r="AK342">
        <v>20.845895785455298</v>
      </c>
      <c r="AL342">
        <v>201.41765816231813</v>
      </c>
      <c r="AM342">
        <v>3062.2035727208777</v>
      </c>
      <c r="AN342">
        <v>121.51735410622389</v>
      </c>
      <c r="AO342">
        <v>1.2963762502482001</v>
      </c>
      <c r="AP342">
        <v>37.393522121271729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95.035669128230609</v>
      </c>
      <c r="AW342">
        <v>0</v>
      </c>
      <c r="AX342">
        <v>0</v>
      </c>
      <c r="AY342">
        <v>417.13329654832864</v>
      </c>
      <c r="AZ342">
        <v>0</v>
      </c>
      <c r="BA342">
        <v>0</v>
      </c>
      <c r="BB342">
        <v>0</v>
      </c>
      <c r="BC342">
        <v>0</v>
      </c>
      <c r="BD342">
        <v>0</v>
      </c>
    </row>
    <row r="343" spans="1:56" x14ac:dyDescent="0.2">
      <c r="A343" t="s">
        <v>1514</v>
      </c>
      <c r="B343" t="s">
        <v>1173</v>
      </c>
      <c r="C343" t="s">
        <v>556</v>
      </c>
      <c r="D343">
        <v>2017</v>
      </c>
      <c r="E343" t="s">
        <v>1174</v>
      </c>
      <c r="F343" t="s">
        <v>1175</v>
      </c>
      <c r="G343">
        <v>35187.553160991505</v>
      </c>
      <c r="H343">
        <v>34126.222393210133</v>
      </c>
      <c r="I343">
        <v>1061.3307677782523</v>
      </c>
      <c r="J343">
        <v>1043.2639382306447</v>
      </c>
      <c r="K343">
        <v>2559.2526199199292</v>
      </c>
      <c r="L343">
        <v>243.90305584064808</v>
      </c>
      <c r="M343">
        <v>628.49232820788677</v>
      </c>
      <c r="N343">
        <v>25235.299424517958</v>
      </c>
      <c r="O343">
        <v>4416.011026493069</v>
      </c>
      <c r="P343">
        <v>1061.3307677782523</v>
      </c>
      <c r="Q343">
        <v>0</v>
      </c>
      <c r="R343">
        <v>0</v>
      </c>
      <c r="S343">
        <v>57.03123455839048</v>
      </c>
      <c r="T343">
        <v>986.23270367225427</v>
      </c>
      <c r="U343">
        <v>0</v>
      </c>
      <c r="V343">
        <v>1711.842608863049</v>
      </c>
      <c r="W343">
        <v>57.323841297917461</v>
      </c>
      <c r="X343">
        <v>92.756615264860756</v>
      </c>
      <c r="Y343">
        <v>116.33843943718323</v>
      </c>
      <c r="Z343">
        <v>580.9911150569186</v>
      </c>
      <c r="AA343">
        <v>32.294523219717</v>
      </c>
      <c r="AB343">
        <v>1.7533494664109999</v>
      </c>
      <c r="AC343">
        <v>20.996529123920595</v>
      </c>
      <c r="AD343">
        <v>25.109813417220739</v>
      </c>
      <c r="AE343">
        <v>154.62836720011725</v>
      </c>
      <c r="AF343">
        <v>9.1204734132615002</v>
      </c>
      <c r="AG343">
        <v>98.025926137388453</v>
      </c>
      <c r="AH343">
        <v>250.81099368537684</v>
      </c>
      <c r="AI343">
        <v>10.961548024342198</v>
      </c>
      <c r="AJ343">
        <v>119.80128312906785</v>
      </c>
      <c r="AK343">
        <v>148.89257723171136</v>
      </c>
      <c r="AL343">
        <v>29.758744406733701</v>
      </c>
      <c r="AM343">
        <v>25205.540680111226</v>
      </c>
      <c r="AN343">
        <v>4083.3568449299128</v>
      </c>
      <c r="AO343">
        <v>249.42922592270463</v>
      </c>
      <c r="AP343">
        <v>83.224955640451711</v>
      </c>
      <c r="AQ343">
        <v>0</v>
      </c>
      <c r="AR343">
        <v>0</v>
      </c>
      <c r="AS343">
        <v>315.67462065853982</v>
      </c>
      <c r="AT343">
        <v>0</v>
      </c>
      <c r="AU343">
        <v>0</v>
      </c>
      <c r="AV343">
        <v>171.36226751300575</v>
      </c>
      <c r="AW343">
        <v>14.875263999259001</v>
      </c>
      <c r="AX343">
        <v>0</v>
      </c>
      <c r="AY343">
        <v>559.41861560744769</v>
      </c>
      <c r="AZ343">
        <v>0</v>
      </c>
      <c r="BA343">
        <v>0</v>
      </c>
      <c r="BB343">
        <v>0</v>
      </c>
      <c r="BC343">
        <v>0</v>
      </c>
      <c r="BD343">
        <v>0</v>
      </c>
    </row>
    <row r="344" spans="1:56" x14ac:dyDescent="0.2">
      <c r="A344" t="s">
        <v>1515</v>
      </c>
      <c r="B344" t="s">
        <v>1173</v>
      </c>
      <c r="C344" t="s">
        <v>611</v>
      </c>
      <c r="D344">
        <v>2017</v>
      </c>
      <c r="E344" t="s">
        <v>1174</v>
      </c>
      <c r="F344" t="s">
        <v>1175</v>
      </c>
      <c r="G344">
        <v>13823.8328981001</v>
      </c>
      <c r="H344">
        <v>13732.534014430576</v>
      </c>
      <c r="I344">
        <v>91.298883761770824</v>
      </c>
      <c r="J344">
        <v>531.78429847337088</v>
      </c>
      <c r="K344">
        <v>1689.702897313545</v>
      </c>
      <c r="L344">
        <v>108.5054727080035</v>
      </c>
      <c r="M344">
        <v>401.8613467897008</v>
      </c>
      <c r="N344">
        <v>8557.0524336528742</v>
      </c>
      <c r="O344">
        <v>2443.627565493081</v>
      </c>
      <c r="P344">
        <v>91.298883761770824</v>
      </c>
      <c r="Q344">
        <v>0</v>
      </c>
      <c r="R344">
        <v>0</v>
      </c>
      <c r="S344">
        <v>0</v>
      </c>
      <c r="T344">
        <v>445.63499496784334</v>
      </c>
      <c r="U344">
        <v>86.149303505527598</v>
      </c>
      <c r="V344">
        <v>1012.8528103014962</v>
      </c>
      <c r="W344">
        <v>56.60869520397452</v>
      </c>
      <c r="X344">
        <v>151.19053423884597</v>
      </c>
      <c r="Y344">
        <v>46.293398918493892</v>
      </c>
      <c r="Z344">
        <v>422.75745865073446</v>
      </c>
      <c r="AA344">
        <v>3.0541338979099999</v>
      </c>
      <c r="AB344">
        <v>11.352771668207097</v>
      </c>
      <c r="AC344">
        <v>11.527318923702801</v>
      </c>
      <c r="AD344">
        <v>24.5813783251517</v>
      </c>
      <c r="AE344">
        <v>57.989869893031894</v>
      </c>
      <c r="AF344">
        <v>0</v>
      </c>
      <c r="AG344">
        <v>108.12110837769902</v>
      </c>
      <c r="AH344">
        <v>149.8552794741037</v>
      </c>
      <c r="AI344">
        <v>4.9741207648161598</v>
      </c>
      <c r="AJ344">
        <v>34.928798187533296</v>
      </c>
      <c r="AK344">
        <v>103.98203998554862</v>
      </c>
      <c r="AL344">
        <v>12.417398404109703</v>
      </c>
      <c r="AM344">
        <v>8544.6350352487643</v>
      </c>
      <c r="AN344">
        <v>2282.4856131807855</v>
      </c>
      <c r="AO344">
        <v>148.86783348060638</v>
      </c>
      <c r="AP344">
        <v>12.274118831689098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42.422866964740599</v>
      </c>
      <c r="AW344">
        <v>33.8832282716482</v>
      </c>
      <c r="AX344">
        <v>0</v>
      </c>
      <c r="AY344">
        <v>14.99278852538202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 spans="1:56" x14ac:dyDescent="0.2">
      <c r="A345" t="s">
        <v>1516</v>
      </c>
      <c r="B345" t="s">
        <v>1173</v>
      </c>
      <c r="C345" t="s">
        <v>952</v>
      </c>
      <c r="D345">
        <v>2017</v>
      </c>
      <c r="E345" t="s">
        <v>1174</v>
      </c>
      <c r="F345" t="s">
        <v>1175</v>
      </c>
      <c r="G345">
        <v>18982.976336424301</v>
      </c>
      <c r="H345">
        <v>12176.937325163375</v>
      </c>
      <c r="I345">
        <v>6806.0390112541481</v>
      </c>
      <c r="J345">
        <v>502.29134123962831</v>
      </c>
      <c r="K345">
        <v>1346.9751855752816</v>
      </c>
      <c r="L345">
        <v>94.61526361889976</v>
      </c>
      <c r="M345">
        <v>745.09486958224034</v>
      </c>
      <c r="N345">
        <v>7491.4651426334976</v>
      </c>
      <c r="O345">
        <v>1996.4955225138274</v>
      </c>
      <c r="P345">
        <v>2785.5469063424462</v>
      </c>
      <c r="Q345">
        <v>4020.4921049117015</v>
      </c>
      <c r="R345">
        <v>0</v>
      </c>
      <c r="S345">
        <v>0</v>
      </c>
      <c r="T345">
        <v>502.29134123962831</v>
      </c>
      <c r="U345">
        <v>0</v>
      </c>
      <c r="V345">
        <v>1062.1287820805769</v>
      </c>
      <c r="W345">
        <v>48.123733333280057</v>
      </c>
      <c r="X345">
        <v>16.581110564294693</v>
      </c>
      <c r="Y345">
        <v>54.289309459810625</v>
      </c>
      <c r="Z345">
        <v>165.85225013731915</v>
      </c>
      <c r="AA345">
        <v>0</v>
      </c>
      <c r="AB345">
        <v>0.47744088192</v>
      </c>
      <c r="AC345">
        <v>21.984751630172994</v>
      </c>
      <c r="AD345">
        <v>26.778316515201009</v>
      </c>
      <c r="AE345">
        <v>27.465145736904297</v>
      </c>
      <c r="AF345">
        <v>17.90960885470146</v>
      </c>
      <c r="AG345">
        <v>148.84201707082818</v>
      </c>
      <c r="AH345">
        <v>149.3400014236752</v>
      </c>
      <c r="AI345">
        <v>24.188560432385003</v>
      </c>
      <c r="AJ345">
        <v>171.86579714995781</v>
      </c>
      <c r="AK345">
        <v>250.85849350539422</v>
      </c>
      <c r="AL345">
        <v>312.41504946479688</v>
      </c>
      <c r="AM345">
        <v>7179.0500931687011</v>
      </c>
      <c r="AN345">
        <v>1052.6712106263844</v>
      </c>
      <c r="AO345">
        <v>767.78531812816209</v>
      </c>
      <c r="AP345">
        <v>176.03899375928077</v>
      </c>
      <c r="AQ345">
        <v>0</v>
      </c>
      <c r="AR345">
        <v>1791.9998258827341</v>
      </c>
      <c r="AS345">
        <v>0</v>
      </c>
      <c r="AT345">
        <v>0</v>
      </c>
      <c r="AU345">
        <v>0</v>
      </c>
      <c r="AV345">
        <v>61.249731263196303</v>
      </c>
      <c r="AW345">
        <v>29.515688166897</v>
      </c>
      <c r="AX345">
        <v>0</v>
      </c>
      <c r="AY345">
        <v>902.78166102961882</v>
      </c>
      <c r="AZ345">
        <v>0</v>
      </c>
      <c r="BA345">
        <v>0</v>
      </c>
      <c r="BB345">
        <v>0</v>
      </c>
      <c r="BC345">
        <v>4020.4921049117015</v>
      </c>
      <c r="BD34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B4F-B0FB-6C43-9E9C-735733498F66}">
  <sheetPr>
    <tabColor theme="0" tint="-0.249977111117893"/>
  </sheetPr>
  <dimension ref="A1:F343"/>
  <sheetViews>
    <sheetView workbookViewId="0">
      <selection activeCell="D13" sqref="D13"/>
    </sheetView>
  </sheetViews>
  <sheetFormatPr baseColWidth="10" defaultRowHeight="15" x14ac:dyDescent="0.2"/>
  <cols>
    <col min="1" max="1" width="12.5" bestFit="1" customWidth="1"/>
    <col min="2" max="2" width="15.1640625" bestFit="1" customWidth="1"/>
    <col min="3" max="3" width="20.83203125" customWidth="1"/>
    <col min="4" max="4" width="12" bestFit="1" customWidth="1"/>
    <col min="5" max="5" width="14" bestFit="1" customWidth="1"/>
  </cols>
  <sheetData>
    <row r="1" spans="1:6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 ht="16" x14ac:dyDescent="0.2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131</v>
      </c>
      <c r="F2" s="2" t="s">
        <v>132</v>
      </c>
    </row>
    <row r="3" spans="1:6" ht="32" x14ac:dyDescent="0.2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</row>
    <row r="4" spans="1:6" ht="16" x14ac:dyDescent="0.2">
      <c r="A4" s="2" t="s">
        <v>139</v>
      </c>
      <c r="B4" s="2" t="s">
        <v>140</v>
      </c>
      <c r="C4" s="2" t="s">
        <v>0</v>
      </c>
      <c r="D4" s="2" t="s">
        <v>141</v>
      </c>
      <c r="E4" s="2" t="s">
        <v>142</v>
      </c>
      <c r="F4" s="2" t="s">
        <v>143</v>
      </c>
    </row>
    <row r="5" spans="1:6" ht="16" x14ac:dyDescent="0.2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 t="s">
        <v>149</v>
      </c>
    </row>
    <row r="6" spans="1:6" ht="32" x14ac:dyDescent="0.2">
      <c r="A6" s="2" t="s">
        <v>150</v>
      </c>
      <c r="B6" s="2" t="s">
        <v>151</v>
      </c>
      <c r="C6" s="2" t="s">
        <v>152</v>
      </c>
      <c r="D6" s="2" t="s">
        <v>153</v>
      </c>
      <c r="E6" s="2" t="s">
        <v>154</v>
      </c>
      <c r="F6" s="2" t="s">
        <v>155</v>
      </c>
    </row>
    <row r="7" spans="1:6" ht="32" x14ac:dyDescent="0.2">
      <c r="A7" s="2" t="s">
        <v>156</v>
      </c>
      <c r="B7" s="2" t="s">
        <v>157</v>
      </c>
      <c r="C7" s="2" t="s">
        <v>158</v>
      </c>
      <c r="D7" s="2" t="s">
        <v>153</v>
      </c>
      <c r="E7" s="2" t="s">
        <v>154</v>
      </c>
      <c r="F7" s="2" t="s">
        <v>155</v>
      </c>
    </row>
    <row r="8" spans="1:6" ht="32" x14ac:dyDescent="0.2">
      <c r="A8" s="2" t="s">
        <v>159</v>
      </c>
      <c r="B8" s="2" t="s">
        <v>160</v>
      </c>
      <c r="C8" s="2" t="s">
        <v>1</v>
      </c>
      <c r="D8" s="2" t="s">
        <v>136</v>
      </c>
      <c r="E8" s="2" t="s">
        <v>137</v>
      </c>
      <c r="F8" s="2" t="s">
        <v>138</v>
      </c>
    </row>
    <row r="9" spans="1:6" ht="16" x14ac:dyDescent="0.2">
      <c r="A9" s="2" t="s">
        <v>161</v>
      </c>
      <c r="B9" s="2" t="s">
        <v>162</v>
      </c>
      <c r="C9" s="2" t="s">
        <v>2</v>
      </c>
      <c r="D9" s="2" t="s">
        <v>163</v>
      </c>
      <c r="E9" s="2" t="s">
        <v>164</v>
      </c>
      <c r="F9" s="2" t="s">
        <v>165</v>
      </c>
    </row>
    <row r="10" spans="1:6" ht="16" x14ac:dyDescent="0.2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170</v>
      </c>
      <c r="F10" s="2" t="s">
        <v>171</v>
      </c>
    </row>
    <row r="11" spans="1:6" ht="32" x14ac:dyDescent="0.2">
      <c r="A11" s="2" t="s">
        <v>172</v>
      </c>
      <c r="B11" s="2" t="s">
        <v>173</v>
      </c>
      <c r="C11" s="2" t="s">
        <v>3</v>
      </c>
      <c r="D11" s="2" t="s">
        <v>153</v>
      </c>
      <c r="E11" s="2" t="s">
        <v>154</v>
      </c>
      <c r="F11" s="2" t="s">
        <v>155</v>
      </c>
    </row>
    <row r="12" spans="1:6" ht="32" x14ac:dyDescent="0.2">
      <c r="A12" s="2" t="s">
        <v>174</v>
      </c>
      <c r="B12" s="2" t="s">
        <v>175</v>
      </c>
      <c r="C12" s="2" t="s">
        <v>176</v>
      </c>
      <c r="D12" s="2" t="s">
        <v>177</v>
      </c>
      <c r="E12" s="2" t="s">
        <v>178</v>
      </c>
      <c r="F12" s="2" t="s">
        <v>179</v>
      </c>
    </row>
    <row r="13" spans="1:6" ht="32" x14ac:dyDescent="0.2">
      <c r="A13" s="2" t="s">
        <v>180</v>
      </c>
      <c r="B13" s="2" t="s">
        <v>181</v>
      </c>
      <c r="C13" s="2" t="s">
        <v>182</v>
      </c>
      <c r="D13" s="2" t="s">
        <v>177</v>
      </c>
      <c r="E13" s="2" t="s">
        <v>178</v>
      </c>
      <c r="F13" s="2" t="s">
        <v>179</v>
      </c>
    </row>
    <row r="14" spans="1:6" ht="16" x14ac:dyDescent="0.2">
      <c r="A14" s="2" t="s">
        <v>183</v>
      </c>
      <c r="B14" s="2" t="s">
        <v>184</v>
      </c>
      <c r="C14" s="2" t="s">
        <v>185</v>
      </c>
      <c r="D14" s="2" t="s">
        <v>147</v>
      </c>
      <c r="E14" s="2" t="s">
        <v>148</v>
      </c>
      <c r="F14" s="2" t="s">
        <v>149</v>
      </c>
    </row>
    <row r="15" spans="1:6" ht="16" x14ac:dyDescent="0.2">
      <c r="A15" s="2" t="s">
        <v>186</v>
      </c>
      <c r="B15" s="2" t="s">
        <v>187</v>
      </c>
      <c r="C15" s="2" t="s">
        <v>4</v>
      </c>
      <c r="D15" s="2" t="s">
        <v>188</v>
      </c>
      <c r="E15" s="2" t="s">
        <v>189</v>
      </c>
      <c r="F15" s="2" t="s">
        <v>98</v>
      </c>
    </row>
    <row r="16" spans="1:6" ht="32" x14ac:dyDescent="0.2">
      <c r="A16" s="2" t="s">
        <v>190</v>
      </c>
      <c r="B16" s="2" t="s">
        <v>191</v>
      </c>
      <c r="C16" s="2" t="s">
        <v>192</v>
      </c>
      <c r="D16" s="2" t="s">
        <v>136</v>
      </c>
      <c r="E16" s="2" t="s">
        <v>137</v>
      </c>
      <c r="F16" s="2" t="s">
        <v>138</v>
      </c>
    </row>
    <row r="17" spans="1:6" ht="32" x14ac:dyDescent="0.2">
      <c r="A17" s="2" t="s">
        <v>193</v>
      </c>
      <c r="B17" s="2" t="s">
        <v>194</v>
      </c>
      <c r="C17" s="2" t="s">
        <v>5</v>
      </c>
      <c r="D17" s="2" t="s">
        <v>136</v>
      </c>
      <c r="E17" s="2" t="s">
        <v>137</v>
      </c>
      <c r="F17" s="2" t="s">
        <v>138</v>
      </c>
    </row>
    <row r="18" spans="1:6" ht="16" x14ac:dyDescent="0.2">
      <c r="A18" s="2" t="s">
        <v>195</v>
      </c>
      <c r="B18" s="2" t="s">
        <v>196</v>
      </c>
      <c r="C18" s="2" t="s">
        <v>6</v>
      </c>
      <c r="D18" s="2" t="s">
        <v>141</v>
      </c>
      <c r="E18" s="2" t="s">
        <v>142</v>
      </c>
      <c r="F18" s="2" t="s">
        <v>143</v>
      </c>
    </row>
    <row r="19" spans="1:6" ht="16" x14ac:dyDescent="0.2">
      <c r="A19" s="2" t="s">
        <v>197</v>
      </c>
      <c r="B19" s="2" t="s">
        <v>198</v>
      </c>
      <c r="C19" s="2" t="s">
        <v>7</v>
      </c>
      <c r="D19" s="2" t="s">
        <v>141</v>
      </c>
      <c r="E19" s="2" t="s">
        <v>142</v>
      </c>
      <c r="F19" s="2" t="s">
        <v>143</v>
      </c>
    </row>
    <row r="20" spans="1:6" ht="16" x14ac:dyDescent="0.2">
      <c r="A20" s="2" t="s">
        <v>199</v>
      </c>
      <c r="B20" s="2" t="s">
        <v>200</v>
      </c>
      <c r="C20" s="2" t="s">
        <v>8</v>
      </c>
      <c r="D20" s="2" t="s">
        <v>130</v>
      </c>
      <c r="E20" s="2" t="s">
        <v>131</v>
      </c>
      <c r="F20" s="2" t="s">
        <v>132</v>
      </c>
    </row>
    <row r="21" spans="1:6" ht="32" x14ac:dyDescent="0.2">
      <c r="A21" s="2" t="s">
        <v>201</v>
      </c>
      <c r="B21" s="2" t="s">
        <v>202</v>
      </c>
      <c r="C21" s="2" t="s">
        <v>203</v>
      </c>
      <c r="D21" s="2" t="s">
        <v>177</v>
      </c>
      <c r="E21" s="2" t="s">
        <v>178</v>
      </c>
      <c r="F21" s="2" t="s">
        <v>179</v>
      </c>
    </row>
    <row r="22" spans="1:6" ht="32" x14ac:dyDescent="0.2">
      <c r="A22" s="2" t="s">
        <v>204</v>
      </c>
      <c r="B22" s="2" t="s">
        <v>205</v>
      </c>
      <c r="C22" s="2" t="s">
        <v>206</v>
      </c>
      <c r="D22" s="2" t="s">
        <v>177</v>
      </c>
      <c r="E22" s="2" t="s">
        <v>178</v>
      </c>
      <c r="F22" s="2" t="s">
        <v>179</v>
      </c>
    </row>
    <row r="23" spans="1:6" ht="16" x14ac:dyDescent="0.2">
      <c r="A23" s="2" t="s">
        <v>207</v>
      </c>
      <c r="B23" s="2" t="s">
        <v>208</v>
      </c>
      <c r="C23" s="2" t="s">
        <v>9</v>
      </c>
      <c r="D23" s="2" t="s">
        <v>188</v>
      </c>
      <c r="E23" s="2" t="s">
        <v>189</v>
      </c>
      <c r="F23" s="2" t="s">
        <v>98</v>
      </c>
    </row>
    <row r="24" spans="1:6" ht="32" x14ac:dyDescent="0.2">
      <c r="A24" s="2" t="s">
        <v>209</v>
      </c>
      <c r="B24" s="2" t="s">
        <v>210</v>
      </c>
      <c r="C24" s="2" t="s">
        <v>10</v>
      </c>
      <c r="D24" s="2" t="s">
        <v>153</v>
      </c>
      <c r="E24" s="2" t="s">
        <v>154</v>
      </c>
      <c r="F24" s="2" t="s">
        <v>155</v>
      </c>
    </row>
    <row r="25" spans="1:6" ht="16" x14ac:dyDescent="0.2">
      <c r="A25" s="2" t="s">
        <v>211</v>
      </c>
      <c r="B25" s="2" t="s">
        <v>212</v>
      </c>
      <c r="C25" s="2" t="s">
        <v>11</v>
      </c>
      <c r="D25" s="2" t="s">
        <v>141</v>
      </c>
      <c r="E25" s="2" t="s">
        <v>142</v>
      </c>
      <c r="F25" s="2" t="s">
        <v>143</v>
      </c>
    </row>
    <row r="26" spans="1:6" ht="16" x14ac:dyDescent="0.2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217</v>
      </c>
      <c r="F26" s="2" t="s">
        <v>218</v>
      </c>
    </row>
    <row r="27" spans="1:6" ht="16" x14ac:dyDescent="0.2">
      <c r="A27" s="2" t="s">
        <v>219</v>
      </c>
      <c r="B27" s="2" t="s">
        <v>220</v>
      </c>
      <c r="C27" s="2" t="s">
        <v>221</v>
      </c>
      <c r="D27" s="2" t="s">
        <v>216</v>
      </c>
      <c r="E27" s="2" t="s">
        <v>217</v>
      </c>
      <c r="F27" s="2" t="s">
        <v>218</v>
      </c>
    </row>
    <row r="28" spans="1:6" ht="16" x14ac:dyDescent="0.2">
      <c r="A28" s="2" t="s">
        <v>222</v>
      </c>
      <c r="B28" s="2" t="s">
        <v>223</v>
      </c>
      <c r="C28" s="2" t="s">
        <v>224</v>
      </c>
      <c r="D28" s="2" t="s">
        <v>216</v>
      </c>
      <c r="E28" s="2" t="s">
        <v>217</v>
      </c>
      <c r="F28" s="2" t="s">
        <v>218</v>
      </c>
    </row>
    <row r="29" spans="1:6" ht="16" x14ac:dyDescent="0.2">
      <c r="A29" s="2" t="s">
        <v>225</v>
      </c>
      <c r="B29" s="2" t="s">
        <v>226</v>
      </c>
      <c r="C29" s="2" t="s">
        <v>227</v>
      </c>
      <c r="D29" s="2" t="s">
        <v>141</v>
      </c>
      <c r="E29" s="2" t="s">
        <v>142</v>
      </c>
      <c r="F29" s="2" t="s">
        <v>143</v>
      </c>
    </row>
    <row r="30" spans="1:6" ht="32" x14ac:dyDescent="0.2">
      <c r="A30" s="2" t="s">
        <v>228</v>
      </c>
      <c r="B30" s="2" t="s">
        <v>229</v>
      </c>
      <c r="C30" s="2" t="s">
        <v>230</v>
      </c>
      <c r="D30" s="2" t="s">
        <v>177</v>
      </c>
      <c r="E30" s="2" t="s">
        <v>178</v>
      </c>
      <c r="F30" s="2" t="s">
        <v>179</v>
      </c>
    </row>
    <row r="31" spans="1:6" ht="16" x14ac:dyDescent="0.2">
      <c r="A31" s="2" t="s">
        <v>231</v>
      </c>
      <c r="B31" s="2" t="s">
        <v>232</v>
      </c>
      <c r="C31" s="2" t="s">
        <v>233</v>
      </c>
      <c r="D31" s="2" t="s">
        <v>216</v>
      </c>
      <c r="E31" s="2" t="s">
        <v>217</v>
      </c>
      <c r="F31" s="2" t="s">
        <v>218</v>
      </c>
    </row>
    <row r="32" spans="1:6" ht="32" x14ac:dyDescent="0.2">
      <c r="A32" s="2" t="s">
        <v>234</v>
      </c>
      <c r="B32" s="2" t="s">
        <v>235</v>
      </c>
      <c r="C32" s="2" t="s">
        <v>236</v>
      </c>
      <c r="D32" s="2" t="s">
        <v>136</v>
      </c>
      <c r="E32" s="2" t="s">
        <v>137</v>
      </c>
      <c r="F32" s="2" t="s">
        <v>138</v>
      </c>
    </row>
    <row r="33" spans="1:6" ht="32" x14ac:dyDescent="0.2">
      <c r="A33" s="2" t="s">
        <v>237</v>
      </c>
      <c r="B33" s="2" t="s">
        <v>238</v>
      </c>
      <c r="C33" s="2" t="s">
        <v>12</v>
      </c>
      <c r="D33" s="2" t="s">
        <v>177</v>
      </c>
      <c r="E33" s="2" t="s">
        <v>178</v>
      </c>
      <c r="F33" s="2" t="s">
        <v>179</v>
      </c>
    </row>
    <row r="34" spans="1:6" ht="16" x14ac:dyDescent="0.2">
      <c r="A34" s="2" t="s">
        <v>239</v>
      </c>
      <c r="B34" s="2" t="s">
        <v>240</v>
      </c>
      <c r="C34" s="2" t="s">
        <v>241</v>
      </c>
      <c r="D34" s="2" t="s">
        <v>141</v>
      </c>
      <c r="E34" s="2" t="s">
        <v>142</v>
      </c>
      <c r="F34" s="2" t="s">
        <v>143</v>
      </c>
    </row>
    <row r="35" spans="1:6" ht="32" x14ac:dyDescent="0.2">
      <c r="A35" s="2" t="s">
        <v>242</v>
      </c>
      <c r="B35" s="2" t="s">
        <v>243</v>
      </c>
      <c r="C35" s="2" t="s">
        <v>244</v>
      </c>
      <c r="D35" s="2" t="s">
        <v>177</v>
      </c>
      <c r="E35" s="2" t="s">
        <v>178</v>
      </c>
      <c r="F35" s="2" t="s">
        <v>179</v>
      </c>
    </row>
    <row r="36" spans="1:6" ht="32" x14ac:dyDescent="0.2">
      <c r="A36" s="2" t="s">
        <v>245</v>
      </c>
      <c r="B36" s="2" t="s">
        <v>246</v>
      </c>
      <c r="C36" s="2" t="s">
        <v>13</v>
      </c>
      <c r="D36" s="2" t="s">
        <v>177</v>
      </c>
      <c r="E36" s="2" t="s">
        <v>178</v>
      </c>
      <c r="F36" s="2" t="s">
        <v>179</v>
      </c>
    </row>
    <row r="37" spans="1:6" ht="16" x14ac:dyDescent="0.2">
      <c r="A37" s="2" t="s">
        <v>247</v>
      </c>
      <c r="B37" s="2" t="s">
        <v>248</v>
      </c>
      <c r="C37" s="2" t="s">
        <v>249</v>
      </c>
      <c r="D37" s="2" t="s">
        <v>141</v>
      </c>
      <c r="E37" s="2" t="s">
        <v>142</v>
      </c>
      <c r="F37" s="2" t="s">
        <v>143</v>
      </c>
    </row>
    <row r="38" spans="1:6" ht="32" x14ac:dyDescent="0.2">
      <c r="A38" s="2" t="s">
        <v>250</v>
      </c>
      <c r="B38" s="2" t="s">
        <v>251</v>
      </c>
      <c r="C38" s="2" t="s">
        <v>14</v>
      </c>
      <c r="D38" s="2" t="s">
        <v>136</v>
      </c>
      <c r="E38" s="2" t="s">
        <v>137</v>
      </c>
      <c r="F38" s="2" t="s">
        <v>138</v>
      </c>
    </row>
    <row r="39" spans="1:6" ht="16" x14ac:dyDescent="0.2">
      <c r="A39" s="2" t="s">
        <v>252</v>
      </c>
      <c r="B39" s="2" t="s">
        <v>253</v>
      </c>
      <c r="C39" s="2" t="s">
        <v>254</v>
      </c>
      <c r="D39" s="2" t="s">
        <v>188</v>
      </c>
      <c r="E39" s="2" t="s">
        <v>189</v>
      </c>
      <c r="F39" s="2" t="s">
        <v>98</v>
      </c>
    </row>
    <row r="40" spans="1:6" ht="32" x14ac:dyDescent="0.2">
      <c r="A40" s="2" t="s">
        <v>255</v>
      </c>
      <c r="B40" s="2" t="s">
        <v>256</v>
      </c>
      <c r="C40" s="2" t="s">
        <v>257</v>
      </c>
      <c r="D40" s="2" t="s">
        <v>177</v>
      </c>
      <c r="E40" s="2" t="s">
        <v>178</v>
      </c>
      <c r="F40" s="2" t="s">
        <v>179</v>
      </c>
    </row>
    <row r="41" spans="1:6" ht="32" x14ac:dyDescent="0.2">
      <c r="A41" s="2" t="s">
        <v>258</v>
      </c>
      <c r="B41" s="2" t="s">
        <v>259</v>
      </c>
      <c r="C41" s="2" t="s">
        <v>260</v>
      </c>
      <c r="D41" s="2" t="s">
        <v>136</v>
      </c>
      <c r="E41" s="2" t="s">
        <v>137</v>
      </c>
      <c r="F41" s="2" t="s">
        <v>138</v>
      </c>
    </row>
    <row r="42" spans="1:6" ht="32" x14ac:dyDescent="0.2">
      <c r="A42" s="2" t="s">
        <v>261</v>
      </c>
      <c r="B42" s="2" t="s">
        <v>262</v>
      </c>
      <c r="C42" s="2" t="s">
        <v>15</v>
      </c>
      <c r="D42" s="2" t="s">
        <v>136</v>
      </c>
      <c r="E42" s="2" t="s">
        <v>137</v>
      </c>
      <c r="F42" s="2" t="s">
        <v>138</v>
      </c>
    </row>
    <row r="43" spans="1:6" ht="32" x14ac:dyDescent="0.2">
      <c r="A43" s="2" t="s">
        <v>263</v>
      </c>
      <c r="B43" s="2" t="s">
        <v>264</v>
      </c>
      <c r="C43" s="2" t="s">
        <v>265</v>
      </c>
      <c r="D43" s="2" t="s">
        <v>153</v>
      </c>
      <c r="E43" s="2" t="s">
        <v>154</v>
      </c>
      <c r="F43" s="2" t="s">
        <v>155</v>
      </c>
    </row>
    <row r="44" spans="1:6" ht="32" x14ac:dyDescent="0.2">
      <c r="A44" s="2" t="s">
        <v>266</v>
      </c>
      <c r="B44" s="2" t="s">
        <v>267</v>
      </c>
      <c r="C44" s="2" t="s">
        <v>268</v>
      </c>
      <c r="D44" s="2" t="s">
        <v>177</v>
      </c>
      <c r="E44" s="2" t="s">
        <v>178</v>
      </c>
      <c r="F44" s="2" t="s">
        <v>179</v>
      </c>
    </row>
    <row r="45" spans="1:6" ht="16" x14ac:dyDescent="0.2">
      <c r="A45" s="2" t="s">
        <v>269</v>
      </c>
      <c r="B45" s="2" t="s">
        <v>270</v>
      </c>
      <c r="C45" s="2" t="s">
        <v>271</v>
      </c>
      <c r="D45" s="2" t="s">
        <v>130</v>
      </c>
      <c r="E45" s="2" t="s">
        <v>131</v>
      </c>
      <c r="F45" s="2" t="s">
        <v>132</v>
      </c>
    </row>
    <row r="46" spans="1:6" ht="16" x14ac:dyDescent="0.2">
      <c r="A46" s="2" t="s">
        <v>272</v>
      </c>
      <c r="B46" s="2" t="s">
        <v>273</v>
      </c>
      <c r="C46" s="2" t="s">
        <v>16</v>
      </c>
      <c r="D46" s="2" t="s">
        <v>163</v>
      </c>
      <c r="E46" s="2" t="s">
        <v>164</v>
      </c>
      <c r="F46" s="2" t="s">
        <v>165</v>
      </c>
    </row>
    <row r="47" spans="1:6" ht="16" x14ac:dyDescent="0.2">
      <c r="A47" s="2" t="s">
        <v>274</v>
      </c>
      <c r="B47" s="2" t="s">
        <v>275</v>
      </c>
      <c r="C47" s="2" t="s">
        <v>276</v>
      </c>
      <c r="D47" s="2" t="s">
        <v>277</v>
      </c>
      <c r="E47" s="2" t="s">
        <v>278</v>
      </c>
      <c r="F47" s="2" t="s">
        <v>279</v>
      </c>
    </row>
    <row r="48" spans="1:6" ht="32" x14ac:dyDescent="0.2">
      <c r="A48" s="2" t="s">
        <v>280</v>
      </c>
      <c r="B48" s="2" t="s">
        <v>281</v>
      </c>
      <c r="C48" s="2" t="s">
        <v>17</v>
      </c>
      <c r="D48" s="2" t="s">
        <v>177</v>
      </c>
      <c r="E48" s="2" t="s">
        <v>178</v>
      </c>
      <c r="F48" s="2" t="s">
        <v>179</v>
      </c>
    </row>
    <row r="49" spans="1:6" ht="32" x14ac:dyDescent="0.2">
      <c r="A49" s="2" t="s">
        <v>282</v>
      </c>
      <c r="B49" s="2" t="s">
        <v>283</v>
      </c>
      <c r="C49" s="2" t="s">
        <v>18</v>
      </c>
      <c r="D49" s="2" t="s">
        <v>177</v>
      </c>
      <c r="E49" s="2" t="s">
        <v>178</v>
      </c>
      <c r="F49" s="2" t="s">
        <v>179</v>
      </c>
    </row>
    <row r="50" spans="1:6" ht="16" x14ac:dyDescent="0.2">
      <c r="A50" s="2" t="s">
        <v>284</v>
      </c>
      <c r="B50" s="2" t="s">
        <v>285</v>
      </c>
      <c r="C50" s="2" t="s">
        <v>286</v>
      </c>
      <c r="D50" s="2" t="s">
        <v>141</v>
      </c>
      <c r="E50" s="2" t="s">
        <v>142</v>
      </c>
      <c r="F50" s="2" t="s">
        <v>143</v>
      </c>
    </row>
    <row r="51" spans="1:6" ht="16" x14ac:dyDescent="0.2">
      <c r="A51" s="2" t="s">
        <v>287</v>
      </c>
      <c r="B51" s="2" t="s">
        <v>288</v>
      </c>
      <c r="C51" s="2" t="s">
        <v>19</v>
      </c>
      <c r="D51" s="2" t="s">
        <v>141</v>
      </c>
      <c r="E51" s="2" t="s">
        <v>142</v>
      </c>
      <c r="F51" s="2" t="s">
        <v>143</v>
      </c>
    </row>
    <row r="52" spans="1:6" ht="16" x14ac:dyDescent="0.2">
      <c r="A52" s="2" t="s">
        <v>289</v>
      </c>
      <c r="B52" s="2" t="s">
        <v>290</v>
      </c>
      <c r="C52" s="2" t="s">
        <v>291</v>
      </c>
      <c r="D52" s="2" t="s">
        <v>216</v>
      </c>
      <c r="E52" s="2" t="s">
        <v>217</v>
      </c>
      <c r="F52" s="2" t="s">
        <v>218</v>
      </c>
    </row>
    <row r="53" spans="1:6" ht="16" x14ac:dyDescent="0.2">
      <c r="A53" s="2" t="s">
        <v>292</v>
      </c>
      <c r="B53" s="2" t="s">
        <v>293</v>
      </c>
      <c r="C53" s="2" t="s">
        <v>20</v>
      </c>
      <c r="D53" s="2" t="s">
        <v>188</v>
      </c>
      <c r="E53" s="2" t="s">
        <v>189</v>
      </c>
      <c r="F53" s="2" t="s">
        <v>98</v>
      </c>
    </row>
    <row r="54" spans="1:6" ht="16" x14ac:dyDescent="0.2">
      <c r="A54" s="2" t="s">
        <v>294</v>
      </c>
      <c r="B54" s="2" t="s">
        <v>295</v>
      </c>
      <c r="C54" s="2" t="s">
        <v>296</v>
      </c>
      <c r="D54" s="2" t="s">
        <v>188</v>
      </c>
      <c r="E54" s="2" t="s">
        <v>189</v>
      </c>
      <c r="F54" s="2" t="s">
        <v>98</v>
      </c>
    </row>
    <row r="55" spans="1:6" ht="16" x14ac:dyDescent="0.2">
      <c r="A55" s="2" t="s">
        <v>297</v>
      </c>
      <c r="B55" s="2" t="s">
        <v>298</v>
      </c>
      <c r="C55" s="2" t="s">
        <v>299</v>
      </c>
      <c r="D55" s="2" t="s">
        <v>141</v>
      </c>
      <c r="E55" s="2" t="s">
        <v>142</v>
      </c>
      <c r="F55" s="2" t="s">
        <v>143</v>
      </c>
    </row>
    <row r="56" spans="1:6" ht="32" x14ac:dyDescent="0.2">
      <c r="A56" s="2" t="s">
        <v>300</v>
      </c>
      <c r="B56" s="2" t="s">
        <v>301</v>
      </c>
      <c r="C56" s="2" t="s">
        <v>21</v>
      </c>
      <c r="D56" s="2" t="s">
        <v>153</v>
      </c>
      <c r="E56" s="2" t="s">
        <v>154</v>
      </c>
      <c r="F56" s="2" t="s">
        <v>155</v>
      </c>
    </row>
    <row r="57" spans="1:6" ht="32" x14ac:dyDescent="0.2">
      <c r="A57" s="2" t="s">
        <v>302</v>
      </c>
      <c r="B57" s="2" t="s">
        <v>303</v>
      </c>
      <c r="C57" s="2" t="s">
        <v>22</v>
      </c>
      <c r="D57" s="2" t="s">
        <v>136</v>
      </c>
      <c r="E57" s="2" t="s">
        <v>137</v>
      </c>
      <c r="F57" s="2" t="s">
        <v>138</v>
      </c>
    </row>
    <row r="58" spans="1:6" ht="16" x14ac:dyDescent="0.2">
      <c r="A58" s="2" t="s">
        <v>304</v>
      </c>
      <c r="B58" s="2" t="s">
        <v>305</v>
      </c>
      <c r="C58" s="2" t="s">
        <v>24</v>
      </c>
      <c r="D58" s="2" t="s">
        <v>130</v>
      </c>
      <c r="E58" s="2" t="s">
        <v>131</v>
      </c>
      <c r="F58" s="2" t="s">
        <v>132</v>
      </c>
    </row>
    <row r="59" spans="1:6" ht="32" x14ac:dyDescent="0.2">
      <c r="A59" s="2" t="s">
        <v>306</v>
      </c>
      <c r="B59" s="2" t="s">
        <v>307</v>
      </c>
      <c r="C59" s="2" t="s">
        <v>308</v>
      </c>
      <c r="D59" s="2" t="s">
        <v>177</v>
      </c>
      <c r="E59" s="2" t="s">
        <v>178</v>
      </c>
      <c r="F59" s="2" t="s">
        <v>179</v>
      </c>
    </row>
    <row r="60" spans="1:6" ht="16" x14ac:dyDescent="0.2">
      <c r="A60" s="2" t="s">
        <v>309</v>
      </c>
      <c r="B60" s="2" t="s">
        <v>310</v>
      </c>
      <c r="C60" s="2" t="s">
        <v>25</v>
      </c>
      <c r="D60" s="2" t="s">
        <v>141</v>
      </c>
      <c r="E60" s="2" t="s">
        <v>142</v>
      </c>
      <c r="F60" s="2" t="s">
        <v>143</v>
      </c>
    </row>
    <row r="61" spans="1:6" ht="16" x14ac:dyDescent="0.2">
      <c r="A61" s="2" t="s">
        <v>311</v>
      </c>
      <c r="B61" s="2" t="s">
        <v>312</v>
      </c>
      <c r="C61" s="2" t="s">
        <v>26</v>
      </c>
      <c r="D61" s="2" t="s">
        <v>163</v>
      </c>
      <c r="E61" s="2" t="s">
        <v>164</v>
      </c>
      <c r="F61" s="2" t="s">
        <v>165</v>
      </c>
    </row>
    <row r="62" spans="1:6" ht="16" x14ac:dyDescent="0.2">
      <c r="A62" s="2" t="s">
        <v>313</v>
      </c>
      <c r="B62" s="2" t="s">
        <v>314</v>
      </c>
      <c r="C62" s="2" t="s">
        <v>315</v>
      </c>
      <c r="D62" s="2" t="s">
        <v>147</v>
      </c>
      <c r="E62" s="2" t="s">
        <v>148</v>
      </c>
      <c r="F62" s="2" t="s">
        <v>149</v>
      </c>
    </row>
    <row r="63" spans="1:6" ht="32" x14ac:dyDescent="0.2">
      <c r="A63" s="2" t="s">
        <v>316</v>
      </c>
      <c r="B63" s="2" t="s">
        <v>317</v>
      </c>
      <c r="C63" s="2" t="s">
        <v>27</v>
      </c>
      <c r="D63" s="2" t="s">
        <v>153</v>
      </c>
      <c r="E63" s="2" t="s">
        <v>154</v>
      </c>
      <c r="F63" s="2" t="s">
        <v>155</v>
      </c>
    </row>
    <row r="64" spans="1:6" ht="32" x14ac:dyDescent="0.2">
      <c r="A64" s="2" t="s">
        <v>318</v>
      </c>
      <c r="B64" s="2" t="s">
        <v>319</v>
      </c>
      <c r="C64" s="2" t="s">
        <v>29</v>
      </c>
      <c r="D64" s="2" t="s">
        <v>177</v>
      </c>
      <c r="E64" s="2" t="s">
        <v>178</v>
      </c>
      <c r="F64" s="2" t="s">
        <v>179</v>
      </c>
    </row>
    <row r="65" spans="1:6" ht="16" x14ac:dyDescent="0.2">
      <c r="A65" s="2" t="s">
        <v>320</v>
      </c>
      <c r="B65" s="2" t="s">
        <v>321</v>
      </c>
      <c r="C65" s="2" t="s">
        <v>30</v>
      </c>
      <c r="D65" s="2" t="s">
        <v>163</v>
      </c>
      <c r="E65" s="2" t="s">
        <v>164</v>
      </c>
      <c r="F65" s="2" t="s">
        <v>165</v>
      </c>
    </row>
    <row r="66" spans="1:6" ht="32" x14ac:dyDescent="0.2">
      <c r="A66" s="2" t="s">
        <v>322</v>
      </c>
      <c r="B66" s="2" t="s">
        <v>323</v>
      </c>
      <c r="C66" s="2" t="s">
        <v>31</v>
      </c>
      <c r="D66" s="2" t="s">
        <v>136</v>
      </c>
      <c r="E66" s="2" t="s">
        <v>137</v>
      </c>
      <c r="F66" s="2" t="s">
        <v>138</v>
      </c>
    </row>
    <row r="67" spans="1:6" ht="32" x14ac:dyDescent="0.2">
      <c r="A67" s="2" t="s">
        <v>324</v>
      </c>
      <c r="B67" s="2" t="s">
        <v>325</v>
      </c>
      <c r="C67" s="2" t="s">
        <v>326</v>
      </c>
      <c r="D67" s="2" t="s">
        <v>136</v>
      </c>
      <c r="E67" s="2" t="s">
        <v>137</v>
      </c>
      <c r="F67" s="2" t="s">
        <v>138</v>
      </c>
    </row>
    <row r="68" spans="1:6" ht="16" x14ac:dyDescent="0.2">
      <c r="A68" s="2" t="s">
        <v>327</v>
      </c>
      <c r="B68" s="2" t="s">
        <v>328</v>
      </c>
      <c r="C68" s="2" t="s">
        <v>329</v>
      </c>
      <c r="D68" s="2" t="s">
        <v>163</v>
      </c>
      <c r="E68" s="2" t="s">
        <v>164</v>
      </c>
      <c r="F68" s="2" t="s">
        <v>165</v>
      </c>
    </row>
    <row r="69" spans="1:6" ht="16" x14ac:dyDescent="0.2">
      <c r="A69" s="2" t="s">
        <v>330</v>
      </c>
      <c r="B69" s="2" t="s">
        <v>331</v>
      </c>
      <c r="C69" s="2" t="s">
        <v>332</v>
      </c>
      <c r="D69" s="2" t="s">
        <v>141</v>
      </c>
      <c r="E69" s="2" t="s">
        <v>142</v>
      </c>
      <c r="F69" s="2" t="s">
        <v>143</v>
      </c>
    </row>
    <row r="70" spans="1:6" ht="16" x14ac:dyDescent="0.2">
      <c r="A70" s="2" t="s">
        <v>333</v>
      </c>
      <c r="B70" s="2" t="s">
        <v>334</v>
      </c>
      <c r="C70" s="2" t="s">
        <v>32</v>
      </c>
      <c r="D70" s="2" t="s">
        <v>141</v>
      </c>
      <c r="E70" s="2" t="s">
        <v>142</v>
      </c>
      <c r="F70" s="2" t="s">
        <v>143</v>
      </c>
    </row>
    <row r="71" spans="1:6" ht="32" x14ac:dyDescent="0.2">
      <c r="A71" s="2" t="s">
        <v>335</v>
      </c>
      <c r="B71" s="2" t="s">
        <v>336</v>
      </c>
      <c r="C71" s="2" t="s">
        <v>337</v>
      </c>
      <c r="D71" s="2" t="s">
        <v>177</v>
      </c>
      <c r="E71" s="2" t="s">
        <v>178</v>
      </c>
      <c r="F71" s="2" t="s">
        <v>179</v>
      </c>
    </row>
    <row r="72" spans="1:6" ht="32" x14ac:dyDescent="0.2">
      <c r="A72" s="2" t="s">
        <v>338</v>
      </c>
      <c r="B72" s="2" t="s">
        <v>339</v>
      </c>
      <c r="C72" s="2" t="s">
        <v>33</v>
      </c>
      <c r="D72" s="2" t="s">
        <v>153</v>
      </c>
      <c r="E72" s="2" t="s">
        <v>154</v>
      </c>
      <c r="F72" s="2" t="s">
        <v>155</v>
      </c>
    </row>
    <row r="73" spans="1:6" ht="32" x14ac:dyDescent="0.2">
      <c r="A73" s="2" t="s">
        <v>340</v>
      </c>
      <c r="B73" s="2" t="s">
        <v>341</v>
      </c>
      <c r="C73" s="2" t="s">
        <v>342</v>
      </c>
      <c r="D73" s="2" t="s">
        <v>136</v>
      </c>
      <c r="E73" s="2" t="s">
        <v>137</v>
      </c>
      <c r="F73" s="2" t="s">
        <v>138</v>
      </c>
    </row>
    <row r="74" spans="1:6" ht="32" x14ac:dyDescent="0.2">
      <c r="A74" s="2" t="s">
        <v>343</v>
      </c>
      <c r="B74" s="2" t="s">
        <v>344</v>
      </c>
      <c r="C74" s="2" t="s">
        <v>345</v>
      </c>
      <c r="D74" s="2" t="s">
        <v>177</v>
      </c>
      <c r="E74" s="2" t="s">
        <v>178</v>
      </c>
      <c r="F74" s="2" t="s">
        <v>179</v>
      </c>
    </row>
    <row r="75" spans="1:6" ht="16" x14ac:dyDescent="0.2">
      <c r="A75" s="2" t="s">
        <v>346</v>
      </c>
      <c r="B75" s="2" t="s">
        <v>347</v>
      </c>
      <c r="C75" s="2" t="s">
        <v>34</v>
      </c>
      <c r="D75" s="2" t="s">
        <v>169</v>
      </c>
      <c r="E75" s="2" t="s">
        <v>170</v>
      </c>
      <c r="F75" s="2" t="s">
        <v>171</v>
      </c>
    </row>
    <row r="76" spans="1:6" ht="16" x14ac:dyDescent="0.2">
      <c r="A76" s="2" t="s">
        <v>348</v>
      </c>
      <c r="B76" s="2" t="s">
        <v>349</v>
      </c>
      <c r="C76" s="2" t="s">
        <v>350</v>
      </c>
      <c r="D76" s="2" t="s">
        <v>141</v>
      </c>
      <c r="E76" s="2" t="s">
        <v>142</v>
      </c>
      <c r="F76" s="2" t="s">
        <v>143</v>
      </c>
    </row>
    <row r="77" spans="1:6" ht="16" x14ac:dyDescent="0.2">
      <c r="A77" s="2" t="s">
        <v>351</v>
      </c>
      <c r="B77" s="2" t="s">
        <v>352</v>
      </c>
      <c r="C77" s="2" t="s">
        <v>35</v>
      </c>
      <c r="D77" s="2" t="s">
        <v>141</v>
      </c>
      <c r="E77" s="2" t="s">
        <v>142</v>
      </c>
      <c r="F77" s="2" t="s">
        <v>143</v>
      </c>
    </row>
    <row r="78" spans="1:6" ht="16" x14ac:dyDescent="0.2">
      <c r="A78" s="2" t="s">
        <v>353</v>
      </c>
      <c r="B78" s="2" t="s">
        <v>354</v>
      </c>
      <c r="C78" s="2" t="s">
        <v>355</v>
      </c>
      <c r="D78" s="2" t="s">
        <v>216</v>
      </c>
      <c r="E78" s="2" t="s">
        <v>217</v>
      </c>
      <c r="F78" s="2" t="s">
        <v>218</v>
      </c>
    </row>
    <row r="79" spans="1:6" ht="32" x14ac:dyDescent="0.2">
      <c r="A79" s="2" t="s">
        <v>356</v>
      </c>
      <c r="B79" s="2" t="s">
        <v>357</v>
      </c>
      <c r="C79" s="2" t="s">
        <v>358</v>
      </c>
      <c r="D79" s="2" t="s">
        <v>136</v>
      </c>
      <c r="E79" s="2" t="s">
        <v>137</v>
      </c>
      <c r="F79" s="2" t="s">
        <v>138</v>
      </c>
    </row>
    <row r="80" spans="1:6" ht="16" x14ac:dyDescent="0.2">
      <c r="A80" s="2" t="s">
        <v>359</v>
      </c>
      <c r="B80" s="2" t="s">
        <v>360</v>
      </c>
      <c r="C80" s="2" t="s">
        <v>36</v>
      </c>
      <c r="D80" s="2" t="s">
        <v>141</v>
      </c>
      <c r="E80" s="2" t="s">
        <v>142</v>
      </c>
      <c r="F80" s="2" t="s">
        <v>143</v>
      </c>
    </row>
    <row r="81" spans="1:6" ht="16" x14ac:dyDescent="0.2">
      <c r="A81" s="2" t="s">
        <v>361</v>
      </c>
      <c r="B81" s="2" t="s">
        <v>362</v>
      </c>
      <c r="C81" s="2" t="s">
        <v>363</v>
      </c>
      <c r="D81" s="2" t="s">
        <v>188</v>
      </c>
      <c r="E81" s="2" t="s">
        <v>189</v>
      </c>
      <c r="F81" s="2" t="s">
        <v>98</v>
      </c>
    </row>
    <row r="82" spans="1:6" ht="16" x14ac:dyDescent="0.2">
      <c r="A82" s="2" t="s">
        <v>364</v>
      </c>
      <c r="B82" s="2" t="s">
        <v>365</v>
      </c>
      <c r="C82" s="2" t="s">
        <v>366</v>
      </c>
      <c r="D82" s="2" t="s">
        <v>367</v>
      </c>
      <c r="E82" s="2" t="s">
        <v>368</v>
      </c>
      <c r="F82" s="2" t="s">
        <v>46</v>
      </c>
    </row>
    <row r="83" spans="1:6" ht="32" x14ac:dyDescent="0.2">
      <c r="A83" s="2" t="s">
        <v>369</v>
      </c>
      <c r="B83" s="2" t="s">
        <v>370</v>
      </c>
      <c r="C83" s="2" t="s">
        <v>371</v>
      </c>
      <c r="D83" s="2" t="s">
        <v>177</v>
      </c>
      <c r="E83" s="2" t="s">
        <v>178</v>
      </c>
      <c r="F83" s="2" t="s">
        <v>179</v>
      </c>
    </row>
    <row r="84" spans="1:6" ht="16" x14ac:dyDescent="0.2">
      <c r="A84" s="2" t="s">
        <v>372</v>
      </c>
      <c r="B84" s="2" t="s">
        <v>373</v>
      </c>
      <c r="C84" s="2" t="s">
        <v>374</v>
      </c>
      <c r="D84" s="2" t="s">
        <v>216</v>
      </c>
      <c r="E84" s="2" t="s">
        <v>217</v>
      </c>
      <c r="F84" s="2" t="s">
        <v>218</v>
      </c>
    </row>
    <row r="85" spans="1:6" ht="32" x14ac:dyDescent="0.2">
      <c r="A85" s="2" t="s">
        <v>375</v>
      </c>
      <c r="B85" s="2" t="s">
        <v>376</v>
      </c>
      <c r="C85" s="2" t="s">
        <v>37</v>
      </c>
      <c r="D85" s="2" t="s">
        <v>177</v>
      </c>
      <c r="E85" s="2" t="s">
        <v>178</v>
      </c>
      <c r="F85" s="2" t="s">
        <v>179</v>
      </c>
    </row>
    <row r="86" spans="1:6" ht="16" x14ac:dyDescent="0.2">
      <c r="A86" s="2" t="s">
        <v>377</v>
      </c>
      <c r="B86" s="2" t="s">
        <v>378</v>
      </c>
      <c r="C86" s="2" t="s">
        <v>379</v>
      </c>
      <c r="D86" s="2" t="s">
        <v>141</v>
      </c>
      <c r="E86" s="2" t="s">
        <v>142</v>
      </c>
      <c r="F86" s="2" t="s">
        <v>143</v>
      </c>
    </row>
    <row r="87" spans="1:6" ht="16" x14ac:dyDescent="0.2">
      <c r="A87" s="2" t="s">
        <v>380</v>
      </c>
      <c r="B87" s="2" t="s">
        <v>381</v>
      </c>
      <c r="C87" s="2" t="s">
        <v>38</v>
      </c>
      <c r="D87" s="2" t="s">
        <v>130</v>
      </c>
      <c r="E87" s="2" t="s">
        <v>131</v>
      </c>
      <c r="F87" s="2" t="s">
        <v>132</v>
      </c>
    </row>
    <row r="88" spans="1:6" ht="32" x14ac:dyDescent="0.2">
      <c r="A88" s="2" t="s">
        <v>382</v>
      </c>
      <c r="B88" s="2" t="s">
        <v>383</v>
      </c>
      <c r="C88" s="2" t="s">
        <v>39</v>
      </c>
      <c r="D88" s="2" t="s">
        <v>136</v>
      </c>
      <c r="E88" s="2" t="s">
        <v>137</v>
      </c>
      <c r="F88" s="2" t="s">
        <v>138</v>
      </c>
    </row>
    <row r="89" spans="1:6" ht="16" x14ac:dyDescent="0.2">
      <c r="A89" s="2" t="s">
        <v>384</v>
      </c>
      <c r="B89" s="2" t="s">
        <v>385</v>
      </c>
      <c r="C89" s="2" t="s">
        <v>40</v>
      </c>
      <c r="D89" s="2" t="s">
        <v>163</v>
      </c>
      <c r="E89" s="2" t="s">
        <v>164</v>
      </c>
      <c r="F89" s="2" t="s">
        <v>165</v>
      </c>
    </row>
    <row r="90" spans="1:6" ht="16" x14ac:dyDescent="0.2">
      <c r="A90" s="2" t="s">
        <v>386</v>
      </c>
      <c r="B90" s="2" t="s">
        <v>387</v>
      </c>
      <c r="C90" s="2" t="s">
        <v>388</v>
      </c>
      <c r="D90" s="2" t="s">
        <v>141</v>
      </c>
      <c r="E90" s="2" t="s">
        <v>142</v>
      </c>
      <c r="F90" s="2" t="s">
        <v>143</v>
      </c>
    </row>
    <row r="91" spans="1:6" ht="16" x14ac:dyDescent="0.2">
      <c r="A91" s="2" t="s">
        <v>389</v>
      </c>
      <c r="B91" s="2" t="s">
        <v>390</v>
      </c>
      <c r="C91" s="2" t="s">
        <v>41</v>
      </c>
      <c r="D91" s="2" t="s">
        <v>141</v>
      </c>
      <c r="E91" s="2" t="s">
        <v>142</v>
      </c>
      <c r="F91" s="2" t="s">
        <v>143</v>
      </c>
    </row>
    <row r="92" spans="1:6" ht="32" x14ac:dyDescent="0.2">
      <c r="A92" s="2" t="s">
        <v>391</v>
      </c>
      <c r="B92" s="2" t="s">
        <v>392</v>
      </c>
      <c r="C92" s="2" t="s">
        <v>42</v>
      </c>
      <c r="D92" s="2" t="s">
        <v>177</v>
      </c>
      <c r="E92" s="2" t="s">
        <v>178</v>
      </c>
      <c r="F92" s="2" t="s">
        <v>179</v>
      </c>
    </row>
    <row r="93" spans="1:6" ht="16" x14ac:dyDescent="0.2">
      <c r="A93" s="2" t="s">
        <v>393</v>
      </c>
      <c r="B93" s="2" t="s">
        <v>394</v>
      </c>
      <c r="C93" s="2" t="s">
        <v>395</v>
      </c>
      <c r="D93" s="2" t="s">
        <v>147</v>
      </c>
      <c r="E93" s="2" t="s">
        <v>148</v>
      </c>
      <c r="F93" s="2" t="s">
        <v>149</v>
      </c>
    </row>
    <row r="94" spans="1:6" ht="32" x14ac:dyDescent="0.2">
      <c r="A94" s="2" t="s">
        <v>396</v>
      </c>
      <c r="B94" s="2" t="s">
        <v>397</v>
      </c>
      <c r="C94" s="2" t="s">
        <v>398</v>
      </c>
      <c r="D94" s="2" t="s">
        <v>177</v>
      </c>
      <c r="E94" s="2" t="s">
        <v>178</v>
      </c>
      <c r="F94" s="2" t="s">
        <v>179</v>
      </c>
    </row>
    <row r="95" spans="1:6" ht="32" x14ac:dyDescent="0.2">
      <c r="A95" s="2" t="s">
        <v>399</v>
      </c>
      <c r="B95" s="2" t="s">
        <v>400</v>
      </c>
      <c r="C95" s="2" t="s">
        <v>401</v>
      </c>
      <c r="D95" s="2" t="s">
        <v>177</v>
      </c>
      <c r="E95" s="2" t="s">
        <v>178</v>
      </c>
      <c r="F95" s="2" t="s">
        <v>179</v>
      </c>
    </row>
    <row r="96" spans="1:6" ht="32" x14ac:dyDescent="0.2">
      <c r="A96" s="2" t="s">
        <v>402</v>
      </c>
      <c r="B96" s="2" t="s">
        <v>403</v>
      </c>
      <c r="C96" s="2" t="s">
        <v>404</v>
      </c>
      <c r="D96" s="2" t="s">
        <v>177</v>
      </c>
      <c r="E96" s="2" t="s">
        <v>178</v>
      </c>
      <c r="F96" s="2" t="s">
        <v>179</v>
      </c>
    </row>
    <row r="97" spans="1:6" ht="16" x14ac:dyDescent="0.2">
      <c r="A97" s="2" t="s">
        <v>405</v>
      </c>
      <c r="B97" s="2" t="s">
        <v>406</v>
      </c>
      <c r="C97" s="2" t="s">
        <v>407</v>
      </c>
      <c r="D97" s="2" t="s">
        <v>216</v>
      </c>
      <c r="E97" s="2" t="s">
        <v>217</v>
      </c>
      <c r="F97" s="2" t="s">
        <v>218</v>
      </c>
    </row>
    <row r="98" spans="1:6" ht="32" x14ac:dyDescent="0.2">
      <c r="A98" s="2" t="s">
        <v>408</v>
      </c>
      <c r="B98" s="2" t="s">
        <v>409</v>
      </c>
      <c r="C98" s="2" t="s">
        <v>410</v>
      </c>
      <c r="D98" s="2" t="s">
        <v>177</v>
      </c>
      <c r="E98" s="2" t="s">
        <v>178</v>
      </c>
      <c r="F98" s="2" t="s">
        <v>179</v>
      </c>
    </row>
    <row r="99" spans="1:6" ht="32" x14ac:dyDescent="0.2">
      <c r="A99" s="2" t="s">
        <v>411</v>
      </c>
      <c r="B99" s="2" t="s">
        <v>412</v>
      </c>
      <c r="C99" s="2" t="s">
        <v>413</v>
      </c>
      <c r="D99" s="2" t="s">
        <v>153</v>
      </c>
      <c r="E99" s="2" t="s">
        <v>154</v>
      </c>
      <c r="F99" s="2" t="s">
        <v>155</v>
      </c>
    </row>
    <row r="100" spans="1:6" ht="16" x14ac:dyDescent="0.2">
      <c r="A100" s="2" t="s">
        <v>414</v>
      </c>
      <c r="B100" s="2" t="s">
        <v>415</v>
      </c>
      <c r="C100" s="2" t="s">
        <v>43</v>
      </c>
      <c r="D100" s="2" t="s">
        <v>277</v>
      </c>
      <c r="E100" s="2" t="s">
        <v>278</v>
      </c>
      <c r="F100" s="2" t="s">
        <v>279</v>
      </c>
    </row>
    <row r="101" spans="1:6" ht="32" x14ac:dyDescent="0.2">
      <c r="A101" s="2" t="s">
        <v>416</v>
      </c>
      <c r="B101" s="2" t="s">
        <v>417</v>
      </c>
      <c r="C101" s="2" t="s">
        <v>418</v>
      </c>
      <c r="D101" s="2" t="s">
        <v>177</v>
      </c>
      <c r="E101" s="2" t="s">
        <v>178</v>
      </c>
      <c r="F101" s="2" t="s">
        <v>179</v>
      </c>
    </row>
    <row r="102" spans="1:6" ht="32" x14ac:dyDescent="0.2">
      <c r="A102" s="2" t="s">
        <v>419</v>
      </c>
      <c r="B102" s="2" t="s">
        <v>420</v>
      </c>
      <c r="C102" s="2" t="s">
        <v>421</v>
      </c>
      <c r="D102" s="2" t="s">
        <v>136</v>
      </c>
      <c r="E102" s="2" t="s">
        <v>137</v>
      </c>
      <c r="F102" s="2" t="s">
        <v>138</v>
      </c>
    </row>
    <row r="103" spans="1:6" ht="32" x14ac:dyDescent="0.2">
      <c r="A103" s="2" t="s">
        <v>422</v>
      </c>
      <c r="B103" s="2" t="s">
        <v>423</v>
      </c>
      <c r="C103" s="2" t="s">
        <v>44</v>
      </c>
      <c r="D103" s="2" t="s">
        <v>153</v>
      </c>
      <c r="E103" s="2" t="s">
        <v>154</v>
      </c>
      <c r="F103" s="2" t="s">
        <v>155</v>
      </c>
    </row>
    <row r="104" spans="1:6" ht="32" x14ac:dyDescent="0.2">
      <c r="A104" s="2" t="s">
        <v>424</v>
      </c>
      <c r="B104" s="2" t="s">
        <v>425</v>
      </c>
      <c r="C104" s="2" t="s">
        <v>45</v>
      </c>
      <c r="D104" s="2" t="s">
        <v>153</v>
      </c>
      <c r="E104" s="2" t="s">
        <v>154</v>
      </c>
      <c r="F104" s="2" t="s">
        <v>155</v>
      </c>
    </row>
    <row r="105" spans="1:6" ht="32" x14ac:dyDescent="0.2">
      <c r="A105" s="2" t="s">
        <v>426</v>
      </c>
      <c r="B105" s="2" t="s">
        <v>427</v>
      </c>
      <c r="C105" s="2" t="s">
        <v>428</v>
      </c>
      <c r="D105" s="2" t="s">
        <v>153</v>
      </c>
      <c r="E105" s="2" t="s">
        <v>154</v>
      </c>
      <c r="F105" s="2" t="s">
        <v>155</v>
      </c>
    </row>
    <row r="106" spans="1:6" ht="16" x14ac:dyDescent="0.2">
      <c r="A106" s="2" t="s">
        <v>429</v>
      </c>
      <c r="B106" s="2" t="s">
        <v>430</v>
      </c>
      <c r="C106" s="2" t="s">
        <v>46</v>
      </c>
      <c r="D106" s="2" t="s">
        <v>367</v>
      </c>
      <c r="E106" s="2" t="s">
        <v>368</v>
      </c>
      <c r="F106" s="2" t="s">
        <v>46</v>
      </c>
    </row>
    <row r="107" spans="1:6" ht="16" x14ac:dyDescent="0.2">
      <c r="A107" s="2" t="s">
        <v>431</v>
      </c>
      <c r="B107" s="2" t="s">
        <v>432</v>
      </c>
      <c r="C107" s="2" t="s">
        <v>433</v>
      </c>
      <c r="D107" s="2" t="s">
        <v>216</v>
      </c>
      <c r="E107" s="2" t="s">
        <v>217</v>
      </c>
      <c r="F107" s="2" t="s">
        <v>218</v>
      </c>
    </row>
    <row r="108" spans="1:6" ht="16" x14ac:dyDescent="0.2">
      <c r="A108" s="2" t="s">
        <v>434</v>
      </c>
      <c r="B108" s="2" t="s">
        <v>435</v>
      </c>
      <c r="C108" s="2" t="s">
        <v>436</v>
      </c>
      <c r="D108" s="2" t="s">
        <v>163</v>
      </c>
      <c r="E108" s="2" t="s">
        <v>164</v>
      </c>
      <c r="F108" s="2" t="s">
        <v>165</v>
      </c>
    </row>
    <row r="109" spans="1:6" ht="32" x14ac:dyDescent="0.2">
      <c r="A109" s="2" t="s">
        <v>437</v>
      </c>
      <c r="B109" s="2" t="s">
        <v>438</v>
      </c>
      <c r="C109" s="2" t="s">
        <v>47</v>
      </c>
      <c r="D109" s="2" t="s">
        <v>136</v>
      </c>
      <c r="E109" s="2" t="s">
        <v>137</v>
      </c>
      <c r="F109" s="2" t="s">
        <v>138</v>
      </c>
    </row>
    <row r="110" spans="1:6" ht="32" x14ac:dyDescent="0.2">
      <c r="A110" s="2" t="s">
        <v>439</v>
      </c>
      <c r="B110" s="2" t="s">
        <v>440</v>
      </c>
      <c r="C110" s="2" t="s">
        <v>441</v>
      </c>
      <c r="D110" s="2" t="s">
        <v>136</v>
      </c>
      <c r="E110" s="2" t="s">
        <v>137</v>
      </c>
      <c r="F110" s="2" t="s">
        <v>138</v>
      </c>
    </row>
    <row r="111" spans="1:6" ht="32" x14ac:dyDescent="0.2">
      <c r="A111" s="2" t="s">
        <v>442</v>
      </c>
      <c r="B111" s="2" t="s">
        <v>443</v>
      </c>
      <c r="C111" s="2" t="s">
        <v>444</v>
      </c>
      <c r="D111" s="2" t="s">
        <v>177</v>
      </c>
      <c r="E111" s="2" t="s">
        <v>178</v>
      </c>
      <c r="F111" s="2" t="s">
        <v>179</v>
      </c>
    </row>
    <row r="112" spans="1:6" ht="16" x14ac:dyDescent="0.2">
      <c r="A112" s="2" t="s">
        <v>445</v>
      </c>
      <c r="B112" s="2" t="s">
        <v>446</v>
      </c>
      <c r="C112" s="2" t="s">
        <v>48</v>
      </c>
      <c r="D112" s="2" t="s">
        <v>163</v>
      </c>
      <c r="E112" s="2" t="s">
        <v>164</v>
      </c>
      <c r="F112" s="2" t="s">
        <v>165</v>
      </c>
    </row>
    <row r="113" spans="1:6" ht="16" x14ac:dyDescent="0.2">
      <c r="A113" s="2" t="s">
        <v>447</v>
      </c>
      <c r="B113" s="2" t="s">
        <v>448</v>
      </c>
      <c r="C113" s="2" t="s">
        <v>49</v>
      </c>
      <c r="D113" s="2" t="s">
        <v>141</v>
      </c>
      <c r="E113" s="2" t="s">
        <v>142</v>
      </c>
      <c r="F113" s="2" t="s">
        <v>143</v>
      </c>
    </row>
    <row r="114" spans="1:6" ht="32" x14ac:dyDescent="0.2">
      <c r="A114" s="2" t="s">
        <v>449</v>
      </c>
      <c r="B114" s="2" t="s">
        <v>450</v>
      </c>
      <c r="C114" s="2" t="s">
        <v>50</v>
      </c>
      <c r="D114" s="2" t="s">
        <v>153</v>
      </c>
      <c r="E114" s="2" t="s">
        <v>154</v>
      </c>
      <c r="F114" s="2" t="s">
        <v>155</v>
      </c>
    </row>
    <row r="115" spans="1:6" ht="16" x14ac:dyDescent="0.2">
      <c r="A115" s="2" t="s">
        <v>451</v>
      </c>
      <c r="B115" s="2" t="s">
        <v>452</v>
      </c>
      <c r="C115" s="2" t="s">
        <v>51</v>
      </c>
      <c r="D115" s="2" t="s">
        <v>147</v>
      </c>
      <c r="E115" s="2" t="s">
        <v>148</v>
      </c>
      <c r="F115" s="2" t="s">
        <v>149</v>
      </c>
    </row>
    <row r="116" spans="1:6" ht="16" x14ac:dyDescent="0.2">
      <c r="A116" s="2" t="s">
        <v>453</v>
      </c>
      <c r="B116" s="2" t="s">
        <v>454</v>
      </c>
      <c r="C116" s="2" t="s">
        <v>455</v>
      </c>
      <c r="D116" s="2" t="s">
        <v>141</v>
      </c>
      <c r="E116" s="2" t="s">
        <v>142</v>
      </c>
      <c r="F116" s="2" t="s">
        <v>143</v>
      </c>
    </row>
    <row r="117" spans="1:6" ht="32" x14ac:dyDescent="0.2">
      <c r="A117" s="2" t="s">
        <v>456</v>
      </c>
      <c r="B117" s="2" t="s">
        <v>457</v>
      </c>
      <c r="C117" s="2" t="s">
        <v>52</v>
      </c>
      <c r="D117" s="2" t="s">
        <v>136</v>
      </c>
      <c r="E117" s="2" t="s">
        <v>137</v>
      </c>
      <c r="F117" s="2" t="s">
        <v>138</v>
      </c>
    </row>
    <row r="118" spans="1:6" ht="32" x14ac:dyDescent="0.2">
      <c r="A118" s="2" t="s">
        <v>458</v>
      </c>
      <c r="B118" s="2" t="s">
        <v>459</v>
      </c>
      <c r="C118" s="2" t="s">
        <v>53</v>
      </c>
      <c r="D118" s="2" t="s">
        <v>136</v>
      </c>
      <c r="E118" s="2" t="s">
        <v>137</v>
      </c>
      <c r="F118" s="2" t="s">
        <v>138</v>
      </c>
    </row>
    <row r="119" spans="1:6" ht="16" x14ac:dyDescent="0.2">
      <c r="A119" s="2" t="s">
        <v>460</v>
      </c>
      <c r="B119" s="2" t="s">
        <v>461</v>
      </c>
      <c r="C119" s="2" t="s">
        <v>462</v>
      </c>
      <c r="D119" s="2" t="s">
        <v>141</v>
      </c>
      <c r="E119" s="2" t="s">
        <v>142</v>
      </c>
      <c r="F119" s="2" t="s">
        <v>143</v>
      </c>
    </row>
    <row r="120" spans="1:6" ht="16" x14ac:dyDescent="0.2">
      <c r="A120" s="2" t="s">
        <v>463</v>
      </c>
      <c r="B120" s="2" t="s">
        <v>464</v>
      </c>
      <c r="C120" s="2" t="s">
        <v>54</v>
      </c>
      <c r="D120" s="2" t="s">
        <v>147</v>
      </c>
      <c r="E120" s="2" t="s">
        <v>148</v>
      </c>
      <c r="F120" s="2" t="s">
        <v>149</v>
      </c>
    </row>
    <row r="121" spans="1:6" ht="16" x14ac:dyDescent="0.2">
      <c r="A121" s="2" t="s">
        <v>465</v>
      </c>
      <c r="B121" s="2" t="s">
        <v>466</v>
      </c>
      <c r="C121" s="2" t="s">
        <v>55</v>
      </c>
      <c r="D121" s="2" t="s">
        <v>216</v>
      </c>
      <c r="E121" s="2" t="s">
        <v>217</v>
      </c>
      <c r="F121" s="2" t="s">
        <v>218</v>
      </c>
    </row>
    <row r="122" spans="1:6" ht="32" x14ac:dyDescent="0.2">
      <c r="A122" s="2" t="s">
        <v>467</v>
      </c>
      <c r="B122" s="2" t="s">
        <v>468</v>
      </c>
      <c r="C122" s="2" t="s">
        <v>469</v>
      </c>
      <c r="D122" s="2" t="s">
        <v>177</v>
      </c>
      <c r="E122" s="2" t="s">
        <v>178</v>
      </c>
      <c r="F122" s="2" t="s">
        <v>179</v>
      </c>
    </row>
    <row r="123" spans="1:6" ht="32" x14ac:dyDescent="0.2">
      <c r="A123" s="2" t="s">
        <v>470</v>
      </c>
      <c r="B123" s="2" t="s">
        <v>471</v>
      </c>
      <c r="C123" s="2" t="s">
        <v>56</v>
      </c>
      <c r="D123" s="2" t="s">
        <v>136</v>
      </c>
      <c r="E123" s="2" t="s">
        <v>137</v>
      </c>
      <c r="F123" s="2" t="s">
        <v>138</v>
      </c>
    </row>
    <row r="124" spans="1:6" ht="32" x14ac:dyDescent="0.2">
      <c r="A124" s="2" t="s">
        <v>472</v>
      </c>
      <c r="B124" s="2" t="s">
        <v>473</v>
      </c>
      <c r="C124" s="2" t="s">
        <v>28</v>
      </c>
      <c r="D124" s="2" t="s">
        <v>136</v>
      </c>
      <c r="E124" s="2" t="s">
        <v>137</v>
      </c>
      <c r="F124" s="2" t="s">
        <v>138</v>
      </c>
    </row>
    <row r="125" spans="1:6" ht="16" x14ac:dyDescent="0.2">
      <c r="A125" s="2" t="s">
        <v>474</v>
      </c>
      <c r="B125" s="2" t="s">
        <v>475</v>
      </c>
      <c r="C125" s="2" t="s">
        <v>476</v>
      </c>
      <c r="D125" s="2" t="s">
        <v>163</v>
      </c>
      <c r="E125" s="2" t="s">
        <v>164</v>
      </c>
      <c r="F125" s="2" t="s">
        <v>165</v>
      </c>
    </row>
    <row r="126" spans="1:6" ht="32" x14ac:dyDescent="0.2">
      <c r="A126" s="2" t="s">
        <v>477</v>
      </c>
      <c r="B126" s="2" t="s">
        <v>478</v>
      </c>
      <c r="C126" s="2" t="s">
        <v>57</v>
      </c>
      <c r="D126" s="2" t="s">
        <v>177</v>
      </c>
      <c r="E126" s="2" t="s">
        <v>178</v>
      </c>
      <c r="F126" s="2" t="s">
        <v>179</v>
      </c>
    </row>
    <row r="127" spans="1:6" ht="32" x14ac:dyDescent="0.2">
      <c r="A127" s="2" t="s">
        <v>479</v>
      </c>
      <c r="B127" s="2" t="s">
        <v>480</v>
      </c>
      <c r="C127" s="2" t="s">
        <v>481</v>
      </c>
      <c r="D127" s="2" t="s">
        <v>153</v>
      </c>
      <c r="E127" s="2" t="s">
        <v>154</v>
      </c>
      <c r="F127" s="2" t="s">
        <v>155</v>
      </c>
    </row>
    <row r="128" spans="1:6" ht="16" x14ac:dyDescent="0.2">
      <c r="A128" s="2" t="s">
        <v>482</v>
      </c>
      <c r="B128" s="2" t="s">
        <v>483</v>
      </c>
      <c r="C128" s="2" t="s">
        <v>58</v>
      </c>
      <c r="D128" s="2" t="s">
        <v>163</v>
      </c>
      <c r="E128" s="2" t="s">
        <v>164</v>
      </c>
      <c r="F128" s="2" t="s">
        <v>165</v>
      </c>
    </row>
    <row r="129" spans="1:6" ht="32" x14ac:dyDescent="0.2">
      <c r="A129" s="2" t="s">
        <v>484</v>
      </c>
      <c r="B129" s="2" t="s">
        <v>485</v>
      </c>
      <c r="C129" s="2" t="s">
        <v>59</v>
      </c>
      <c r="D129" s="2" t="s">
        <v>177</v>
      </c>
      <c r="E129" s="2" t="s">
        <v>178</v>
      </c>
      <c r="F129" s="2" t="s">
        <v>179</v>
      </c>
    </row>
    <row r="130" spans="1:6" ht="16" x14ac:dyDescent="0.2">
      <c r="A130" s="2" t="s">
        <v>486</v>
      </c>
      <c r="B130" s="2" t="s">
        <v>487</v>
      </c>
      <c r="C130" s="2" t="s">
        <v>488</v>
      </c>
      <c r="D130" s="2" t="s">
        <v>141</v>
      </c>
      <c r="E130" s="2" t="s">
        <v>142</v>
      </c>
      <c r="F130" s="2" t="s">
        <v>143</v>
      </c>
    </row>
    <row r="131" spans="1:6" ht="32" x14ac:dyDescent="0.2">
      <c r="A131" s="2" t="s">
        <v>489</v>
      </c>
      <c r="B131" s="2" t="s">
        <v>490</v>
      </c>
      <c r="C131" s="2" t="s">
        <v>491</v>
      </c>
      <c r="D131" s="2" t="s">
        <v>177</v>
      </c>
      <c r="E131" s="2" t="s">
        <v>178</v>
      </c>
      <c r="F131" s="2" t="s">
        <v>179</v>
      </c>
    </row>
    <row r="132" spans="1:6" ht="32" x14ac:dyDescent="0.2">
      <c r="A132" s="2" t="s">
        <v>492</v>
      </c>
      <c r="B132" s="2" t="s">
        <v>493</v>
      </c>
      <c r="C132" s="2" t="s">
        <v>60</v>
      </c>
      <c r="D132" s="2" t="s">
        <v>153</v>
      </c>
      <c r="E132" s="2" t="s">
        <v>154</v>
      </c>
      <c r="F132" s="2" t="s">
        <v>155</v>
      </c>
    </row>
    <row r="133" spans="1:6" ht="32" x14ac:dyDescent="0.2">
      <c r="A133" s="2" t="s">
        <v>494</v>
      </c>
      <c r="B133" s="2" t="s">
        <v>495</v>
      </c>
      <c r="C133" s="2" t="s">
        <v>496</v>
      </c>
      <c r="D133" s="2" t="s">
        <v>177</v>
      </c>
      <c r="E133" s="2" t="s">
        <v>178</v>
      </c>
      <c r="F133" s="2" t="s">
        <v>179</v>
      </c>
    </row>
    <row r="134" spans="1:6" ht="32" x14ac:dyDescent="0.2">
      <c r="A134" s="2" t="s">
        <v>497</v>
      </c>
      <c r="B134" s="2" t="s">
        <v>498</v>
      </c>
      <c r="C134" s="2" t="s">
        <v>61</v>
      </c>
      <c r="D134" s="2" t="s">
        <v>136</v>
      </c>
      <c r="E134" s="2" t="s">
        <v>137</v>
      </c>
      <c r="F134" s="2" t="s">
        <v>138</v>
      </c>
    </row>
    <row r="135" spans="1:6" ht="32" x14ac:dyDescent="0.2">
      <c r="A135" s="2" t="s">
        <v>499</v>
      </c>
      <c r="B135" s="2" t="s">
        <v>500</v>
      </c>
      <c r="C135" s="2" t="s">
        <v>501</v>
      </c>
      <c r="D135" s="2" t="s">
        <v>153</v>
      </c>
      <c r="E135" s="2" t="s">
        <v>154</v>
      </c>
      <c r="F135" s="2" t="s">
        <v>155</v>
      </c>
    </row>
    <row r="136" spans="1:6" ht="16" x14ac:dyDescent="0.2">
      <c r="A136" s="2" t="s">
        <v>502</v>
      </c>
      <c r="B136" s="2" t="s">
        <v>503</v>
      </c>
      <c r="C136" s="2" t="s">
        <v>504</v>
      </c>
      <c r="D136" s="2" t="s">
        <v>163</v>
      </c>
      <c r="E136" s="2" t="s">
        <v>164</v>
      </c>
      <c r="F136" s="2" t="s">
        <v>165</v>
      </c>
    </row>
    <row r="137" spans="1:6" ht="16" x14ac:dyDescent="0.2">
      <c r="A137" s="2" t="s">
        <v>505</v>
      </c>
      <c r="B137" s="2" t="s">
        <v>506</v>
      </c>
      <c r="C137" s="2" t="s">
        <v>507</v>
      </c>
      <c r="D137" s="2" t="s">
        <v>367</v>
      </c>
      <c r="E137" s="2" t="s">
        <v>368</v>
      </c>
      <c r="F137" s="2" t="s">
        <v>46</v>
      </c>
    </row>
    <row r="138" spans="1:6" ht="32" x14ac:dyDescent="0.2">
      <c r="A138" s="2" t="s">
        <v>508</v>
      </c>
      <c r="B138" s="2" t="s">
        <v>509</v>
      </c>
      <c r="C138" s="2" t="s">
        <v>510</v>
      </c>
      <c r="D138" s="2" t="s">
        <v>136</v>
      </c>
      <c r="E138" s="2" t="s">
        <v>137</v>
      </c>
      <c r="F138" s="2" t="s">
        <v>138</v>
      </c>
    </row>
    <row r="139" spans="1:6" ht="16" x14ac:dyDescent="0.2">
      <c r="A139" s="2" t="s">
        <v>511</v>
      </c>
      <c r="B139" s="2" t="s">
        <v>512</v>
      </c>
      <c r="C139" s="2" t="s">
        <v>62</v>
      </c>
      <c r="D139" s="2" t="s">
        <v>130</v>
      </c>
      <c r="E139" s="2" t="s">
        <v>131</v>
      </c>
      <c r="F139" s="2" t="s">
        <v>132</v>
      </c>
    </row>
    <row r="140" spans="1:6" ht="32" x14ac:dyDescent="0.2">
      <c r="A140" s="2" t="s">
        <v>513</v>
      </c>
      <c r="B140" s="2" t="s">
        <v>514</v>
      </c>
      <c r="C140" s="2" t="s">
        <v>63</v>
      </c>
      <c r="D140" s="2" t="s">
        <v>136</v>
      </c>
      <c r="E140" s="2" t="s">
        <v>137</v>
      </c>
      <c r="F140" s="2" t="s">
        <v>138</v>
      </c>
    </row>
    <row r="141" spans="1:6" ht="16" x14ac:dyDescent="0.2">
      <c r="A141" s="2" t="s">
        <v>515</v>
      </c>
      <c r="B141" s="2" t="s">
        <v>516</v>
      </c>
      <c r="C141" s="2" t="s">
        <v>517</v>
      </c>
      <c r="D141" s="2" t="s">
        <v>216</v>
      </c>
      <c r="E141" s="2" t="s">
        <v>217</v>
      </c>
      <c r="F141" s="2" t="s">
        <v>218</v>
      </c>
    </row>
    <row r="142" spans="1:6" ht="16" x14ac:dyDescent="0.2">
      <c r="A142" s="2" t="s">
        <v>518</v>
      </c>
      <c r="B142" s="2" t="s">
        <v>519</v>
      </c>
      <c r="C142" s="2" t="s">
        <v>64</v>
      </c>
      <c r="D142" s="2" t="s">
        <v>188</v>
      </c>
      <c r="E142" s="2" t="s">
        <v>189</v>
      </c>
      <c r="F142" s="2" t="s">
        <v>98</v>
      </c>
    </row>
    <row r="143" spans="1:6" ht="32" x14ac:dyDescent="0.2">
      <c r="A143" s="2" t="s">
        <v>520</v>
      </c>
      <c r="B143" s="2" t="s">
        <v>521</v>
      </c>
      <c r="C143" s="2" t="s">
        <v>522</v>
      </c>
      <c r="D143" s="2" t="s">
        <v>136</v>
      </c>
      <c r="E143" s="2" t="s">
        <v>137</v>
      </c>
      <c r="F143" s="2" t="s">
        <v>138</v>
      </c>
    </row>
    <row r="144" spans="1:6" ht="16" x14ac:dyDescent="0.2">
      <c r="A144" s="2" t="s">
        <v>523</v>
      </c>
      <c r="B144" s="2" t="s">
        <v>524</v>
      </c>
      <c r="C144" s="2" t="s">
        <v>525</v>
      </c>
      <c r="D144" s="2" t="s">
        <v>277</v>
      </c>
      <c r="E144" s="2" t="s">
        <v>278</v>
      </c>
      <c r="F144" s="2" t="s">
        <v>279</v>
      </c>
    </row>
    <row r="145" spans="1:6" ht="16" x14ac:dyDescent="0.2">
      <c r="A145" s="2" t="s">
        <v>526</v>
      </c>
      <c r="B145" s="2" t="s">
        <v>527</v>
      </c>
      <c r="C145" s="2" t="s">
        <v>528</v>
      </c>
      <c r="D145" s="2" t="s">
        <v>188</v>
      </c>
      <c r="E145" s="2" t="s">
        <v>189</v>
      </c>
      <c r="F145" s="2" t="s">
        <v>98</v>
      </c>
    </row>
    <row r="146" spans="1:6" ht="32" x14ac:dyDescent="0.2">
      <c r="A146" s="2" t="s">
        <v>529</v>
      </c>
      <c r="B146" s="2" t="s">
        <v>530</v>
      </c>
      <c r="C146" s="2" t="s">
        <v>531</v>
      </c>
      <c r="D146" s="2" t="s">
        <v>153</v>
      </c>
      <c r="E146" s="2" t="s">
        <v>154</v>
      </c>
      <c r="F146" s="2" t="s">
        <v>155</v>
      </c>
    </row>
    <row r="147" spans="1:6" ht="16" x14ac:dyDescent="0.2">
      <c r="A147" s="2" t="s">
        <v>532</v>
      </c>
      <c r="B147" s="2" t="s">
        <v>533</v>
      </c>
      <c r="C147" s="2" t="s">
        <v>65</v>
      </c>
      <c r="D147" s="2" t="s">
        <v>163</v>
      </c>
      <c r="E147" s="2" t="s">
        <v>164</v>
      </c>
      <c r="F147" s="2" t="s">
        <v>165</v>
      </c>
    </row>
    <row r="148" spans="1:6" ht="16" x14ac:dyDescent="0.2">
      <c r="A148" s="2" t="s">
        <v>534</v>
      </c>
      <c r="B148" s="2" t="s">
        <v>535</v>
      </c>
      <c r="C148" s="2" t="s">
        <v>536</v>
      </c>
      <c r="D148" s="2" t="s">
        <v>277</v>
      </c>
      <c r="E148" s="2" t="s">
        <v>278</v>
      </c>
      <c r="F148" s="2" t="s">
        <v>279</v>
      </c>
    </row>
    <row r="149" spans="1:6" ht="32" x14ac:dyDescent="0.2">
      <c r="A149" s="2" t="s">
        <v>537</v>
      </c>
      <c r="B149" s="2" t="s">
        <v>538</v>
      </c>
      <c r="C149" s="2" t="s">
        <v>539</v>
      </c>
      <c r="D149" s="2" t="s">
        <v>153</v>
      </c>
      <c r="E149" s="2" t="s">
        <v>154</v>
      </c>
      <c r="F149" s="2" t="s">
        <v>155</v>
      </c>
    </row>
    <row r="150" spans="1:6" ht="16" x14ac:dyDescent="0.2">
      <c r="A150" s="2" t="s">
        <v>540</v>
      </c>
      <c r="B150" s="2" t="s">
        <v>541</v>
      </c>
      <c r="C150" s="2" t="s">
        <v>23</v>
      </c>
      <c r="D150" s="2" t="s">
        <v>216</v>
      </c>
      <c r="E150" s="2" t="s">
        <v>217</v>
      </c>
      <c r="F150" s="2" t="s">
        <v>218</v>
      </c>
    </row>
    <row r="151" spans="1:6" ht="32" x14ac:dyDescent="0.2">
      <c r="A151" s="2" t="s">
        <v>542</v>
      </c>
      <c r="B151" s="2" t="s">
        <v>543</v>
      </c>
      <c r="C151" s="2" t="s">
        <v>544</v>
      </c>
      <c r="D151" s="2" t="s">
        <v>136</v>
      </c>
      <c r="E151" s="2" t="s">
        <v>137</v>
      </c>
      <c r="F151" s="2" t="s">
        <v>138</v>
      </c>
    </row>
    <row r="152" spans="1:6" ht="32" x14ac:dyDescent="0.2">
      <c r="A152" s="2" t="s">
        <v>545</v>
      </c>
      <c r="B152" s="2" t="s">
        <v>546</v>
      </c>
      <c r="C152" s="2" t="s">
        <v>547</v>
      </c>
      <c r="D152" s="2" t="s">
        <v>153</v>
      </c>
      <c r="E152" s="2" t="s">
        <v>154</v>
      </c>
      <c r="F152" s="2" t="s">
        <v>155</v>
      </c>
    </row>
    <row r="153" spans="1:6" ht="32" x14ac:dyDescent="0.2">
      <c r="A153" s="2" t="s">
        <v>548</v>
      </c>
      <c r="B153" s="2" t="s">
        <v>549</v>
      </c>
      <c r="C153" s="2" t="s">
        <v>550</v>
      </c>
      <c r="D153" s="2" t="s">
        <v>153</v>
      </c>
      <c r="E153" s="2" t="s">
        <v>154</v>
      </c>
      <c r="F153" s="2" t="s">
        <v>155</v>
      </c>
    </row>
    <row r="154" spans="1:6" ht="32" x14ac:dyDescent="0.2">
      <c r="A154" s="2" t="s">
        <v>551</v>
      </c>
      <c r="B154" s="2" t="s">
        <v>552</v>
      </c>
      <c r="C154" s="2" t="s">
        <v>553</v>
      </c>
      <c r="D154" s="2" t="s">
        <v>177</v>
      </c>
      <c r="E154" s="2" t="s">
        <v>178</v>
      </c>
      <c r="F154" s="2" t="s">
        <v>179</v>
      </c>
    </row>
    <row r="155" spans="1:6" ht="32" x14ac:dyDescent="0.2">
      <c r="A155" s="2" t="s">
        <v>554</v>
      </c>
      <c r="B155" s="2" t="s">
        <v>555</v>
      </c>
      <c r="C155" s="2" t="s">
        <v>556</v>
      </c>
      <c r="D155" s="2" t="s">
        <v>177</v>
      </c>
      <c r="E155" s="2" t="s">
        <v>178</v>
      </c>
      <c r="F155" s="2" t="s">
        <v>179</v>
      </c>
    </row>
    <row r="156" spans="1:6" ht="16" x14ac:dyDescent="0.2">
      <c r="A156" s="2" t="s">
        <v>557</v>
      </c>
      <c r="B156" s="2" t="s">
        <v>558</v>
      </c>
      <c r="C156" s="2" t="s">
        <v>66</v>
      </c>
      <c r="D156" s="2" t="s">
        <v>216</v>
      </c>
      <c r="E156" s="2" t="s">
        <v>217</v>
      </c>
      <c r="F156" s="2" t="s">
        <v>218</v>
      </c>
    </row>
    <row r="157" spans="1:6" ht="32" x14ac:dyDescent="0.2">
      <c r="A157" s="2" t="s">
        <v>559</v>
      </c>
      <c r="B157" s="2" t="s">
        <v>560</v>
      </c>
      <c r="C157" s="2" t="s">
        <v>561</v>
      </c>
      <c r="D157" s="2" t="s">
        <v>136</v>
      </c>
      <c r="E157" s="2" t="s">
        <v>137</v>
      </c>
      <c r="F157" s="2" t="s">
        <v>138</v>
      </c>
    </row>
    <row r="158" spans="1:6" ht="32" x14ac:dyDescent="0.2">
      <c r="A158" s="2" t="s">
        <v>562</v>
      </c>
      <c r="B158" s="2" t="s">
        <v>563</v>
      </c>
      <c r="C158" s="2" t="s">
        <v>564</v>
      </c>
      <c r="D158" s="2" t="s">
        <v>153</v>
      </c>
      <c r="E158" s="2" t="s">
        <v>154</v>
      </c>
      <c r="F158" s="2" t="s">
        <v>155</v>
      </c>
    </row>
    <row r="159" spans="1:6" ht="32" x14ac:dyDescent="0.2">
      <c r="A159" s="2" t="s">
        <v>565</v>
      </c>
      <c r="B159" s="2" t="s">
        <v>566</v>
      </c>
      <c r="C159" s="2" t="s">
        <v>567</v>
      </c>
      <c r="D159" s="2" t="s">
        <v>136</v>
      </c>
      <c r="E159" s="2" t="s">
        <v>137</v>
      </c>
      <c r="F159" s="2" t="s">
        <v>138</v>
      </c>
    </row>
    <row r="160" spans="1:6" ht="16" x14ac:dyDescent="0.2">
      <c r="A160" s="2" t="s">
        <v>568</v>
      </c>
      <c r="B160" s="2" t="s">
        <v>569</v>
      </c>
      <c r="C160" s="2" t="s">
        <v>67</v>
      </c>
      <c r="D160" s="2" t="s">
        <v>147</v>
      </c>
      <c r="E160" s="2" t="s">
        <v>148</v>
      </c>
      <c r="F160" s="2" t="s">
        <v>149</v>
      </c>
    </row>
    <row r="161" spans="1:6" ht="32" x14ac:dyDescent="0.2">
      <c r="A161" s="2" t="s">
        <v>570</v>
      </c>
      <c r="B161" s="2" t="s">
        <v>571</v>
      </c>
      <c r="C161" s="2" t="s">
        <v>68</v>
      </c>
      <c r="D161" s="2" t="s">
        <v>153</v>
      </c>
      <c r="E161" s="2" t="s">
        <v>154</v>
      </c>
      <c r="F161" s="2" t="s">
        <v>155</v>
      </c>
    </row>
    <row r="162" spans="1:6" ht="32" x14ac:dyDescent="0.2">
      <c r="A162" s="2" t="s">
        <v>572</v>
      </c>
      <c r="B162" s="2" t="s">
        <v>573</v>
      </c>
      <c r="C162" s="2" t="s">
        <v>574</v>
      </c>
      <c r="D162" s="2" t="s">
        <v>153</v>
      </c>
      <c r="E162" s="2" t="s">
        <v>154</v>
      </c>
      <c r="F162" s="2" t="s">
        <v>155</v>
      </c>
    </row>
    <row r="163" spans="1:6" ht="32" x14ac:dyDescent="0.2">
      <c r="A163" s="2" t="s">
        <v>575</v>
      </c>
      <c r="B163" s="2" t="s">
        <v>576</v>
      </c>
      <c r="C163" s="2" t="s">
        <v>577</v>
      </c>
      <c r="D163" s="2" t="s">
        <v>153</v>
      </c>
      <c r="E163" s="2" t="s">
        <v>154</v>
      </c>
      <c r="F163" s="2" t="s">
        <v>155</v>
      </c>
    </row>
    <row r="164" spans="1:6" ht="16" x14ac:dyDescent="0.2">
      <c r="A164" s="2" t="s">
        <v>578</v>
      </c>
      <c r="B164" s="2" t="s">
        <v>579</v>
      </c>
      <c r="C164" s="2" t="s">
        <v>69</v>
      </c>
      <c r="D164" s="2" t="s">
        <v>169</v>
      </c>
      <c r="E164" s="2" t="s">
        <v>170</v>
      </c>
      <c r="F164" s="2" t="s">
        <v>171</v>
      </c>
    </row>
    <row r="165" spans="1:6" ht="16" x14ac:dyDescent="0.2">
      <c r="A165" s="2" t="s">
        <v>580</v>
      </c>
      <c r="B165" s="2" t="s">
        <v>581</v>
      </c>
      <c r="C165" s="2" t="s">
        <v>582</v>
      </c>
      <c r="D165" s="2" t="s">
        <v>216</v>
      </c>
      <c r="E165" s="2" t="s">
        <v>217</v>
      </c>
      <c r="F165" s="2" t="s">
        <v>218</v>
      </c>
    </row>
    <row r="166" spans="1:6" ht="16" x14ac:dyDescent="0.2">
      <c r="A166" s="2" t="s">
        <v>583</v>
      </c>
      <c r="B166" s="2" t="s">
        <v>584</v>
      </c>
      <c r="C166" s="2" t="s">
        <v>585</v>
      </c>
      <c r="D166" s="2" t="s">
        <v>188</v>
      </c>
      <c r="E166" s="2" t="s">
        <v>189</v>
      </c>
      <c r="F166" s="2" t="s">
        <v>98</v>
      </c>
    </row>
    <row r="167" spans="1:6" ht="16" x14ac:dyDescent="0.2">
      <c r="A167" s="2" t="s">
        <v>586</v>
      </c>
      <c r="B167" s="2" t="s">
        <v>587</v>
      </c>
      <c r="C167" s="2" t="s">
        <v>588</v>
      </c>
      <c r="D167" s="2" t="s">
        <v>141</v>
      </c>
      <c r="E167" s="2" t="s">
        <v>142</v>
      </c>
      <c r="F167" s="2" t="s">
        <v>143</v>
      </c>
    </row>
    <row r="168" spans="1:6" ht="32" x14ac:dyDescent="0.2">
      <c r="A168" s="2" t="s">
        <v>589</v>
      </c>
      <c r="B168" s="2" t="s">
        <v>590</v>
      </c>
      <c r="C168" s="2" t="s">
        <v>591</v>
      </c>
      <c r="D168" s="2" t="s">
        <v>153</v>
      </c>
      <c r="E168" s="2" t="s">
        <v>154</v>
      </c>
      <c r="F168" s="2" t="s">
        <v>155</v>
      </c>
    </row>
    <row r="169" spans="1:6" ht="16" x14ac:dyDescent="0.2">
      <c r="A169" s="2" t="s">
        <v>592</v>
      </c>
      <c r="B169" s="2" t="s">
        <v>593</v>
      </c>
      <c r="C169" s="2" t="s">
        <v>70</v>
      </c>
      <c r="D169" s="2" t="s">
        <v>141</v>
      </c>
      <c r="E169" s="2" t="s">
        <v>142</v>
      </c>
      <c r="F169" s="2" t="s">
        <v>143</v>
      </c>
    </row>
    <row r="170" spans="1:6" ht="32" x14ac:dyDescent="0.2">
      <c r="A170" s="2" t="s">
        <v>594</v>
      </c>
      <c r="B170" s="2" t="s">
        <v>595</v>
      </c>
      <c r="C170" s="2" t="s">
        <v>596</v>
      </c>
      <c r="D170" s="2" t="s">
        <v>177</v>
      </c>
      <c r="E170" s="2" t="s">
        <v>178</v>
      </c>
      <c r="F170" s="2" t="s">
        <v>179</v>
      </c>
    </row>
    <row r="171" spans="1:6" ht="16" x14ac:dyDescent="0.2">
      <c r="A171" s="2" t="s">
        <v>597</v>
      </c>
      <c r="B171" s="2" t="s">
        <v>598</v>
      </c>
      <c r="C171" s="2" t="s">
        <v>599</v>
      </c>
      <c r="D171" s="2" t="s">
        <v>188</v>
      </c>
      <c r="E171" s="2" t="s">
        <v>189</v>
      </c>
      <c r="F171" s="2" t="s">
        <v>98</v>
      </c>
    </row>
    <row r="172" spans="1:6" ht="16" x14ac:dyDescent="0.2">
      <c r="A172" s="2" t="s">
        <v>600</v>
      </c>
      <c r="B172" s="2" t="s">
        <v>601</v>
      </c>
      <c r="C172" s="2" t="s">
        <v>602</v>
      </c>
      <c r="D172" s="2" t="s">
        <v>163</v>
      </c>
      <c r="E172" s="2" t="s">
        <v>164</v>
      </c>
      <c r="F172" s="2" t="s">
        <v>165</v>
      </c>
    </row>
    <row r="173" spans="1:6" ht="16" x14ac:dyDescent="0.2">
      <c r="A173" s="2" t="s">
        <v>603</v>
      </c>
      <c r="B173" s="2" t="s">
        <v>604</v>
      </c>
      <c r="C173" s="2" t="s">
        <v>605</v>
      </c>
      <c r="D173" s="2" t="s">
        <v>141</v>
      </c>
      <c r="E173" s="2" t="s">
        <v>142</v>
      </c>
      <c r="F173" s="2" t="s">
        <v>143</v>
      </c>
    </row>
    <row r="174" spans="1:6" ht="16" x14ac:dyDescent="0.2">
      <c r="A174" s="2" t="s">
        <v>606</v>
      </c>
      <c r="B174" s="2" t="s">
        <v>607</v>
      </c>
      <c r="C174" s="2" t="s">
        <v>608</v>
      </c>
      <c r="D174" s="2" t="s">
        <v>216</v>
      </c>
      <c r="E174" s="2" t="s">
        <v>217</v>
      </c>
      <c r="F174" s="2" t="s">
        <v>218</v>
      </c>
    </row>
    <row r="175" spans="1:6" ht="32" x14ac:dyDescent="0.2">
      <c r="A175" s="2" t="s">
        <v>609</v>
      </c>
      <c r="B175" s="2" t="s">
        <v>610</v>
      </c>
      <c r="C175" s="2" t="s">
        <v>611</v>
      </c>
      <c r="D175" s="2" t="s">
        <v>177</v>
      </c>
      <c r="E175" s="2" t="s">
        <v>178</v>
      </c>
      <c r="F175" s="2" t="s">
        <v>179</v>
      </c>
    </row>
    <row r="176" spans="1:6" ht="32" x14ac:dyDescent="0.2">
      <c r="A176" s="2" t="s">
        <v>612</v>
      </c>
      <c r="B176" s="2" t="s">
        <v>613</v>
      </c>
      <c r="C176" s="2" t="s">
        <v>614</v>
      </c>
      <c r="D176" s="2" t="s">
        <v>153</v>
      </c>
      <c r="E176" s="2" t="s">
        <v>154</v>
      </c>
      <c r="F176" s="2" t="s">
        <v>155</v>
      </c>
    </row>
    <row r="177" spans="1:6" ht="16" x14ac:dyDescent="0.2">
      <c r="A177" s="2" t="s">
        <v>615</v>
      </c>
      <c r="B177" s="2" t="s">
        <v>616</v>
      </c>
      <c r="C177" s="2" t="s">
        <v>71</v>
      </c>
      <c r="D177" s="2" t="s">
        <v>216</v>
      </c>
      <c r="E177" s="2" t="s">
        <v>217</v>
      </c>
      <c r="F177" s="2" t="s">
        <v>218</v>
      </c>
    </row>
    <row r="178" spans="1:6" ht="32" x14ac:dyDescent="0.2">
      <c r="A178" s="2" t="s">
        <v>617</v>
      </c>
      <c r="B178" s="2" t="s">
        <v>618</v>
      </c>
      <c r="C178" s="2" t="s">
        <v>619</v>
      </c>
      <c r="D178" s="2" t="s">
        <v>136</v>
      </c>
      <c r="E178" s="2" t="s">
        <v>137</v>
      </c>
      <c r="F178" s="2" t="s">
        <v>138</v>
      </c>
    </row>
    <row r="179" spans="1:6" ht="16" x14ac:dyDescent="0.2">
      <c r="A179" s="2" t="s">
        <v>620</v>
      </c>
      <c r="B179" s="2" t="s">
        <v>621</v>
      </c>
      <c r="C179" s="2" t="s">
        <v>72</v>
      </c>
      <c r="D179" s="2" t="s">
        <v>216</v>
      </c>
      <c r="E179" s="2" t="s">
        <v>217</v>
      </c>
      <c r="F179" s="2" t="s">
        <v>218</v>
      </c>
    </row>
    <row r="180" spans="1:6" ht="32" x14ac:dyDescent="0.2">
      <c r="A180" s="2" t="s">
        <v>622</v>
      </c>
      <c r="B180" s="2" t="s">
        <v>623</v>
      </c>
      <c r="C180" s="2" t="s">
        <v>624</v>
      </c>
      <c r="D180" s="2" t="s">
        <v>177</v>
      </c>
      <c r="E180" s="2" t="s">
        <v>178</v>
      </c>
      <c r="F180" s="2" t="s">
        <v>179</v>
      </c>
    </row>
    <row r="181" spans="1:6" ht="16" x14ac:dyDescent="0.2">
      <c r="A181" s="2" t="s">
        <v>625</v>
      </c>
      <c r="B181" s="2" t="s">
        <v>626</v>
      </c>
      <c r="C181" s="2" t="s">
        <v>73</v>
      </c>
      <c r="D181" s="2" t="s">
        <v>130</v>
      </c>
      <c r="E181" s="2" t="s">
        <v>131</v>
      </c>
      <c r="F181" s="2" t="s">
        <v>132</v>
      </c>
    </row>
    <row r="182" spans="1:6" ht="16" x14ac:dyDescent="0.2">
      <c r="A182" s="2" t="s">
        <v>627</v>
      </c>
      <c r="B182" s="2" t="s">
        <v>628</v>
      </c>
      <c r="C182" s="2" t="s">
        <v>74</v>
      </c>
      <c r="D182" s="2" t="s">
        <v>277</v>
      </c>
      <c r="E182" s="2" t="s">
        <v>278</v>
      </c>
      <c r="F182" s="2" t="s">
        <v>279</v>
      </c>
    </row>
    <row r="183" spans="1:6" ht="32" x14ac:dyDescent="0.2">
      <c r="A183" s="2" t="s">
        <v>629</v>
      </c>
      <c r="B183" s="2" t="s">
        <v>630</v>
      </c>
      <c r="C183" s="2" t="s">
        <v>631</v>
      </c>
      <c r="D183" s="2" t="s">
        <v>153</v>
      </c>
      <c r="E183" s="2" t="s">
        <v>154</v>
      </c>
      <c r="F183" s="2" t="s">
        <v>155</v>
      </c>
    </row>
    <row r="184" spans="1:6" ht="16" x14ac:dyDescent="0.2">
      <c r="A184" s="2" t="s">
        <v>632</v>
      </c>
      <c r="B184" s="2" t="s">
        <v>633</v>
      </c>
      <c r="C184" s="2" t="s">
        <v>634</v>
      </c>
      <c r="D184" s="2" t="s">
        <v>130</v>
      </c>
      <c r="E184" s="2" t="s">
        <v>131</v>
      </c>
      <c r="F184" s="2" t="s">
        <v>132</v>
      </c>
    </row>
    <row r="185" spans="1:6" ht="16" x14ac:dyDescent="0.2">
      <c r="A185" s="2" t="s">
        <v>635</v>
      </c>
      <c r="B185" s="2" t="s">
        <v>636</v>
      </c>
      <c r="C185" s="2" t="s">
        <v>637</v>
      </c>
      <c r="D185" s="2" t="s">
        <v>367</v>
      </c>
      <c r="E185" s="2" t="s">
        <v>368</v>
      </c>
      <c r="F185" s="2" t="s">
        <v>46</v>
      </c>
    </row>
    <row r="186" spans="1:6" ht="32" x14ac:dyDescent="0.2">
      <c r="A186" s="2" t="s">
        <v>638</v>
      </c>
      <c r="B186" s="2" t="s">
        <v>639</v>
      </c>
      <c r="C186" s="2" t="s">
        <v>640</v>
      </c>
      <c r="D186" s="2" t="s">
        <v>177</v>
      </c>
      <c r="E186" s="2" t="s">
        <v>178</v>
      </c>
      <c r="F186" s="2" t="s">
        <v>179</v>
      </c>
    </row>
    <row r="187" spans="1:6" ht="32" x14ac:dyDescent="0.2">
      <c r="A187" s="2" t="s">
        <v>641</v>
      </c>
      <c r="B187" s="2" t="s">
        <v>642</v>
      </c>
      <c r="C187" s="2" t="s">
        <v>643</v>
      </c>
      <c r="D187" s="2" t="s">
        <v>153</v>
      </c>
      <c r="E187" s="2" t="s">
        <v>154</v>
      </c>
      <c r="F187" s="2" t="s">
        <v>155</v>
      </c>
    </row>
    <row r="188" spans="1:6" ht="16" x14ac:dyDescent="0.2">
      <c r="A188" s="2" t="s">
        <v>644</v>
      </c>
      <c r="B188" s="2" t="s">
        <v>645</v>
      </c>
      <c r="C188" s="2" t="s">
        <v>646</v>
      </c>
      <c r="D188" s="2" t="s">
        <v>141</v>
      </c>
      <c r="E188" s="2" t="s">
        <v>142</v>
      </c>
      <c r="F188" s="2" t="s">
        <v>143</v>
      </c>
    </row>
    <row r="189" spans="1:6" ht="16" x14ac:dyDescent="0.2">
      <c r="A189" s="2" t="s">
        <v>647</v>
      </c>
      <c r="B189" s="2" t="s">
        <v>648</v>
      </c>
      <c r="C189" s="2" t="s">
        <v>649</v>
      </c>
      <c r="D189" s="2" t="s">
        <v>188</v>
      </c>
      <c r="E189" s="2" t="s">
        <v>189</v>
      </c>
      <c r="F189" s="2" t="s">
        <v>98</v>
      </c>
    </row>
    <row r="190" spans="1:6" ht="16" x14ac:dyDescent="0.2">
      <c r="A190" s="2" t="s">
        <v>650</v>
      </c>
      <c r="B190" s="2" t="s">
        <v>651</v>
      </c>
      <c r="C190" s="2" t="s">
        <v>652</v>
      </c>
      <c r="D190" s="2" t="s">
        <v>216</v>
      </c>
      <c r="E190" s="2" t="s">
        <v>217</v>
      </c>
      <c r="F190" s="2" t="s">
        <v>218</v>
      </c>
    </row>
    <row r="191" spans="1:6" ht="16" x14ac:dyDescent="0.2">
      <c r="A191" s="2" t="s">
        <v>653</v>
      </c>
      <c r="B191" s="2" t="s">
        <v>654</v>
      </c>
      <c r="C191" s="2" t="s">
        <v>655</v>
      </c>
      <c r="D191" s="2" t="s">
        <v>141</v>
      </c>
      <c r="E191" s="2" t="s">
        <v>142</v>
      </c>
      <c r="F191" s="2" t="s">
        <v>143</v>
      </c>
    </row>
    <row r="192" spans="1:6" ht="16" x14ac:dyDescent="0.2">
      <c r="A192" s="2" t="s">
        <v>656</v>
      </c>
      <c r="B192" s="2" t="s">
        <v>657</v>
      </c>
      <c r="C192" s="2" t="s">
        <v>658</v>
      </c>
      <c r="D192" s="2" t="s">
        <v>216</v>
      </c>
      <c r="E192" s="2" t="s">
        <v>217</v>
      </c>
      <c r="F192" s="2" t="s">
        <v>218</v>
      </c>
    </row>
    <row r="193" spans="1:6" ht="16" x14ac:dyDescent="0.2">
      <c r="A193" s="2" t="s">
        <v>659</v>
      </c>
      <c r="B193" s="2" t="s">
        <v>660</v>
      </c>
      <c r="C193" s="2" t="s">
        <v>661</v>
      </c>
      <c r="D193" s="2" t="s">
        <v>188</v>
      </c>
      <c r="E193" s="2" t="s">
        <v>189</v>
      </c>
      <c r="F193" s="2" t="s">
        <v>98</v>
      </c>
    </row>
    <row r="194" spans="1:6" ht="32" x14ac:dyDescent="0.2">
      <c r="A194" s="2" t="s">
        <v>662</v>
      </c>
      <c r="B194" s="2" t="s">
        <v>663</v>
      </c>
      <c r="C194" s="2" t="s">
        <v>664</v>
      </c>
      <c r="D194" s="2" t="s">
        <v>153</v>
      </c>
      <c r="E194" s="2" t="s">
        <v>154</v>
      </c>
      <c r="F194" s="2" t="s">
        <v>155</v>
      </c>
    </row>
    <row r="195" spans="1:6" ht="16" x14ac:dyDescent="0.2">
      <c r="A195" s="2" t="s">
        <v>665</v>
      </c>
      <c r="B195" s="2" t="s">
        <v>666</v>
      </c>
      <c r="C195" s="2" t="s">
        <v>75</v>
      </c>
      <c r="D195" s="2" t="s">
        <v>141</v>
      </c>
      <c r="E195" s="2" t="s">
        <v>142</v>
      </c>
      <c r="F195" s="2" t="s">
        <v>143</v>
      </c>
    </row>
    <row r="196" spans="1:6" ht="16" x14ac:dyDescent="0.2">
      <c r="A196" s="2" t="s">
        <v>667</v>
      </c>
      <c r="B196" s="2" t="s">
        <v>668</v>
      </c>
      <c r="C196" s="2" t="s">
        <v>76</v>
      </c>
      <c r="D196" s="2" t="s">
        <v>141</v>
      </c>
      <c r="E196" s="2" t="s">
        <v>142</v>
      </c>
      <c r="F196" s="2" t="s">
        <v>143</v>
      </c>
    </row>
    <row r="197" spans="1:6" ht="32" x14ac:dyDescent="0.2">
      <c r="A197" s="2" t="s">
        <v>669</v>
      </c>
      <c r="B197" s="2" t="s">
        <v>670</v>
      </c>
      <c r="C197" s="2" t="s">
        <v>671</v>
      </c>
      <c r="D197" s="2" t="s">
        <v>153</v>
      </c>
      <c r="E197" s="2" t="s">
        <v>154</v>
      </c>
      <c r="F197" s="2" t="s">
        <v>155</v>
      </c>
    </row>
    <row r="198" spans="1:6" ht="16" x14ac:dyDescent="0.2">
      <c r="A198" s="2" t="s">
        <v>672</v>
      </c>
      <c r="B198" s="2" t="s">
        <v>673</v>
      </c>
      <c r="C198" s="2" t="s">
        <v>674</v>
      </c>
      <c r="D198" s="2" t="s">
        <v>147</v>
      </c>
      <c r="E198" s="2" t="s">
        <v>148</v>
      </c>
      <c r="F198" s="2" t="s">
        <v>149</v>
      </c>
    </row>
    <row r="199" spans="1:6" ht="16" x14ac:dyDescent="0.2">
      <c r="A199" s="2" t="s">
        <v>675</v>
      </c>
      <c r="B199" s="2" t="s">
        <v>676</v>
      </c>
      <c r="C199" s="2" t="s">
        <v>677</v>
      </c>
      <c r="D199" s="2" t="s">
        <v>277</v>
      </c>
      <c r="E199" s="2" t="s">
        <v>278</v>
      </c>
      <c r="F199" s="2" t="s">
        <v>279</v>
      </c>
    </row>
    <row r="200" spans="1:6" ht="16" x14ac:dyDescent="0.2">
      <c r="A200" s="2" t="s">
        <v>678</v>
      </c>
      <c r="B200" s="2" t="s">
        <v>679</v>
      </c>
      <c r="C200" s="2" t="s">
        <v>680</v>
      </c>
      <c r="D200" s="2" t="s">
        <v>130</v>
      </c>
      <c r="E200" s="2" t="s">
        <v>131</v>
      </c>
      <c r="F200" s="2" t="s">
        <v>132</v>
      </c>
    </row>
    <row r="201" spans="1:6" ht="16" x14ac:dyDescent="0.2">
      <c r="A201" s="2" t="s">
        <v>681</v>
      </c>
      <c r="B201" s="2" t="s">
        <v>682</v>
      </c>
      <c r="C201" s="2" t="s">
        <v>683</v>
      </c>
      <c r="D201" s="2" t="s">
        <v>169</v>
      </c>
      <c r="E201" s="2" t="s">
        <v>170</v>
      </c>
      <c r="F201" s="2" t="s">
        <v>171</v>
      </c>
    </row>
    <row r="202" spans="1:6" ht="32" x14ac:dyDescent="0.2">
      <c r="A202" s="2" t="s">
        <v>684</v>
      </c>
      <c r="B202" s="2" t="s">
        <v>685</v>
      </c>
      <c r="C202" s="2" t="s">
        <v>686</v>
      </c>
      <c r="D202" s="2" t="s">
        <v>153</v>
      </c>
      <c r="E202" s="2" t="s">
        <v>154</v>
      </c>
      <c r="F202" s="2" t="s">
        <v>155</v>
      </c>
    </row>
    <row r="203" spans="1:6" ht="32" x14ac:dyDescent="0.2">
      <c r="A203" s="2" t="s">
        <v>687</v>
      </c>
      <c r="B203" s="2" t="s">
        <v>688</v>
      </c>
      <c r="C203" s="2" t="s">
        <v>689</v>
      </c>
      <c r="D203" s="2" t="s">
        <v>177</v>
      </c>
      <c r="E203" s="2" t="s">
        <v>178</v>
      </c>
      <c r="F203" s="2" t="s">
        <v>179</v>
      </c>
    </row>
    <row r="204" spans="1:6" ht="16" x14ac:dyDescent="0.2">
      <c r="A204" s="2" t="s">
        <v>690</v>
      </c>
      <c r="B204" s="2" t="s">
        <v>691</v>
      </c>
      <c r="C204" s="2" t="s">
        <v>77</v>
      </c>
      <c r="D204" s="2" t="s">
        <v>141</v>
      </c>
      <c r="E204" s="2" t="s">
        <v>142</v>
      </c>
      <c r="F204" s="2" t="s">
        <v>143</v>
      </c>
    </row>
    <row r="205" spans="1:6" ht="32" x14ac:dyDescent="0.2">
      <c r="A205" s="2" t="s">
        <v>692</v>
      </c>
      <c r="B205" s="2" t="s">
        <v>693</v>
      </c>
      <c r="C205" s="2" t="s">
        <v>694</v>
      </c>
      <c r="D205" s="2" t="s">
        <v>153</v>
      </c>
      <c r="E205" s="2" t="s">
        <v>154</v>
      </c>
      <c r="F205" s="2" t="s">
        <v>155</v>
      </c>
    </row>
    <row r="206" spans="1:6" ht="32" x14ac:dyDescent="0.2">
      <c r="A206" s="2" t="s">
        <v>695</v>
      </c>
      <c r="B206" s="2" t="s">
        <v>696</v>
      </c>
      <c r="C206" s="2" t="s">
        <v>697</v>
      </c>
      <c r="D206" s="2" t="s">
        <v>177</v>
      </c>
      <c r="E206" s="2" t="s">
        <v>178</v>
      </c>
      <c r="F206" s="2" t="s">
        <v>179</v>
      </c>
    </row>
    <row r="207" spans="1:6" ht="32" x14ac:dyDescent="0.2">
      <c r="A207" s="2" t="s">
        <v>698</v>
      </c>
      <c r="B207" s="2" t="s">
        <v>699</v>
      </c>
      <c r="C207" s="2" t="s">
        <v>78</v>
      </c>
      <c r="D207" s="2" t="s">
        <v>177</v>
      </c>
      <c r="E207" s="2" t="s">
        <v>178</v>
      </c>
      <c r="F207" s="2" t="s">
        <v>179</v>
      </c>
    </row>
    <row r="208" spans="1:6" ht="16" x14ac:dyDescent="0.2">
      <c r="A208" s="2" t="s">
        <v>700</v>
      </c>
      <c r="B208" s="2" t="s">
        <v>701</v>
      </c>
      <c r="C208" s="2" t="s">
        <v>702</v>
      </c>
      <c r="D208" s="2" t="s">
        <v>367</v>
      </c>
      <c r="E208" s="2" t="s">
        <v>368</v>
      </c>
      <c r="F208" s="2" t="s">
        <v>46</v>
      </c>
    </row>
    <row r="209" spans="1:6" ht="16" x14ac:dyDescent="0.2">
      <c r="A209" s="2" t="s">
        <v>703</v>
      </c>
      <c r="B209" s="2" t="s">
        <v>704</v>
      </c>
      <c r="C209" s="2" t="s">
        <v>705</v>
      </c>
      <c r="D209" s="2" t="s">
        <v>141</v>
      </c>
      <c r="E209" s="2" t="s">
        <v>142</v>
      </c>
      <c r="F209" s="2" t="s">
        <v>143</v>
      </c>
    </row>
    <row r="210" spans="1:6" ht="16" x14ac:dyDescent="0.2">
      <c r="A210" s="2" t="s">
        <v>706</v>
      </c>
      <c r="B210" s="2" t="s">
        <v>707</v>
      </c>
      <c r="C210" s="2" t="s">
        <v>79</v>
      </c>
      <c r="D210" s="2" t="s">
        <v>163</v>
      </c>
      <c r="E210" s="2" t="s">
        <v>164</v>
      </c>
      <c r="F210" s="2" t="s">
        <v>165</v>
      </c>
    </row>
    <row r="211" spans="1:6" ht="16" x14ac:dyDescent="0.2">
      <c r="A211" s="2" t="s">
        <v>708</v>
      </c>
      <c r="B211" s="2" t="s">
        <v>709</v>
      </c>
      <c r="C211" s="2" t="s">
        <v>710</v>
      </c>
      <c r="D211" s="2" t="s">
        <v>163</v>
      </c>
      <c r="E211" s="2" t="s">
        <v>164</v>
      </c>
      <c r="F211" s="2" t="s">
        <v>165</v>
      </c>
    </row>
    <row r="212" spans="1:6" ht="16" x14ac:dyDescent="0.2">
      <c r="A212" s="2" t="s">
        <v>711</v>
      </c>
      <c r="B212" s="2" t="s">
        <v>712</v>
      </c>
      <c r="C212" s="2" t="s">
        <v>80</v>
      </c>
      <c r="D212" s="2" t="s">
        <v>163</v>
      </c>
      <c r="E212" s="2" t="s">
        <v>164</v>
      </c>
      <c r="F212" s="2" t="s">
        <v>165</v>
      </c>
    </row>
    <row r="213" spans="1:6" ht="16" x14ac:dyDescent="0.2">
      <c r="A213" s="2" t="s">
        <v>713</v>
      </c>
      <c r="B213" s="2" t="s">
        <v>714</v>
      </c>
      <c r="C213" s="2" t="s">
        <v>715</v>
      </c>
      <c r="D213" s="2" t="s">
        <v>141</v>
      </c>
      <c r="E213" s="2" t="s">
        <v>142</v>
      </c>
      <c r="F213" s="2" t="s">
        <v>143</v>
      </c>
    </row>
    <row r="214" spans="1:6" ht="32" x14ac:dyDescent="0.2">
      <c r="A214" s="2" t="s">
        <v>716</v>
      </c>
      <c r="B214" s="2" t="s">
        <v>717</v>
      </c>
      <c r="C214" s="2" t="s">
        <v>718</v>
      </c>
      <c r="D214" s="2" t="s">
        <v>177</v>
      </c>
      <c r="E214" s="2" t="s">
        <v>178</v>
      </c>
      <c r="F214" s="2" t="s">
        <v>179</v>
      </c>
    </row>
    <row r="215" spans="1:6" ht="16" x14ac:dyDescent="0.2">
      <c r="A215" s="2" t="s">
        <v>719</v>
      </c>
      <c r="B215" s="2" t="s">
        <v>720</v>
      </c>
      <c r="C215" s="2" t="s">
        <v>721</v>
      </c>
      <c r="D215" s="2" t="s">
        <v>147</v>
      </c>
      <c r="E215" s="2" t="s">
        <v>148</v>
      </c>
      <c r="F215" s="2" t="s">
        <v>149</v>
      </c>
    </row>
    <row r="216" spans="1:6" ht="32" x14ac:dyDescent="0.2">
      <c r="A216" s="2" t="s">
        <v>722</v>
      </c>
      <c r="B216" s="2" t="s">
        <v>723</v>
      </c>
      <c r="C216" s="2" t="s">
        <v>724</v>
      </c>
      <c r="D216" s="2" t="s">
        <v>136</v>
      </c>
      <c r="E216" s="2" t="s">
        <v>137</v>
      </c>
      <c r="F216" s="2" t="s">
        <v>138</v>
      </c>
    </row>
    <row r="217" spans="1:6" ht="32" x14ac:dyDescent="0.2">
      <c r="A217" s="2" t="s">
        <v>725</v>
      </c>
      <c r="B217" s="2" t="s">
        <v>726</v>
      </c>
      <c r="C217" s="2" t="s">
        <v>727</v>
      </c>
      <c r="D217" s="2" t="s">
        <v>136</v>
      </c>
      <c r="E217" s="2" t="s">
        <v>137</v>
      </c>
      <c r="F217" s="2" t="s">
        <v>138</v>
      </c>
    </row>
    <row r="218" spans="1:6" ht="16" x14ac:dyDescent="0.2">
      <c r="A218" s="2" t="s">
        <v>728</v>
      </c>
      <c r="B218" s="2" t="s">
        <v>729</v>
      </c>
      <c r="C218" s="2" t="s">
        <v>730</v>
      </c>
      <c r="D218" s="2" t="s">
        <v>147</v>
      </c>
      <c r="E218" s="2" t="s">
        <v>148</v>
      </c>
      <c r="F218" s="2" t="s">
        <v>149</v>
      </c>
    </row>
    <row r="219" spans="1:6" ht="32" x14ac:dyDescent="0.2">
      <c r="A219" s="2" t="s">
        <v>731</v>
      </c>
      <c r="B219" s="2" t="s">
        <v>732</v>
      </c>
      <c r="C219" s="2" t="s">
        <v>81</v>
      </c>
      <c r="D219" s="2" t="s">
        <v>177</v>
      </c>
      <c r="E219" s="2" t="s">
        <v>178</v>
      </c>
      <c r="F219" s="2" t="s">
        <v>179</v>
      </c>
    </row>
    <row r="220" spans="1:6" ht="16" x14ac:dyDescent="0.2">
      <c r="A220" s="2" t="s">
        <v>733</v>
      </c>
      <c r="B220" s="2" t="s">
        <v>734</v>
      </c>
      <c r="C220" s="2" t="s">
        <v>735</v>
      </c>
      <c r="D220" s="2" t="s">
        <v>141</v>
      </c>
      <c r="E220" s="2" t="s">
        <v>142</v>
      </c>
      <c r="F220" s="2" t="s">
        <v>143</v>
      </c>
    </row>
    <row r="221" spans="1:6" ht="32" x14ac:dyDescent="0.2">
      <c r="A221" s="2" t="s">
        <v>736</v>
      </c>
      <c r="B221" s="2" t="s">
        <v>737</v>
      </c>
      <c r="C221" s="2" t="s">
        <v>738</v>
      </c>
      <c r="D221" s="2" t="s">
        <v>136</v>
      </c>
      <c r="E221" s="2" t="s">
        <v>137</v>
      </c>
      <c r="F221" s="2" t="s">
        <v>138</v>
      </c>
    </row>
    <row r="222" spans="1:6" ht="16" x14ac:dyDescent="0.2">
      <c r="A222" s="2" t="s">
        <v>739</v>
      </c>
      <c r="B222" s="2" t="s">
        <v>740</v>
      </c>
      <c r="C222" s="2" t="s">
        <v>741</v>
      </c>
      <c r="D222" s="2" t="s">
        <v>188</v>
      </c>
      <c r="E222" s="2" t="s">
        <v>189</v>
      </c>
      <c r="F222" s="2" t="s">
        <v>98</v>
      </c>
    </row>
    <row r="223" spans="1:6" ht="16" x14ac:dyDescent="0.2">
      <c r="A223" s="2" t="s">
        <v>742</v>
      </c>
      <c r="B223" s="2" t="s">
        <v>743</v>
      </c>
      <c r="C223" s="2" t="s">
        <v>744</v>
      </c>
      <c r="D223" s="2" t="s">
        <v>141</v>
      </c>
      <c r="E223" s="2" t="s">
        <v>142</v>
      </c>
      <c r="F223" s="2" t="s">
        <v>143</v>
      </c>
    </row>
    <row r="224" spans="1:6" ht="32" x14ac:dyDescent="0.2">
      <c r="A224" s="2" t="s">
        <v>745</v>
      </c>
      <c r="B224" s="2" t="s">
        <v>746</v>
      </c>
      <c r="C224" s="2" t="s">
        <v>747</v>
      </c>
      <c r="D224" s="2" t="s">
        <v>153</v>
      </c>
      <c r="E224" s="2" t="s">
        <v>154</v>
      </c>
      <c r="F224" s="2" t="s">
        <v>155</v>
      </c>
    </row>
    <row r="225" spans="1:6" ht="16" x14ac:dyDescent="0.2">
      <c r="A225" s="2" t="s">
        <v>748</v>
      </c>
      <c r="B225" s="2" t="s">
        <v>749</v>
      </c>
      <c r="C225" s="2" t="s">
        <v>750</v>
      </c>
      <c r="D225" s="2" t="s">
        <v>216</v>
      </c>
      <c r="E225" s="2" t="s">
        <v>217</v>
      </c>
      <c r="F225" s="2" t="s">
        <v>218</v>
      </c>
    </row>
    <row r="226" spans="1:6" ht="16" x14ac:dyDescent="0.2">
      <c r="A226" s="2" t="s">
        <v>751</v>
      </c>
      <c r="B226" s="2" t="s">
        <v>752</v>
      </c>
      <c r="C226" s="2" t="s">
        <v>753</v>
      </c>
      <c r="D226" s="2" t="s">
        <v>367</v>
      </c>
      <c r="E226" s="2" t="s">
        <v>368</v>
      </c>
      <c r="F226" s="2" t="s">
        <v>46</v>
      </c>
    </row>
    <row r="227" spans="1:6" ht="32" x14ac:dyDescent="0.2">
      <c r="A227" s="2" t="s">
        <v>754</v>
      </c>
      <c r="B227" s="2" t="s">
        <v>755</v>
      </c>
      <c r="C227" s="2" t="s">
        <v>756</v>
      </c>
      <c r="D227" s="2" t="s">
        <v>153</v>
      </c>
      <c r="E227" s="2" t="s">
        <v>154</v>
      </c>
      <c r="F227" s="2" t="s">
        <v>155</v>
      </c>
    </row>
    <row r="228" spans="1:6" ht="32" x14ac:dyDescent="0.2">
      <c r="A228" s="2" t="s">
        <v>757</v>
      </c>
      <c r="B228" s="2" t="s">
        <v>758</v>
      </c>
      <c r="C228" s="2" t="s">
        <v>82</v>
      </c>
      <c r="D228" s="2" t="s">
        <v>136</v>
      </c>
      <c r="E228" s="2" t="s">
        <v>137</v>
      </c>
      <c r="F228" s="2" t="s">
        <v>138</v>
      </c>
    </row>
    <row r="229" spans="1:6" ht="16" x14ac:dyDescent="0.2">
      <c r="A229" s="2" t="s">
        <v>759</v>
      </c>
      <c r="B229" s="2" t="s">
        <v>760</v>
      </c>
      <c r="C229" s="2" t="s">
        <v>83</v>
      </c>
      <c r="D229" s="2" t="s">
        <v>141</v>
      </c>
      <c r="E229" s="2" t="s">
        <v>142</v>
      </c>
      <c r="F229" s="2" t="s">
        <v>143</v>
      </c>
    </row>
    <row r="230" spans="1:6" ht="16" x14ac:dyDescent="0.2">
      <c r="A230" s="2" t="s">
        <v>761</v>
      </c>
      <c r="B230" s="2" t="s">
        <v>762</v>
      </c>
      <c r="C230" s="2" t="s">
        <v>84</v>
      </c>
      <c r="D230" s="2" t="s">
        <v>163</v>
      </c>
      <c r="E230" s="2" t="s">
        <v>164</v>
      </c>
      <c r="F230" s="2" t="s">
        <v>165</v>
      </c>
    </row>
    <row r="231" spans="1:6" ht="16" x14ac:dyDescent="0.2">
      <c r="A231" s="2" t="s">
        <v>763</v>
      </c>
      <c r="B231" s="2" t="s">
        <v>764</v>
      </c>
      <c r="C231" s="2" t="s">
        <v>765</v>
      </c>
      <c r="D231" s="2" t="s">
        <v>277</v>
      </c>
      <c r="E231" s="2" t="s">
        <v>278</v>
      </c>
      <c r="F231" s="2" t="s">
        <v>279</v>
      </c>
    </row>
    <row r="232" spans="1:6" ht="16" x14ac:dyDescent="0.2">
      <c r="A232" s="2" t="s">
        <v>766</v>
      </c>
      <c r="B232" s="2" t="s">
        <v>767</v>
      </c>
      <c r="C232" s="2" t="s">
        <v>768</v>
      </c>
      <c r="D232" s="2" t="s">
        <v>141</v>
      </c>
      <c r="E232" s="2" t="s">
        <v>142</v>
      </c>
      <c r="F232" s="2" t="s">
        <v>143</v>
      </c>
    </row>
    <row r="233" spans="1:6" ht="16" x14ac:dyDescent="0.2">
      <c r="A233" s="2" t="s">
        <v>769</v>
      </c>
      <c r="B233" s="2" t="s">
        <v>770</v>
      </c>
      <c r="C233" s="2" t="s">
        <v>771</v>
      </c>
      <c r="D233" s="2" t="s">
        <v>188</v>
      </c>
      <c r="E233" s="2" t="s">
        <v>189</v>
      </c>
      <c r="F233" s="2" t="s">
        <v>98</v>
      </c>
    </row>
    <row r="234" spans="1:6" ht="32" x14ac:dyDescent="0.2">
      <c r="A234" s="2" t="s">
        <v>772</v>
      </c>
      <c r="B234" s="2" t="s">
        <v>773</v>
      </c>
      <c r="C234" s="2" t="s">
        <v>774</v>
      </c>
      <c r="D234" s="2" t="s">
        <v>177</v>
      </c>
      <c r="E234" s="2" t="s">
        <v>178</v>
      </c>
      <c r="F234" s="2" t="s">
        <v>179</v>
      </c>
    </row>
    <row r="235" spans="1:6" ht="16" x14ac:dyDescent="0.2">
      <c r="A235" s="2" t="s">
        <v>775</v>
      </c>
      <c r="B235" s="2" t="s">
        <v>776</v>
      </c>
      <c r="C235" s="2" t="s">
        <v>85</v>
      </c>
      <c r="D235" s="2" t="s">
        <v>141</v>
      </c>
      <c r="E235" s="2" t="s">
        <v>142</v>
      </c>
      <c r="F235" s="2" t="s">
        <v>143</v>
      </c>
    </row>
    <row r="236" spans="1:6" ht="16" x14ac:dyDescent="0.2">
      <c r="A236" s="2" t="s">
        <v>777</v>
      </c>
      <c r="B236" s="2" t="s">
        <v>778</v>
      </c>
      <c r="C236" s="2" t="s">
        <v>86</v>
      </c>
      <c r="D236" s="2" t="s">
        <v>188</v>
      </c>
      <c r="E236" s="2" t="s">
        <v>189</v>
      </c>
      <c r="F236" s="2" t="s">
        <v>98</v>
      </c>
    </row>
    <row r="237" spans="1:6" ht="32" x14ac:dyDescent="0.2">
      <c r="A237" s="2" t="s">
        <v>779</v>
      </c>
      <c r="B237" s="2" t="s">
        <v>780</v>
      </c>
      <c r="C237" s="2" t="s">
        <v>781</v>
      </c>
      <c r="D237" s="2" t="s">
        <v>153</v>
      </c>
      <c r="E237" s="2" t="s">
        <v>154</v>
      </c>
      <c r="F237" s="2" t="s">
        <v>155</v>
      </c>
    </row>
    <row r="238" spans="1:6" ht="16" x14ac:dyDescent="0.2">
      <c r="A238" s="2" t="s">
        <v>782</v>
      </c>
      <c r="B238" s="2" t="s">
        <v>783</v>
      </c>
      <c r="C238" s="2" t="s">
        <v>784</v>
      </c>
      <c r="D238" s="2" t="s">
        <v>163</v>
      </c>
      <c r="E238" s="2" t="s">
        <v>164</v>
      </c>
      <c r="F238" s="2" t="s">
        <v>165</v>
      </c>
    </row>
    <row r="239" spans="1:6" ht="32" x14ac:dyDescent="0.2">
      <c r="A239" s="2" t="s">
        <v>785</v>
      </c>
      <c r="B239" s="2" t="s">
        <v>786</v>
      </c>
      <c r="C239" s="2" t="s">
        <v>87</v>
      </c>
      <c r="D239" s="2" t="s">
        <v>153</v>
      </c>
      <c r="E239" s="2" t="s">
        <v>154</v>
      </c>
      <c r="F239" s="2" t="s">
        <v>155</v>
      </c>
    </row>
    <row r="240" spans="1:6" ht="16" x14ac:dyDescent="0.2">
      <c r="A240" s="2" t="s">
        <v>787</v>
      </c>
      <c r="B240" s="2" t="s">
        <v>788</v>
      </c>
      <c r="C240" s="2" t="s">
        <v>789</v>
      </c>
      <c r="D240" s="2" t="s">
        <v>216</v>
      </c>
      <c r="E240" s="2" t="s">
        <v>217</v>
      </c>
      <c r="F240" s="2" t="s">
        <v>218</v>
      </c>
    </row>
    <row r="241" spans="1:6" ht="16" x14ac:dyDescent="0.2">
      <c r="A241" s="2" t="s">
        <v>790</v>
      </c>
      <c r="B241" s="2" t="s">
        <v>791</v>
      </c>
      <c r="C241" s="2" t="s">
        <v>88</v>
      </c>
      <c r="D241" s="2" t="s">
        <v>216</v>
      </c>
      <c r="E241" s="2" t="s">
        <v>217</v>
      </c>
      <c r="F241" s="2" t="s">
        <v>218</v>
      </c>
    </row>
    <row r="242" spans="1:6" ht="16" x14ac:dyDescent="0.2">
      <c r="A242" s="2" t="s">
        <v>792</v>
      </c>
      <c r="B242" s="2" t="s">
        <v>793</v>
      </c>
      <c r="C242" s="2" t="s">
        <v>794</v>
      </c>
      <c r="D242" s="2" t="s">
        <v>188</v>
      </c>
      <c r="E242" s="2" t="s">
        <v>189</v>
      </c>
      <c r="F242" s="2" t="s">
        <v>98</v>
      </c>
    </row>
    <row r="243" spans="1:6" ht="32" x14ac:dyDescent="0.2">
      <c r="A243" s="2" t="s">
        <v>795</v>
      </c>
      <c r="B243" s="2" t="s">
        <v>796</v>
      </c>
      <c r="C243" s="2" t="s">
        <v>89</v>
      </c>
      <c r="D243" s="2" t="s">
        <v>177</v>
      </c>
      <c r="E243" s="2" t="s">
        <v>178</v>
      </c>
      <c r="F243" s="2" t="s">
        <v>179</v>
      </c>
    </row>
    <row r="244" spans="1:6" ht="32" x14ac:dyDescent="0.2">
      <c r="A244" s="2" t="s">
        <v>797</v>
      </c>
      <c r="B244" s="2" t="s">
        <v>798</v>
      </c>
      <c r="C244" s="2" t="s">
        <v>90</v>
      </c>
      <c r="D244" s="2" t="s">
        <v>153</v>
      </c>
      <c r="E244" s="2" t="s">
        <v>154</v>
      </c>
      <c r="F244" s="2" t="s">
        <v>155</v>
      </c>
    </row>
    <row r="245" spans="1:6" ht="16" x14ac:dyDescent="0.2">
      <c r="A245" s="2" t="s">
        <v>799</v>
      </c>
      <c r="B245" s="2" t="s">
        <v>800</v>
      </c>
      <c r="C245" s="2" t="s">
        <v>801</v>
      </c>
      <c r="D245" s="2" t="s">
        <v>141</v>
      </c>
      <c r="E245" s="2" t="s">
        <v>142</v>
      </c>
      <c r="F245" s="2" t="s">
        <v>143</v>
      </c>
    </row>
    <row r="246" spans="1:6" ht="32" x14ac:dyDescent="0.2">
      <c r="A246" s="2" t="s">
        <v>802</v>
      </c>
      <c r="B246" s="2" t="s">
        <v>803</v>
      </c>
      <c r="C246" s="2" t="s">
        <v>804</v>
      </c>
      <c r="D246" s="2" t="s">
        <v>177</v>
      </c>
      <c r="E246" s="2" t="s">
        <v>178</v>
      </c>
      <c r="F246" s="2" t="s">
        <v>179</v>
      </c>
    </row>
    <row r="247" spans="1:6" ht="32" x14ac:dyDescent="0.2">
      <c r="A247" s="2" t="s">
        <v>805</v>
      </c>
      <c r="B247" s="2" t="s">
        <v>806</v>
      </c>
      <c r="C247" s="2" t="s">
        <v>91</v>
      </c>
      <c r="D247" s="2" t="s">
        <v>136</v>
      </c>
      <c r="E247" s="2" t="s">
        <v>137</v>
      </c>
      <c r="F247" s="2" t="s">
        <v>138</v>
      </c>
    </row>
    <row r="248" spans="1:6" ht="16" x14ac:dyDescent="0.2">
      <c r="A248" s="2" t="s">
        <v>807</v>
      </c>
      <c r="B248" s="2" t="s">
        <v>808</v>
      </c>
      <c r="C248" s="2" t="s">
        <v>809</v>
      </c>
      <c r="D248" s="2" t="s">
        <v>141</v>
      </c>
      <c r="E248" s="2" t="s">
        <v>142</v>
      </c>
      <c r="F248" s="2" t="s">
        <v>143</v>
      </c>
    </row>
    <row r="249" spans="1:6" ht="32" x14ac:dyDescent="0.2">
      <c r="A249" s="2" t="s">
        <v>810</v>
      </c>
      <c r="B249" s="2" t="s">
        <v>811</v>
      </c>
      <c r="C249" s="2" t="s">
        <v>92</v>
      </c>
      <c r="D249" s="2" t="s">
        <v>153</v>
      </c>
      <c r="E249" s="2" t="s">
        <v>154</v>
      </c>
      <c r="F249" s="2" t="s">
        <v>155</v>
      </c>
    </row>
    <row r="250" spans="1:6" ht="16" x14ac:dyDescent="0.2">
      <c r="A250" s="2" t="s">
        <v>812</v>
      </c>
      <c r="B250" s="2" t="s">
        <v>813</v>
      </c>
      <c r="C250" s="2" t="s">
        <v>814</v>
      </c>
      <c r="D250" s="2" t="s">
        <v>147</v>
      </c>
      <c r="E250" s="2" t="s">
        <v>148</v>
      </c>
      <c r="F250" s="2" t="s">
        <v>149</v>
      </c>
    </row>
    <row r="251" spans="1:6" ht="16" x14ac:dyDescent="0.2">
      <c r="A251" s="2" t="s">
        <v>815</v>
      </c>
      <c r="B251" s="2" t="s">
        <v>816</v>
      </c>
      <c r="C251" s="2" t="s">
        <v>817</v>
      </c>
      <c r="D251" s="2" t="s">
        <v>277</v>
      </c>
      <c r="E251" s="2" t="s">
        <v>278</v>
      </c>
      <c r="F251" s="2" t="s">
        <v>279</v>
      </c>
    </row>
    <row r="252" spans="1:6" ht="16" x14ac:dyDescent="0.2">
      <c r="A252" s="2" t="s">
        <v>818</v>
      </c>
      <c r="B252" s="2" t="s">
        <v>819</v>
      </c>
      <c r="C252" s="2" t="s">
        <v>820</v>
      </c>
      <c r="D252" s="2" t="s">
        <v>216</v>
      </c>
      <c r="E252" s="2" t="s">
        <v>217</v>
      </c>
      <c r="F252" s="2" t="s">
        <v>218</v>
      </c>
    </row>
    <row r="253" spans="1:6" ht="32" x14ac:dyDescent="0.2">
      <c r="A253" s="2" t="s">
        <v>821</v>
      </c>
      <c r="B253" s="2" t="s">
        <v>822</v>
      </c>
      <c r="C253" s="2" t="s">
        <v>823</v>
      </c>
      <c r="D253" s="2" t="s">
        <v>177</v>
      </c>
      <c r="E253" s="2" t="s">
        <v>178</v>
      </c>
      <c r="F253" s="2" t="s">
        <v>179</v>
      </c>
    </row>
    <row r="254" spans="1:6" ht="16" x14ac:dyDescent="0.2">
      <c r="A254" s="2" t="s">
        <v>824</v>
      </c>
      <c r="B254" s="2" t="s">
        <v>825</v>
      </c>
      <c r="C254" s="2" t="s">
        <v>826</v>
      </c>
      <c r="D254" s="2" t="s">
        <v>216</v>
      </c>
      <c r="E254" s="2" t="s">
        <v>217</v>
      </c>
      <c r="F254" s="2" t="s">
        <v>218</v>
      </c>
    </row>
    <row r="255" spans="1:6" ht="32" x14ac:dyDescent="0.2">
      <c r="A255" s="2" t="s">
        <v>827</v>
      </c>
      <c r="B255" s="2" t="s">
        <v>828</v>
      </c>
      <c r="C255" s="2" t="s">
        <v>93</v>
      </c>
      <c r="D255" s="2" t="s">
        <v>153</v>
      </c>
      <c r="E255" s="2" t="s">
        <v>154</v>
      </c>
      <c r="F255" s="2" t="s">
        <v>155</v>
      </c>
    </row>
    <row r="256" spans="1:6" ht="16" x14ac:dyDescent="0.2">
      <c r="A256" s="2" t="s">
        <v>829</v>
      </c>
      <c r="B256" s="2" t="s">
        <v>830</v>
      </c>
      <c r="C256" s="2" t="s">
        <v>831</v>
      </c>
      <c r="D256" s="2" t="s">
        <v>277</v>
      </c>
      <c r="E256" s="2" t="s">
        <v>278</v>
      </c>
      <c r="F256" s="2" t="s">
        <v>279</v>
      </c>
    </row>
    <row r="257" spans="1:6" ht="16" x14ac:dyDescent="0.2">
      <c r="A257" s="2" t="s">
        <v>832</v>
      </c>
      <c r="B257" s="2" t="s">
        <v>833</v>
      </c>
      <c r="C257" s="2" t="s">
        <v>834</v>
      </c>
      <c r="D257" s="2" t="s">
        <v>147</v>
      </c>
      <c r="E257" s="2" t="s">
        <v>148</v>
      </c>
      <c r="F257" s="2" t="s">
        <v>149</v>
      </c>
    </row>
    <row r="258" spans="1:6" ht="16" x14ac:dyDescent="0.2">
      <c r="A258" s="2" t="s">
        <v>835</v>
      </c>
      <c r="B258" s="2" t="s">
        <v>836</v>
      </c>
      <c r="C258" s="2" t="s">
        <v>94</v>
      </c>
      <c r="D258" s="2" t="s">
        <v>188</v>
      </c>
      <c r="E258" s="2" t="s">
        <v>189</v>
      </c>
      <c r="F258" s="2" t="s">
        <v>98</v>
      </c>
    </row>
    <row r="259" spans="1:6" ht="32" x14ac:dyDescent="0.2">
      <c r="A259" s="2" t="s">
        <v>837</v>
      </c>
      <c r="B259" s="2" t="s">
        <v>838</v>
      </c>
      <c r="C259" s="2" t="s">
        <v>839</v>
      </c>
      <c r="D259" s="2" t="s">
        <v>177</v>
      </c>
      <c r="E259" s="2" t="s">
        <v>178</v>
      </c>
      <c r="F259" s="2" t="s">
        <v>179</v>
      </c>
    </row>
    <row r="260" spans="1:6" ht="32" x14ac:dyDescent="0.2">
      <c r="A260" s="2" t="s">
        <v>840</v>
      </c>
      <c r="B260" s="2" t="s">
        <v>841</v>
      </c>
      <c r="C260" s="2" t="s">
        <v>842</v>
      </c>
      <c r="D260" s="2" t="s">
        <v>177</v>
      </c>
      <c r="E260" s="2" t="s">
        <v>178</v>
      </c>
      <c r="F260" s="2" t="s">
        <v>179</v>
      </c>
    </row>
    <row r="261" spans="1:6" ht="16" x14ac:dyDescent="0.2">
      <c r="A261" s="2" t="s">
        <v>843</v>
      </c>
      <c r="B261" s="2" t="s">
        <v>844</v>
      </c>
      <c r="C261" s="2" t="s">
        <v>845</v>
      </c>
      <c r="D261" s="2" t="s">
        <v>367</v>
      </c>
      <c r="E261" s="2" t="s">
        <v>368</v>
      </c>
      <c r="F261" s="2" t="s">
        <v>46</v>
      </c>
    </row>
    <row r="262" spans="1:6" ht="16" x14ac:dyDescent="0.2">
      <c r="A262" s="2" t="s">
        <v>846</v>
      </c>
      <c r="B262" s="2" t="s">
        <v>847</v>
      </c>
      <c r="C262" s="2" t="s">
        <v>848</v>
      </c>
      <c r="D262" s="2" t="s">
        <v>163</v>
      </c>
      <c r="E262" s="2" t="s">
        <v>164</v>
      </c>
      <c r="F262" s="2" t="s">
        <v>165</v>
      </c>
    </row>
    <row r="263" spans="1:6" ht="32" x14ac:dyDescent="0.2">
      <c r="A263" s="2" t="s">
        <v>849</v>
      </c>
      <c r="B263" s="2" t="s">
        <v>850</v>
      </c>
      <c r="C263" s="2" t="s">
        <v>851</v>
      </c>
      <c r="D263" s="2" t="s">
        <v>136</v>
      </c>
      <c r="E263" s="2" t="s">
        <v>137</v>
      </c>
      <c r="F263" s="2" t="s">
        <v>138</v>
      </c>
    </row>
    <row r="264" spans="1:6" ht="32" x14ac:dyDescent="0.2">
      <c r="A264" s="2" t="s">
        <v>852</v>
      </c>
      <c r="B264" s="2" t="s">
        <v>853</v>
      </c>
      <c r="C264" s="2" t="s">
        <v>854</v>
      </c>
      <c r="D264" s="2" t="s">
        <v>177</v>
      </c>
      <c r="E264" s="2" t="s">
        <v>178</v>
      </c>
      <c r="F264" s="2" t="s">
        <v>179</v>
      </c>
    </row>
    <row r="265" spans="1:6" ht="16" x14ac:dyDescent="0.2">
      <c r="A265" s="2" t="s">
        <v>855</v>
      </c>
      <c r="B265" s="2" t="s">
        <v>856</v>
      </c>
      <c r="C265" s="2" t="s">
        <v>857</v>
      </c>
      <c r="D265" s="2" t="s">
        <v>163</v>
      </c>
      <c r="E265" s="2" t="s">
        <v>164</v>
      </c>
      <c r="F265" s="2" t="s">
        <v>165</v>
      </c>
    </row>
    <row r="266" spans="1:6" ht="16" x14ac:dyDescent="0.2">
      <c r="A266" s="2" t="s">
        <v>858</v>
      </c>
      <c r="B266" s="2" t="s">
        <v>859</v>
      </c>
      <c r="C266" s="2" t="s">
        <v>860</v>
      </c>
      <c r="D266" s="2" t="s">
        <v>216</v>
      </c>
      <c r="E266" s="2" t="s">
        <v>217</v>
      </c>
      <c r="F266" s="2" t="s">
        <v>218</v>
      </c>
    </row>
    <row r="267" spans="1:6" ht="16" x14ac:dyDescent="0.2">
      <c r="A267" s="2" t="s">
        <v>861</v>
      </c>
      <c r="B267" s="2" t="s">
        <v>862</v>
      </c>
      <c r="C267" s="2" t="s">
        <v>863</v>
      </c>
      <c r="D267" s="2" t="s">
        <v>188</v>
      </c>
      <c r="E267" s="2" t="s">
        <v>189</v>
      </c>
      <c r="F267" s="2" t="s">
        <v>98</v>
      </c>
    </row>
    <row r="268" spans="1:6" ht="16" x14ac:dyDescent="0.2">
      <c r="A268" s="2" t="s">
        <v>864</v>
      </c>
      <c r="B268" s="2" t="s">
        <v>865</v>
      </c>
      <c r="C268" s="2" t="s">
        <v>866</v>
      </c>
      <c r="D268" s="2" t="s">
        <v>147</v>
      </c>
      <c r="E268" s="2" t="s">
        <v>148</v>
      </c>
      <c r="F268" s="2" t="s">
        <v>149</v>
      </c>
    </row>
    <row r="269" spans="1:6" ht="16" x14ac:dyDescent="0.2">
      <c r="A269" s="2" t="s">
        <v>867</v>
      </c>
      <c r="B269" s="2" t="s">
        <v>868</v>
      </c>
      <c r="C269" s="2" t="s">
        <v>869</v>
      </c>
      <c r="D269" s="2" t="s">
        <v>277</v>
      </c>
      <c r="E269" s="2" t="s">
        <v>278</v>
      </c>
      <c r="F269" s="2" t="s">
        <v>279</v>
      </c>
    </row>
    <row r="270" spans="1:6" ht="16" x14ac:dyDescent="0.2">
      <c r="A270" s="2" t="s">
        <v>870</v>
      </c>
      <c r="B270" s="2" t="s">
        <v>871</v>
      </c>
      <c r="C270" s="2" t="s">
        <v>872</v>
      </c>
      <c r="D270" s="2" t="s">
        <v>147</v>
      </c>
      <c r="E270" s="2" t="s">
        <v>148</v>
      </c>
      <c r="F270" s="2" t="s">
        <v>149</v>
      </c>
    </row>
    <row r="271" spans="1:6" ht="32" x14ac:dyDescent="0.2">
      <c r="A271" s="2" t="s">
        <v>873</v>
      </c>
      <c r="B271" s="2" t="s">
        <v>874</v>
      </c>
      <c r="C271" s="2" t="s">
        <v>875</v>
      </c>
      <c r="D271" s="2" t="s">
        <v>136</v>
      </c>
      <c r="E271" s="2" t="s">
        <v>137</v>
      </c>
      <c r="F271" s="2" t="s">
        <v>138</v>
      </c>
    </row>
    <row r="272" spans="1:6" ht="32" x14ac:dyDescent="0.2">
      <c r="A272" s="2" t="s">
        <v>876</v>
      </c>
      <c r="B272" s="2" t="s">
        <v>877</v>
      </c>
      <c r="C272" s="2" t="s">
        <v>878</v>
      </c>
      <c r="D272" s="2" t="s">
        <v>153</v>
      </c>
      <c r="E272" s="2" t="s">
        <v>154</v>
      </c>
      <c r="F272" s="2" t="s">
        <v>155</v>
      </c>
    </row>
    <row r="273" spans="1:6" ht="16" x14ac:dyDescent="0.2">
      <c r="A273" s="2" t="s">
        <v>879</v>
      </c>
      <c r="B273" s="2" t="s">
        <v>880</v>
      </c>
      <c r="C273" s="2" t="s">
        <v>881</v>
      </c>
      <c r="D273" s="2" t="s">
        <v>277</v>
      </c>
      <c r="E273" s="2" t="s">
        <v>278</v>
      </c>
      <c r="F273" s="2" t="s">
        <v>279</v>
      </c>
    </row>
    <row r="274" spans="1:6" ht="16" x14ac:dyDescent="0.2">
      <c r="A274" s="2" t="s">
        <v>882</v>
      </c>
      <c r="B274" s="2" t="s">
        <v>883</v>
      </c>
      <c r="C274" s="2" t="s">
        <v>95</v>
      </c>
      <c r="D274" s="2" t="s">
        <v>141</v>
      </c>
      <c r="E274" s="2" t="s">
        <v>142</v>
      </c>
      <c r="F274" s="2" t="s">
        <v>143</v>
      </c>
    </row>
    <row r="275" spans="1:6" ht="32" x14ac:dyDescent="0.2">
      <c r="A275" s="2" t="s">
        <v>884</v>
      </c>
      <c r="B275" s="2" t="s">
        <v>885</v>
      </c>
      <c r="C275" s="2" t="s">
        <v>96</v>
      </c>
      <c r="D275" s="2" t="s">
        <v>177</v>
      </c>
      <c r="E275" s="2" t="s">
        <v>178</v>
      </c>
      <c r="F275" s="2" t="s">
        <v>179</v>
      </c>
    </row>
    <row r="276" spans="1:6" ht="16" x14ac:dyDescent="0.2">
      <c r="A276" s="2" t="s">
        <v>886</v>
      </c>
      <c r="B276" s="2" t="s">
        <v>887</v>
      </c>
      <c r="C276" s="2" t="s">
        <v>888</v>
      </c>
      <c r="D276" s="2" t="s">
        <v>163</v>
      </c>
      <c r="E276" s="2" t="s">
        <v>164</v>
      </c>
      <c r="F276" s="2" t="s">
        <v>165</v>
      </c>
    </row>
    <row r="277" spans="1:6" ht="16" x14ac:dyDescent="0.2">
      <c r="A277" s="2" t="s">
        <v>889</v>
      </c>
      <c r="B277" s="2" t="s">
        <v>890</v>
      </c>
      <c r="C277" s="2" t="s">
        <v>891</v>
      </c>
      <c r="D277" s="2" t="s">
        <v>163</v>
      </c>
      <c r="E277" s="2" t="s">
        <v>164</v>
      </c>
      <c r="F277" s="2" t="s">
        <v>165</v>
      </c>
    </row>
    <row r="278" spans="1:6" ht="16" x14ac:dyDescent="0.2">
      <c r="A278" s="2" t="s">
        <v>892</v>
      </c>
      <c r="B278" s="2" t="s">
        <v>893</v>
      </c>
      <c r="C278" s="2" t="s">
        <v>894</v>
      </c>
      <c r="D278" s="2" t="s">
        <v>130</v>
      </c>
      <c r="E278" s="2" t="s">
        <v>131</v>
      </c>
      <c r="F278" s="2" t="s">
        <v>132</v>
      </c>
    </row>
    <row r="279" spans="1:6" ht="16" x14ac:dyDescent="0.2">
      <c r="A279" s="2" t="s">
        <v>895</v>
      </c>
      <c r="B279" s="2" t="s">
        <v>896</v>
      </c>
      <c r="C279" s="2" t="s">
        <v>897</v>
      </c>
      <c r="D279" s="2" t="s">
        <v>147</v>
      </c>
      <c r="E279" s="2" t="s">
        <v>148</v>
      </c>
      <c r="F279" s="2" t="s">
        <v>149</v>
      </c>
    </row>
    <row r="280" spans="1:6" ht="32" x14ac:dyDescent="0.2">
      <c r="A280" s="2" t="s">
        <v>898</v>
      </c>
      <c r="B280" s="2" t="s">
        <v>899</v>
      </c>
      <c r="C280" s="2" t="s">
        <v>97</v>
      </c>
      <c r="D280" s="2" t="s">
        <v>136</v>
      </c>
      <c r="E280" s="2" t="s">
        <v>137</v>
      </c>
      <c r="F280" s="2" t="s">
        <v>138</v>
      </c>
    </row>
    <row r="281" spans="1:6" ht="32" x14ac:dyDescent="0.2">
      <c r="A281" s="2" t="s">
        <v>900</v>
      </c>
      <c r="B281" s="2" t="s">
        <v>901</v>
      </c>
      <c r="C281" s="2" t="s">
        <v>902</v>
      </c>
      <c r="D281" s="2" t="s">
        <v>136</v>
      </c>
      <c r="E281" s="2" t="s">
        <v>137</v>
      </c>
      <c r="F281" s="2" t="s">
        <v>138</v>
      </c>
    </row>
    <row r="282" spans="1:6" ht="16" x14ac:dyDescent="0.2">
      <c r="A282" s="2" t="s">
        <v>903</v>
      </c>
      <c r="B282" s="2" t="s">
        <v>904</v>
      </c>
      <c r="C282" s="2" t="s">
        <v>905</v>
      </c>
      <c r="D282" s="2" t="s">
        <v>169</v>
      </c>
      <c r="E282" s="2" t="s">
        <v>170</v>
      </c>
      <c r="F282" s="2" t="s">
        <v>171</v>
      </c>
    </row>
    <row r="283" spans="1:6" ht="16" x14ac:dyDescent="0.2">
      <c r="A283" s="2" t="s">
        <v>906</v>
      </c>
      <c r="B283" s="2" t="s">
        <v>907</v>
      </c>
      <c r="C283" s="2" t="s">
        <v>98</v>
      </c>
      <c r="D283" s="2" t="s">
        <v>188</v>
      </c>
      <c r="E283" s="2" t="s">
        <v>189</v>
      </c>
      <c r="F283" s="2" t="s">
        <v>98</v>
      </c>
    </row>
    <row r="284" spans="1:6" ht="16" x14ac:dyDescent="0.2">
      <c r="A284" s="2" t="s">
        <v>908</v>
      </c>
      <c r="B284" s="2" t="s">
        <v>909</v>
      </c>
      <c r="C284" s="2" t="s">
        <v>910</v>
      </c>
      <c r="D284" s="2" t="s">
        <v>188</v>
      </c>
      <c r="E284" s="2" t="s">
        <v>189</v>
      </c>
      <c r="F284" s="2" t="s">
        <v>98</v>
      </c>
    </row>
    <row r="285" spans="1:6" ht="16" x14ac:dyDescent="0.2">
      <c r="A285" s="2" t="s">
        <v>911</v>
      </c>
      <c r="B285" s="2" t="s">
        <v>912</v>
      </c>
      <c r="C285" s="2" t="s">
        <v>913</v>
      </c>
      <c r="D285" s="2" t="s">
        <v>216</v>
      </c>
      <c r="E285" s="2" t="s">
        <v>217</v>
      </c>
      <c r="F285" s="2" t="s">
        <v>218</v>
      </c>
    </row>
    <row r="286" spans="1:6" ht="16" x14ac:dyDescent="0.2">
      <c r="A286" s="2" t="s">
        <v>914</v>
      </c>
      <c r="B286" s="2" t="s">
        <v>915</v>
      </c>
      <c r="C286" s="2" t="s">
        <v>916</v>
      </c>
      <c r="D286" s="2" t="s">
        <v>216</v>
      </c>
      <c r="E286" s="2" t="s">
        <v>217</v>
      </c>
      <c r="F286" s="2" t="s">
        <v>218</v>
      </c>
    </row>
    <row r="287" spans="1:6" ht="32" x14ac:dyDescent="0.2">
      <c r="A287" s="2" t="s">
        <v>917</v>
      </c>
      <c r="B287" s="2" t="s">
        <v>918</v>
      </c>
      <c r="C287" s="2" t="s">
        <v>919</v>
      </c>
      <c r="D287" s="2" t="s">
        <v>177</v>
      </c>
      <c r="E287" s="2" t="s">
        <v>178</v>
      </c>
      <c r="F287" s="2" t="s">
        <v>179</v>
      </c>
    </row>
    <row r="288" spans="1:6" ht="16" x14ac:dyDescent="0.2">
      <c r="A288" s="2" t="s">
        <v>920</v>
      </c>
      <c r="B288" s="2" t="s">
        <v>921</v>
      </c>
      <c r="C288" s="2" t="s">
        <v>99</v>
      </c>
      <c r="D288" s="2" t="s">
        <v>367</v>
      </c>
      <c r="E288" s="2" t="s">
        <v>368</v>
      </c>
      <c r="F288" s="2" t="s">
        <v>46</v>
      </c>
    </row>
    <row r="289" spans="1:6" ht="16" x14ac:dyDescent="0.2">
      <c r="A289" s="2" t="s">
        <v>922</v>
      </c>
      <c r="B289" s="2" t="s">
        <v>923</v>
      </c>
      <c r="C289" s="2" t="s">
        <v>100</v>
      </c>
      <c r="D289" s="2" t="s">
        <v>188</v>
      </c>
      <c r="E289" s="2" t="s">
        <v>189</v>
      </c>
      <c r="F289" s="2" t="s">
        <v>98</v>
      </c>
    </row>
    <row r="290" spans="1:6" ht="16" x14ac:dyDescent="0.2">
      <c r="A290" s="2" t="s">
        <v>924</v>
      </c>
      <c r="B290" s="2" t="s">
        <v>925</v>
      </c>
      <c r="C290" s="2" t="s">
        <v>926</v>
      </c>
      <c r="D290" s="2" t="s">
        <v>277</v>
      </c>
      <c r="E290" s="2" t="s">
        <v>278</v>
      </c>
      <c r="F290" s="2" t="s">
        <v>279</v>
      </c>
    </row>
    <row r="291" spans="1:6" ht="32" x14ac:dyDescent="0.2">
      <c r="A291" s="2" t="s">
        <v>927</v>
      </c>
      <c r="B291" s="2" t="s">
        <v>928</v>
      </c>
      <c r="C291" s="2" t="s">
        <v>929</v>
      </c>
      <c r="D291" s="2" t="s">
        <v>177</v>
      </c>
      <c r="E291" s="2" t="s">
        <v>178</v>
      </c>
      <c r="F291" s="2" t="s">
        <v>179</v>
      </c>
    </row>
    <row r="292" spans="1:6" ht="32" x14ac:dyDescent="0.2">
      <c r="A292" s="2" t="s">
        <v>930</v>
      </c>
      <c r="B292" s="2" t="s">
        <v>931</v>
      </c>
      <c r="C292" s="2" t="s">
        <v>932</v>
      </c>
      <c r="D292" s="2" t="s">
        <v>136</v>
      </c>
      <c r="E292" s="2" t="s">
        <v>137</v>
      </c>
      <c r="F292" s="2" t="s">
        <v>138</v>
      </c>
    </row>
    <row r="293" spans="1:6" ht="16" x14ac:dyDescent="0.2">
      <c r="A293" s="2" t="s">
        <v>933</v>
      </c>
      <c r="B293" s="2" t="s">
        <v>934</v>
      </c>
      <c r="C293" s="2" t="s">
        <v>101</v>
      </c>
      <c r="D293" s="2" t="s">
        <v>216</v>
      </c>
      <c r="E293" s="2" t="s">
        <v>217</v>
      </c>
      <c r="F293" s="2" t="s">
        <v>218</v>
      </c>
    </row>
    <row r="294" spans="1:6" ht="16" x14ac:dyDescent="0.2">
      <c r="A294" s="2" t="s">
        <v>935</v>
      </c>
      <c r="B294" s="2" t="s">
        <v>936</v>
      </c>
      <c r="C294" s="2" t="s">
        <v>102</v>
      </c>
      <c r="D294" s="2" t="s">
        <v>216</v>
      </c>
      <c r="E294" s="2" t="s">
        <v>217</v>
      </c>
      <c r="F294" s="2" t="s">
        <v>218</v>
      </c>
    </row>
    <row r="295" spans="1:6" ht="16" x14ac:dyDescent="0.2">
      <c r="A295" s="2" t="s">
        <v>937</v>
      </c>
      <c r="B295" s="2" t="s">
        <v>938</v>
      </c>
      <c r="C295" s="2" t="s">
        <v>939</v>
      </c>
      <c r="D295" s="2" t="s">
        <v>188</v>
      </c>
      <c r="E295" s="2" t="s">
        <v>189</v>
      </c>
      <c r="F295" s="2" t="s">
        <v>98</v>
      </c>
    </row>
    <row r="296" spans="1:6" ht="32" x14ac:dyDescent="0.2">
      <c r="A296" s="2" t="s">
        <v>940</v>
      </c>
      <c r="B296" s="2" t="s">
        <v>941</v>
      </c>
      <c r="C296" s="2" t="s">
        <v>942</v>
      </c>
      <c r="D296" s="2" t="s">
        <v>153</v>
      </c>
      <c r="E296" s="2" t="s">
        <v>154</v>
      </c>
      <c r="F296" s="2" t="s">
        <v>155</v>
      </c>
    </row>
    <row r="297" spans="1:6" ht="16" x14ac:dyDescent="0.2">
      <c r="A297" s="2" t="s">
        <v>943</v>
      </c>
      <c r="B297" s="2" t="s">
        <v>944</v>
      </c>
      <c r="C297" s="2" t="s">
        <v>945</v>
      </c>
      <c r="D297" s="2" t="s">
        <v>147</v>
      </c>
      <c r="E297" s="2" t="s">
        <v>148</v>
      </c>
      <c r="F297" s="2" t="s">
        <v>149</v>
      </c>
    </row>
    <row r="298" spans="1:6" ht="16" x14ac:dyDescent="0.2">
      <c r="A298" s="2" t="s">
        <v>946</v>
      </c>
      <c r="B298" s="2" t="s">
        <v>947</v>
      </c>
      <c r="C298" s="2" t="s">
        <v>103</v>
      </c>
      <c r="D298" s="2" t="s">
        <v>277</v>
      </c>
      <c r="E298" s="2" t="s">
        <v>278</v>
      </c>
      <c r="F298" s="2" t="s">
        <v>279</v>
      </c>
    </row>
    <row r="299" spans="1:6" ht="16" x14ac:dyDescent="0.2">
      <c r="A299" s="2" t="s">
        <v>948</v>
      </c>
      <c r="B299" s="2" t="s">
        <v>949</v>
      </c>
      <c r="C299" s="2" t="s">
        <v>104</v>
      </c>
      <c r="D299" s="2" t="s">
        <v>216</v>
      </c>
      <c r="E299" s="2" t="s">
        <v>217</v>
      </c>
      <c r="F299" s="2" t="s">
        <v>218</v>
      </c>
    </row>
    <row r="300" spans="1:6" ht="32" x14ac:dyDescent="0.2">
      <c r="A300" s="2" t="s">
        <v>950</v>
      </c>
      <c r="B300" s="2" t="s">
        <v>951</v>
      </c>
      <c r="C300" s="2" t="s">
        <v>952</v>
      </c>
      <c r="D300" s="2" t="s">
        <v>153</v>
      </c>
      <c r="E300" s="2" t="s">
        <v>154</v>
      </c>
      <c r="F300" s="2" t="s">
        <v>155</v>
      </c>
    </row>
    <row r="301" spans="1:6" ht="32" x14ac:dyDescent="0.2">
      <c r="A301" s="2" t="s">
        <v>953</v>
      </c>
      <c r="B301" s="2" t="s">
        <v>954</v>
      </c>
      <c r="C301" s="2" t="s">
        <v>105</v>
      </c>
      <c r="D301" s="2" t="s">
        <v>153</v>
      </c>
      <c r="E301" s="2" t="s">
        <v>154</v>
      </c>
      <c r="F301" s="2" t="s">
        <v>155</v>
      </c>
    </row>
    <row r="302" spans="1:6" ht="16" x14ac:dyDescent="0.2">
      <c r="A302" s="2" t="s">
        <v>955</v>
      </c>
      <c r="B302" s="2" t="s">
        <v>956</v>
      </c>
      <c r="C302" s="2" t="s">
        <v>957</v>
      </c>
      <c r="D302" s="2" t="s">
        <v>141</v>
      </c>
      <c r="E302" s="2" t="s">
        <v>142</v>
      </c>
      <c r="F302" s="2" t="s">
        <v>143</v>
      </c>
    </row>
    <row r="303" spans="1:6" ht="32" x14ac:dyDescent="0.2">
      <c r="A303" s="2" t="s">
        <v>958</v>
      </c>
      <c r="B303" s="2" t="s">
        <v>959</v>
      </c>
      <c r="C303" s="2" t="s">
        <v>106</v>
      </c>
      <c r="D303" s="2" t="s">
        <v>177</v>
      </c>
      <c r="E303" s="2" t="s">
        <v>178</v>
      </c>
      <c r="F303" s="2" t="s">
        <v>179</v>
      </c>
    </row>
    <row r="304" spans="1:6" ht="16" x14ac:dyDescent="0.2">
      <c r="A304" s="2" t="s">
        <v>960</v>
      </c>
      <c r="B304" s="2" t="s">
        <v>961</v>
      </c>
      <c r="C304" s="2" t="s">
        <v>962</v>
      </c>
      <c r="D304" s="2" t="s">
        <v>147</v>
      </c>
      <c r="E304" s="2" t="s">
        <v>148</v>
      </c>
      <c r="F304" s="2" t="s">
        <v>149</v>
      </c>
    </row>
    <row r="305" spans="1:6" ht="32" x14ac:dyDescent="0.2">
      <c r="A305" s="2" t="s">
        <v>963</v>
      </c>
      <c r="B305" s="2" t="s">
        <v>964</v>
      </c>
      <c r="C305" s="2" t="s">
        <v>965</v>
      </c>
      <c r="D305" s="2" t="s">
        <v>177</v>
      </c>
      <c r="E305" s="2" t="s">
        <v>178</v>
      </c>
      <c r="F305" s="2" t="s">
        <v>179</v>
      </c>
    </row>
    <row r="306" spans="1:6" ht="32" x14ac:dyDescent="0.2">
      <c r="A306" s="2" t="s">
        <v>966</v>
      </c>
      <c r="B306" s="2" t="s">
        <v>967</v>
      </c>
      <c r="C306" s="2" t="s">
        <v>968</v>
      </c>
      <c r="D306" s="2" t="s">
        <v>177</v>
      </c>
      <c r="E306" s="2" t="s">
        <v>178</v>
      </c>
      <c r="F306" s="2" t="s">
        <v>179</v>
      </c>
    </row>
    <row r="307" spans="1:6" ht="32" x14ac:dyDescent="0.2">
      <c r="A307" s="2" t="s">
        <v>969</v>
      </c>
      <c r="B307" s="2" t="s">
        <v>970</v>
      </c>
      <c r="C307" s="2" t="s">
        <v>107</v>
      </c>
      <c r="D307" s="2" t="s">
        <v>153</v>
      </c>
      <c r="E307" s="2" t="s">
        <v>154</v>
      </c>
      <c r="F307" s="2" t="s">
        <v>155</v>
      </c>
    </row>
    <row r="308" spans="1:6" ht="16" x14ac:dyDescent="0.2">
      <c r="A308" s="2" t="s">
        <v>971</v>
      </c>
      <c r="B308" s="2" t="s">
        <v>972</v>
      </c>
      <c r="C308" s="2" t="s">
        <v>973</v>
      </c>
      <c r="D308" s="2" t="s">
        <v>141</v>
      </c>
      <c r="E308" s="2" t="s">
        <v>142</v>
      </c>
      <c r="F308" s="2" t="s">
        <v>143</v>
      </c>
    </row>
    <row r="309" spans="1:6" ht="32" x14ac:dyDescent="0.2">
      <c r="A309" s="2" t="s">
        <v>974</v>
      </c>
      <c r="B309" s="2" t="s">
        <v>975</v>
      </c>
      <c r="C309" s="2" t="s">
        <v>976</v>
      </c>
      <c r="D309" s="2" t="s">
        <v>153</v>
      </c>
      <c r="E309" s="2" t="s">
        <v>154</v>
      </c>
      <c r="F309" s="2" t="s">
        <v>155</v>
      </c>
    </row>
    <row r="310" spans="1:6" ht="32" x14ac:dyDescent="0.2">
      <c r="A310" s="2" t="s">
        <v>977</v>
      </c>
      <c r="B310" s="2" t="s">
        <v>978</v>
      </c>
      <c r="C310" s="2" t="s">
        <v>979</v>
      </c>
      <c r="D310" s="2" t="s">
        <v>136</v>
      </c>
      <c r="E310" s="2" t="s">
        <v>137</v>
      </c>
      <c r="F310" s="2" t="s">
        <v>138</v>
      </c>
    </row>
    <row r="311" spans="1:6" ht="16" x14ac:dyDescent="0.2">
      <c r="A311" s="2" t="s">
        <v>980</v>
      </c>
      <c r="B311" s="2" t="s">
        <v>981</v>
      </c>
      <c r="C311" s="2" t="s">
        <v>108</v>
      </c>
      <c r="D311" s="2" t="s">
        <v>216</v>
      </c>
      <c r="E311" s="2" t="s">
        <v>217</v>
      </c>
      <c r="F311" s="2" t="s">
        <v>218</v>
      </c>
    </row>
    <row r="312" spans="1:6" ht="16" x14ac:dyDescent="0.2">
      <c r="A312" s="2" t="s">
        <v>982</v>
      </c>
      <c r="B312" s="2" t="s">
        <v>983</v>
      </c>
      <c r="C312" s="2" t="s">
        <v>984</v>
      </c>
      <c r="D312" s="2" t="s">
        <v>141</v>
      </c>
      <c r="E312" s="2" t="s">
        <v>142</v>
      </c>
      <c r="F312" s="2" t="s">
        <v>143</v>
      </c>
    </row>
    <row r="313" spans="1:6" ht="16" x14ac:dyDescent="0.2">
      <c r="A313" s="2" t="s">
        <v>985</v>
      </c>
      <c r="B313" s="2" t="s">
        <v>986</v>
      </c>
      <c r="C313" s="2" t="s">
        <v>987</v>
      </c>
      <c r="D313" s="2" t="s">
        <v>141</v>
      </c>
      <c r="E313" s="2" t="s">
        <v>142</v>
      </c>
      <c r="F313" s="2" t="s">
        <v>143</v>
      </c>
    </row>
    <row r="314" spans="1:6" ht="16" x14ac:dyDescent="0.2">
      <c r="A314" s="2" t="s">
        <v>988</v>
      </c>
      <c r="B314" s="2" t="s">
        <v>989</v>
      </c>
      <c r="C314" s="2" t="s">
        <v>990</v>
      </c>
      <c r="D314" s="2" t="s">
        <v>367</v>
      </c>
      <c r="E314" s="2" t="s">
        <v>368</v>
      </c>
      <c r="F314" s="2" t="s">
        <v>46</v>
      </c>
    </row>
    <row r="315" spans="1:6" ht="16" x14ac:dyDescent="0.2">
      <c r="A315" s="2" t="s">
        <v>991</v>
      </c>
      <c r="B315" s="2" t="s">
        <v>992</v>
      </c>
      <c r="C315" s="2" t="s">
        <v>993</v>
      </c>
      <c r="D315" s="2" t="s">
        <v>130</v>
      </c>
      <c r="E315" s="2" t="s">
        <v>131</v>
      </c>
      <c r="F315" s="2" t="s">
        <v>132</v>
      </c>
    </row>
    <row r="316" spans="1:6" ht="16" x14ac:dyDescent="0.2">
      <c r="A316" s="2" t="s">
        <v>994</v>
      </c>
      <c r="B316" s="2" t="s">
        <v>995</v>
      </c>
      <c r="C316" s="2" t="s">
        <v>109</v>
      </c>
      <c r="D316" s="2" t="s">
        <v>141</v>
      </c>
      <c r="E316" s="2" t="s">
        <v>142</v>
      </c>
      <c r="F316" s="2" t="s">
        <v>143</v>
      </c>
    </row>
    <row r="317" spans="1:6" ht="16" x14ac:dyDescent="0.2">
      <c r="A317" s="2" t="s">
        <v>996</v>
      </c>
      <c r="B317" s="2" t="s">
        <v>997</v>
      </c>
      <c r="C317" s="2" t="s">
        <v>998</v>
      </c>
      <c r="D317" s="2" t="s">
        <v>367</v>
      </c>
      <c r="E317" s="2" t="s">
        <v>368</v>
      </c>
      <c r="F317" s="2" t="s">
        <v>46</v>
      </c>
    </row>
    <row r="318" spans="1:6" ht="32" x14ac:dyDescent="0.2">
      <c r="A318" s="2" t="s">
        <v>999</v>
      </c>
      <c r="B318" s="2" t="s">
        <v>1000</v>
      </c>
      <c r="C318" s="2" t="s">
        <v>1001</v>
      </c>
      <c r="D318" s="2" t="s">
        <v>153</v>
      </c>
      <c r="E318" s="2" t="s">
        <v>154</v>
      </c>
      <c r="F318" s="2" t="s">
        <v>155</v>
      </c>
    </row>
    <row r="319" spans="1:6" ht="16" x14ac:dyDescent="0.2">
      <c r="A319" s="2" t="s">
        <v>1002</v>
      </c>
      <c r="B319" s="2" t="s">
        <v>1003</v>
      </c>
      <c r="C319" s="2" t="s">
        <v>1004</v>
      </c>
      <c r="D319" s="2" t="s">
        <v>147</v>
      </c>
      <c r="E319" s="2" t="s">
        <v>148</v>
      </c>
      <c r="F319" s="2" t="s">
        <v>149</v>
      </c>
    </row>
    <row r="320" spans="1:6" ht="16" x14ac:dyDescent="0.2">
      <c r="A320" s="2" t="s">
        <v>1005</v>
      </c>
      <c r="B320" s="2" t="s">
        <v>1006</v>
      </c>
      <c r="C320" s="2" t="s">
        <v>110</v>
      </c>
      <c r="D320" s="2" t="s">
        <v>163</v>
      </c>
      <c r="E320" s="2" t="s">
        <v>164</v>
      </c>
      <c r="F320" s="2" t="s">
        <v>165</v>
      </c>
    </row>
    <row r="321" spans="1:6" ht="16" x14ac:dyDescent="0.2">
      <c r="A321" s="2" t="s">
        <v>1007</v>
      </c>
      <c r="B321" s="2" t="s">
        <v>1008</v>
      </c>
      <c r="C321" s="2" t="s">
        <v>111</v>
      </c>
      <c r="D321" s="2" t="s">
        <v>141</v>
      </c>
      <c r="E321" s="2" t="s">
        <v>142</v>
      </c>
      <c r="F321" s="2" t="s">
        <v>143</v>
      </c>
    </row>
    <row r="322" spans="1:6" ht="32" x14ac:dyDescent="0.2">
      <c r="A322" s="2" t="s">
        <v>1009</v>
      </c>
      <c r="B322" s="2" t="s">
        <v>1010</v>
      </c>
      <c r="C322" s="2" t="s">
        <v>1011</v>
      </c>
      <c r="D322" s="2" t="s">
        <v>136</v>
      </c>
      <c r="E322" s="2" t="s">
        <v>137</v>
      </c>
      <c r="F322" s="2" t="s">
        <v>138</v>
      </c>
    </row>
    <row r="323" spans="1:6" ht="16" x14ac:dyDescent="0.2">
      <c r="A323" s="2" t="s">
        <v>1012</v>
      </c>
      <c r="B323" s="2" t="s">
        <v>1013</v>
      </c>
      <c r="C323" s="2" t="s">
        <v>1014</v>
      </c>
      <c r="D323" s="2" t="s">
        <v>188</v>
      </c>
      <c r="E323" s="2" t="s">
        <v>189</v>
      </c>
      <c r="F323" s="2" t="s">
        <v>98</v>
      </c>
    </row>
    <row r="324" spans="1:6" ht="16" x14ac:dyDescent="0.2">
      <c r="A324" s="2" t="s">
        <v>1015</v>
      </c>
      <c r="B324" s="2" t="s">
        <v>1016</v>
      </c>
      <c r="C324" s="2" t="s">
        <v>112</v>
      </c>
      <c r="D324" s="2" t="s">
        <v>141</v>
      </c>
      <c r="E324" s="2" t="s">
        <v>142</v>
      </c>
      <c r="F324" s="2" t="s">
        <v>143</v>
      </c>
    </row>
    <row r="325" spans="1:6" ht="32" x14ac:dyDescent="0.2">
      <c r="A325" s="2" t="s">
        <v>1017</v>
      </c>
      <c r="B325" s="2" t="s">
        <v>1018</v>
      </c>
      <c r="C325" s="2" t="s">
        <v>1019</v>
      </c>
      <c r="D325" s="2" t="s">
        <v>177</v>
      </c>
      <c r="E325" s="2" t="s">
        <v>178</v>
      </c>
      <c r="F325" s="2" t="s">
        <v>179</v>
      </c>
    </row>
    <row r="326" spans="1:6" ht="16" x14ac:dyDescent="0.2">
      <c r="A326" s="2" t="s">
        <v>1020</v>
      </c>
      <c r="B326" s="2" t="s">
        <v>1021</v>
      </c>
      <c r="C326" s="2" t="s">
        <v>113</v>
      </c>
      <c r="D326" s="2" t="s">
        <v>188</v>
      </c>
      <c r="E326" s="2" t="s">
        <v>189</v>
      </c>
      <c r="F326" s="2" t="s">
        <v>98</v>
      </c>
    </row>
    <row r="327" spans="1:6" ht="16" x14ac:dyDescent="0.2">
      <c r="A327" s="2" t="s">
        <v>1022</v>
      </c>
      <c r="B327" s="2" t="s">
        <v>1023</v>
      </c>
      <c r="C327" s="2" t="s">
        <v>1024</v>
      </c>
      <c r="D327" s="2" t="s">
        <v>130</v>
      </c>
      <c r="E327" s="2" t="s">
        <v>131</v>
      </c>
      <c r="F327" s="2" t="s">
        <v>132</v>
      </c>
    </row>
    <row r="328" spans="1:6" ht="32" x14ac:dyDescent="0.2">
      <c r="A328" s="2" t="s">
        <v>1025</v>
      </c>
      <c r="B328" s="2" t="s">
        <v>1026</v>
      </c>
      <c r="C328" s="2" t="s">
        <v>1027</v>
      </c>
      <c r="D328" s="2" t="s">
        <v>136</v>
      </c>
      <c r="E328" s="2" t="s">
        <v>137</v>
      </c>
      <c r="F328" s="2" t="s">
        <v>138</v>
      </c>
    </row>
    <row r="329" spans="1:6" ht="16" x14ac:dyDescent="0.2">
      <c r="A329" s="2" t="s">
        <v>1028</v>
      </c>
      <c r="B329" s="2" t="s">
        <v>1029</v>
      </c>
      <c r="C329" s="2" t="s">
        <v>1030</v>
      </c>
      <c r="D329" s="2" t="s">
        <v>188</v>
      </c>
      <c r="E329" s="2" t="s">
        <v>189</v>
      </c>
      <c r="F329" s="2" t="s">
        <v>98</v>
      </c>
    </row>
    <row r="330" spans="1:6" ht="32" x14ac:dyDescent="0.2">
      <c r="A330" s="2" t="s">
        <v>1031</v>
      </c>
      <c r="B330" s="2" t="s">
        <v>1032</v>
      </c>
      <c r="C330" s="2" t="s">
        <v>1033</v>
      </c>
      <c r="D330" s="2" t="s">
        <v>136</v>
      </c>
      <c r="E330" s="2" t="s">
        <v>137</v>
      </c>
      <c r="F330" s="2" t="s">
        <v>138</v>
      </c>
    </row>
    <row r="331" spans="1:6" ht="16" x14ac:dyDescent="0.2">
      <c r="A331" s="2" t="s">
        <v>1034</v>
      </c>
      <c r="B331" s="2" t="s">
        <v>1035</v>
      </c>
      <c r="C331" s="2" t="s">
        <v>114</v>
      </c>
      <c r="D331" s="2" t="s">
        <v>141</v>
      </c>
      <c r="E331" s="2" t="s">
        <v>142</v>
      </c>
      <c r="F331" s="2" t="s">
        <v>143</v>
      </c>
    </row>
    <row r="332" spans="1:6" ht="32" x14ac:dyDescent="0.2">
      <c r="A332" s="2" t="s">
        <v>1036</v>
      </c>
      <c r="B332" s="2" t="s">
        <v>1037</v>
      </c>
      <c r="C332" s="2" t="s">
        <v>115</v>
      </c>
      <c r="D332" s="2" t="s">
        <v>136</v>
      </c>
      <c r="E332" s="2" t="s">
        <v>137</v>
      </c>
      <c r="F332" s="2" t="s">
        <v>138</v>
      </c>
    </row>
    <row r="333" spans="1:6" ht="16" x14ac:dyDescent="0.2">
      <c r="A333" s="2" t="s">
        <v>1038</v>
      </c>
      <c r="B333" s="2" t="s">
        <v>1039</v>
      </c>
      <c r="C333" s="2" t="s">
        <v>1040</v>
      </c>
      <c r="D333" s="2" t="s">
        <v>169</v>
      </c>
      <c r="E333" s="2" t="s">
        <v>170</v>
      </c>
      <c r="F333" s="2" t="s">
        <v>171</v>
      </c>
    </row>
    <row r="334" spans="1:6" ht="16" x14ac:dyDescent="0.2">
      <c r="A334" s="2" t="s">
        <v>1041</v>
      </c>
      <c r="B334" s="2" t="s">
        <v>1042</v>
      </c>
      <c r="C334" s="2" t="s">
        <v>1043</v>
      </c>
      <c r="D334" s="2" t="s">
        <v>188</v>
      </c>
      <c r="E334" s="2" t="s">
        <v>189</v>
      </c>
      <c r="F334" s="2" t="s">
        <v>98</v>
      </c>
    </row>
    <row r="335" spans="1:6" ht="16" x14ac:dyDescent="0.2">
      <c r="A335" s="2" t="s">
        <v>1044</v>
      </c>
      <c r="B335" s="2" t="s">
        <v>1045</v>
      </c>
      <c r="C335" s="2" t="s">
        <v>116</v>
      </c>
      <c r="D335" s="2" t="s">
        <v>141</v>
      </c>
      <c r="E335" s="2" t="s">
        <v>142</v>
      </c>
      <c r="F335" s="2" t="s">
        <v>143</v>
      </c>
    </row>
    <row r="336" spans="1:6" ht="32" x14ac:dyDescent="0.2">
      <c r="A336" s="2" t="s">
        <v>1046</v>
      </c>
      <c r="B336" s="2" t="s">
        <v>1047</v>
      </c>
      <c r="C336" s="2" t="s">
        <v>117</v>
      </c>
      <c r="D336" s="2" t="s">
        <v>153</v>
      </c>
      <c r="E336" s="2" t="s">
        <v>154</v>
      </c>
      <c r="F336" s="2" t="s">
        <v>155</v>
      </c>
    </row>
    <row r="337" spans="1:6" ht="32" x14ac:dyDescent="0.2">
      <c r="A337" s="2" t="s">
        <v>1048</v>
      </c>
      <c r="B337" s="2" t="s">
        <v>1049</v>
      </c>
      <c r="C337" s="2" t="s">
        <v>1050</v>
      </c>
      <c r="D337" s="2" t="s">
        <v>153</v>
      </c>
      <c r="E337" s="2" t="s">
        <v>154</v>
      </c>
      <c r="F337" s="2" t="s">
        <v>155</v>
      </c>
    </row>
    <row r="338" spans="1:6" ht="32" x14ac:dyDescent="0.2">
      <c r="A338" s="2" t="s">
        <v>1051</v>
      </c>
      <c r="B338" s="2" t="s">
        <v>1052</v>
      </c>
      <c r="C338" s="2" t="s">
        <v>1053</v>
      </c>
      <c r="D338" s="2" t="s">
        <v>153</v>
      </c>
      <c r="E338" s="2" t="s">
        <v>154</v>
      </c>
      <c r="F338" s="2" t="s">
        <v>155</v>
      </c>
    </row>
    <row r="339" spans="1:6" ht="32" x14ac:dyDescent="0.2">
      <c r="A339" s="2" t="s">
        <v>1054</v>
      </c>
      <c r="B339" s="2" t="s">
        <v>1055</v>
      </c>
      <c r="C339" s="2" t="s">
        <v>1056</v>
      </c>
      <c r="D339" s="2" t="s">
        <v>177</v>
      </c>
      <c r="E339" s="2" t="s">
        <v>178</v>
      </c>
      <c r="F339" s="2" t="s">
        <v>179</v>
      </c>
    </row>
    <row r="340" spans="1:6" ht="16" x14ac:dyDescent="0.2">
      <c r="A340" s="2" t="s">
        <v>1057</v>
      </c>
      <c r="B340" s="2" t="s">
        <v>1058</v>
      </c>
      <c r="C340" s="2" t="s">
        <v>118</v>
      </c>
      <c r="D340" s="2" t="s">
        <v>141</v>
      </c>
      <c r="E340" s="2" t="s">
        <v>142</v>
      </c>
      <c r="F340" s="2" t="s">
        <v>143</v>
      </c>
    </row>
    <row r="341" spans="1:6" ht="16" x14ac:dyDescent="0.2">
      <c r="A341" s="2" t="s">
        <v>1059</v>
      </c>
      <c r="B341" s="2" t="s">
        <v>1060</v>
      </c>
      <c r="C341" s="2" t="s">
        <v>1061</v>
      </c>
      <c r="D341" s="2" t="s">
        <v>163</v>
      </c>
      <c r="E341" s="2" t="s">
        <v>164</v>
      </c>
      <c r="F341" s="2" t="s">
        <v>165</v>
      </c>
    </row>
    <row r="342" spans="1:6" ht="32" x14ac:dyDescent="0.2">
      <c r="A342" s="2" t="s">
        <v>1062</v>
      </c>
      <c r="B342" s="2" t="s">
        <v>1063</v>
      </c>
      <c r="C342" s="2" t="s">
        <v>119</v>
      </c>
      <c r="D342" s="2" t="s">
        <v>153</v>
      </c>
      <c r="E342" s="2" t="s">
        <v>154</v>
      </c>
      <c r="F342" s="2" t="s">
        <v>155</v>
      </c>
    </row>
    <row r="343" spans="1:6" ht="16" x14ac:dyDescent="0.2">
      <c r="A343" s="2" t="s">
        <v>1064</v>
      </c>
      <c r="B343" s="2" t="s">
        <v>1065</v>
      </c>
      <c r="C343" s="2" t="s">
        <v>120</v>
      </c>
      <c r="D343" s="2" t="s">
        <v>163</v>
      </c>
      <c r="E343" s="2" t="s">
        <v>164</v>
      </c>
      <c r="F343" s="2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</vt:lpstr>
      <vt:lpstr>Source_CBS_bodemgebruik</vt:lpstr>
      <vt:lpstr>Source_GM_code_CBS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van Bemmelen</cp:lastModifiedBy>
  <dcterms:created xsi:type="dcterms:W3CDTF">2025-06-12T15:00:42Z</dcterms:created>
  <dcterms:modified xsi:type="dcterms:W3CDTF">2025-09-05T13:47:02Z</dcterms:modified>
</cp:coreProperties>
</file>