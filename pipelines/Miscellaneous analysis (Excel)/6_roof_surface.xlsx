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15309987034556663552/WOPIServiceId_TP_DROPBOX_PLUS/WOPIUserId_-/"/>
    </mc:Choice>
  </mc:AlternateContent>
  <xr:revisionPtr revIDLastSave="4" documentId="13_ncr:1_{52F4F020-1562-6142-9498-665B0F0866EC}" xr6:coauthVersionLast="47" xr6:coauthVersionMax="47" xr10:uidLastSave="{438CF92D-56BE-C646-A59D-9F3F20BA5DAB}"/>
  <bookViews>
    <workbookView xWindow="0" yWindow="500" windowWidth="25600" windowHeight="26520" activeTab="3" xr2:uid="{4D727594-8A78-EC42-9D82-9906508D45FF}"/>
  </bookViews>
  <sheets>
    <sheet name="Data" sheetId="2" r:id="rId1"/>
    <sheet name="Calculation" sheetId="5" r:id="rId2"/>
    <sheet name="BAG_dakoppervlak_woningen" sheetId="3" r:id="rId3"/>
    <sheet name="BAG_dakoppervlak_gebouwen" sheetId="4" r:id="rId4"/>
    <sheet name="CBS_gemeenten_alfabetisch_2023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2" i="5"/>
  <c r="B3" i="5"/>
  <c r="B4" i="5"/>
  <c r="C4" i="2" s="1"/>
  <c r="B5" i="5"/>
  <c r="C5" i="2" s="1"/>
  <c r="B6" i="5"/>
  <c r="B7" i="5"/>
  <c r="C7" i="2" s="1"/>
  <c r="B8" i="5"/>
  <c r="B9" i="5"/>
  <c r="C9" i="2" s="1"/>
  <c r="B10" i="5"/>
  <c r="C10" i="2" s="1"/>
  <c r="B11" i="5"/>
  <c r="B11" i="2" s="1"/>
  <c r="B12" i="5"/>
  <c r="C12" i="2" s="1"/>
  <c r="B13" i="5"/>
  <c r="C13" i="2" s="1"/>
  <c r="B14" i="5"/>
  <c r="B15" i="5"/>
  <c r="C15" i="2" s="1"/>
  <c r="B16" i="5"/>
  <c r="B16" i="2" s="1"/>
  <c r="B17" i="5"/>
  <c r="C17" i="2" s="1"/>
  <c r="B18" i="5"/>
  <c r="C18" i="2" s="1"/>
  <c r="B19" i="5"/>
  <c r="B19" i="2" s="1"/>
  <c r="B20" i="5"/>
  <c r="C20" i="2" s="1"/>
  <c r="B21" i="5"/>
  <c r="B21" i="2" s="1"/>
  <c r="B22" i="5"/>
  <c r="B23" i="5"/>
  <c r="C23" i="2" s="1"/>
  <c r="B24" i="5"/>
  <c r="B24" i="2" s="1"/>
  <c r="B25" i="5"/>
  <c r="C25" i="2" s="1"/>
  <c r="B26" i="5"/>
  <c r="B26" i="2" s="1"/>
  <c r="B27" i="5"/>
  <c r="B27" i="2" s="1"/>
  <c r="B28" i="5"/>
  <c r="C28" i="2" s="1"/>
  <c r="B29" i="5"/>
  <c r="C29" i="2" s="1"/>
  <c r="B30" i="5"/>
  <c r="B31" i="5"/>
  <c r="C31" i="2" s="1"/>
  <c r="B32" i="5"/>
  <c r="C32" i="2" s="1"/>
  <c r="B33" i="5"/>
  <c r="C33" i="2" s="1"/>
  <c r="B34" i="5"/>
  <c r="B34" i="2" s="1"/>
  <c r="B35" i="5"/>
  <c r="B35" i="2" s="1"/>
  <c r="B36" i="5"/>
  <c r="C36" i="2" s="1"/>
  <c r="B37" i="5"/>
  <c r="B37" i="2" s="1"/>
  <c r="B38" i="5"/>
  <c r="B39" i="5"/>
  <c r="C39" i="2" s="1"/>
  <c r="B40" i="5"/>
  <c r="B40" i="2" s="1"/>
  <c r="B41" i="5"/>
  <c r="C41" i="2" s="1"/>
  <c r="B42" i="5"/>
  <c r="C42" i="2" s="1"/>
  <c r="B43" i="5"/>
  <c r="B43" i="2" s="1"/>
  <c r="B44" i="5"/>
  <c r="C44" i="2" s="1"/>
  <c r="B45" i="5"/>
  <c r="C45" i="2" s="1"/>
  <c r="B46" i="5"/>
  <c r="B47" i="5"/>
  <c r="C47" i="2" s="1"/>
  <c r="B48" i="5"/>
  <c r="C48" i="2" s="1"/>
  <c r="B49" i="5"/>
  <c r="C49" i="2" s="1"/>
  <c r="B50" i="5"/>
  <c r="C50" i="2" s="1"/>
  <c r="B51" i="5"/>
  <c r="B51" i="2" s="1"/>
  <c r="B52" i="5"/>
  <c r="C52" i="2" s="1"/>
  <c r="B53" i="5"/>
  <c r="C53" i="2" s="1"/>
  <c r="B54" i="5"/>
  <c r="B55" i="5"/>
  <c r="C55" i="2" s="1"/>
  <c r="B56" i="5"/>
  <c r="B56" i="2" s="1"/>
  <c r="B57" i="5"/>
  <c r="C57" i="2" s="1"/>
  <c r="B58" i="5"/>
  <c r="B58" i="2" s="1"/>
  <c r="B59" i="5"/>
  <c r="B59" i="2" s="1"/>
  <c r="B60" i="5"/>
  <c r="C60" i="2" s="1"/>
  <c r="B61" i="5"/>
  <c r="C61" i="2" s="1"/>
  <c r="B62" i="5"/>
  <c r="B63" i="5"/>
  <c r="C63" i="2" s="1"/>
  <c r="B64" i="5"/>
  <c r="C64" i="2" s="1"/>
  <c r="B65" i="5"/>
  <c r="C65" i="2" s="1"/>
  <c r="B66" i="5"/>
  <c r="B66" i="2" s="1"/>
  <c r="B67" i="5"/>
  <c r="B67" i="2" s="1"/>
  <c r="B68" i="5"/>
  <c r="C68" i="2" s="1"/>
  <c r="B69" i="5"/>
  <c r="B69" i="2" s="1"/>
  <c r="B70" i="5"/>
  <c r="B71" i="5"/>
  <c r="C71" i="2" s="1"/>
  <c r="B72" i="5"/>
  <c r="B72" i="2" s="1"/>
  <c r="B73" i="5"/>
  <c r="C73" i="2" s="1"/>
  <c r="B74" i="5"/>
  <c r="C74" i="2" s="1"/>
  <c r="B75" i="5"/>
  <c r="B75" i="2" s="1"/>
  <c r="B76" i="5"/>
  <c r="C76" i="2" s="1"/>
  <c r="B77" i="5"/>
  <c r="C77" i="2" s="1"/>
  <c r="B78" i="5"/>
  <c r="B79" i="5"/>
  <c r="C79" i="2" s="1"/>
  <c r="B80" i="5"/>
  <c r="C80" i="2" s="1"/>
  <c r="B81" i="5"/>
  <c r="C81" i="2" s="1"/>
  <c r="B82" i="5"/>
  <c r="C82" i="2" s="1"/>
  <c r="B83" i="5"/>
  <c r="B83" i="2" s="1"/>
  <c r="B84" i="5"/>
  <c r="C84" i="2" s="1"/>
  <c r="B85" i="5"/>
  <c r="C85" i="2" s="1"/>
  <c r="B86" i="5"/>
  <c r="B87" i="5"/>
  <c r="C87" i="2" s="1"/>
  <c r="B88" i="5"/>
  <c r="B88" i="2" s="1"/>
  <c r="B89" i="5"/>
  <c r="C89" i="2" s="1"/>
  <c r="B90" i="5"/>
  <c r="B90" i="2" s="1"/>
  <c r="B91" i="5"/>
  <c r="B91" i="2" s="1"/>
  <c r="B92" i="5"/>
  <c r="C92" i="2" s="1"/>
  <c r="B93" i="5"/>
  <c r="C93" i="2" s="1"/>
  <c r="B94" i="5"/>
  <c r="B95" i="5"/>
  <c r="C95" i="2" s="1"/>
  <c r="B96" i="5"/>
  <c r="C96" i="2" s="1"/>
  <c r="B97" i="5"/>
  <c r="C97" i="2" s="1"/>
  <c r="B98" i="5"/>
  <c r="B98" i="2" s="1"/>
  <c r="B99" i="5"/>
  <c r="B99" i="2" s="1"/>
  <c r="B100" i="5"/>
  <c r="C100" i="2" s="1"/>
  <c r="B101" i="5"/>
  <c r="B101" i="2" s="1"/>
  <c r="B102" i="5"/>
  <c r="B103" i="5"/>
  <c r="C103" i="2" s="1"/>
  <c r="B104" i="5"/>
  <c r="B104" i="2" s="1"/>
  <c r="B105" i="5"/>
  <c r="C105" i="2" s="1"/>
  <c r="B106" i="5"/>
  <c r="C106" i="2" s="1"/>
  <c r="B107" i="5"/>
  <c r="B107" i="2" s="1"/>
  <c r="B108" i="5"/>
  <c r="C108" i="2" s="1"/>
  <c r="B109" i="5"/>
  <c r="C109" i="2" s="1"/>
  <c r="B110" i="5"/>
  <c r="B111" i="5"/>
  <c r="C111" i="2" s="1"/>
  <c r="B112" i="5"/>
  <c r="C112" i="2" s="1"/>
  <c r="B113" i="5"/>
  <c r="C113" i="2" s="1"/>
  <c r="B114" i="5"/>
  <c r="C114" i="2" s="1"/>
  <c r="B115" i="5"/>
  <c r="B115" i="2" s="1"/>
  <c r="B116" i="5"/>
  <c r="C116" i="2" s="1"/>
  <c r="B117" i="5"/>
  <c r="C117" i="2" s="1"/>
  <c r="B118" i="5"/>
  <c r="B119" i="5"/>
  <c r="C119" i="2" s="1"/>
  <c r="B120" i="5"/>
  <c r="B120" i="2" s="1"/>
  <c r="B121" i="5"/>
  <c r="C121" i="2" s="1"/>
  <c r="B122" i="5"/>
  <c r="B122" i="2" s="1"/>
  <c r="B123" i="5"/>
  <c r="B123" i="2" s="1"/>
  <c r="B124" i="5"/>
  <c r="C124" i="2" s="1"/>
  <c r="B125" i="5"/>
  <c r="C125" i="2" s="1"/>
  <c r="B126" i="5"/>
  <c r="B127" i="5"/>
  <c r="C127" i="2" s="1"/>
  <c r="B128" i="5"/>
  <c r="C128" i="2" s="1"/>
  <c r="B129" i="5"/>
  <c r="C129" i="2" s="1"/>
  <c r="B130" i="5"/>
  <c r="B130" i="2" s="1"/>
  <c r="B131" i="5"/>
  <c r="B131" i="2" s="1"/>
  <c r="B132" i="5"/>
  <c r="C132" i="2" s="1"/>
  <c r="B133" i="5"/>
  <c r="B133" i="2" s="1"/>
  <c r="B134" i="5"/>
  <c r="B135" i="5"/>
  <c r="C135" i="2" s="1"/>
  <c r="B136" i="5"/>
  <c r="B136" i="2" s="1"/>
  <c r="B137" i="5"/>
  <c r="C137" i="2" s="1"/>
  <c r="B138" i="5"/>
  <c r="C138" i="2" s="1"/>
  <c r="B139" i="5"/>
  <c r="B139" i="2" s="1"/>
  <c r="B140" i="5"/>
  <c r="C140" i="2" s="1"/>
  <c r="B141" i="5"/>
  <c r="C141" i="2" s="1"/>
  <c r="B142" i="5"/>
  <c r="B143" i="5"/>
  <c r="C143" i="2" s="1"/>
  <c r="B144" i="5"/>
  <c r="C144" i="2" s="1"/>
  <c r="B145" i="5"/>
  <c r="C145" i="2" s="1"/>
  <c r="B146" i="5"/>
  <c r="C146" i="2" s="1"/>
  <c r="B147" i="5"/>
  <c r="B147" i="2" s="1"/>
  <c r="B148" i="5"/>
  <c r="C148" i="2" s="1"/>
  <c r="B149" i="5"/>
  <c r="C149" i="2" s="1"/>
  <c r="B150" i="5"/>
  <c r="B151" i="5"/>
  <c r="C151" i="2" s="1"/>
  <c r="B152" i="5"/>
  <c r="B152" i="2" s="1"/>
  <c r="B153" i="5"/>
  <c r="C153" i="2" s="1"/>
  <c r="B154" i="5"/>
  <c r="B154" i="2" s="1"/>
  <c r="B155" i="5"/>
  <c r="B155" i="2" s="1"/>
  <c r="B156" i="5"/>
  <c r="C156" i="2" s="1"/>
  <c r="B157" i="5"/>
  <c r="C157" i="2" s="1"/>
  <c r="B158" i="5"/>
  <c r="B159" i="5"/>
  <c r="C159" i="2" s="1"/>
  <c r="B160" i="5"/>
  <c r="C160" i="2" s="1"/>
  <c r="B161" i="5"/>
  <c r="C161" i="2" s="1"/>
  <c r="B162" i="5"/>
  <c r="B162" i="2" s="1"/>
  <c r="B163" i="5"/>
  <c r="B163" i="2" s="1"/>
  <c r="B164" i="5"/>
  <c r="C164" i="2" s="1"/>
  <c r="B165" i="5"/>
  <c r="B165" i="2" s="1"/>
  <c r="B166" i="5"/>
  <c r="B167" i="5"/>
  <c r="C167" i="2" s="1"/>
  <c r="B168" i="5"/>
  <c r="B168" i="2" s="1"/>
  <c r="B169" i="5"/>
  <c r="C169" i="2" s="1"/>
  <c r="B170" i="5"/>
  <c r="C170" i="2" s="1"/>
  <c r="B171" i="5"/>
  <c r="B171" i="2" s="1"/>
  <c r="B172" i="5"/>
  <c r="C172" i="2" s="1"/>
  <c r="B173" i="5"/>
  <c r="C173" i="2" s="1"/>
  <c r="B174" i="5"/>
  <c r="B175" i="5"/>
  <c r="C175" i="2" s="1"/>
  <c r="B176" i="5"/>
  <c r="C176" i="2" s="1"/>
  <c r="B177" i="5"/>
  <c r="C177" i="2" s="1"/>
  <c r="B178" i="5"/>
  <c r="C178" i="2" s="1"/>
  <c r="B179" i="5"/>
  <c r="B179" i="2" s="1"/>
  <c r="B180" i="5"/>
  <c r="C180" i="2" s="1"/>
  <c r="B181" i="5"/>
  <c r="C181" i="2" s="1"/>
  <c r="B182" i="5"/>
  <c r="B183" i="5"/>
  <c r="B183" i="2" s="1"/>
  <c r="B184" i="5"/>
  <c r="C184" i="2" s="1"/>
  <c r="B185" i="5"/>
  <c r="C185" i="2" s="1"/>
  <c r="B186" i="5"/>
  <c r="C186" i="2" s="1"/>
  <c r="B187" i="5"/>
  <c r="B187" i="2" s="1"/>
  <c r="B188" i="5"/>
  <c r="C188" i="2" s="1"/>
  <c r="B189" i="5"/>
  <c r="C189" i="2" s="1"/>
  <c r="B190" i="5"/>
  <c r="B191" i="5"/>
  <c r="C191" i="2" s="1"/>
  <c r="B192" i="5"/>
  <c r="C192" i="2" s="1"/>
  <c r="B193" i="5"/>
  <c r="C193" i="2" s="1"/>
  <c r="B194" i="5"/>
  <c r="B194" i="2" s="1"/>
  <c r="B195" i="5"/>
  <c r="B195" i="2" s="1"/>
  <c r="B196" i="5"/>
  <c r="C196" i="2" s="1"/>
  <c r="B197" i="5"/>
  <c r="C197" i="2" s="1"/>
  <c r="B198" i="5"/>
  <c r="B199" i="5"/>
  <c r="C199" i="2" s="1"/>
  <c r="B200" i="5"/>
  <c r="C200" i="2" s="1"/>
  <c r="B201" i="5"/>
  <c r="C201" i="2" s="1"/>
  <c r="B202" i="5"/>
  <c r="C202" i="2" s="1"/>
  <c r="B203" i="5"/>
  <c r="B203" i="2" s="1"/>
  <c r="B204" i="5"/>
  <c r="C204" i="2" s="1"/>
  <c r="B205" i="5"/>
  <c r="B205" i="2" s="1"/>
  <c r="B206" i="5"/>
  <c r="B207" i="5"/>
  <c r="B207" i="2" s="1"/>
  <c r="B208" i="5"/>
  <c r="B208" i="2" s="1"/>
  <c r="B209" i="5"/>
  <c r="C209" i="2" s="1"/>
  <c r="B210" i="5"/>
  <c r="C210" i="2" s="1"/>
  <c r="B211" i="5"/>
  <c r="B211" i="2" s="1"/>
  <c r="B212" i="5"/>
  <c r="C212" i="2" s="1"/>
  <c r="B213" i="5"/>
  <c r="C213" i="2" s="1"/>
  <c r="B214" i="5"/>
  <c r="B215" i="5"/>
  <c r="B215" i="2" s="1"/>
  <c r="B216" i="5"/>
  <c r="B216" i="2" s="1"/>
  <c r="B217" i="5"/>
  <c r="C217" i="2" s="1"/>
  <c r="B218" i="5"/>
  <c r="B218" i="2" s="1"/>
  <c r="B219" i="5"/>
  <c r="B219" i="2" s="1"/>
  <c r="B220" i="5"/>
  <c r="C220" i="2" s="1"/>
  <c r="B221" i="5"/>
  <c r="B221" i="2" s="1"/>
  <c r="B222" i="5"/>
  <c r="B223" i="5"/>
  <c r="C223" i="2" s="1"/>
  <c r="B224" i="5"/>
  <c r="C224" i="2" s="1"/>
  <c r="B225" i="5"/>
  <c r="C225" i="2" s="1"/>
  <c r="B226" i="5"/>
  <c r="B226" i="2" s="1"/>
  <c r="B227" i="5"/>
  <c r="B227" i="2" s="1"/>
  <c r="B228" i="5"/>
  <c r="C228" i="2" s="1"/>
  <c r="B229" i="5"/>
  <c r="B229" i="2" s="1"/>
  <c r="B230" i="5"/>
  <c r="B231" i="5"/>
  <c r="B231" i="2" s="1"/>
  <c r="B232" i="5"/>
  <c r="B232" i="2" s="1"/>
  <c r="B233" i="5"/>
  <c r="C233" i="2" s="1"/>
  <c r="B234" i="5"/>
  <c r="C234" i="2" s="1"/>
  <c r="B235" i="5"/>
  <c r="B235" i="2" s="1"/>
  <c r="B236" i="5"/>
  <c r="C236" i="2" s="1"/>
  <c r="B237" i="5"/>
  <c r="C237" i="2" s="1"/>
  <c r="B238" i="5"/>
  <c r="B239" i="5"/>
  <c r="C239" i="2" s="1"/>
  <c r="B240" i="5"/>
  <c r="C240" i="2" s="1"/>
  <c r="B241" i="5"/>
  <c r="C241" i="2" s="1"/>
  <c r="B242" i="5"/>
  <c r="C242" i="2" s="1"/>
  <c r="B243" i="5"/>
  <c r="B243" i="2" s="1"/>
  <c r="B244" i="5"/>
  <c r="C244" i="2" s="1"/>
  <c r="B245" i="5"/>
  <c r="C245" i="2" s="1"/>
  <c r="B246" i="5"/>
  <c r="B247" i="5"/>
  <c r="B247" i="2" s="1"/>
  <c r="B248" i="5"/>
  <c r="C248" i="2" s="1"/>
  <c r="B249" i="5"/>
  <c r="C249" i="2" s="1"/>
  <c r="B250" i="5"/>
  <c r="C250" i="2" s="1"/>
  <c r="B251" i="5"/>
  <c r="B251" i="2" s="1"/>
  <c r="B252" i="5"/>
  <c r="C252" i="2" s="1"/>
  <c r="B253" i="5"/>
  <c r="C253" i="2" s="1"/>
  <c r="B254" i="5"/>
  <c r="B255" i="5"/>
  <c r="C255" i="2" s="1"/>
  <c r="B256" i="5"/>
  <c r="C256" i="2" s="1"/>
  <c r="B257" i="5"/>
  <c r="C257" i="2" s="1"/>
  <c r="B258" i="5"/>
  <c r="B258" i="2" s="1"/>
  <c r="B259" i="5"/>
  <c r="B259" i="2" s="1"/>
  <c r="B260" i="5"/>
  <c r="C260" i="2" s="1"/>
  <c r="B261" i="5"/>
  <c r="C261" i="2" s="1"/>
  <c r="B262" i="5"/>
  <c r="B263" i="5"/>
  <c r="C263" i="2" s="1"/>
  <c r="B264" i="5"/>
  <c r="C264" i="2" s="1"/>
  <c r="B265" i="5"/>
  <c r="C265" i="2" s="1"/>
  <c r="B266" i="5"/>
  <c r="C266" i="2" s="1"/>
  <c r="B267" i="5"/>
  <c r="B267" i="2" s="1"/>
  <c r="B268" i="5"/>
  <c r="C268" i="2" s="1"/>
  <c r="B269" i="5"/>
  <c r="B269" i="2" s="1"/>
  <c r="B270" i="5"/>
  <c r="B271" i="5"/>
  <c r="B271" i="2" s="1"/>
  <c r="B272" i="5"/>
  <c r="B272" i="2" s="1"/>
  <c r="B273" i="5"/>
  <c r="C273" i="2" s="1"/>
  <c r="B274" i="5"/>
  <c r="C274" i="2" s="1"/>
  <c r="B275" i="5"/>
  <c r="B275" i="2" s="1"/>
  <c r="B276" i="5"/>
  <c r="C276" i="2" s="1"/>
  <c r="B277" i="5"/>
  <c r="C277" i="2" s="1"/>
  <c r="B278" i="5"/>
  <c r="C278" i="2" s="1"/>
  <c r="B279" i="5"/>
  <c r="B279" i="2" s="1"/>
  <c r="B280" i="5"/>
  <c r="B280" i="2" s="1"/>
  <c r="B281" i="5"/>
  <c r="C281" i="2" s="1"/>
  <c r="B282" i="5"/>
  <c r="B282" i="2" s="1"/>
  <c r="B283" i="5"/>
  <c r="B283" i="2" s="1"/>
  <c r="B284" i="5"/>
  <c r="C284" i="2" s="1"/>
  <c r="B285" i="5"/>
  <c r="B285" i="2" s="1"/>
  <c r="B286" i="5"/>
  <c r="C286" i="2" s="1"/>
  <c r="B287" i="5"/>
  <c r="C287" i="2" s="1"/>
  <c r="B288" i="5"/>
  <c r="C288" i="2" s="1"/>
  <c r="B289" i="5"/>
  <c r="C289" i="2" s="1"/>
  <c r="B290" i="5"/>
  <c r="C290" i="2" s="1"/>
  <c r="B291" i="5"/>
  <c r="B291" i="2" s="1"/>
  <c r="B292" i="5"/>
  <c r="C292" i="2" s="1"/>
  <c r="B293" i="5"/>
  <c r="C293" i="2" s="1"/>
  <c r="B294" i="5"/>
  <c r="C294" i="2" s="1"/>
  <c r="B295" i="5"/>
  <c r="C295" i="2" s="1"/>
  <c r="B296" i="5"/>
  <c r="B296" i="2" s="1"/>
  <c r="B297" i="5"/>
  <c r="C297" i="2" s="1"/>
  <c r="B298" i="5"/>
  <c r="B298" i="2" s="1"/>
  <c r="B299" i="5"/>
  <c r="B299" i="2" s="1"/>
  <c r="B300" i="5"/>
  <c r="C300" i="2" s="1"/>
  <c r="B301" i="5"/>
  <c r="C301" i="2" s="1"/>
  <c r="B302" i="5"/>
  <c r="C302" i="2" s="1"/>
  <c r="B303" i="5"/>
  <c r="C303" i="2" s="1"/>
  <c r="B304" i="5"/>
  <c r="C304" i="2" s="1"/>
  <c r="B305" i="5"/>
  <c r="C305" i="2" s="1"/>
  <c r="B306" i="5"/>
  <c r="B306" i="2" s="1"/>
  <c r="B307" i="5"/>
  <c r="B307" i="2" s="1"/>
  <c r="B308" i="5"/>
  <c r="C308" i="2" s="1"/>
  <c r="B309" i="5"/>
  <c r="B309" i="2" s="1"/>
  <c r="B310" i="5"/>
  <c r="C310" i="2" s="1"/>
  <c r="B311" i="5"/>
  <c r="B311" i="2" s="1"/>
  <c r="B312" i="5"/>
  <c r="C312" i="2" s="1"/>
  <c r="B313" i="5"/>
  <c r="C313" i="2" s="1"/>
  <c r="B314" i="5"/>
  <c r="B314" i="2" s="1"/>
  <c r="B315" i="5"/>
  <c r="B315" i="2" s="1"/>
  <c r="B316" i="5"/>
  <c r="C316" i="2" s="1"/>
  <c r="B317" i="5"/>
  <c r="B317" i="2" s="1"/>
  <c r="B318" i="5"/>
  <c r="C318" i="2" s="1"/>
  <c r="B319" i="5"/>
  <c r="C319" i="2" s="1"/>
  <c r="B320" i="5"/>
  <c r="C320" i="2" s="1"/>
  <c r="B321" i="5"/>
  <c r="C321" i="2" s="1"/>
  <c r="B322" i="5"/>
  <c r="C322" i="2" s="1"/>
  <c r="B323" i="5"/>
  <c r="B323" i="2" s="1"/>
  <c r="B324" i="5"/>
  <c r="C324" i="2" s="1"/>
  <c r="B325" i="5"/>
  <c r="C325" i="2" s="1"/>
  <c r="B326" i="5"/>
  <c r="C326" i="2" s="1"/>
  <c r="B327" i="5"/>
  <c r="C327" i="2" s="1"/>
  <c r="B328" i="5"/>
  <c r="C328" i="2" s="1"/>
  <c r="B329" i="5"/>
  <c r="C329" i="2" s="1"/>
  <c r="B330" i="5"/>
  <c r="C330" i="2" s="1"/>
  <c r="B331" i="5"/>
  <c r="B331" i="2" s="1"/>
  <c r="B332" i="5"/>
  <c r="C332" i="2" s="1"/>
  <c r="B333" i="5"/>
  <c r="B333" i="2" s="1"/>
  <c r="B334" i="5"/>
  <c r="C334" i="2" s="1"/>
  <c r="B335" i="5"/>
  <c r="B335" i="2" s="1"/>
  <c r="B336" i="5"/>
  <c r="B336" i="2" s="1"/>
  <c r="B337" i="5"/>
  <c r="C337" i="2" s="1"/>
  <c r="B338" i="5"/>
  <c r="C338" i="2" s="1"/>
  <c r="B339" i="5"/>
  <c r="B339" i="2" s="1"/>
  <c r="B340" i="5"/>
  <c r="C340" i="2" s="1"/>
  <c r="B341" i="5"/>
  <c r="C341" i="2" s="1"/>
  <c r="B342" i="5"/>
  <c r="C342" i="2" s="1"/>
  <c r="B343" i="5"/>
  <c r="B343" i="2" s="1"/>
  <c r="B2" i="5"/>
  <c r="B2" i="2" s="1"/>
  <c r="B341" i="2" l="1"/>
  <c r="B332" i="2"/>
  <c r="B322" i="2"/>
  <c r="B313" i="2"/>
  <c r="B304" i="2"/>
  <c r="B295" i="2"/>
  <c r="B286" i="2"/>
  <c r="B277" i="2"/>
  <c r="B266" i="2"/>
  <c r="B256" i="2"/>
  <c r="B245" i="2"/>
  <c r="B234" i="2"/>
  <c r="B224" i="2"/>
  <c r="B213" i="2"/>
  <c r="B202" i="2"/>
  <c r="B192" i="2"/>
  <c r="B181" i="2"/>
  <c r="B170" i="2"/>
  <c r="B160" i="2"/>
  <c r="B149" i="2"/>
  <c r="B138" i="2"/>
  <c r="B128" i="2"/>
  <c r="B117" i="2"/>
  <c r="B106" i="2"/>
  <c r="B96" i="2"/>
  <c r="B85" i="2"/>
  <c r="B74" i="2"/>
  <c r="B64" i="2"/>
  <c r="B53" i="2"/>
  <c r="B42" i="2"/>
  <c r="B32" i="2"/>
  <c r="B20" i="2"/>
  <c r="B7" i="2"/>
  <c r="C336" i="2"/>
  <c r="C323" i="2"/>
  <c r="C311" i="2"/>
  <c r="C298" i="2"/>
  <c r="C285" i="2"/>
  <c r="C272" i="2"/>
  <c r="C259" i="2"/>
  <c r="C247" i="2"/>
  <c r="C221" i="2"/>
  <c r="C208" i="2"/>
  <c r="C195" i="2"/>
  <c r="C183" i="2"/>
  <c r="C154" i="2"/>
  <c r="C122" i="2"/>
  <c r="C90" i="2"/>
  <c r="C58" i="2"/>
  <c r="C26" i="2"/>
  <c r="B270" i="2"/>
  <c r="C270" i="2"/>
  <c r="B262" i="2"/>
  <c r="C262" i="2"/>
  <c r="B254" i="2"/>
  <c r="C254" i="2"/>
  <c r="B246" i="2"/>
  <c r="C246" i="2"/>
  <c r="B238" i="2"/>
  <c r="C238" i="2"/>
  <c r="B230" i="2"/>
  <c r="C230" i="2"/>
  <c r="B222" i="2"/>
  <c r="C222" i="2"/>
  <c r="B214" i="2"/>
  <c r="C214" i="2"/>
  <c r="B206" i="2"/>
  <c r="C206" i="2"/>
  <c r="B198" i="2"/>
  <c r="C198" i="2"/>
  <c r="B190" i="2"/>
  <c r="C190" i="2"/>
  <c r="B182" i="2"/>
  <c r="C182" i="2"/>
  <c r="B174" i="2"/>
  <c r="C174" i="2"/>
  <c r="B166" i="2"/>
  <c r="C166" i="2"/>
  <c r="B158" i="2"/>
  <c r="C158" i="2"/>
  <c r="B150" i="2"/>
  <c r="C150" i="2"/>
  <c r="B142" i="2"/>
  <c r="C142" i="2"/>
  <c r="B134" i="2"/>
  <c r="C134" i="2"/>
  <c r="B126" i="2"/>
  <c r="C126" i="2"/>
  <c r="B118" i="2"/>
  <c r="C118" i="2"/>
  <c r="B110" i="2"/>
  <c r="C110" i="2"/>
  <c r="B102" i="2"/>
  <c r="C102" i="2"/>
  <c r="B94" i="2"/>
  <c r="C94" i="2"/>
  <c r="B86" i="2"/>
  <c r="C86" i="2"/>
  <c r="B78" i="2"/>
  <c r="C78" i="2"/>
  <c r="B70" i="2"/>
  <c r="C70" i="2"/>
  <c r="B62" i="2"/>
  <c r="C62" i="2"/>
  <c r="B54" i="2"/>
  <c r="C54" i="2"/>
  <c r="B46" i="2"/>
  <c r="C46" i="2"/>
  <c r="B38" i="2"/>
  <c r="C38" i="2"/>
  <c r="B30" i="2"/>
  <c r="C30" i="2"/>
  <c r="B22" i="2"/>
  <c r="C22" i="2"/>
  <c r="B14" i="2"/>
  <c r="C14" i="2"/>
  <c r="B6" i="2"/>
  <c r="C6" i="2"/>
  <c r="B340" i="2"/>
  <c r="B330" i="2"/>
  <c r="B321" i="2"/>
  <c r="B312" i="2"/>
  <c r="B303" i="2"/>
  <c r="B294" i="2"/>
  <c r="B276" i="2"/>
  <c r="B265" i="2"/>
  <c r="B255" i="2"/>
  <c r="B244" i="2"/>
  <c r="B233" i="2"/>
  <c r="B223" i="2"/>
  <c r="B212" i="2"/>
  <c r="B201" i="2"/>
  <c r="B191" i="2"/>
  <c r="B180" i="2"/>
  <c r="B169" i="2"/>
  <c r="B159" i="2"/>
  <c r="B148" i="2"/>
  <c r="B137" i="2"/>
  <c r="B127" i="2"/>
  <c r="B116" i="2"/>
  <c r="B105" i="2"/>
  <c r="B95" i="2"/>
  <c r="B84" i="2"/>
  <c r="B73" i="2"/>
  <c r="B63" i="2"/>
  <c r="B52" i="2"/>
  <c r="B41" i="2"/>
  <c r="B31" i="2"/>
  <c r="B18" i="2"/>
  <c r="B5" i="2"/>
  <c r="C335" i="2"/>
  <c r="C309" i="2"/>
  <c r="C296" i="2"/>
  <c r="C283" i="2"/>
  <c r="C271" i="2"/>
  <c r="C258" i="2"/>
  <c r="C232" i="2"/>
  <c r="C219" i="2"/>
  <c r="C207" i="2"/>
  <c r="C194" i="2"/>
  <c r="C168" i="2"/>
  <c r="C152" i="2"/>
  <c r="C136" i="2"/>
  <c r="C120" i="2"/>
  <c r="C104" i="2"/>
  <c r="C88" i="2"/>
  <c r="C72" i="2"/>
  <c r="C56" i="2"/>
  <c r="C40" i="2"/>
  <c r="C24" i="2"/>
  <c r="B338" i="2"/>
  <c r="B329" i="2"/>
  <c r="B320" i="2"/>
  <c r="B302" i="2"/>
  <c r="B293" i="2"/>
  <c r="B284" i="2"/>
  <c r="B274" i="2"/>
  <c r="B264" i="2"/>
  <c r="B253" i="2"/>
  <c r="B242" i="2"/>
  <c r="B210" i="2"/>
  <c r="B200" i="2"/>
  <c r="B189" i="2"/>
  <c r="B178" i="2"/>
  <c r="B157" i="2"/>
  <c r="B146" i="2"/>
  <c r="B125" i="2"/>
  <c r="B114" i="2"/>
  <c r="B93" i="2"/>
  <c r="B82" i="2"/>
  <c r="B61" i="2"/>
  <c r="B50" i="2"/>
  <c r="B29" i="2"/>
  <c r="B17" i="2"/>
  <c r="B4" i="2"/>
  <c r="C333" i="2"/>
  <c r="C307" i="2"/>
  <c r="C282" i="2"/>
  <c r="C269" i="2"/>
  <c r="C243" i="2"/>
  <c r="C231" i="2"/>
  <c r="C218" i="2"/>
  <c r="C205" i="2"/>
  <c r="C179" i="2"/>
  <c r="C165" i="2"/>
  <c r="C133" i="2"/>
  <c r="C101" i="2"/>
  <c r="C69" i="2"/>
  <c r="C37" i="2"/>
  <c r="C21" i="2"/>
  <c r="B337" i="2"/>
  <c r="B328" i="2"/>
  <c r="B319" i="2"/>
  <c r="B310" i="2"/>
  <c r="B301" i="2"/>
  <c r="B292" i="2"/>
  <c r="B273" i="2"/>
  <c r="B263" i="2"/>
  <c r="B252" i="2"/>
  <c r="B241" i="2"/>
  <c r="B220" i="2"/>
  <c r="B209" i="2"/>
  <c r="B199" i="2"/>
  <c r="B188" i="2"/>
  <c r="B177" i="2"/>
  <c r="B167" i="2"/>
  <c r="B156" i="2"/>
  <c r="B145" i="2"/>
  <c r="B135" i="2"/>
  <c r="B124" i="2"/>
  <c r="B113" i="2"/>
  <c r="B103" i="2"/>
  <c r="B92" i="2"/>
  <c r="B81" i="2"/>
  <c r="B71" i="2"/>
  <c r="B60" i="2"/>
  <c r="B49" i="2"/>
  <c r="B39" i="2"/>
  <c r="B28" i="2"/>
  <c r="B15" i="2"/>
  <c r="C2" i="2"/>
  <c r="C331" i="2"/>
  <c r="C306" i="2"/>
  <c r="C280" i="2"/>
  <c r="C267" i="2"/>
  <c r="C229" i="2"/>
  <c r="C216" i="2"/>
  <c r="C203" i="2"/>
  <c r="C163" i="2"/>
  <c r="C147" i="2"/>
  <c r="C131" i="2"/>
  <c r="C115" i="2"/>
  <c r="C99" i="2"/>
  <c r="C83" i="2"/>
  <c r="C67" i="2"/>
  <c r="C51" i="2"/>
  <c r="C35" i="2"/>
  <c r="C19" i="2"/>
  <c r="C3" i="2"/>
  <c r="B3" i="2"/>
  <c r="B327" i="2"/>
  <c r="B318" i="2"/>
  <c r="B300" i="2"/>
  <c r="B290" i="2"/>
  <c r="B281" i="2"/>
  <c r="B261" i="2"/>
  <c r="B250" i="2"/>
  <c r="B240" i="2"/>
  <c r="B197" i="2"/>
  <c r="B186" i="2"/>
  <c r="B176" i="2"/>
  <c r="B144" i="2"/>
  <c r="B112" i="2"/>
  <c r="B80" i="2"/>
  <c r="B48" i="2"/>
  <c r="B13" i="2"/>
  <c r="C343" i="2"/>
  <c r="C317" i="2"/>
  <c r="C291" i="2"/>
  <c r="C279" i="2"/>
  <c r="C227" i="2"/>
  <c r="C215" i="2"/>
  <c r="C162" i="2"/>
  <c r="C130" i="2"/>
  <c r="C98" i="2"/>
  <c r="C66" i="2"/>
  <c r="C34" i="2"/>
  <c r="B326" i="2"/>
  <c r="B308" i="2"/>
  <c r="B289" i="2"/>
  <c r="B260" i="2"/>
  <c r="B249" i="2"/>
  <c r="B239" i="2"/>
  <c r="B228" i="2"/>
  <c r="B217" i="2"/>
  <c r="B196" i="2"/>
  <c r="B185" i="2"/>
  <c r="B175" i="2"/>
  <c r="B164" i="2"/>
  <c r="B153" i="2"/>
  <c r="B143" i="2"/>
  <c r="B132" i="2"/>
  <c r="B121" i="2"/>
  <c r="B111" i="2"/>
  <c r="B100" i="2"/>
  <c r="B89" i="2"/>
  <c r="B79" i="2"/>
  <c r="B68" i="2"/>
  <c r="B57" i="2"/>
  <c r="B47" i="2"/>
  <c r="B36" i="2"/>
  <c r="B25" i="2"/>
  <c r="B12" i="2"/>
  <c r="C315" i="2"/>
  <c r="C251" i="2"/>
  <c r="C226" i="2"/>
  <c r="C187" i="2"/>
  <c r="C16" i="2"/>
  <c r="B334" i="2"/>
  <c r="B325" i="2"/>
  <c r="B316" i="2"/>
  <c r="B297" i="2"/>
  <c r="B288" i="2"/>
  <c r="B248" i="2"/>
  <c r="B237" i="2"/>
  <c r="B184" i="2"/>
  <c r="B173" i="2"/>
  <c r="B141" i="2"/>
  <c r="B109" i="2"/>
  <c r="B77" i="2"/>
  <c r="B45" i="2"/>
  <c r="B23" i="2"/>
  <c r="B10" i="2"/>
  <c r="C339" i="2"/>
  <c r="C314" i="2"/>
  <c r="C275" i="2"/>
  <c r="C211" i="2"/>
  <c r="B8" i="2"/>
  <c r="C8" i="2"/>
  <c r="B342" i="2"/>
  <c r="B324" i="2"/>
  <c r="B305" i="2"/>
  <c r="B287" i="2"/>
  <c r="B278" i="2"/>
  <c r="B268" i="2"/>
  <c r="B257" i="2"/>
  <c r="B236" i="2"/>
  <c r="B225" i="2"/>
  <c r="B204" i="2"/>
  <c r="B193" i="2"/>
  <c r="B172" i="2"/>
  <c r="B161" i="2"/>
  <c r="B151" i="2"/>
  <c r="B140" i="2"/>
  <c r="B129" i="2"/>
  <c r="B119" i="2"/>
  <c r="B108" i="2"/>
  <c r="B97" i="2"/>
  <c r="B87" i="2"/>
  <c r="B76" i="2"/>
  <c r="B65" i="2"/>
  <c r="B55" i="2"/>
  <c r="B44" i="2"/>
  <c r="B33" i="2"/>
  <c r="B9" i="2"/>
  <c r="C299" i="2"/>
  <c r="C235" i="2"/>
  <c r="C171" i="2"/>
  <c r="C155" i="2"/>
  <c r="C139" i="2"/>
  <c r="C123" i="2"/>
  <c r="C107" i="2"/>
  <c r="C91" i="2"/>
  <c r="C75" i="2"/>
  <c r="C59" i="2"/>
  <c r="C43" i="2"/>
  <c r="C27" i="2"/>
  <c r="C11" i="2"/>
</calcChain>
</file>

<file path=xl/sharedStrings.xml><?xml version="1.0" encoding="utf-8"?>
<sst xmlns="http://schemas.openxmlformats.org/spreadsheetml/2006/main" count="9416" uniqueCount="716">
  <si>
    <t>GemeentecodeGM</t>
  </si>
  <si>
    <t>Gemeentenaam</t>
  </si>
  <si>
    <t>GM1680</t>
  </si>
  <si>
    <t>Aa en Hunze</t>
  </si>
  <si>
    <t>GM0358</t>
  </si>
  <si>
    <t>Aalsmeer</t>
  </si>
  <si>
    <t>GM0197</t>
  </si>
  <si>
    <t>Aalten</t>
  </si>
  <si>
    <t>GM0059</t>
  </si>
  <si>
    <t>Achtkarspelen</t>
  </si>
  <si>
    <t>GM0482</t>
  </si>
  <si>
    <t>Alblasserdam</t>
  </si>
  <si>
    <t>GM0613</t>
  </si>
  <si>
    <t>Albrandswaard</t>
  </si>
  <si>
    <t>GM0361</t>
  </si>
  <si>
    <t>Alkmaar</t>
  </si>
  <si>
    <t>GM0141</t>
  </si>
  <si>
    <t>Almelo</t>
  </si>
  <si>
    <t>GM0034</t>
  </si>
  <si>
    <t>Almere</t>
  </si>
  <si>
    <t>GM0484</t>
  </si>
  <si>
    <t>Alphen aan den Rijn</t>
  </si>
  <si>
    <t>GM1723</t>
  </si>
  <si>
    <t>Alphen-Chaam</t>
  </si>
  <si>
    <t>GM1959</t>
  </si>
  <si>
    <t>Altena</t>
  </si>
  <si>
    <t>GM0060</t>
  </si>
  <si>
    <t>Ameland</t>
  </si>
  <si>
    <t>GM0307</t>
  </si>
  <si>
    <t>Amersfoort</t>
  </si>
  <si>
    <t>GM0362</t>
  </si>
  <si>
    <t>Amstelveen</t>
  </si>
  <si>
    <t>GM0363</t>
  </si>
  <si>
    <t>Amsterdam</t>
  </si>
  <si>
    <t>GM0200</t>
  </si>
  <si>
    <t>Apeldoorn</t>
  </si>
  <si>
    <t>GM0202</t>
  </si>
  <si>
    <t>Arnhem</t>
  </si>
  <si>
    <t>GM0106</t>
  </si>
  <si>
    <t>Assen</t>
  </si>
  <si>
    <t>GM0743</t>
  </si>
  <si>
    <t>Asten</t>
  </si>
  <si>
    <t>GM0744</t>
  </si>
  <si>
    <t>Baarle-Nassau</t>
  </si>
  <si>
    <t>GM0308</t>
  </si>
  <si>
    <t>Baarn</t>
  </si>
  <si>
    <t>GM0489</t>
  </si>
  <si>
    <t>Barendrecht</t>
  </si>
  <si>
    <t>GM0203</t>
  </si>
  <si>
    <t>Barneveld</t>
  </si>
  <si>
    <t>GM0888</t>
  </si>
  <si>
    <t>Beek</t>
  </si>
  <si>
    <t>GM1954</t>
  </si>
  <si>
    <t>Beekdaelen</t>
  </si>
  <si>
    <t>GM0889</t>
  </si>
  <si>
    <t>Beesel</t>
  </si>
  <si>
    <t>GM1945</t>
  </si>
  <si>
    <t>Berg en Dal</t>
  </si>
  <si>
    <t>GM1724</t>
  </si>
  <si>
    <t>Bergeijk</t>
  </si>
  <si>
    <t>GM0893</t>
  </si>
  <si>
    <t>Bergen (L.)</t>
  </si>
  <si>
    <t>GM0373</t>
  </si>
  <si>
    <t>Bergen (NH.)</t>
  </si>
  <si>
    <t>GM0748</t>
  </si>
  <si>
    <t>Bergen op Zoom</t>
  </si>
  <si>
    <t>GM1859</t>
  </si>
  <si>
    <t>Berkelland</t>
  </si>
  <si>
    <t>GM1721</t>
  </si>
  <si>
    <t>Bernheze</t>
  </si>
  <si>
    <t>GM0753</t>
  </si>
  <si>
    <t>Best</t>
  </si>
  <si>
    <t>GM0209</t>
  </si>
  <si>
    <t>Beuningen</t>
  </si>
  <si>
    <t>GM0375</t>
  </si>
  <si>
    <t>Beverwijk</t>
  </si>
  <si>
    <t>GM0310</t>
  </si>
  <si>
    <t>De Bilt</t>
  </si>
  <si>
    <t>GM1728</t>
  </si>
  <si>
    <t>Bladel</t>
  </si>
  <si>
    <t>GM0376</t>
  </si>
  <si>
    <t>Blaricum</t>
  </si>
  <si>
    <t>GM0377</t>
  </si>
  <si>
    <t>Bloemendaal</t>
  </si>
  <si>
    <t>GM1901</t>
  </si>
  <si>
    <t>Bodegraven-Reeuwijk</t>
  </si>
  <si>
    <t>GM0755</t>
  </si>
  <si>
    <t>Boekel</t>
  </si>
  <si>
    <t>GM1681</t>
  </si>
  <si>
    <t>Borger-Odoorn</t>
  </si>
  <si>
    <t>GM0147</t>
  </si>
  <si>
    <t>Borne</t>
  </si>
  <si>
    <t>GM0654</t>
  </si>
  <si>
    <t>Borsele</t>
  </si>
  <si>
    <t>GM0757</t>
  </si>
  <si>
    <t>Boxtel</t>
  </si>
  <si>
    <t>GM0758</t>
  </si>
  <si>
    <t>Breda</t>
  </si>
  <si>
    <t>GM1876</t>
  </si>
  <si>
    <t>Bronckhorst</t>
  </si>
  <si>
    <t>GM0213</t>
  </si>
  <si>
    <t>Brummen</t>
  </si>
  <si>
    <t>GM0899</t>
  </si>
  <si>
    <t>Brunssum</t>
  </si>
  <si>
    <t>GM0312</t>
  </si>
  <si>
    <t>Bunnik</t>
  </si>
  <si>
    <t>GM0313</t>
  </si>
  <si>
    <t>Bunschoten</t>
  </si>
  <si>
    <t>GM0214</t>
  </si>
  <si>
    <t>Buren</t>
  </si>
  <si>
    <t>GM0502</t>
  </si>
  <si>
    <t>Capelle aan den IJssel</t>
  </si>
  <si>
    <t>GM0383</t>
  </si>
  <si>
    <t>Castricum</t>
  </si>
  <si>
    <t>GM0109</t>
  </si>
  <si>
    <t>Coevorden</t>
  </si>
  <si>
    <t>GM1706</t>
  </si>
  <si>
    <t>Cranendonck</t>
  </si>
  <si>
    <t>GM0216</t>
  </si>
  <si>
    <t>Culemborg</t>
  </si>
  <si>
    <t>GM0148</t>
  </si>
  <si>
    <t>Dalfsen</t>
  </si>
  <si>
    <t>GM1891</t>
  </si>
  <si>
    <t>Dantumadiel</t>
  </si>
  <si>
    <t>GM0503</t>
  </si>
  <si>
    <t>Delft</t>
  </si>
  <si>
    <t>GM0762</t>
  </si>
  <si>
    <t>Deurne</t>
  </si>
  <si>
    <t>GM0150</t>
  </si>
  <si>
    <t>Deventer</t>
  </si>
  <si>
    <t>GM0384</t>
  </si>
  <si>
    <t>Diemen</t>
  </si>
  <si>
    <t>GM1980</t>
  </si>
  <si>
    <t>Dijk en Waard</t>
  </si>
  <si>
    <t>GM1774</t>
  </si>
  <si>
    <t>Dinkelland</t>
  </si>
  <si>
    <t>GM0221</t>
  </si>
  <si>
    <t>Doesburg</t>
  </si>
  <si>
    <t>GM0222</t>
  </si>
  <si>
    <t>Doetinchem</t>
  </si>
  <si>
    <t>GM0766</t>
  </si>
  <si>
    <t>Dongen</t>
  </si>
  <si>
    <t>GM0505</t>
  </si>
  <si>
    <t>Dordrecht</t>
  </si>
  <si>
    <t>GM0498</t>
  </si>
  <si>
    <t>Drechterland</t>
  </si>
  <si>
    <t>GM1719</t>
  </si>
  <si>
    <t>Drimmelen</t>
  </si>
  <si>
    <t>GM0303</t>
  </si>
  <si>
    <t>Dronten</t>
  </si>
  <si>
    <t>GM0225</t>
  </si>
  <si>
    <t>Druten</t>
  </si>
  <si>
    <t>GM0226</t>
  </si>
  <si>
    <t>Duiven</t>
  </si>
  <si>
    <t>GM1711</t>
  </si>
  <si>
    <t>Echt-Susteren</t>
  </si>
  <si>
    <t>GM0385</t>
  </si>
  <si>
    <t>Edam-Volendam</t>
  </si>
  <si>
    <t>GM0228</t>
  </si>
  <si>
    <t>Ede</t>
  </si>
  <si>
    <t>GM0317</t>
  </si>
  <si>
    <t>Eemnes</t>
  </si>
  <si>
    <t>GM1979</t>
  </si>
  <si>
    <t>Eemsdelta</t>
  </si>
  <si>
    <t>GM0770</t>
  </si>
  <si>
    <t>Eersel</t>
  </si>
  <si>
    <t>GM1903</t>
  </si>
  <si>
    <t>Eijsden-Margraten</t>
  </si>
  <si>
    <t>GM0772</t>
  </si>
  <si>
    <t>Eindhoven</t>
  </si>
  <si>
    <t>GM0230</t>
  </si>
  <si>
    <t>Elburg</t>
  </si>
  <si>
    <t>GM0114</t>
  </si>
  <si>
    <t>Emmen</t>
  </si>
  <si>
    <t>GM0388</t>
  </si>
  <si>
    <t>Enkhuizen</t>
  </si>
  <si>
    <t>GM0153</t>
  </si>
  <si>
    <t>Enschede</t>
  </si>
  <si>
    <t>GM0232</t>
  </si>
  <si>
    <t>Epe</t>
  </si>
  <si>
    <t>GM0233</t>
  </si>
  <si>
    <t>Ermelo</t>
  </si>
  <si>
    <t>GM0777</t>
  </si>
  <si>
    <t>Etten-Leur</t>
  </si>
  <si>
    <t>GM1940</t>
  </si>
  <si>
    <t>De Fryske Marren</t>
  </si>
  <si>
    <t>GM0779</t>
  </si>
  <si>
    <t>Geertruidenberg</t>
  </si>
  <si>
    <t>GM1771</t>
  </si>
  <si>
    <t>Geldrop-Mierlo</t>
  </si>
  <si>
    <t>GM1652</t>
  </si>
  <si>
    <t>Gemert-Bakel</t>
  </si>
  <si>
    <t>GM0907</t>
  </si>
  <si>
    <t>Gennep</t>
  </si>
  <si>
    <t>GM0784</t>
  </si>
  <si>
    <t>Gilze en Rijen</t>
  </si>
  <si>
    <t>GM1924</t>
  </si>
  <si>
    <t>Goeree-Overflakkee</t>
  </si>
  <si>
    <t>GM0664</t>
  </si>
  <si>
    <t>Goes</t>
  </si>
  <si>
    <t>GM0785</t>
  </si>
  <si>
    <t>Goirle</t>
  </si>
  <si>
    <t>GM1942</t>
  </si>
  <si>
    <t>Gooise Meren</t>
  </si>
  <si>
    <t>GM0512</t>
  </si>
  <si>
    <t>Gorinchem</t>
  </si>
  <si>
    <t>GM0513</t>
  </si>
  <si>
    <t>Gouda</t>
  </si>
  <si>
    <t>GM0518</t>
  </si>
  <si>
    <t>'s-Gravenhage</t>
  </si>
  <si>
    <t>GM0014</t>
  </si>
  <si>
    <t>Groningen</t>
  </si>
  <si>
    <t>GM1729</t>
  </si>
  <si>
    <t>Gulpen-Wittem</t>
  </si>
  <si>
    <t>GM0158</t>
  </si>
  <si>
    <t>Haaksbergen</t>
  </si>
  <si>
    <t>GM0392</t>
  </si>
  <si>
    <t>Haarlem</t>
  </si>
  <si>
    <t>GM0394</t>
  </si>
  <si>
    <t>Haarlemmermeer</t>
  </si>
  <si>
    <t>GM1655</t>
  </si>
  <si>
    <t>Halderberge</t>
  </si>
  <si>
    <t>GM0160</t>
  </si>
  <si>
    <t>Hardenberg</t>
  </si>
  <si>
    <t>GM0243</t>
  </si>
  <si>
    <t>Harderwijk</t>
  </si>
  <si>
    <t>GM0523</t>
  </si>
  <si>
    <t>Hardinxveld-Giessendam</t>
  </si>
  <si>
    <t>GM0072</t>
  </si>
  <si>
    <t>Harlingen</t>
  </si>
  <si>
    <t>GM0244</t>
  </si>
  <si>
    <t>Hattem</t>
  </si>
  <si>
    <t>GM0396</t>
  </si>
  <si>
    <t>Heemskerk</t>
  </si>
  <si>
    <t>GM0397</t>
  </si>
  <si>
    <t>Heemstede</t>
  </si>
  <si>
    <t>GM0246</t>
  </si>
  <si>
    <t>Heerde</t>
  </si>
  <si>
    <t>GM0074</t>
  </si>
  <si>
    <t>Heerenveen</t>
  </si>
  <si>
    <t>GM0917</t>
  </si>
  <si>
    <t>Heerlen</t>
  </si>
  <si>
    <t>GM1658</t>
  </si>
  <si>
    <t>Heeze-Leende</t>
  </si>
  <si>
    <t>GM0399</t>
  </si>
  <si>
    <t>Heiloo</t>
  </si>
  <si>
    <t>GM0400</t>
  </si>
  <si>
    <t>Den Helder</t>
  </si>
  <si>
    <t>GM0163</t>
  </si>
  <si>
    <t>Hellendoorn</t>
  </si>
  <si>
    <t>GM0794</t>
  </si>
  <si>
    <t>Helmond</t>
  </si>
  <si>
    <t>GM0531</t>
  </si>
  <si>
    <t>Hendrik-Ido-Ambacht</t>
  </si>
  <si>
    <t>GM0164</t>
  </si>
  <si>
    <t>Hengelo</t>
  </si>
  <si>
    <t>GM0796</t>
  </si>
  <si>
    <t>'s-Hertogenbosch</t>
  </si>
  <si>
    <t>GM0252</t>
  </si>
  <si>
    <t>Heumen</t>
  </si>
  <si>
    <t>GM0797</t>
  </si>
  <si>
    <t>Heusden</t>
  </si>
  <si>
    <t>GM0534</t>
  </si>
  <si>
    <t>Hillegom</t>
  </si>
  <si>
    <t>GM0798</t>
  </si>
  <si>
    <t>Hilvarenbeek</t>
  </si>
  <si>
    <t>GM0402</t>
  </si>
  <si>
    <t>Hilversum</t>
  </si>
  <si>
    <t>GM1963</t>
  </si>
  <si>
    <t>Hoeksche Waard</t>
  </si>
  <si>
    <t>GM1735</t>
  </si>
  <si>
    <t>Hof van Twente</t>
  </si>
  <si>
    <t>GM1966</t>
  </si>
  <si>
    <t>Het Hogeland</t>
  </si>
  <si>
    <t>GM1911</t>
  </si>
  <si>
    <t>Hollands Kroon</t>
  </si>
  <si>
    <t>GM0118</t>
  </si>
  <si>
    <t>Hoogeveen</t>
  </si>
  <si>
    <t>GM0405</t>
  </si>
  <si>
    <t>Hoorn</t>
  </si>
  <si>
    <t>GM1507</t>
  </si>
  <si>
    <t>Horst aan de Maas</t>
  </si>
  <si>
    <t>GM0321</t>
  </si>
  <si>
    <t>Houten</t>
  </si>
  <si>
    <t>GM0406</t>
  </si>
  <si>
    <t>Huizen</t>
  </si>
  <si>
    <t>GM0677</t>
  </si>
  <si>
    <t>Hulst</t>
  </si>
  <si>
    <t>GM0353</t>
  </si>
  <si>
    <t>IJsselstein</t>
  </si>
  <si>
    <t>GM1884</t>
  </si>
  <si>
    <t>Kaag en Braassem</t>
  </si>
  <si>
    <t>GM0166</t>
  </si>
  <si>
    <t>Kampen</t>
  </si>
  <si>
    <t>GM0678</t>
  </si>
  <si>
    <t>Kapelle</t>
  </si>
  <si>
    <t>GM0537</t>
  </si>
  <si>
    <t>Katwijk</t>
  </si>
  <si>
    <t>GM0928</t>
  </si>
  <si>
    <t>Kerkrade</t>
  </si>
  <si>
    <t>GM1598</t>
  </si>
  <si>
    <t>Koggenland</t>
  </si>
  <si>
    <t>GM0542</t>
  </si>
  <si>
    <t>Krimpen aan den IJssel</t>
  </si>
  <si>
    <t>GM1931</t>
  </si>
  <si>
    <t>Krimpenerwaard</t>
  </si>
  <si>
    <t>GM1659</t>
  </si>
  <si>
    <t>Laarbeek</t>
  </si>
  <si>
    <t>GM1982</t>
  </si>
  <si>
    <t>Land van Cuijk</t>
  </si>
  <si>
    <t>GM0882</t>
  </si>
  <si>
    <t>Landgraaf</t>
  </si>
  <si>
    <t>GM0415</t>
  </si>
  <si>
    <t>Landsmeer</t>
  </si>
  <si>
    <t>GM1621</t>
  </si>
  <si>
    <t>Lansingerland</t>
  </si>
  <si>
    <t>GM0417</t>
  </si>
  <si>
    <t>Laren</t>
  </si>
  <si>
    <t>GM0080</t>
  </si>
  <si>
    <t>Leeuwarden</t>
  </si>
  <si>
    <t>GM0546</t>
  </si>
  <si>
    <t>Leiden</t>
  </si>
  <si>
    <t>GM0547</t>
  </si>
  <si>
    <t>Leiderdorp</t>
  </si>
  <si>
    <t>GM1916</t>
  </si>
  <si>
    <t>Leidschendam-Voorburg</t>
  </si>
  <si>
    <t>GM0995</t>
  </si>
  <si>
    <t>Lelystad</t>
  </si>
  <si>
    <t>GM1640</t>
  </si>
  <si>
    <t>Leudal</t>
  </si>
  <si>
    <t>GM0327</t>
  </si>
  <si>
    <t>Leusden</t>
  </si>
  <si>
    <t>GM1705</t>
  </si>
  <si>
    <t>Lingewaard</t>
  </si>
  <si>
    <t>GM0553</t>
  </si>
  <si>
    <t>Lisse</t>
  </si>
  <si>
    <t>GM0262</t>
  </si>
  <si>
    <t>Lochem</t>
  </si>
  <si>
    <t>GM0809</t>
  </si>
  <si>
    <t>Loon op Zand</t>
  </si>
  <si>
    <t>GM0331</t>
  </si>
  <si>
    <t>Lopik</t>
  </si>
  <si>
    <t>GM0168</t>
  </si>
  <si>
    <t>Losser</t>
  </si>
  <si>
    <t>GM0263</t>
  </si>
  <si>
    <t>Maasdriel</t>
  </si>
  <si>
    <t>GM1641</t>
  </si>
  <si>
    <t>Maasgouw</t>
  </si>
  <si>
    <t>GM1991</t>
  </si>
  <si>
    <t>Maashorst</t>
  </si>
  <si>
    <t>GM0556</t>
  </si>
  <si>
    <t>Maassluis</t>
  </si>
  <si>
    <t>GM0935</t>
  </si>
  <si>
    <t>Maastricht</t>
  </si>
  <si>
    <t>GM0420</t>
  </si>
  <si>
    <t>Medemblik</t>
  </si>
  <si>
    <t>GM0938</t>
  </si>
  <si>
    <t>Meerssen</t>
  </si>
  <si>
    <t>GM1948</t>
  </si>
  <si>
    <t>Meierijstad</t>
  </si>
  <si>
    <t>GM0119</t>
  </si>
  <si>
    <t>Meppel</t>
  </si>
  <si>
    <t>GM0687</t>
  </si>
  <si>
    <t>Middelburg</t>
  </si>
  <si>
    <t>GM1842</t>
  </si>
  <si>
    <t>Midden-Delfland</t>
  </si>
  <si>
    <t>GM1731</t>
  </si>
  <si>
    <t>Midden-Drenthe</t>
  </si>
  <si>
    <t>GM1952</t>
  </si>
  <si>
    <t>Midden-Groningen</t>
  </si>
  <si>
    <t>GM1709</t>
  </si>
  <si>
    <t>Moerdijk</t>
  </si>
  <si>
    <t>GM1978</t>
  </si>
  <si>
    <t>Molenlanden</t>
  </si>
  <si>
    <t>GM1955</t>
  </si>
  <si>
    <t>Montferland</t>
  </si>
  <si>
    <t>GM0335</t>
  </si>
  <si>
    <t>Montfoort</t>
  </si>
  <si>
    <t>GM0944</t>
  </si>
  <si>
    <t>Mook en Middelaar</t>
  </si>
  <si>
    <t>GM1740</t>
  </si>
  <si>
    <t>Neder-Betuwe</t>
  </si>
  <si>
    <t>GM0946</t>
  </si>
  <si>
    <t>Nederweert</t>
  </si>
  <si>
    <t>GM0356</t>
  </si>
  <si>
    <t>Nieuwegein</t>
  </si>
  <si>
    <t>GM0569</t>
  </si>
  <si>
    <t>Nieuwkoop</t>
  </si>
  <si>
    <t>GM0267</t>
  </si>
  <si>
    <t>Nijkerk</t>
  </si>
  <si>
    <t>GM0268</t>
  </si>
  <si>
    <t>Nijmegen</t>
  </si>
  <si>
    <t>GM1930</t>
  </si>
  <si>
    <t>Nissewaard</t>
  </si>
  <si>
    <t>GM1970</t>
  </si>
  <si>
    <t>Noardeast-Fryslân</t>
  </si>
  <si>
    <t>GM1695</t>
  </si>
  <si>
    <t>Noord-Beveland</t>
  </si>
  <si>
    <t>GM1699</t>
  </si>
  <si>
    <t>Noordenveld</t>
  </si>
  <si>
    <t>GM0171</t>
  </si>
  <si>
    <t>Noordoostpolder</t>
  </si>
  <si>
    <t>GM0575</t>
  </si>
  <si>
    <t>Noordwijk</t>
  </si>
  <si>
    <t>GM0820</t>
  </si>
  <si>
    <t>Nuenen, Gerwen en Nederwetten</t>
  </si>
  <si>
    <t>GM0302</t>
  </si>
  <si>
    <t>Nunspeet</t>
  </si>
  <si>
    <t>GM0579</t>
  </si>
  <si>
    <t>Oegstgeest</t>
  </si>
  <si>
    <t>GM0823</t>
  </si>
  <si>
    <t>Oirschot</t>
  </si>
  <si>
    <t>GM0824</t>
  </si>
  <si>
    <t>Oisterwijk</t>
  </si>
  <si>
    <t>GM1895</t>
  </si>
  <si>
    <t>Oldambt</t>
  </si>
  <si>
    <t>GM0269</t>
  </si>
  <si>
    <t>Oldebroek</t>
  </si>
  <si>
    <t>GM0173</t>
  </si>
  <si>
    <t>Oldenzaal</t>
  </si>
  <si>
    <t>GM1773</t>
  </si>
  <si>
    <t>Olst-Wijhe</t>
  </si>
  <si>
    <t>GM0175</t>
  </si>
  <si>
    <t>Ommen</t>
  </si>
  <si>
    <t>GM1586</t>
  </si>
  <si>
    <t>Oost Gelre</t>
  </si>
  <si>
    <t>GM0826</t>
  </si>
  <si>
    <t>Oosterhout</t>
  </si>
  <si>
    <t>GM0085</t>
  </si>
  <si>
    <t>Ooststellingwerf</t>
  </si>
  <si>
    <t>GM0431</t>
  </si>
  <si>
    <t>Oostzaan</t>
  </si>
  <si>
    <t>GM0432</t>
  </si>
  <si>
    <t>Opmeer</t>
  </si>
  <si>
    <t>GM0086</t>
  </si>
  <si>
    <t>Opsterland</t>
  </si>
  <si>
    <t>GM0828</t>
  </si>
  <si>
    <t>Oss</t>
  </si>
  <si>
    <t>GM1509</t>
  </si>
  <si>
    <t>Oude IJsselstreek</t>
  </si>
  <si>
    <t>GM0437</t>
  </si>
  <si>
    <t>Ouder-Amstel</t>
  </si>
  <si>
    <t>GM0589</t>
  </si>
  <si>
    <t>Oudewater</t>
  </si>
  <si>
    <t>GM1734</t>
  </si>
  <si>
    <t>Overbetuwe</t>
  </si>
  <si>
    <t>GM0590</t>
  </si>
  <si>
    <t>Papendrecht</t>
  </si>
  <si>
    <t>GM1894</t>
  </si>
  <si>
    <t>Peel en Maas</t>
  </si>
  <si>
    <t>GM0765</t>
  </si>
  <si>
    <t>Pekela</t>
  </si>
  <si>
    <t>GM1926</t>
  </si>
  <si>
    <t>Pijnacker-Nootdorp</t>
  </si>
  <si>
    <t>GM0439</t>
  </si>
  <si>
    <t>Purmerend</t>
  </si>
  <si>
    <t>GM0273</t>
  </si>
  <si>
    <t>Putten</t>
  </si>
  <si>
    <t>GM0177</t>
  </si>
  <si>
    <t>Raalte</t>
  </si>
  <si>
    <t>GM0703</t>
  </si>
  <si>
    <t>Reimerswaal</t>
  </si>
  <si>
    <t>GM0274</t>
  </si>
  <si>
    <t>Renkum</t>
  </si>
  <si>
    <t>GM0339</t>
  </si>
  <si>
    <t>Renswoude</t>
  </si>
  <si>
    <t>GM1667</t>
  </si>
  <si>
    <t>Reusel-De Mierden</t>
  </si>
  <si>
    <t>GM0275</t>
  </si>
  <si>
    <t>Rheden</t>
  </si>
  <si>
    <t>GM0340</t>
  </si>
  <si>
    <t>Rhenen</t>
  </si>
  <si>
    <t>GM0597</t>
  </si>
  <si>
    <t>Ridderkerk</t>
  </si>
  <si>
    <t>GM1742</t>
  </si>
  <si>
    <t>Rijssen-Holten</t>
  </si>
  <si>
    <t>GM0603</t>
  </si>
  <si>
    <t>Rijswijk</t>
  </si>
  <si>
    <t>GM1669</t>
  </si>
  <si>
    <t>Roerdalen</t>
  </si>
  <si>
    <t>GM0957</t>
  </si>
  <si>
    <t>Roermond</t>
  </si>
  <si>
    <t>GM0736</t>
  </si>
  <si>
    <t>De Ronde Venen</t>
  </si>
  <si>
    <t>GM1674</t>
  </si>
  <si>
    <t>Roosendaal</t>
  </si>
  <si>
    <t>GM0599</t>
  </si>
  <si>
    <t>Rotterdam</t>
  </si>
  <si>
    <t>GM0277</t>
  </si>
  <si>
    <t>Rozendaal</t>
  </si>
  <si>
    <t>GM0840</t>
  </si>
  <si>
    <t>Rucphen</t>
  </si>
  <si>
    <t>GM0441</t>
  </si>
  <si>
    <t>Schagen</t>
  </si>
  <si>
    <t>GM0279</t>
  </si>
  <si>
    <t>Scherpenzeel</t>
  </si>
  <si>
    <t>GM0606</t>
  </si>
  <si>
    <t>Schiedam</t>
  </si>
  <si>
    <t>GM0088</t>
  </si>
  <si>
    <t>Schiermonnikoog</t>
  </si>
  <si>
    <t>GM1676</t>
  </si>
  <si>
    <t>Schouwen-Duiveland</t>
  </si>
  <si>
    <t>GM0965</t>
  </si>
  <si>
    <t>Simpelveld</t>
  </si>
  <si>
    <t>GM0845</t>
  </si>
  <si>
    <t>Sint-Michielsgestel</t>
  </si>
  <si>
    <t>GM1883</t>
  </si>
  <si>
    <t>Sittard-Geleen</t>
  </si>
  <si>
    <t>GM0610</t>
  </si>
  <si>
    <t>Sliedrecht</t>
  </si>
  <si>
    <t>GM1714</t>
  </si>
  <si>
    <t>Sluis</t>
  </si>
  <si>
    <t>GM0090</t>
  </si>
  <si>
    <t>Smallingerland</t>
  </si>
  <si>
    <t>GM0342</t>
  </si>
  <si>
    <t>Soest</t>
  </si>
  <si>
    <t>GM0847</t>
  </si>
  <si>
    <t>Someren</t>
  </si>
  <si>
    <t>GM0848</t>
  </si>
  <si>
    <t>Son en Breugel</t>
  </si>
  <si>
    <t>GM0037</t>
  </si>
  <si>
    <t>Stadskanaal</t>
  </si>
  <si>
    <t>GM0180</t>
  </si>
  <si>
    <t>Staphorst</t>
  </si>
  <si>
    <t>GM0532</t>
  </si>
  <si>
    <t>Stede Broec</t>
  </si>
  <si>
    <t>GM0851</t>
  </si>
  <si>
    <t>Steenbergen</t>
  </si>
  <si>
    <t>GM1708</t>
  </si>
  <si>
    <t>Steenwijkerland</t>
  </si>
  <si>
    <t>GM0971</t>
  </si>
  <si>
    <t>Stein</t>
  </si>
  <si>
    <t>GM1904</t>
  </si>
  <si>
    <t>Stichtse Vecht</t>
  </si>
  <si>
    <t>GM1900</t>
  </si>
  <si>
    <t>Súdwest-Fryslân</t>
  </si>
  <si>
    <t>GM0715</t>
  </si>
  <si>
    <t>Terneuzen</t>
  </si>
  <si>
    <t>GM0093</t>
  </si>
  <si>
    <t>Terschelling</t>
  </si>
  <si>
    <t>GM0448</t>
  </si>
  <si>
    <t>Texel</t>
  </si>
  <si>
    <t>GM1525</t>
  </si>
  <si>
    <t>Teylingen</t>
  </si>
  <si>
    <t>GM0716</t>
  </si>
  <si>
    <t>Tholen</t>
  </si>
  <si>
    <t>GM0281</t>
  </si>
  <si>
    <t>Tiel</t>
  </si>
  <si>
    <t>GM0855</t>
  </si>
  <si>
    <t>Tilburg</t>
  </si>
  <si>
    <t>GM0183</t>
  </si>
  <si>
    <t>Tubbergen</t>
  </si>
  <si>
    <t>GM1700</t>
  </si>
  <si>
    <t>Twenterand</t>
  </si>
  <si>
    <t>GM1730</t>
  </si>
  <si>
    <t>Tynaarlo</t>
  </si>
  <si>
    <t>GM0737</t>
  </si>
  <si>
    <t>Tytsjerksteradiel</t>
  </si>
  <si>
    <t>GM0450</t>
  </si>
  <si>
    <t>Uitgeest</t>
  </si>
  <si>
    <t>GM0451</t>
  </si>
  <si>
    <t>Uithoorn</t>
  </si>
  <si>
    <t>GM0184</t>
  </si>
  <si>
    <t>Urk</t>
  </si>
  <si>
    <t>GM0344</t>
  </si>
  <si>
    <t>Utrecht</t>
  </si>
  <si>
    <t>GM1581</t>
  </si>
  <si>
    <t>Utrechtse Heuvelrug</t>
  </si>
  <si>
    <t>GM0981</t>
  </si>
  <si>
    <t>Vaals</t>
  </si>
  <si>
    <t>GM0994</t>
  </si>
  <si>
    <t>Valkenburg aan de Geul</t>
  </si>
  <si>
    <t>GM0858</t>
  </si>
  <si>
    <t>Valkenswaard</t>
  </si>
  <si>
    <t>GM0047</t>
  </si>
  <si>
    <t>Veendam</t>
  </si>
  <si>
    <t>GM0345</t>
  </si>
  <si>
    <t>Veenendaal</t>
  </si>
  <si>
    <t>GM0717</t>
  </si>
  <si>
    <t>Veere</t>
  </si>
  <si>
    <t>GM0861</t>
  </si>
  <si>
    <t>Veldhoven</t>
  </si>
  <si>
    <t>GM0453</t>
  </si>
  <si>
    <t>Velsen</t>
  </si>
  <si>
    <t>GM0983</t>
  </si>
  <si>
    <t>Venlo</t>
  </si>
  <si>
    <t>GM0984</t>
  </si>
  <si>
    <t>Venray</t>
  </si>
  <si>
    <t>GM1961</t>
  </si>
  <si>
    <t>Vijfheerenlanden</t>
  </si>
  <si>
    <t>GM0622</t>
  </si>
  <si>
    <t>Vlaardingen</t>
  </si>
  <si>
    <t>GM0096</t>
  </si>
  <si>
    <t>Vlieland</t>
  </si>
  <si>
    <t>GM0718</t>
  </si>
  <si>
    <t>Vlissingen</t>
  </si>
  <si>
    <t>GM0986</t>
  </si>
  <si>
    <t>Voerendaal</t>
  </si>
  <si>
    <t>GM1992</t>
  </si>
  <si>
    <t>Voorne aan Zee</t>
  </si>
  <si>
    <t>GM0626</t>
  </si>
  <si>
    <t>Voorschoten</t>
  </si>
  <si>
    <t>GM0285</t>
  </si>
  <si>
    <t>Voorst</t>
  </si>
  <si>
    <t>GM0865</t>
  </si>
  <si>
    <t>Vught</t>
  </si>
  <si>
    <t>GM1949</t>
  </si>
  <si>
    <t>Waadhoeke</t>
  </si>
  <si>
    <t>GM0866</t>
  </si>
  <si>
    <t>Waalre</t>
  </si>
  <si>
    <t>GM0867</t>
  </si>
  <si>
    <t>Waalwijk</t>
  </si>
  <si>
    <t>GM0627</t>
  </si>
  <si>
    <t>Waddinxveen</t>
  </si>
  <si>
    <t>GM0289</t>
  </si>
  <si>
    <t>Wageningen</t>
  </si>
  <si>
    <t>GM0629</t>
  </si>
  <si>
    <t>Wassenaar</t>
  </si>
  <si>
    <t>GM0852</t>
  </si>
  <si>
    <t>Waterland</t>
  </si>
  <si>
    <t>GM0988</t>
  </si>
  <si>
    <t>Weert</t>
  </si>
  <si>
    <t>GM1960</t>
  </si>
  <si>
    <t>West Betuwe</t>
  </si>
  <si>
    <t>GM0668</t>
  </si>
  <si>
    <t>West Maas en Waal</t>
  </si>
  <si>
    <t>GM1969</t>
  </si>
  <si>
    <t>Westerkwartier</t>
  </si>
  <si>
    <t>GM1701</t>
  </si>
  <si>
    <t>Westerveld</t>
  </si>
  <si>
    <t>GM0293</t>
  </si>
  <si>
    <t>Westervoort</t>
  </si>
  <si>
    <t>GM1950</t>
  </si>
  <si>
    <t>Westerwolde</t>
  </si>
  <si>
    <t>GM1783</t>
  </si>
  <si>
    <t>Westland</t>
  </si>
  <si>
    <t>GM0098</t>
  </si>
  <si>
    <t>Weststellingwerf</t>
  </si>
  <si>
    <t>GM0189</t>
  </si>
  <si>
    <t>Wierden</t>
  </si>
  <si>
    <t>GM0296</t>
  </si>
  <si>
    <t>Wijchen</t>
  </si>
  <si>
    <t>GM1696</t>
  </si>
  <si>
    <t>Wijdemeren</t>
  </si>
  <si>
    <t>GM0352</t>
  </si>
  <si>
    <t>Wijk bij Duurstede</t>
  </si>
  <si>
    <t>GM0294</t>
  </si>
  <si>
    <t>Winterswijk</t>
  </si>
  <si>
    <t>GM0873</t>
  </si>
  <si>
    <t>Woensdrecht</t>
  </si>
  <si>
    <t>GM0632</t>
  </si>
  <si>
    <t>Woerden</t>
  </si>
  <si>
    <t>GM1690</t>
  </si>
  <si>
    <t>De Wolden</t>
  </si>
  <si>
    <t>GM0880</t>
  </si>
  <si>
    <t>Wormerland</t>
  </si>
  <si>
    <t>GM0351</t>
  </si>
  <si>
    <t>Woudenberg</t>
  </si>
  <si>
    <t>GM0479</t>
  </si>
  <si>
    <t>Zaanstad</t>
  </si>
  <si>
    <t>GM0297</t>
  </si>
  <si>
    <t>Zaltbommel</t>
  </si>
  <si>
    <t>GM0473</t>
  </si>
  <si>
    <t>Zandvoort</t>
  </si>
  <si>
    <t>GM0050</t>
  </si>
  <si>
    <t>Zeewolde</t>
  </si>
  <si>
    <t>GM0355</t>
  </si>
  <si>
    <t>Zeist</t>
  </si>
  <si>
    <t>GM0299</t>
  </si>
  <si>
    <t>Zevenaar</t>
  </si>
  <si>
    <t>GM0637</t>
  </si>
  <si>
    <t>Zoetermeer</t>
  </si>
  <si>
    <t>GM0638</t>
  </si>
  <si>
    <t>Zoeterwoude</t>
  </si>
  <si>
    <t>GM1892</t>
  </si>
  <si>
    <t>Zuidplas</t>
  </si>
  <si>
    <t>GM0879</t>
  </si>
  <si>
    <t>Zundert</t>
  </si>
  <si>
    <t>GM0301</t>
  </si>
  <si>
    <t>Zutphen</t>
  </si>
  <si>
    <t>GM1896</t>
  </si>
  <si>
    <t>Zwartewaterland</t>
  </si>
  <si>
    <t>GM0642</t>
  </si>
  <si>
    <t>Zwijndrecht</t>
  </si>
  <si>
    <t>GM0193</t>
  </si>
  <si>
    <t>Zwolle</t>
  </si>
  <si>
    <t>GM_code</t>
  </si>
  <si>
    <t>Gemeentenummer 2021</t>
  </si>
  <si>
    <t>Gemeentenaam 2021</t>
  </si>
  <si>
    <t>Gebruiksfunctie</t>
  </si>
  <si>
    <t>Geen plat dak (m2)</t>
  </si>
  <si>
    <t>Wel plat dak (m2)</t>
  </si>
  <si>
    <t>Onbekend (m2)</t>
  </si>
  <si>
    <t>Dakoppervlak totaal (m2)</t>
  </si>
  <si>
    <t>Nederland</t>
  </si>
  <si>
    <t>woonfunctie</t>
  </si>
  <si>
    <t>Beemster</t>
  </si>
  <si>
    <t>Weesp</t>
  </si>
  <si>
    <t>S├║dwest-Frysl├ón</t>
  </si>
  <si>
    <t>Nederland totaal</t>
  </si>
  <si>
    <t>onbekend</t>
  </si>
  <si>
    <t>bijeenkomstfunctie</t>
  </si>
  <si>
    <t>celfunctie</t>
  </si>
  <si>
    <t>gezondheidszorgfunctie</t>
  </si>
  <si>
    <t>industriefunctie</t>
  </si>
  <si>
    <t>kantoorfunctie</t>
  </si>
  <si>
    <t>ligplaats</t>
  </si>
  <si>
    <t>logiesfunctie</t>
  </si>
  <si>
    <t>onderwijsfunctie</t>
  </si>
  <si>
    <t>overige gebruiksfunctie</t>
  </si>
  <si>
    <t>sportfunctie</t>
  </si>
  <si>
    <t>standplaats</t>
  </si>
  <si>
    <t>winkelfunctie</t>
  </si>
  <si>
    <t>buildings_roof_pv_potential</t>
  </si>
  <si>
    <t>households_roof_pv_potential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</si>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</sst>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  <xf numFmtId="0" fontId="3" fillId="0" borderId="0" xfId="0" applyFont="1"/>
    <xf numFmtId="0" fontId="4" fillId="0" borderId="0" xfId="0" applyFont="1"/>
    <xf numFmtId="1" fontId="0" fillId="0" borderId="0" xfId="0" applyNumberFormat="1"/>
    <xf numFmtId="0" fontId="5" fillId="0" borderId="0" xfId="0" applyFont="1"/>
    <xf numFmtId="1" fontId="4" fillId="0" borderId="0" xfId="0" applyNumberFormat="1" applyFont="1"/>
    <xf numFmtId="164" fontId="0" fillId="0" borderId="0" xfId="0" applyNumberFormat="1"/>
    <xf numFmtId="0" fontId="0" fillId="3" borderId="0" xfId="0" applyFill="1"/>
  </cellXfs>
  <cellStyles count="2">
    <cellStyle name="Normal" xfId="0" builtinId="0"/>
    <cellStyle name="Standaard_Gemeenten_alfabetisch_2022" xfId="1" xr:uid="{404E367C-2088-D346-8FBB-FB0C7D905C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787400</xdr:colOff>
      <xdr:row>3</xdr:row>
      <xdr:rowOff>0</xdr:rowOff>
    </xdr:from>
    <xdr:to>
      <xdr:col>18</xdr:col>
      <xdr:colOff>279400</xdr:colOff>
      <xdr:row>19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728BBF-F099-0440-990D-563516A3EFA7}"/>
            </a:ext>
          </a:extLst>
        </xdr:cNvPr>
        <xdr:cNvSpPr txBox="1"/>
      </xdr:nvSpPr>
      <xdr:spPr>
        <a:xfrm>
          <a:off x="12446000" y="609600"/>
          <a:ext cx="4445000" cy="335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Source:</a:t>
          </a:r>
        </a:p>
        <a:p>
          <a:endParaRPr lang="en-US" sz="1100"/>
        </a:p>
        <a:p>
          <a:r>
            <a:rPr lang="en-US" sz="1100"/>
            <a:t>https://www.atlasleefomgeving.nl/platte-daken-in-nederland-bag</a:t>
          </a:r>
        </a:p>
        <a:p>
          <a:endParaRPr lang="en-US" sz="1100"/>
        </a:p>
        <a:p>
          <a:r>
            <a:rPr lang="en-US" sz="1100"/>
            <a:t>(daken</a:t>
          </a:r>
          <a:r>
            <a:rPr lang="en-US" sz="1100" baseline="0"/>
            <a:t> volgens de bag)</a:t>
          </a:r>
        </a:p>
        <a:p>
          <a:endParaRPr lang="en-US" sz="1100" baseline="0"/>
        </a:p>
        <a:p>
          <a:r>
            <a:rPr lang="en-US" sz="1100" baseline="0"/>
            <a:t>2021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215900</xdr:colOff>
      <xdr:row>3</xdr:row>
      <xdr:rowOff>101600</xdr:rowOff>
    </xdr:from>
    <xdr:to>
      <xdr:col>15</xdr:col>
      <xdr:colOff>533400</xdr:colOff>
      <xdr:row>20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210C43-5A9F-7241-AF22-9DDF91EF565B}"/>
            </a:ext>
          </a:extLst>
        </xdr:cNvPr>
        <xdr:cNvSpPr txBox="1"/>
      </xdr:nvSpPr>
      <xdr:spPr>
        <a:xfrm>
          <a:off x="8470900" y="711200"/>
          <a:ext cx="4445000" cy="335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Source:</a:t>
          </a:r>
        </a:p>
        <a:p>
          <a:endParaRPr lang="en-US" sz="1100"/>
        </a:p>
        <a:p>
          <a:r>
            <a:rPr lang="en-US" sz="1100"/>
            <a:t>https://www.atlasleefomgeving.nl/platte-daken-in-nederland-bag</a:t>
          </a:r>
        </a:p>
        <a:p>
          <a:endParaRPr lang="en-US" sz="1100"/>
        </a:p>
        <a:p>
          <a:r>
            <a:rPr lang="en-US" sz="1100"/>
            <a:t>(daken</a:t>
          </a:r>
          <a:r>
            <a:rPr lang="en-US" sz="1100" baseline="0"/>
            <a:t> volgens de bag)</a:t>
          </a:r>
        </a:p>
        <a:p>
          <a:endParaRPr lang="en-US" sz="1100" baseline="0"/>
        </a:p>
        <a:p>
          <a:r>
            <a:rPr lang="en-US" sz="1100" baseline="0"/>
            <a:t>2021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1B0F-16C8-9D4B-927E-6865288FB8D4}">
  <sheetPr>
    <tabColor theme="9" tint="0.39997558519241921"/>
  </sheetPr>
  <dimension ref="A1:C343"/>
  <sheetViews>
    <sheetView workbookViewId="0">
      <selection activeCell="C1" sqref="C1"/>
    </sheetView>
  </sheetViews>
  <sheetFormatPr baseColWidth="10" defaultRowHeight="16" x14ac:dyDescent="0.2"/>
  <cols>
    <col min="1" max="1" width="12.5" customWidth="1"/>
  </cols>
  <sheetData>
    <row r="1" spans="1:3" x14ac:dyDescent="0.2">
      <c r="A1" s="3" t="s">
        <v>686</v>
      </c>
      <c r="B1" s="3" t="s">
        <v>714</v>
      </c>
      <c r="C1" s="3" t="s">
        <v>713</v>
      </c>
    </row>
    <row r="2" spans="1:3" x14ac:dyDescent="0.2">
      <c r="A2" t="s">
        <v>2</v>
      </c>
      <c r="B2">
        <f>INDEX(Calculation!$A$1:$D$343,MATCH($A2,Calculation!$A:$A,0),MATCH(B$1,Calculation!$1:$1,0))</f>
        <v>1.6218600000000001</v>
      </c>
      <c r="C2">
        <f>INDEX(Calculation!$A$1:$D$343,MATCH($A2,Calculation!$A:$A,0),MATCH(C$1,Calculation!$1:$1,0))</f>
        <v>1.1517090000000001</v>
      </c>
    </row>
    <row r="3" spans="1:3" x14ac:dyDescent="0.2">
      <c r="A3" t="s">
        <v>4</v>
      </c>
      <c r="B3">
        <f>INDEX(Calculation!$A$1:$D$343,MATCH($A3,Calculation!$A:$A,0),MATCH(B$1,Calculation!$1:$1,0))</f>
        <v>1.6787810000000001</v>
      </c>
      <c r="C3">
        <f>INDEX(Calculation!$A$1:$D$343,MATCH($A3,Calculation!$A:$A,0),MATCH(C$1,Calculation!$1:$1,0))</f>
        <v>2.5855450000000002</v>
      </c>
    </row>
    <row r="4" spans="1:3" x14ac:dyDescent="0.2">
      <c r="A4" t="s">
        <v>6</v>
      </c>
      <c r="B4">
        <f>INDEX(Calculation!$A$1:$D$343,MATCH($A4,Calculation!$A:$A,0),MATCH(B$1,Calculation!$1:$1,0))</f>
        <v>1.14036</v>
      </c>
      <c r="C4">
        <f>INDEX(Calculation!$A$1:$D$343,MATCH($A4,Calculation!$A:$A,0),MATCH(C$1,Calculation!$1:$1,0))</f>
        <v>1.670153</v>
      </c>
    </row>
    <row r="5" spans="1:3" x14ac:dyDescent="0.2">
      <c r="A5" t="s">
        <v>8</v>
      </c>
      <c r="B5">
        <f>INDEX(Calculation!$A$1:$D$343,MATCH($A5,Calculation!$A:$A,0),MATCH(B$1,Calculation!$1:$1,0))</f>
        <v>1.2892779999999999</v>
      </c>
      <c r="C5">
        <f>INDEX(Calculation!$A$1:$D$343,MATCH($A5,Calculation!$A:$A,0),MATCH(C$1,Calculation!$1:$1,0))</f>
        <v>1.4041399999999999</v>
      </c>
    </row>
    <row r="6" spans="1:3" x14ac:dyDescent="0.2">
      <c r="A6" t="s">
        <v>10</v>
      </c>
      <c r="B6">
        <f>INDEX(Calculation!$A$1:$D$343,MATCH($A6,Calculation!$A:$A,0),MATCH(B$1,Calculation!$1:$1,0))</f>
        <v>0.45585799999999999</v>
      </c>
      <c r="C6">
        <f>INDEX(Calculation!$A$1:$D$343,MATCH($A6,Calculation!$A:$A,0),MATCH(C$1,Calculation!$1:$1,0))</f>
        <v>0.63334100000000004</v>
      </c>
    </row>
    <row r="7" spans="1:3" x14ac:dyDescent="0.2">
      <c r="A7" t="s">
        <v>12</v>
      </c>
      <c r="B7">
        <f>INDEX(Calculation!$A$1:$D$343,MATCH($A7,Calculation!$A:$A,0),MATCH(B$1,Calculation!$1:$1,0))</f>
        <v>0.72690500000000002</v>
      </c>
      <c r="C7">
        <f>INDEX(Calculation!$A$1:$D$343,MATCH($A7,Calculation!$A:$A,0),MATCH(C$1,Calculation!$1:$1,0))</f>
        <v>0.63101499999999999</v>
      </c>
    </row>
    <row r="8" spans="1:3" x14ac:dyDescent="0.2">
      <c r="A8" t="s">
        <v>14</v>
      </c>
      <c r="B8">
        <f>INDEX(Calculation!$A$1:$D$343,MATCH($A8,Calculation!$A:$A,0),MATCH(B$1,Calculation!$1:$1,0))</f>
        <v>2.968289</v>
      </c>
      <c r="C8">
        <f>INDEX(Calculation!$A$1:$D$343,MATCH($A8,Calculation!$A:$A,0),MATCH(C$1,Calculation!$1:$1,0))</f>
        <v>2.729409</v>
      </c>
    </row>
    <row r="9" spans="1:3" x14ac:dyDescent="0.2">
      <c r="A9" t="s">
        <v>16</v>
      </c>
      <c r="B9">
        <f>INDEX(Calculation!$A$1:$D$343,MATCH($A9,Calculation!$A:$A,0),MATCH(B$1,Calculation!$1:$1,0))</f>
        <v>2.4152930000000001</v>
      </c>
      <c r="C9">
        <f>INDEX(Calculation!$A$1:$D$343,MATCH($A9,Calculation!$A:$A,0),MATCH(C$1,Calculation!$1:$1,0))</f>
        <v>3.387203</v>
      </c>
    </row>
    <row r="10" spans="1:3" x14ac:dyDescent="0.2">
      <c r="A10" t="s">
        <v>18</v>
      </c>
      <c r="B10">
        <f>INDEX(Calculation!$A$1:$D$343,MATCH($A10,Calculation!$A:$A,0),MATCH(B$1,Calculation!$1:$1,0))</f>
        <v>5.056762</v>
      </c>
      <c r="C10">
        <f>INDEX(Calculation!$A$1:$D$343,MATCH($A10,Calculation!$A:$A,0),MATCH(C$1,Calculation!$1:$1,0))</f>
        <v>4.0665459999999998</v>
      </c>
    </row>
    <row r="11" spans="1:3" x14ac:dyDescent="0.2">
      <c r="A11" t="s">
        <v>20</v>
      </c>
      <c r="B11">
        <f>INDEX(Calculation!$A$1:$D$343,MATCH($A11,Calculation!$A:$A,0),MATCH(B$1,Calculation!$1:$1,0))</f>
        <v>2.9457010000000001</v>
      </c>
      <c r="C11">
        <f>INDEX(Calculation!$A$1:$D$343,MATCH($A11,Calculation!$A:$A,0),MATCH(C$1,Calculation!$1:$1,0))</f>
        <v>4.1376900000000001</v>
      </c>
    </row>
    <row r="12" spans="1:3" x14ac:dyDescent="0.2">
      <c r="A12" t="s">
        <v>22</v>
      </c>
      <c r="B12">
        <f>INDEX(Calculation!$A$1:$D$343,MATCH($A12,Calculation!$A:$A,0),MATCH(B$1,Calculation!$1:$1,0))</f>
        <v>0.58342000000000005</v>
      </c>
      <c r="C12">
        <f>INDEX(Calculation!$A$1:$D$343,MATCH($A12,Calculation!$A:$A,0),MATCH(C$1,Calculation!$1:$1,0))</f>
        <v>1.2494499999999999</v>
      </c>
    </row>
    <row r="13" spans="1:3" x14ac:dyDescent="0.2">
      <c r="A13" t="s">
        <v>24</v>
      </c>
      <c r="B13">
        <f>INDEX(Calculation!$A$1:$D$343,MATCH($A13,Calculation!$A:$A,0),MATCH(B$1,Calculation!$1:$1,0))</f>
        <v>2.1051310000000001</v>
      </c>
      <c r="C13">
        <f>INDEX(Calculation!$A$1:$D$343,MATCH($A13,Calculation!$A:$A,0),MATCH(C$1,Calculation!$1:$1,0))</f>
        <v>2.7551139999999998</v>
      </c>
    </row>
    <row r="14" spans="1:3" x14ac:dyDescent="0.2">
      <c r="A14" t="s">
        <v>26</v>
      </c>
      <c r="B14">
        <f>INDEX(Calculation!$A$1:$D$343,MATCH($A14,Calculation!$A:$A,0),MATCH(B$1,Calculation!$1:$1,0))</f>
        <v>0.20733799999999999</v>
      </c>
      <c r="C14">
        <f>INDEX(Calculation!$A$1:$D$343,MATCH($A14,Calculation!$A:$A,0),MATCH(C$1,Calculation!$1:$1,0))</f>
        <v>0.36789899999999998</v>
      </c>
    </row>
    <row r="15" spans="1:3" x14ac:dyDescent="0.2">
      <c r="A15" t="s">
        <v>28</v>
      </c>
      <c r="B15">
        <f>INDEX(Calculation!$A$1:$D$343,MATCH($A15,Calculation!$A:$A,0),MATCH(B$1,Calculation!$1:$1,0))</f>
        <v>3.7951239999999999</v>
      </c>
      <c r="C15">
        <f>INDEX(Calculation!$A$1:$D$343,MATCH($A15,Calculation!$A:$A,0),MATCH(C$1,Calculation!$1:$1,0))</f>
        <v>3.0529959999999998</v>
      </c>
    </row>
    <row r="16" spans="1:3" x14ac:dyDescent="0.2">
      <c r="A16" t="s">
        <v>30</v>
      </c>
      <c r="B16">
        <f>INDEX(Calculation!$A$1:$D$343,MATCH($A16,Calculation!$A:$A,0),MATCH(B$1,Calculation!$1:$1,0))</f>
        <v>1.906968</v>
      </c>
      <c r="C16">
        <f>INDEX(Calculation!$A$1:$D$343,MATCH($A16,Calculation!$A:$A,0),MATCH(C$1,Calculation!$1:$1,0))</f>
        <v>2.3052079999999999</v>
      </c>
    </row>
    <row r="17" spans="1:3" x14ac:dyDescent="0.2">
      <c r="A17" t="s">
        <v>32</v>
      </c>
      <c r="B17">
        <f>INDEX(Calculation!$A$1:$D$343,MATCH($A17,Calculation!$A:$A,0),MATCH(B$1,Calculation!$1:$1,0))</f>
        <v>12.090522</v>
      </c>
      <c r="C17">
        <f>INDEX(Calculation!$A$1:$D$343,MATCH($A17,Calculation!$A:$A,0),MATCH(C$1,Calculation!$1:$1,0))</f>
        <v>13.429494999999999</v>
      </c>
    </row>
    <row r="18" spans="1:3" x14ac:dyDescent="0.2">
      <c r="A18" t="s">
        <v>34</v>
      </c>
      <c r="B18">
        <f>INDEX(Calculation!$A$1:$D$343,MATCH($A18,Calculation!$A:$A,0),MATCH(B$1,Calculation!$1:$1,0))</f>
        <v>5.109693</v>
      </c>
      <c r="C18">
        <f>INDEX(Calculation!$A$1:$D$343,MATCH($A18,Calculation!$A:$A,0),MATCH(C$1,Calculation!$1:$1,0))</f>
        <v>5.378241</v>
      </c>
    </row>
    <row r="19" spans="1:3" x14ac:dyDescent="0.2">
      <c r="A19" t="s">
        <v>36</v>
      </c>
      <c r="B19">
        <f>INDEX(Calculation!$A$1:$D$343,MATCH($A19,Calculation!$A:$A,0),MATCH(B$1,Calculation!$1:$1,0))</f>
        <v>3.7515640000000001</v>
      </c>
      <c r="C19">
        <f>INDEX(Calculation!$A$1:$D$343,MATCH($A19,Calculation!$A:$A,0),MATCH(C$1,Calculation!$1:$1,0))</f>
        <v>3.0197189999999998</v>
      </c>
    </row>
    <row r="20" spans="1:3" x14ac:dyDescent="0.2">
      <c r="A20" t="s">
        <v>38</v>
      </c>
      <c r="B20">
        <f>INDEX(Calculation!$A$1:$D$343,MATCH($A20,Calculation!$A:$A,0),MATCH(B$1,Calculation!$1:$1,0))</f>
        <v>2.2678639999999999</v>
      </c>
      <c r="C20">
        <f>INDEX(Calculation!$A$1:$D$343,MATCH($A20,Calculation!$A:$A,0),MATCH(C$1,Calculation!$1:$1,0))</f>
        <v>1.742116</v>
      </c>
    </row>
    <row r="21" spans="1:3" x14ac:dyDescent="0.2">
      <c r="A21" t="s">
        <v>40</v>
      </c>
      <c r="B21">
        <f>INDEX(Calculation!$A$1:$D$343,MATCH($A21,Calculation!$A:$A,0),MATCH(B$1,Calculation!$1:$1,0))</f>
        <v>0.78237999999999996</v>
      </c>
      <c r="C21">
        <f>INDEX(Calculation!$A$1:$D$343,MATCH($A21,Calculation!$A:$A,0),MATCH(C$1,Calculation!$1:$1,0))</f>
        <v>2.6875439999999999</v>
      </c>
    </row>
    <row r="22" spans="1:3" x14ac:dyDescent="0.2">
      <c r="A22" t="s">
        <v>42</v>
      </c>
      <c r="B22">
        <f>INDEX(Calculation!$A$1:$D$343,MATCH($A22,Calculation!$A:$A,0),MATCH(B$1,Calculation!$1:$1,0))</f>
        <v>0.38116699999999998</v>
      </c>
      <c r="C22">
        <f>INDEX(Calculation!$A$1:$D$343,MATCH($A22,Calculation!$A:$A,0),MATCH(C$1,Calculation!$1:$1,0))</f>
        <v>1.1200889999999999</v>
      </c>
    </row>
    <row r="23" spans="1:3" x14ac:dyDescent="0.2">
      <c r="A23" t="s">
        <v>44</v>
      </c>
      <c r="B23">
        <f>INDEX(Calculation!$A$1:$D$343,MATCH($A23,Calculation!$A:$A,0),MATCH(B$1,Calculation!$1:$1,0))</f>
        <v>0.76936099999999996</v>
      </c>
      <c r="C23">
        <f>INDEX(Calculation!$A$1:$D$343,MATCH($A23,Calculation!$A:$A,0),MATCH(C$1,Calculation!$1:$1,0))</f>
        <v>0.49923000000000001</v>
      </c>
    </row>
    <row r="24" spans="1:3" x14ac:dyDescent="0.2">
      <c r="A24" t="s">
        <v>46</v>
      </c>
      <c r="B24">
        <f>INDEX(Calculation!$A$1:$D$343,MATCH($A24,Calculation!$A:$A,0),MATCH(B$1,Calculation!$1:$1,0))</f>
        <v>1.2563770000000001</v>
      </c>
      <c r="C24">
        <f>INDEX(Calculation!$A$1:$D$343,MATCH($A24,Calculation!$A:$A,0),MATCH(C$1,Calculation!$1:$1,0))</f>
        <v>1.2651110000000001</v>
      </c>
    </row>
    <row r="25" spans="1:3" x14ac:dyDescent="0.2">
      <c r="A25" t="s">
        <v>48</v>
      </c>
      <c r="B25">
        <f>INDEX(Calculation!$A$1:$D$343,MATCH($A25,Calculation!$A:$A,0),MATCH(B$1,Calculation!$1:$1,0))</f>
        <v>2.0101010000000001</v>
      </c>
      <c r="C25">
        <f>INDEX(Calculation!$A$1:$D$343,MATCH($A25,Calculation!$A:$A,0),MATCH(C$1,Calculation!$1:$1,0))</f>
        <v>4.4180260000000002</v>
      </c>
    </row>
    <row r="26" spans="1:3" x14ac:dyDescent="0.2">
      <c r="A26" t="s">
        <v>50</v>
      </c>
      <c r="B26">
        <f>INDEX(Calculation!$A$1:$D$343,MATCH($A26,Calculation!$A:$A,0),MATCH(B$1,Calculation!$1:$1,0))</f>
        <v>0.672705</v>
      </c>
      <c r="C26">
        <f>INDEX(Calculation!$A$1:$D$343,MATCH($A26,Calculation!$A:$A,0),MATCH(C$1,Calculation!$1:$1,0))</f>
        <v>0.60946400000000001</v>
      </c>
    </row>
    <row r="27" spans="1:3" x14ac:dyDescent="0.2">
      <c r="A27" t="s">
        <v>52</v>
      </c>
      <c r="B27">
        <f>INDEX(Calculation!$A$1:$D$343,MATCH($A27,Calculation!$A:$A,0),MATCH(B$1,Calculation!$1:$1,0))</f>
        <v>1.80541</v>
      </c>
      <c r="C27">
        <f>INDEX(Calculation!$A$1:$D$343,MATCH($A27,Calculation!$A:$A,0),MATCH(C$1,Calculation!$1:$1,0))</f>
        <v>0.94877999999999996</v>
      </c>
    </row>
    <row r="28" spans="1:3" x14ac:dyDescent="0.2">
      <c r="A28" t="s">
        <v>54</v>
      </c>
      <c r="B28">
        <f>INDEX(Calculation!$A$1:$D$343,MATCH($A28,Calculation!$A:$A,0),MATCH(B$1,Calculation!$1:$1,0))</f>
        <v>0.56696400000000002</v>
      </c>
      <c r="C28">
        <f>INDEX(Calculation!$A$1:$D$343,MATCH($A28,Calculation!$A:$A,0),MATCH(C$1,Calculation!$1:$1,0))</f>
        <v>0.650536</v>
      </c>
    </row>
    <row r="29" spans="1:3" x14ac:dyDescent="0.2">
      <c r="A29" t="s">
        <v>56</v>
      </c>
      <c r="B29">
        <f>INDEX(Calculation!$A$1:$D$343,MATCH($A29,Calculation!$A:$A,0),MATCH(B$1,Calculation!$1:$1,0))</f>
        <v>1.327979</v>
      </c>
      <c r="C29">
        <f>INDEX(Calculation!$A$1:$D$343,MATCH($A29,Calculation!$A:$A,0),MATCH(C$1,Calculation!$1:$1,0))</f>
        <v>1.1202080000000001</v>
      </c>
    </row>
    <row r="30" spans="1:3" x14ac:dyDescent="0.2">
      <c r="A30" t="s">
        <v>58</v>
      </c>
      <c r="B30">
        <f>INDEX(Calculation!$A$1:$D$343,MATCH($A30,Calculation!$A:$A,0),MATCH(B$1,Calculation!$1:$1,0))</f>
        <v>0.99138899999999996</v>
      </c>
      <c r="C30">
        <f>INDEX(Calculation!$A$1:$D$343,MATCH($A30,Calculation!$A:$A,0),MATCH(C$1,Calculation!$1:$1,0))</f>
        <v>1.4438949999999999</v>
      </c>
    </row>
    <row r="31" spans="1:3" x14ac:dyDescent="0.2">
      <c r="A31" t="s">
        <v>60</v>
      </c>
      <c r="B31" s="8">
        <f>INDEX(Calculation!$A$1:$D$343,MATCH($A31,Calculation!$A:$A,0),MATCH(B$1,Calculation!$1:$1,0))</f>
        <v>0.66796699999999998</v>
      </c>
      <c r="C31" s="8">
        <f>INDEX(Calculation!$A$1:$D$343,MATCH($A31,Calculation!$A:$A,0),MATCH(C$1,Calculation!$1:$1,0))</f>
        <v>1.169862</v>
      </c>
    </row>
    <row r="32" spans="1:3" x14ac:dyDescent="0.2">
      <c r="A32" t="s">
        <v>62</v>
      </c>
      <c r="B32" s="8">
        <f>INDEX(Calculation!$A$1:$D$343,MATCH($A32,Calculation!$A:$A,0),MATCH(B$1,Calculation!$1:$1,0))</f>
        <v>1.2952889999999999</v>
      </c>
      <c r="C32" s="8">
        <f>INDEX(Calculation!$A$1:$D$343,MATCH($A32,Calculation!$A:$A,0),MATCH(C$1,Calculation!$1:$1,0))</f>
        <v>0.885486</v>
      </c>
    </row>
    <row r="33" spans="1:3" x14ac:dyDescent="0.2">
      <c r="A33" t="s">
        <v>64</v>
      </c>
      <c r="B33">
        <f>INDEX(Calculation!$A$1:$D$343,MATCH($A33,Calculation!$A:$A,0),MATCH(B$1,Calculation!$1:$1,0))</f>
        <v>2.080057</v>
      </c>
      <c r="C33">
        <f>INDEX(Calculation!$A$1:$D$343,MATCH($A33,Calculation!$A:$A,0),MATCH(C$1,Calculation!$1:$1,0))</f>
        <v>2.8775559999999998</v>
      </c>
    </row>
    <row r="34" spans="1:3" x14ac:dyDescent="0.2">
      <c r="A34" t="s">
        <v>66</v>
      </c>
      <c r="B34">
        <f>INDEX(Calculation!$A$1:$D$343,MATCH($A34,Calculation!$A:$A,0),MATCH(B$1,Calculation!$1:$1,0))</f>
        <v>2.2658999999999998</v>
      </c>
      <c r="C34">
        <f>INDEX(Calculation!$A$1:$D$343,MATCH($A34,Calculation!$A:$A,0),MATCH(C$1,Calculation!$1:$1,0))</f>
        <v>3.2642799999999998</v>
      </c>
    </row>
    <row r="35" spans="1:3" x14ac:dyDescent="0.2">
      <c r="A35" t="s">
        <v>68</v>
      </c>
      <c r="B35">
        <f>INDEX(Calculation!$A$1:$D$343,MATCH($A35,Calculation!$A:$A,0),MATCH(B$1,Calculation!$1:$1,0))</f>
        <v>1.435826</v>
      </c>
      <c r="C35">
        <f>INDEX(Calculation!$A$1:$D$343,MATCH($A35,Calculation!$A:$A,0),MATCH(C$1,Calculation!$1:$1,0))</f>
        <v>2.021417</v>
      </c>
    </row>
    <row r="36" spans="1:3" x14ac:dyDescent="0.2">
      <c r="A36" t="s">
        <v>70</v>
      </c>
      <c r="B36">
        <f>INDEX(Calculation!$A$1:$D$343,MATCH($A36,Calculation!$A:$A,0),MATCH(B$1,Calculation!$1:$1,0))</f>
        <v>1.026967</v>
      </c>
      <c r="C36">
        <f>INDEX(Calculation!$A$1:$D$343,MATCH($A36,Calculation!$A:$A,0),MATCH(C$1,Calculation!$1:$1,0))</f>
        <v>1.3116129999999999</v>
      </c>
    </row>
    <row r="37" spans="1:3" x14ac:dyDescent="0.2">
      <c r="A37" t="s">
        <v>72</v>
      </c>
      <c r="B37">
        <f>INDEX(Calculation!$A$1:$D$343,MATCH($A37,Calculation!$A:$A,0),MATCH(B$1,Calculation!$1:$1,0))</f>
        <v>0.93826399999999999</v>
      </c>
      <c r="C37">
        <f>INDEX(Calculation!$A$1:$D$343,MATCH($A37,Calculation!$A:$A,0),MATCH(C$1,Calculation!$1:$1,0))</f>
        <v>0.8417</v>
      </c>
    </row>
    <row r="38" spans="1:3" x14ac:dyDescent="0.2">
      <c r="A38" t="s">
        <v>74</v>
      </c>
      <c r="B38">
        <f>INDEX(Calculation!$A$1:$D$343,MATCH($A38,Calculation!$A:$A,0),MATCH(B$1,Calculation!$1:$1,0))</f>
        <v>0.97116400000000003</v>
      </c>
      <c r="C38">
        <f>INDEX(Calculation!$A$1:$D$343,MATCH($A38,Calculation!$A:$A,0),MATCH(C$1,Calculation!$1:$1,0))</f>
        <v>1.459417</v>
      </c>
    </row>
    <row r="39" spans="1:3" x14ac:dyDescent="0.2">
      <c r="A39" t="s">
        <v>76</v>
      </c>
      <c r="B39">
        <f>INDEX(Calculation!$A$1:$D$343,MATCH($A39,Calculation!$A:$A,0),MATCH(B$1,Calculation!$1:$1,0))</f>
        <v>1.466315</v>
      </c>
      <c r="C39">
        <f>INDEX(Calculation!$A$1:$D$343,MATCH($A39,Calculation!$A:$A,0),MATCH(C$1,Calculation!$1:$1,0))</f>
        <v>1.035096</v>
      </c>
    </row>
    <row r="40" spans="1:3" x14ac:dyDescent="0.2">
      <c r="A40" t="s">
        <v>78</v>
      </c>
      <c r="B40">
        <f>INDEX(Calculation!$A$1:$D$343,MATCH($A40,Calculation!$A:$A,0),MATCH(B$1,Calculation!$1:$1,0))</f>
        <v>1.0073369999999999</v>
      </c>
      <c r="C40">
        <f>INDEX(Calculation!$A$1:$D$343,MATCH($A40,Calculation!$A:$A,0),MATCH(C$1,Calculation!$1:$1,0))</f>
        <v>1.7579659999999999</v>
      </c>
    </row>
    <row r="41" spans="1:3" x14ac:dyDescent="0.2">
      <c r="A41" t="s">
        <v>80</v>
      </c>
      <c r="B41">
        <f>INDEX(Calculation!$A$1:$D$343,MATCH($A41,Calculation!$A:$A,0),MATCH(B$1,Calculation!$1:$1,0))</f>
        <v>0.470748</v>
      </c>
      <c r="C41">
        <f>INDEX(Calculation!$A$1:$D$343,MATCH($A41,Calculation!$A:$A,0),MATCH(C$1,Calculation!$1:$1,0))</f>
        <v>0.13850999999999999</v>
      </c>
    </row>
    <row r="42" spans="1:3" x14ac:dyDescent="0.2">
      <c r="A42" t="s">
        <v>82</v>
      </c>
      <c r="B42">
        <f>INDEX(Calculation!$A$1:$D$343,MATCH($A42,Calculation!$A:$A,0),MATCH(B$1,Calculation!$1:$1,0))</f>
        <v>0.89603299999999997</v>
      </c>
      <c r="C42">
        <f>INDEX(Calculation!$A$1:$D$343,MATCH($A42,Calculation!$A:$A,0),MATCH(C$1,Calculation!$1:$1,0))</f>
        <v>0.31656699999999999</v>
      </c>
    </row>
    <row r="43" spans="1:3" x14ac:dyDescent="0.2">
      <c r="A43" t="s">
        <v>84</v>
      </c>
      <c r="B43">
        <f>INDEX(Calculation!$A$1:$D$343,MATCH($A43,Calculation!$A:$A,0),MATCH(B$1,Calculation!$1:$1,0))</f>
        <v>1.214437</v>
      </c>
      <c r="C43">
        <f>INDEX(Calculation!$A$1:$D$343,MATCH($A43,Calculation!$A:$A,0),MATCH(C$1,Calculation!$1:$1,0))</f>
        <v>1.286456</v>
      </c>
    </row>
    <row r="44" spans="1:3" x14ac:dyDescent="0.2">
      <c r="A44" t="s">
        <v>86</v>
      </c>
      <c r="B44">
        <f>INDEX(Calculation!$A$1:$D$343,MATCH($A44,Calculation!$A:$A,0),MATCH(B$1,Calculation!$1:$1,0))</f>
        <v>0.60128999999999999</v>
      </c>
      <c r="C44">
        <f>INDEX(Calculation!$A$1:$D$343,MATCH($A44,Calculation!$A:$A,0),MATCH(C$1,Calculation!$1:$1,0))</f>
        <v>1.1535249999999999</v>
      </c>
    </row>
    <row r="45" spans="1:3" x14ac:dyDescent="0.2">
      <c r="A45" t="s">
        <v>88</v>
      </c>
      <c r="B45">
        <f>INDEX(Calculation!$A$1:$D$343,MATCH($A45,Calculation!$A:$A,0),MATCH(B$1,Calculation!$1:$1,0))</f>
        <v>1.4499550000000001</v>
      </c>
      <c r="C45">
        <f>INDEX(Calculation!$A$1:$D$343,MATCH($A45,Calculation!$A:$A,0),MATCH(C$1,Calculation!$1:$1,0))</f>
        <v>1.4445939999999999</v>
      </c>
    </row>
    <row r="46" spans="1:3" x14ac:dyDescent="0.2">
      <c r="A46" t="s">
        <v>90</v>
      </c>
      <c r="B46">
        <f>INDEX(Calculation!$A$1:$D$343,MATCH($A46,Calculation!$A:$A,0),MATCH(B$1,Calculation!$1:$1,0))</f>
        <v>0.87059600000000004</v>
      </c>
      <c r="C46">
        <f>INDEX(Calculation!$A$1:$D$343,MATCH($A46,Calculation!$A:$A,0),MATCH(C$1,Calculation!$1:$1,0))</f>
        <v>0.57528800000000002</v>
      </c>
    </row>
    <row r="47" spans="1:3" x14ac:dyDescent="0.2">
      <c r="A47" t="s">
        <v>92</v>
      </c>
      <c r="B47">
        <f>INDEX(Calculation!$A$1:$D$343,MATCH($A47,Calculation!$A:$A,0),MATCH(B$1,Calculation!$1:$1,0))</f>
        <v>0.97327200000000003</v>
      </c>
      <c r="C47">
        <f>INDEX(Calculation!$A$1:$D$343,MATCH($A47,Calculation!$A:$A,0),MATCH(C$1,Calculation!$1:$1,0))</f>
        <v>1.8721730000000001</v>
      </c>
    </row>
    <row r="48" spans="1:3" x14ac:dyDescent="0.2">
      <c r="A48" t="s">
        <v>94</v>
      </c>
      <c r="B48">
        <f>INDEX(Calculation!$A$1:$D$343,MATCH($A48,Calculation!$A:$A,0),MATCH(B$1,Calculation!$1:$1,0))</f>
        <v>1.2735190000000001</v>
      </c>
      <c r="C48">
        <f>INDEX(Calculation!$A$1:$D$343,MATCH($A48,Calculation!$A:$A,0),MATCH(C$1,Calculation!$1:$1,0))</f>
        <v>1.3954120000000001</v>
      </c>
    </row>
    <row r="49" spans="1:3" x14ac:dyDescent="0.2">
      <c r="A49" t="s">
        <v>96</v>
      </c>
      <c r="B49">
        <f>INDEX(Calculation!$A$1:$D$343,MATCH($A49,Calculation!$A:$A,0),MATCH(B$1,Calculation!$1:$1,0))</f>
        <v>5.3565420000000001</v>
      </c>
      <c r="C49">
        <f>INDEX(Calculation!$A$1:$D$343,MATCH($A49,Calculation!$A:$A,0),MATCH(C$1,Calculation!$1:$1,0))</f>
        <v>6.3727169999999997</v>
      </c>
    </row>
    <row r="50" spans="1:3" x14ac:dyDescent="0.2">
      <c r="A50" t="s">
        <v>98</v>
      </c>
      <c r="B50">
        <f>INDEX(Calculation!$A$1:$D$343,MATCH($A50,Calculation!$A:$A,0),MATCH(B$1,Calculation!$1:$1,0))</f>
        <v>1.9528300000000001</v>
      </c>
      <c r="C50">
        <f>INDEX(Calculation!$A$1:$D$343,MATCH($A50,Calculation!$A:$A,0),MATCH(C$1,Calculation!$1:$1,0))</f>
        <v>2.7365930000000001</v>
      </c>
    </row>
    <row r="51" spans="1:3" x14ac:dyDescent="0.2">
      <c r="A51" t="s">
        <v>100</v>
      </c>
      <c r="B51">
        <f>INDEX(Calculation!$A$1:$D$343,MATCH($A51,Calculation!$A:$A,0),MATCH(B$1,Calculation!$1:$1,0))</f>
        <v>0.79600000000000004</v>
      </c>
      <c r="C51">
        <f>INDEX(Calculation!$A$1:$D$343,MATCH($A51,Calculation!$A:$A,0),MATCH(C$1,Calculation!$1:$1,0))</f>
        <v>1.053072</v>
      </c>
    </row>
    <row r="52" spans="1:3" x14ac:dyDescent="0.2">
      <c r="A52" t="s">
        <v>102</v>
      </c>
      <c r="B52">
        <f>INDEX(Calculation!$A$1:$D$343,MATCH($A52,Calculation!$A:$A,0),MATCH(B$1,Calculation!$1:$1,0))</f>
        <v>1.0228710000000001</v>
      </c>
      <c r="C52">
        <f>INDEX(Calculation!$A$1:$D$343,MATCH($A52,Calculation!$A:$A,0),MATCH(C$1,Calculation!$1:$1,0))</f>
        <v>0.69404900000000003</v>
      </c>
    </row>
    <row r="53" spans="1:3" x14ac:dyDescent="0.2">
      <c r="A53" t="s">
        <v>104</v>
      </c>
      <c r="B53">
        <f>INDEX(Calculation!$A$1:$D$343,MATCH($A53,Calculation!$A:$A,0),MATCH(B$1,Calculation!$1:$1,0))</f>
        <v>0.54278099999999996</v>
      </c>
      <c r="C53">
        <f>INDEX(Calculation!$A$1:$D$343,MATCH($A53,Calculation!$A:$A,0),MATCH(C$1,Calculation!$1:$1,0))</f>
        <v>0.60949200000000003</v>
      </c>
    </row>
    <row r="54" spans="1:3" x14ac:dyDescent="0.2">
      <c r="A54" t="s">
        <v>106</v>
      </c>
      <c r="B54">
        <f>INDEX(Calculation!$A$1:$D$343,MATCH($A54,Calculation!$A:$A,0),MATCH(B$1,Calculation!$1:$1,0))</f>
        <v>0.60326000000000002</v>
      </c>
      <c r="C54">
        <f>INDEX(Calculation!$A$1:$D$343,MATCH($A54,Calculation!$A:$A,0),MATCH(C$1,Calculation!$1:$1,0))</f>
        <v>0.845194</v>
      </c>
    </row>
    <row r="55" spans="1:3" x14ac:dyDescent="0.2">
      <c r="A55" t="s">
        <v>108</v>
      </c>
      <c r="B55">
        <f>INDEX(Calculation!$A$1:$D$343,MATCH($A55,Calculation!$A:$A,0),MATCH(B$1,Calculation!$1:$1,0))</f>
        <v>1.2951239999999999</v>
      </c>
      <c r="C55">
        <f>INDEX(Calculation!$A$1:$D$343,MATCH($A55,Calculation!$A:$A,0),MATCH(C$1,Calculation!$1:$1,0))</f>
        <v>1.5218769999999999</v>
      </c>
    </row>
    <row r="56" spans="1:3" x14ac:dyDescent="0.2">
      <c r="A56" t="s">
        <v>110</v>
      </c>
      <c r="B56">
        <f>INDEX(Calculation!$A$1:$D$343,MATCH($A56,Calculation!$A:$A,0),MATCH(B$1,Calculation!$1:$1,0))</f>
        <v>1.330252</v>
      </c>
      <c r="C56">
        <f>INDEX(Calculation!$A$1:$D$343,MATCH($A56,Calculation!$A:$A,0),MATCH(C$1,Calculation!$1:$1,0))</f>
        <v>0.97237300000000004</v>
      </c>
    </row>
    <row r="57" spans="1:3" x14ac:dyDescent="0.2">
      <c r="A57" t="s">
        <v>112</v>
      </c>
      <c r="B57">
        <f>INDEX(Calculation!$A$1:$D$343,MATCH($A57,Calculation!$A:$A,0),MATCH(B$1,Calculation!$1:$1,0))</f>
        <v>1.250343</v>
      </c>
      <c r="C57">
        <f>INDEX(Calculation!$A$1:$D$343,MATCH($A57,Calculation!$A:$A,0),MATCH(C$1,Calculation!$1:$1,0))</f>
        <v>0.68361700000000003</v>
      </c>
    </row>
    <row r="58" spans="1:3" x14ac:dyDescent="0.2">
      <c r="A58" t="s">
        <v>114</v>
      </c>
      <c r="B58">
        <f>INDEX(Calculation!$A$1:$D$343,MATCH($A58,Calculation!$A:$A,0),MATCH(B$1,Calculation!$1:$1,0))</f>
        <v>1.9593970000000001</v>
      </c>
      <c r="C58">
        <f>INDEX(Calculation!$A$1:$D$343,MATCH($A58,Calculation!$A:$A,0),MATCH(C$1,Calculation!$1:$1,0))</f>
        <v>2.3360880000000002</v>
      </c>
    </row>
    <row r="59" spans="1:3" x14ac:dyDescent="0.2">
      <c r="A59" t="s">
        <v>116</v>
      </c>
      <c r="B59">
        <f>INDEX(Calculation!$A$1:$D$343,MATCH($A59,Calculation!$A:$A,0),MATCH(B$1,Calculation!$1:$1,0))</f>
        <v>0.97482599999999997</v>
      </c>
      <c r="C59">
        <f>INDEX(Calculation!$A$1:$D$343,MATCH($A59,Calculation!$A:$A,0),MATCH(C$1,Calculation!$1:$1,0))</f>
        <v>1.403877</v>
      </c>
    </row>
    <row r="60" spans="1:3" x14ac:dyDescent="0.2">
      <c r="A60" t="s">
        <v>118</v>
      </c>
      <c r="B60">
        <f>INDEX(Calculation!$A$1:$D$343,MATCH($A60,Calculation!$A:$A,0),MATCH(B$1,Calculation!$1:$1,0))</f>
        <v>0.840364</v>
      </c>
      <c r="C60">
        <f>INDEX(Calculation!$A$1:$D$343,MATCH($A60,Calculation!$A:$A,0),MATCH(C$1,Calculation!$1:$1,0))</f>
        <v>1.023649</v>
      </c>
    </row>
    <row r="61" spans="1:3" x14ac:dyDescent="0.2">
      <c r="A61" t="s">
        <v>120</v>
      </c>
      <c r="B61">
        <f>INDEX(Calculation!$A$1:$D$343,MATCH($A61,Calculation!$A:$A,0),MATCH(B$1,Calculation!$1:$1,0))</f>
        <v>1.3850180000000001</v>
      </c>
      <c r="C61">
        <f>INDEX(Calculation!$A$1:$D$343,MATCH($A61,Calculation!$A:$A,0),MATCH(C$1,Calculation!$1:$1,0))</f>
        <v>2.0733739999999998</v>
      </c>
    </row>
    <row r="62" spans="1:3" x14ac:dyDescent="0.2">
      <c r="A62" t="s">
        <v>122</v>
      </c>
      <c r="B62">
        <f>INDEX(Calculation!$A$1:$D$343,MATCH($A62,Calculation!$A:$A,0),MATCH(B$1,Calculation!$1:$1,0))</f>
        <v>0.97819599999999995</v>
      </c>
      <c r="C62">
        <f>INDEX(Calculation!$A$1:$D$343,MATCH($A62,Calculation!$A:$A,0),MATCH(C$1,Calculation!$1:$1,0))</f>
        <v>0.664049</v>
      </c>
    </row>
    <row r="63" spans="1:3" x14ac:dyDescent="0.2">
      <c r="A63" t="s">
        <v>124</v>
      </c>
      <c r="B63">
        <f>INDEX(Calculation!$A$1:$D$343,MATCH($A63,Calculation!$A:$A,0),MATCH(B$1,Calculation!$1:$1,0))</f>
        <v>1.810325</v>
      </c>
      <c r="C63">
        <f>INDEX(Calculation!$A$1:$D$343,MATCH($A63,Calculation!$A:$A,0),MATCH(C$1,Calculation!$1:$1,0))</f>
        <v>1.745903</v>
      </c>
    </row>
    <row r="64" spans="1:3" x14ac:dyDescent="0.2">
      <c r="A64" t="s">
        <v>126</v>
      </c>
      <c r="B64">
        <f>INDEX(Calculation!$A$1:$D$343,MATCH($A64,Calculation!$A:$A,0),MATCH(B$1,Calculation!$1:$1,0))</f>
        <v>1.627183</v>
      </c>
      <c r="C64">
        <f>INDEX(Calculation!$A$1:$D$343,MATCH($A64,Calculation!$A:$A,0),MATCH(C$1,Calculation!$1:$1,0))</f>
        <v>3.1020720000000002</v>
      </c>
    </row>
    <row r="65" spans="1:3" x14ac:dyDescent="0.2">
      <c r="A65" t="s">
        <v>128</v>
      </c>
      <c r="B65">
        <f>INDEX(Calculation!$A$1:$D$343,MATCH($A65,Calculation!$A:$A,0),MATCH(B$1,Calculation!$1:$1,0))</f>
        <v>2.903937</v>
      </c>
      <c r="C65">
        <f>INDEX(Calculation!$A$1:$D$343,MATCH($A65,Calculation!$A:$A,0),MATCH(C$1,Calculation!$1:$1,0))</f>
        <v>3.0898539999999999</v>
      </c>
    </row>
    <row r="66" spans="1:3" x14ac:dyDescent="0.2">
      <c r="A66" t="s">
        <v>130</v>
      </c>
      <c r="B66">
        <f>INDEX(Calculation!$A$1:$D$343,MATCH($A66,Calculation!$A:$A,0),MATCH(B$1,Calculation!$1:$1,0))</f>
        <v>0.56216699999999997</v>
      </c>
      <c r="C66">
        <f>INDEX(Calculation!$A$1:$D$343,MATCH($A66,Calculation!$A:$A,0),MATCH(C$1,Calculation!$1:$1,0))</f>
        <v>0.45743600000000001</v>
      </c>
    </row>
    <row r="67" spans="1:3" x14ac:dyDescent="0.2">
      <c r="A67" t="s">
        <v>132</v>
      </c>
      <c r="B67">
        <f>INDEX(Calculation!$A$1:$D$343,MATCH($A67,Calculation!$A:$A,0),MATCH(B$1,Calculation!$1:$1,0))</f>
        <v>2.673359</v>
      </c>
      <c r="C67">
        <f>INDEX(Calculation!$A$1:$D$343,MATCH($A67,Calculation!$A:$A,0),MATCH(C$1,Calculation!$1:$1,0))</f>
        <v>3.79087</v>
      </c>
    </row>
    <row r="68" spans="1:3" x14ac:dyDescent="0.2">
      <c r="A68" t="s">
        <v>134</v>
      </c>
      <c r="B68">
        <f>INDEX(Calculation!$A$1:$D$343,MATCH($A68,Calculation!$A:$A,0),MATCH(B$1,Calculation!$1:$1,0))</f>
        <v>1.3785240000000001</v>
      </c>
      <c r="C68">
        <f>INDEX(Calculation!$A$1:$D$343,MATCH($A68,Calculation!$A:$A,0),MATCH(C$1,Calculation!$1:$1,0))</f>
        <v>2.2088429999999999</v>
      </c>
    </row>
    <row r="69" spans="1:3" x14ac:dyDescent="0.2">
      <c r="A69" t="s">
        <v>136</v>
      </c>
      <c r="B69">
        <f>INDEX(Calculation!$A$1:$D$343,MATCH($A69,Calculation!$A:$A,0),MATCH(B$1,Calculation!$1:$1,0))</f>
        <v>0.36117500000000002</v>
      </c>
      <c r="C69">
        <f>INDEX(Calculation!$A$1:$D$343,MATCH($A69,Calculation!$A:$A,0),MATCH(C$1,Calculation!$1:$1,0))</f>
        <v>0.26325999999999999</v>
      </c>
    </row>
    <row r="70" spans="1:3" x14ac:dyDescent="0.2">
      <c r="A70" t="s">
        <v>138</v>
      </c>
      <c r="B70">
        <f>INDEX(Calculation!$A$1:$D$343,MATCH($A70,Calculation!$A:$A,0),MATCH(B$1,Calculation!$1:$1,0))</f>
        <v>1.9960960000000001</v>
      </c>
      <c r="C70">
        <f>INDEX(Calculation!$A$1:$D$343,MATCH($A70,Calculation!$A:$A,0),MATCH(C$1,Calculation!$1:$1,0))</f>
        <v>2.4181970000000002</v>
      </c>
    </row>
    <row r="71" spans="1:3" x14ac:dyDescent="0.2">
      <c r="A71" t="s">
        <v>140</v>
      </c>
      <c r="B71">
        <f>INDEX(Calculation!$A$1:$D$343,MATCH($A71,Calculation!$A:$A,0),MATCH(B$1,Calculation!$1:$1,0))</f>
        <v>1.1280399999999999</v>
      </c>
      <c r="C71">
        <f>INDEX(Calculation!$A$1:$D$343,MATCH($A71,Calculation!$A:$A,0),MATCH(C$1,Calculation!$1:$1,0))</f>
        <v>1.5505169999999999</v>
      </c>
    </row>
    <row r="72" spans="1:3" x14ac:dyDescent="0.2">
      <c r="A72" t="s">
        <v>142</v>
      </c>
      <c r="B72">
        <f>INDEX(Calculation!$A$1:$D$343,MATCH($A72,Calculation!$A:$A,0),MATCH(B$1,Calculation!$1:$1,0))</f>
        <v>2.6049980000000001</v>
      </c>
      <c r="C72">
        <f>INDEX(Calculation!$A$1:$D$343,MATCH($A72,Calculation!$A:$A,0),MATCH(C$1,Calculation!$1:$1,0))</f>
        <v>2.8176770000000002</v>
      </c>
    </row>
    <row r="73" spans="1:3" x14ac:dyDescent="0.2">
      <c r="A73" t="s">
        <v>144</v>
      </c>
      <c r="B73">
        <f>INDEX(Calculation!$A$1:$D$343,MATCH($A73,Calculation!$A:$A,0),MATCH(B$1,Calculation!$1:$1,0))</f>
        <v>0.83245000000000002</v>
      </c>
      <c r="C73">
        <f>INDEX(Calculation!$A$1:$D$343,MATCH($A73,Calculation!$A:$A,0),MATCH(C$1,Calculation!$1:$1,0))</f>
        <v>1.4961899999999999</v>
      </c>
    </row>
    <row r="74" spans="1:3" x14ac:dyDescent="0.2">
      <c r="A74" t="s">
        <v>146</v>
      </c>
      <c r="B74">
        <f>INDEX(Calculation!$A$1:$D$343,MATCH($A74,Calculation!$A:$A,0),MATCH(B$1,Calculation!$1:$1,0))</f>
        <v>1.070011</v>
      </c>
      <c r="C74">
        <f>INDEX(Calculation!$A$1:$D$343,MATCH($A74,Calculation!$A:$A,0),MATCH(C$1,Calculation!$1:$1,0))</f>
        <v>2.6500590000000002</v>
      </c>
    </row>
    <row r="75" spans="1:3" x14ac:dyDescent="0.2">
      <c r="A75" t="s">
        <v>148</v>
      </c>
      <c r="B75">
        <f>INDEX(Calculation!$A$1:$D$343,MATCH($A75,Calculation!$A:$A,0),MATCH(B$1,Calculation!$1:$1,0))</f>
        <v>1.4910410000000001</v>
      </c>
      <c r="C75">
        <f>INDEX(Calculation!$A$1:$D$343,MATCH($A75,Calculation!$A:$A,0),MATCH(C$1,Calculation!$1:$1,0))</f>
        <v>2.5313729999999999</v>
      </c>
    </row>
    <row r="76" spans="1:3" x14ac:dyDescent="0.2">
      <c r="A76" t="s">
        <v>150</v>
      </c>
      <c r="B76">
        <f>INDEX(Calculation!$A$1:$D$343,MATCH($A76,Calculation!$A:$A,0),MATCH(B$1,Calculation!$1:$1,0))</f>
        <v>0.74462799999999996</v>
      </c>
      <c r="C76">
        <f>INDEX(Calculation!$A$1:$D$343,MATCH($A76,Calculation!$A:$A,0),MATCH(C$1,Calculation!$1:$1,0))</f>
        <v>0.75660300000000003</v>
      </c>
    </row>
    <row r="77" spans="1:3" x14ac:dyDescent="0.2">
      <c r="A77" t="s">
        <v>152</v>
      </c>
      <c r="B77">
        <f>INDEX(Calculation!$A$1:$D$343,MATCH($A77,Calculation!$A:$A,0),MATCH(B$1,Calculation!$1:$1,0))</f>
        <v>0.88054299999999996</v>
      </c>
      <c r="C77">
        <f>INDEX(Calculation!$A$1:$D$343,MATCH($A77,Calculation!$A:$A,0),MATCH(C$1,Calculation!$1:$1,0))</f>
        <v>1.2677099999999999</v>
      </c>
    </row>
    <row r="78" spans="1:3" x14ac:dyDescent="0.2">
      <c r="A78" t="s">
        <v>154</v>
      </c>
      <c r="B78">
        <f>INDEX(Calculation!$A$1:$D$343,MATCH($A78,Calculation!$A:$A,0),MATCH(B$1,Calculation!$1:$1,0))</f>
        <v>1.6253709999999999</v>
      </c>
      <c r="C78">
        <f>INDEX(Calculation!$A$1:$D$343,MATCH($A78,Calculation!$A:$A,0),MATCH(C$1,Calculation!$1:$1,0))</f>
        <v>1.4373549999999999</v>
      </c>
    </row>
    <row r="79" spans="1:3" x14ac:dyDescent="0.2">
      <c r="A79" t="s">
        <v>156</v>
      </c>
      <c r="B79">
        <f>INDEX(Calculation!$A$1:$D$343,MATCH($A79,Calculation!$A:$A,0),MATCH(B$1,Calculation!$1:$1,0))</f>
        <v>1.2016709999999999</v>
      </c>
      <c r="C79">
        <f>INDEX(Calculation!$A$1:$D$343,MATCH($A79,Calculation!$A:$A,0),MATCH(C$1,Calculation!$1:$1,0))</f>
        <v>0.83431999999999995</v>
      </c>
    </row>
    <row r="80" spans="1:3" x14ac:dyDescent="0.2">
      <c r="A80" t="s">
        <v>158</v>
      </c>
      <c r="B80">
        <f>INDEX(Calculation!$A$1:$D$343,MATCH($A80,Calculation!$A:$A,0),MATCH(B$1,Calculation!$1:$1,0))</f>
        <v>3.6361379999999999</v>
      </c>
      <c r="C80">
        <f>INDEX(Calculation!$A$1:$D$343,MATCH($A80,Calculation!$A:$A,0),MATCH(C$1,Calculation!$1:$1,0))</f>
        <v>5.4615400000000003</v>
      </c>
    </row>
    <row r="81" spans="1:3" x14ac:dyDescent="0.2">
      <c r="A81" t="s">
        <v>160</v>
      </c>
      <c r="B81">
        <f>INDEX(Calculation!$A$1:$D$343,MATCH($A81,Calculation!$A:$A,0),MATCH(B$1,Calculation!$1:$1,0))</f>
        <v>0.32289899999999999</v>
      </c>
      <c r="C81">
        <f>INDEX(Calculation!$A$1:$D$343,MATCH($A81,Calculation!$A:$A,0),MATCH(C$1,Calculation!$1:$1,0))</f>
        <v>0.25486599999999998</v>
      </c>
    </row>
    <row r="82" spans="1:3" x14ac:dyDescent="0.2">
      <c r="A82" t="s">
        <v>162</v>
      </c>
      <c r="B82">
        <f>INDEX(Calculation!$A$1:$D$343,MATCH($A82,Calculation!$A:$A,0),MATCH(B$1,Calculation!$1:$1,0))</f>
        <v>2.5317280000000002</v>
      </c>
      <c r="C82">
        <f>INDEX(Calculation!$A$1:$D$343,MATCH($A82,Calculation!$A:$A,0),MATCH(C$1,Calculation!$1:$1,0))</f>
        <v>2.4023620000000001</v>
      </c>
    </row>
    <row r="83" spans="1:3" x14ac:dyDescent="0.2">
      <c r="A83" t="s">
        <v>164</v>
      </c>
      <c r="B83">
        <f>INDEX(Calculation!$A$1:$D$343,MATCH($A83,Calculation!$A:$A,0),MATCH(B$1,Calculation!$1:$1,0))</f>
        <v>0.98946199999999995</v>
      </c>
      <c r="C83">
        <f>INDEX(Calculation!$A$1:$D$343,MATCH($A83,Calculation!$A:$A,0),MATCH(C$1,Calculation!$1:$1,0))</f>
        <v>1.275687</v>
      </c>
    </row>
    <row r="84" spans="1:3" x14ac:dyDescent="0.2">
      <c r="A84" t="s">
        <v>166</v>
      </c>
      <c r="B84">
        <f>INDEX(Calculation!$A$1:$D$343,MATCH($A84,Calculation!$A:$A,0),MATCH(B$1,Calculation!$1:$1,0))</f>
        <v>1.2954159999999999</v>
      </c>
      <c r="C84">
        <f>INDEX(Calculation!$A$1:$D$343,MATCH($A84,Calculation!$A:$A,0),MATCH(C$1,Calculation!$1:$1,0))</f>
        <v>0.95429600000000003</v>
      </c>
    </row>
    <row r="85" spans="1:3" x14ac:dyDescent="0.2">
      <c r="A85" t="s">
        <v>168</v>
      </c>
      <c r="B85">
        <f>INDEX(Calculation!$A$1:$D$343,MATCH($A85,Calculation!$A:$A,0),MATCH(B$1,Calculation!$1:$1,0))</f>
        <v>6.2585699999999997</v>
      </c>
      <c r="C85">
        <f>INDEX(Calculation!$A$1:$D$343,MATCH($A85,Calculation!$A:$A,0),MATCH(C$1,Calculation!$1:$1,0))</f>
        <v>6.3234519999999996</v>
      </c>
    </row>
    <row r="86" spans="1:3" x14ac:dyDescent="0.2">
      <c r="A86" t="s">
        <v>170</v>
      </c>
      <c r="B86">
        <f>INDEX(Calculation!$A$1:$D$343,MATCH($A86,Calculation!$A:$A,0),MATCH(B$1,Calculation!$1:$1,0))</f>
        <v>0.77285499999999996</v>
      </c>
      <c r="C86">
        <f>INDEX(Calculation!$A$1:$D$343,MATCH($A86,Calculation!$A:$A,0),MATCH(C$1,Calculation!$1:$1,0))</f>
        <v>0.91090000000000004</v>
      </c>
    </row>
    <row r="87" spans="1:3" x14ac:dyDescent="0.2">
      <c r="A87" t="s">
        <v>172</v>
      </c>
      <c r="B87">
        <f>INDEX(Calculation!$A$1:$D$343,MATCH($A87,Calculation!$A:$A,0),MATCH(B$1,Calculation!$1:$1,0))</f>
        <v>4.7586849999999998</v>
      </c>
      <c r="C87">
        <f>INDEX(Calculation!$A$1:$D$343,MATCH($A87,Calculation!$A:$A,0),MATCH(C$1,Calculation!$1:$1,0))</f>
        <v>6.9266779999999999</v>
      </c>
    </row>
    <row r="88" spans="1:3" x14ac:dyDescent="0.2">
      <c r="A88" t="s">
        <v>174</v>
      </c>
      <c r="B88">
        <f>INDEX(Calculation!$A$1:$D$343,MATCH($A88,Calculation!$A:$A,0),MATCH(B$1,Calculation!$1:$1,0))</f>
        <v>0.58261300000000005</v>
      </c>
      <c r="C88">
        <f>INDEX(Calculation!$A$1:$D$343,MATCH($A88,Calculation!$A:$A,0),MATCH(C$1,Calculation!$1:$1,0))</f>
        <v>0.79520299999999999</v>
      </c>
    </row>
    <row r="89" spans="1:3" x14ac:dyDescent="0.2">
      <c r="A89" t="s">
        <v>176</v>
      </c>
      <c r="B89">
        <f>INDEX(Calculation!$A$1:$D$343,MATCH($A89,Calculation!$A:$A,0),MATCH(B$1,Calculation!$1:$1,0))</f>
        <v>4.7601360000000001</v>
      </c>
      <c r="C89">
        <f>INDEX(Calculation!$A$1:$D$343,MATCH($A89,Calculation!$A:$A,0),MATCH(C$1,Calculation!$1:$1,0))</f>
        <v>4.4868600000000001</v>
      </c>
    </row>
    <row r="90" spans="1:3" x14ac:dyDescent="0.2">
      <c r="A90" t="s">
        <v>178</v>
      </c>
      <c r="B90">
        <f>INDEX(Calculation!$A$1:$D$343,MATCH($A90,Calculation!$A:$A,0),MATCH(B$1,Calculation!$1:$1,0))</f>
        <v>1.2974619999999999</v>
      </c>
      <c r="C90">
        <f>INDEX(Calculation!$A$1:$D$343,MATCH($A90,Calculation!$A:$A,0),MATCH(C$1,Calculation!$1:$1,0))</f>
        <v>1.676272</v>
      </c>
    </row>
    <row r="91" spans="1:3" x14ac:dyDescent="0.2">
      <c r="A91" t="s">
        <v>180</v>
      </c>
      <c r="B91">
        <f>INDEX(Calculation!$A$1:$D$343,MATCH($A91,Calculation!$A:$A,0),MATCH(B$1,Calculation!$1:$1,0))</f>
        <v>1.0168489999999999</v>
      </c>
      <c r="C91">
        <f>INDEX(Calculation!$A$1:$D$343,MATCH($A91,Calculation!$A:$A,0),MATCH(C$1,Calculation!$1:$1,0))</f>
        <v>1.3146139999999999</v>
      </c>
    </row>
    <row r="92" spans="1:3" x14ac:dyDescent="0.2">
      <c r="A92" t="s">
        <v>182</v>
      </c>
      <c r="B92">
        <f>INDEX(Calculation!$A$1:$D$343,MATCH($A92,Calculation!$A:$A,0),MATCH(B$1,Calculation!$1:$1,0))</f>
        <v>1.4358390000000001</v>
      </c>
      <c r="C92">
        <f>INDEX(Calculation!$A$1:$D$343,MATCH($A92,Calculation!$A:$A,0),MATCH(C$1,Calculation!$1:$1,0))</f>
        <v>3.027892</v>
      </c>
    </row>
    <row r="93" spans="1:3" x14ac:dyDescent="0.2">
      <c r="A93" t="s">
        <v>184</v>
      </c>
      <c r="B93">
        <f>INDEX(Calculation!$A$1:$D$343,MATCH($A93,Calculation!$A:$A,0),MATCH(B$1,Calculation!$1:$1,0))</f>
        <v>2.9339390000000001</v>
      </c>
      <c r="C93">
        <f>INDEX(Calculation!$A$1:$D$343,MATCH($A93,Calculation!$A:$A,0),MATCH(C$1,Calculation!$1:$1,0))</f>
        <v>2.6128170000000002</v>
      </c>
    </row>
    <row r="94" spans="1:3" x14ac:dyDescent="0.2">
      <c r="A94" t="s">
        <v>186</v>
      </c>
      <c r="B94">
        <f>INDEX(Calculation!$A$1:$D$343,MATCH($A94,Calculation!$A:$A,0),MATCH(B$1,Calculation!$1:$1,0))</f>
        <v>0.71310700000000005</v>
      </c>
      <c r="C94">
        <f>INDEX(Calculation!$A$1:$D$343,MATCH($A94,Calculation!$A:$A,0),MATCH(C$1,Calculation!$1:$1,0))</f>
        <v>1.30769</v>
      </c>
    </row>
    <row r="95" spans="1:3" x14ac:dyDescent="0.2">
      <c r="A95" t="s">
        <v>188</v>
      </c>
      <c r="B95">
        <f>INDEX(Calculation!$A$1:$D$343,MATCH($A95,Calculation!$A:$A,0),MATCH(B$1,Calculation!$1:$1,0))</f>
        <v>1.4053469999999999</v>
      </c>
      <c r="C95">
        <f>INDEX(Calculation!$A$1:$D$343,MATCH($A95,Calculation!$A:$A,0),MATCH(C$1,Calculation!$1:$1,0))</f>
        <v>1.147656</v>
      </c>
    </row>
    <row r="96" spans="1:3" x14ac:dyDescent="0.2">
      <c r="A96" t="s">
        <v>190</v>
      </c>
      <c r="B96">
        <f>INDEX(Calculation!$A$1:$D$343,MATCH($A96,Calculation!$A:$A,0),MATCH(B$1,Calculation!$1:$1,0))</f>
        <v>1.4900249999999999</v>
      </c>
      <c r="C96">
        <f>INDEX(Calculation!$A$1:$D$343,MATCH($A96,Calculation!$A:$A,0),MATCH(C$1,Calculation!$1:$1,0))</f>
        <v>2.5846710000000002</v>
      </c>
    </row>
    <row r="97" spans="1:3" x14ac:dyDescent="0.2">
      <c r="A97" t="s">
        <v>192</v>
      </c>
      <c r="B97">
        <f>INDEX(Calculation!$A$1:$D$343,MATCH($A97,Calculation!$A:$A,0),MATCH(B$1,Calculation!$1:$1,0))</f>
        <v>0.73277400000000004</v>
      </c>
      <c r="C97">
        <f>INDEX(Calculation!$A$1:$D$343,MATCH($A97,Calculation!$A:$A,0),MATCH(C$1,Calculation!$1:$1,0))</f>
        <v>1.1515010000000001</v>
      </c>
    </row>
    <row r="98" spans="1:3" x14ac:dyDescent="0.2">
      <c r="A98" t="s">
        <v>194</v>
      </c>
      <c r="B98">
        <f>INDEX(Calculation!$A$1:$D$343,MATCH($A98,Calculation!$A:$A,0),MATCH(B$1,Calculation!$1:$1,0))</f>
        <v>0.98999400000000004</v>
      </c>
      <c r="C98">
        <f>INDEX(Calculation!$A$1:$D$343,MATCH($A98,Calculation!$A:$A,0),MATCH(C$1,Calculation!$1:$1,0))</f>
        <v>1.630209</v>
      </c>
    </row>
    <row r="99" spans="1:3" x14ac:dyDescent="0.2">
      <c r="A99" t="s">
        <v>196</v>
      </c>
      <c r="B99">
        <f>INDEX(Calculation!$A$1:$D$343,MATCH($A99,Calculation!$A:$A,0),MATCH(B$1,Calculation!$1:$1,0))</f>
        <v>1.86798</v>
      </c>
      <c r="C99">
        <f>INDEX(Calculation!$A$1:$D$343,MATCH($A99,Calculation!$A:$A,0),MATCH(C$1,Calculation!$1:$1,0))</f>
        <v>2.70871</v>
      </c>
    </row>
    <row r="100" spans="1:3" x14ac:dyDescent="0.2">
      <c r="A100" t="s">
        <v>198</v>
      </c>
      <c r="B100">
        <f>INDEX(Calculation!$A$1:$D$343,MATCH($A100,Calculation!$A:$A,0),MATCH(B$1,Calculation!$1:$1,0))</f>
        <v>1.348652</v>
      </c>
      <c r="C100">
        <f>INDEX(Calculation!$A$1:$D$343,MATCH($A100,Calculation!$A:$A,0),MATCH(C$1,Calculation!$1:$1,0))</f>
        <v>1.380722</v>
      </c>
    </row>
    <row r="101" spans="1:3" x14ac:dyDescent="0.2">
      <c r="A101" t="s">
        <v>200</v>
      </c>
      <c r="B101">
        <f>INDEX(Calculation!$A$1:$D$343,MATCH($A101,Calculation!$A:$A,0),MATCH(B$1,Calculation!$1:$1,0))</f>
        <v>0.91234899999999997</v>
      </c>
      <c r="C101">
        <f>INDEX(Calculation!$A$1:$D$343,MATCH($A101,Calculation!$A:$A,0),MATCH(C$1,Calculation!$1:$1,0))</f>
        <v>0.78710100000000005</v>
      </c>
    </row>
    <row r="102" spans="1:3" x14ac:dyDescent="0.2">
      <c r="A102" t="s">
        <v>202</v>
      </c>
      <c r="B102">
        <f>INDEX(Calculation!$A$1:$D$343,MATCH($A102,Calculation!$A:$A,0),MATCH(B$1,Calculation!$1:$1,0))</f>
        <v>1.724145</v>
      </c>
      <c r="C102">
        <f>INDEX(Calculation!$A$1:$D$343,MATCH($A102,Calculation!$A:$A,0),MATCH(C$1,Calculation!$1:$1,0))</f>
        <v>1.009728</v>
      </c>
    </row>
    <row r="103" spans="1:3" x14ac:dyDescent="0.2">
      <c r="A103" t="s">
        <v>204</v>
      </c>
      <c r="B103">
        <f>INDEX(Calculation!$A$1:$D$343,MATCH($A103,Calculation!$A:$A,0),MATCH(B$1,Calculation!$1:$1,0))</f>
        <v>0.873332</v>
      </c>
      <c r="C103">
        <f>INDEX(Calculation!$A$1:$D$343,MATCH($A103,Calculation!$A:$A,0),MATCH(C$1,Calculation!$1:$1,0))</f>
        <v>1.153151</v>
      </c>
    </row>
    <row r="104" spans="1:3" x14ac:dyDescent="0.2">
      <c r="A104" t="s">
        <v>206</v>
      </c>
      <c r="B104">
        <f>INDEX(Calculation!$A$1:$D$343,MATCH($A104,Calculation!$A:$A,0),MATCH(B$1,Calculation!$1:$1,0))</f>
        <v>1.6049819999999999</v>
      </c>
      <c r="C104">
        <f>INDEX(Calculation!$A$1:$D$343,MATCH($A104,Calculation!$A:$A,0),MATCH(C$1,Calculation!$1:$1,0))</f>
        <v>1.1805140000000001</v>
      </c>
    </row>
    <row r="105" spans="1:3" x14ac:dyDescent="0.2">
      <c r="A105" t="s">
        <v>208</v>
      </c>
      <c r="B105">
        <f>INDEX(Calculation!$A$1:$D$343,MATCH($A105,Calculation!$A:$A,0),MATCH(B$1,Calculation!$1:$1,0))</f>
        <v>9.800414</v>
      </c>
      <c r="C105">
        <f>INDEX(Calculation!$A$1:$D$343,MATCH($A105,Calculation!$A:$A,0),MATCH(C$1,Calculation!$1:$1,0))</f>
        <v>5.9363619999999999</v>
      </c>
    </row>
    <row r="106" spans="1:3" x14ac:dyDescent="0.2">
      <c r="A106" t="s">
        <v>210</v>
      </c>
      <c r="B106">
        <f>INDEX(Calculation!$A$1:$D$343,MATCH($A106,Calculation!$A:$A,0),MATCH(B$1,Calculation!$1:$1,0))</f>
        <v>5.9141069999999996</v>
      </c>
      <c r="C106">
        <f>INDEX(Calculation!$A$1:$D$343,MATCH($A106,Calculation!$A:$A,0),MATCH(C$1,Calculation!$1:$1,0))</f>
        <v>4.6800750000000004</v>
      </c>
    </row>
    <row r="107" spans="1:3" x14ac:dyDescent="0.2">
      <c r="A107" t="s">
        <v>212</v>
      </c>
      <c r="B107">
        <f>INDEX(Calculation!$A$1:$D$343,MATCH($A107,Calculation!$A:$A,0),MATCH(B$1,Calculation!$1:$1,0))</f>
        <v>0.74612699999999998</v>
      </c>
      <c r="C107">
        <f>INDEX(Calculation!$A$1:$D$343,MATCH($A107,Calculation!$A:$A,0),MATCH(C$1,Calculation!$1:$1,0))</f>
        <v>0.46332499999999999</v>
      </c>
    </row>
    <row r="108" spans="1:3" x14ac:dyDescent="0.2">
      <c r="A108" t="s">
        <v>214</v>
      </c>
      <c r="B108">
        <f>INDEX(Calculation!$A$1:$D$343,MATCH($A108,Calculation!$A:$A,0),MATCH(B$1,Calculation!$1:$1,0))</f>
        <v>1.0136069999999999</v>
      </c>
      <c r="C108">
        <f>INDEX(Calculation!$A$1:$D$343,MATCH($A108,Calculation!$A:$A,0),MATCH(C$1,Calculation!$1:$1,0))</f>
        <v>1.55369</v>
      </c>
    </row>
    <row r="109" spans="1:3" x14ac:dyDescent="0.2">
      <c r="A109" t="s">
        <v>216</v>
      </c>
      <c r="B109">
        <f>INDEX(Calculation!$A$1:$D$343,MATCH($A109,Calculation!$A:$A,0),MATCH(B$1,Calculation!$1:$1,0))</f>
        <v>3.6299160000000001</v>
      </c>
      <c r="C109">
        <f>INDEX(Calculation!$A$1:$D$343,MATCH($A109,Calculation!$A:$A,0),MATCH(C$1,Calculation!$1:$1,0))</f>
        <v>2.3985280000000002</v>
      </c>
    </row>
    <row r="110" spans="1:3" x14ac:dyDescent="0.2">
      <c r="A110" t="s">
        <v>218</v>
      </c>
      <c r="B110">
        <f>INDEX(Calculation!$A$1:$D$343,MATCH($A110,Calculation!$A:$A,0),MATCH(B$1,Calculation!$1:$1,0))</f>
        <v>4.3459820000000002</v>
      </c>
      <c r="C110">
        <f>INDEX(Calculation!$A$1:$D$343,MATCH($A110,Calculation!$A:$A,0),MATCH(C$1,Calculation!$1:$1,0))</f>
        <v>8.1223329999999994</v>
      </c>
    </row>
    <row r="111" spans="1:3" x14ac:dyDescent="0.2">
      <c r="A111" t="s">
        <v>220</v>
      </c>
      <c r="B111">
        <f>INDEX(Calculation!$A$1:$D$343,MATCH($A111,Calculation!$A:$A,0),MATCH(B$1,Calculation!$1:$1,0))</f>
        <v>1.3017570000000001</v>
      </c>
      <c r="C111">
        <f>INDEX(Calculation!$A$1:$D$343,MATCH($A111,Calculation!$A:$A,0),MATCH(C$1,Calculation!$1:$1,0))</f>
        <v>2.0892460000000002</v>
      </c>
    </row>
    <row r="112" spans="1:3" x14ac:dyDescent="0.2">
      <c r="A112" t="s">
        <v>222</v>
      </c>
      <c r="B112">
        <f>INDEX(Calculation!$A$1:$D$343,MATCH($A112,Calculation!$A:$A,0),MATCH(B$1,Calculation!$1:$1,0))</f>
        <v>2.622064</v>
      </c>
      <c r="C112">
        <f>INDEX(Calculation!$A$1:$D$343,MATCH($A112,Calculation!$A:$A,0),MATCH(C$1,Calculation!$1:$1,0))</f>
        <v>4.0289060000000001</v>
      </c>
    </row>
    <row r="113" spans="1:3" x14ac:dyDescent="0.2">
      <c r="A113" t="s">
        <v>224</v>
      </c>
      <c r="B113">
        <f>INDEX(Calculation!$A$1:$D$343,MATCH($A113,Calculation!$A:$A,0),MATCH(B$1,Calculation!$1:$1,0))</f>
        <v>1.344503</v>
      </c>
      <c r="C113">
        <f>INDEX(Calculation!$A$1:$D$343,MATCH($A113,Calculation!$A:$A,0),MATCH(C$1,Calculation!$1:$1,0))</f>
        <v>1.524939</v>
      </c>
    </row>
    <row r="114" spans="1:3" x14ac:dyDescent="0.2">
      <c r="A114" t="s">
        <v>226</v>
      </c>
      <c r="B114">
        <f>INDEX(Calculation!$A$1:$D$343,MATCH($A114,Calculation!$A:$A,0),MATCH(B$1,Calculation!$1:$1,0))</f>
        <v>0.50745399999999996</v>
      </c>
      <c r="C114">
        <f>INDEX(Calculation!$A$1:$D$343,MATCH($A114,Calculation!$A:$A,0),MATCH(C$1,Calculation!$1:$1,0))</f>
        <v>0.60350199999999998</v>
      </c>
    </row>
    <row r="115" spans="1:3" x14ac:dyDescent="0.2">
      <c r="A115" t="s">
        <v>228</v>
      </c>
      <c r="B115">
        <f>INDEX(Calculation!$A$1:$D$343,MATCH($A115,Calculation!$A:$A,0),MATCH(B$1,Calculation!$1:$1,0))</f>
        <v>0.59136500000000003</v>
      </c>
      <c r="C115">
        <f>INDEX(Calculation!$A$1:$D$343,MATCH($A115,Calculation!$A:$A,0),MATCH(C$1,Calculation!$1:$1,0))</f>
        <v>0.66145500000000002</v>
      </c>
    </row>
    <row r="116" spans="1:3" x14ac:dyDescent="0.2">
      <c r="A116" t="s">
        <v>230</v>
      </c>
      <c r="B116">
        <f>INDEX(Calculation!$A$1:$D$343,MATCH($A116,Calculation!$A:$A,0),MATCH(B$1,Calculation!$1:$1,0))</f>
        <v>0.46233999999999997</v>
      </c>
      <c r="C116">
        <f>INDEX(Calculation!$A$1:$D$343,MATCH($A116,Calculation!$A:$A,0),MATCH(C$1,Calculation!$1:$1,0))</f>
        <v>0.32574599999999998</v>
      </c>
    </row>
    <row r="117" spans="1:3" x14ac:dyDescent="0.2">
      <c r="A117" t="s">
        <v>232</v>
      </c>
      <c r="B117">
        <f>INDEX(Calculation!$A$1:$D$343,MATCH($A117,Calculation!$A:$A,0),MATCH(B$1,Calculation!$1:$1,0))</f>
        <v>1.0384500000000001</v>
      </c>
      <c r="C117">
        <f>INDEX(Calculation!$A$1:$D$343,MATCH($A117,Calculation!$A:$A,0),MATCH(C$1,Calculation!$1:$1,0))</f>
        <v>0.86505299999999996</v>
      </c>
    </row>
    <row r="118" spans="1:3" x14ac:dyDescent="0.2">
      <c r="A118" t="s">
        <v>234</v>
      </c>
      <c r="B118">
        <f>INDEX(Calculation!$A$1:$D$343,MATCH($A118,Calculation!$A:$A,0),MATCH(B$1,Calculation!$1:$1,0))</f>
        <v>0.83099999999999996</v>
      </c>
      <c r="C118">
        <f>INDEX(Calculation!$A$1:$D$343,MATCH($A118,Calculation!$A:$A,0),MATCH(C$1,Calculation!$1:$1,0))</f>
        <v>0.40239399999999997</v>
      </c>
    </row>
    <row r="119" spans="1:3" x14ac:dyDescent="0.2">
      <c r="A119" t="s">
        <v>236</v>
      </c>
      <c r="B119">
        <f>INDEX(Calculation!$A$1:$D$343,MATCH($A119,Calculation!$A:$A,0),MATCH(B$1,Calculation!$1:$1,0))</f>
        <v>0.75131199999999998</v>
      </c>
      <c r="C119">
        <f>INDEX(Calculation!$A$1:$D$343,MATCH($A119,Calculation!$A:$A,0),MATCH(C$1,Calculation!$1:$1,0))</f>
        <v>0.87812800000000002</v>
      </c>
    </row>
    <row r="120" spans="1:3" x14ac:dyDescent="0.2">
      <c r="A120" t="s">
        <v>238</v>
      </c>
      <c r="B120">
        <f>INDEX(Calculation!$A$1:$D$343,MATCH($A120,Calculation!$A:$A,0),MATCH(B$1,Calculation!$1:$1,0))</f>
        <v>2.2902719999999999</v>
      </c>
      <c r="C120">
        <f>INDEX(Calculation!$A$1:$D$343,MATCH($A120,Calculation!$A:$A,0),MATCH(C$1,Calculation!$1:$1,0))</f>
        <v>2.3601809999999999</v>
      </c>
    </row>
    <row r="121" spans="1:3" x14ac:dyDescent="0.2">
      <c r="A121" t="s">
        <v>240</v>
      </c>
      <c r="B121">
        <f>INDEX(Calculation!$A$1:$D$343,MATCH($A121,Calculation!$A:$A,0),MATCH(B$1,Calculation!$1:$1,0))</f>
        <v>2.74654</v>
      </c>
      <c r="C121">
        <f>INDEX(Calculation!$A$1:$D$343,MATCH($A121,Calculation!$A:$A,0),MATCH(C$1,Calculation!$1:$1,0))</f>
        <v>2.5264630000000001</v>
      </c>
    </row>
    <row r="122" spans="1:3" x14ac:dyDescent="0.2">
      <c r="A122" t="s">
        <v>242</v>
      </c>
      <c r="B122">
        <f>INDEX(Calculation!$A$1:$D$343,MATCH($A122,Calculation!$A:$A,0),MATCH(B$1,Calculation!$1:$1,0))</f>
        <v>0.81258799999999998</v>
      </c>
      <c r="C122">
        <f>INDEX(Calculation!$A$1:$D$343,MATCH($A122,Calculation!$A:$A,0),MATCH(C$1,Calculation!$1:$1,0))</f>
        <v>0.97178299999999995</v>
      </c>
    </row>
    <row r="123" spans="1:3" x14ac:dyDescent="0.2">
      <c r="A123" t="s">
        <v>244</v>
      </c>
      <c r="B123">
        <f>INDEX(Calculation!$A$1:$D$343,MATCH($A123,Calculation!$A:$A,0),MATCH(B$1,Calculation!$1:$1,0))</f>
        <v>0.808728</v>
      </c>
      <c r="C123">
        <f>INDEX(Calculation!$A$1:$D$343,MATCH($A123,Calculation!$A:$A,0),MATCH(C$1,Calculation!$1:$1,0))</f>
        <v>0.47938500000000001</v>
      </c>
    </row>
    <row r="124" spans="1:3" x14ac:dyDescent="0.2">
      <c r="A124" t="s">
        <v>246</v>
      </c>
      <c r="B124">
        <f>INDEX(Calculation!$A$1:$D$343,MATCH($A124,Calculation!$A:$A,0),MATCH(B$1,Calculation!$1:$1,0))</f>
        <v>1.734834</v>
      </c>
      <c r="C124">
        <f>INDEX(Calculation!$A$1:$D$343,MATCH($A124,Calculation!$A:$A,0),MATCH(C$1,Calculation!$1:$1,0))</f>
        <v>1.62707</v>
      </c>
    </row>
    <row r="125" spans="1:3" x14ac:dyDescent="0.2">
      <c r="A125" t="s">
        <v>248</v>
      </c>
      <c r="B125">
        <f>INDEX(Calculation!$A$1:$D$343,MATCH($A125,Calculation!$A:$A,0),MATCH(B$1,Calculation!$1:$1,0))</f>
        <v>1.3979029999999999</v>
      </c>
      <c r="C125">
        <f>INDEX(Calculation!$A$1:$D$343,MATCH($A125,Calculation!$A:$A,0),MATCH(C$1,Calculation!$1:$1,0))</f>
        <v>1.902855</v>
      </c>
    </row>
    <row r="126" spans="1:3" x14ac:dyDescent="0.2">
      <c r="A126" t="s">
        <v>250</v>
      </c>
      <c r="B126">
        <f>INDEX(Calculation!$A$1:$D$343,MATCH($A126,Calculation!$A:$A,0),MATCH(B$1,Calculation!$1:$1,0))</f>
        <v>2.8999619999999999</v>
      </c>
      <c r="C126">
        <f>INDEX(Calculation!$A$1:$D$343,MATCH($A126,Calculation!$A:$A,0),MATCH(C$1,Calculation!$1:$1,0))</f>
        <v>3.3496489999999999</v>
      </c>
    </row>
    <row r="127" spans="1:3" x14ac:dyDescent="0.2">
      <c r="A127" t="s">
        <v>252</v>
      </c>
      <c r="B127">
        <f>INDEX(Calculation!$A$1:$D$343,MATCH($A127,Calculation!$A:$A,0),MATCH(B$1,Calculation!$1:$1,0))</f>
        <v>0.72286899999999998</v>
      </c>
      <c r="C127">
        <f>INDEX(Calculation!$A$1:$D$343,MATCH($A127,Calculation!$A:$A,0),MATCH(C$1,Calculation!$1:$1,0))</f>
        <v>0.65250399999999997</v>
      </c>
    </row>
    <row r="128" spans="1:3" x14ac:dyDescent="0.2">
      <c r="A128" t="s">
        <v>254</v>
      </c>
      <c r="B128">
        <f>INDEX(Calculation!$A$1:$D$343,MATCH($A128,Calculation!$A:$A,0),MATCH(B$1,Calculation!$1:$1,0))</f>
        <v>2.6613540000000002</v>
      </c>
      <c r="C128">
        <f>INDEX(Calculation!$A$1:$D$343,MATCH($A128,Calculation!$A:$A,0),MATCH(C$1,Calculation!$1:$1,0))</f>
        <v>2.6773920000000002</v>
      </c>
    </row>
    <row r="129" spans="1:3" x14ac:dyDescent="0.2">
      <c r="A129" t="s">
        <v>256</v>
      </c>
      <c r="B129">
        <f>INDEX(Calculation!$A$1:$D$343,MATCH($A129,Calculation!$A:$A,0),MATCH(B$1,Calculation!$1:$1,0))</f>
        <v>4.6411930000000003</v>
      </c>
      <c r="C129">
        <f>INDEX(Calculation!$A$1:$D$343,MATCH($A129,Calculation!$A:$A,0),MATCH(C$1,Calculation!$1:$1,0))</f>
        <v>4.2446020000000004</v>
      </c>
    </row>
    <row r="130" spans="1:3" x14ac:dyDescent="0.2">
      <c r="A130" t="s">
        <v>258</v>
      </c>
      <c r="B130">
        <f>INDEX(Calculation!$A$1:$D$343,MATCH($A130,Calculation!$A:$A,0),MATCH(B$1,Calculation!$1:$1,0))</f>
        <v>0.68394699999999997</v>
      </c>
      <c r="C130">
        <f>INDEX(Calculation!$A$1:$D$343,MATCH($A130,Calculation!$A:$A,0),MATCH(C$1,Calculation!$1:$1,0))</f>
        <v>0.60572400000000004</v>
      </c>
    </row>
    <row r="131" spans="1:3" x14ac:dyDescent="0.2">
      <c r="A131" t="s">
        <v>260</v>
      </c>
      <c r="B131">
        <f>INDEX(Calculation!$A$1:$D$343,MATCH($A131,Calculation!$A:$A,0),MATCH(B$1,Calculation!$1:$1,0))</f>
        <v>1.7330669999999999</v>
      </c>
      <c r="C131">
        <f>INDEX(Calculation!$A$1:$D$343,MATCH($A131,Calculation!$A:$A,0),MATCH(C$1,Calculation!$1:$1,0))</f>
        <v>2.7480349999999998</v>
      </c>
    </row>
    <row r="132" spans="1:3" x14ac:dyDescent="0.2">
      <c r="A132" t="s">
        <v>262</v>
      </c>
      <c r="B132">
        <f>INDEX(Calculation!$A$1:$D$343,MATCH($A132,Calculation!$A:$A,0),MATCH(B$1,Calculation!$1:$1,0))</f>
        <v>0.63271699999999997</v>
      </c>
      <c r="C132">
        <f>INDEX(Calculation!$A$1:$D$343,MATCH($A132,Calculation!$A:$A,0),MATCH(C$1,Calculation!$1:$1,0))</f>
        <v>0.84483399999999997</v>
      </c>
    </row>
    <row r="133" spans="1:3" x14ac:dyDescent="0.2">
      <c r="A133" t="s">
        <v>264</v>
      </c>
      <c r="B133">
        <f>INDEX(Calculation!$A$1:$D$343,MATCH($A133,Calculation!$A:$A,0),MATCH(B$1,Calculation!$1:$1,0))</f>
        <v>0.819415</v>
      </c>
      <c r="C133">
        <f>INDEX(Calculation!$A$1:$D$343,MATCH($A133,Calculation!$A:$A,0),MATCH(C$1,Calculation!$1:$1,0))</f>
        <v>1.3319700000000001</v>
      </c>
    </row>
    <row r="134" spans="1:3" x14ac:dyDescent="0.2">
      <c r="A134" t="s">
        <v>266</v>
      </c>
      <c r="B134">
        <f>INDEX(Calculation!$A$1:$D$343,MATCH($A134,Calculation!$A:$A,0),MATCH(B$1,Calculation!$1:$1,0))</f>
        <v>2.3548589999999998</v>
      </c>
      <c r="C134">
        <f>INDEX(Calculation!$A$1:$D$343,MATCH($A134,Calculation!$A:$A,0),MATCH(C$1,Calculation!$1:$1,0))</f>
        <v>1.6982870000000001</v>
      </c>
    </row>
    <row r="135" spans="1:3" x14ac:dyDescent="0.2">
      <c r="A135" t="s">
        <v>268</v>
      </c>
      <c r="B135">
        <f>INDEX(Calculation!$A$1:$D$343,MATCH($A135,Calculation!$A:$A,0),MATCH(B$1,Calculation!$1:$1,0))</f>
        <v>3.0087890000000002</v>
      </c>
      <c r="C135">
        <f>INDEX(Calculation!$A$1:$D$343,MATCH($A135,Calculation!$A:$A,0),MATCH(C$1,Calculation!$1:$1,0))</f>
        <v>3.6596000000000002</v>
      </c>
    </row>
    <row r="136" spans="1:3" x14ac:dyDescent="0.2">
      <c r="A136" t="s">
        <v>270</v>
      </c>
      <c r="B136">
        <f>INDEX(Calculation!$A$1:$D$343,MATCH($A136,Calculation!$A:$A,0),MATCH(B$1,Calculation!$1:$1,0))</f>
        <v>1.5890629999999999</v>
      </c>
      <c r="C136">
        <f>INDEX(Calculation!$A$1:$D$343,MATCH($A136,Calculation!$A:$A,0),MATCH(C$1,Calculation!$1:$1,0))</f>
        <v>3.002939</v>
      </c>
    </row>
    <row r="137" spans="1:3" x14ac:dyDescent="0.2">
      <c r="A137" t="s">
        <v>272</v>
      </c>
      <c r="B137">
        <f>INDEX(Calculation!$A$1:$D$343,MATCH($A137,Calculation!$A:$A,0),MATCH(B$1,Calculation!$1:$1,0))</f>
        <v>3.2957049999999999</v>
      </c>
      <c r="C137">
        <f>INDEX(Calculation!$A$1:$D$343,MATCH($A137,Calculation!$A:$A,0),MATCH(C$1,Calculation!$1:$1,0))</f>
        <v>2.9930219999999998</v>
      </c>
    </row>
    <row r="138" spans="1:3" x14ac:dyDescent="0.2">
      <c r="A138" t="s">
        <v>274</v>
      </c>
      <c r="B138">
        <f>INDEX(Calculation!$A$1:$D$343,MATCH($A138,Calculation!$A:$A,0),MATCH(B$1,Calculation!$1:$1,0))</f>
        <v>2.4122300000000001</v>
      </c>
      <c r="C138">
        <f>INDEX(Calculation!$A$1:$D$343,MATCH($A138,Calculation!$A:$A,0),MATCH(C$1,Calculation!$1:$1,0))</f>
        <v>7.539034</v>
      </c>
    </row>
    <row r="139" spans="1:3" x14ac:dyDescent="0.2">
      <c r="A139" t="s">
        <v>276</v>
      </c>
      <c r="B139">
        <f>INDEX(Calculation!$A$1:$D$343,MATCH($A139,Calculation!$A:$A,0),MATCH(B$1,Calculation!$1:$1,0))</f>
        <v>2.114922</v>
      </c>
      <c r="C139">
        <f>INDEX(Calculation!$A$1:$D$343,MATCH($A139,Calculation!$A:$A,0),MATCH(C$1,Calculation!$1:$1,0))</f>
        <v>2.4113889999999998</v>
      </c>
    </row>
    <row r="140" spans="1:3" x14ac:dyDescent="0.2">
      <c r="A140" t="s">
        <v>278</v>
      </c>
      <c r="B140">
        <f>INDEX(Calculation!$A$1:$D$343,MATCH($A140,Calculation!$A:$A,0),MATCH(B$1,Calculation!$1:$1,0))</f>
        <v>2.0069970000000001</v>
      </c>
      <c r="C140">
        <f>INDEX(Calculation!$A$1:$D$343,MATCH($A140,Calculation!$A:$A,0),MATCH(C$1,Calculation!$1:$1,0))</f>
        <v>1.4918009999999999</v>
      </c>
    </row>
    <row r="141" spans="1:3" x14ac:dyDescent="0.2">
      <c r="A141" t="s">
        <v>280</v>
      </c>
      <c r="B141">
        <f>INDEX(Calculation!$A$1:$D$343,MATCH($A141,Calculation!$A:$A,0),MATCH(B$1,Calculation!$1:$1,0))</f>
        <v>2.2922129999999998</v>
      </c>
      <c r="C141">
        <f>INDEX(Calculation!$A$1:$D$343,MATCH($A141,Calculation!$A:$A,0),MATCH(C$1,Calculation!$1:$1,0))</f>
        <v>7.16927</v>
      </c>
    </row>
    <row r="142" spans="1:3" x14ac:dyDescent="0.2">
      <c r="A142" t="s">
        <v>282</v>
      </c>
      <c r="B142">
        <f>INDEX(Calculation!$A$1:$D$343,MATCH($A142,Calculation!$A:$A,0),MATCH(B$1,Calculation!$1:$1,0))</f>
        <v>1.4442349999999999</v>
      </c>
      <c r="C142">
        <f>INDEX(Calculation!$A$1:$D$343,MATCH($A142,Calculation!$A:$A,0),MATCH(C$1,Calculation!$1:$1,0))</f>
        <v>1.449055</v>
      </c>
    </row>
    <row r="143" spans="1:3" x14ac:dyDescent="0.2">
      <c r="A143" t="s">
        <v>284</v>
      </c>
      <c r="B143">
        <f>INDEX(Calculation!$A$1:$D$343,MATCH($A143,Calculation!$A:$A,0),MATCH(B$1,Calculation!$1:$1,0))</f>
        <v>1.1802060000000001</v>
      </c>
      <c r="C143">
        <f>INDEX(Calculation!$A$1:$D$343,MATCH($A143,Calculation!$A:$A,0),MATCH(C$1,Calculation!$1:$1,0))</f>
        <v>0.526335</v>
      </c>
    </row>
    <row r="144" spans="1:3" x14ac:dyDescent="0.2">
      <c r="A144" t="s">
        <v>286</v>
      </c>
      <c r="B144">
        <f>INDEX(Calculation!$A$1:$D$343,MATCH($A144,Calculation!$A:$A,0),MATCH(B$1,Calculation!$1:$1,0))</f>
        <v>1.3392189999999999</v>
      </c>
      <c r="C144">
        <f>INDEX(Calculation!$A$1:$D$343,MATCH($A144,Calculation!$A:$A,0),MATCH(C$1,Calculation!$1:$1,0))</f>
        <v>1.5802099999999999</v>
      </c>
    </row>
    <row r="145" spans="1:3" x14ac:dyDescent="0.2">
      <c r="A145" t="s">
        <v>288</v>
      </c>
      <c r="B145">
        <f>INDEX(Calculation!$A$1:$D$343,MATCH($A145,Calculation!$A:$A,0),MATCH(B$1,Calculation!$1:$1,0))</f>
        <v>0.90505400000000003</v>
      </c>
      <c r="C145">
        <f>INDEX(Calculation!$A$1:$D$343,MATCH($A145,Calculation!$A:$A,0),MATCH(C$1,Calculation!$1:$1,0))</f>
        <v>0.622776</v>
      </c>
    </row>
    <row r="146" spans="1:3" x14ac:dyDescent="0.2">
      <c r="A146" t="s">
        <v>290</v>
      </c>
      <c r="B146">
        <f>INDEX(Calculation!$A$1:$D$343,MATCH($A146,Calculation!$A:$A,0),MATCH(B$1,Calculation!$1:$1,0))</f>
        <v>1.0117510000000001</v>
      </c>
      <c r="C146">
        <f>INDEX(Calculation!$A$1:$D$343,MATCH($A146,Calculation!$A:$A,0),MATCH(C$1,Calculation!$1:$1,0))</f>
        <v>2.1929720000000001</v>
      </c>
    </row>
    <row r="147" spans="1:3" x14ac:dyDescent="0.2">
      <c r="A147" t="s">
        <v>292</v>
      </c>
      <c r="B147">
        <f>INDEX(Calculation!$A$1:$D$343,MATCH($A147,Calculation!$A:$A,0),MATCH(B$1,Calculation!$1:$1,0))</f>
        <v>1.799342</v>
      </c>
      <c r="C147">
        <f>INDEX(Calculation!$A$1:$D$343,MATCH($A147,Calculation!$A:$A,0),MATCH(C$1,Calculation!$1:$1,0))</f>
        <v>3.087253</v>
      </c>
    </row>
    <row r="148" spans="1:3" x14ac:dyDescent="0.2">
      <c r="A148" t="s">
        <v>294</v>
      </c>
      <c r="B148">
        <f>INDEX(Calculation!$A$1:$D$343,MATCH($A148,Calculation!$A:$A,0),MATCH(B$1,Calculation!$1:$1,0))</f>
        <v>0.48567900000000003</v>
      </c>
      <c r="C148">
        <f>INDEX(Calculation!$A$1:$D$343,MATCH($A148,Calculation!$A:$A,0),MATCH(C$1,Calculation!$1:$1,0))</f>
        <v>1.4305589999999999</v>
      </c>
    </row>
    <row r="149" spans="1:3" x14ac:dyDescent="0.2">
      <c r="A149" t="s">
        <v>296</v>
      </c>
      <c r="B149">
        <f>INDEX(Calculation!$A$1:$D$343,MATCH($A149,Calculation!$A:$A,0),MATCH(B$1,Calculation!$1:$1,0))</f>
        <v>1.548098</v>
      </c>
      <c r="C149">
        <f>INDEX(Calculation!$A$1:$D$343,MATCH($A149,Calculation!$A:$A,0),MATCH(C$1,Calculation!$1:$1,0))</f>
        <v>2.374806</v>
      </c>
    </row>
    <row r="150" spans="1:3" x14ac:dyDescent="0.2">
      <c r="A150" t="s">
        <v>298</v>
      </c>
      <c r="B150">
        <f>INDEX(Calculation!$A$1:$D$343,MATCH($A150,Calculation!$A:$A,0),MATCH(B$1,Calculation!$1:$1,0))</f>
        <v>1.6326940000000001</v>
      </c>
      <c r="C150">
        <f>INDEX(Calculation!$A$1:$D$343,MATCH($A150,Calculation!$A:$A,0),MATCH(C$1,Calculation!$1:$1,0))</f>
        <v>1.349664</v>
      </c>
    </row>
    <row r="151" spans="1:3" x14ac:dyDescent="0.2">
      <c r="A151" t="s">
        <v>300</v>
      </c>
      <c r="B151">
        <f>INDEX(Calculation!$A$1:$D$343,MATCH($A151,Calculation!$A:$A,0),MATCH(B$1,Calculation!$1:$1,0))</f>
        <v>0.93553799999999998</v>
      </c>
      <c r="C151">
        <f>INDEX(Calculation!$A$1:$D$343,MATCH($A151,Calculation!$A:$A,0),MATCH(C$1,Calculation!$1:$1,0))</f>
        <v>1.6027769999999999</v>
      </c>
    </row>
    <row r="152" spans="1:3" x14ac:dyDescent="0.2">
      <c r="A152" t="s">
        <v>302</v>
      </c>
      <c r="B152">
        <f>INDEX(Calculation!$A$1:$D$343,MATCH($A152,Calculation!$A:$A,0),MATCH(B$1,Calculation!$1:$1,0))</f>
        <v>0.75375599999999998</v>
      </c>
      <c r="C152">
        <f>INDEX(Calculation!$A$1:$D$343,MATCH($A152,Calculation!$A:$A,0),MATCH(C$1,Calculation!$1:$1,0))</f>
        <v>0.53451300000000002</v>
      </c>
    </row>
    <row r="153" spans="1:3" x14ac:dyDescent="0.2">
      <c r="A153" t="s">
        <v>304</v>
      </c>
      <c r="B153">
        <f>INDEX(Calculation!$A$1:$D$343,MATCH($A153,Calculation!$A:$A,0),MATCH(B$1,Calculation!$1:$1,0))</f>
        <v>1.8124819999999999</v>
      </c>
      <c r="C153">
        <f>INDEX(Calculation!$A$1:$D$343,MATCH($A153,Calculation!$A:$A,0),MATCH(C$1,Calculation!$1:$1,0))</f>
        <v>2.067755</v>
      </c>
    </row>
    <row r="154" spans="1:3" x14ac:dyDescent="0.2">
      <c r="A154" t="s">
        <v>306</v>
      </c>
      <c r="B154">
        <f>INDEX(Calculation!$A$1:$D$343,MATCH($A154,Calculation!$A:$A,0),MATCH(B$1,Calculation!$1:$1,0))</f>
        <v>0.96957300000000002</v>
      </c>
      <c r="C154">
        <f>INDEX(Calculation!$A$1:$D$343,MATCH($A154,Calculation!$A:$A,0),MATCH(C$1,Calculation!$1:$1,0))</f>
        <v>1.706577</v>
      </c>
    </row>
    <row r="155" spans="1:3" x14ac:dyDescent="0.2">
      <c r="A155" t="s">
        <v>308</v>
      </c>
      <c r="B155">
        <f>INDEX(Calculation!$A$1:$D$343,MATCH($A155,Calculation!$A:$A,0),MATCH(B$1,Calculation!$1:$1,0))</f>
        <v>3.9601860000000002</v>
      </c>
      <c r="C155">
        <f>INDEX(Calculation!$A$1:$D$343,MATCH($A155,Calculation!$A:$A,0),MATCH(C$1,Calculation!$1:$1,0))</f>
        <v>6.8094340000000004</v>
      </c>
    </row>
    <row r="156" spans="1:3" x14ac:dyDescent="0.2">
      <c r="A156" t="s">
        <v>310</v>
      </c>
      <c r="B156">
        <f>INDEX(Calculation!$A$1:$D$343,MATCH($A156,Calculation!$A:$A,0),MATCH(B$1,Calculation!$1:$1,0))</f>
        <v>1.4519040000000001</v>
      </c>
      <c r="C156">
        <f>INDEX(Calculation!$A$1:$D$343,MATCH($A156,Calculation!$A:$A,0),MATCH(C$1,Calculation!$1:$1,0))</f>
        <v>0.73620300000000005</v>
      </c>
    </row>
    <row r="157" spans="1:3" x14ac:dyDescent="0.2">
      <c r="A157" t="s">
        <v>312</v>
      </c>
      <c r="B157">
        <f>INDEX(Calculation!$A$1:$D$343,MATCH($A157,Calculation!$A:$A,0),MATCH(B$1,Calculation!$1:$1,0))</f>
        <v>0.37240600000000001</v>
      </c>
      <c r="C157">
        <f>INDEX(Calculation!$A$1:$D$343,MATCH($A157,Calculation!$A:$A,0),MATCH(C$1,Calculation!$1:$1,0))</f>
        <v>0.21550900000000001</v>
      </c>
    </row>
    <row r="158" spans="1:3" x14ac:dyDescent="0.2">
      <c r="A158" t="s">
        <v>314</v>
      </c>
      <c r="B158">
        <f>INDEX(Calculation!$A$1:$D$343,MATCH($A158,Calculation!$A:$A,0),MATCH(B$1,Calculation!$1:$1,0))</f>
        <v>1.7303379999999999</v>
      </c>
      <c r="C158">
        <f>INDEX(Calculation!$A$1:$D$343,MATCH($A158,Calculation!$A:$A,0),MATCH(C$1,Calculation!$1:$1,0))</f>
        <v>11.350783</v>
      </c>
    </row>
    <row r="159" spans="1:3" x14ac:dyDescent="0.2">
      <c r="A159" t="s">
        <v>316</v>
      </c>
      <c r="B159">
        <f>INDEX(Calculation!$A$1:$D$343,MATCH($A159,Calculation!$A:$A,0),MATCH(B$1,Calculation!$1:$1,0))</f>
        <v>0.53057900000000002</v>
      </c>
      <c r="C159">
        <f>INDEX(Calculation!$A$1:$D$343,MATCH($A159,Calculation!$A:$A,0),MATCH(C$1,Calculation!$1:$1,0))</f>
        <v>0.221939</v>
      </c>
    </row>
    <row r="160" spans="1:3" x14ac:dyDescent="0.2">
      <c r="A160" t="s">
        <v>318</v>
      </c>
      <c r="B160">
        <f>INDEX(Calculation!$A$1:$D$343,MATCH($A160,Calculation!$A:$A,0),MATCH(B$1,Calculation!$1:$1,0))</f>
        <v>4.2945529999999996</v>
      </c>
      <c r="C160">
        <f>INDEX(Calculation!$A$1:$D$343,MATCH($A160,Calculation!$A:$A,0),MATCH(C$1,Calculation!$1:$1,0))</f>
        <v>3.775684</v>
      </c>
    </row>
    <row r="161" spans="1:3" x14ac:dyDescent="0.2">
      <c r="A161" t="s">
        <v>320</v>
      </c>
      <c r="B161">
        <f>INDEX(Calculation!$A$1:$D$343,MATCH($A161,Calculation!$A:$A,0),MATCH(B$1,Calculation!$1:$1,0))</f>
        <v>2.4845259999999998</v>
      </c>
      <c r="C161">
        <f>INDEX(Calculation!$A$1:$D$343,MATCH($A161,Calculation!$A:$A,0),MATCH(C$1,Calculation!$1:$1,0))</f>
        <v>1.770472</v>
      </c>
    </row>
    <row r="162" spans="1:3" x14ac:dyDescent="0.2">
      <c r="A162" t="s">
        <v>322</v>
      </c>
      <c r="B162">
        <f>INDEX(Calculation!$A$1:$D$343,MATCH($A162,Calculation!$A:$A,0),MATCH(B$1,Calculation!$1:$1,0))</f>
        <v>0.65597300000000003</v>
      </c>
      <c r="C162">
        <f>INDEX(Calculation!$A$1:$D$343,MATCH($A162,Calculation!$A:$A,0),MATCH(C$1,Calculation!$1:$1,0))</f>
        <v>0.41381400000000002</v>
      </c>
    </row>
    <row r="163" spans="1:3" x14ac:dyDescent="0.2">
      <c r="A163" t="s">
        <v>324</v>
      </c>
      <c r="B163">
        <f>INDEX(Calculation!$A$1:$D$343,MATCH($A163,Calculation!$A:$A,0),MATCH(B$1,Calculation!$1:$1,0))</f>
        <v>1.7435400000000001</v>
      </c>
      <c r="C163">
        <f>INDEX(Calculation!$A$1:$D$343,MATCH($A163,Calculation!$A:$A,0),MATCH(C$1,Calculation!$1:$1,0))</f>
        <v>1.136341</v>
      </c>
    </row>
    <row r="164" spans="1:3" x14ac:dyDescent="0.2">
      <c r="A164" t="s">
        <v>326</v>
      </c>
      <c r="B164">
        <f>INDEX(Calculation!$A$1:$D$343,MATCH($A164,Calculation!$A:$A,0),MATCH(B$1,Calculation!$1:$1,0))</f>
        <v>2.4109940000000001</v>
      </c>
      <c r="C164">
        <f>INDEX(Calculation!$A$1:$D$343,MATCH($A164,Calculation!$A:$A,0),MATCH(C$1,Calculation!$1:$1,0))</f>
        <v>2.4386570000000001</v>
      </c>
    </row>
    <row r="165" spans="1:3" x14ac:dyDescent="0.2">
      <c r="A165" t="s">
        <v>328</v>
      </c>
      <c r="B165">
        <f>INDEX(Calculation!$A$1:$D$343,MATCH($A165,Calculation!$A:$A,0),MATCH(B$1,Calculation!$1:$1,0))</f>
        <v>2.0583879999999999</v>
      </c>
      <c r="C165">
        <f>INDEX(Calculation!$A$1:$D$343,MATCH($A165,Calculation!$A:$A,0),MATCH(C$1,Calculation!$1:$1,0))</f>
        <v>2.8626510000000001</v>
      </c>
    </row>
    <row r="166" spans="1:3" x14ac:dyDescent="0.2">
      <c r="A166" t="s">
        <v>330</v>
      </c>
      <c r="B166">
        <f>INDEX(Calculation!$A$1:$D$343,MATCH($A166,Calculation!$A:$A,0),MATCH(B$1,Calculation!$1:$1,0))</f>
        <v>0.98410299999999995</v>
      </c>
      <c r="C166">
        <f>INDEX(Calculation!$A$1:$D$343,MATCH($A166,Calculation!$A:$A,0),MATCH(C$1,Calculation!$1:$1,0))</f>
        <v>0.80015099999999995</v>
      </c>
    </row>
    <row r="167" spans="1:3" x14ac:dyDescent="0.2">
      <c r="A167" t="s">
        <v>332</v>
      </c>
      <c r="B167">
        <f>INDEX(Calculation!$A$1:$D$343,MATCH($A167,Calculation!$A:$A,0),MATCH(B$1,Calculation!$1:$1,0))</f>
        <v>1.733414</v>
      </c>
      <c r="C167">
        <f>INDEX(Calculation!$A$1:$D$343,MATCH($A167,Calculation!$A:$A,0),MATCH(C$1,Calculation!$1:$1,0))</f>
        <v>3.286842</v>
      </c>
    </row>
    <row r="168" spans="1:3" x14ac:dyDescent="0.2">
      <c r="A168" t="s">
        <v>334</v>
      </c>
      <c r="B168">
        <f>INDEX(Calculation!$A$1:$D$343,MATCH($A168,Calculation!$A:$A,0),MATCH(B$1,Calculation!$1:$1,0))</f>
        <v>0.60979099999999997</v>
      </c>
      <c r="C168">
        <f>INDEX(Calculation!$A$1:$D$343,MATCH($A168,Calculation!$A:$A,0),MATCH(C$1,Calculation!$1:$1,0))</f>
        <v>0.85768299999999997</v>
      </c>
    </row>
    <row r="169" spans="1:3" x14ac:dyDescent="0.2">
      <c r="A169" t="s">
        <v>336</v>
      </c>
      <c r="B169">
        <f>INDEX(Calculation!$A$1:$D$343,MATCH($A169,Calculation!$A:$A,0),MATCH(B$1,Calculation!$1:$1,0))</f>
        <v>1.728694</v>
      </c>
      <c r="C169">
        <f>INDEX(Calculation!$A$1:$D$343,MATCH($A169,Calculation!$A:$A,0),MATCH(C$1,Calculation!$1:$1,0))</f>
        <v>2.1125039999999999</v>
      </c>
    </row>
    <row r="170" spans="1:3" x14ac:dyDescent="0.2">
      <c r="A170" t="s">
        <v>338</v>
      </c>
      <c r="B170">
        <f>INDEX(Calculation!$A$1:$D$343,MATCH($A170,Calculation!$A:$A,0),MATCH(B$1,Calculation!$1:$1,0))</f>
        <v>0.84823300000000001</v>
      </c>
      <c r="C170">
        <f>INDEX(Calculation!$A$1:$D$343,MATCH($A170,Calculation!$A:$A,0),MATCH(C$1,Calculation!$1:$1,0))</f>
        <v>0.98161799999999999</v>
      </c>
    </row>
    <row r="171" spans="1:3" x14ac:dyDescent="0.2">
      <c r="A171" t="s">
        <v>340</v>
      </c>
      <c r="B171">
        <f>INDEX(Calculation!$A$1:$D$343,MATCH($A171,Calculation!$A:$A,0),MATCH(B$1,Calculation!$1:$1,0))</f>
        <v>0.52927100000000005</v>
      </c>
      <c r="C171">
        <f>INDEX(Calculation!$A$1:$D$343,MATCH($A171,Calculation!$A:$A,0),MATCH(C$1,Calculation!$1:$1,0))</f>
        <v>0.89976</v>
      </c>
    </row>
    <row r="172" spans="1:3" x14ac:dyDescent="0.2">
      <c r="A172" t="s">
        <v>342</v>
      </c>
      <c r="B172">
        <f>INDEX(Calculation!$A$1:$D$343,MATCH($A172,Calculation!$A:$A,0),MATCH(B$1,Calculation!$1:$1,0))</f>
        <v>0.986487</v>
      </c>
      <c r="C172">
        <f>INDEX(Calculation!$A$1:$D$343,MATCH($A172,Calculation!$A:$A,0),MATCH(C$1,Calculation!$1:$1,0))</f>
        <v>0.99026499999999995</v>
      </c>
    </row>
    <row r="173" spans="1:3" x14ac:dyDescent="0.2">
      <c r="A173" t="s">
        <v>344</v>
      </c>
      <c r="B173">
        <f>INDEX(Calculation!$A$1:$D$343,MATCH($A173,Calculation!$A:$A,0),MATCH(B$1,Calculation!$1:$1,0))</f>
        <v>1.272448</v>
      </c>
      <c r="C173">
        <f>INDEX(Calculation!$A$1:$D$343,MATCH($A173,Calculation!$A:$A,0),MATCH(C$1,Calculation!$1:$1,0))</f>
        <v>2.0089380000000001</v>
      </c>
    </row>
    <row r="174" spans="1:3" x14ac:dyDescent="0.2">
      <c r="A174" t="s">
        <v>346</v>
      </c>
      <c r="B174">
        <f>INDEX(Calculation!$A$1:$D$343,MATCH($A174,Calculation!$A:$A,0),MATCH(B$1,Calculation!$1:$1,0))</f>
        <v>1.250586</v>
      </c>
      <c r="C174">
        <f>INDEX(Calculation!$A$1:$D$343,MATCH($A174,Calculation!$A:$A,0),MATCH(C$1,Calculation!$1:$1,0))</f>
        <v>0.84377800000000003</v>
      </c>
    </row>
    <row r="175" spans="1:3" x14ac:dyDescent="0.2">
      <c r="A175" t="s">
        <v>348</v>
      </c>
      <c r="B175">
        <f>INDEX(Calculation!$A$1:$D$343,MATCH($A175,Calculation!$A:$A,0),MATCH(B$1,Calculation!$1:$1,0))</f>
        <v>2.5111789999999998</v>
      </c>
      <c r="C175">
        <f>INDEX(Calculation!$A$1:$D$343,MATCH($A175,Calculation!$A:$A,0),MATCH(C$1,Calculation!$1:$1,0))</f>
        <v>3.5965289999999999</v>
      </c>
    </row>
    <row r="176" spans="1:3" x14ac:dyDescent="0.2">
      <c r="A176" t="s">
        <v>350</v>
      </c>
      <c r="B176">
        <f>INDEX(Calculation!$A$1:$D$343,MATCH($A176,Calculation!$A:$A,0),MATCH(B$1,Calculation!$1:$1,0))</f>
        <v>0.65873099999999996</v>
      </c>
      <c r="C176">
        <f>INDEX(Calculation!$A$1:$D$343,MATCH($A176,Calculation!$A:$A,0),MATCH(C$1,Calculation!$1:$1,0))</f>
        <v>0.50731099999999996</v>
      </c>
    </row>
    <row r="177" spans="1:3" x14ac:dyDescent="0.2">
      <c r="A177" t="s">
        <v>352</v>
      </c>
      <c r="B177">
        <f>INDEX(Calculation!$A$1:$D$343,MATCH($A177,Calculation!$A:$A,0),MATCH(B$1,Calculation!$1:$1,0))</f>
        <v>3.7110249999999998</v>
      </c>
      <c r="C177">
        <f>INDEX(Calculation!$A$1:$D$343,MATCH($A177,Calculation!$A:$A,0),MATCH(C$1,Calculation!$1:$1,0))</f>
        <v>2.508613</v>
      </c>
    </row>
    <row r="178" spans="1:3" x14ac:dyDescent="0.2">
      <c r="A178" t="s">
        <v>354</v>
      </c>
      <c r="B178">
        <f>INDEX(Calculation!$A$1:$D$343,MATCH($A178,Calculation!$A:$A,0),MATCH(B$1,Calculation!$1:$1,0))</f>
        <v>1.9379200000000001</v>
      </c>
      <c r="C178">
        <f>INDEX(Calculation!$A$1:$D$343,MATCH($A178,Calculation!$A:$A,0),MATCH(C$1,Calculation!$1:$1,0))</f>
        <v>4.6461680000000003</v>
      </c>
    </row>
    <row r="179" spans="1:3" x14ac:dyDescent="0.2">
      <c r="A179" t="s">
        <v>356</v>
      </c>
      <c r="B179">
        <f>INDEX(Calculation!$A$1:$D$343,MATCH($A179,Calculation!$A:$A,0),MATCH(B$1,Calculation!$1:$1,0))</f>
        <v>0.89902599999999999</v>
      </c>
      <c r="C179">
        <f>INDEX(Calculation!$A$1:$D$343,MATCH($A179,Calculation!$A:$A,0),MATCH(C$1,Calculation!$1:$1,0))</f>
        <v>0.44373099999999999</v>
      </c>
    </row>
    <row r="180" spans="1:3" x14ac:dyDescent="0.2">
      <c r="A180" t="s">
        <v>358</v>
      </c>
      <c r="B180">
        <f>INDEX(Calculation!$A$1:$D$343,MATCH($A180,Calculation!$A:$A,0),MATCH(B$1,Calculation!$1:$1,0))</f>
        <v>3.3385539999999998</v>
      </c>
      <c r="C180">
        <f>INDEX(Calculation!$A$1:$D$343,MATCH($A180,Calculation!$A:$A,0),MATCH(C$1,Calculation!$1:$1,0))</f>
        <v>5.8804530000000002</v>
      </c>
    </row>
    <row r="181" spans="1:3" x14ac:dyDescent="0.2">
      <c r="A181" t="s">
        <v>360</v>
      </c>
      <c r="B181">
        <f>INDEX(Calculation!$A$1:$D$343,MATCH($A181,Calculation!$A:$A,0),MATCH(B$1,Calculation!$1:$1,0))</f>
        <v>1.2348539999999999</v>
      </c>
      <c r="C181">
        <f>INDEX(Calculation!$A$1:$D$343,MATCH($A181,Calculation!$A:$A,0),MATCH(C$1,Calculation!$1:$1,0))</f>
        <v>1.177297</v>
      </c>
    </row>
    <row r="182" spans="1:3" x14ac:dyDescent="0.2">
      <c r="A182" t="s">
        <v>362</v>
      </c>
      <c r="B182">
        <f>INDEX(Calculation!$A$1:$D$343,MATCH($A182,Calculation!$A:$A,0),MATCH(B$1,Calculation!$1:$1,0))</f>
        <v>1.546057</v>
      </c>
      <c r="C182">
        <f>INDEX(Calculation!$A$1:$D$343,MATCH($A182,Calculation!$A:$A,0),MATCH(C$1,Calculation!$1:$1,0))</f>
        <v>1.3655299999999999</v>
      </c>
    </row>
    <row r="183" spans="1:3" x14ac:dyDescent="0.2">
      <c r="A183" t="s">
        <v>364</v>
      </c>
      <c r="B183">
        <f>INDEX(Calculation!$A$1:$D$343,MATCH($A183,Calculation!$A:$A,0),MATCH(B$1,Calculation!$1:$1,0))</f>
        <v>0.79992600000000003</v>
      </c>
      <c r="C183">
        <f>INDEX(Calculation!$A$1:$D$343,MATCH($A183,Calculation!$A:$A,0),MATCH(C$1,Calculation!$1:$1,0))</f>
        <v>2.6446040000000002</v>
      </c>
    </row>
    <row r="184" spans="1:3" x14ac:dyDescent="0.2">
      <c r="A184" t="s">
        <v>366</v>
      </c>
      <c r="B184">
        <f>INDEX(Calculation!$A$1:$D$343,MATCH($A184,Calculation!$A:$A,0),MATCH(B$1,Calculation!$1:$1,0))</f>
        <v>1.8183119999999999</v>
      </c>
      <c r="C184">
        <f>INDEX(Calculation!$A$1:$D$343,MATCH($A184,Calculation!$A:$A,0),MATCH(C$1,Calculation!$1:$1,0))</f>
        <v>2.4571809999999998</v>
      </c>
    </row>
    <row r="185" spans="1:3" x14ac:dyDescent="0.2">
      <c r="A185" t="s">
        <v>368</v>
      </c>
      <c r="B185">
        <f>INDEX(Calculation!$A$1:$D$343,MATCH($A185,Calculation!$A:$A,0),MATCH(B$1,Calculation!$1:$1,0))</f>
        <v>3.4396819999999999</v>
      </c>
      <c r="C185">
        <f>INDEX(Calculation!$A$1:$D$343,MATCH($A185,Calculation!$A:$A,0),MATCH(C$1,Calculation!$1:$1,0))</f>
        <v>2.6975500000000001</v>
      </c>
    </row>
    <row r="186" spans="1:3" x14ac:dyDescent="0.2">
      <c r="A186" t="s">
        <v>370</v>
      </c>
      <c r="B186">
        <f>INDEX(Calculation!$A$1:$D$343,MATCH($A186,Calculation!$A:$A,0),MATCH(B$1,Calculation!$1:$1,0))</f>
        <v>1.4308810000000001</v>
      </c>
      <c r="C186">
        <f>INDEX(Calculation!$A$1:$D$343,MATCH($A186,Calculation!$A:$A,0),MATCH(C$1,Calculation!$1:$1,0))</f>
        <v>4.2485480000000004</v>
      </c>
    </row>
    <row r="187" spans="1:3" x14ac:dyDescent="0.2">
      <c r="A187" t="s">
        <v>372</v>
      </c>
      <c r="B187">
        <f>INDEX(Calculation!$A$1:$D$343,MATCH($A187,Calculation!$A:$A,0),MATCH(B$1,Calculation!$1:$1,0))</f>
        <v>1.481169</v>
      </c>
      <c r="C187">
        <f>INDEX(Calculation!$A$1:$D$343,MATCH($A187,Calculation!$A:$A,0),MATCH(C$1,Calculation!$1:$1,0))</f>
        <v>2.1637379999999999</v>
      </c>
    </row>
    <row r="188" spans="1:3" x14ac:dyDescent="0.2">
      <c r="A188" t="s">
        <v>374</v>
      </c>
      <c r="B188">
        <f>INDEX(Calculation!$A$1:$D$343,MATCH($A188,Calculation!$A:$A,0),MATCH(B$1,Calculation!$1:$1,0))</f>
        <v>1.5834569999999999</v>
      </c>
      <c r="C188">
        <f>INDEX(Calculation!$A$1:$D$343,MATCH($A188,Calculation!$A:$A,0),MATCH(C$1,Calculation!$1:$1,0))</f>
        <v>1.9536089999999999</v>
      </c>
    </row>
    <row r="189" spans="1:3" x14ac:dyDescent="0.2">
      <c r="A189" t="s">
        <v>376</v>
      </c>
      <c r="B189">
        <f>INDEX(Calculation!$A$1:$D$343,MATCH($A189,Calculation!$A:$A,0),MATCH(B$1,Calculation!$1:$1,0))</f>
        <v>0.45617000000000002</v>
      </c>
      <c r="C189">
        <f>INDEX(Calculation!$A$1:$D$343,MATCH($A189,Calculation!$A:$A,0),MATCH(C$1,Calculation!$1:$1,0))</f>
        <v>0.64643700000000004</v>
      </c>
    </row>
    <row r="190" spans="1:3" x14ac:dyDescent="0.2">
      <c r="A190" t="s">
        <v>378</v>
      </c>
      <c r="B190">
        <f>INDEX(Calculation!$A$1:$D$343,MATCH($A190,Calculation!$A:$A,0),MATCH(B$1,Calculation!$1:$1,0))</f>
        <v>0.36868000000000001</v>
      </c>
      <c r="C190">
        <f>INDEX(Calculation!$A$1:$D$343,MATCH($A190,Calculation!$A:$A,0),MATCH(C$1,Calculation!$1:$1,0))</f>
        <v>0.18232300000000001</v>
      </c>
    </row>
    <row r="191" spans="1:3" x14ac:dyDescent="0.2">
      <c r="A191" t="s">
        <v>380</v>
      </c>
      <c r="B191">
        <f>INDEX(Calculation!$A$1:$D$343,MATCH($A191,Calculation!$A:$A,0),MATCH(B$1,Calculation!$1:$1,0))</f>
        <v>0.90628900000000001</v>
      </c>
      <c r="C191">
        <f>INDEX(Calculation!$A$1:$D$343,MATCH($A191,Calculation!$A:$A,0),MATCH(C$1,Calculation!$1:$1,0))</f>
        <v>1.3757889999999999</v>
      </c>
    </row>
    <row r="192" spans="1:3" x14ac:dyDescent="0.2">
      <c r="A192" t="s">
        <v>382</v>
      </c>
      <c r="B192">
        <f>INDEX(Calculation!$A$1:$D$343,MATCH($A192,Calculation!$A:$A,0),MATCH(B$1,Calculation!$1:$1,0))</f>
        <v>0.96972899999999995</v>
      </c>
      <c r="C192">
        <f>INDEX(Calculation!$A$1:$D$343,MATCH($A192,Calculation!$A:$A,0),MATCH(C$1,Calculation!$1:$1,0))</f>
        <v>1.830856</v>
      </c>
    </row>
    <row r="193" spans="1:3" x14ac:dyDescent="0.2">
      <c r="A193" t="s">
        <v>384</v>
      </c>
      <c r="B193">
        <f>INDEX(Calculation!$A$1:$D$343,MATCH($A193,Calculation!$A:$A,0),MATCH(B$1,Calculation!$1:$1,0))</f>
        <v>1.487158</v>
      </c>
      <c r="C193">
        <f>INDEX(Calculation!$A$1:$D$343,MATCH($A193,Calculation!$A:$A,0),MATCH(C$1,Calculation!$1:$1,0))</f>
        <v>1.7236560000000001</v>
      </c>
    </row>
    <row r="194" spans="1:3" x14ac:dyDescent="0.2">
      <c r="A194" t="s">
        <v>386</v>
      </c>
      <c r="B194">
        <f>INDEX(Calculation!$A$1:$D$343,MATCH($A194,Calculation!$A:$A,0),MATCH(B$1,Calculation!$1:$1,0))</f>
        <v>1.0587899999999999</v>
      </c>
      <c r="C194">
        <f>INDEX(Calculation!$A$1:$D$343,MATCH($A194,Calculation!$A:$A,0),MATCH(C$1,Calculation!$1:$1,0))</f>
        <v>2.434787</v>
      </c>
    </row>
    <row r="195" spans="1:3" x14ac:dyDescent="0.2">
      <c r="A195" t="s">
        <v>388</v>
      </c>
      <c r="B195">
        <f>INDEX(Calculation!$A$1:$D$343,MATCH($A195,Calculation!$A:$A,0),MATCH(B$1,Calculation!$1:$1,0))</f>
        <v>1.3625370000000001</v>
      </c>
      <c r="C195">
        <f>INDEX(Calculation!$A$1:$D$343,MATCH($A195,Calculation!$A:$A,0),MATCH(C$1,Calculation!$1:$1,0))</f>
        <v>1.9664349999999999</v>
      </c>
    </row>
    <row r="196" spans="1:3" x14ac:dyDescent="0.2">
      <c r="A196" t="s">
        <v>390</v>
      </c>
      <c r="B196">
        <f>INDEX(Calculation!$A$1:$D$343,MATCH($A196,Calculation!$A:$A,0),MATCH(B$1,Calculation!$1:$1,0))</f>
        <v>4.0706119999999997</v>
      </c>
      <c r="C196">
        <f>INDEX(Calculation!$A$1:$D$343,MATCH($A196,Calculation!$A:$A,0),MATCH(C$1,Calculation!$1:$1,0))</f>
        <v>3.5174599999999998</v>
      </c>
    </row>
    <row r="197" spans="1:3" x14ac:dyDescent="0.2">
      <c r="A197" t="s">
        <v>392</v>
      </c>
      <c r="B197">
        <f>INDEX(Calculation!$A$1:$D$343,MATCH($A197,Calculation!$A:$A,0),MATCH(B$1,Calculation!$1:$1,0))</f>
        <v>2.0724719999999999</v>
      </c>
      <c r="C197">
        <f>INDEX(Calculation!$A$1:$D$343,MATCH($A197,Calculation!$A:$A,0),MATCH(C$1,Calculation!$1:$1,0))</f>
        <v>1.442679</v>
      </c>
    </row>
    <row r="198" spans="1:3" x14ac:dyDescent="0.2">
      <c r="A198" t="s">
        <v>394</v>
      </c>
      <c r="B198">
        <f>INDEX(Calculation!$A$1:$D$343,MATCH($A198,Calculation!$A:$A,0),MATCH(B$1,Calculation!$1:$1,0))</f>
        <v>2.6140569999999999</v>
      </c>
      <c r="C198">
        <f>INDEX(Calculation!$A$1:$D$343,MATCH($A198,Calculation!$A:$A,0),MATCH(C$1,Calculation!$1:$1,0))</f>
        <v>2.2947150000000001</v>
      </c>
    </row>
    <row r="199" spans="1:3" x14ac:dyDescent="0.2">
      <c r="A199" t="s">
        <v>396</v>
      </c>
      <c r="B199">
        <f>INDEX(Calculation!$A$1:$D$343,MATCH($A199,Calculation!$A:$A,0),MATCH(B$1,Calculation!$1:$1,0))</f>
        <v>0.40307599999999999</v>
      </c>
      <c r="C199">
        <f>INDEX(Calculation!$A$1:$D$343,MATCH($A199,Calculation!$A:$A,0),MATCH(C$1,Calculation!$1:$1,0))</f>
        <v>0.63110999999999995</v>
      </c>
    </row>
    <row r="200" spans="1:3" x14ac:dyDescent="0.2">
      <c r="A200" t="s">
        <v>398</v>
      </c>
      <c r="B200">
        <f>INDEX(Calculation!$A$1:$D$343,MATCH($A200,Calculation!$A:$A,0),MATCH(B$1,Calculation!$1:$1,0))</f>
        <v>1.605078</v>
      </c>
      <c r="C200">
        <f>INDEX(Calculation!$A$1:$D$343,MATCH($A200,Calculation!$A:$A,0),MATCH(C$1,Calculation!$1:$1,0))</f>
        <v>1.386617</v>
      </c>
    </row>
    <row r="201" spans="1:3" x14ac:dyDescent="0.2">
      <c r="A201" t="s">
        <v>400</v>
      </c>
      <c r="B201">
        <f>INDEX(Calculation!$A$1:$D$343,MATCH($A201,Calculation!$A:$A,0),MATCH(B$1,Calculation!$1:$1,0))</f>
        <v>2.0898590000000001</v>
      </c>
      <c r="C201">
        <f>INDEX(Calculation!$A$1:$D$343,MATCH($A201,Calculation!$A:$A,0),MATCH(C$1,Calculation!$1:$1,0))</f>
        <v>7.3164610000000003</v>
      </c>
    </row>
    <row r="202" spans="1:3" x14ac:dyDescent="0.2">
      <c r="A202" t="s">
        <v>402</v>
      </c>
      <c r="B202">
        <f>INDEX(Calculation!$A$1:$D$343,MATCH($A202,Calculation!$A:$A,0),MATCH(B$1,Calculation!$1:$1,0))</f>
        <v>1.4382950000000001</v>
      </c>
      <c r="C202">
        <f>INDEX(Calculation!$A$1:$D$343,MATCH($A202,Calculation!$A:$A,0),MATCH(C$1,Calculation!$1:$1,0))</f>
        <v>1.80776</v>
      </c>
    </row>
    <row r="203" spans="1:3" x14ac:dyDescent="0.2">
      <c r="A203" t="s">
        <v>404</v>
      </c>
      <c r="B203">
        <f>INDEX(Calculation!$A$1:$D$343,MATCH($A203,Calculation!$A:$A,0),MATCH(B$1,Calculation!$1:$1,0))</f>
        <v>1.007045</v>
      </c>
      <c r="C203">
        <f>INDEX(Calculation!$A$1:$D$343,MATCH($A203,Calculation!$A:$A,0),MATCH(C$1,Calculation!$1:$1,0))</f>
        <v>0.78577600000000003</v>
      </c>
    </row>
    <row r="204" spans="1:3" x14ac:dyDescent="0.2">
      <c r="A204" t="s">
        <v>406</v>
      </c>
      <c r="B204">
        <f>INDEX(Calculation!$A$1:$D$343,MATCH($A204,Calculation!$A:$A,0),MATCH(B$1,Calculation!$1:$1,0))</f>
        <v>0.94142800000000004</v>
      </c>
      <c r="C204">
        <f>INDEX(Calculation!$A$1:$D$343,MATCH($A204,Calculation!$A:$A,0),MATCH(C$1,Calculation!$1:$1,0))</f>
        <v>1.1914260000000001</v>
      </c>
    </row>
    <row r="205" spans="1:3" x14ac:dyDescent="0.2">
      <c r="A205" t="s">
        <v>408</v>
      </c>
      <c r="B205">
        <f>INDEX(Calculation!$A$1:$D$343,MATCH($A205,Calculation!$A:$A,0),MATCH(B$1,Calculation!$1:$1,0))</f>
        <v>0.66608199999999995</v>
      </c>
      <c r="C205">
        <f>INDEX(Calculation!$A$1:$D$343,MATCH($A205,Calculation!$A:$A,0),MATCH(C$1,Calculation!$1:$1,0))</f>
        <v>0.315278</v>
      </c>
    </row>
    <row r="206" spans="1:3" x14ac:dyDescent="0.2">
      <c r="A206" t="s">
        <v>410</v>
      </c>
      <c r="B206">
        <f>INDEX(Calculation!$A$1:$D$343,MATCH($A206,Calculation!$A:$A,0),MATCH(B$1,Calculation!$1:$1,0))</f>
        <v>0.89842599999999995</v>
      </c>
      <c r="C206">
        <f>INDEX(Calculation!$A$1:$D$343,MATCH($A206,Calculation!$A:$A,0),MATCH(C$1,Calculation!$1:$1,0))</f>
        <v>1.674029</v>
      </c>
    </row>
    <row r="207" spans="1:3" x14ac:dyDescent="0.2">
      <c r="A207" t="s">
        <v>412</v>
      </c>
      <c r="B207">
        <f>INDEX(Calculation!$A$1:$D$343,MATCH($A207,Calculation!$A:$A,0),MATCH(B$1,Calculation!$1:$1,0))</f>
        <v>1.355564</v>
      </c>
      <c r="C207">
        <f>INDEX(Calculation!$A$1:$D$343,MATCH($A207,Calculation!$A:$A,0),MATCH(C$1,Calculation!$1:$1,0))</f>
        <v>1.773226</v>
      </c>
    </row>
    <row r="208" spans="1:3" x14ac:dyDescent="0.2">
      <c r="A208" t="s">
        <v>414</v>
      </c>
      <c r="B208">
        <f>INDEX(Calculation!$A$1:$D$343,MATCH($A208,Calculation!$A:$A,0),MATCH(B$1,Calculation!$1:$1,0))</f>
        <v>2.0890059999999999</v>
      </c>
      <c r="C208">
        <f>INDEX(Calculation!$A$1:$D$343,MATCH($A208,Calculation!$A:$A,0),MATCH(C$1,Calculation!$1:$1,0))</f>
        <v>1.8998459999999999</v>
      </c>
    </row>
    <row r="209" spans="1:3" x14ac:dyDescent="0.2">
      <c r="A209" t="s">
        <v>416</v>
      </c>
      <c r="B209">
        <f>INDEX(Calculation!$A$1:$D$343,MATCH($A209,Calculation!$A:$A,0),MATCH(B$1,Calculation!$1:$1,0))</f>
        <v>0.88231499999999996</v>
      </c>
      <c r="C209">
        <f>INDEX(Calculation!$A$1:$D$343,MATCH($A209,Calculation!$A:$A,0),MATCH(C$1,Calculation!$1:$1,0))</f>
        <v>1.1569560000000001</v>
      </c>
    </row>
    <row r="210" spans="1:3" x14ac:dyDescent="0.2">
      <c r="A210" t="s">
        <v>418</v>
      </c>
      <c r="B210">
        <f>INDEX(Calculation!$A$1:$D$343,MATCH($A210,Calculation!$A:$A,0),MATCH(B$1,Calculation!$1:$1,0))</f>
        <v>1.105029</v>
      </c>
      <c r="C210">
        <f>INDEX(Calculation!$A$1:$D$343,MATCH($A210,Calculation!$A:$A,0),MATCH(C$1,Calculation!$1:$1,0))</f>
        <v>1.272675</v>
      </c>
    </row>
    <row r="211" spans="1:3" x14ac:dyDescent="0.2">
      <c r="A211" t="s">
        <v>420</v>
      </c>
      <c r="B211">
        <f>INDEX(Calculation!$A$1:$D$343,MATCH($A211,Calculation!$A:$A,0),MATCH(B$1,Calculation!$1:$1,0))</f>
        <v>0.820689</v>
      </c>
      <c r="C211">
        <f>INDEX(Calculation!$A$1:$D$343,MATCH($A211,Calculation!$A:$A,0),MATCH(C$1,Calculation!$1:$1,0))</f>
        <v>1.0104820000000001</v>
      </c>
    </row>
    <row r="212" spans="1:3" x14ac:dyDescent="0.2">
      <c r="A212" t="s">
        <v>422</v>
      </c>
      <c r="B212">
        <f>INDEX(Calculation!$A$1:$D$343,MATCH($A212,Calculation!$A:$A,0),MATCH(B$1,Calculation!$1:$1,0))</f>
        <v>0.97517799999999999</v>
      </c>
      <c r="C212">
        <f>INDEX(Calculation!$A$1:$D$343,MATCH($A212,Calculation!$A:$A,0),MATCH(C$1,Calculation!$1:$1,0))</f>
        <v>1.3676170000000001</v>
      </c>
    </row>
    <row r="213" spans="1:3" x14ac:dyDescent="0.2">
      <c r="A213" t="s">
        <v>424</v>
      </c>
      <c r="B213">
        <f>INDEX(Calculation!$A$1:$D$343,MATCH($A213,Calculation!$A:$A,0),MATCH(B$1,Calculation!$1:$1,0))</f>
        <v>1.359823</v>
      </c>
      <c r="C213">
        <f>INDEX(Calculation!$A$1:$D$343,MATCH($A213,Calculation!$A:$A,0),MATCH(C$1,Calculation!$1:$1,0))</f>
        <v>2.3869590000000001</v>
      </c>
    </row>
    <row r="214" spans="1:3" x14ac:dyDescent="0.2">
      <c r="A214" t="s">
        <v>426</v>
      </c>
      <c r="B214">
        <f>INDEX(Calculation!$A$1:$D$343,MATCH($A214,Calculation!$A:$A,0),MATCH(B$1,Calculation!$1:$1,0))</f>
        <v>1.7820940000000001</v>
      </c>
      <c r="C214">
        <f>INDEX(Calculation!$A$1:$D$343,MATCH($A214,Calculation!$A:$A,0),MATCH(C$1,Calculation!$1:$1,0))</f>
        <v>3.1452390000000001</v>
      </c>
    </row>
    <row r="215" spans="1:3" x14ac:dyDescent="0.2">
      <c r="A215" t="s">
        <v>428</v>
      </c>
      <c r="B215">
        <f>INDEX(Calculation!$A$1:$D$343,MATCH($A215,Calculation!$A:$A,0),MATCH(B$1,Calculation!$1:$1,0))</f>
        <v>1.4688049999999999</v>
      </c>
      <c r="C215">
        <f>INDEX(Calculation!$A$1:$D$343,MATCH($A215,Calculation!$A:$A,0),MATCH(C$1,Calculation!$1:$1,0))</f>
        <v>1.6751510000000001</v>
      </c>
    </row>
    <row r="216" spans="1:3" x14ac:dyDescent="0.2">
      <c r="A216" t="s">
        <v>430</v>
      </c>
      <c r="B216">
        <f>INDEX(Calculation!$A$1:$D$343,MATCH($A216,Calculation!$A:$A,0),MATCH(B$1,Calculation!$1:$1,0))</f>
        <v>0.286634</v>
      </c>
      <c r="C216">
        <f>INDEX(Calculation!$A$1:$D$343,MATCH($A216,Calculation!$A:$A,0),MATCH(C$1,Calculation!$1:$1,0))</f>
        <v>0.21035499999999999</v>
      </c>
    </row>
    <row r="217" spans="1:3" x14ac:dyDescent="0.2">
      <c r="A217" t="s">
        <v>432</v>
      </c>
      <c r="B217">
        <f>INDEX(Calculation!$A$1:$D$343,MATCH($A217,Calculation!$A:$A,0),MATCH(B$1,Calculation!$1:$1,0))</f>
        <v>0.52914799999999995</v>
      </c>
      <c r="C217">
        <f>INDEX(Calculation!$A$1:$D$343,MATCH($A217,Calculation!$A:$A,0),MATCH(C$1,Calculation!$1:$1,0))</f>
        <v>0.76263700000000001</v>
      </c>
    </row>
    <row r="218" spans="1:3" x14ac:dyDescent="0.2">
      <c r="A218" t="s">
        <v>434</v>
      </c>
      <c r="B218">
        <f>INDEX(Calculation!$A$1:$D$343,MATCH($A218,Calculation!$A:$A,0),MATCH(B$1,Calculation!$1:$1,0))</f>
        <v>1.6622189999999999</v>
      </c>
      <c r="C218">
        <f>INDEX(Calculation!$A$1:$D$343,MATCH($A218,Calculation!$A:$A,0),MATCH(C$1,Calculation!$1:$1,0))</f>
        <v>1.5601080000000001</v>
      </c>
    </row>
    <row r="219" spans="1:3" x14ac:dyDescent="0.2">
      <c r="A219" t="s">
        <v>436</v>
      </c>
      <c r="B219">
        <f>INDEX(Calculation!$A$1:$D$343,MATCH($A219,Calculation!$A:$A,0),MATCH(B$1,Calculation!$1:$1,0))</f>
        <v>3.4161890000000001</v>
      </c>
      <c r="C219">
        <f>INDEX(Calculation!$A$1:$D$343,MATCH($A219,Calculation!$A:$A,0),MATCH(C$1,Calculation!$1:$1,0))</f>
        <v>4.347029</v>
      </c>
    </row>
    <row r="220" spans="1:3" x14ac:dyDescent="0.2">
      <c r="A220" t="s">
        <v>438</v>
      </c>
      <c r="B220">
        <f>INDEX(Calculation!$A$1:$D$343,MATCH($A220,Calculation!$A:$A,0),MATCH(B$1,Calculation!$1:$1,0))</f>
        <v>1.901556</v>
      </c>
      <c r="C220">
        <f>INDEX(Calculation!$A$1:$D$343,MATCH($A220,Calculation!$A:$A,0),MATCH(C$1,Calculation!$1:$1,0))</f>
        <v>2.3368739999999999</v>
      </c>
    </row>
    <row r="221" spans="1:3" x14ac:dyDescent="0.2">
      <c r="A221" t="s">
        <v>440</v>
      </c>
      <c r="B221">
        <f>INDEX(Calculation!$A$1:$D$343,MATCH($A221,Calculation!$A:$A,0),MATCH(B$1,Calculation!$1:$1,0))</f>
        <v>0.39449699999999999</v>
      </c>
      <c r="C221">
        <f>INDEX(Calculation!$A$1:$D$343,MATCH($A221,Calculation!$A:$A,0),MATCH(C$1,Calculation!$1:$1,0))</f>
        <v>0.61461399999999999</v>
      </c>
    </row>
    <row r="222" spans="1:3" x14ac:dyDescent="0.2">
      <c r="A222" t="s">
        <v>442</v>
      </c>
      <c r="B222">
        <f>INDEX(Calculation!$A$1:$D$343,MATCH($A222,Calculation!$A:$A,0),MATCH(B$1,Calculation!$1:$1,0))</f>
        <v>0.365452</v>
      </c>
      <c r="C222">
        <f>INDEX(Calculation!$A$1:$D$343,MATCH($A222,Calculation!$A:$A,0),MATCH(C$1,Calculation!$1:$1,0))</f>
        <v>0.50567200000000001</v>
      </c>
    </row>
    <row r="223" spans="1:3" x14ac:dyDescent="0.2">
      <c r="A223" t="s">
        <v>444</v>
      </c>
      <c r="B223">
        <f>INDEX(Calculation!$A$1:$D$343,MATCH($A223,Calculation!$A:$A,0),MATCH(B$1,Calculation!$1:$1,0))</f>
        <v>1.8351599999999999</v>
      </c>
      <c r="C223">
        <f>INDEX(Calculation!$A$1:$D$343,MATCH($A223,Calculation!$A:$A,0),MATCH(C$1,Calculation!$1:$1,0))</f>
        <v>2.2425139999999999</v>
      </c>
    </row>
    <row r="224" spans="1:3" x14ac:dyDescent="0.2">
      <c r="A224" t="s">
        <v>446</v>
      </c>
      <c r="B224">
        <f>INDEX(Calculation!$A$1:$D$343,MATCH($A224,Calculation!$A:$A,0),MATCH(B$1,Calculation!$1:$1,0))</f>
        <v>0.74162300000000003</v>
      </c>
      <c r="C224">
        <f>INDEX(Calculation!$A$1:$D$343,MATCH($A224,Calculation!$A:$A,0),MATCH(C$1,Calculation!$1:$1,0))</f>
        <v>0.60779399999999995</v>
      </c>
    </row>
    <row r="225" spans="1:3" x14ac:dyDescent="0.2">
      <c r="A225" t="s">
        <v>448</v>
      </c>
      <c r="B225">
        <f>INDEX(Calculation!$A$1:$D$343,MATCH($A225,Calculation!$A:$A,0),MATCH(B$1,Calculation!$1:$1,0))</f>
        <v>2.1594259999999998</v>
      </c>
      <c r="C225">
        <f>INDEX(Calculation!$A$1:$D$343,MATCH($A225,Calculation!$A:$A,0),MATCH(C$1,Calculation!$1:$1,0))</f>
        <v>7.5433779999999997</v>
      </c>
    </row>
    <row r="226" spans="1:3" x14ac:dyDescent="0.2">
      <c r="A226" t="s">
        <v>450</v>
      </c>
      <c r="B226">
        <f>INDEX(Calculation!$A$1:$D$343,MATCH($A226,Calculation!$A:$A,0),MATCH(B$1,Calculation!$1:$1,0))</f>
        <v>0.60964499999999999</v>
      </c>
      <c r="C226">
        <f>INDEX(Calculation!$A$1:$D$343,MATCH($A226,Calculation!$A:$A,0),MATCH(C$1,Calculation!$1:$1,0))</f>
        <v>0.614923</v>
      </c>
    </row>
    <row r="227" spans="1:3" x14ac:dyDescent="0.2">
      <c r="A227" t="s">
        <v>452</v>
      </c>
      <c r="B227">
        <f>INDEX(Calculation!$A$1:$D$343,MATCH($A227,Calculation!$A:$A,0),MATCH(B$1,Calculation!$1:$1,0))</f>
        <v>1.560802</v>
      </c>
      <c r="C227">
        <f>INDEX(Calculation!$A$1:$D$343,MATCH($A227,Calculation!$A:$A,0),MATCH(C$1,Calculation!$1:$1,0))</f>
        <v>4.770791</v>
      </c>
    </row>
    <row r="228" spans="1:3" x14ac:dyDescent="0.2">
      <c r="A228" t="s">
        <v>454</v>
      </c>
      <c r="B228">
        <f>INDEX(Calculation!$A$1:$D$343,MATCH($A228,Calculation!$A:$A,0),MATCH(B$1,Calculation!$1:$1,0))</f>
        <v>1.8863909999999999</v>
      </c>
      <c r="C228">
        <f>INDEX(Calculation!$A$1:$D$343,MATCH($A228,Calculation!$A:$A,0),MATCH(C$1,Calculation!$1:$1,0))</f>
        <v>1.0811040000000001</v>
      </c>
    </row>
    <row r="229" spans="1:3" x14ac:dyDescent="0.2">
      <c r="A229" t="s">
        <v>456</v>
      </c>
      <c r="B229">
        <f>INDEX(Calculation!$A$1:$D$343,MATCH($A229,Calculation!$A:$A,0),MATCH(B$1,Calculation!$1:$1,0))</f>
        <v>0.919937</v>
      </c>
      <c r="C229">
        <f>INDEX(Calculation!$A$1:$D$343,MATCH($A229,Calculation!$A:$A,0),MATCH(C$1,Calculation!$1:$1,0))</f>
        <v>1.409268</v>
      </c>
    </row>
    <row r="230" spans="1:3" x14ac:dyDescent="0.2">
      <c r="A230" t="s">
        <v>458</v>
      </c>
      <c r="B230">
        <f>INDEX(Calculation!$A$1:$D$343,MATCH($A230,Calculation!$A:$A,0),MATCH(B$1,Calculation!$1:$1,0))</f>
        <v>1.6192569999999999</v>
      </c>
      <c r="C230">
        <f>INDEX(Calculation!$A$1:$D$343,MATCH($A230,Calculation!$A:$A,0),MATCH(C$1,Calculation!$1:$1,0))</f>
        <v>2.4584250000000001</v>
      </c>
    </row>
    <row r="231" spans="1:3" x14ac:dyDescent="0.2">
      <c r="A231" t="s">
        <v>460</v>
      </c>
      <c r="B231">
        <f>INDEX(Calculation!$A$1:$D$343,MATCH($A231,Calculation!$A:$A,0),MATCH(B$1,Calculation!$1:$1,0))</f>
        <v>0.78179100000000001</v>
      </c>
      <c r="C231">
        <f>INDEX(Calculation!$A$1:$D$343,MATCH($A231,Calculation!$A:$A,0),MATCH(C$1,Calculation!$1:$1,0))</f>
        <v>2.1500219999999999</v>
      </c>
    </row>
    <row r="232" spans="1:3" x14ac:dyDescent="0.2">
      <c r="A232" t="s">
        <v>462</v>
      </c>
      <c r="B232">
        <f>INDEX(Calculation!$A$1:$D$343,MATCH($A232,Calculation!$A:$A,0),MATCH(B$1,Calculation!$1:$1,0))</f>
        <v>1.08338</v>
      </c>
      <c r="C232">
        <f>INDEX(Calculation!$A$1:$D$343,MATCH($A232,Calculation!$A:$A,0),MATCH(C$1,Calculation!$1:$1,0))</f>
        <v>0.62957099999999999</v>
      </c>
    </row>
    <row r="233" spans="1:3" x14ac:dyDescent="0.2">
      <c r="A233" t="s">
        <v>464</v>
      </c>
      <c r="B233">
        <f>INDEX(Calculation!$A$1:$D$343,MATCH($A233,Calculation!$A:$A,0),MATCH(B$1,Calculation!$1:$1,0))</f>
        <v>0.22173100000000001</v>
      </c>
      <c r="C233">
        <f>INDEX(Calculation!$A$1:$D$343,MATCH($A233,Calculation!$A:$A,0),MATCH(C$1,Calculation!$1:$1,0))</f>
        <v>0.42998199999999998</v>
      </c>
    </row>
    <row r="234" spans="1:3" x14ac:dyDescent="0.2">
      <c r="A234" t="s">
        <v>466</v>
      </c>
      <c r="B234">
        <f>INDEX(Calculation!$A$1:$D$343,MATCH($A234,Calculation!$A:$A,0),MATCH(B$1,Calculation!$1:$1,0))</f>
        <v>0.652007</v>
      </c>
      <c r="C234">
        <f>INDEX(Calculation!$A$1:$D$343,MATCH($A234,Calculation!$A:$A,0),MATCH(C$1,Calculation!$1:$1,0))</f>
        <v>1.282816</v>
      </c>
    </row>
    <row r="235" spans="1:3" x14ac:dyDescent="0.2">
      <c r="A235" t="s">
        <v>468</v>
      </c>
      <c r="B235">
        <f>INDEX(Calculation!$A$1:$D$343,MATCH($A235,Calculation!$A:$A,0),MATCH(B$1,Calculation!$1:$1,0))</f>
        <v>1.4389369999999999</v>
      </c>
      <c r="C235">
        <f>INDEX(Calculation!$A$1:$D$343,MATCH($A235,Calculation!$A:$A,0),MATCH(C$1,Calculation!$1:$1,0))</f>
        <v>1.001296</v>
      </c>
    </row>
    <row r="236" spans="1:3" x14ac:dyDescent="0.2">
      <c r="A236" t="s">
        <v>470</v>
      </c>
      <c r="B236">
        <f>INDEX(Calculation!$A$1:$D$343,MATCH($A236,Calculation!$A:$A,0),MATCH(B$1,Calculation!$1:$1,0))</f>
        <v>0.66506600000000005</v>
      </c>
      <c r="C236">
        <f>INDEX(Calculation!$A$1:$D$343,MATCH($A236,Calculation!$A:$A,0),MATCH(C$1,Calculation!$1:$1,0))</f>
        <v>0.66798199999999996</v>
      </c>
    </row>
    <row r="237" spans="1:3" x14ac:dyDescent="0.2">
      <c r="A237" t="s">
        <v>472</v>
      </c>
      <c r="B237">
        <f>INDEX(Calculation!$A$1:$D$343,MATCH($A237,Calculation!$A:$A,0),MATCH(B$1,Calculation!$1:$1,0))</f>
        <v>1.1947289999999999</v>
      </c>
      <c r="C237">
        <f>INDEX(Calculation!$A$1:$D$343,MATCH($A237,Calculation!$A:$A,0),MATCH(C$1,Calculation!$1:$1,0))</f>
        <v>1.84598</v>
      </c>
    </row>
    <row r="238" spans="1:3" x14ac:dyDescent="0.2">
      <c r="A238" t="s">
        <v>474</v>
      </c>
      <c r="B238">
        <f>INDEX(Calculation!$A$1:$D$343,MATCH($A238,Calculation!$A:$A,0),MATCH(B$1,Calculation!$1:$1,0))</f>
        <v>1.3222670000000001</v>
      </c>
      <c r="C238">
        <f>INDEX(Calculation!$A$1:$D$343,MATCH($A238,Calculation!$A:$A,0),MATCH(C$1,Calculation!$1:$1,0))</f>
        <v>1.783237</v>
      </c>
    </row>
    <row r="239" spans="1:3" x14ac:dyDescent="0.2">
      <c r="A239" t="s">
        <v>476</v>
      </c>
      <c r="B239">
        <f>INDEX(Calculation!$A$1:$D$343,MATCH($A239,Calculation!$A:$A,0),MATCH(B$1,Calculation!$1:$1,0))</f>
        <v>1.043677</v>
      </c>
      <c r="C239">
        <f>INDEX(Calculation!$A$1:$D$343,MATCH($A239,Calculation!$A:$A,0),MATCH(C$1,Calculation!$1:$1,0))</f>
        <v>1.0552859999999999</v>
      </c>
    </row>
    <row r="240" spans="1:3" x14ac:dyDescent="0.2">
      <c r="A240" t="s">
        <v>478</v>
      </c>
      <c r="B240">
        <f>INDEX(Calculation!$A$1:$D$343,MATCH($A240,Calculation!$A:$A,0),MATCH(B$1,Calculation!$1:$1,0))</f>
        <v>1.0576589999999999</v>
      </c>
      <c r="C240">
        <f>INDEX(Calculation!$A$1:$D$343,MATCH($A240,Calculation!$A:$A,0),MATCH(C$1,Calculation!$1:$1,0))</f>
        <v>0.84684800000000005</v>
      </c>
    </row>
    <row r="241" spans="1:3" x14ac:dyDescent="0.2">
      <c r="A241" t="s">
        <v>480</v>
      </c>
      <c r="B241">
        <f>INDEX(Calculation!$A$1:$D$343,MATCH($A241,Calculation!$A:$A,0),MATCH(B$1,Calculation!$1:$1,0))</f>
        <v>2.0445720000000001</v>
      </c>
      <c r="C241">
        <f>INDEX(Calculation!$A$1:$D$343,MATCH($A241,Calculation!$A:$A,0),MATCH(C$1,Calculation!$1:$1,0))</f>
        <v>2.4065099999999999</v>
      </c>
    </row>
    <row r="242" spans="1:3" x14ac:dyDescent="0.2">
      <c r="A242" t="s">
        <v>482</v>
      </c>
      <c r="B242">
        <f>INDEX(Calculation!$A$1:$D$343,MATCH($A242,Calculation!$A:$A,0),MATCH(B$1,Calculation!$1:$1,0))</f>
        <v>1.5809260000000001</v>
      </c>
      <c r="C242">
        <f>INDEX(Calculation!$A$1:$D$343,MATCH($A242,Calculation!$A:$A,0),MATCH(C$1,Calculation!$1:$1,0))</f>
        <v>1.856012</v>
      </c>
    </row>
    <row r="243" spans="1:3" x14ac:dyDescent="0.2">
      <c r="A243" t="s">
        <v>484</v>
      </c>
      <c r="B243">
        <f>INDEX(Calculation!$A$1:$D$343,MATCH($A243,Calculation!$A:$A,0),MATCH(B$1,Calculation!$1:$1,0))</f>
        <v>2.6382500000000002</v>
      </c>
      <c r="C243">
        <f>INDEX(Calculation!$A$1:$D$343,MATCH($A243,Calculation!$A:$A,0),MATCH(C$1,Calculation!$1:$1,0))</f>
        <v>3.7118120000000001</v>
      </c>
    </row>
    <row r="244" spans="1:3" x14ac:dyDescent="0.2">
      <c r="A244" t="s">
        <v>486</v>
      </c>
      <c r="B244">
        <f>INDEX(Calculation!$A$1:$D$343,MATCH($A244,Calculation!$A:$A,0),MATCH(B$1,Calculation!$1:$1,0))</f>
        <v>10.399875</v>
      </c>
      <c r="C244">
        <f>INDEX(Calculation!$A$1:$D$343,MATCH($A244,Calculation!$A:$A,0),MATCH(C$1,Calculation!$1:$1,0))</f>
        <v>14.498324</v>
      </c>
    </row>
    <row r="245" spans="1:3" x14ac:dyDescent="0.2">
      <c r="A245" t="s">
        <v>488</v>
      </c>
      <c r="B245">
        <f>INDEX(Calculation!$A$1:$D$343,MATCH($A245,Calculation!$A:$A,0),MATCH(B$1,Calculation!$1:$1,0))</f>
        <v>8.0466999999999997E-2</v>
      </c>
      <c r="C245">
        <f>INDEX(Calculation!$A$1:$D$343,MATCH($A245,Calculation!$A:$A,0),MATCH(C$1,Calculation!$1:$1,0))</f>
        <v>2.5104000000000001E-2</v>
      </c>
    </row>
    <row r="246" spans="1:3" x14ac:dyDescent="0.2">
      <c r="A246" t="s">
        <v>490</v>
      </c>
      <c r="B246">
        <f>INDEX(Calculation!$A$1:$D$343,MATCH($A246,Calculation!$A:$A,0),MATCH(B$1,Calculation!$1:$1,0))</f>
        <v>1.074209</v>
      </c>
      <c r="C246">
        <f>INDEX(Calculation!$A$1:$D$343,MATCH($A246,Calculation!$A:$A,0),MATCH(C$1,Calculation!$1:$1,0))</f>
        <v>1.2059139999999999</v>
      </c>
    </row>
    <row r="247" spans="1:3" x14ac:dyDescent="0.2">
      <c r="A247" t="s">
        <v>492</v>
      </c>
      <c r="B247">
        <f>INDEX(Calculation!$A$1:$D$343,MATCH($A247,Calculation!$A:$A,0),MATCH(B$1,Calculation!$1:$1,0))</f>
        <v>2.1530499999999999</v>
      </c>
      <c r="C247">
        <f>INDEX(Calculation!$A$1:$D$343,MATCH($A247,Calculation!$A:$A,0),MATCH(C$1,Calculation!$1:$1,0))</f>
        <v>2.4680529999999998</v>
      </c>
    </row>
    <row r="248" spans="1:3" x14ac:dyDescent="0.2">
      <c r="A248" t="s">
        <v>494</v>
      </c>
      <c r="B248">
        <f>INDEX(Calculation!$A$1:$D$343,MATCH($A248,Calculation!$A:$A,0),MATCH(B$1,Calculation!$1:$1,0))</f>
        <v>0.31998199999999999</v>
      </c>
      <c r="C248">
        <f>INDEX(Calculation!$A$1:$D$343,MATCH($A248,Calculation!$A:$A,0),MATCH(C$1,Calculation!$1:$1,0))</f>
        <v>0.45593699999999998</v>
      </c>
    </row>
    <row r="249" spans="1:3" x14ac:dyDescent="0.2">
      <c r="A249" t="s">
        <v>496</v>
      </c>
      <c r="B249">
        <f>INDEX(Calculation!$A$1:$D$343,MATCH($A249,Calculation!$A:$A,0),MATCH(B$1,Calculation!$1:$1,0))</f>
        <v>1.4200680000000001</v>
      </c>
      <c r="C249">
        <f>INDEX(Calculation!$A$1:$D$343,MATCH($A249,Calculation!$A:$A,0),MATCH(C$1,Calculation!$1:$1,0))</f>
        <v>1.438879</v>
      </c>
    </row>
    <row r="250" spans="1:3" x14ac:dyDescent="0.2">
      <c r="A250" t="s">
        <v>498</v>
      </c>
      <c r="B250">
        <f>INDEX(Calculation!$A$1:$D$343,MATCH($A250,Calculation!$A:$A,0),MATCH(B$1,Calculation!$1:$1,0))</f>
        <v>5.2935999999999997E-2</v>
      </c>
      <c r="C250">
        <f>INDEX(Calculation!$A$1:$D$343,MATCH($A250,Calculation!$A:$A,0),MATCH(C$1,Calculation!$1:$1,0))</f>
        <v>9.8764000000000005E-2</v>
      </c>
    </row>
    <row r="251" spans="1:3" x14ac:dyDescent="0.2">
      <c r="A251" t="s">
        <v>500</v>
      </c>
      <c r="B251">
        <f>INDEX(Calculation!$A$1:$D$343,MATCH($A251,Calculation!$A:$A,0),MATCH(B$1,Calculation!$1:$1,0))</f>
        <v>1.614706</v>
      </c>
      <c r="C251">
        <f>INDEX(Calculation!$A$1:$D$343,MATCH($A251,Calculation!$A:$A,0),MATCH(C$1,Calculation!$1:$1,0))</f>
        <v>2.663586</v>
      </c>
    </row>
    <row r="252" spans="1:3" x14ac:dyDescent="0.2">
      <c r="A252" t="s">
        <v>502</v>
      </c>
      <c r="B252">
        <f>INDEX(Calculation!$A$1:$D$343,MATCH($A252,Calculation!$A:$A,0),MATCH(B$1,Calculation!$1:$1,0))</f>
        <v>0.45927000000000001</v>
      </c>
      <c r="C252">
        <f>INDEX(Calculation!$A$1:$D$343,MATCH($A252,Calculation!$A:$A,0),MATCH(C$1,Calculation!$1:$1,0))</f>
        <v>0.218082</v>
      </c>
    </row>
    <row r="253" spans="1:3" x14ac:dyDescent="0.2">
      <c r="A253" t="s">
        <v>504</v>
      </c>
      <c r="B253">
        <f>INDEX(Calculation!$A$1:$D$343,MATCH($A253,Calculation!$A:$A,0),MATCH(B$1,Calculation!$1:$1,0))</f>
        <v>1.296729</v>
      </c>
      <c r="C253">
        <f>INDEX(Calculation!$A$1:$D$343,MATCH($A253,Calculation!$A:$A,0),MATCH(C$1,Calculation!$1:$1,0))</f>
        <v>1.035199</v>
      </c>
    </row>
    <row r="254" spans="1:3" x14ac:dyDescent="0.2">
      <c r="A254" t="s">
        <v>506</v>
      </c>
      <c r="B254">
        <f>INDEX(Calculation!$A$1:$D$343,MATCH($A254,Calculation!$A:$A,0),MATCH(B$1,Calculation!$1:$1,0))</f>
        <v>3.623828</v>
      </c>
      <c r="C254">
        <f>INDEX(Calculation!$A$1:$D$343,MATCH($A254,Calculation!$A:$A,0),MATCH(C$1,Calculation!$1:$1,0))</f>
        <v>4.189781</v>
      </c>
    </row>
    <row r="255" spans="1:3" x14ac:dyDescent="0.2">
      <c r="A255" t="s">
        <v>508</v>
      </c>
      <c r="B255">
        <f>INDEX(Calculation!$A$1:$D$343,MATCH($A255,Calculation!$A:$A,0),MATCH(B$1,Calculation!$1:$1,0))</f>
        <v>0.59987599999999996</v>
      </c>
      <c r="C255">
        <f>INDEX(Calculation!$A$1:$D$343,MATCH($A255,Calculation!$A:$A,0),MATCH(C$1,Calculation!$1:$1,0))</f>
        <v>0.63731000000000004</v>
      </c>
    </row>
    <row r="256" spans="1:3" x14ac:dyDescent="0.2">
      <c r="A256" t="s">
        <v>510</v>
      </c>
      <c r="B256">
        <f>INDEX(Calculation!$A$1:$D$343,MATCH($A256,Calculation!$A:$A,0),MATCH(B$1,Calculation!$1:$1,0))</f>
        <v>1.4009069999999999</v>
      </c>
      <c r="C256">
        <f>INDEX(Calculation!$A$1:$D$343,MATCH($A256,Calculation!$A:$A,0),MATCH(C$1,Calculation!$1:$1,0))</f>
        <v>1.875875</v>
      </c>
    </row>
    <row r="257" spans="1:3" x14ac:dyDescent="0.2">
      <c r="A257" t="s">
        <v>512</v>
      </c>
      <c r="B257">
        <f>INDEX(Calculation!$A$1:$D$343,MATCH($A257,Calculation!$A:$A,0),MATCH(B$1,Calculation!$1:$1,0))</f>
        <v>2.1536819999999999</v>
      </c>
      <c r="C257">
        <f>INDEX(Calculation!$A$1:$D$343,MATCH($A257,Calculation!$A:$A,0),MATCH(C$1,Calculation!$1:$1,0))</f>
        <v>2.0372710000000001</v>
      </c>
    </row>
    <row r="258" spans="1:3" x14ac:dyDescent="0.2">
      <c r="A258" t="s">
        <v>514</v>
      </c>
      <c r="B258">
        <f>INDEX(Calculation!$A$1:$D$343,MATCH($A258,Calculation!$A:$A,0),MATCH(B$1,Calculation!$1:$1,0))</f>
        <v>1.377756</v>
      </c>
      <c r="C258">
        <f>INDEX(Calculation!$A$1:$D$343,MATCH($A258,Calculation!$A:$A,0),MATCH(C$1,Calculation!$1:$1,0))</f>
        <v>1.2763800000000001</v>
      </c>
    </row>
    <row r="259" spans="1:3" x14ac:dyDescent="0.2">
      <c r="A259" t="s">
        <v>516</v>
      </c>
      <c r="B259">
        <f>INDEX(Calculation!$A$1:$D$343,MATCH($A259,Calculation!$A:$A,0),MATCH(B$1,Calculation!$1:$1,0))</f>
        <v>0.94990699999999995</v>
      </c>
      <c r="C259">
        <f>INDEX(Calculation!$A$1:$D$343,MATCH($A259,Calculation!$A:$A,0),MATCH(C$1,Calculation!$1:$1,0))</f>
        <v>2.7372999999999998</v>
      </c>
    </row>
    <row r="260" spans="1:3" x14ac:dyDescent="0.2">
      <c r="A260" t="s">
        <v>518</v>
      </c>
      <c r="B260">
        <f>INDEX(Calculation!$A$1:$D$343,MATCH($A260,Calculation!$A:$A,0),MATCH(B$1,Calculation!$1:$1,0))</f>
        <v>0.70759399999999995</v>
      </c>
      <c r="C260">
        <f>INDEX(Calculation!$A$1:$D$343,MATCH($A260,Calculation!$A:$A,0),MATCH(C$1,Calculation!$1:$1,0))</f>
        <v>1.1014900000000001</v>
      </c>
    </row>
    <row r="261" spans="1:3" x14ac:dyDescent="0.2">
      <c r="A261" t="s">
        <v>520</v>
      </c>
      <c r="B261">
        <f>INDEX(Calculation!$A$1:$D$343,MATCH($A261,Calculation!$A:$A,0),MATCH(B$1,Calculation!$1:$1,0))</f>
        <v>1.574322</v>
      </c>
      <c r="C261">
        <f>INDEX(Calculation!$A$1:$D$343,MATCH($A261,Calculation!$A:$A,0),MATCH(C$1,Calculation!$1:$1,0))</f>
        <v>1.151227</v>
      </c>
    </row>
    <row r="262" spans="1:3" x14ac:dyDescent="0.2">
      <c r="A262" t="s">
        <v>522</v>
      </c>
      <c r="B262">
        <f>INDEX(Calculation!$A$1:$D$343,MATCH($A262,Calculation!$A:$A,0),MATCH(B$1,Calculation!$1:$1,0))</f>
        <v>0.95152099999999995</v>
      </c>
      <c r="C262">
        <f>INDEX(Calculation!$A$1:$D$343,MATCH($A262,Calculation!$A:$A,0),MATCH(C$1,Calculation!$1:$1,0))</f>
        <v>1.1848989999999999</v>
      </c>
    </row>
    <row r="263" spans="1:3" x14ac:dyDescent="0.2">
      <c r="A263" t="s">
        <v>524</v>
      </c>
      <c r="B263">
        <f>INDEX(Calculation!$A$1:$D$343,MATCH($A263,Calculation!$A:$A,0),MATCH(B$1,Calculation!$1:$1,0))</f>
        <v>0.68976700000000002</v>
      </c>
      <c r="C263">
        <f>INDEX(Calculation!$A$1:$D$343,MATCH($A263,Calculation!$A:$A,0),MATCH(C$1,Calculation!$1:$1,0))</f>
        <v>0.84094199999999997</v>
      </c>
    </row>
    <row r="264" spans="1:3" x14ac:dyDescent="0.2">
      <c r="A264" t="s">
        <v>526</v>
      </c>
      <c r="B264">
        <f>INDEX(Calculation!$A$1:$D$343,MATCH($A264,Calculation!$A:$A,0),MATCH(B$1,Calculation!$1:$1,0))</f>
        <v>0.93236600000000003</v>
      </c>
      <c r="C264">
        <f>INDEX(Calculation!$A$1:$D$343,MATCH($A264,Calculation!$A:$A,0),MATCH(C$1,Calculation!$1:$1,0))</f>
        <v>3.1712220000000002</v>
      </c>
    </row>
    <row r="265" spans="1:3" x14ac:dyDescent="0.2">
      <c r="A265" t="s">
        <v>528</v>
      </c>
      <c r="B265">
        <f>INDEX(Calculation!$A$1:$D$343,MATCH($A265,Calculation!$A:$A,0),MATCH(B$1,Calculation!$1:$1,0))</f>
        <v>2.366879</v>
      </c>
      <c r="C265">
        <f>INDEX(Calculation!$A$1:$D$343,MATCH($A265,Calculation!$A:$A,0),MATCH(C$1,Calculation!$1:$1,0))</f>
        <v>2.0245829999999998</v>
      </c>
    </row>
    <row r="266" spans="1:3" x14ac:dyDescent="0.2">
      <c r="A266" t="s">
        <v>530</v>
      </c>
      <c r="B266">
        <f>INDEX(Calculation!$A$1:$D$343,MATCH($A266,Calculation!$A:$A,0),MATCH(B$1,Calculation!$1:$1,0))</f>
        <v>1.0448010000000001</v>
      </c>
      <c r="C266">
        <f>INDEX(Calculation!$A$1:$D$343,MATCH($A266,Calculation!$A:$A,0),MATCH(C$1,Calculation!$1:$1,0))</f>
        <v>0.57128000000000001</v>
      </c>
    </row>
    <row r="267" spans="1:3" x14ac:dyDescent="0.2">
      <c r="A267" t="s">
        <v>532</v>
      </c>
      <c r="B267">
        <f>INDEX(Calculation!$A$1:$D$343,MATCH($A267,Calculation!$A:$A,0),MATCH(B$1,Calculation!$1:$1,0))</f>
        <v>1.9457040000000001</v>
      </c>
      <c r="C267">
        <f>INDEX(Calculation!$A$1:$D$343,MATCH($A267,Calculation!$A:$A,0),MATCH(C$1,Calculation!$1:$1,0))</f>
        <v>1.5935159999999999</v>
      </c>
    </row>
    <row r="268" spans="1:3" x14ac:dyDescent="0.2">
      <c r="A268" t="s">
        <v>534</v>
      </c>
      <c r="B268">
        <f>INDEX(Calculation!$A$1:$D$343,MATCH($A268,Calculation!$A:$A,0),MATCH(B$1,Calculation!$1:$1,0))</f>
        <v>4.9790369999999999</v>
      </c>
      <c r="C268">
        <f>INDEX(Calculation!$A$1:$D$343,MATCH($A268,Calculation!$A:$A,0),MATCH(C$1,Calculation!$1:$1,0))</f>
        <v>0</v>
      </c>
    </row>
    <row r="269" spans="1:3" x14ac:dyDescent="0.2">
      <c r="A269" t="s">
        <v>536</v>
      </c>
      <c r="B269">
        <f>INDEX(Calculation!$A$1:$D$343,MATCH($A269,Calculation!$A:$A,0),MATCH(B$1,Calculation!$1:$1,0))</f>
        <v>2.0560990000000001</v>
      </c>
      <c r="C269">
        <f>INDEX(Calculation!$A$1:$D$343,MATCH($A269,Calculation!$A:$A,0),MATCH(C$1,Calculation!$1:$1,0))</f>
        <v>4.3153969999999999</v>
      </c>
    </row>
    <row r="270" spans="1:3" x14ac:dyDescent="0.2">
      <c r="A270" t="s">
        <v>538</v>
      </c>
      <c r="B270">
        <f>INDEX(Calculation!$A$1:$D$343,MATCH($A270,Calculation!$A:$A,0),MATCH(B$1,Calculation!$1:$1,0))</f>
        <v>0.23419100000000001</v>
      </c>
      <c r="C270">
        <f>INDEX(Calculation!$A$1:$D$343,MATCH($A270,Calculation!$A:$A,0),MATCH(C$1,Calculation!$1:$1,0))</f>
        <v>0.26651000000000002</v>
      </c>
    </row>
    <row r="271" spans="1:3" x14ac:dyDescent="0.2">
      <c r="A271" t="s">
        <v>540</v>
      </c>
      <c r="B271">
        <f>INDEX(Calculation!$A$1:$D$343,MATCH($A271,Calculation!$A:$A,0),MATCH(B$1,Calculation!$1:$1,0))</f>
        <v>0.82857099999999995</v>
      </c>
      <c r="C271">
        <f>INDEX(Calculation!$A$1:$D$343,MATCH($A271,Calculation!$A:$A,0),MATCH(C$1,Calculation!$1:$1,0))</f>
        <v>0.98050700000000002</v>
      </c>
    </row>
    <row r="272" spans="1:3" x14ac:dyDescent="0.2">
      <c r="A272" t="s">
        <v>542</v>
      </c>
      <c r="B272">
        <f>INDEX(Calculation!$A$1:$D$343,MATCH($A272,Calculation!$A:$A,0),MATCH(B$1,Calculation!$1:$1,0))</f>
        <v>1.103046</v>
      </c>
      <c r="C272">
        <f>INDEX(Calculation!$A$1:$D$343,MATCH($A272,Calculation!$A:$A,0),MATCH(C$1,Calculation!$1:$1,0))</f>
        <v>1.239984</v>
      </c>
    </row>
    <row r="273" spans="1:3" x14ac:dyDescent="0.2">
      <c r="A273" t="s">
        <v>544</v>
      </c>
      <c r="B273">
        <f>INDEX(Calculation!$A$1:$D$343,MATCH($A273,Calculation!$A:$A,0),MATCH(B$1,Calculation!$1:$1,0))</f>
        <v>0.96734500000000001</v>
      </c>
      <c r="C273">
        <f>INDEX(Calculation!$A$1:$D$343,MATCH($A273,Calculation!$A:$A,0),MATCH(C$1,Calculation!$1:$1,0))</f>
        <v>1.7973220000000001</v>
      </c>
    </row>
    <row r="274" spans="1:3" x14ac:dyDescent="0.2">
      <c r="A274" t="s">
        <v>546</v>
      </c>
      <c r="B274">
        <f>INDEX(Calculation!$A$1:$D$343,MATCH($A274,Calculation!$A:$A,0),MATCH(B$1,Calculation!$1:$1,0))</f>
        <v>1.1840729999999999</v>
      </c>
      <c r="C274">
        <f>INDEX(Calculation!$A$1:$D$343,MATCH($A274,Calculation!$A:$A,0),MATCH(C$1,Calculation!$1:$1,0))</f>
        <v>1.8905209999999999</v>
      </c>
    </row>
    <row r="275" spans="1:3" x14ac:dyDescent="0.2">
      <c r="A275" t="s">
        <v>548</v>
      </c>
      <c r="B275">
        <f>INDEX(Calculation!$A$1:$D$343,MATCH($A275,Calculation!$A:$A,0),MATCH(B$1,Calculation!$1:$1,0))</f>
        <v>5.9712800000000001</v>
      </c>
      <c r="C275">
        <f>INDEX(Calculation!$A$1:$D$343,MATCH($A275,Calculation!$A:$A,0),MATCH(C$1,Calculation!$1:$1,0))</f>
        <v>7.3209439999999999</v>
      </c>
    </row>
    <row r="276" spans="1:3" x14ac:dyDescent="0.2">
      <c r="A276" t="s">
        <v>550</v>
      </c>
      <c r="B276">
        <f>INDEX(Calculation!$A$1:$D$343,MATCH($A276,Calculation!$A:$A,0),MATCH(B$1,Calculation!$1:$1,0))</f>
        <v>1.080392</v>
      </c>
      <c r="C276">
        <f>INDEX(Calculation!$A$1:$D$343,MATCH($A276,Calculation!$A:$A,0),MATCH(C$1,Calculation!$1:$1,0))</f>
        <v>1.966906</v>
      </c>
    </row>
    <row r="277" spans="1:3" x14ac:dyDescent="0.2">
      <c r="A277" t="s">
        <v>552</v>
      </c>
      <c r="B277">
        <f>INDEX(Calculation!$A$1:$D$343,MATCH($A277,Calculation!$A:$A,0),MATCH(B$1,Calculation!$1:$1,0))</f>
        <v>1.450223</v>
      </c>
      <c r="C277">
        <f>INDEX(Calculation!$A$1:$D$343,MATCH($A277,Calculation!$A:$A,0),MATCH(C$1,Calculation!$1:$1,0))</f>
        <v>1.7095199999999999</v>
      </c>
    </row>
    <row r="278" spans="1:3" x14ac:dyDescent="0.2">
      <c r="A278" t="s">
        <v>554</v>
      </c>
      <c r="B278">
        <f>INDEX(Calculation!$A$1:$D$343,MATCH($A278,Calculation!$A:$A,0),MATCH(B$1,Calculation!$1:$1,0))</f>
        <v>1.637751</v>
      </c>
      <c r="C278">
        <f>INDEX(Calculation!$A$1:$D$343,MATCH($A278,Calculation!$A:$A,0),MATCH(C$1,Calculation!$1:$1,0))</f>
        <v>1.310932</v>
      </c>
    </row>
    <row r="279" spans="1:3" x14ac:dyDescent="0.2">
      <c r="A279" t="s">
        <v>556</v>
      </c>
      <c r="B279">
        <f>INDEX(Calculation!$A$1:$D$343,MATCH($A279,Calculation!$A:$A,0),MATCH(B$1,Calculation!$1:$1,0))</f>
        <v>1.620512</v>
      </c>
      <c r="C279">
        <f>INDEX(Calculation!$A$1:$D$343,MATCH($A279,Calculation!$A:$A,0),MATCH(C$1,Calculation!$1:$1,0))</f>
        <v>1.292527</v>
      </c>
    </row>
    <row r="280" spans="1:3" x14ac:dyDescent="0.2">
      <c r="A280" t="s">
        <v>558</v>
      </c>
      <c r="B280">
        <f>INDEX(Calculation!$A$1:$D$343,MATCH($A280,Calculation!$A:$A,0),MATCH(B$1,Calculation!$1:$1,0))</f>
        <v>0.399173</v>
      </c>
      <c r="C280">
        <f>INDEX(Calculation!$A$1:$D$343,MATCH($A280,Calculation!$A:$A,0),MATCH(C$1,Calculation!$1:$1,0))</f>
        <v>0.32641500000000001</v>
      </c>
    </row>
    <row r="281" spans="1:3" x14ac:dyDescent="0.2">
      <c r="A281" t="s">
        <v>560</v>
      </c>
      <c r="B281">
        <f>INDEX(Calculation!$A$1:$D$343,MATCH($A281,Calculation!$A:$A,0),MATCH(B$1,Calculation!$1:$1,0))</f>
        <v>0.79212199999999999</v>
      </c>
      <c r="C281">
        <f>INDEX(Calculation!$A$1:$D$343,MATCH($A281,Calculation!$A:$A,0),MATCH(C$1,Calculation!$1:$1,0))</f>
        <v>3.1386069999999999</v>
      </c>
    </row>
    <row r="282" spans="1:3" x14ac:dyDescent="0.2">
      <c r="A282" t="s">
        <v>562</v>
      </c>
      <c r="B282">
        <f>INDEX(Calculation!$A$1:$D$343,MATCH($A282,Calculation!$A:$A,0),MATCH(B$1,Calculation!$1:$1,0))</f>
        <v>0.49177199999999999</v>
      </c>
      <c r="C282">
        <f>INDEX(Calculation!$A$1:$D$343,MATCH($A282,Calculation!$A:$A,0),MATCH(C$1,Calculation!$1:$1,0))</f>
        <v>0.52635799999999999</v>
      </c>
    </row>
    <row r="283" spans="1:3" x14ac:dyDescent="0.2">
      <c r="A283" t="s">
        <v>564</v>
      </c>
      <c r="B283">
        <f>INDEX(Calculation!$A$1:$D$343,MATCH($A283,Calculation!$A:$A,0),MATCH(B$1,Calculation!$1:$1,0))</f>
        <v>7.072794</v>
      </c>
      <c r="C283">
        <f>INDEX(Calculation!$A$1:$D$343,MATCH($A283,Calculation!$A:$A,0),MATCH(C$1,Calculation!$1:$1,0))</f>
        <v>6.1889760000000003</v>
      </c>
    </row>
    <row r="284" spans="1:3" x14ac:dyDescent="0.2">
      <c r="A284" t="s">
        <v>566</v>
      </c>
      <c r="B284">
        <f>INDEX(Calculation!$A$1:$D$343,MATCH($A284,Calculation!$A:$A,0),MATCH(B$1,Calculation!$1:$1,0))</f>
        <v>1.848371</v>
      </c>
      <c r="C284">
        <f>INDEX(Calculation!$A$1:$D$343,MATCH($A284,Calculation!$A:$A,0),MATCH(C$1,Calculation!$1:$1,0))</f>
        <v>1.4339299999999999</v>
      </c>
    </row>
    <row r="285" spans="1:3" x14ac:dyDescent="0.2">
      <c r="A285" t="s">
        <v>568</v>
      </c>
      <c r="B285">
        <f>INDEX(Calculation!$A$1:$D$343,MATCH($A285,Calculation!$A:$A,0),MATCH(B$1,Calculation!$1:$1,0))</f>
        <v>0.38198700000000002</v>
      </c>
      <c r="C285">
        <f>INDEX(Calculation!$A$1:$D$343,MATCH($A285,Calculation!$A:$A,0),MATCH(C$1,Calculation!$1:$1,0))</f>
        <v>0.23124900000000001</v>
      </c>
    </row>
    <row r="286" spans="1:3" x14ac:dyDescent="0.2">
      <c r="A286" t="s">
        <v>570</v>
      </c>
      <c r="B286">
        <f>INDEX(Calculation!$A$1:$D$343,MATCH($A286,Calculation!$A:$A,0),MATCH(B$1,Calculation!$1:$1,0))</f>
        <v>0.72957700000000003</v>
      </c>
      <c r="C286">
        <f>INDEX(Calculation!$A$1:$D$343,MATCH($A286,Calculation!$A:$A,0),MATCH(C$1,Calculation!$1:$1,0))</f>
        <v>0.46880100000000002</v>
      </c>
    </row>
    <row r="287" spans="1:3" x14ac:dyDescent="0.2">
      <c r="A287" t="s">
        <v>572</v>
      </c>
      <c r="B287">
        <f>INDEX(Calculation!$A$1:$D$343,MATCH($A287,Calculation!$A:$A,0),MATCH(B$1,Calculation!$1:$1,0))</f>
        <v>1.199049</v>
      </c>
      <c r="C287">
        <f>INDEX(Calculation!$A$1:$D$343,MATCH($A287,Calculation!$A:$A,0),MATCH(C$1,Calculation!$1:$1,0))</f>
        <v>1.2110639999999999</v>
      </c>
    </row>
    <row r="288" spans="1:3" x14ac:dyDescent="0.2">
      <c r="A288" t="s">
        <v>574</v>
      </c>
      <c r="B288">
        <f>INDEX(Calculation!$A$1:$D$343,MATCH($A288,Calculation!$A:$A,0),MATCH(B$1,Calculation!$1:$1,0))</f>
        <v>1.1890160000000001</v>
      </c>
      <c r="C288">
        <f>INDEX(Calculation!$A$1:$D$343,MATCH($A288,Calculation!$A:$A,0),MATCH(C$1,Calculation!$1:$1,0))</f>
        <v>1.3232889999999999</v>
      </c>
    </row>
    <row r="289" spans="1:3" x14ac:dyDescent="0.2">
      <c r="A289" t="s">
        <v>576</v>
      </c>
      <c r="B289">
        <f>INDEX(Calculation!$A$1:$D$343,MATCH($A289,Calculation!$A:$A,0),MATCH(B$1,Calculation!$1:$1,0))</f>
        <v>1.5907739999999999</v>
      </c>
      <c r="C289">
        <f>INDEX(Calculation!$A$1:$D$343,MATCH($A289,Calculation!$A:$A,0),MATCH(C$1,Calculation!$1:$1,0))</f>
        <v>1.941281</v>
      </c>
    </row>
    <row r="290" spans="1:3" x14ac:dyDescent="0.2">
      <c r="A290" t="s">
        <v>578</v>
      </c>
      <c r="B290">
        <f>INDEX(Calculation!$A$1:$D$343,MATCH($A290,Calculation!$A:$A,0),MATCH(B$1,Calculation!$1:$1,0))</f>
        <v>1.088757</v>
      </c>
      <c r="C290">
        <f>INDEX(Calculation!$A$1:$D$343,MATCH($A290,Calculation!$A:$A,0),MATCH(C$1,Calculation!$1:$1,0))</f>
        <v>1.386566</v>
      </c>
    </row>
    <row r="291" spans="1:3" x14ac:dyDescent="0.2">
      <c r="A291" t="s">
        <v>580</v>
      </c>
      <c r="B291">
        <f>INDEX(Calculation!$A$1:$D$343,MATCH($A291,Calculation!$A:$A,0),MATCH(B$1,Calculation!$1:$1,0))</f>
        <v>1.641216</v>
      </c>
      <c r="C291">
        <f>INDEX(Calculation!$A$1:$D$343,MATCH($A291,Calculation!$A:$A,0),MATCH(C$1,Calculation!$1:$1,0))</f>
        <v>1.436029</v>
      </c>
    </row>
    <row r="292" spans="1:3" x14ac:dyDescent="0.2">
      <c r="A292" t="s">
        <v>582</v>
      </c>
      <c r="B292">
        <f>INDEX(Calculation!$A$1:$D$343,MATCH($A292,Calculation!$A:$A,0),MATCH(B$1,Calculation!$1:$1,0))</f>
        <v>1.6144259999999999</v>
      </c>
      <c r="C292">
        <f>INDEX(Calculation!$A$1:$D$343,MATCH($A292,Calculation!$A:$A,0),MATCH(C$1,Calculation!$1:$1,0))</f>
        <v>2.375947</v>
      </c>
    </row>
    <row r="293" spans="1:3" x14ac:dyDescent="0.2">
      <c r="A293" t="s">
        <v>584</v>
      </c>
      <c r="B293">
        <f>INDEX(Calculation!$A$1:$D$343,MATCH($A293,Calculation!$A:$A,0),MATCH(B$1,Calculation!$1:$1,0))</f>
        <v>3.791846</v>
      </c>
      <c r="C293">
        <f>INDEX(Calculation!$A$1:$D$343,MATCH($A293,Calculation!$A:$A,0),MATCH(C$1,Calculation!$1:$1,0))</f>
        <v>8.7950719999999993</v>
      </c>
    </row>
    <row r="294" spans="1:3" x14ac:dyDescent="0.2">
      <c r="A294" t="s">
        <v>586</v>
      </c>
      <c r="B294">
        <f>INDEX(Calculation!$A$1:$D$343,MATCH($A294,Calculation!$A:$A,0),MATCH(B$1,Calculation!$1:$1,0))</f>
        <v>2.130674</v>
      </c>
      <c r="C294">
        <f>INDEX(Calculation!$A$1:$D$343,MATCH($A294,Calculation!$A:$A,0),MATCH(C$1,Calculation!$1:$1,0))</f>
        <v>4.033741</v>
      </c>
    </row>
    <row r="295" spans="1:3" x14ac:dyDescent="0.2">
      <c r="A295" t="s">
        <v>588</v>
      </c>
      <c r="B295">
        <f>INDEX(Calculation!$A$1:$D$343,MATCH($A295,Calculation!$A:$A,0),MATCH(B$1,Calculation!$1:$1,0))</f>
        <v>1.766645</v>
      </c>
      <c r="C295">
        <f>INDEX(Calculation!$A$1:$D$343,MATCH($A295,Calculation!$A:$A,0),MATCH(C$1,Calculation!$1:$1,0))</f>
        <v>2.361685</v>
      </c>
    </row>
    <row r="296" spans="1:3" x14ac:dyDescent="0.2">
      <c r="A296" t="s">
        <v>590</v>
      </c>
      <c r="B296">
        <f>INDEX(Calculation!$A$1:$D$343,MATCH($A296,Calculation!$A:$A,0),MATCH(B$1,Calculation!$1:$1,0))</f>
        <v>1.3184739999999999</v>
      </c>
      <c r="C296">
        <f>INDEX(Calculation!$A$1:$D$343,MATCH($A296,Calculation!$A:$A,0),MATCH(C$1,Calculation!$1:$1,0))</f>
        <v>1.1690849999999999</v>
      </c>
    </row>
    <row r="297" spans="1:3" x14ac:dyDescent="0.2">
      <c r="A297" t="s">
        <v>592</v>
      </c>
      <c r="B297">
        <f>INDEX(Calculation!$A$1:$D$343,MATCH($A297,Calculation!$A:$A,0),MATCH(B$1,Calculation!$1:$1,0))</f>
        <v>4.9091000000000003E-2</v>
      </c>
      <c r="C297">
        <f>INDEX(Calculation!$A$1:$D$343,MATCH($A297,Calculation!$A:$A,0),MATCH(C$1,Calculation!$1:$1,0))</f>
        <v>7.4446999999999999E-2</v>
      </c>
    </row>
    <row r="298" spans="1:3" x14ac:dyDescent="0.2">
      <c r="A298" t="s">
        <v>594</v>
      </c>
      <c r="B298">
        <f>INDEX(Calculation!$A$1:$D$343,MATCH($A298,Calculation!$A:$A,0),MATCH(B$1,Calculation!$1:$1,0))</f>
        <v>1.289061</v>
      </c>
      <c r="C298">
        <f>INDEX(Calculation!$A$1:$D$343,MATCH($A298,Calculation!$A:$A,0),MATCH(C$1,Calculation!$1:$1,0))</f>
        <v>1.7556799999999999</v>
      </c>
    </row>
    <row r="299" spans="1:3" x14ac:dyDescent="0.2">
      <c r="A299" t="s">
        <v>596</v>
      </c>
      <c r="B299">
        <f>INDEX(Calculation!$A$1:$D$343,MATCH($A299,Calculation!$A:$A,0),MATCH(B$1,Calculation!$1:$1,0))</f>
        <v>0.59196000000000004</v>
      </c>
      <c r="C299">
        <f>INDEX(Calculation!$A$1:$D$343,MATCH($A299,Calculation!$A:$A,0),MATCH(C$1,Calculation!$1:$1,0))</f>
        <v>0.31104199999999999</v>
      </c>
    </row>
    <row r="300" spans="1:3" x14ac:dyDescent="0.2">
      <c r="A300" t="s">
        <v>598</v>
      </c>
      <c r="B300">
        <f>INDEX(Calculation!$A$1:$D$343,MATCH($A300,Calculation!$A:$A,0),MATCH(B$1,Calculation!$1:$1,0))</f>
        <v>2.4173830000000001</v>
      </c>
      <c r="C300">
        <f>INDEX(Calculation!$A$1:$D$343,MATCH($A300,Calculation!$A:$A,0),MATCH(C$1,Calculation!$1:$1,0))</f>
        <v>3.9868640000000002</v>
      </c>
    </row>
    <row r="301" spans="1:3" x14ac:dyDescent="0.2">
      <c r="A301" t="s">
        <v>600</v>
      </c>
      <c r="B301">
        <f>INDEX(Calculation!$A$1:$D$343,MATCH($A301,Calculation!$A:$A,0),MATCH(B$1,Calculation!$1:$1,0))</f>
        <v>0.67993899999999996</v>
      </c>
      <c r="C301">
        <f>INDEX(Calculation!$A$1:$D$343,MATCH($A301,Calculation!$A:$A,0),MATCH(C$1,Calculation!$1:$1,0))</f>
        <v>0.41492200000000001</v>
      </c>
    </row>
    <row r="302" spans="1:3" x14ac:dyDescent="0.2">
      <c r="A302" t="s">
        <v>602</v>
      </c>
      <c r="B302">
        <f>INDEX(Calculation!$A$1:$D$343,MATCH($A302,Calculation!$A:$A,0),MATCH(B$1,Calculation!$1:$1,0))</f>
        <v>1.091251</v>
      </c>
      <c r="C302">
        <f>INDEX(Calculation!$A$1:$D$343,MATCH($A302,Calculation!$A:$A,0),MATCH(C$1,Calculation!$1:$1,0))</f>
        <v>1.8438380000000001</v>
      </c>
    </row>
    <row r="303" spans="1:3" x14ac:dyDescent="0.2">
      <c r="A303" t="s">
        <v>604</v>
      </c>
      <c r="B303">
        <f>INDEX(Calculation!$A$1:$D$343,MATCH($A303,Calculation!$A:$A,0),MATCH(B$1,Calculation!$1:$1,0))</f>
        <v>1.1669750000000001</v>
      </c>
      <c r="C303">
        <f>INDEX(Calculation!$A$1:$D$343,MATCH($A303,Calculation!$A:$A,0),MATCH(C$1,Calculation!$1:$1,0))</f>
        <v>0.93491000000000002</v>
      </c>
    </row>
    <row r="304" spans="1:3" x14ac:dyDescent="0.2">
      <c r="A304" t="s">
        <v>606</v>
      </c>
      <c r="B304">
        <f>INDEX(Calculation!$A$1:$D$343,MATCH($A304,Calculation!$A:$A,0),MATCH(B$1,Calculation!$1:$1,0))</f>
        <v>2.5446179999999998</v>
      </c>
      <c r="C304">
        <f>INDEX(Calculation!$A$1:$D$343,MATCH($A304,Calculation!$A:$A,0),MATCH(C$1,Calculation!$1:$1,0))</f>
        <v>3.4614039999999999</v>
      </c>
    </row>
    <row r="305" spans="1:3" x14ac:dyDescent="0.2">
      <c r="A305" t="s">
        <v>608</v>
      </c>
      <c r="B305">
        <f>INDEX(Calculation!$A$1:$D$343,MATCH($A305,Calculation!$A:$A,0),MATCH(B$1,Calculation!$1:$1,0))</f>
        <v>0.72894800000000004</v>
      </c>
      <c r="C305">
        <f>INDEX(Calculation!$A$1:$D$343,MATCH($A305,Calculation!$A:$A,0),MATCH(C$1,Calculation!$1:$1,0))</f>
        <v>0.339814</v>
      </c>
    </row>
    <row r="306" spans="1:3" x14ac:dyDescent="0.2">
      <c r="A306" t="s">
        <v>610</v>
      </c>
      <c r="B306">
        <f>INDEX(Calculation!$A$1:$D$343,MATCH($A306,Calculation!$A:$A,0),MATCH(B$1,Calculation!$1:$1,0))</f>
        <v>1.694501</v>
      </c>
      <c r="C306">
        <f>INDEX(Calculation!$A$1:$D$343,MATCH($A306,Calculation!$A:$A,0),MATCH(C$1,Calculation!$1:$1,0))</f>
        <v>2.884881</v>
      </c>
    </row>
    <row r="307" spans="1:3" x14ac:dyDescent="0.2">
      <c r="A307" t="s">
        <v>612</v>
      </c>
      <c r="B307">
        <f>INDEX(Calculation!$A$1:$D$343,MATCH($A307,Calculation!$A:$A,0),MATCH(B$1,Calculation!$1:$1,0))</f>
        <v>0.79395800000000005</v>
      </c>
      <c r="C307">
        <f>INDEX(Calculation!$A$1:$D$343,MATCH($A307,Calculation!$A:$A,0),MATCH(C$1,Calculation!$1:$1,0))</f>
        <v>2.1685249999999998</v>
      </c>
    </row>
    <row r="308" spans="1:3" x14ac:dyDescent="0.2">
      <c r="A308" t="s">
        <v>614</v>
      </c>
      <c r="B308">
        <f>INDEX(Calculation!$A$1:$D$343,MATCH($A308,Calculation!$A:$A,0),MATCH(B$1,Calculation!$1:$1,0))</f>
        <v>0.92722800000000005</v>
      </c>
      <c r="C308">
        <f>INDEX(Calculation!$A$1:$D$343,MATCH($A308,Calculation!$A:$A,0),MATCH(C$1,Calculation!$1:$1,0))</f>
        <v>0.75899700000000003</v>
      </c>
    </row>
    <row r="309" spans="1:3" x14ac:dyDescent="0.2">
      <c r="A309" t="s">
        <v>616</v>
      </c>
      <c r="B309">
        <f>INDEX(Calculation!$A$1:$D$343,MATCH($A309,Calculation!$A:$A,0),MATCH(B$1,Calculation!$1:$1,0))</f>
        <v>0.97083799999999998</v>
      </c>
      <c r="C309">
        <f>INDEX(Calculation!$A$1:$D$343,MATCH($A309,Calculation!$A:$A,0),MATCH(C$1,Calculation!$1:$1,0))</f>
        <v>0.55386299999999999</v>
      </c>
    </row>
    <row r="310" spans="1:3" x14ac:dyDescent="0.2">
      <c r="A310" t="s">
        <v>618</v>
      </c>
      <c r="B310">
        <f>INDEX(Calculation!$A$1:$D$343,MATCH($A310,Calculation!$A:$A,0),MATCH(B$1,Calculation!$1:$1,0))</f>
        <v>0.55266599999999999</v>
      </c>
      <c r="C310">
        <f>INDEX(Calculation!$A$1:$D$343,MATCH($A310,Calculation!$A:$A,0),MATCH(C$1,Calculation!$1:$1,0))</f>
        <v>0.45048199999999999</v>
      </c>
    </row>
    <row r="311" spans="1:3" x14ac:dyDescent="0.2">
      <c r="A311" t="s">
        <v>620</v>
      </c>
      <c r="B311">
        <f>INDEX(Calculation!$A$1:$D$343,MATCH($A311,Calculation!$A:$A,0),MATCH(B$1,Calculation!$1:$1,0))</f>
        <v>2.0857049999999999</v>
      </c>
      <c r="C311">
        <f>INDEX(Calculation!$A$1:$D$343,MATCH($A311,Calculation!$A:$A,0),MATCH(C$1,Calculation!$1:$1,0))</f>
        <v>2.7843070000000001</v>
      </c>
    </row>
    <row r="312" spans="1:3" x14ac:dyDescent="0.2">
      <c r="A312" t="s">
        <v>622</v>
      </c>
      <c r="B312">
        <f>INDEX(Calculation!$A$1:$D$343,MATCH($A312,Calculation!$A:$A,0),MATCH(B$1,Calculation!$1:$1,0))</f>
        <v>2.4342999999999999</v>
      </c>
      <c r="C312">
        <f>INDEX(Calculation!$A$1:$D$343,MATCH($A312,Calculation!$A:$A,0),MATCH(C$1,Calculation!$1:$1,0))</f>
        <v>3.8803169999999998</v>
      </c>
    </row>
    <row r="313" spans="1:3" x14ac:dyDescent="0.2">
      <c r="A313" t="s">
        <v>624</v>
      </c>
      <c r="B313">
        <f>INDEX(Calculation!$A$1:$D$343,MATCH($A313,Calculation!$A:$A,0),MATCH(B$1,Calculation!$1:$1,0))</f>
        <v>0.99981799999999998</v>
      </c>
      <c r="C313">
        <f>INDEX(Calculation!$A$1:$D$343,MATCH($A313,Calculation!$A:$A,0),MATCH(C$1,Calculation!$1:$1,0))</f>
        <v>1.278184</v>
      </c>
    </row>
    <row r="314" spans="1:3" x14ac:dyDescent="0.2">
      <c r="A314" t="s">
        <v>626</v>
      </c>
      <c r="B314">
        <f>INDEX(Calculation!$A$1:$D$343,MATCH($A314,Calculation!$A:$A,0),MATCH(B$1,Calculation!$1:$1,0))</f>
        <v>3.449119</v>
      </c>
      <c r="C314">
        <f>INDEX(Calculation!$A$1:$D$343,MATCH($A314,Calculation!$A:$A,0),MATCH(C$1,Calculation!$1:$1,0))</f>
        <v>3.2337180000000001</v>
      </c>
    </row>
    <row r="315" spans="1:3" x14ac:dyDescent="0.2">
      <c r="A315" t="s">
        <v>628</v>
      </c>
      <c r="B315">
        <f>INDEX(Calculation!$A$1:$D$343,MATCH($A315,Calculation!$A:$A,0),MATCH(B$1,Calculation!$1:$1,0))</f>
        <v>1.2549049999999999</v>
      </c>
      <c r="C315">
        <f>INDEX(Calculation!$A$1:$D$343,MATCH($A315,Calculation!$A:$A,0),MATCH(C$1,Calculation!$1:$1,0))</f>
        <v>1.0907389999999999</v>
      </c>
    </row>
    <row r="316" spans="1:3" x14ac:dyDescent="0.2">
      <c r="A316" t="s">
        <v>630</v>
      </c>
      <c r="B316">
        <f>INDEX(Calculation!$A$1:$D$343,MATCH($A316,Calculation!$A:$A,0),MATCH(B$1,Calculation!$1:$1,0))</f>
        <v>0.46257399999999999</v>
      </c>
      <c r="C316">
        <f>INDEX(Calculation!$A$1:$D$343,MATCH($A316,Calculation!$A:$A,0),MATCH(C$1,Calculation!$1:$1,0))</f>
        <v>0.17957999999999999</v>
      </c>
    </row>
    <row r="317" spans="1:3" x14ac:dyDescent="0.2">
      <c r="A317" t="s">
        <v>632</v>
      </c>
      <c r="B317">
        <f>INDEX(Calculation!$A$1:$D$343,MATCH($A317,Calculation!$A:$A,0),MATCH(B$1,Calculation!$1:$1,0))</f>
        <v>1.67964</v>
      </c>
      <c r="C317">
        <f>INDEX(Calculation!$A$1:$D$343,MATCH($A317,Calculation!$A:$A,0),MATCH(C$1,Calculation!$1:$1,0))</f>
        <v>1.625845</v>
      </c>
    </row>
    <row r="318" spans="1:3" x14ac:dyDescent="0.2">
      <c r="A318" t="s">
        <v>634</v>
      </c>
      <c r="B318">
        <f>INDEX(Calculation!$A$1:$D$343,MATCH($A318,Calculation!$A:$A,0),MATCH(B$1,Calculation!$1:$1,0))</f>
        <v>3.321218</v>
      </c>
      <c r="C318">
        <f>INDEX(Calculation!$A$1:$D$343,MATCH($A318,Calculation!$A:$A,0),MATCH(C$1,Calculation!$1:$1,0))</f>
        <v>33.151767</v>
      </c>
    </row>
    <row r="319" spans="1:3" x14ac:dyDescent="0.2">
      <c r="A319" t="s">
        <v>636</v>
      </c>
      <c r="B319">
        <f>INDEX(Calculation!$A$1:$D$343,MATCH($A319,Calculation!$A:$A,0),MATCH(B$1,Calculation!$1:$1,0))</f>
        <v>1.508618</v>
      </c>
      <c r="C319">
        <f>INDEX(Calculation!$A$1:$D$343,MATCH($A319,Calculation!$A:$A,0),MATCH(C$1,Calculation!$1:$1,0))</f>
        <v>1.6324730000000001</v>
      </c>
    </row>
    <row r="320" spans="1:3" x14ac:dyDescent="0.2">
      <c r="A320" t="s">
        <v>638</v>
      </c>
      <c r="B320">
        <f>INDEX(Calculation!$A$1:$D$343,MATCH($A320,Calculation!$A:$A,0),MATCH(B$1,Calculation!$1:$1,0))</f>
        <v>1.0017929999999999</v>
      </c>
      <c r="C320">
        <f>INDEX(Calculation!$A$1:$D$343,MATCH($A320,Calculation!$A:$A,0),MATCH(C$1,Calculation!$1:$1,0))</f>
        <v>1.2976380000000001</v>
      </c>
    </row>
    <row r="321" spans="1:3" x14ac:dyDescent="0.2">
      <c r="A321" t="s">
        <v>640</v>
      </c>
      <c r="B321">
        <f>INDEX(Calculation!$A$1:$D$343,MATCH($A321,Calculation!$A:$A,0),MATCH(B$1,Calculation!$1:$1,0))</f>
        <v>1.4847649999999999</v>
      </c>
      <c r="C321">
        <f>INDEX(Calculation!$A$1:$D$343,MATCH($A321,Calculation!$A:$A,0),MATCH(C$1,Calculation!$1:$1,0))</f>
        <v>1.817977</v>
      </c>
    </row>
    <row r="322" spans="1:3" x14ac:dyDescent="0.2">
      <c r="A322" t="s">
        <v>642</v>
      </c>
      <c r="B322">
        <f>INDEX(Calculation!$A$1:$D$343,MATCH($A322,Calculation!$A:$A,0),MATCH(B$1,Calculation!$1:$1,0))</f>
        <v>0.86648599999999998</v>
      </c>
      <c r="C322">
        <f>INDEX(Calculation!$A$1:$D$343,MATCH($A322,Calculation!$A:$A,0),MATCH(C$1,Calculation!$1:$1,0))</f>
        <v>0.79422499999999996</v>
      </c>
    </row>
    <row r="323" spans="1:3" x14ac:dyDescent="0.2">
      <c r="A323" t="s">
        <v>644</v>
      </c>
      <c r="B323">
        <f>INDEX(Calculation!$A$1:$D$343,MATCH($A323,Calculation!$A:$A,0),MATCH(B$1,Calculation!$1:$1,0))</f>
        <v>0.80430199999999996</v>
      </c>
      <c r="C323">
        <f>INDEX(Calculation!$A$1:$D$343,MATCH($A323,Calculation!$A:$A,0),MATCH(C$1,Calculation!$1:$1,0))</f>
        <v>0.608178</v>
      </c>
    </row>
    <row r="324" spans="1:3" x14ac:dyDescent="0.2">
      <c r="A324" t="s">
        <v>646</v>
      </c>
      <c r="B324">
        <f>INDEX(Calculation!$A$1:$D$343,MATCH($A324,Calculation!$A:$A,0),MATCH(B$1,Calculation!$1:$1,0))</f>
        <v>1.2953790000000001</v>
      </c>
      <c r="C324">
        <f>INDEX(Calculation!$A$1:$D$343,MATCH($A324,Calculation!$A:$A,0),MATCH(C$1,Calculation!$1:$1,0))</f>
        <v>1.717978</v>
      </c>
    </row>
    <row r="325" spans="1:3" x14ac:dyDescent="0.2">
      <c r="A325" t="s">
        <v>648</v>
      </c>
      <c r="B325">
        <f>INDEX(Calculation!$A$1:$D$343,MATCH($A325,Calculation!$A:$A,0),MATCH(B$1,Calculation!$1:$1,0))</f>
        <v>0.90238099999999999</v>
      </c>
      <c r="C325">
        <f>INDEX(Calculation!$A$1:$D$343,MATCH($A325,Calculation!$A:$A,0),MATCH(C$1,Calculation!$1:$1,0))</f>
        <v>1.253933</v>
      </c>
    </row>
    <row r="326" spans="1:3" x14ac:dyDescent="0.2">
      <c r="A326" t="s">
        <v>650</v>
      </c>
      <c r="B326">
        <f>INDEX(Calculation!$A$1:$D$343,MATCH($A326,Calculation!$A:$A,0),MATCH(B$1,Calculation!$1:$1,0))</f>
        <v>1.5610889999999999</v>
      </c>
      <c r="C326">
        <f>INDEX(Calculation!$A$1:$D$343,MATCH($A326,Calculation!$A:$A,0),MATCH(C$1,Calculation!$1:$1,0))</f>
        <v>2.3848229999999999</v>
      </c>
    </row>
    <row r="327" spans="1:3" x14ac:dyDescent="0.2">
      <c r="A327" t="s">
        <v>652</v>
      </c>
      <c r="B327">
        <f>INDEX(Calculation!$A$1:$D$343,MATCH($A327,Calculation!$A:$A,0),MATCH(B$1,Calculation!$1:$1,0))</f>
        <v>1.5392779999999999</v>
      </c>
      <c r="C327">
        <f>INDEX(Calculation!$A$1:$D$343,MATCH($A327,Calculation!$A:$A,0),MATCH(C$1,Calculation!$1:$1,0))</f>
        <v>1.4220120000000001</v>
      </c>
    </row>
    <row r="328" spans="1:3" x14ac:dyDescent="0.2">
      <c r="A328" t="s">
        <v>654</v>
      </c>
      <c r="B328">
        <f>INDEX(Calculation!$A$1:$D$343,MATCH($A328,Calculation!$A:$A,0),MATCH(B$1,Calculation!$1:$1,0))</f>
        <v>0.48272700000000002</v>
      </c>
      <c r="C328">
        <f>INDEX(Calculation!$A$1:$D$343,MATCH($A328,Calculation!$A:$A,0),MATCH(C$1,Calculation!$1:$1,0))</f>
        <v>0.47325499999999998</v>
      </c>
    </row>
    <row r="329" spans="1:3" x14ac:dyDescent="0.2">
      <c r="A329" t="s">
        <v>656</v>
      </c>
      <c r="B329">
        <f>INDEX(Calculation!$A$1:$D$343,MATCH($A329,Calculation!$A:$A,0),MATCH(B$1,Calculation!$1:$1,0))</f>
        <v>0.44202799999999998</v>
      </c>
      <c r="C329">
        <f>INDEX(Calculation!$A$1:$D$343,MATCH($A329,Calculation!$A:$A,0),MATCH(C$1,Calculation!$1:$1,0))</f>
        <v>0.59681700000000004</v>
      </c>
    </row>
    <row r="330" spans="1:3" x14ac:dyDescent="0.2">
      <c r="A330" t="s">
        <v>658</v>
      </c>
      <c r="B330">
        <f>INDEX(Calculation!$A$1:$D$343,MATCH($A330,Calculation!$A:$A,0),MATCH(B$1,Calculation!$1:$1,0))</f>
        <v>3.4989309999999998</v>
      </c>
      <c r="C330">
        <f>INDEX(Calculation!$A$1:$D$343,MATCH($A330,Calculation!$A:$A,0),MATCH(C$1,Calculation!$1:$1,0))</f>
        <v>3.6957659999999999</v>
      </c>
    </row>
    <row r="331" spans="1:3" x14ac:dyDescent="0.2">
      <c r="A331" t="s">
        <v>660</v>
      </c>
      <c r="B331">
        <f>INDEX(Calculation!$A$1:$D$343,MATCH($A331,Calculation!$A:$A,0),MATCH(B$1,Calculation!$1:$1,0))</f>
        <v>1.736221</v>
      </c>
      <c r="C331">
        <f>INDEX(Calculation!$A$1:$D$343,MATCH($A331,Calculation!$A:$A,0),MATCH(C$1,Calculation!$1:$1,0))</f>
        <v>4.5430840000000003</v>
      </c>
    </row>
    <row r="332" spans="1:3" x14ac:dyDescent="0.2">
      <c r="A332" t="s">
        <v>662</v>
      </c>
      <c r="B332">
        <f>INDEX(Calculation!$A$1:$D$343,MATCH($A332,Calculation!$A:$A,0),MATCH(B$1,Calculation!$1:$1,0))</f>
        <v>0.52454999999999996</v>
      </c>
      <c r="C332">
        <f>INDEX(Calculation!$A$1:$D$343,MATCH($A332,Calculation!$A:$A,0),MATCH(C$1,Calculation!$1:$1,0))</f>
        <v>0.215479</v>
      </c>
    </row>
    <row r="333" spans="1:3" x14ac:dyDescent="0.2">
      <c r="A333" t="s">
        <v>664</v>
      </c>
      <c r="B333">
        <f>INDEX(Calculation!$A$1:$D$343,MATCH($A333,Calculation!$A:$A,0),MATCH(B$1,Calculation!$1:$1,0))</f>
        <v>0.66305400000000003</v>
      </c>
      <c r="C333">
        <f>INDEX(Calculation!$A$1:$D$343,MATCH($A333,Calculation!$A:$A,0),MATCH(C$1,Calculation!$1:$1,0))</f>
        <v>1.802805</v>
      </c>
    </row>
    <row r="334" spans="1:3" x14ac:dyDescent="0.2">
      <c r="A334" t="s">
        <v>666</v>
      </c>
      <c r="B334">
        <f>INDEX(Calculation!$A$1:$D$343,MATCH($A334,Calculation!$A:$A,0),MATCH(B$1,Calculation!$1:$1,0))</f>
        <v>1.821482</v>
      </c>
      <c r="C334">
        <f>INDEX(Calculation!$A$1:$D$343,MATCH($A334,Calculation!$A:$A,0),MATCH(C$1,Calculation!$1:$1,0))</f>
        <v>1.2407459999999999</v>
      </c>
    </row>
    <row r="335" spans="1:3" x14ac:dyDescent="0.2">
      <c r="A335" t="s">
        <v>668</v>
      </c>
      <c r="B335">
        <f>INDEX(Calculation!$A$1:$D$343,MATCH($A335,Calculation!$A:$A,0),MATCH(B$1,Calculation!$1:$1,0))</f>
        <v>1.6461129999999999</v>
      </c>
      <c r="C335">
        <f>INDEX(Calculation!$A$1:$D$343,MATCH($A335,Calculation!$A:$A,0),MATCH(C$1,Calculation!$1:$1,0))</f>
        <v>1.7651809999999999</v>
      </c>
    </row>
    <row r="336" spans="1:3" x14ac:dyDescent="0.2">
      <c r="A336" t="s">
        <v>670</v>
      </c>
      <c r="B336">
        <f>INDEX(Calculation!$A$1:$D$343,MATCH($A336,Calculation!$A:$A,0),MATCH(B$1,Calculation!$1:$1,0))</f>
        <v>2.6505030000000001</v>
      </c>
      <c r="C336">
        <f>INDEX(Calculation!$A$1:$D$343,MATCH($A336,Calculation!$A:$A,0),MATCH(C$1,Calculation!$1:$1,0))</f>
        <v>1.8827339999999999</v>
      </c>
    </row>
    <row r="337" spans="1:3" x14ac:dyDescent="0.2">
      <c r="A337" t="s">
        <v>672</v>
      </c>
      <c r="B337">
        <f>INDEX(Calculation!$A$1:$D$343,MATCH($A337,Calculation!$A:$A,0),MATCH(B$1,Calculation!$1:$1,0))</f>
        <v>0.29071900000000001</v>
      </c>
      <c r="C337">
        <f>INDEX(Calculation!$A$1:$D$343,MATCH($A337,Calculation!$A:$A,0),MATCH(C$1,Calculation!$1:$1,0))</f>
        <v>0.64319400000000004</v>
      </c>
    </row>
    <row r="338" spans="1:3" x14ac:dyDescent="0.2">
      <c r="A338" t="s">
        <v>674</v>
      </c>
      <c r="B338">
        <f>INDEX(Calculation!$A$1:$D$343,MATCH($A338,Calculation!$A:$A,0),MATCH(B$1,Calculation!$1:$1,0))</f>
        <v>1.2469600000000001</v>
      </c>
      <c r="C338">
        <f>INDEX(Calculation!$A$1:$D$343,MATCH($A338,Calculation!$A:$A,0),MATCH(C$1,Calculation!$1:$1,0))</f>
        <v>4.649076</v>
      </c>
    </row>
    <row r="339" spans="1:3" x14ac:dyDescent="0.2">
      <c r="A339" t="s">
        <v>676</v>
      </c>
      <c r="B339">
        <f>INDEX(Calculation!$A$1:$D$343,MATCH($A339,Calculation!$A:$A,0),MATCH(B$1,Calculation!$1:$1,0))</f>
        <v>1.169241</v>
      </c>
      <c r="C339">
        <f>INDEX(Calculation!$A$1:$D$343,MATCH($A339,Calculation!$A:$A,0),MATCH(C$1,Calculation!$1:$1,0))</f>
        <v>2.3160319999999999</v>
      </c>
    </row>
    <row r="340" spans="1:3" x14ac:dyDescent="0.2">
      <c r="A340" t="s">
        <v>678</v>
      </c>
      <c r="B340">
        <f>INDEX(Calculation!$A$1:$D$343,MATCH($A340,Calculation!$A:$A,0),MATCH(B$1,Calculation!$1:$1,0))</f>
        <v>1.3790420000000001</v>
      </c>
      <c r="C340">
        <f>INDEX(Calculation!$A$1:$D$343,MATCH($A340,Calculation!$A:$A,0),MATCH(C$1,Calculation!$1:$1,0))</f>
        <v>1.431718</v>
      </c>
    </row>
    <row r="341" spans="1:3" x14ac:dyDescent="0.2">
      <c r="A341" t="s">
        <v>680</v>
      </c>
      <c r="B341">
        <f>INDEX(Calculation!$A$1:$D$343,MATCH($A341,Calculation!$A:$A,0),MATCH(B$1,Calculation!$1:$1,0))</f>
        <v>0.84108799999999995</v>
      </c>
      <c r="C341">
        <f>INDEX(Calculation!$A$1:$D$343,MATCH($A341,Calculation!$A:$A,0),MATCH(C$1,Calculation!$1:$1,0))</f>
        <v>1.500194</v>
      </c>
    </row>
    <row r="342" spans="1:3" x14ac:dyDescent="0.2">
      <c r="A342" t="s">
        <v>682</v>
      </c>
      <c r="B342">
        <f>INDEX(Calculation!$A$1:$D$343,MATCH($A342,Calculation!$A:$A,0),MATCH(B$1,Calculation!$1:$1,0))</f>
        <v>1.04609</v>
      </c>
      <c r="C342">
        <f>INDEX(Calculation!$A$1:$D$343,MATCH($A342,Calculation!$A:$A,0),MATCH(C$1,Calculation!$1:$1,0))</f>
        <v>1.3739030000000001</v>
      </c>
    </row>
    <row r="343" spans="1:3" x14ac:dyDescent="0.2">
      <c r="A343" t="s">
        <v>684</v>
      </c>
      <c r="B343">
        <f>INDEX(Calculation!$A$1:$D$343,MATCH($A343,Calculation!$A:$A,0),MATCH(B$1,Calculation!$1:$1,0))</f>
        <v>3.4078819999999999</v>
      </c>
      <c r="C343">
        <f>INDEX(Calculation!$A$1:$D$343,MATCH($A343,Calculation!$A:$A,0),MATCH(C$1,Calculation!$1:$1,0))</f>
        <v>3.4738980000000002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C6E8-9EE4-3C4B-8584-A7378C27DED3}">
  <sheetPr>
    <tabColor theme="8" tint="0.39997558519241921"/>
  </sheetPr>
  <dimension ref="A1:D343"/>
  <sheetViews>
    <sheetView workbookViewId="0">
      <selection activeCell="E4" sqref="E4"/>
    </sheetView>
  </sheetViews>
  <sheetFormatPr baseColWidth="10" defaultRowHeight="16" x14ac:dyDescent="0.2"/>
  <cols>
    <col min="2" max="2" width="28.5" bestFit="1" customWidth="1"/>
    <col min="3" max="3" width="26" bestFit="1" customWidth="1"/>
    <col min="4" max="4" width="24" bestFit="1" customWidth="1"/>
  </cols>
  <sheetData>
    <row r="1" spans="1:4" x14ac:dyDescent="0.2">
      <c r="A1" s="3" t="s">
        <v>686</v>
      </c>
      <c r="B1" s="3" t="s">
        <v>715</v>
      </c>
      <c r="C1" s="3" t="s">
        <v>714</v>
      </c>
      <c r="D1" s="3" t="s">
        <v>713</v>
      </c>
    </row>
    <row r="2" spans="1:4" x14ac:dyDescent="0.2">
      <c r="A2" t="s">
        <v>2</v>
      </c>
      <c r="B2" t="str">
        <f>INDEX(CBS_gemeenten_alfabetisch_2023!$B:$B,MATCH($A2,CBS_gemeenten_alfabetisch_2023!$A:$A,0))</f>
        <v>Aa en Hunze</v>
      </c>
      <c r="C2">
        <f>SUMIF(BAG_dakoppervlak_woningen!$B:$B,$B2,BAG_dakoppervlak_woningen!$G:$G)/10^6</f>
        <v>1.6218600000000001</v>
      </c>
      <c r="D2">
        <f>SUMIF(BAG_dakoppervlak_gebouwen!$B:$B,$B2,BAG_dakoppervlak_gebouwen!$G:$G)/10^6</f>
        <v>1.1517090000000001</v>
      </c>
    </row>
    <row r="3" spans="1:4" x14ac:dyDescent="0.2">
      <c r="A3" t="s">
        <v>4</v>
      </c>
      <c r="B3" t="str">
        <f>INDEX(CBS_gemeenten_alfabetisch_2023!$B:$B,MATCH($A3,CBS_gemeenten_alfabetisch_2023!$A:$A,0))</f>
        <v>Aalsmeer</v>
      </c>
      <c r="C3">
        <f>SUMIF(BAG_dakoppervlak_woningen!$B:$B,$B3,BAG_dakoppervlak_woningen!$G:$G)/10^6</f>
        <v>1.6787810000000001</v>
      </c>
      <c r="D3">
        <f>SUMIF(BAG_dakoppervlak_gebouwen!$B:$B,$B3,BAG_dakoppervlak_gebouwen!$G:$G)/10^6</f>
        <v>2.5855450000000002</v>
      </c>
    </row>
    <row r="4" spans="1:4" x14ac:dyDescent="0.2">
      <c r="A4" t="s">
        <v>6</v>
      </c>
      <c r="B4" t="str">
        <f>INDEX(CBS_gemeenten_alfabetisch_2023!$B:$B,MATCH($A4,CBS_gemeenten_alfabetisch_2023!$A:$A,0))</f>
        <v>Aalten</v>
      </c>
      <c r="C4">
        <f>SUMIF(BAG_dakoppervlak_woningen!$B:$B,$B4,BAG_dakoppervlak_woningen!$G:$G)/10^6</f>
        <v>1.14036</v>
      </c>
      <c r="D4">
        <f>SUMIF(BAG_dakoppervlak_gebouwen!$B:$B,$B4,BAG_dakoppervlak_gebouwen!$G:$G)/10^6</f>
        <v>1.670153</v>
      </c>
    </row>
    <row r="5" spans="1:4" x14ac:dyDescent="0.2">
      <c r="A5" t="s">
        <v>8</v>
      </c>
      <c r="B5" t="str">
        <f>INDEX(CBS_gemeenten_alfabetisch_2023!$B:$B,MATCH($A5,CBS_gemeenten_alfabetisch_2023!$A:$A,0))</f>
        <v>Achtkarspelen</v>
      </c>
      <c r="C5">
        <f>SUMIF(BAG_dakoppervlak_woningen!$B:$B,$B5,BAG_dakoppervlak_woningen!$G:$G)/10^6</f>
        <v>1.2892779999999999</v>
      </c>
      <c r="D5">
        <f>SUMIF(BAG_dakoppervlak_gebouwen!$B:$B,$B5,BAG_dakoppervlak_gebouwen!$G:$G)/10^6</f>
        <v>1.4041399999999999</v>
      </c>
    </row>
    <row r="6" spans="1:4" x14ac:dyDescent="0.2">
      <c r="A6" t="s">
        <v>10</v>
      </c>
      <c r="B6" t="str">
        <f>INDEX(CBS_gemeenten_alfabetisch_2023!$B:$B,MATCH($A6,CBS_gemeenten_alfabetisch_2023!$A:$A,0))</f>
        <v>Alblasserdam</v>
      </c>
      <c r="C6">
        <f>SUMIF(BAG_dakoppervlak_woningen!$B:$B,$B6,BAG_dakoppervlak_woningen!$G:$G)/10^6</f>
        <v>0.45585799999999999</v>
      </c>
      <c r="D6">
        <f>SUMIF(BAG_dakoppervlak_gebouwen!$B:$B,$B6,BAG_dakoppervlak_gebouwen!$G:$G)/10^6</f>
        <v>0.63334100000000004</v>
      </c>
    </row>
    <row r="7" spans="1:4" x14ac:dyDescent="0.2">
      <c r="A7" t="s">
        <v>12</v>
      </c>
      <c r="B7" t="str">
        <f>INDEX(CBS_gemeenten_alfabetisch_2023!$B:$B,MATCH($A7,CBS_gemeenten_alfabetisch_2023!$A:$A,0))</f>
        <v>Albrandswaard</v>
      </c>
      <c r="C7">
        <f>SUMIF(BAG_dakoppervlak_woningen!$B:$B,$B7,BAG_dakoppervlak_woningen!$G:$G)/10^6</f>
        <v>0.72690500000000002</v>
      </c>
      <c r="D7">
        <f>SUMIF(BAG_dakoppervlak_gebouwen!$B:$B,$B7,BAG_dakoppervlak_gebouwen!$G:$G)/10^6</f>
        <v>0.63101499999999999</v>
      </c>
    </row>
    <row r="8" spans="1:4" x14ac:dyDescent="0.2">
      <c r="A8" t="s">
        <v>14</v>
      </c>
      <c r="B8" t="str">
        <f>INDEX(CBS_gemeenten_alfabetisch_2023!$B:$B,MATCH($A8,CBS_gemeenten_alfabetisch_2023!$A:$A,0))</f>
        <v>Alkmaar</v>
      </c>
      <c r="C8">
        <f>SUMIF(BAG_dakoppervlak_woningen!$B:$B,$B8,BAG_dakoppervlak_woningen!$G:$G)/10^6</f>
        <v>2.968289</v>
      </c>
      <c r="D8">
        <f>SUMIF(BAG_dakoppervlak_gebouwen!$B:$B,$B8,BAG_dakoppervlak_gebouwen!$G:$G)/10^6</f>
        <v>2.729409</v>
      </c>
    </row>
    <row r="9" spans="1:4" x14ac:dyDescent="0.2">
      <c r="A9" t="s">
        <v>16</v>
      </c>
      <c r="B9" t="str">
        <f>INDEX(CBS_gemeenten_alfabetisch_2023!$B:$B,MATCH($A9,CBS_gemeenten_alfabetisch_2023!$A:$A,0))</f>
        <v>Almelo</v>
      </c>
      <c r="C9">
        <f>SUMIF(BAG_dakoppervlak_woningen!$B:$B,$B9,BAG_dakoppervlak_woningen!$G:$G)/10^6</f>
        <v>2.4152930000000001</v>
      </c>
      <c r="D9">
        <f>SUMIF(BAG_dakoppervlak_gebouwen!$B:$B,$B9,BAG_dakoppervlak_gebouwen!$G:$G)/10^6</f>
        <v>3.387203</v>
      </c>
    </row>
    <row r="10" spans="1:4" x14ac:dyDescent="0.2">
      <c r="A10" t="s">
        <v>18</v>
      </c>
      <c r="B10" t="str">
        <f>INDEX(CBS_gemeenten_alfabetisch_2023!$B:$B,MATCH($A10,CBS_gemeenten_alfabetisch_2023!$A:$A,0))</f>
        <v>Almere</v>
      </c>
      <c r="C10">
        <f>SUMIF(BAG_dakoppervlak_woningen!$B:$B,$B10,BAG_dakoppervlak_woningen!$G:$G)/10^6</f>
        <v>5.056762</v>
      </c>
      <c r="D10">
        <f>SUMIF(BAG_dakoppervlak_gebouwen!$B:$B,$B10,BAG_dakoppervlak_gebouwen!$G:$G)/10^6</f>
        <v>4.0665459999999998</v>
      </c>
    </row>
    <row r="11" spans="1:4" x14ac:dyDescent="0.2">
      <c r="A11" t="s">
        <v>20</v>
      </c>
      <c r="B11" t="str">
        <f>INDEX(CBS_gemeenten_alfabetisch_2023!$B:$B,MATCH($A11,CBS_gemeenten_alfabetisch_2023!$A:$A,0))</f>
        <v>Alphen aan den Rijn</v>
      </c>
      <c r="C11">
        <f>SUMIF(BAG_dakoppervlak_woningen!$B:$B,$B11,BAG_dakoppervlak_woningen!$G:$G)/10^6</f>
        <v>2.9457010000000001</v>
      </c>
      <c r="D11">
        <f>SUMIF(BAG_dakoppervlak_gebouwen!$B:$B,$B11,BAG_dakoppervlak_gebouwen!$G:$G)/10^6</f>
        <v>4.1376900000000001</v>
      </c>
    </row>
    <row r="12" spans="1:4" x14ac:dyDescent="0.2">
      <c r="A12" t="s">
        <v>22</v>
      </c>
      <c r="B12" t="str">
        <f>INDEX(CBS_gemeenten_alfabetisch_2023!$B:$B,MATCH($A12,CBS_gemeenten_alfabetisch_2023!$A:$A,0))</f>
        <v>Alphen-Chaam</v>
      </c>
      <c r="C12">
        <f>SUMIF(BAG_dakoppervlak_woningen!$B:$B,$B12,BAG_dakoppervlak_woningen!$G:$G)/10^6</f>
        <v>0.58342000000000005</v>
      </c>
      <c r="D12">
        <f>SUMIF(BAG_dakoppervlak_gebouwen!$B:$B,$B12,BAG_dakoppervlak_gebouwen!$G:$G)/10^6</f>
        <v>1.2494499999999999</v>
      </c>
    </row>
    <row r="13" spans="1:4" x14ac:dyDescent="0.2">
      <c r="A13" t="s">
        <v>24</v>
      </c>
      <c r="B13" t="str">
        <f>INDEX(CBS_gemeenten_alfabetisch_2023!$B:$B,MATCH($A13,CBS_gemeenten_alfabetisch_2023!$A:$A,0))</f>
        <v>Altena</v>
      </c>
      <c r="C13">
        <f>SUMIF(BAG_dakoppervlak_woningen!$B:$B,$B13,BAG_dakoppervlak_woningen!$G:$G)/10^6</f>
        <v>2.1051310000000001</v>
      </c>
      <c r="D13">
        <f>SUMIF(BAG_dakoppervlak_gebouwen!$B:$B,$B13,BAG_dakoppervlak_gebouwen!$G:$G)/10^6</f>
        <v>2.7551139999999998</v>
      </c>
    </row>
    <row r="14" spans="1:4" x14ac:dyDescent="0.2">
      <c r="A14" t="s">
        <v>26</v>
      </c>
      <c r="B14" t="str">
        <f>INDEX(CBS_gemeenten_alfabetisch_2023!$B:$B,MATCH($A14,CBS_gemeenten_alfabetisch_2023!$A:$A,0))</f>
        <v>Ameland</v>
      </c>
      <c r="C14">
        <f>SUMIF(BAG_dakoppervlak_woningen!$B:$B,$B14,BAG_dakoppervlak_woningen!$G:$G)/10^6</f>
        <v>0.20733799999999999</v>
      </c>
      <c r="D14">
        <f>SUMIF(BAG_dakoppervlak_gebouwen!$B:$B,$B14,BAG_dakoppervlak_gebouwen!$G:$G)/10^6</f>
        <v>0.36789899999999998</v>
      </c>
    </row>
    <row r="15" spans="1:4" x14ac:dyDescent="0.2">
      <c r="A15" t="s">
        <v>28</v>
      </c>
      <c r="B15" t="str">
        <f>INDEX(CBS_gemeenten_alfabetisch_2023!$B:$B,MATCH($A15,CBS_gemeenten_alfabetisch_2023!$A:$A,0))</f>
        <v>Amersfoort</v>
      </c>
      <c r="C15">
        <f>SUMIF(BAG_dakoppervlak_woningen!$B:$B,$B15,BAG_dakoppervlak_woningen!$G:$G)/10^6</f>
        <v>3.7951239999999999</v>
      </c>
      <c r="D15">
        <f>SUMIF(BAG_dakoppervlak_gebouwen!$B:$B,$B15,BAG_dakoppervlak_gebouwen!$G:$G)/10^6</f>
        <v>3.0529959999999998</v>
      </c>
    </row>
    <row r="16" spans="1:4" x14ac:dyDescent="0.2">
      <c r="A16" t="s">
        <v>30</v>
      </c>
      <c r="B16" t="str">
        <f>INDEX(CBS_gemeenten_alfabetisch_2023!$B:$B,MATCH($A16,CBS_gemeenten_alfabetisch_2023!$A:$A,0))</f>
        <v>Amstelveen</v>
      </c>
      <c r="C16">
        <f>SUMIF(BAG_dakoppervlak_woningen!$B:$B,$B16,BAG_dakoppervlak_woningen!$G:$G)/10^6</f>
        <v>1.906968</v>
      </c>
      <c r="D16">
        <f>SUMIF(BAG_dakoppervlak_gebouwen!$B:$B,$B16,BAG_dakoppervlak_gebouwen!$G:$G)/10^6</f>
        <v>2.3052079999999999</v>
      </c>
    </row>
    <row r="17" spans="1:4" x14ac:dyDescent="0.2">
      <c r="A17" t="s">
        <v>32</v>
      </c>
      <c r="B17" t="str">
        <f>INDEX(CBS_gemeenten_alfabetisch_2023!$B:$B,MATCH($A17,CBS_gemeenten_alfabetisch_2023!$A:$A,0))</f>
        <v>Amsterdam</v>
      </c>
      <c r="C17">
        <f>SUMIF(BAG_dakoppervlak_woningen!$B:$B,$B17,BAG_dakoppervlak_woningen!$G:$G)/10^6</f>
        <v>12.090522</v>
      </c>
      <c r="D17">
        <f>SUMIF(BAG_dakoppervlak_gebouwen!$B:$B,$B17,BAG_dakoppervlak_gebouwen!$G:$G)/10^6</f>
        <v>13.429494999999999</v>
      </c>
    </row>
    <row r="18" spans="1:4" x14ac:dyDescent="0.2">
      <c r="A18" t="s">
        <v>34</v>
      </c>
      <c r="B18" t="str">
        <f>INDEX(CBS_gemeenten_alfabetisch_2023!$B:$B,MATCH($A18,CBS_gemeenten_alfabetisch_2023!$A:$A,0))</f>
        <v>Apeldoorn</v>
      </c>
      <c r="C18">
        <f>SUMIF(BAG_dakoppervlak_woningen!$B:$B,$B18,BAG_dakoppervlak_woningen!$G:$G)/10^6</f>
        <v>5.109693</v>
      </c>
      <c r="D18">
        <f>SUMIF(BAG_dakoppervlak_gebouwen!$B:$B,$B18,BAG_dakoppervlak_gebouwen!$G:$G)/10^6</f>
        <v>5.378241</v>
      </c>
    </row>
    <row r="19" spans="1:4" x14ac:dyDescent="0.2">
      <c r="A19" t="s">
        <v>36</v>
      </c>
      <c r="B19" t="str">
        <f>INDEX(CBS_gemeenten_alfabetisch_2023!$B:$B,MATCH($A19,CBS_gemeenten_alfabetisch_2023!$A:$A,0))</f>
        <v>Arnhem</v>
      </c>
      <c r="C19">
        <f>SUMIF(BAG_dakoppervlak_woningen!$B:$B,$B19,BAG_dakoppervlak_woningen!$G:$G)/10^6</f>
        <v>3.7515640000000001</v>
      </c>
      <c r="D19">
        <f>SUMIF(BAG_dakoppervlak_gebouwen!$B:$B,$B19,BAG_dakoppervlak_gebouwen!$G:$G)/10^6</f>
        <v>3.0197189999999998</v>
      </c>
    </row>
    <row r="20" spans="1:4" x14ac:dyDescent="0.2">
      <c r="A20" t="s">
        <v>38</v>
      </c>
      <c r="B20" t="str">
        <f>INDEX(CBS_gemeenten_alfabetisch_2023!$B:$B,MATCH($A20,CBS_gemeenten_alfabetisch_2023!$A:$A,0))</f>
        <v>Assen</v>
      </c>
      <c r="C20">
        <f>SUMIF(BAG_dakoppervlak_woningen!$B:$B,$B20,BAG_dakoppervlak_woningen!$G:$G)/10^6</f>
        <v>2.2678639999999999</v>
      </c>
      <c r="D20">
        <f>SUMIF(BAG_dakoppervlak_gebouwen!$B:$B,$B20,BAG_dakoppervlak_gebouwen!$G:$G)/10^6</f>
        <v>1.742116</v>
      </c>
    </row>
    <row r="21" spans="1:4" x14ac:dyDescent="0.2">
      <c r="A21" t="s">
        <v>40</v>
      </c>
      <c r="B21" t="str">
        <f>INDEX(CBS_gemeenten_alfabetisch_2023!$B:$B,MATCH($A21,CBS_gemeenten_alfabetisch_2023!$A:$A,0))</f>
        <v>Asten</v>
      </c>
      <c r="C21">
        <f>SUMIF(BAG_dakoppervlak_woningen!$B:$B,$B21,BAG_dakoppervlak_woningen!$G:$G)/10^6</f>
        <v>0.78237999999999996</v>
      </c>
      <c r="D21">
        <f>SUMIF(BAG_dakoppervlak_gebouwen!$B:$B,$B21,BAG_dakoppervlak_gebouwen!$G:$G)/10^6</f>
        <v>2.6875439999999999</v>
      </c>
    </row>
    <row r="22" spans="1:4" x14ac:dyDescent="0.2">
      <c r="A22" t="s">
        <v>42</v>
      </c>
      <c r="B22" t="str">
        <f>INDEX(CBS_gemeenten_alfabetisch_2023!$B:$B,MATCH($A22,CBS_gemeenten_alfabetisch_2023!$A:$A,0))</f>
        <v>Baarle-Nassau</v>
      </c>
      <c r="C22">
        <f>SUMIF(BAG_dakoppervlak_woningen!$B:$B,$B22,BAG_dakoppervlak_woningen!$G:$G)/10^6</f>
        <v>0.38116699999999998</v>
      </c>
      <c r="D22">
        <f>SUMIF(BAG_dakoppervlak_gebouwen!$B:$B,$B22,BAG_dakoppervlak_gebouwen!$G:$G)/10^6</f>
        <v>1.1200889999999999</v>
      </c>
    </row>
    <row r="23" spans="1:4" x14ac:dyDescent="0.2">
      <c r="A23" t="s">
        <v>44</v>
      </c>
      <c r="B23" t="str">
        <f>INDEX(CBS_gemeenten_alfabetisch_2023!$B:$B,MATCH($A23,CBS_gemeenten_alfabetisch_2023!$A:$A,0))</f>
        <v>Baarn</v>
      </c>
      <c r="C23">
        <f>SUMIF(BAG_dakoppervlak_woningen!$B:$B,$B23,BAG_dakoppervlak_woningen!$G:$G)/10^6</f>
        <v>0.76936099999999996</v>
      </c>
      <c r="D23">
        <f>SUMIF(BAG_dakoppervlak_gebouwen!$B:$B,$B23,BAG_dakoppervlak_gebouwen!$G:$G)/10^6</f>
        <v>0.49923000000000001</v>
      </c>
    </row>
    <row r="24" spans="1:4" x14ac:dyDescent="0.2">
      <c r="A24" t="s">
        <v>46</v>
      </c>
      <c r="B24" t="str">
        <f>INDEX(CBS_gemeenten_alfabetisch_2023!$B:$B,MATCH($A24,CBS_gemeenten_alfabetisch_2023!$A:$A,0))</f>
        <v>Barendrecht</v>
      </c>
      <c r="C24">
        <f>SUMIF(BAG_dakoppervlak_woningen!$B:$B,$B24,BAG_dakoppervlak_woningen!$G:$G)/10^6</f>
        <v>1.2563770000000001</v>
      </c>
      <c r="D24">
        <f>SUMIF(BAG_dakoppervlak_gebouwen!$B:$B,$B24,BAG_dakoppervlak_gebouwen!$G:$G)/10^6</f>
        <v>1.2651110000000001</v>
      </c>
    </row>
    <row r="25" spans="1:4" x14ac:dyDescent="0.2">
      <c r="A25" t="s">
        <v>48</v>
      </c>
      <c r="B25" t="str">
        <f>INDEX(CBS_gemeenten_alfabetisch_2023!$B:$B,MATCH($A25,CBS_gemeenten_alfabetisch_2023!$A:$A,0))</f>
        <v>Barneveld</v>
      </c>
      <c r="C25">
        <f>SUMIF(BAG_dakoppervlak_woningen!$B:$B,$B25,BAG_dakoppervlak_woningen!$G:$G)/10^6</f>
        <v>2.0101010000000001</v>
      </c>
      <c r="D25">
        <f>SUMIF(BAG_dakoppervlak_gebouwen!$B:$B,$B25,BAG_dakoppervlak_gebouwen!$G:$G)/10^6</f>
        <v>4.4180260000000002</v>
      </c>
    </row>
    <row r="26" spans="1:4" x14ac:dyDescent="0.2">
      <c r="A26" t="s">
        <v>50</v>
      </c>
      <c r="B26" t="str">
        <f>INDEX(CBS_gemeenten_alfabetisch_2023!$B:$B,MATCH($A26,CBS_gemeenten_alfabetisch_2023!$A:$A,0))</f>
        <v>Beek</v>
      </c>
      <c r="C26">
        <f>SUMIF(BAG_dakoppervlak_woningen!$B:$B,$B26,BAG_dakoppervlak_woningen!$G:$G)/10^6</f>
        <v>0.672705</v>
      </c>
      <c r="D26">
        <f>SUMIF(BAG_dakoppervlak_gebouwen!$B:$B,$B26,BAG_dakoppervlak_gebouwen!$G:$G)/10^6</f>
        <v>0.60946400000000001</v>
      </c>
    </row>
    <row r="27" spans="1:4" x14ac:dyDescent="0.2">
      <c r="A27" t="s">
        <v>52</v>
      </c>
      <c r="B27" t="str">
        <f>INDEX(CBS_gemeenten_alfabetisch_2023!$B:$B,MATCH($A27,CBS_gemeenten_alfabetisch_2023!$A:$A,0))</f>
        <v>Beekdaelen</v>
      </c>
      <c r="C27">
        <f>SUMIF(BAG_dakoppervlak_woningen!$B:$B,$B27,BAG_dakoppervlak_woningen!$G:$G)/10^6</f>
        <v>1.80541</v>
      </c>
      <c r="D27">
        <f>SUMIF(BAG_dakoppervlak_gebouwen!$B:$B,$B27,BAG_dakoppervlak_gebouwen!$G:$G)/10^6</f>
        <v>0.94877999999999996</v>
      </c>
    </row>
    <row r="28" spans="1:4" x14ac:dyDescent="0.2">
      <c r="A28" t="s">
        <v>54</v>
      </c>
      <c r="B28" t="str">
        <f>INDEX(CBS_gemeenten_alfabetisch_2023!$B:$B,MATCH($A28,CBS_gemeenten_alfabetisch_2023!$A:$A,0))</f>
        <v>Beesel</v>
      </c>
      <c r="C28">
        <f>SUMIF(BAG_dakoppervlak_woningen!$B:$B,$B28,BAG_dakoppervlak_woningen!$G:$G)/10^6</f>
        <v>0.56696400000000002</v>
      </c>
      <c r="D28">
        <f>SUMIF(BAG_dakoppervlak_gebouwen!$B:$B,$B28,BAG_dakoppervlak_gebouwen!$G:$G)/10^6</f>
        <v>0.650536</v>
      </c>
    </row>
    <row r="29" spans="1:4" x14ac:dyDescent="0.2">
      <c r="A29" t="s">
        <v>56</v>
      </c>
      <c r="B29" t="str">
        <f>INDEX(CBS_gemeenten_alfabetisch_2023!$B:$B,MATCH($A29,CBS_gemeenten_alfabetisch_2023!$A:$A,0))</f>
        <v>Berg en Dal</v>
      </c>
      <c r="C29">
        <f>SUMIF(BAG_dakoppervlak_woningen!$B:$B,$B29,BAG_dakoppervlak_woningen!$G:$G)/10^6</f>
        <v>1.327979</v>
      </c>
      <c r="D29">
        <f>SUMIF(BAG_dakoppervlak_gebouwen!$B:$B,$B29,BAG_dakoppervlak_gebouwen!$G:$G)/10^6</f>
        <v>1.1202080000000001</v>
      </c>
    </row>
    <row r="30" spans="1:4" x14ac:dyDescent="0.2">
      <c r="A30" t="s">
        <v>58</v>
      </c>
      <c r="B30" t="str">
        <f>INDEX(CBS_gemeenten_alfabetisch_2023!$B:$B,MATCH($A30,CBS_gemeenten_alfabetisch_2023!$A:$A,0))</f>
        <v>Bergeijk</v>
      </c>
      <c r="C30">
        <f>SUMIF(BAG_dakoppervlak_woningen!$B:$B,$B30,BAG_dakoppervlak_woningen!$G:$G)/10^6</f>
        <v>0.99138899999999996</v>
      </c>
      <c r="D30">
        <f>SUMIF(BAG_dakoppervlak_gebouwen!$B:$B,$B30,BAG_dakoppervlak_gebouwen!$G:$G)/10^6</f>
        <v>1.4438949999999999</v>
      </c>
    </row>
    <row r="31" spans="1:4" x14ac:dyDescent="0.2">
      <c r="A31" t="s">
        <v>60</v>
      </c>
      <c r="B31" t="str">
        <f>INDEX(CBS_gemeenten_alfabetisch_2023!$B:$B,MATCH($A31,CBS_gemeenten_alfabetisch_2023!$A:$A,0))</f>
        <v>Bergen (L.)</v>
      </c>
      <c r="C31">
        <f>SUMIF(BAG_dakoppervlak_woningen!$B:$B,$B31,BAG_dakoppervlak_woningen!$G:$G)/10^6</f>
        <v>0.66796699999999998</v>
      </c>
      <c r="D31">
        <f>SUMIF(BAG_dakoppervlak_gebouwen!$B:$B,$B31,BAG_dakoppervlak_gebouwen!$G:$G)/10^6</f>
        <v>1.169862</v>
      </c>
    </row>
    <row r="32" spans="1:4" x14ac:dyDescent="0.2">
      <c r="A32" t="s">
        <v>62</v>
      </c>
      <c r="B32" t="str">
        <f>INDEX(CBS_gemeenten_alfabetisch_2023!$B:$B,MATCH($A32,CBS_gemeenten_alfabetisch_2023!$A:$A,0))</f>
        <v>Bergen (NH.)</v>
      </c>
      <c r="C32">
        <f>SUMIF(BAG_dakoppervlak_woningen!$B:$B,$B32,BAG_dakoppervlak_woningen!$G:$G)/10^6</f>
        <v>1.2952889999999999</v>
      </c>
      <c r="D32">
        <f>SUMIF(BAG_dakoppervlak_gebouwen!$B:$B,$B32,BAG_dakoppervlak_gebouwen!$G:$G)/10^6</f>
        <v>0.885486</v>
      </c>
    </row>
    <row r="33" spans="1:4" x14ac:dyDescent="0.2">
      <c r="A33" t="s">
        <v>64</v>
      </c>
      <c r="B33" t="str">
        <f>INDEX(CBS_gemeenten_alfabetisch_2023!$B:$B,MATCH($A33,CBS_gemeenten_alfabetisch_2023!$A:$A,0))</f>
        <v>Bergen op Zoom</v>
      </c>
      <c r="C33">
        <f>SUMIF(BAG_dakoppervlak_woningen!$B:$B,$B33,BAG_dakoppervlak_woningen!$G:$G)/10^6</f>
        <v>2.080057</v>
      </c>
      <c r="D33">
        <f>SUMIF(BAG_dakoppervlak_gebouwen!$B:$B,$B33,BAG_dakoppervlak_gebouwen!$G:$G)/10^6</f>
        <v>2.8775559999999998</v>
      </c>
    </row>
    <row r="34" spans="1:4" x14ac:dyDescent="0.2">
      <c r="A34" t="s">
        <v>66</v>
      </c>
      <c r="B34" t="str">
        <f>INDEX(CBS_gemeenten_alfabetisch_2023!$B:$B,MATCH($A34,CBS_gemeenten_alfabetisch_2023!$A:$A,0))</f>
        <v>Berkelland</v>
      </c>
      <c r="C34">
        <f>SUMIF(BAG_dakoppervlak_woningen!$B:$B,$B34,BAG_dakoppervlak_woningen!$G:$G)/10^6</f>
        <v>2.2658999999999998</v>
      </c>
      <c r="D34">
        <f>SUMIF(BAG_dakoppervlak_gebouwen!$B:$B,$B34,BAG_dakoppervlak_gebouwen!$G:$G)/10^6</f>
        <v>3.2642799999999998</v>
      </c>
    </row>
    <row r="35" spans="1:4" x14ac:dyDescent="0.2">
      <c r="A35" t="s">
        <v>68</v>
      </c>
      <c r="B35" t="str">
        <f>INDEX(CBS_gemeenten_alfabetisch_2023!$B:$B,MATCH($A35,CBS_gemeenten_alfabetisch_2023!$A:$A,0))</f>
        <v>Bernheze</v>
      </c>
      <c r="C35">
        <f>SUMIF(BAG_dakoppervlak_woningen!$B:$B,$B35,BAG_dakoppervlak_woningen!$G:$G)/10^6</f>
        <v>1.435826</v>
      </c>
      <c r="D35">
        <f>SUMIF(BAG_dakoppervlak_gebouwen!$B:$B,$B35,BAG_dakoppervlak_gebouwen!$G:$G)/10^6</f>
        <v>2.021417</v>
      </c>
    </row>
    <row r="36" spans="1:4" x14ac:dyDescent="0.2">
      <c r="A36" t="s">
        <v>70</v>
      </c>
      <c r="B36" t="str">
        <f>INDEX(CBS_gemeenten_alfabetisch_2023!$B:$B,MATCH($A36,CBS_gemeenten_alfabetisch_2023!$A:$A,0))</f>
        <v>Best</v>
      </c>
      <c r="C36">
        <f>SUMIF(BAG_dakoppervlak_woningen!$B:$B,$B36,BAG_dakoppervlak_woningen!$G:$G)/10^6</f>
        <v>1.026967</v>
      </c>
      <c r="D36">
        <f>SUMIF(BAG_dakoppervlak_gebouwen!$B:$B,$B36,BAG_dakoppervlak_gebouwen!$G:$G)/10^6</f>
        <v>1.3116129999999999</v>
      </c>
    </row>
    <row r="37" spans="1:4" x14ac:dyDescent="0.2">
      <c r="A37" t="s">
        <v>72</v>
      </c>
      <c r="B37" t="str">
        <f>INDEX(CBS_gemeenten_alfabetisch_2023!$B:$B,MATCH($A37,CBS_gemeenten_alfabetisch_2023!$A:$A,0))</f>
        <v>Beuningen</v>
      </c>
      <c r="C37">
        <f>SUMIF(BAG_dakoppervlak_woningen!$B:$B,$B37,BAG_dakoppervlak_woningen!$G:$G)/10^6</f>
        <v>0.93826399999999999</v>
      </c>
      <c r="D37">
        <f>SUMIF(BAG_dakoppervlak_gebouwen!$B:$B,$B37,BAG_dakoppervlak_gebouwen!$G:$G)/10^6</f>
        <v>0.8417</v>
      </c>
    </row>
    <row r="38" spans="1:4" x14ac:dyDescent="0.2">
      <c r="A38" t="s">
        <v>74</v>
      </c>
      <c r="B38" t="str">
        <f>INDEX(CBS_gemeenten_alfabetisch_2023!$B:$B,MATCH($A38,CBS_gemeenten_alfabetisch_2023!$A:$A,0))</f>
        <v>Beverwijk</v>
      </c>
      <c r="C38">
        <f>SUMIF(BAG_dakoppervlak_woningen!$B:$B,$B38,BAG_dakoppervlak_woningen!$G:$G)/10^6</f>
        <v>0.97116400000000003</v>
      </c>
      <c r="D38">
        <f>SUMIF(BAG_dakoppervlak_gebouwen!$B:$B,$B38,BAG_dakoppervlak_gebouwen!$G:$G)/10^6</f>
        <v>1.459417</v>
      </c>
    </row>
    <row r="39" spans="1:4" x14ac:dyDescent="0.2">
      <c r="A39" t="s">
        <v>76</v>
      </c>
      <c r="B39" t="str">
        <f>INDEX(CBS_gemeenten_alfabetisch_2023!$B:$B,MATCH($A39,CBS_gemeenten_alfabetisch_2023!$A:$A,0))</f>
        <v>De Bilt</v>
      </c>
      <c r="C39">
        <f>SUMIF(BAG_dakoppervlak_woningen!$B:$B,$B39,BAG_dakoppervlak_woningen!$G:$G)/10^6</f>
        <v>1.466315</v>
      </c>
      <c r="D39">
        <f>SUMIF(BAG_dakoppervlak_gebouwen!$B:$B,$B39,BAG_dakoppervlak_gebouwen!$G:$G)/10^6</f>
        <v>1.035096</v>
      </c>
    </row>
    <row r="40" spans="1:4" x14ac:dyDescent="0.2">
      <c r="A40" t="s">
        <v>78</v>
      </c>
      <c r="B40" t="str">
        <f>INDEX(CBS_gemeenten_alfabetisch_2023!$B:$B,MATCH($A40,CBS_gemeenten_alfabetisch_2023!$A:$A,0))</f>
        <v>Bladel</v>
      </c>
      <c r="C40">
        <f>SUMIF(BAG_dakoppervlak_woningen!$B:$B,$B40,BAG_dakoppervlak_woningen!$G:$G)/10^6</f>
        <v>1.0073369999999999</v>
      </c>
      <c r="D40">
        <f>SUMIF(BAG_dakoppervlak_gebouwen!$B:$B,$B40,BAG_dakoppervlak_gebouwen!$G:$G)/10^6</f>
        <v>1.7579659999999999</v>
      </c>
    </row>
    <row r="41" spans="1:4" x14ac:dyDescent="0.2">
      <c r="A41" t="s">
        <v>80</v>
      </c>
      <c r="B41" t="str">
        <f>INDEX(CBS_gemeenten_alfabetisch_2023!$B:$B,MATCH($A41,CBS_gemeenten_alfabetisch_2023!$A:$A,0))</f>
        <v>Blaricum</v>
      </c>
      <c r="C41">
        <f>SUMIF(BAG_dakoppervlak_woningen!$B:$B,$B41,BAG_dakoppervlak_woningen!$G:$G)/10^6</f>
        <v>0.470748</v>
      </c>
      <c r="D41">
        <f>SUMIF(BAG_dakoppervlak_gebouwen!$B:$B,$B41,BAG_dakoppervlak_gebouwen!$G:$G)/10^6</f>
        <v>0.13850999999999999</v>
      </c>
    </row>
    <row r="42" spans="1:4" x14ac:dyDescent="0.2">
      <c r="A42" t="s">
        <v>82</v>
      </c>
      <c r="B42" t="str">
        <f>INDEX(CBS_gemeenten_alfabetisch_2023!$B:$B,MATCH($A42,CBS_gemeenten_alfabetisch_2023!$A:$A,0))</f>
        <v>Bloemendaal</v>
      </c>
      <c r="C42">
        <f>SUMIF(BAG_dakoppervlak_woningen!$B:$B,$B42,BAG_dakoppervlak_woningen!$G:$G)/10^6</f>
        <v>0.89603299999999997</v>
      </c>
      <c r="D42">
        <f>SUMIF(BAG_dakoppervlak_gebouwen!$B:$B,$B42,BAG_dakoppervlak_gebouwen!$G:$G)/10^6</f>
        <v>0.31656699999999999</v>
      </c>
    </row>
    <row r="43" spans="1:4" x14ac:dyDescent="0.2">
      <c r="A43" t="s">
        <v>84</v>
      </c>
      <c r="B43" t="str">
        <f>INDEX(CBS_gemeenten_alfabetisch_2023!$B:$B,MATCH($A43,CBS_gemeenten_alfabetisch_2023!$A:$A,0))</f>
        <v>Bodegraven-Reeuwijk</v>
      </c>
      <c r="C43">
        <f>SUMIF(BAG_dakoppervlak_woningen!$B:$B,$B43,BAG_dakoppervlak_woningen!$G:$G)/10^6</f>
        <v>1.214437</v>
      </c>
      <c r="D43">
        <f>SUMIF(BAG_dakoppervlak_gebouwen!$B:$B,$B43,BAG_dakoppervlak_gebouwen!$G:$G)/10^6</f>
        <v>1.286456</v>
      </c>
    </row>
    <row r="44" spans="1:4" x14ac:dyDescent="0.2">
      <c r="A44" t="s">
        <v>86</v>
      </c>
      <c r="B44" t="str">
        <f>INDEX(CBS_gemeenten_alfabetisch_2023!$B:$B,MATCH($A44,CBS_gemeenten_alfabetisch_2023!$A:$A,0))</f>
        <v>Boekel</v>
      </c>
      <c r="C44">
        <f>SUMIF(BAG_dakoppervlak_woningen!$B:$B,$B44,BAG_dakoppervlak_woningen!$G:$G)/10^6</f>
        <v>0.60128999999999999</v>
      </c>
      <c r="D44">
        <f>SUMIF(BAG_dakoppervlak_gebouwen!$B:$B,$B44,BAG_dakoppervlak_gebouwen!$G:$G)/10^6</f>
        <v>1.1535249999999999</v>
      </c>
    </row>
    <row r="45" spans="1:4" x14ac:dyDescent="0.2">
      <c r="A45" t="s">
        <v>88</v>
      </c>
      <c r="B45" t="str">
        <f>INDEX(CBS_gemeenten_alfabetisch_2023!$B:$B,MATCH($A45,CBS_gemeenten_alfabetisch_2023!$A:$A,0))</f>
        <v>Borger-Odoorn</v>
      </c>
      <c r="C45">
        <f>SUMIF(BAG_dakoppervlak_woningen!$B:$B,$B45,BAG_dakoppervlak_woningen!$G:$G)/10^6</f>
        <v>1.4499550000000001</v>
      </c>
      <c r="D45">
        <f>SUMIF(BAG_dakoppervlak_gebouwen!$B:$B,$B45,BAG_dakoppervlak_gebouwen!$G:$G)/10^6</f>
        <v>1.4445939999999999</v>
      </c>
    </row>
    <row r="46" spans="1:4" x14ac:dyDescent="0.2">
      <c r="A46" t="s">
        <v>90</v>
      </c>
      <c r="B46" t="str">
        <f>INDEX(CBS_gemeenten_alfabetisch_2023!$B:$B,MATCH($A46,CBS_gemeenten_alfabetisch_2023!$A:$A,0))</f>
        <v>Borne</v>
      </c>
      <c r="C46">
        <f>SUMIF(BAG_dakoppervlak_woningen!$B:$B,$B46,BAG_dakoppervlak_woningen!$G:$G)/10^6</f>
        <v>0.87059600000000004</v>
      </c>
      <c r="D46">
        <f>SUMIF(BAG_dakoppervlak_gebouwen!$B:$B,$B46,BAG_dakoppervlak_gebouwen!$G:$G)/10^6</f>
        <v>0.57528800000000002</v>
      </c>
    </row>
    <row r="47" spans="1:4" x14ac:dyDescent="0.2">
      <c r="A47" t="s">
        <v>92</v>
      </c>
      <c r="B47" t="str">
        <f>INDEX(CBS_gemeenten_alfabetisch_2023!$B:$B,MATCH($A47,CBS_gemeenten_alfabetisch_2023!$A:$A,0))</f>
        <v>Borsele</v>
      </c>
      <c r="C47">
        <f>SUMIF(BAG_dakoppervlak_woningen!$B:$B,$B47,BAG_dakoppervlak_woningen!$G:$G)/10^6</f>
        <v>0.97327200000000003</v>
      </c>
      <c r="D47">
        <f>SUMIF(BAG_dakoppervlak_gebouwen!$B:$B,$B47,BAG_dakoppervlak_gebouwen!$G:$G)/10^6</f>
        <v>1.8721730000000001</v>
      </c>
    </row>
    <row r="48" spans="1:4" x14ac:dyDescent="0.2">
      <c r="A48" t="s">
        <v>94</v>
      </c>
      <c r="B48" t="str">
        <f>INDEX(CBS_gemeenten_alfabetisch_2023!$B:$B,MATCH($A48,CBS_gemeenten_alfabetisch_2023!$A:$A,0))</f>
        <v>Boxtel</v>
      </c>
      <c r="C48">
        <f>SUMIF(BAG_dakoppervlak_woningen!$B:$B,$B48,BAG_dakoppervlak_woningen!$G:$G)/10^6</f>
        <v>1.2735190000000001</v>
      </c>
      <c r="D48">
        <f>SUMIF(BAG_dakoppervlak_gebouwen!$B:$B,$B48,BAG_dakoppervlak_gebouwen!$G:$G)/10^6</f>
        <v>1.3954120000000001</v>
      </c>
    </row>
    <row r="49" spans="1:4" x14ac:dyDescent="0.2">
      <c r="A49" t="s">
        <v>96</v>
      </c>
      <c r="B49" t="str">
        <f>INDEX(CBS_gemeenten_alfabetisch_2023!$B:$B,MATCH($A49,CBS_gemeenten_alfabetisch_2023!$A:$A,0))</f>
        <v>Breda</v>
      </c>
      <c r="C49">
        <f>SUMIF(BAG_dakoppervlak_woningen!$B:$B,$B49,BAG_dakoppervlak_woningen!$G:$G)/10^6</f>
        <v>5.3565420000000001</v>
      </c>
      <c r="D49">
        <f>SUMIF(BAG_dakoppervlak_gebouwen!$B:$B,$B49,BAG_dakoppervlak_gebouwen!$G:$G)/10^6</f>
        <v>6.3727169999999997</v>
      </c>
    </row>
    <row r="50" spans="1:4" x14ac:dyDescent="0.2">
      <c r="A50" t="s">
        <v>98</v>
      </c>
      <c r="B50" t="str">
        <f>INDEX(CBS_gemeenten_alfabetisch_2023!$B:$B,MATCH($A50,CBS_gemeenten_alfabetisch_2023!$A:$A,0))</f>
        <v>Bronckhorst</v>
      </c>
      <c r="C50">
        <f>SUMIF(BAG_dakoppervlak_woningen!$B:$B,$B50,BAG_dakoppervlak_woningen!$G:$G)/10^6</f>
        <v>1.9528300000000001</v>
      </c>
      <c r="D50">
        <f>SUMIF(BAG_dakoppervlak_gebouwen!$B:$B,$B50,BAG_dakoppervlak_gebouwen!$G:$G)/10^6</f>
        <v>2.7365930000000001</v>
      </c>
    </row>
    <row r="51" spans="1:4" x14ac:dyDescent="0.2">
      <c r="A51" t="s">
        <v>100</v>
      </c>
      <c r="B51" t="str">
        <f>INDEX(CBS_gemeenten_alfabetisch_2023!$B:$B,MATCH($A51,CBS_gemeenten_alfabetisch_2023!$A:$A,0))</f>
        <v>Brummen</v>
      </c>
      <c r="C51">
        <f>SUMIF(BAG_dakoppervlak_woningen!$B:$B,$B51,BAG_dakoppervlak_woningen!$G:$G)/10^6</f>
        <v>0.79600000000000004</v>
      </c>
      <c r="D51">
        <f>SUMIF(BAG_dakoppervlak_gebouwen!$B:$B,$B51,BAG_dakoppervlak_gebouwen!$G:$G)/10^6</f>
        <v>1.053072</v>
      </c>
    </row>
    <row r="52" spans="1:4" x14ac:dyDescent="0.2">
      <c r="A52" t="s">
        <v>102</v>
      </c>
      <c r="B52" t="str">
        <f>INDEX(CBS_gemeenten_alfabetisch_2023!$B:$B,MATCH($A52,CBS_gemeenten_alfabetisch_2023!$A:$A,0))</f>
        <v>Brunssum</v>
      </c>
      <c r="C52">
        <f>SUMIF(BAG_dakoppervlak_woningen!$B:$B,$B52,BAG_dakoppervlak_woningen!$G:$G)/10^6</f>
        <v>1.0228710000000001</v>
      </c>
      <c r="D52">
        <f>SUMIF(BAG_dakoppervlak_gebouwen!$B:$B,$B52,BAG_dakoppervlak_gebouwen!$G:$G)/10^6</f>
        <v>0.69404900000000003</v>
      </c>
    </row>
    <row r="53" spans="1:4" x14ac:dyDescent="0.2">
      <c r="A53" t="s">
        <v>104</v>
      </c>
      <c r="B53" t="str">
        <f>INDEX(CBS_gemeenten_alfabetisch_2023!$B:$B,MATCH($A53,CBS_gemeenten_alfabetisch_2023!$A:$A,0))</f>
        <v>Bunnik</v>
      </c>
      <c r="C53">
        <f>SUMIF(BAG_dakoppervlak_woningen!$B:$B,$B53,BAG_dakoppervlak_woningen!$G:$G)/10^6</f>
        <v>0.54278099999999996</v>
      </c>
      <c r="D53">
        <f>SUMIF(BAG_dakoppervlak_gebouwen!$B:$B,$B53,BAG_dakoppervlak_gebouwen!$G:$G)/10^6</f>
        <v>0.60949200000000003</v>
      </c>
    </row>
    <row r="54" spans="1:4" x14ac:dyDescent="0.2">
      <c r="A54" t="s">
        <v>106</v>
      </c>
      <c r="B54" t="str">
        <f>INDEX(CBS_gemeenten_alfabetisch_2023!$B:$B,MATCH($A54,CBS_gemeenten_alfabetisch_2023!$A:$A,0))</f>
        <v>Bunschoten</v>
      </c>
      <c r="C54">
        <f>SUMIF(BAG_dakoppervlak_woningen!$B:$B,$B54,BAG_dakoppervlak_woningen!$G:$G)/10^6</f>
        <v>0.60326000000000002</v>
      </c>
      <c r="D54">
        <f>SUMIF(BAG_dakoppervlak_gebouwen!$B:$B,$B54,BAG_dakoppervlak_gebouwen!$G:$G)/10^6</f>
        <v>0.845194</v>
      </c>
    </row>
    <row r="55" spans="1:4" x14ac:dyDescent="0.2">
      <c r="A55" t="s">
        <v>108</v>
      </c>
      <c r="B55" t="str">
        <f>INDEX(CBS_gemeenten_alfabetisch_2023!$B:$B,MATCH($A55,CBS_gemeenten_alfabetisch_2023!$A:$A,0))</f>
        <v>Buren</v>
      </c>
      <c r="C55">
        <f>SUMIF(BAG_dakoppervlak_woningen!$B:$B,$B55,BAG_dakoppervlak_woningen!$G:$G)/10^6</f>
        <v>1.2951239999999999</v>
      </c>
      <c r="D55">
        <f>SUMIF(BAG_dakoppervlak_gebouwen!$B:$B,$B55,BAG_dakoppervlak_gebouwen!$G:$G)/10^6</f>
        <v>1.5218769999999999</v>
      </c>
    </row>
    <row r="56" spans="1:4" x14ac:dyDescent="0.2">
      <c r="A56" t="s">
        <v>110</v>
      </c>
      <c r="B56" t="str">
        <f>INDEX(CBS_gemeenten_alfabetisch_2023!$B:$B,MATCH($A56,CBS_gemeenten_alfabetisch_2023!$A:$A,0))</f>
        <v>Capelle aan den IJssel</v>
      </c>
      <c r="C56">
        <f>SUMIF(BAG_dakoppervlak_woningen!$B:$B,$B56,BAG_dakoppervlak_woningen!$G:$G)/10^6</f>
        <v>1.330252</v>
      </c>
      <c r="D56">
        <f>SUMIF(BAG_dakoppervlak_gebouwen!$B:$B,$B56,BAG_dakoppervlak_gebouwen!$G:$G)/10^6</f>
        <v>0.97237300000000004</v>
      </c>
    </row>
    <row r="57" spans="1:4" x14ac:dyDescent="0.2">
      <c r="A57" t="s">
        <v>112</v>
      </c>
      <c r="B57" t="str">
        <f>INDEX(CBS_gemeenten_alfabetisch_2023!$B:$B,MATCH($A57,CBS_gemeenten_alfabetisch_2023!$A:$A,0))</f>
        <v>Castricum</v>
      </c>
      <c r="C57">
        <f>SUMIF(BAG_dakoppervlak_woningen!$B:$B,$B57,BAG_dakoppervlak_woningen!$G:$G)/10^6</f>
        <v>1.250343</v>
      </c>
      <c r="D57">
        <f>SUMIF(BAG_dakoppervlak_gebouwen!$B:$B,$B57,BAG_dakoppervlak_gebouwen!$G:$G)/10^6</f>
        <v>0.68361700000000003</v>
      </c>
    </row>
    <row r="58" spans="1:4" x14ac:dyDescent="0.2">
      <c r="A58" t="s">
        <v>114</v>
      </c>
      <c r="B58" t="str">
        <f>INDEX(CBS_gemeenten_alfabetisch_2023!$B:$B,MATCH($A58,CBS_gemeenten_alfabetisch_2023!$A:$A,0))</f>
        <v>Coevorden</v>
      </c>
      <c r="C58">
        <f>SUMIF(BAG_dakoppervlak_woningen!$B:$B,$B58,BAG_dakoppervlak_woningen!$G:$G)/10^6</f>
        <v>1.9593970000000001</v>
      </c>
      <c r="D58">
        <f>SUMIF(BAG_dakoppervlak_gebouwen!$B:$B,$B58,BAG_dakoppervlak_gebouwen!$G:$G)/10^6</f>
        <v>2.3360880000000002</v>
      </c>
    </row>
    <row r="59" spans="1:4" x14ac:dyDescent="0.2">
      <c r="A59" t="s">
        <v>116</v>
      </c>
      <c r="B59" t="str">
        <f>INDEX(CBS_gemeenten_alfabetisch_2023!$B:$B,MATCH($A59,CBS_gemeenten_alfabetisch_2023!$A:$A,0))</f>
        <v>Cranendonck</v>
      </c>
      <c r="C59">
        <f>SUMIF(BAG_dakoppervlak_woningen!$B:$B,$B59,BAG_dakoppervlak_woningen!$G:$G)/10^6</f>
        <v>0.97482599999999997</v>
      </c>
      <c r="D59">
        <f>SUMIF(BAG_dakoppervlak_gebouwen!$B:$B,$B59,BAG_dakoppervlak_gebouwen!$G:$G)/10^6</f>
        <v>1.403877</v>
      </c>
    </row>
    <row r="60" spans="1:4" x14ac:dyDescent="0.2">
      <c r="A60" t="s">
        <v>118</v>
      </c>
      <c r="B60" t="str">
        <f>INDEX(CBS_gemeenten_alfabetisch_2023!$B:$B,MATCH($A60,CBS_gemeenten_alfabetisch_2023!$A:$A,0))</f>
        <v>Culemborg</v>
      </c>
      <c r="C60">
        <f>SUMIF(BAG_dakoppervlak_woningen!$B:$B,$B60,BAG_dakoppervlak_woningen!$G:$G)/10^6</f>
        <v>0.840364</v>
      </c>
      <c r="D60">
        <f>SUMIF(BAG_dakoppervlak_gebouwen!$B:$B,$B60,BAG_dakoppervlak_gebouwen!$G:$G)/10^6</f>
        <v>1.023649</v>
      </c>
    </row>
    <row r="61" spans="1:4" x14ac:dyDescent="0.2">
      <c r="A61" t="s">
        <v>120</v>
      </c>
      <c r="B61" t="str">
        <f>INDEX(CBS_gemeenten_alfabetisch_2023!$B:$B,MATCH($A61,CBS_gemeenten_alfabetisch_2023!$A:$A,0))</f>
        <v>Dalfsen</v>
      </c>
      <c r="C61">
        <f>SUMIF(BAG_dakoppervlak_woningen!$B:$B,$B61,BAG_dakoppervlak_woningen!$G:$G)/10^6</f>
        <v>1.3850180000000001</v>
      </c>
      <c r="D61">
        <f>SUMIF(BAG_dakoppervlak_gebouwen!$B:$B,$B61,BAG_dakoppervlak_gebouwen!$G:$G)/10^6</f>
        <v>2.0733739999999998</v>
      </c>
    </row>
    <row r="62" spans="1:4" x14ac:dyDescent="0.2">
      <c r="A62" t="s">
        <v>122</v>
      </c>
      <c r="B62" t="str">
        <f>INDEX(CBS_gemeenten_alfabetisch_2023!$B:$B,MATCH($A62,CBS_gemeenten_alfabetisch_2023!$A:$A,0))</f>
        <v>Dantumadiel</v>
      </c>
      <c r="C62">
        <f>SUMIF(BAG_dakoppervlak_woningen!$B:$B,$B62,BAG_dakoppervlak_woningen!$G:$G)/10^6</f>
        <v>0.97819599999999995</v>
      </c>
      <c r="D62">
        <f>SUMIF(BAG_dakoppervlak_gebouwen!$B:$B,$B62,BAG_dakoppervlak_gebouwen!$G:$G)/10^6</f>
        <v>0.664049</v>
      </c>
    </row>
    <row r="63" spans="1:4" x14ac:dyDescent="0.2">
      <c r="A63" t="s">
        <v>124</v>
      </c>
      <c r="B63" t="str">
        <f>INDEX(CBS_gemeenten_alfabetisch_2023!$B:$B,MATCH($A63,CBS_gemeenten_alfabetisch_2023!$A:$A,0))</f>
        <v>Delft</v>
      </c>
      <c r="C63">
        <f>SUMIF(BAG_dakoppervlak_woningen!$B:$B,$B63,BAG_dakoppervlak_woningen!$G:$G)/10^6</f>
        <v>1.810325</v>
      </c>
      <c r="D63">
        <f>SUMIF(BAG_dakoppervlak_gebouwen!$B:$B,$B63,BAG_dakoppervlak_gebouwen!$G:$G)/10^6</f>
        <v>1.745903</v>
      </c>
    </row>
    <row r="64" spans="1:4" x14ac:dyDescent="0.2">
      <c r="A64" t="s">
        <v>126</v>
      </c>
      <c r="B64" t="str">
        <f>INDEX(CBS_gemeenten_alfabetisch_2023!$B:$B,MATCH($A64,CBS_gemeenten_alfabetisch_2023!$A:$A,0))</f>
        <v>Deurne</v>
      </c>
      <c r="C64">
        <f>SUMIF(BAG_dakoppervlak_woningen!$B:$B,$B64,BAG_dakoppervlak_woningen!$G:$G)/10^6</f>
        <v>1.627183</v>
      </c>
      <c r="D64">
        <f>SUMIF(BAG_dakoppervlak_gebouwen!$B:$B,$B64,BAG_dakoppervlak_gebouwen!$G:$G)/10^6</f>
        <v>3.1020720000000002</v>
      </c>
    </row>
    <row r="65" spans="1:4" x14ac:dyDescent="0.2">
      <c r="A65" t="s">
        <v>128</v>
      </c>
      <c r="B65" t="str">
        <f>INDEX(CBS_gemeenten_alfabetisch_2023!$B:$B,MATCH($A65,CBS_gemeenten_alfabetisch_2023!$A:$A,0))</f>
        <v>Deventer</v>
      </c>
      <c r="C65">
        <f>SUMIF(BAG_dakoppervlak_woningen!$B:$B,$B65,BAG_dakoppervlak_woningen!$G:$G)/10^6</f>
        <v>2.903937</v>
      </c>
      <c r="D65">
        <f>SUMIF(BAG_dakoppervlak_gebouwen!$B:$B,$B65,BAG_dakoppervlak_gebouwen!$G:$G)/10^6</f>
        <v>3.0898539999999999</v>
      </c>
    </row>
    <row r="66" spans="1:4" x14ac:dyDescent="0.2">
      <c r="A66" t="s">
        <v>130</v>
      </c>
      <c r="B66" t="str">
        <f>INDEX(CBS_gemeenten_alfabetisch_2023!$B:$B,MATCH($A66,CBS_gemeenten_alfabetisch_2023!$A:$A,0))</f>
        <v>Diemen</v>
      </c>
      <c r="C66">
        <f>SUMIF(BAG_dakoppervlak_woningen!$B:$B,$B66,BAG_dakoppervlak_woningen!$G:$G)/10^6</f>
        <v>0.56216699999999997</v>
      </c>
      <c r="D66">
        <f>SUMIF(BAG_dakoppervlak_gebouwen!$B:$B,$B66,BAG_dakoppervlak_gebouwen!$G:$G)/10^6</f>
        <v>0.45743600000000001</v>
      </c>
    </row>
    <row r="67" spans="1:4" x14ac:dyDescent="0.2">
      <c r="A67" t="s">
        <v>132</v>
      </c>
      <c r="B67" t="str">
        <f>INDEX(CBS_gemeenten_alfabetisch_2023!$B:$B,MATCH($A67,CBS_gemeenten_alfabetisch_2023!$A:$A,0))</f>
        <v>Dijk en Waard</v>
      </c>
      <c r="C67">
        <f>SUMIF(BAG_dakoppervlak_woningen!$B:$B,$B67,BAG_dakoppervlak_woningen!$G:$G)/10^6</f>
        <v>2.673359</v>
      </c>
      <c r="D67">
        <f>SUMIF(BAG_dakoppervlak_gebouwen!$B:$B,$B67,BAG_dakoppervlak_gebouwen!$G:$G)/10^6</f>
        <v>3.79087</v>
      </c>
    </row>
    <row r="68" spans="1:4" x14ac:dyDescent="0.2">
      <c r="A68" t="s">
        <v>134</v>
      </c>
      <c r="B68" t="str">
        <f>INDEX(CBS_gemeenten_alfabetisch_2023!$B:$B,MATCH($A68,CBS_gemeenten_alfabetisch_2023!$A:$A,0))</f>
        <v>Dinkelland</v>
      </c>
      <c r="C68">
        <f>SUMIF(BAG_dakoppervlak_woningen!$B:$B,$B68,BAG_dakoppervlak_woningen!$G:$G)/10^6</f>
        <v>1.3785240000000001</v>
      </c>
      <c r="D68">
        <f>SUMIF(BAG_dakoppervlak_gebouwen!$B:$B,$B68,BAG_dakoppervlak_gebouwen!$G:$G)/10^6</f>
        <v>2.2088429999999999</v>
      </c>
    </row>
    <row r="69" spans="1:4" x14ac:dyDescent="0.2">
      <c r="A69" t="s">
        <v>136</v>
      </c>
      <c r="B69" t="str">
        <f>INDEX(CBS_gemeenten_alfabetisch_2023!$B:$B,MATCH($A69,CBS_gemeenten_alfabetisch_2023!$A:$A,0))</f>
        <v>Doesburg</v>
      </c>
      <c r="C69">
        <f>SUMIF(BAG_dakoppervlak_woningen!$B:$B,$B69,BAG_dakoppervlak_woningen!$G:$G)/10^6</f>
        <v>0.36117500000000002</v>
      </c>
      <c r="D69">
        <f>SUMIF(BAG_dakoppervlak_gebouwen!$B:$B,$B69,BAG_dakoppervlak_gebouwen!$G:$G)/10^6</f>
        <v>0.26325999999999999</v>
      </c>
    </row>
    <row r="70" spans="1:4" x14ac:dyDescent="0.2">
      <c r="A70" t="s">
        <v>138</v>
      </c>
      <c r="B70" t="str">
        <f>INDEX(CBS_gemeenten_alfabetisch_2023!$B:$B,MATCH($A70,CBS_gemeenten_alfabetisch_2023!$A:$A,0))</f>
        <v>Doetinchem</v>
      </c>
      <c r="C70">
        <f>SUMIF(BAG_dakoppervlak_woningen!$B:$B,$B70,BAG_dakoppervlak_woningen!$G:$G)/10^6</f>
        <v>1.9960960000000001</v>
      </c>
      <c r="D70">
        <f>SUMIF(BAG_dakoppervlak_gebouwen!$B:$B,$B70,BAG_dakoppervlak_gebouwen!$G:$G)/10^6</f>
        <v>2.4181970000000002</v>
      </c>
    </row>
    <row r="71" spans="1:4" x14ac:dyDescent="0.2">
      <c r="A71" t="s">
        <v>140</v>
      </c>
      <c r="B71" t="str">
        <f>INDEX(CBS_gemeenten_alfabetisch_2023!$B:$B,MATCH($A71,CBS_gemeenten_alfabetisch_2023!$A:$A,0))</f>
        <v>Dongen</v>
      </c>
      <c r="C71">
        <f>SUMIF(BAG_dakoppervlak_woningen!$B:$B,$B71,BAG_dakoppervlak_woningen!$G:$G)/10^6</f>
        <v>1.1280399999999999</v>
      </c>
      <c r="D71">
        <f>SUMIF(BAG_dakoppervlak_gebouwen!$B:$B,$B71,BAG_dakoppervlak_gebouwen!$G:$G)/10^6</f>
        <v>1.5505169999999999</v>
      </c>
    </row>
    <row r="72" spans="1:4" x14ac:dyDescent="0.2">
      <c r="A72" t="s">
        <v>142</v>
      </c>
      <c r="B72" t="str">
        <f>INDEX(CBS_gemeenten_alfabetisch_2023!$B:$B,MATCH($A72,CBS_gemeenten_alfabetisch_2023!$A:$A,0))</f>
        <v>Dordrecht</v>
      </c>
      <c r="C72">
        <f>SUMIF(BAG_dakoppervlak_woningen!$B:$B,$B72,BAG_dakoppervlak_woningen!$G:$G)/10^6</f>
        <v>2.6049980000000001</v>
      </c>
      <c r="D72">
        <f>SUMIF(BAG_dakoppervlak_gebouwen!$B:$B,$B72,BAG_dakoppervlak_gebouwen!$G:$G)/10^6</f>
        <v>2.8176770000000002</v>
      </c>
    </row>
    <row r="73" spans="1:4" x14ac:dyDescent="0.2">
      <c r="A73" t="s">
        <v>144</v>
      </c>
      <c r="B73" t="str">
        <f>INDEX(CBS_gemeenten_alfabetisch_2023!$B:$B,MATCH($A73,CBS_gemeenten_alfabetisch_2023!$A:$A,0))</f>
        <v>Drechterland</v>
      </c>
      <c r="C73">
        <f>SUMIF(BAG_dakoppervlak_woningen!$B:$B,$B73,BAG_dakoppervlak_woningen!$G:$G)/10^6</f>
        <v>0.83245000000000002</v>
      </c>
      <c r="D73">
        <f>SUMIF(BAG_dakoppervlak_gebouwen!$B:$B,$B73,BAG_dakoppervlak_gebouwen!$G:$G)/10^6</f>
        <v>1.4961899999999999</v>
      </c>
    </row>
    <row r="74" spans="1:4" x14ac:dyDescent="0.2">
      <c r="A74" t="s">
        <v>146</v>
      </c>
      <c r="B74" t="str">
        <f>INDEX(CBS_gemeenten_alfabetisch_2023!$B:$B,MATCH($A74,CBS_gemeenten_alfabetisch_2023!$A:$A,0))</f>
        <v>Drimmelen</v>
      </c>
      <c r="C74">
        <f>SUMIF(BAG_dakoppervlak_woningen!$B:$B,$B74,BAG_dakoppervlak_woningen!$G:$G)/10^6</f>
        <v>1.070011</v>
      </c>
      <c r="D74">
        <f>SUMIF(BAG_dakoppervlak_gebouwen!$B:$B,$B74,BAG_dakoppervlak_gebouwen!$G:$G)/10^6</f>
        <v>2.6500590000000002</v>
      </c>
    </row>
    <row r="75" spans="1:4" x14ac:dyDescent="0.2">
      <c r="A75" t="s">
        <v>148</v>
      </c>
      <c r="B75" t="str">
        <f>INDEX(CBS_gemeenten_alfabetisch_2023!$B:$B,MATCH($A75,CBS_gemeenten_alfabetisch_2023!$A:$A,0))</f>
        <v>Dronten</v>
      </c>
      <c r="C75">
        <f>SUMIF(BAG_dakoppervlak_woningen!$B:$B,$B75,BAG_dakoppervlak_woningen!$G:$G)/10^6</f>
        <v>1.4910410000000001</v>
      </c>
      <c r="D75">
        <f>SUMIF(BAG_dakoppervlak_gebouwen!$B:$B,$B75,BAG_dakoppervlak_gebouwen!$G:$G)/10^6</f>
        <v>2.5313729999999999</v>
      </c>
    </row>
    <row r="76" spans="1:4" x14ac:dyDescent="0.2">
      <c r="A76" t="s">
        <v>150</v>
      </c>
      <c r="B76" t="str">
        <f>INDEX(CBS_gemeenten_alfabetisch_2023!$B:$B,MATCH($A76,CBS_gemeenten_alfabetisch_2023!$A:$A,0))</f>
        <v>Druten</v>
      </c>
      <c r="C76">
        <f>SUMIF(BAG_dakoppervlak_woningen!$B:$B,$B76,BAG_dakoppervlak_woningen!$G:$G)/10^6</f>
        <v>0.74462799999999996</v>
      </c>
      <c r="D76">
        <f>SUMIF(BAG_dakoppervlak_gebouwen!$B:$B,$B76,BAG_dakoppervlak_gebouwen!$G:$G)/10^6</f>
        <v>0.75660300000000003</v>
      </c>
    </row>
    <row r="77" spans="1:4" x14ac:dyDescent="0.2">
      <c r="A77" t="s">
        <v>152</v>
      </c>
      <c r="B77" t="str">
        <f>INDEX(CBS_gemeenten_alfabetisch_2023!$B:$B,MATCH($A77,CBS_gemeenten_alfabetisch_2023!$A:$A,0))</f>
        <v>Duiven</v>
      </c>
      <c r="C77">
        <f>SUMIF(BAG_dakoppervlak_woningen!$B:$B,$B77,BAG_dakoppervlak_woningen!$G:$G)/10^6</f>
        <v>0.88054299999999996</v>
      </c>
      <c r="D77">
        <f>SUMIF(BAG_dakoppervlak_gebouwen!$B:$B,$B77,BAG_dakoppervlak_gebouwen!$G:$G)/10^6</f>
        <v>1.2677099999999999</v>
      </c>
    </row>
    <row r="78" spans="1:4" x14ac:dyDescent="0.2">
      <c r="A78" t="s">
        <v>154</v>
      </c>
      <c r="B78" t="str">
        <f>INDEX(CBS_gemeenten_alfabetisch_2023!$B:$B,MATCH($A78,CBS_gemeenten_alfabetisch_2023!$A:$A,0))</f>
        <v>Echt-Susteren</v>
      </c>
      <c r="C78">
        <f>SUMIF(BAG_dakoppervlak_woningen!$B:$B,$B78,BAG_dakoppervlak_woningen!$G:$G)/10^6</f>
        <v>1.6253709999999999</v>
      </c>
      <c r="D78">
        <f>SUMIF(BAG_dakoppervlak_gebouwen!$B:$B,$B78,BAG_dakoppervlak_gebouwen!$G:$G)/10^6</f>
        <v>1.4373549999999999</v>
      </c>
    </row>
    <row r="79" spans="1:4" x14ac:dyDescent="0.2">
      <c r="A79" t="s">
        <v>156</v>
      </c>
      <c r="B79" t="str">
        <f>INDEX(CBS_gemeenten_alfabetisch_2023!$B:$B,MATCH($A79,CBS_gemeenten_alfabetisch_2023!$A:$A,0))</f>
        <v>Edam-Volendam</v>
      </c>
      <c r="C79">
        <f>SUMIF(BAG_dakoppervlak_woningen!$B:$B,$B79,BAG_dakoppervlak_woningen!$G:$G)/10^6</f>
        <v>1.2016709999999999</v>
      </c>
      <c r="D79">
        <f>SUMIF(BAG_dakoppervlak_gebouwen!$B:$B,$B79,BAG_dakoppervlak_gebouwen!$G:$G)/10^6</f>
        <v>0.83431999999999995</v>
      </c>
    </row>
    <row r="80" spans="1:4" x14ac:dyDescent="0.2">
      <c r="A80" t="s">
        <v>158</v>
      </c>
      <c r="B80" t="str">
        <f>INDEX(CBS_gemeenten_alfabetisch_2023!$B:$B,MATCH($A80,CBS_gemeenten_alfabetisch_2023!$A:$A,0))</f>
        <v>Ede</v>
      </c>
      <c r="C80">
        <f>SUMIF(BAG_dakoppervlak_woningen!$B:$B,$B80,BAG_dakoppervlak_woningen!$G:$G)/10^6</f>
        <v>3.6361379999999999</v>
      </c>
      <c r="D80">
        <f>SUMIF(BAG_dakoppervlak_gebouwen!$B:$B,$B80,BAG_dakoppervlak_gebouwen!$G:$G)/10^6</f>
        <v>5.4615400000000003</v>
      </c>
    </row>
    <row r="81" spans="1:4" x14ac:dyDescent="0.2">
      <c r="A81" t="s">
        <v>160</v>
      </c>
      <c r="B81" t="str">
        <f>INDEX(CBS_gemeenten_alfabetisch_2023!$B:$B,MATCH($A81,CBS_gemeenten_alfabetisch_2023!$A:$A,0))</f>
        <v>Eemnes</v>
      </c>
      <c r="C81">
        <f>SUMIF(BAG_dakoppervlak_woningen!$B:$B,$B81,BAG_dakoppervlak_woningen!$G:$G)/10^6</f>
        <v>0.32289899999999999</v>
      </c>
      <c r="D81">
        <f>SUMIF(BAG_dakoppervlak_gebouwen!$B:$B,$B81,BAG_dakoppervlak_gebouwen!$G:$G)/10^6</f>
        <v>0.25486599999999998</v>
      </c>
    </row>
    <row r="82" spans="1:4" x14ac:dyDescent="0.2">
      <c r="A82" t="s">
        <v>162</v>
      </c>
      <c r="B82" t="str">
        <f>INDEX(CBS_gemeenten_alfabetisch_2023!$B:$B,MATCH($A82,CBS_gemeenten_alfabetisch_2023!$A:$A,0))</f>
        <v>Eemsdelta</v>
      </c>
      <c r="C82">
        <f>SUMIF(BAG_dakoppervlak_woningen!$B:$B,$B82,BAG_dakoppervlak_woningen!$G:$G)/10^6</f>
        <v>2.5317280000000002</v>
      </c>
      <c r="D82">
        <f>SUMIF(BAG_dakoppervlak_gebouwen!$B:$B,$B82,BAG_dakoppervlak_gebouwen!$G:$G)/10^6</f>
        <v>2.4023620000000001</v>
      </c>
    </row>
    <row r="83" spans="1:4" x14ac:dyDescent="0.2">
      <c r="A83" t="s">
        <v>164</v>
      </c>
      <c r="B83" t="str">
        <f>INDEX(CBS_gemeenten_alfabetisch_2023!$B:$B,MATCH($A83,CBS_gemeenten_alfabetisch_2023!$A:$A,0))</f>
        <v>Eersel</v>
      </c>
      <c r="C83">
        <f>SUMIF(BAG_dakoppervlak_woningen!$B:$B,$B83,BAG_dakoppervlak_woningen!$G:$G)/10^6</f>
        <v>0.98946199999999995</v>
      </c>
      <c r="D83">
        <f>SUMIF(BAG_dakoppervlak_gebouwen!$B:$B,$B83,BAG_dakoppervlak_gebouwen!$G:$G)/10^6</f>
        <v>1.275687</v>
      </c>
    </row>
    <row r="84" spans="1:4" x14ac:dyDescent="0.2">
      <c r="A84" t="s">
        <v>166</v>
      </c>
      <c r="B84" t="str">
        <f>INDEX(CBS_gemeenten_alfabetisch_2023!$B:$B,MATCH($A84,CBS_gemeenten_alfabetisch_2023!$A:$A,0))</f>
        <v>Eijsden-Margraten</v>
      </c>
      <c r="C84">
        <f>SUMIF(BAG_dakoppervlak_woningen!$B:$B,$B84,BAG_dakoppervlak_woningen!$G:$G)/10^6</f>
        <v>1.2954159999999999</v>
      </c>
      <c r="D84">
        <f>SUMIF(BAG_dakoppervlak_gebouwen!$B:$B,$B84,BAG_dakoppervlak_gebouwen!$G:$G)/10^6</f>
        <v>0.95429600000000003</v>
      </c>
    </row>
    <row r="85" spans="1:4" x14ac:dyDescent="0.2">
      <c r="A85" t="s">
        <v>168</v>
      </c>
      <c r="B85" t="str">
        <f>INDEX(CBS_gemeenten_alfabetisch_2023!$B:$B,MATCH($A85,CBS_gemeenten_alfabetisch_2023!$A:$A,0))</f>
        <v>Eindhoven</v>
      </c>
      <c r="C85">
        <f>SUMIF(BAG_dakoppervlak_woningen!$B:$B,$B85,BAG_dakoppervlak_woningen!$G:$G)/10^6</f>
        <v>6.2585699999999997</v>
      </c>
      <c r="D85">
        <f>SUMIF(BAG_dakoppervlak_gebouwen!$B:$B,$B85,BAG_dakoppervlak_gebouwen!$G:$G)/10^6</f>
        <v>6.3234519999999996</v>
      </c>
    </row>
    <row r="86" spans="1:4" x14ac:dyDescent="0.2">
      <c r="A86" t="s">
        <v>170</v>
      </c>
      <c r="B86" t="str">
        <f>INDEX(CBS_gemeenten_alfabetisch_2023!$B:$B,MATCH($A86,CBS_gemeenten_alfabetisch_2023!$A:$A,0))</f>
        <v>Elburg</v>
      </c>
      <c r="C86">
        <f>SUMIF(BAG_dakoppervlak_woningen!$B:$B,$B86,BAG_dakoppervlak_woningen!$G:$G)/10^6</f>
        <v>0.77285499999999996</v>
      </c>
      <c r="D86">
        <f>SUMIF(BAG_dakoppervlak_gebouwen!$B:$B,$B86,BAG_dakoppervlak_gebouwen!$G:$G)/10^6</f>
        <v>0.91090000000000004</v>
      </c>
    </row>
    <row r="87" spans="1:4" x14ac:dyDescent="0.2">
      <c r="A87" t="s">
        <v>172</v>
      </c>
      <c r="B87" t="str">
        <f>INDEX(CBS_gemeenten_alfabetisch_2023!$B:$B,MATCH($A87,CBS_gemeenten_alfabetisch_2023!$A:$A,0))</f>
        <v>Emmen</v>
      </c>
      <c r="C87">
        <f>SUMIF(BAG_dakoppervlak_woningen!$B:$B,$B87,BAG_dakoppervlak_woningen!$G:$G)/10^6</f>
        <v>4.7586849999999998</v>
      </c>
      <c r="D87">
        <f>SUMIF(BAG_dakoppervlak_gebouwen!$B:$B,$B87,BAG_dakoppervlak_gebouwen!$G:$G)/10^6</f>
        <v>6.9266779999999999</v>
      </c>
    </row>
    <row r="88" spans="1:4" x14ac:dyDescent="0.2">
      <c r="A88" t="s">
        <v>174</v>
      </c>
      <c r="B88" t="str">
        <f>INDEX(CBS_gemeenten_alfabetisch_2023!$B:$B,MATCH($A88,CBS_gemeenten_alfabetisch_2023!$A:$A,0))</f>
        <v>Enkhuizen</v>
      </c>
      <c r="C88">
        <f>SUMIF(BAG_dakoppervlak_woningen!$B:$B,$B88,BAG_dakoppervlak_woningen!$G:$G)/10^6</f>
        <v>0.58261300000000005</v>
      </c>
      <c r="D88">
        <f>SUMIF(BAG_dakoppervlak_gebouwen!$B:$B,$B88,BAG_dakoppervlak_gebouwen!$G:$G)/10^6</f>
        <v>0.79520299999999999</v>
      </c>
    </row>
    <row r="89" spans="1:4" x14ac:dyDescent="0.2">
      <c r="A89" t="s">
        <v>176</v>
      </c>
      <c r="B89" t="str">
        <f>INDEX(CBS_gemeenten_alfabetisch_2023!$B:$B,MATCH($A89,CBS_gemeenten_alfabetisch_2023!$A:$A,0))</f>
        <v>Enschede</v>
      </c>
      <c r="C89">
        <f>SUMIF(BAG_dakoppervlak_woningen!$B:$B,$B89,BAG_dakoppervlak_woningen!$G:$G)/10^6</f>
        <v>4.7601360000000001</v>
      </c>
      <c r="D89">
        <f>SUMIF(BAG_dakoppervlak_gebouwen!$B:$B,$B89,BAG_dakoppervlak_gebouwen!$G:$G)/10^6</f>
        <v>4.4868600000000001</v>
      </c>
    </row>
    <row r="90" spans="1:4" x14ac:dyDescent="0.2">
      <c r="A90" t="s">
        <v>178</v>
      </c>
      <c r="B90" t="str">
        <f>INDEX(CBS_gemeenten_alfabetisch_2023!$B:$B,MATCH($A90,CBS_gemeenten_alfabetisch_2023!$A:$A,0))</f>
        <v>Epe</v>
      </c>
      <c r="C90">
        <f>SUMIF(BAG_dakoppervlak_woningen!$B:$B,$B90,BAG_dakoppervlak_woningen!$G:$G)/10^6</f>
        <v>1.2974619999999999</v>
      </c>
      <c r="D90">
        <f>SUMIF(BAG_dakoppervlak_gebouwen!$B:$B,$B90,BAG_dakoppervlak_gebouwen!$G:$G)/10^6</f>
        <v>1.676272</v>
      </c>
    </row>
    <row r="91" spans="1:4" x14ac:dyDescent="0.2">
      <c r="A91" t="s">
        <v>180</v>
      </c>
      <c r="B91" t="str">
        <f>INDEX(CBS_gemeenten_alfabetisch_2023!$B:$B,MATCH($A91,CBS_gemeenten_alfabetisch_2023!$A:$A,0))</f>
        <v>Ermelo</v>
      </c>
      <c r="C91">
        <f>SUMIF(BAG_dakoppervlak_woningen!$B:$B,$B91,BAG_dakoppervlak_woningen!$G:$G)/10^6</f>
        <v>1.0168489999999999</v>
      </c>
      <c r="D91">
        <f>SUMIF(BAG_dakoppervlak_gebouwen!$B:$B,$B91,BAG_dakoppervlak_gebouwen!$G:$G)/10^6</f>
        <v>1.3146139999999999</v>
      </c>
    </row>
    <row r="92" spans="1:4" x14ac:dyDescent="0.2">
      <c r="A92" t="s">
        <v>182</v>
      </c>
      <c r="B92" t="str">
        <f>INDEX(CBS_gemeenten_alfabetisch_2023!$B:$B,MATCH($A92,CBS_gemeenten_alfabetisch_2023!$A:$A,0))</f>
        <v>Etten-Leur</v>
      </c>
      <c r="C92">
        <f>SUMIF(BAG_dakoppervlak_woningen!$B:$B,$B92,BAG_dakoppervlak_woningen!$G:$G)/10^6</f>
        <v>1.4358390000000001</v>
      </c>
      <c r="D92">
        <f>SUMIF(BAG_dakoppervlak_gebouwen!$B:$B,$B92,BAG_dakoppervlak_gebouwen!$G:$G)/10^6</f>
        <v>3.027892</v>
      </c>
    </row>
    <row r="93" spans="1:4" x14ac:dyDescent="0.2">
      <c r="A93" t="s">
        <v>184</v>
      </c>
      <c r="B93" t="str">
        <f>INDEX(CBS_gemeenten_alfabetisch_2023!$B:$B,MATCH($A93,CBS_gemeenten_alfabetisch_2023!$A:$A,0))</f>
        <v>De Fryske Marren</v>
      </c>
      <c r="C93">
        <f>SUMIF(BAG_dakoppervlak_woningen!$B:$B,$B93,BAG_dakoppervlak_woningen!$G:$G)/10^6</f>
        <v>2.9339390000000001</v>
      </c>
      <c r="D93">
        <f>SUMIF(BAG_dakoppervlak_gebouwen!$B:$B,$B93,BAG_dakoppervlak_gebouwen!$G:$G)/10^6</f>
        <v>2.6128170000000002</v>
      </c>
    </row>
    <row r="94" spans="1:4" x14ac:dyDescent="0.2">
      <c r="A94" t="s">
        <v>186</v>
      </c>
      <c r="B94" t="str">
        <f>INDEX(CBS_gemeenten_alfabetisch_2023!$B:$B,MATCH($A94,CBS_gemeenten_alfabetisch_2023!$A:$A,0))</f>
        <v>Geertruidenberg</v>
      </c>
      <c r="C94">
        <f>SUMIF(BAG_dakoppervlak_woningen!$B:$B,$B94,BAG_dakoppervlak_woningen!$G:$G)/10^6</f>
        <v>0.71310700000000005</v>
      </c>
      <c r="D94">
        <f>SUMIF(BAG_dakoppervlak_gebouwen!$B:$B,$B94,BAG_dakoppervlak_gebouwen!$G:$G)/10^6</f>
        <v>1.30769</v>
      </c>
    </row>
    <row r="95" spans="1:4" x14ac:dyDescent="0.2">
      <c r="A95" t="s">
        <v>188</v>
      </c>
      <c r="B95" t="str">
        <f>INDEX(CBS_gemeenten_alfabetisch_2023!$B:$B,MATCH($A95,CBS_gemeenten_alfabetisch_2023!$A:$A,0))</f>
        <v>Geldrop-Mierlo</v>
      </c>
      <c r="C95">
        <f>SUMIF(BAG_dakoppervlak_woningen!$B:$B,$B95,BAG_dakoppervlak_woningen!$G:$G)/10^6</f>
        <v>1.4053469999999999</v>
      </c>
      <c r="D95">
        <f>SUMIF(BAG_dakoppervlak_gebouwen!$B:$B,$B95,BAG_dakoppervlak_gebouwen!$G:$G)/10^6</f>
        <v>1.147656</v>
      </c>
    </row>
    <row r="96" spans="1:4" x14ac:dyDescent="0.2">
      <c r="A96" t="s">
        <v>190</v>
      </c>
      <c r="B96" t="str">
        <f>INDEX(CBS_gemeenten_alfabetisch_2023!$B:$B,MATCH($A96,CBS_gemeenten_alfabetisch_2023!$A:$A,0))</f>
        <v>Gemert-Bakel</v>
      </c>
      <c r="C96">
        <f>SUMIF(BAG_dakoppervlak_woningen!$B:$B,$B96,BAG_dakoppervlak_woningen!$G:$G)/10^6</f>
        <v>1.4900249999999999</v>
      </c>
      <c r="D96">
        <f>SUMIF(BAG_dakoppervlak_gebouwen!$B:$B,$B96,BAG_dakoppervlak_gebouwen!$G:$G)/10^6</f>
        <v>2.5846710000000002</v>
      </c>
    </row>
    <row r="97" spans="1:4" x14ac:dyDescent="0.2">
      <c r="A97" t="s">
        <v>192</v>
      </c>
      <c r="B97" t="str">
        <f>INDEX(CBS_gemeenten_alfabetisch_2023!$B:$B,MATCH($A97,CBS_gemeenten_alfabetisch_2023!$A:$A,0))</f>
        <v>Gennep</v>
      </c>
      <c r="C97">
        <f>SUMIF(BAG_dakoppervlak_woningen!$B:$B,$B97,BAG_dakoppervlak_woningen!$G:$G)/10^6</f>
        <v>0.73277400000000004</v>
      </c>
      <c r="D97">
        <f>SUMIF(BAG_dakoppervlak_gebouwen!$B:$B,$B97,BAG_dakoppervlak_gebouwen!$G:$G)/10^6</f>
        <v>1.1515010000000001</v>
      </c>
    </row>
    <row r="98" spans="1:4" x14ac:dyDescent="0.2">
      <c r="A98" t="s">
        <v>194</v>
      </c>
      <c r="B98" t="str">
        <f>INDEX(CBS_gemeenten_alfabetisch_2023!$B:$B,MATCH($A98,CBS_gemeenten_alfabetisch_2023!$A:$A,0))</f>
        <v>Gilze en Rijen</v>
      </c>
      <c r="C98">
        <f>SUMIF(BAG_dakoppervlak_woningen!$B:$B,$B98,BAG_dakoppervlak_woningen!$G:$G)/10^6</f>
        <v>0.98999400000000004</v>
      </c>
      <c r="D98">
        <f>SUMIF(BAG_dakoppervlak_gebouwen!$B:$B,$B98,BAG_dakoppervlak_gebouwen!$G:$G)/10^6</f>
        <v>1.630209</v>
      </c>
    </row>
    <row r="99" spans="1:4" x14ac:dyDescent="0.2">
      <c r="A99" t="s">
        <v>196</v>
      </c>
      <c r="B99" t="str">
        <f>INDEX(CBS_gemeenten_alfabetisch_2023!$B:$B,MATCH($A99,CBS_gemeenten_alfabetisch_2023!$A:$A,0))</f>
        <v>Goeree-Overflakkee</v>
      </c>
      <c r="C99">
        <f>SUMIF(BAG_dakoppervlak_woningen!$B:$B,$B99,BAG_dakoppervlak_woningen!$G:$G)/10^6</f>
        <v>1.86798</v>
      </c>
      <c r="D99">
        <f>SUMIF(BAG_dakoppervlak_gebouwen!$B:$B,$B99,BAG_dakoppervlak_gebouwen!$G:$G)/10^6</f>
        <v>2.70871</v>
      </c>
    </row>
    <row r="100" spans="1:4" x14ac:dyDescent="0.2">
      <c r="A100" t="s">
        <v>198</v>
      </c>
      <c r="B100" t="str">
        <f>INDEX(CBS_gemeenten_alfabetisch_2023!$B:$B,MATCH($A100,CBS_gemeenten_alfabetisch_2023!$A:$A,0))</f>
        <v>Goes</v>
      </c>
      <c r="C100">
        <f>SUMIF(BAG_dakoppervlak_woningen!$B:$B,$B100,BAG_dakoppervlak_woningen!$G:$G)/10^6</f>
        <v>1.348652</v>
      </c>
      <c r="D100">
        <f>SUMIF(BAG_dakoppervlak_gebouwen!$B:$B,$B100,BAG_dakoppervlak_gebouwen!$G:$G)/10^6</f>
        <v>1.380722</v>
      </c>
    </row>
    <row r="101" spans="1:4" x14ac:dyDescent="0.2">
      <c r="A101" t="s">
        <v>200</v>
      </c>
      <c r="B101" t="str">
        <f>INDEX(CBS_gemeenten_alfabetisch_2023!$B:$B,MATCH($A101,CBS_gemeenten_alfabetisch_2023!$A:$A,0))</f>
        <v>Goirle</v>
      </c>
      <c r="C101">
        <f>SUMIF(BAG_dakoppervlak_woningen!$B:$B,$B101,BAG_dakoppervlak_woningen!$G:$G)/10^6</f>
        <v>0.91234899999999997</v>
      </c>
      <c r="D101">
        <f>SUMIF(BAG_dakoppervlak_gebouwen!$B:$B,$B101,BAG_dakoppervlak_gebouwen!$G:$G)/10^6</f>
        <v>0.78710100000000005</v>
      </c>
    </row>
    <row r="102" spans="1:4" x14ac:dyDescent="0.2">
      <c r="A102" t="s">
        <v>202</v>
      </c>
      <c r="B102" t="str">
        <f>INDEX(CBS_gemeenten_alfabetisch_2023!$B:$B,MATCH($A102,CBS_gemeenten_alfabetisch_2023!$A:$A,0))</f>
        <v>Gooise Meren</v>
      </c>
      <c r="C102">
        <f>SUMIF(BAG_dakoppervlak_woningen!$B:$B,$B102,BAG_dakoppervlak_woningen!$G:$G)/10^6</f>
        <v>1.724145</v>
      </c>
      <c r="D102">
        <f>SUMIF(BAG_dakoppervlak_gebouwen!$B:$B,$B102,BAG_dakoppervlak_gebouwen!$G:$G)/10^6</f>
        <v>1.009728</v>
      </c>
    </row>
    <row r="103" spans="1:4" x14ac:dyDescent="0.2">
      <c r="A103" t="s">
        <v>204</v>
      </c>
      <c r="B103" t="str">
        <f>INDEX(CBS_gemeenten_alfabetisch_2023!$B:$B,MATCH($A103,CBS_gemeenten_alfabetisch_2023!$A:$A,0))</f>
        <v>Gorinchem</v>
      </c>
      <c r="C103">
        <f>SUMIF(BAG_dakoppervlak_woningen!$B:$B,$B103,BAG_dakoppervlak_woningen!$G:$G)/10^6</f>
        <v>0.873332</v>
      </c>
      <c r="D103">
        <f>SUMIF(BAG_dakoppervlak_gebouwen!$B:$B,$B103,BAG_dakoppervlak_gebouwen!$G:$G)/10^6</f>
        <v>1.153151</v>
      </c>
    </row>
    <row r="104" spans="1:4" x14ac:dyDescent="0.2">
      <c r="A104" t="s">
        <v>206</v>
      </c>
      <c r="B104" t="str">
        <f>INDEX(CBS_gemeenten_alfabetisch_2023!$B:$B,MATCH($A104,CBS_gemeenten_alfabetisch_2023!$A:$A,0))</f>
        <v>Gouda</v>
      </c>
      <c r="C104">
        <f>SUMIF(BAG_dakoppervlak_woningen!$B:$B,$B104,BAG_dakoppervlak_woningen!$G:$G)/10^6</f>
        <v>1.6049819999999999</v>
      </c>
      <c r="D104">
        <f>SUMIF(BAG_dakoppervlak_gebouwen!$B:$B,$B104,BAG_dakoppervlak_gebouwen!$G:$G)/10^6</f>
        <v>1.1805140000000001</v>
      </c>
    </row>
    <row r="105" spans="1:4" x14ac:dyDescent="0.2">
      <c r="A105" t="s">
        <v>208</v>
      </c>
      <c r="B105" t="str">
        <f>INDEX(CBS_gemeenten_alfabetisch_2023!$B:$B,MATCH($A105,CBS_gemeenten_alfabetisch_2023!$A:$A,0))</f>
        <v>'s-Gravenhage</v>
      </c>
      <c r="C105">
        <f>SUMIF(BAG_dakoppervlak_woningen!$B:$B,$B105,BAG_dakoppervlak_woningen!$G:$G)/10^6</f>
        <v>9.800414</v>
      </c>
      <c r="D105">
        <f>SUMIF(BAG_dakoppervlak_gebouwen!$B:$B,$B105,BAG_dakoppervlak_gebouwen!$G:$G)/10^6</f>
        <v>5.9363619999999999</v>
      </c>
    </row>
    <row r="106" spans="1:4" x14ac:dyDescent="0.2">
      <c r="A106" t="s">
        <v>210</v>
      </c>
      <c r="B106" t="str">
        <f>INDEX(CBS_gemeenten_alfabetisch_2023!$B:$B,MATCH($A106,CBS_gemeenten_alfabetisch_2023!$A:$A,0))</f>
        <v>Groningen</v>
      </c>
      <c r="C106">
        <f>SUMIF(BAG_dakoppervlak_woningen!$B:$B,$B106,BAG_dakoppervlak_woningen!$G:$G)/10^6</f>
        <v>5.9141069999999996</v>
      </c>
      <c r="D106">
        <f>SUMIF(BAG_dakoppervlak_gebouwen!$B:$B,$B106,BAG_dakoppervlak_gebouwen!$G:$G)/10^6</f>
        <v>4.6800750000000004</v>
      </c>
    </row>
    <row r="107" spans="1:4" x14ac:dyDescent="0.2">
      <c r="A107" t="s">
        <v>212</v>
      </c>
      <c r="B107" t="str">
        <f>INDEX(CBS_gemeenten_alfabetisch_2023!$B:$B,MATCH($A107,CBS_gemeenten_alfabetisch_2023!$A:$A,0))</f>
        <v>Gulpen-Wittem</v>
      </c>
      <c r="C107">
        <f>SUMIF(BAG_dakoppervlak_woningen!$B:$B,$B107,BAG_dakoppervlak_woningen!$G:$G)/10^6</f>
        <v>0.74612699999999998</v>
      </c>
      <c r="D107">
        <f>SUMIF(BAG_dakoppervlak_gebouwen!$B:$B,$B107,BAG_dakoppervlak_gebouwen!$G:$G)/10^6</f>
        <v>0.46332499999999999</v>
      </c>
    </row>
    <row r="108" spans="1:4" x14ac:dyDescent="0.2">
      <c r="A108" t="s">
        <v>214</v>
      </c>
      <c r="B108" t="str">
        <f>INDEX(CBS_gemeenten_alfabetisch_2023!$B:$B,MATCH($A108,CBS_gemeenten_alfabetisch_2023!$A:$A,0))</f>
        <v>Haaksbergen</v>
      </c>
      <c r="C108">
        <f>SUMIF(BAG_dakoppervlak_woningen!$B:$B,$B108,BAG_dakoppervlak_woningen!$G:$G)/10^6</f>
        <v>1.0136069999999999</v>
      </c>
      <c r="D108">
        <f>SUMIF(BAG_dakoppervlak_gebouwen!$B:$B,$B108,BAG_dakoppervlak_gebouwen!$G:$G)/10^6</f>
        <v>1.55369</v>
      </c>
    </row>
    <row r="109" spans="1:4" x14ac:dyDescent="0.2">
      <c r="A109" t="s">
        <v>216</v>
      </c>
      <c r="B109" t="str">
        <f>INDEX(CBS_gemeenten_alfabetisch_2023!$B:$B,MATCH($A109,CBS_gemeenten_alfabetisch_2023!$A:$A,0))</f>
        <v>Haarlem</v>
      </c>
      <c r="C109">
        <f>SUMIF(BAG_dakoppervlak_woningen!$B:$B,$B109,BAG_dakoppervlak_woningen!$G:$G)/10^6</f>
        <v>3.6299160000000001</v>
      </c>
      <c r="D109">
        <f>SUMIF(BAG_dakoppervlak_gebouwen!$B:$B,$B109,BAG_dakoppervlak_gebouwen!$G:$G)/10^6</f>
        <v>2.3985280000000002</v>
      </c>
    </row>
    <row r="110" spans="1:4" x14ac:dyDescent="0.2">
      <c r="A110" t="s">
        <v>218</v>
      </c>
      <c r="B110" t="str">
        <f>INDEX(CBS_gemeenten_alfabetisch_2023!$B:$B,MATCH($A110,CBS_gemeenten_alfabetisch_2023!$A:$A,0))</f>
        <v>Haarlemmermeer</v>
      </c>
      <c r="C110">
        <f>SUMIF(BAG_dakoppervlak_woningen!$B:$B,$B110,BAG_dakoppervlak_woningen!$G:$G)/10^6</f>
        <v>4.3459820000000002</v>
      </c>
      <c r="D110">
        <f>SUMIF(BAG_dakoppervlak_gebouwen!$B:$B,$B110,BAG_dakoppervlak_gebouwen!$G:$G)/10^6</f>
        <v>8.1223329999999994</v>
      </c>
    </row>
    <row r="111" spans="1:4" x14ac:dyDescent="0.2">
      <c r="A111" t="s">
        <v>220</v>
      </c>
      <c r="B111" t="str">
        <f>INDEX(CBS_gemeenten_alfabetisch_2023!$B:$B,MATCH($A111,CBS_gemeenten_alfabetisch_2023!$A:$A,0))</f>
        <v>Halderberge</v>
      </c>
      <c r="C111">
        <f>SUMIF(BAG_dakoppervlak_woningen!$B:$B,$B111,BAG_dakoppervlak_woningen!$G:$G)/10^6</f>
        <v>1.3017570000000001</v>
      </c>
      <c r="D111">
        <f>SUMIF(BAG_dakoppervlak_gebouwen!$B:$B,$B111,BAG_dakoppervlak_gebouwen!$G:$G)/10^6</f>
        <v>2.0892460000000002</v>
      </c>
    </row>
    <row r="112" spans="1:4" x14ac:dyDescent="0.2">
      <c r="A112" t="s">
        <v>222</v>
      </c>
      <c r="B112" t="str">
        <f>INDEX(CBS_gemeenten_alfabetisch_2023!$B:$B,MATCH($A112,CBS_gemeenten_alfabetisch_2023!$A:$A,0))</f>
        <v>Hardenberg</v>
      </c>
      <c r="C112">
        <f>SUMIF(BAG_dakoppervlak_woningen!$B:$B,$B112,BAG_dakoppervlak_woningen!$G:$G)/10^6</f>
        <v>2.622064</v>
      </c>
      <c r="D112">
        <f>SUMIF(BAG_dakoppervlak_gebouwen!$B:$B,$B112,BAG_dakoppervlak_gebouwen!$G:$G)/10^6</f>
        <v>4.0289060000000001</v>
      </c>
    </row>
    <row r="113" spans="1:4" x14ac:dyDescent="0.2">
      <c r="A113" t="s">
        <v>224</v>
      </c>
      <c r="B113" t="str">
        <f>INDEX(CBS_gemeenten_alfabetisch_2023!$B:$B,MATCH($A113,CBS_gemeenten_alfabetisch_2023!$A:$A,0))</f>
        <v>Harderwijk</v>
      </c>
      <c r="C113">
        <f>SUMIF(BAG_dakoppervlak_woningen!$B:$B,$B113,BAG_dakoppervlak_woningen!$G:$G)/10^6</f>
        <v>1.344503</v>
      </c>
      <c r="D113">
        <f>SUMIF(BAG_dakoppervlak_gebouwen!$B:$B,$B113,BAG_dakoppervlak_gebouwen!$G:$G)/10^6</f>
        <v>1.524939</v>
      </c>
    </row>
    <row r="114" spans="1:4" x14ac:dyDescent="0.2">
      <c r="A114" t="s">
        <v>226</v>
      </c>
      <c r="B114" t="str">
        <f>INDEX(CBS_gemeenten_alfabetisch_2023!$B:$B,MATCH($A114,CBS_gemeenten_alfabetisch_2023!$A:$A,0))</f>
        <v>Hardinxveld-Giessendam</v>
      </c>
      <c r="C114">
        <f>SUMIF(BAG_dakoppervlak_woningen!$B:$B,$B114,BAG_dakoppervlak_woningen!$G:$G)/10^6</f>
        <v>0.50745399999999996</v>
      </c>
      <c r="D114">
        <f>SUMIF(BAG_dakoppervlak_gebouwen!$B:$B,$B114,BAG_dakoppervlak_gebouwen!$G:$G)/10^6</f>
        <v>0.60350199999999998</v>
      </c>
    </row>
    <row r="115" spans="1:4" x14ac:dyDescent="0.2">
      <c r="A115" t="s">
        <v>228</v>
      </c>
      <c r="B115" t="str">
        <f>INDEX(CBS_gemeenten_alfabetisch_2023!$B:$B,MATCH($A115,CBS_gemeenten_alfabetisch_2023!$A:$A,0))</f>
        <v>Harlingen</v>
      </c>
      <c r="C115">
        <f>SUMIF(BAG_dakoppervlak_woningen!$B:$B,$B115,BAG_dakoppervlak_woningen!$G:$G)/10^6</f>
        <v>0.59136500000000003</v>
      </c>
      <c r="D115">
        <f>SUMIF(BAG_dakoppervlak_gebouwen!$B:$B,$B115,BAG_dakoppervlak_gebouwen!$G:$G)/10^6</f>
        <v>0.66145500000000002</v>
      </c>
    </row>
    <row r="116" spans="1:4" x14ac:dyDescent="0.2">
      <c r="A116" t="s">
        <v>230</v>
      </c>
      <c r="B116" t="str">
        <f>INDEX(CBS_gemeenten_alfabetisch_2023!$B:$B,MATCH($A116,CBS_gemeenten_alfabetisch_2023!$A:$A,0))</f>
        <v>Hattem</v>
      </c>
      <c r="C116">
        <f>SUMIF(BAG_dakoppervlak_woningen!$B:$B,$B116,BAG_dakoppervlak_woningen!$G:$G)/10^6</f>
        <v>0.46233999999999997</v>
      </c>
      <c r="D116">
        <f>SUMIF(BAG_dakoppervlak_gebouwen!$B:$B,$B116,BAG_dakoppervlak_gebouwen!$G:$G)/10^6</f>
        <v>0.32574599999999998</v>
      </c>
    </row>
    <row r="117" spans="1:4" x14ac:dyDescent="0.2">
      <c r="A117" t="s">
        <v>232</v>
      </c>
      <c r="B117" t="str">
        <f>INDEX(CBS_gemeenten_alfabetisch_2023!$B:$B,MATCH($A117,CBS_gemeenten_alfabetisch_2023!$A:$A,0))</f>
        <v>Heemskerk</v>
      </c>
      <c r="C117">
        <f>SUMIF(BAG_dakoppervlak_woningen!$B:$B,$B117,BAG_dakoppervlak_woningen!$G:$G)/10^6</f>
        <v>1.0384500000000001</v>
      </c>
      <c r="D117">
        <f>SUMIF(BAG_dakoppervlak_gebouwen!$B:$B,$B117,BAG_dakoppervlak_gebouwen!$G:$G)/10^6</f>
        <v>0.86505299999999996</v>
      </c>
    </row>
    <row r="118" spans="1:4" x14ac:dyDescent="0.2">
      <c r="A118" t="s">
        <v>234</v>
      </c>
      <c r="B118" t="str">
        <f>INDEX(CBS_gemeenten_alfabetisch_2023!$B:$B,MATCH($A118,CBS_gemeenten_alfabetisch_2023!$A:$A,0))</f>
        <v>Heemstede</v>
      </c>
      <c r="C118">
        <f>SUMIF(BAG_dakoppervlak_woningen!$B:$B,$B118,BAG_dakoppervlak_woningen!$G:$G)/10^6</f>
        <v>0.83099999999999996</v>
      </c>
      <c r="D118">
        <f>SUMIF(BAG_dakoppervlak_gebouwen!$B:$B,$B118,BAG_dakoppervlak_gebouwen!$G:$G)/10^6</f>
        <v>0.40239399999999997</v>
      </c>
    </row>
    <row r="119" spans="1:4" x14ac:dyDescent="0.2">
      <c r="A119" t="s">
        <v>236</v>
      </c>
      <c r="B119" t="str">
        <f>INDEX(CBS_gemeenten_alfabetisch_2023!$B:$B,MATCH($A119,CBS_gemeenten_alfabetisch_2023!$A:$A,0))</f>
        <v>Heerde</v>
      </c>
      <c r="C119">
        <f>SUMIF(BAG_dakoppervlak_woningen!$B:$B,$B119,BAG_dakoppervlak_woningen!$G:$G)/10^6</f>
        <v>0.75131199999999998</v>
      </c>
      <c r="D119">
        <f>SUMIF(BAG_dakoppervlak_gebouwen!$B:$B,$B119,BAG_dakoppervlak_gebouwen!$G:$G)/10^6</f>
        <v>0.87812800000000002</v>
      </c>
    </row>
    <row r="120" spans="1:4" x14ac:dyDescent="0.2">
      <c r="A120" t="s">
        <v>238</v>
      </c>
      <c r="B120" t="str">
        <f>INDEX(CBS_gemeenten_alfabetisch_2023!$B:$B,MATCH($A120,CBS_gemeenten_alfabetisch_2023!$A:$A,0))</f>
        <v>Heerenveen</v>
      </c>
      <c r="C120">
        <f>SUMIF(BAG_dakoppervlak_woningen!$B:$B,$B120,BAG_dakoppervlak_woningen!$G:$G)/10^6</f>
        <v>2.2902719999999999</v>
      </c>
      <c r="D120">
        <f>SUMIF(BAG_dakoppervlak_gebouwen!$B:$B,$B120,BAG_dakoppervlak_gebouwen!$G:$G)/10^6</f>
        <v>2.3601809999999999</v>
      </c>
    </row>
    <row r="121" spans="1:4" x14ac:dyDescent="0.2">
      <c r="A121" t="s">
        <v>240</v>
      </c>
      <c r="B121" t="str">
        <f>INDEX(CBS_gemeenten_alfabetisch_2023!$B:$B,MATCH($A121,CBS_gemeenten_alfabetisch_2023!$A:$A,0))</f>
        <v>Heerlen</v>
      </c>
      <c r="C121">
        <f>SUMIF(BAG_dakoppervlak_woningen!$B:$B,$B121,BAG_dakoppervlak_woningen!$G:$G)/10^6</f>
        <v>2.74654</v>
      </c>
      <c r="D121">
        <f>SUMIF(BAG_dakoppervlak_gebouwen!$B:$B,$B121,BAG_dakoppervlak_gebouwen!$G:$G)/10^6</f>
        <v>2.5264630000000001</v>
      </c>
    </row>
    <row r="122" spans="1:4" x14ac:dyDescent="0.2">
      <c r="A122" t="s">
        <v>242</v>
      </c>
      <c r="B122" t="str">
        <f>INDEX(CBS_gemeenten_alfabetisch_2023!$B:$B,MATCH($A122,CBS_gemeenten_alfabetisch_2023!$A:$A,0))</f>
        <v>Heeze-Leende</v>
      </c>
      <c r="C122">
        <f>SUMIF(BAG_dakoppervlak_woningen!$B:$B,$B122,BAG_dakoppervlak_woningen!$G:$G)/10^6</f>
        <v>0.81258799999999998</v>
      </c>
      <c r="D122">
        <f>SUMIF(BAG_dakoppervlak_gebouwen!$B:$B,$B122,BAG_dakoppervlak_gebouwen!$G:$G)/10^6</f>
        <v>0.97178299999999995</v>
      </c>
    </row>
    <row r="123" spans="1:4" x14ac:dyDescent="0.2">
      <c r="A123" t="s">
        <v>244</v>
      </c>
      <c r="B123" t="str">
        <f>INDEX(CBS_gemeenten_alfabetisch_2023!$B:$B,MATCH($A123,CBS_gemeenten_alfabetisch_2023!$A:$A,0))</f>
        <v>Heiloo</v>
      </c>
      <c r="C123">
        <f>SUMIF(BAG_dakoppervlak_woningen!$B:$B,$B123,BAG_dakoppervlak_woningen!$G:$G)/10^6</f>
        <v>0.808728</v>
      </c>
      <c r="D123">
        <f>SUMIF(BAG_dakoppervlak_gebouwen!$B:$B,$B123,BAG_dakoppervlak_gebouwen!$G:$G)/10^6</f>
        <v>0.47938500000000001</v>
      </c>
    </row>
    <row r="124" spans="1:4" x14ac:dyDescent="0.2">
      <c r="A124" t="s">
        <v>246</v>
      </c>
      <c r="B124" t="str">
        <f>INDEX(CBS_gemeenten_alfabetisch_2023!$B:$B,MATCH($A124,CBS_gemeenten_alfabetisch_2023!$A:$A,0))</f>
        <v>Den Helder</v>
      </c>
      <c r="C124">
        <f>SUMIF(BAG_dakoppervlak_woningen!$B:$B,$B124,BAG_dakoppervlak_woningen!$G:$G)/10^6</f>
        <v>1.734834</v>
      </c>
      <c r="D124">
        <f>SUMIF(BAG_dakoppervlak_gebouwen!$B:$B,$B124,BAG_dakoppervlak_gebouwen!$G:$G)/10^6</f>
        <v>1.62707</v>
      </c>
    </row>
    <row r="125" spans="1:4" x14ac:dyDescent="0.2">
      <c r="A125" t="s">
        <v>248</v>
      </c>
      <c r="B125" t="str">
        <f>INDEX(CBS_gemeenten_alfabetisch_2023!$B:$B,MATCH($A125,CBS_gemeenten_alfabetisch_2023!$A:$A,0))</f>
        <v>Hellendoorn</v>
      </c>
      <c r="C125">
        <f>SUMIF(BAG_dakoppervlak_woningen!$B:$B,$B125,BAG_dakoppervlak_woningen!$G:$G)/10^6</f>
        <v>1.3979029999999999</v>
      </c>
      <c r="D125">
        <f>SUMIF(BAG_dakoppervlak_gebouwen!$B:$B,$B125,BAG_dakoppervlak_gebouwen!$G:$G)/10^6</f>
        <v>1.902855</v>
      </c>
    </row>
    <row r="126" spans="1:4" x14ac:dyDescent="0.2">
      <c r="A126" t="s">
        <v>250</v>
      </c>
      <c r="B126" t="str">
        <f>INDEX(CBS_gemeenten_alfabetisch_2023!$B:$B,MATCH($A126,CBS_gemeenten_alfabetisch_2023!$A:$A,0))</f>
        <v>Helmond</v>
      </c>
      <c r="C126">
        <f>SUMIF(BAG_dakoppervlak_woningen!$B:$B,$B126,BAG_dakoppervlak_woningen!$G:$G)/10^6</f>
        <v>2.8999619999999999</v>
      </c>
      <c r="D126">
        <f>SUMIF(BAG_dakoppervlak_gebouwen!$B:$B,$B126,BAG_dakoppervlak_gebouwen!$G:$G)/10^6</f>
        <v>3.3496489999999999</v>
      </c>
    </row>
    <row r="127" spans="1:4" x14ac:dyDescent="0.2">
      <c r="A127" t="s">
        <v>252</v>
      </c>
      <c r="B127" t="str">
        <f>INDEX(CBS_gemeenten_alfabetisch_2023!$B:$B,MATCH($A127,CBS_gemeenten_alfabetisch_2023!$A:$A,0))</f>
        <v>Hendrik-Ido-Ambacht</v>
      </c>
      <c r="C127">
        <f>SUMIF(BAG_dakoppervlak_woningen!$B:$B,$B127,BAG_dakoppervlak_woningen!$G:$G)/10^6</f>
        <v>0.72286899999999998</v>
      </c>
      <c r="D127">
        <f>SUMIF(BAG_dakoppervlak_gebouwen!$B:$B,$B127,BAG_dakoppervlak_gebouwen!$G:$G)/10^6</f>
        <v>0.65250399999999997</v>
      </c>
    </row>
    <row r="128" spans="1:4" x14ac:dyDescent="0.2">
      <c r="A128" t="s">
        <v>254</v>
      </c>
      <c r="B128" t="str">
        <f>INDEX(CBS_gemeenten_alfabetisch_2023!$B:$B,MATCH($A128,CBS_gemeenten_alfabetisch_2023!$A:$A,0))</f>
        <v>Hengelo</v>
      </c>
      <c r="C128">
        <f>SUMIF(BAG_dakoppervlak_woningen!$B:$B,$B128,BAG_dakoppervlak_woningen!$G:$G)/10^6</f>
        <v>2.6613540000000002</v>
      </c>
      <c r="D128">
        <f>SUMIF(BAG_dakoppervlak_gebouwen!$B:$B,$B128,BAG_dakoppervlak_gebouwen!$G:$G)/10^6</f>
        <v>2.6773920000000002</v>
      </c>
    </row>
    <row r="129" spans="1:4" x14ac:dyDescent="0.2">
      <c r="A129" t="s">
        <v>256</v>
      </c>
      <c r="B129" t="str">
        <f>INDEX(CBS_gemeenten_alfabetisch_2023!$B:$B,MATCH($A129,CBS_gemeenten_alfabetisch_2023!$A:$A,0))</f>
        <v>'s-Hertogenbosch</v>
      </c>
      <c r="C129">
        <f>SUMIF(BAG_dakoppervlak_woningen!$B:$B,$B129,BAG_dakoppervlak_woningen!$G:$G)/10^6</f>
        <v>4.6411930000000003</v>
      </c>
      <c r="D129">
        <f>SUMIF(BAG_dakoppervlak_gebouwen!$B:$B,$B129,BAG_dakoppervlak_gebouwen!$G:$G)/10^6</f>
        <v>4.2446020000000004</v>
      </c>
    </row>
    <row r="130" spans="1:4" x14ac:dyDescent="0.2">
      <c r="A130" t="s">
        <v>258</v>
      </c>
      <c r="B130" t="str">
        <f>INDEX(CBS_gemeenten_alfabetisch_2023!$B:$B,MATCH($A130,CBS_gemeenten_alfabetisch_2023!$A:$A,0))</f>
        <v>Heumen</v>
      </c>
      <c r="C130">
        <f>SUMIF(BAG_dakoppervlak_woningen!$B:$B,$B130,BAG_dakoppervlak_woningen!$G:$G)/10^6</f>
        <v>0.68394699999999997</v>
      </c>
      <c r="D130">
        <f>SUMIF(BAG_dakoppervlak_gebouwen!$B:$B,$B130,BAG_dakoppervlak_gebouwen!$G:$G)/10^6</f>
        <v>0.60572400000000004</v>
      </c>
    </row>
    <row r="131" spans="1:4" x14ac:dyDescent="0.2">
      <c r="A131" t="s">
        <v>260</v>
      </c>
      <c r="B131" t="str">
        <f>INDEX(CBS_gemeenten_alfabetisch_2023!$B:$B,MATCH($A131,CBS_gemeenten_alfabetisch_2023!$A:$A,0))</f>
        <v>Heusden</v>
      </c>
      <c r="C131">
        <f>SUMIF(BAG_dakoppervlak_woningen!$B:$B,$B131,BAG_dakoppervlak_woningen!$G:$G)/10^6</f>
        <v>1.7330669999999999</v>
      </c>
      <c r="D131">
        <f>SUMIF(BAG_dakoppervlak_gebouwen!$B:$B,$B131,BAG_dakoppervlak_gebouwen!$G:$G)/10^6</f>
        <v>2.7480349999999998</v>
      </c>
    </row>
    <row r="132" spans="1:4" x14ac:dyDescent="0.2">
      <c r="A132" t="s">
        <v>262</v>
      </c>
      <c r="B132" t="str">
        <f>INDEX(CBS_gemeenten_alfabetisch_2023!$B:$B,MATCH($A132,CBS_gemeenten_alfabetisch_2023!$A:$A,0))</f>
        <v>Hillegom</v>
      </c>
      <c r="C132">
        <f>SUMIF(BAG_dakoppervlak_woningen!$B:$B,$B132,BAG_dakoppervlak_woningen!$G:$G)/10^6</f>
        <v>0.63271699999999997</v>
      </c>
      <c r="D132">
        <f>SUMIF(BAG_dakoppervlak_gebouwen!$B:$B,$B132,BAG_dakoppervlak_gebouwen!$G:$G)/10^6</f>
        <v>0.84483399999999997</v>
      </c>
    </row>
    <row r="133" spans="1:4" x14ac:dyDescent="0.2">
      <c r="A133" t="s">
        <v>264</v>
      </c>
      <c r="B133" t="str">
        <f>INDEX(CBS_gemeenten_alfabetisch_2023!$B:$B,MATCH($A133,CBS_gemeenten_alfabetisch_2023!$A:$A,0))</f>
        <v>Hilvarenbeek</v>
      </c>
      <c r="C133">
        <f>SUMIF(BAG_dakoppervlak_woningen!$B:$B,$B133,BAG_dakoppervlak_woningen!$G:$G)/10^6</f>
        <v>0.819415</v>
      </c>
      <c r="D133">
        <f>SUMIF(BAG_dakoppervlak_gebouwen!$B:$B,$B133,BAG_dakoppervlak_gebouwen!$G:$G)/10^6</f>
        <v>1.3319700000000001</v>
      </c>
    </row>
    <row r="134" spans="1:4" x14ac:dyDescent="0.2">
      <c r="A134" t="s">
        <v>266</v>
      </c>
      <c r="B134" t="str">
        <f>INDEX(CBS_gemeenten_alfabetisch_2023!$B:$B,MATCH($A134,CBS_gemeenten_alfabetisch_2023!$A:$A,0))</f>
        <v>Hilversum</v>
      </c>
      <c r="C134">
        <f>SUMIF(BAG_dakoppervlak_woningen!$B:$B,$B134,BAG_dakoppervlak_woningen!$G:$G)/10^6</f>
        <v>2.3548589999999998</v>
      </c>
      <c r="D134">
        <f>SUMIF(BAG_dakoppervlak_gebouwen!$B:$B,$B134,BAG_dakoppervlak_gebouwen!$G:$G)/10^6</f>
        <v>1.6982870000000001</v>
      </c>
    </row>
    <row r="135" spans="1:4" x14ac:dyDescent="0.2">
      <c r="A135" t="s">
        <v>268</v>
      </c>
      <c r="B135" t="str">
        <f>INDEX(CBS_gemeenten_alfabetisch_2023!$B:$B,MATCH($A135,CBS_gemeenten_alfabetisch_2023!$A:$A,0))</f>
        <v>Hoeksche Waard</v>
      </c>
      <c r="C135">
        <f>SUMIF(BAG_dakoppervlak_woningen!$B:$B,$B135,BAG_dakoppervlak_woningen!$G:$G)/10^6</f>
        <v>3.0087890000000002</v>
      </c>
      <c r="D135">
        <f>SUMIF(BAG_dakoppervlak_gebouwen!$B:$B,$B135,BAG_dakoppervlak_gebouwen!$G:$G)/10^6</f>
        <v>3.6596000000000002</v>
      </c>
    </row>
    <row r="136" spans="1:4" x14ac:dyDescent="0.2">
      <c r="A136" t="s">
        <v>270</v>
      </c>
      <c r="B136" t="str">
        <f>INDEX(CBS_gemeenten_alfabetisch_2023!$B:$B,MATCH($A136,CBS_gemeenten_alfabetisch_2023!$A:$A,0))</f>
        <v>Hof van Twente</v>
      </c>
      <c r="C136">
        <f>SUMIF(BAG_dakoppervlak_woningen!$B:$B,$B136,BAG_dakoppervlak_woningen!$G:$G)/10^6</f>
        <v>1.5890629999999999</v>
      </c>
      <c r="D136">
        <f>SUMIF(BAG_dakoppervlak_gebouwen!$B:$B,$B136,BAG_dakoppervlak_gebouwen!$G:$G)/10^6</f>
        <v>3.002939</v>
      </c>
    </row>
    <row r="137" spans="1:4" x14ac:dyDescent="0.2">
      <c r="A137" t="s">
        <v>272</v>
      </c>
      <c r="B137" t="str">
        <f>INDEX(CBS_gemeenten_alfabetisch_2023!$B:$B,MATCH($A137,CBS_gemeenten_alfabetisch_2023!$A:$A,0))</f>
        <v>Het Hogeland</v>
      </c>
      <c r="C137">
        <f>SUMIF(BAG_dakoppervlak_woningen!$B:$B,$B137,BAG_dakoppervlak_woningen!$G:$G)/10^6</f>
        <v>3.2957049999999999</v>
      </c>
      <c r="D137">
        <f>SUMIF(BAG_dakoppervlak_gebouwen!$B:$B,$B137,BAG_dakoppervlak_gebouwen!$G:$G)/10^6</f>
        <v>2.9930219999999998</v>
      </c>
    </row>
    <row r="138" spans="1:4" x14ac:dyDescent="0.2">
      <c r="A138" t="s">
        <v>274</v>
      </c>
      <c r="B138" t="str">
        <f>INDEX(CBS_gemeenten_alfabetisch_2023!$B:$B,MATCH($A138,CBS_gemeenten_alfabetisch_2023!$A:$A,0))</f>
        <v>Hollands Kroon</v>
      </c>
      <c r="C138">
        <f>SUMIF(BAG_dakoppervlak_woningen!$B:$B,$B138,BAG_dakoppervlak_woningen!$G:$G)/10^6</f>
        <v>2.4122300000000001</v>
      </c>
      <c r="D138">
        <f>SUMIF(BAG_dakoppervlak_gebouwen!$B:$B,$B138,BAG_dakoppervlak_gebouwen!$G:$G)/10^6</f>
        <v>7.539034</v>
      </c>
    </row>
    <row r="139" spans="1:4" x14ac:dyDescent="0.2">
      <c r="A139" t="s">
        <v>276</v>
      </c>
      <c r="B139" t="str">
        <f>INDEX(CBS_gemeenten_alfabetisch_2023!$B:$B,MATCH($A139,CBS_gemeenten_alfabetisch_2023!$A:$A,0))</f>
        <v>Hoogeveen</v>
      </c>
      <c r="C139">
        <f>SUMIF(BAG_dakoppervlak_woningen!$B:$B,$B139,BAG_dakoppervlak_woningen!$G:$G)/10^6</f>
        <v>2.114922</v>
      </c>
      <c r="D139">
        <f>SUMIF(BAG_dakoppervlak_gebouwen!$B:$B,$B139,BAG_dakoppervlak_gebouwen!$G:$G)/10^6</f>
        <v>2.4113889999999998</v>
      </c>
    </row>
    <row r="140" spans="1:4" x14ac:dyDescent="0.2">
      <c r="A140" t="s">
        <v>278</v>
      </c>
      <c r="B140" t="str">
        <f>INDEX(CBS_gemeenten_alfabetisch_2023!$B:$B,MATCH($A140,CBS_gemeenten_alfabetisch_2023!$A:$A,0))</f>
        <v>Hoorn</v>
      </c>
      <c r="C140">
        <f>SUMIF(BAG_dakoppervlak_woningen!$B:$B,$B140,BAG_dakoppervlak_woningen!$G:$G)/10^6</f>
        <v>2.0069970000000001</v>
      </c>
      <c r="D140">
        <f>SUMIF(BAG_dakoppervlak_gebouwen!$B:$B,$B140,BAG_dakoppervlak_gebouwen!$G:$G)/10^6</f>
        <v>1.4918009999999999</v>
      </c>
    </row>
    <row r="141" spans="1:4" x14ac:dyDescent="0.2">
      <c r="A141" t="s">
        <v>280</v>
      </c>
      <c r="B141" t="str">
        <f>INDEX(CBS_gemeenten_alfabetisch_2023!$B:$B,MATCH($A141,CBS_gemeenten_alfabetisch_2023!$A:$A,0))</f>
        <v>Horst aan de Maas</v>
      </c>
      <c r="C141">
        <f>SUMIF(BAG_dakoppervlak_woningen!$B:$B,$B141,BAG_dakoppervlak_woningen!$G:$G)/10^6</f>
        <v>2.2922129999999998</v>
      </c>
      <c r="D141">
        <f>SUMIF(BAG_dakoppervlak_gebouwen!$B:$B,$B141,BAG_dakoppervlak_gebouwen!$G:$G)/10^6</f>
        <v>7.16927</v>
      </c>
    </row>
    <row r="142" spans="1:4" x14ac:dyDescent="0.2">
      <c r="A142" t="s">
        <v>282</v>
      </c>
      <c r="B142" t="str">
        <f>INDEX(CBS_gemeenten_alfabetisch_2023!$B:$B,MATCH($A142,CBS_gemeenten_alfabetisch_2023!$A:$A,0))</f>
        <v>Houten</v>
      </c>
      <c r="C142">
        <f>SUMIF(BAG_dakoppervlak_woningen!$B:$B,$B142,BAG_dakoppervlak_woningen!$G:$G)/10^6</f>
        <v>1.4442349999999999</v>
      </c>
      <c r="D142">
        <f>SUMIF(BAG_dakoppervlak_gebouwen!$B:$B,$B142,BAG_dakoppervlak_gebouwen!$G:$G)/10^6</f>
        <v>1.449055</v>
      </c>
    </row>
    <row r="143" spans="1:4" x14ac:dyDescent="0.2">
      <c r="A143" t="s">
        <v>284</v>
      </c>
      <c r="B143" t="str">
        <f>INDEX(CBS_gemeenten_alfabetisch_2023!$B:$B,MATCH($A143,CBS_gemeenten_alfabetisch_2023!$A:$A,0))</f>
        <v>Huizen</v>
      </c>
      <c r="C143">
        <f>SUMIF(BAG_dakoppervlak_woningen!$B:$B,$B143,BAG_dakoppervlak_woningen!$G:$G)/10^6</f>
        <v>1.1802060000000001</v>
      </c>
      <c r="D143">
        <f>SUMIF(BAG_dakoppervlak_gebouwen!$B:$B,$B143,BAG_dakoppervlak_gebouwen!$G:$G)/10^6</f>
        <v>0.526335</v>
      </c>
    </row>
    <row r="144" spans="1:4" x14ac:dyDescent="0.2">
      <c r="A144" t="s">
        <v>286</v>
      </c>
      <c r="B144" t="str">
        <f>INDEX(CBS_gemeenten_alfabetisch_2023!$B:$B,MATCH($A144,CBS_gemeenten_alfabetisch_2023!$A:$A,0))</f>
        <v>Hulst</v>
      </c>
      <c r="C144">
        <f>SUMIF(BAG_dakoppervlak_woningen!$B:$B,$B144,BAG_dakoppervlak_woningen!$G:$G)/10^6</f>
        <v>1.3392189999999999</v>
      </c>
      <c r="D144">
        <f>SUMIF(BAG_dakoppervlak_gebouwen!$B:$B,$B144,BAG_dakoppervlak_gebouwen!$G:$G)/10^6</f>
        <v>1.5802099999999999</v>
      </c>
    </row>
    <row r="145" spans="1:4" x14ac:dyDescent="0.2">
      <c r="A145" t="s">
        <v>288</v>
      </c>
      <c r="B145" t="str">
        <f>INDEX(CBS_gemeenten_alfabetisch_2023!$B:$B,MATCH($A145,CBS_gemeenten_alfabetisch_2023!$A:$A,0))</f>
        <v>IJsselstein</v>
      </c>
      <c r="C145">
        <f>SUMIF(BAG_dakoppervlak_woningen!$B:$B,$B145,BAG_dakoppervlak_woningen!$G:$G)/10^6</f>
        <v>0.90505400000000003</v>
      </c>
      <c r="D145">
        <f>SUMIF(BAG_dakoppervlak_gebouwen!$B:$B,$B145,BAG_dakoppervlak_gebouwen!$G:$G)/10^6</f>
        <v>0.622776</v>
      </c>
    </row>
    <row r="146" spans="1:4" x14ac:dyDescent="0.2">
      <c r="A146" t="s">
        <v>290</v>
      </c>
      <c r="B146" t="str">
        <f>INDEX(CBS_gemeenten_alfabetisch_2023!$B:$B,MATCH($A146,CBS_gemeenten_alfabetisch_2023!$A:$A,0))</f>
        <v>Kaag en Braassem</v>
      </c>
      <c r="C146">
        <f>SUMIF(BAG_dakoppervlak_woningen!$B:$B,$B146,BAG_dakoppervlak_woningen!$G:$G)/10^6</f>
        <v>1.0117510000000001</v>
      </c>
      <c r="D146">
        <f>SUMIF(BAG_dakoppervlak_gebouwen!$B:$B,$B146,BAG_dakoppervlak_gebouwen!$G:$G)/10^6</f>
        <v>2.1929720000000001</v>
      </c>
    </row>
    <row r="147" spans="1:4" x14ac:dyDescent="0.2">
      <c r="A147" t="s">
        <v>292</v>
      </c>
      <c r="B147" t="str">
        <f>INDEX(CBS_gemeenten_alfabetisch_2023!$B:$B,MATCH($A147,CBS_gemeenten_alfabetisch_2023!$A:$A,0))</f>
        <v>Kampen</v>
      </c>
      <c r="C147">
        <f>SUMIF(BAG_dakoppervlak_woningen!$B:$B,$B147,BAG_dakoppervlak_woningen!$G:$G)/10^6</f>
        <v>1.799342</v>
      </c>
      <c r="D147">
        <f>SUMIF(BAG_dakoppervlak_gebouwen!$B:$B,$B147,BAG_dakoppervlak_gebouwen!$G:$G)/10^6</f>
        <v>3.087253</v>
      </c>
    </row>
    <row r="148" spans="1:4" x14ac:dyDescent="0.2">
      <c r="A148" t="s">
        <v>294</v>
      </c>
      <c r="B148" t="str">
        <f>INDEX(CBS_gemeenten_alfabetisch_2023!$B:$B,MATCH($A148,CBS_gemeenten_alfabetisch_2023!$A:$A,0))</f>
        <v>Kapelle</v>
      </c>
      <c r="C148">
        <f>SUMIF(BAG_dakoppervlak_woningen!$B:$B,$B148,BAG_dakoppervlak_woningen!$G:$G)/10^6</f>
        <v>0.48567900000000003</v>
      </c>
      <c r="D148">
        <f>SUMIF(BAG_dakoppervlak_gebouwen!$B:$B,$B148,BAG_dakoppervlak_gebouwen!$G:$G)/10^6</f>
        <v>1.4305589999999999</v>
      </c>
    </row>
    <row r="149" spans="1:4" x14ac:dyDescent="0.2">
      <c r="A149" t="s">
        <v>296</v>
      </c>
      <c r="B149" t="str">
        <f>INDEX(CBS_gemeenten_alfabetisch_2023!$B:$B,MATCH($A149,CBS_gemeenten_alfabetisch_2023!$A:$A,0))</f>
        <v>Katwijk</v>
      </c>
      <c r="C149">
        <f>SUMIF(BAG_dakoppervlak_woningen!$B:$B,$B149,BAG_dakoppervlak_woningen!$G:$G)/10^6</f>
        <v>1.548098</v>
      </c>
      <c r="D149">
        <f>SUMIF(BAG_dakoppervlak_gebouwen!$B:$B,$B149,BAG_dakoppervlak_gebouwen!$G:$G)/10^6</f>
        <v>2.374806</v>
      </c>
    </row>
    <row r="150" spans="1:4" x14ac:dyDescent="0.2">
      <c r="A150" t="s">
        <v>298</v>
      </c>
      <c r="B150" t="str">
        <f>INDEX(CBS_gemeenten_alfabetisch_2023!$B:$B,MATCH($A150,CBS_gemeenten_alfabetisch_2023!$A:$A,0))</f>
        <v>Kerkrade</v>
      </c>
      <c r="C150">
        <f>SUMIF(BAG_dakoppervlak_woningen!$B:$B,$B150,BAG_dakoppervlak_woningen!$G:$G)/10^6</f>
        <v>1.6326940000000001</v>
      </c>
      <c r="D150">
        <f>SUMIF(BAG_dakoppervlak_gebouwen!$B:$B,$B150,BAG_dakoppervlak_gebouwen!$G:$G)/10^6</f>
        <v>1.349664</v>
      </c>
    </row>
    <row r="151" spans="1:4" x14ac:dyDescent="0.2">
      <c r="A151" t="s">
        <v>300</v>
      </c>
      <c r="B151" t="str">
        <f>INDEX(CBS_gemeenten_alfabetisch_2023!$B:$B,MATCH($A151,CBS_gemeenten_alfabetisch_2023!$A:$A,0))</f>
        <v>Koggenland</v>
      </c>
      <c r="C151">
        <f>SUMIF(BAG_dakoppervlak_woningen!$B:$B,$B151,BAG_dakoppervlak_woningen!$G:$G)/10^6</f>
        <v>0.93553799999999998</v>
      </c>
      <c r="D151">
        <f>SUMIF(BAG_dakoppervlak_gebouwen!$B:$B,$B151,BAG_dakoppervlak_gebouwen!$G:$G)/10^6</f>
        <v>1.6027769999999999</v>
      </c>
    </row>
    <row r="152" spans="1:4" x14ac:dyDescent="0.2">
      <c r="A152" t="s">
        <v>302</v>
      </c>
      <c r="B152" t="str">
        <f>INDEX(CBS_gemeenten_alfabetisch_2023!$B:$B,MATCH($A152,CBS_gemeenten_alfabetisch_2023!$A:$A,0))</f>
        <v>Krimpen aan den IJssel</v>
      </c>
      <c r="C152">
        <f>SUMIF(BAG_dakoppervlak_woningen!$B:$B,$B152,BAG_dakoppervlak_woningen!$G:$G)/10^6</f>
        <v>0.75375599999999998</v>
      </c>
      <c r="D152">
        <f>SUMIF(BAG_dakoppervlak_gebouwen!$B:$B,$B152,BAG_dakoppervlak_gebouwen!$G:$G)/10^6</f>
        <v>0.53451300000000002</v>
      </c>
    </row>
    <row r="153" spans="1:4" x14ac:dyDescent="0.2">
      <c r="A153" t="s">
        <v>304</v>
      </c>
      <c r="B153" t="str">
        <f>INDEX(CBS_gemeenten_alfabetisch_2023!$B:$B,MATCH($A153,CBS_gemeenten_alfabetisch_2023!$A:$A,0))</f>
        <v>Krimpenerwaard</v>
      </c>
      <c r="C153">
        <f>SUMIF(BAG_dakoppervlak_woningen!$B:$B,$B153,BAG_dakoppervlak_woningen!$G:$G)/10^6</f>
        <v>1.8124819999999999</v>
      </c>
      <c r="D153">
        <f>SUMIF(BAG_dakoppervlak_gebouwen!$B:$B,$B153,BAG_dakoppervlak_gebouwen!$G:$G)/10^6</f>
        <v>2.067755</v>
      </c>
    </row>
    <row r="154" spans="1:4" x14ac:dyDescent="0.2">
      <c r="A154" t="s">
        <v>306</v>
      </c>
      <c r="B154" t="str">
        <f>INDEX(CBS_gemeenten_alfabetisch_2023!$B:$B,MATCH($A154,CBS_gemeenten_alfabetisch_2023!$A:$A,0))</f>
        <v>Laarbeek</v>
      </c>
      <c r="C154">
        <f>SUMIF(BAG_dakoppervlak_woningen!$B:$B,$B154,BAG_dakoppervlak_woningen!$G:$G)/10^6</f>
        <v>0.96957300000000002</v>
      </c>
      <c r="D154">
        <f>SUMIF(BAG_dakoppervlak_gebouwen!$B:$B,$B154,BAG_dakoppervlak_gebouwen!$G:$G)/10^6</f>
        <v>1.706577</v>
      </c>
    </row>
    <row r="155" spans="1:4" x14ac:dyDescent="0.2">
      <c r="A155" t="s">
        <v>308</v>
      </c>
      <c r="B155" t="str">
        <f>INDEX(CBS_gemeenten_alfabetisch_2023!$B:$B,MATCH($A155,CBS_gemeenten_alfabetisch_2023!$A:$A,0))</f>
        <v>Land van Cuijk</v>
      </c>
      <c r="C155">
        <f>SUMIF(BAG_dakoppervlak_woningen!$B:$B,$B155,BAG_dakoppervlak_woningen!$G:$G)/10^6</f>
        <v>3.9601860000000002</v>
      </c>
      <c r="D155">
        <f>SUMIF(BAG_dakoppervlak_gebouwen!$B:$B,$B155,BAG_dakoppervlak_gebouwen!$G:$G)/10^6</f>
        <v>6.8094340000000004</v>
      </c>
    </row>
    <row r="156" spans="1:4" x14ac:dyDescent="0.2">
      <c r="A156" t="s">
        <v>310</v>
      </c>
      <c r="B156" t="str">
        <f>INDEX(CBS_gemeenten_alfabetisch_2023!$B:$B,MATCH($A156,CBS_gemeenten_alfabetisch_2023!$A:$A,0))</f>
        <v>Landgraaf</v>
      </c>
      <c r="C156">
        <f>SUMIF(BAG_dakoppervlak_woningen!$B:$B,$B156,BAG_dakoppervlak_woningen!$G:$G)/10^6</f>
        <v>1.4519040000000001</v>
      </c>
      <c r="D156">
        <f>SUMIF(BAG_dakoppervlak_gebouwen!$B:$B,$B156,BAG_dakoppervlak_gebouwen!$G:$G)/10^6</f>
        <v>0.73620300000000005</v>
      </c>
    </row>
    <row r="157" spans="1:4" x14ac:dyDescent="0.2">
      <c r="A157" t="s">
        <v>312</v>
      </c>
      <c r="B157" t="str">
        <f>INDEX(CBS_gemeenten_alfabetisch_2023!$B:$B,MATCH($A157,CBS_gemeenten_alfabetisch_2023!$A:$A,0))</f>
        <v>Landsmeer</v>
      </c>
      <c r="C157">
        <f>SUMIF(BAG_dakoppervlak_woningen!$B:$B,$B157,BAG_dakoppervlak_woningen!$G:$G)/10^6</f>
        <v>0.37240600000000001</v>
      </c>
      <c r="D157">
        <f>SUMIF(BAG_dakoppervlak_gebouwen!$B:$B,$B157,BAG_dakoppervlak_gebouwen!$G:$G)/10^6</f>
        <v>0.21550900000000001</v>
      </c>
    </row>
    <row r="158" spans="1:4" x14ac:dyDescent="0.2">
      <c r="A158" t="s">
        <v>314</v>
      </c>
      <c r="B158" t="str">
        <f>INDEX(CBS_gemeenten_alfabetisch_2023!$B:$B,MATCH($A158,CBS_gemeenten_alfabetisch_2023!$A:$A,0))</f>
        <v>Lansingerland</v>
      </c>
      <c r="C158">
        <f>SUMIF(BAG_dakoppervlak_woningen!$B:$B,$B158,BAG_dakoppervlak_woningen!$G:$G)/10^6</f>
        <v>1.7303379999999999</v>
      </c>
      <c r="D158">
        <f>SUMIF(BAG_dakoppervlak_gebouwen!$B:$B,$B158,BAG_dakoppervlak_gebouwen!$G:$G)/10^6</f>
        <v>11.350783</v>
      </c>
    </row>
    <row r="159" spans="1:4" x14ac:dyDescent="0.2">
      <c r="A159" t="s">
        <v>316</v>
      </c>
      <c r="B159" t="str">
        <f>INDEX(CBS_gemeenten_alfabetisch_2023!$B:$B,MATCH($A159,CBS_gemeenten_alfabetisch_2023!$A:$A,0))</f>
        <v>Laren</v>
      </c>
      <c r="C159">
        <f>SUMIF(BAG_dakoppervlak_woningen!$B:$B,$B159,BAG_dakoppervlak_woningen!$G:$G)/10^6</f>
        <v>0.53057900000000002</v>
      </c>
      <c r="D159">
        <f>SUMIF(BAG_dakoppervlak_gebouwen!$B:$B,$B159,BAG_dakoppervlak_gebouwen!$G:$G)/10^6</f>
        <v>0.221939</v>
      </c>
    </row>
    <row r="160" spans="1:4" x14ac:dyDescent="0.2">
      <c r="A160" t="s">
        <v>318</v>
      </c>
      <c r="B160" t="str">
        <f>INDEX(CBS_gemeenten_alfabetisch_2023!$B:$B,MATCH($A160,CBS_gemeenten_alfabetisch_2023!$A:$A,0))</f>
        <v>Leeuwarden</v>
      </c>
      <c r="C160">
        <f>SUMIF(BAG_dakoppervlak_woningen!$B:$B,$B160,BAG_dakoppervlak_woningen!$G:$G)/10^6</f>
        <v>4.2945529999999996</v>
      </c>
      <c r="D160">
        <f>SUMIF(BAG_dakoppervlak_gebouwen!$B:$B,$B160,BAG_dakoppervlak_gebouwen!$G:$G)/10^6</f>
        <v>3.775684</v>
      </c>
    </row>
    <row r="161" spans="1:4" x14ac:dyDescent="0.2">
      <c r="A161" t="s">
        <v>320</v>
      </c>
      <c r="B161" t="str">
        <f>INDEX(CBS_gemeenten_alfabetisch_2023!$B:$B,MATCH($A161,CBS_gemeenten_alfabetisch_2023!$A:$A,0))</f>
        <v>Leiden</v>
      </c>
      <c r="C161">
        <f>SUMIF(BAG_dakoppervlak_woningen!$B:$B,$B161,BAG_dakoppervlak_woningen!$G:$G)/10^6</f>
        <v>2.4845259999999998</v>
      </c>
      <c r="D161">
        <f>SUMIF(BAG_dakoppervlak_gebouwen!$B:$B,$B161,BAG_dakoppervlak_gebouwen!$G:$G)/10^6</f>
        <v>1.770472</v>
      </c>
    </row>
    <row r="162" spans="1:4" x14ac:dyDescent="0.2">
      <c r="A162" t="s">
        <v>322</v>
      </c>
      <c r="B162" t="str">
        <f>INDEX(CBS_gemeenten_alfabetisch_2023!$B:$B,MATCH($A162,CBS_gemeenten_alfabetisch_2023!$A:$A,0))</f>
        <v>Leiderdorp</v>
      </c>
      <c r="C162">
        <f>SUMIF(BAG_dakoppervlak_woningen!$B:$B,$B162,BAG_dakoppervlak_woningen!$G:$G)/10^6</f>
        <v>0.65597300000000003</v>
      </c>
      <c r="D162">
        <f>SUMIF(BAG_dakoppervlak_gebouwen!$B:$B,$B162,BAG_dakoppervlak_gebouwen!$G:$G)/10^6</f>
        <v>0.41381400000000002</v>
      </c>
    </row>
    <row r="163" spans="1:4" x14ac:dyDescent="0.2">
      <c r="A163" t="s">
        <v>324</v>
      </c>
      <c r="B163" t="str">
        <f>INDEX(CBS_gemeenten_alfabetisch_2023!$B:$B,MATCH($A163,CBS_gemeenten_alfabetisch_2023!$A:$A,0))</f>
        <v>Leidschendam-Voorburg</v>
      </c>
      <c r="C163">
        <f>SUMIF(BAG_dakoppervlak_woningen!$B:$B,$B163,BAG_dakoppervlak_woningen!$G:$G)/10^6</f>
        <v>1.7435400000000001</v>
      </c>
      <c r="D163">
        <f>SUMIF(BAG_dakoppervlak_gebouwen!$B:$B,$B163,BAG_dakoppervlak_gebouwen!$G:$G)/10^6</f>
        <v>1.136341</v>
      </c>
    </row>
    <row r="164" spans="1:4" x14ac:dyDescent="0.2">
      <c r="A164" t="s">
        <v>326</v>
      </c>
      <c r="B164" t="str">
        <f>INDEX(CBS_gemeenten_alfabetisch_2023!$B:$B,MATCH($A164,CBS_gemeenten_alfabetisch_2023!$A:$A,0))</f>
        <v>Lelystad</v>
      </c>
      <c r="C164">
        <f>SUMIF(BAG_dakoppervlak_woningen!$B:$B,$B164,BAG_dakoppervlak_woningen!$G:$G)/10^6</f>
        <v>2.4109940000000001</v>
      </c>
      <c r="D164">
        <f>SUMIF(BAG_dakoppervlak_gebouwen!$B:$B,$B164,BAG_dakoppervlak_gebouwen!$G:$G)/10^6</f>
        <v>2.4386570000000001</v>
      </c>
    </row>
    <row r="165" spans="1:4" x14ac:dyDescent="0.2">
      <c r="A165" t="s">
        <v>328</v>
      </c>
      <c r="B165" t="str">
        <f>INDEX(CBS_gemeenten_alfabetisch_2023!$B:$B,MATCH($A165,CBS_gemeenten_alfabetisch_2023!$A:$A,0))</f>
        <v>Leudal</v>
      </c>
      <c r="C165">
        <f>SUMIF(BAG_dakoppervlak_woningen!$B:$B,$B165,BAG_dakoppervlak_woningen!$G:$G)/10^6</f>
        <v>2.0583879999999999</v>
      </c>
      <c r="D165">
        <f>SUMIF(BAG_dakoppervlak_gebouwen!$B:$B,$B165,BAG_dakoppervlak_gebouwen!$G:$G)/10^6</f>
        <v>2.8626510000000001</v>
      </c>
    </row>
    <row r="166" spans="1:4" x14ac:dyDescent="0.2">
      <c r="A166" t="s">
        <v>330</v>
      </c>
      <c r="B166" t="str">
        <f>INDEX(CBS_gemeenten_alfabetisch_2023!$B:$B,MATCH($A166,CBS_gemeenten_alfabetisch_2023!$A:$A,0))</f>
        <v>Leusden</v>
      </c>
      <c r="C166">
        <f>SUMIF(BAG_dakoppervlak_woningen!$B:$B,$B166,BAG_dakoppervlak_woningen!$G:$G)/10^6</f>
        <v>0.98410299999999995</v>
      </c>
      <c r="D166">
        <f>SUMIF(BAG_dakoppervlak_gebouwen!$B:$B,$B166,BAG_dakoppervlak_gebouwen!$G:$G)/10^6</f>
        <v>0.80015099999999995</v>
      </c>
    </row>
    <row r="167" spans="1:4" x14ac:dyDescent="0.2">
      <c r="A167" t="s">
        <v>332</v>
      </c>
      <c r="B167" t="str">
        <f>INDEX(CBS_gemeenten_alfabetisch_2023!$B:$B,MATCH($A167,CBS_gemeenten_alfabetisch_2023!$A:$A,0))</f>
        <v>Lingewaard</v>
      </c>
      <c r="C167">
        <f>SUMIF(BAG_dakoppervlak_woningen!$B:$B,$B167,BAG_dakoppervlak_woningen!$G:$G)/10^6</f>
        <v>1.733414</v>
      </c>
      <c r="D167">
        <f>SUMIF(BAG_dakoppervlak_gebouwen!$B:$B,$B167,BAG_dakoppervlak_gebouwen!$G:$G)/10^6</f>
        <v>3.286842</v>
      </c>
    </row>
    <row r="168" spans="1:4" x14ac:dyDescent="0.2">
      <c r="A168" t="s">
        <v>334</v>
      </c>
      <c r="B168" t="str">
        <f>INDEX(CBS_gemeenten_alfabetisch_2023!$B:$B,MATCH($A168,CBS_gemeenten_alfabetisch_2023!$A:$A,0))</f>
        <v>Lisse</v>
      </c>
      <c r="C168">
        <f>SUMIF(BAG_dakoppervlak_woningen!$B:$B,$B168,BAG_dakoppervlak_woningen!$G:$G)/10^6</f>
        <v>0.60979099999999997</v>
      </c>
      <c r="D168">
        <f>SUMIF(BAG_dakoppervlak_gebouwen!$B:$B,$B168,BAG_dakoppervlak_gebouwen!$G:$G)/10^6</f>
        <v>0.85768299999999997</v>
      </c>
    </row>
    <row r="169" spans="1:4" x14ac:dyDescent="0.2">
      <c r="A169" t="s">
        <v>336</v>
      </c>
      <c r="B169" t="str">
        <f>INDEX(CBS_gemeenten_alfabetisch_2023!$B:$B,MATCH($A169,CBS_gemeenten_alfabetisch_2023!$A:$A,0))</f>
        <v>Lochem</v>
      </c>
      <c r="C169">
        <f>SUMIF(BAG_dakoppervlak_woningen!$B:$B,$B169,BAG_dakoppervlak_woningen!$G:$G)/10^6</f>
        <v>1.728694</v>
      </c>
      <c r="D169">
        <f>SUMIF(BAG_dakoppervlak_gebouwen!$B:$B,$B169,BAG_dakoppervlak_gebouwen!$G:$G)/10^6</f>
        <v>2.1125039999999999</v>
      </c>
    </row>
    <row r="170" spans="1:4" x14ac:dyDescent="0.2">
      <c r="A170" t="s">
        <v>338</v>
      </c>
      <c r="B170" t="str">
        <f>INDEX(CBS_gemeenten_alfabetisch_2023!$B:$B,MATCH($A170,CBS_gemeenten_alfabetisch_2023!$A:$A,0))</f>
        <v>Loon op Zand</v>
      </c>
      <c r="C170">
        <f>SUMIF(BAG_dakoppervlak_woningen!$B:$B,$B170,BAG_dakoppervlak_woningen!$G:$G)/10^6</f>
        <v>0.84823300000000001</v>
      </c>
      <c r="D170">
        <f>SUMIF(BAG_dakoppervlak_gebouwen!$B:$B,$B170,BAG_dakoppervlak_gebouwen!$G:$G)/10^6</f>
        <v>0.98161799999999999</v>
      </c>
    </row>
    <row r="171" spans="1:4" x14ac:dyDescent="0.2">
      <c r="A171" t="s">
        <v>340</v>
      </c>
      <c r="B171" t="str">
        <f>INDEX(CBS_gemeenten_alfabetisch_2023!$B:$B,MATCH($A171,CBS_gemeenten_alfabetisch_2023!$A:$A,0))</f>
        <v>Lopik</v>
      </c>
      <c r="C171">
        <f>SUMIF(BAG_dakoppervlak_woningen!$B:$B,$B171,BAG_dakoppervlak_woningen!$G:$G)/10^6</f>
        <v>0.52927100000000005</v>
      </c>
      <c r="D171">
        <f>SUMIF(BAG_dakoppervlak_gebouwen!$B:$B,$B171,BAG_dakoppervlak_gebouwen!$G:$G)/10^6</f>
        <v>0.89976</v>
      </c>
    </row>
    <row r="172" spans="1:4" x14ac:dyDescent="0.2">
      <c r="A172" t="s">
        <v>342</v>
      </c>
      <c r="B172" t="str">
        <f>INDEX(CBS_gemeenten_alfabetisch_2023!$B:$B,MATCH($A172,CBS_gemeenten_alfabetisch_2023!$A:$A,0))</f>
        <v>Losser</v>
      </c>
      <c r="C172">
        <f>SUMIF(BAG_dakoppervlak_woningen!$B:$B,$B172,BAG_dakoppervlak_woningen!$G:$G)/10^6</f>
        <v>0.986487</v>
      </c>
      <c r="D172">
        <f>SUMIF(BAG_dakoppervlak_gebouwen!$B:$B,$B172,BAG_dakoppervlak_gebouwen!$G:$G)/10^6</f>
        <v>0.99026499999999995</v>
      </c>
    </row>
    <row r="173" spans="1:4" x14ac:dyDescent="0.2">
      <c r="A173" t="s">
        <v>344</v>
      </c>
      <c r="B173" t="str">
        <f>INDEX(CBS_gemeenten_alfabetisch_2023!$B:$B,MATCH($A173,CBS_gemeenten_alfabetisch_2023!$A:$A,0))</f>
        <v>Maasdriel</v>
      </c>
      <c r="C173">
        <f>SUMIF(BAG_dakoppervlak_woningen!$B:$B,$B173,BAG_dakoppervlak_woningen!$G:$G)/10^6</f>
        <v>1.272448</v>
      </c>
      <c r="D173">
        <f>SUMIF(BAG_dakoppervlak_gebouwen!$B:$B,$B173,BAG_dakoppervlak_gebouwen!$G:$G)/10^6</f>
        <v>2.0089380000000001</v>
      </c>
    </row>
    <row r="174" spans="1:4" x14ac:dyDescent="0.2">
      <c r="A174" t="s">
        <v>346</v>
      </c>
      <c r="B174" t="str">
        <f>INDEX(CBS_gemeenten_alfabetisch_2023!$B:$B,MATCH($A174,CBS_gemeenten_alfabetisch_2023!$A:$A,0))</f>
        <v>Maasgouw</v>
      </c>
      <c r="C174">
        <f>SUMIF(BAG_dakoppervlak_woningen!$B:$B,$B174,BAG_dakoppervlak_woningen!$G:$G)/10^6</f>
        <v>1.250586</v>
      </c>
      <c r="D174">
        <f>SUMIF(BAG_dakoppervlak_gebouwen!$B:$B,$B174,BAG_dakoppervlak_gebouwen!$G:$G)/10^6</f>
        <v>0.84377800000000003</v>
      </c>
    </row>
    <row r="175" spans="1:4" x14ac:dyDescent="0.2">
      <c r="A175" t="s">
        <v>348</v>
      </c>
      <c r="B175" t="str">
        <f>INDEX(CBS_gemeenten_alfabetisch_2023!$B:$B,MATCH($A175,CBS_gemeenten_alfabetisch_2023!$A:$A,0))</f>
        <v>Maashorst</v>
      </c>
      <c r="C175">
        <f>SUMIF(BAG_dakoppervlak_woningen!$B:$B,$B175,BAG_dakoppervlak_woningen!$G:$G)/10^6</f>
        <v>2.5111789999999998</v>
      </c>
      <c r="D175">
        <f>SUMIF(BAG_dakoppervlak_gebouwen!$B:$B,$B175,BAG_dakoppervlak_gebouwen!$G:$G)/10^6</f>
        <v>3.5965289999999999</v>
      </c>
    </row>
    <row r="176" spans="1:4" x14ac:dyDescent="0.2">
      <c r="A176" t="s">
        <v>350</v>
      </c>
      <c r="B176" t="str">
        <f>INDEX(CBS_gemeenten_alfabetisch_2023!$B:$B,MATCH($A176,CBS_gemeenten_alfabetisch_2023!$A:$A,0))</f>
        <v>Maassluis</v>
      </c>
      <c r="C176">
        <f>SUMIF(BAG_dakoppervlak_woningen!$B:$B,$B176,BAG_dakoppervlak_woningen!$G:$G)/10^6</f>
        <v>0.65873099999999996</v>
      </c>
      <c r="D176">
        <f>SUMIF(BAG_dakoppervlak_gebouwen!$B:$B,$B176,BAG_dakoppervlak_gebouwen!$G:$G)/10^6</f>
        <v>0.50731099999999996</v>
      </c>
    </row>
    <row r="177" spans="1:4" x14ac:dyDescent="0.2">
      <c r="A177" t="s">
        <v>352</v>
      </c>
      <c r="B177" t="str">
        <f>INDEX(CBS_gemeenten_alfabetisch_2023!$B:$B,MATCH($A177,CBS_gemeenten_alfabetisch_2023!$A:$A,0))</f>
        <v>Maastricht</v>
      </c>
      <c r="C177">
        <f>SUMIF(BAG_dakoppervlak_woningen!$B:$B,$B177,BAG_dakoppervlak_woningen!$G:$G)/10^6</f>
        <v>3.7110249999999998</v>
      </c>
      <c r="D177">
        <f>SUMIF(BAG_dakoppervlak_gebouwen!$B:$B,$B177,BAG_dakoppervlak_gebouwen!$G:$G)/10^6</f>
        <v>2.508613</v>
      </c>
    </row>
    <row r="178" spans="1:4" x14ac:dyDescent="0.2">
      <c r="A178" t="s">
        <v>354</v>
      </c>
      <c r="B178" t="str">
        <f>INDEX(CBS_gemeenten_alfabetisch_2023!$B:$B,MATCH($A178,CBS_gemeenten_alfabetisch_2023!$A:$A,0))</f>
        <v>Medemblik</v>
      </c>
      <c r="C178">
        <f>SUMIF(BAG_dakoppervlak_woningen!$B:$B,$B178,BAG_dakoppervlak_woningen!$G:$G)/10^6</f>
        <v>1.9379200000000001</v>
      </c>
      <c r="D178">
        <f>SUMIF(BAG_dakoppervlak_gebouwen!$B:$B,$B178,BAG_dakoppervlak_gebouwen!$G:$G)/10^6</f>
        <v>4.6461680000000003</v>
      </c>
    </row>
    <row r="179" spans="1:4" x14ac:dyDescent="0.2">
      <c r="A179" t="s">
        <v>356</v>
      </c>
      <c r="B179" t="str">
        <f>INDEX(CBS_gemeenten_alfabetisch_2023!$B:$B,MATCH($A179,CBS_gemeenten_alfabetisch_2023!$A:$A,0))</f>
        <v>Meerssen</v>
      </c>
      <c r="C179">
        <f>SUMIF(BAG_dakoppervlak_woningen!$B:$B,$B179,BAG_dakoppervlak_woningen!$G:$G)/10^6</f>
        <v>0.89902599999999999</v>
      </c>
      <c r="D179">
        <f>SUMIF(BAG_dakoppervlak_gebouwen!$B:$B,$B179,BAG_dakoppervlak_gebouwen!$G:$G)/10^6</f>
        <v>0.44373099999999999</v>
      </c>
    </row>
    <row r="180" spans="1:4" x14ac:dyDescent="0.2">
      <c r="A180" t="s">
        <v>358</v>
      </c>
      <c r="B180" t="str">
        <f>INDEX(CBS_gemeenten_alfabetisch_2023!$B:$B,MATCH($A180,CBS_gemeenten_alfabetisch_2023!$A:$A,0))</f>
        <v>Meierijstad</v>
      </c>
      <c r="C180">
        <f>SUMIF(BAG_dakoppervlak_woningen!$B:$B,$B180,BAG_dakoppervlak_woningen!$G:$G)/10^6</f>
        <v>3.3385539999999998</v>
      </c>
      <c r="D180">
        <f>SUMIF(BAG_dakoppervlak_gebouwen!$B:$B,$B180,BAG_dakoppervlak_gebouwen!$G:$G)/10^6</f>
        <v>5.8804530000000002</v>
      </c>
    </row>
    <row r="181" spans="1:4" x14ac:dyDescent="0.2">
      <c r="A181" t="s">
        <v>360</v>
      </c>
      <c r="B181" t="str">
        <f>INDEX(CBS_gemeenten_alfabetisch_2023!$B:$B,MATCH($A181,CBS_gemeenten_alfabetisch_2023!$A:$A,0))</f>
        <v>Meppel</v>
      </c>
      <c r="C181">
        <f>SUMIF(BAG_dakoppervlak_woningen!$B:$B,$B181,BAG_dakoppervlak_woningen!$G:$G)/10^6</f>
        <v>1.2348539999999999</v>
      </c>
      <c r="D181">
        <f>SUMIF(BAG_dakoppervlak_gebouwen!$B:$B,$B181,BAG_dakoppervlak_gebouwen!$G:$G)/10^6</f>
        <v>1.177297</v>
      </c>
    </row>
    <row r="182" spans="1:4" x14ac:dyDescent="0.2">
      <c r="A182" t="s">
        <v>362</v>
      </c>
      <c r="B182" t="str">
        <f>INDEX(CBS_gemeenten_alfabetisch_2023!$B:$B,MATCH($A182,CBS_gemeenten_alfabetisch_2023!$A:$A,0))</f>
        <v>Middelburg</v>
      </c>
      <c r="C182">
        <f>SUMIF(BAG_dakoppervlak_woningen!$B:$B,$B182,BAG_dakoppervlak_woningen!$G:$G)/10^6</f>
        <v>1.546057</v>
      </c>
      <c r="D182">
        <f>SUMIF(BAG_dakoppervlak_gebouwen!$B:$B,$B182,BAG_dakoppervlak_gebouwen!$G:$G)/10^6</f>
        <v>1.3655299999999999</v>
      </c>
    </row>
    <row r="183" spans="1:4" x14ac:dyDescent="0.2">
      <c r="A183" t="s">
        <v>364</v>
      </c>
      <c r="B183" t="str">
        <f>INDEX(CBS_gemeenten_alfabetisch_2023!$B:$B,MATCH($A183,CBS_gemeenten_alfabetisch_2023!$A:$A,0))</f>
        <v>Midden-Delfland</v>
      </c>
      <c r="C183">
        <f>SUMIF(BAG_dakoppervlak_woningen!$B:$B,$B183,BAG_dakoppervlak_woningen!$G:$G)/10^6</f>
        <v>0.79992600000000003</v>
      </c>
      <c r="D183">
        <f>SUMIF(BAG_dakoppervlak_gebouwen!$B:$B,$B183,BAG_dakoppervlak_gebouwen!$G:$G)/10^6</f>
        <v>2.6446040000000002</v>
      </c>
    </row>
    <row r="184" spans="1:4" x14ac:dyDescent="0.2">
      <c r="A184" t="s">
        <v>366</v>
      </c>
      <c r="B184" t="str">
        <f>INDEX(CBS_gemeenten_alfabetisch_2023!$B:$B,MATCH($A184,CBS_gemeenten_alfabetisch_2023!$A:$A,0))</f>
        <v>Midden-Drenthe</v>
      </c>
      <c r="C184">
        <f>SUMIF(BAG_dakoppervlak_woningen!$B:$B,$B184,BAG_dakoppervlak_woningen!$G:$G)/10^6</f>
        <v>1.8183119999999999</v>
      </c>
      <c r="D184">
        <f>SUMIF(BAG_dakoppervlak_gebouwen!$B:$B,$B184,BAG_dakoppervlak_gebouwen!$G:$G)/10^6</f>
        <v>2.4571809999999998</v>
      </c>
    </row>
    <row r="185" spans="1:4" x14ac:dyDescent="0.2">
      <c r="A185" t="s">
        <v>368</v>
      </c>
      <c r="B185" t="str">
        <f>INDEX(CBS_gemeenten_alfabetisch_2023!$B:$B,MATCH($A185,CBS_gemeenten_alfabetisch_2023!$A:$A,0))</f>
        <v>Midden-Groningen</v>
      </c>
      <c r="C185">
        <f>SUMIF(BAG_dakoppervlak_woningen!$B:$B,$B185,BAG_dakoppervlak_woningen!$G:$G)/10^6</f>
        <v>3.4396819999999999</v>
      </c>
      <c r="D185">
        <f>SUMIF(BAG_dakoppervlak_gebouwen!$B:$B,$B185,BAG_dakoppervlak_gebouwen!$G:$G)/10^6</f>
        <v>2.6975500000000001</v>
      </c>
    </row>
    <row r="186" spans="1:4" x14ac:dyDescent="0.2">
      <c r="A186" t="s">
        <v>370</v>
      </c>
      <c r="B186" t="str">
        <f>INDEX(CBS_gemeenten_alfabetisch_2023!$B:$B,MATCH($A186,CBS_gemeenten_alfabetisch_2023!$A:$A,0))</f>
        <v>Moerdijk</v>
      </c>
      <c r="C186">
        <f>SUMIF(BAG_dakoppervlak_woningen!$B:$B,$B186,BAG_dakoppervlak_woningen!$G:$G)/10^6</f>
        <v>1.4308810000000001</v>
      </c>
      <c r="D186">
        <f>SUMIF(BAG_dakoppervlak_gebouwen!$B:$B,$B186,BAG_dakoppervlak_gebouwen!$G:$G)/10^6</f>
        <v>4.2485480000000004</v>
      </c>
    </row>
    <row r="187" spans="1:4" x14ac:dyDescent="0.2">
      <c r="A187" t="s">
        <v>372</v>
      </c>
      <c r="B187" t="str">
        <f>INDEX(CBS_gemeenten_alfabetisch_2023!$B:$B,MATCH($A187,CBS_gemeenten_alfabetisch_2023!$A:$A,0))</f>
        <v>Molenlanden</v>
      </c>
      <c r="C187">
        <f>SUMIF(BAG_dakoppervlak_woningen!$B:$B,$B187,BAG_dakoppervlak_woningen!$G:$G)/10^6</f>
        <v>1.481169</v>
      </c>
      <c r="D187">
        <f>SUMIF(BAG_dakoppervlak_gebouwen!$B:$B,$B187,BAG_dakoppervlak_gebouwen!$G:$G)/10^6</f>
        <v>2.1637379999999999</v>
      </c>
    </row>
    <row r="188" spans="1:4" x14ac:dyDescent="0.2">
      <c r="A188" t="s">
        <v>374</v>
      </c>
      <c r="B188" t="str">
        <f>INDEX(CBS_gemeenten_alfabetisch_2023!$B:$B,MATCH($A188,CBS_gemeenten_alfabetisch_2023!$A:$A,0))</f>
        <v>Montferland</v>
      </c>
      <c r="C188">
        <f>SUMIF(BAG_dakoppervlak_woningen!$B:$B,$B188,BAG_dakoppervlak_woningen!$G:$G)/10^6</f>
        <v>1.5834569999999999</v>
      </c>
      <c r="D188">
        <f>SUMIF(BAG_dakoppervlak_gebouwen!$B:$B,$B188,BAG_dakoppervlak_gebouwen!$G:$G)/10^6</f>
        <v>1.9536089999999999</v>
      </c>
    </row>
    <row r="189" spans="1:4" x14ac:dyDescent="0.2">
      <c r="A189" t="s">
        <v>376</v>
      </c>
      <c r="B189" t="str">
        <f>INDEX(CBS_gemeenten_alfabetisch_2023!$B:$B,MATCH($A189,CBS_gemeenten_alfabetisch_2023!$A:$A,0))</f>
        <v>Montfoort</v>
      </c>
      <c r="C189">
        <f>SUMIF(BAG_dakoppervlak_woningen!$B:$B,$B189,BAG_dakoppervlak_woningen!$G:$G)/10^6</f>
        <v>0.45617000000000002</v>
      </c>
      <c r="D189">
        <f>SUMIF(BAG_dakoppervlak_gebouwen!$B:$B,$B189,BAG_dakoppervlak_gebouwen!$G:$G)/10^6</f>
        <v>0.64643700000000004</v>
      </c>
    </row>
    <row r="190" spans="1:4" x14ac:dyDescent="0.2">
      <c r="A190" t="s">
        <v>378</v>
      </c>
      <c r="B190" t="str">
        <f>INDEX(CBS_gemeenten_alfabetisch_2023!$B:$B,MATCH($A190,CBS_gemeenten_alfabetisch_2023!$A:$A,0))</f>
        <v>Mook en Middelaar</v>
      </c>
      <c r="C190">
        <f>SUMIF(BAG_dakoppervlak_woningen!$B:$B,$B190,BAG_dakoppervlak_woningen!$G:$G)/10^6</f>
        <v>0.36868000000000001</v>
      </c>
      <c r="D190">
        <f>SUMIF(BAG_dakoppervlak_gebouwen!$B:$B,$B190,BAG_dakoppervlak_gebouwen!$G:$G)/10^6</f>
        <v>0.18232300000000001</v>
      </c>
    </row>
    <row r="191" spans="1:4" x14ac:dyDescent="0.2">
      <c r="A191" t="s">
        <v>380</v>
      </c>
      <c r="B191" t="str">
        <f>INDEX(CBS_gemeenten_alfabetisch_2023!$B:$B,MATCH($A191,CBS_gemeenten_alfabetisch_2023!$A:$A,0))</f>
        <v>Neder-Betuwe</v>
      </c>
      <c r="C191">
        <f>SUMIF(BAG_dakoppervlak_woningen!$B:$B,$B191,BAG_dakoppervlak_woningen!$G:$G)/10^6</f>
        <v>0.90628900000000001</v>
      </c>
      <c r="D191">
        <f>SUMIF(BAG_dakoppervlak_gebouwen!$B:$B,$B191,BAG_dakoppervlak_gebouwen!$G:$G)/10^6</f>
        <v>1.3757889999999999</v>
      </c>
    </row>
    <row r="192" spans="1:4" x14ac:dyDescent="0.2">
      <c r="A192" t="s">
        <v>382</v>
      </c>
      <c r="B192" t="str">
        <f>INDEX(CBS_gemeenten_alfabetisch_2023!$B:$B,MATCH($A192,CBS_gemeenten_alfabetisch_2023!$A:$A,0))</f>
        <v>Nederweert</v>
      </c>
      <c r="C192">
        <f>SUMIF(BAG_dakoppervlak_woningen!$B:$B,$B192,BAG_dakoppervlak_woningen!$G:$G)/10^6</f>
        <v>0.96972899999999995</v>
      </c>
      <c r="D192">
        <f>SUMIF(BAG_dakoppervlak_gebouwen!$B:$B,$B192,BAG_dakoppervlak_gebouwen!$G:$G)/10^6</f>
        <v>1.830856</v>
      </c>
    </row>
    <row r="193" spans="1:4" x14ac:dyDescent="0.2">
      <c r="A193" t="s">
        <v>384</v>
      </c>
      <c r="B193" t="str">
        <f>INDEX(CBS_gemeenten_alfabetisch_2023!$B:$B,MATCH($A193,CBS_gemeenten_alfabetisch_2023!$A:$A,0))</f>
        <v>Nieuwegein</v>
      </c>
      <c r="C193">
        <f>SUMIF(BAG_dakoppervlak_woningen!$B:$B,$B193,BAG_dakoppervlak_woningen!$G:$G)/10^6</f>
        <v>1.487158</v>
      </c>
      <c r="D193">
        <f>SUMIF(BAG_dakoppervlak_gebouwen!$B:$B,$B193,BAG_dakoppervlak_gebouwen!$G:$G)/10^6</f>
        <v>1.7236560000000001</v>
      </c>
    </row>
    <row r="194" spans="1:4" x14ac:dyDescent="0.2">
      <c r="A194" t="s">
        <v>386</v>
      </c>
      <c r="B194" t="str">
        <f>INDEX(CBS_gemeenten_alfabetisch_2023!$B:$B,MATCH($A194,CBS_gemeenten_alfabetisch_2023!$A:$A,0))</f>
        <v>Nieuwkoop</v>
      </c>
      <c r="C194">
        <f>SUMIF(BAG_dakoppervlak_woningen!$B:$B,$B194,BAG_dakoppervlak_woningen!$G:$G)/10^6</f>
        <v>1.0587899999999999</v>
      </c>
      <c r="D194">
        <f>SUMIF(BAG_dakoppervlak_gebouwen!$B:$B,$B194,BAG_dakoppervlak_gebouwen!$G:$G)/10^6</f>
        <v>2.434787</v>
      </c>
    </row>
    <row r="195" spans="1:4" x14ac:dyDescent="0.2">
      <c r="A195" t="s">
        <v>388</v>
      </c>
      <c r="B195" t="str">
        <f>INDEX(CBS_gemeenten_alfabetisch_2023!$B:$B,MATCH($A195,CBS_gemeenten_alfabetisch_2023!$A:$A,0))</f>
        <v>Nijkerk</v>
      </c>
      <c r="C195">
        <f>SUMIF(BAG_dakoppervlak_woningen!$B:$B,$B195,BAG_dakoppervlak_woningen!$G:$G)/10^6</f>
        <v>1.3625370000000001</v>
      </c>
      <c r="D195">
        <f>SUMIF(BAG_dakoppervlak_gebouwen!$B:$B,$B195,BAG_dakoppervlak_gebouwen!$G:$G)/10^6</f>
        <v>1.9664349999999999</v>
      </c>
    </row>
    <row r="196" spans="1:4" x14ac:dyDescent="0.2">
      <c r="A196" t="s">
        <v>390</v>
      </c>
      <c r="B196" t="str">
        <f>INDEX(CBS_gemeenten_alfabetisch_2023!$B:$B,MATCH($A196,CBS_gemeenten_alfabetisch_2023!$A:$A,0))</f>
        <v>Nijmegen</v>
      </c>
      <c r="C196">
        <f>SUMIF(BAG_dakoppervlak_woningen!$B:$B,$B196,BAG_dakoppervlak_woningen!$G:$G)/10^6</f>
        <v>4.0706119999999997</v>
      </c>
      <c r="D196">
        <f>SUMIF(BAG_dakoppervlak_gebouwen!$B:$B,$B196,BAG_dakoppervlak_gebouwen!$G:$G)/10^6</f>
        <v>3.5174599999999998</v>
      </c>
    </row>
    <row r="197" spans="1:4" x14ac:dyDescent="0.2">
      <c r="A197" t="s">
        <v>392</v>
      </c>
      <c r="B197" t="str">
        <f>INDEX(CBS_gemeenten_alfabetisch_2023!$B:$B,MATCH($A197,CBS_gemeenten_alfabetisch_2023!$A:$A,0))</f>
        <v>Nissewaard</v>
      </c>
      <c r="C197">
        <f>SUMIF(BAG_dakoppervlak_woningen!$B:$B,$B197,BAG_dakoppervlak_woningen!$G:$G)/10^6</f>
        <v>2.0724719999999999</v>
      </c>
      <c r="D197">
        <f>SUMIF(BAG_dakoppervlak_gebouwen!$B:$B,$B197,BAG_dakoppervlak_gebouwen!$G:$G)/10^6</f>
        <v>1.442679</v>
      </c>
    </row>
    <row r="198" spans="1:4" x14ac:dyDescent="0.2">
      <c r="A198" t="s">
        <v>394</v>
      </c>
      <c r="B198" t="str">
        <f>INDEX(CBS_gemeenten_alfabetisch_2023!$B:$B,MATCH($A198,CBS_gemeenten_alfabetisch_2023!$A:$A,0))</f>
        <v>Noardeast-Fryslân</v>
      </c>
      <c r="C198">
        <f>SUMIF(BAG_dakoppervlak_woningen!$B:$B,$B198,BAG_dakoppervlak_woningen!$G:$G)/10^6</f>
        <v>2.6140569999999999</v>
      </c>
      <c r="D198">
        <f>SUMIF(BAG_dakoppervlak_gebouwen!$B:$B,$B198,BAG_dakoppervlak_gebouwen!$G:$G)/10^6</f>
        <v>2.2947150000000001</v>
      </c>
    </row>
    <row r="199" spans="1:4" x14ac:dyDescent="0.2">
      <c r="A199" t="s">
        <v>396</v>
      </c>
      <c r="B199" t="str">
        <f>INDEX(CBS_gemeenten_alfabetisch_2023!$B:$B,MATCH($A199,CBS_gemeenten_alfabetisch_2023!$A:$A,0))</f>
        <v>Noord-Beveland</v>
      </c>
      <c r="C199">
        <f>SUMIF(BAG_dakoppervlak_woningen!$B:$B,$B199,BAG_dakoppervlak_woningen!$G:$G)/10^6</f>
        <v>0.40307599999999999</v>
      </c>
      <c r="D199">
        <f>SUMIF(BAG_dakoppervlak_gebouwen!$B:$B,$B199,BAG_dakoppervlak_gebouwen!$G:$G)/10^6</f>
        <v>0.63110999999999995</v>
      </c>
    </row>
    <row r="200" spans="1:4" x14ac:dyDescent="0.2">
      <c r="A200" t="s">
        <v>398</v>
      </c>
      <c r="B200" t="str">
        <f>INDEX(CBS_gemeenten_alfabetisch_2023!$B:$B,MATCH($A200,CBS_gemeenten_alfabetisch_2023!$A:$A,0))</f>
        <v>Noordenveld</v>
      </c>
      <c r="C200">
        <f>SUMIF(BAG_dakoppervlak_woningen!$B:$B,$B200,BAG_dakoppervlak_woningen!$G:$G)/10^6</f>
        <v>1.605078</v>
      </c>
      <c r="D200">
        <f>SUMIF(BAG_dakoppervlak_gebouwen!$B:$B,$B200,BAG_dakoppervlak_gebouwen!$G:$G)/10^6</f>
        <v>1.386617</v>
      </c>
    </row>
    <row r="201" spans="1:4" x14ac:dyDescent="0.2">
      <c r="A201" t="s">
        <v>400</v>
      </c>
      <c r="B201" t="str">
        <f>INDEX(CBS_gemeenten_alfabetisch_2023!$B:$B,MATCH($A201,CBS_gemeenten_alfabetisch_2023!$A:$A,0))</f>
        <v>Noordoostpolder</v>
      </c>
      <c r="C201">
        <f>SUMIF(BAG_dakoppervlak_woningen!$B:$B,$B201,BAG_dakoppervlak_woningen!$G:$G)/10^6</f>
        <v>2.0898590000000001</v>
      </c>
      <c r="D201">
        <f>SUMIF(BAG_dakoppervlak_gebouwen!$B:$B,$B201,BAG_dakoppervlak_gebouwen!$G:$G)/10^6</f>
        <v>7.3164610000000003</v>
      </c>
    </row>
    <row r="202" spans="1:4" x14ac:dyDescent="0.2">
      <c r="A202" t="s">
        <v>402</v>
      </c>
      <c r="B202" t="str">
        <f>INDEX(CBS_gemeenten_alfabetisch_2023!$B:$B,MATCH($A202,CBS_gemeenten_alfabetisch_2023!$A:$A,0))</f>
        <v>Noordwijk</v>
      </c>
      <c r="C202">
        <f>SUMIF(BAG_dakoppervlak_woningen!$B:$B,$B202,BAG_dakoppervlak_woningen!$G:$G)/10^6</f>
        <v>1.4382950000000001</v>
      </c>
      <c r="D202">
        <f>SUMIF(BAG_dakoppervlak_gebouwen!$B:$B,$B202,BAG_dakoppervlak_gebouwen!$G:$G)/10^6</f>
        <v>1.80776</v>
      </c>
    </row>
    <row r="203" spans="1:4" x14ac:dyDescent="0.2">
      <c r="A203" t="s">
        <v>404</v>
      </c>
      <c r="B203" t="str">
        <f>INDEX(CBS_gemeenten_alfabetisch_2023!$B:$B,MATCH($A203,CBS_gemeenten_alfabetisch_2023!$A:$A,0))</f>
        <v>Nuenen, Gerwen en Nederwetten</v>
      </c>
      <c r="C203">
        <f>SUMIF(BAG_dakoppervlak_woningen!$B:$B,$B203,BAG_dakoppervlak_woningen!$G:$G)/10^6</f>
        <v>1.007045</v>
      </c>
      <c r="D203">
        <f>SUMIF(BAG_dakoppervlak_gebouwen!$B:$B,$B203,BAG_dakoppervlak_gebouwen!$G:$G)/10^6</f>
        <v>0.78577600000000003</v>
      </c>
    </row>
    <row r="204" spans="1:4" x14ac:dyDescent="0.2">
      <c r="A204" t="s">
        <v>406</v>
      </c>
      <c r="B204" t="str">
        <f>INDEX(CBS_gemeenten_alfabetisch_2023!$B:$B,MATCH($A204,CBS_gemeenten_alfabetisch_2023!$A:$A,0))</f>
        <v>Nunspeet</v>
      </c>
      <c r="C204">
        <f>SUMIF(BAG_dakoppervlak_woningen!$B:$B,$B204,BAG_dakoppervlak_woningen!$G:$G)/10^6</f>
        <v>0.94142800000000004</v>
      </c>
      <c r="D204">
        <f>SUMIF(BAG_dakoppervlak_gebouwen!$B:$B,$B204,BAG_dakoppervlak_gebouwen!$G:$G)/10^6</f>
        <v>1.1914260000000001</v>
      </c>
    </row>
    <row r="205" spans="1:4" x14ac:dyDescent="0.2">
      <c r="A205" t="s">
        <v>408</v>
      </c>
      <c r="B205" t="str">
        <f>INDEX(CBS_gemeenten_alfabetisch_2023!$B:$B,MATCH($A205,CBS_gemeenten_alfabetisch_2023!$A:$A,0))</f>
        <v>Oegstgeest</v>
      </c>
      <c r="C205">
        <f>SUMIF(BAG_dakoppervlak_woningen!$B:$B,$B205,BAG_dakoppervlak_woningen!$G:$G)/10^6</f>
        <v>0.66608199999999995</v>
      </c>
      <c r="D205">
        <f>SUMIF(BAG_dakoppervlak_gebouwen!$B:$B,$B205,BAG_dakoppervlak_gebouwen!$G:$G)/10^6</f>
        <v>0.315278</v>
      </c>
    </row>
    <row r="206" spans="1:4" x14ac:dyDescent="0.2">
      <c r="A206" t="s">
        <v>410</v>
      </c>
      <c r="B206" t="str">
        <f>INDEX(CBS_gemeenten_alfabetisch_2023!$B:$B,MATCH($A206,CBS_gemeenten_alfabetisch_2023!$A:$A,0))</f>
        <v>Oirschot</v>
      </c>
      <c r="C206">
        <f>SUMIF(BAG_dakoppervlak_woningen!$B:$B,$B206,BAG_dakoppervlak_woningen!$G:$G)/10^6</f>
        <v>0.89842599999999995</v>
      </c>
      <c r="D206">
        <f>SUMIF(BAG_dakoppervlak_gebouwen!$B:$B,$B206,BAG_dakoppervlak_gebouwen!$G:$G)/10^6</f>
        <v>1.674029</v>
      </c>
    </row>
    <row r="207" spans="1:4" x14ac:dyDescent="0.2">
      <c r="A207" t="s">
        <v>412</v>
      </c>
      <c r="B207" t="str">
        <f>INDEX(CBS_gemeenten_alfabetisch_2023!$B:$B,MATCH($A207,CBS_gemeenten_alfabetisch_2023!$A:$A,0))</f>
        <v>Oisterwijk</v>
      </c>
      <c r="C207">
        <f>SUMIF(BAG_dakoppervlak_woningen!$B:$B,$B207,BAG_dakoppervlak_woningen!$G:$G)/10^6</f>
        <v>1.355564</v>
      </c>
      <c r="D207">
        <f>SUMIF(BAG_dakoppervlak_gebouwen!$B:$B,$B207,BAG_dakoppervlak_gebouwen!$G:$G)/10^6</f>
        <v>1.773226</v>
      </c>
    </row>
    <row r="208" spans="1:4" x14ac:dyDescent="0.2">
      <c r="A208" t="s">
        <v>414</v>
      </c>
      <c r="B208" t="str">
        <f>INDEX(CBS_gemeenten_alfabetisch_2023!$B:$B,MATCH($A208,CBS_gemeenten_alfabetisch_2023!$A:$A,0))</f>
        <v>Oldambt</v>
      </c>
      <c r="C208">
        <f>SUMIF(BAG_dakoppervlak_woningen!$B:$B,$B208,BAG_dakoppervlak_woningen!$G:$G)/10^6</f>
        <v>2.0890059999999999</v>
      </c>
      <c r="D208">
        <f>SUMIF(BAG_dakoppervlak_gebouwen!$B:$B,$B208,BAG_dakoppervlak_gebouwen!$G:$G)/10^6</f>
        <v>1.8998459999999999</v>
      </c>
    </row>
    <row r="209" spans="1:4" x14ac:dyDescent="0.2">
      <c r="A209" t="s">
        <v>416</v>
      </c>
      <c r="B209" t="str">
        <f>INDEX(CBS_gemeenten_alfabetisch_2023!$B:$B,MATCH($A209,CBS_gemeenten_alfabetisch_2023!$A:$A,0))</f>
        <v>Oldebroek</v>
      </c>
      <c r="C209">
        <f>SUMIF(BAG_dakoppervlak_woningen!$B:$B,$B209,BAG_dakoppervlak_woningen!$G:$G)/10^6</f>
        <v>0.88231499999999996</v>
      </c>
      <c r="D209">
        <f>SUMIF(BAG_dakoppervlak_gebouwen!$B:$B,$B209,BAG_dakoppervlak_gebouwen!$G:$G)/10^6</f>
        <v>1.1569560000000001</v>
      </c>
    </row>
    <row r="210" spans="1:4" x14ac:dyDescent="0.2">
      <c r="A210" t="s">
        <v>418</v>
      </c>
      <c r="B210" t="str">
        <f>INDEX(CBS_gemeenten_alfabetisch_2023!$B:$B,MATCH($A210,CBS_gemeenten_alfabetisch_2023!$A:$A,0))</f>
        <v>Oldenzaal</v>
      </c>
      <c r="C210">
        <f>SUMIF(BAG_dakoppervlak_woningen!$B:$B,$B210,BAG_dakoppervlak_woningen!$G:$G)/10^6</f>
        <v>1.105029</v>
      </c>
      <c r="D210">
        <f>SUMIF(BAG_dakoppervlak_gebouwen!$B:$B,$B210,BAG_dakoppervlak_gebouwen!$G:$G)/10^6</f>
        <v>1.272675</v>
      </c>
    </row>
    <row r="211" spans="1:4" x14ac:dyDescent="0.2">
      <c r="A211" t="s">
        <v>420</v>
      </c>
      <c r="B211" t="str">
        <f>INDEX(CBS_gemeenten_alfabetisch_2023!$B:$B,MATCH($A211,CBS_gemeenten_alfabetisch_2023!$A:$A,0))</f>
        <v>Olst-Wijhe</v>
      </c>
      <c r="C211">
        <f>SUMIF(BAG_dakoppervlak_woningen!$B:$B,$B211,BAG_dakoppervlak_woningen!$G:$G)/10^6</f>
        <v>0.820689</v>
      </c>
      <c r="D211">
        <f>SUMIF(BAG_dakoppervlak_gebouwen!$B:$B,$B211,BAG_dakoppervlak_gebouwen!$G:$G)/10^6</f>
        <v>1.0104820000000001</v>
      </c>
    </row>
    <row r="212" spans="1:4" x14ac:dyDescent="0.2">
      <c r="A212" t="s">
        <v>422</v>
      </c>
      <c r="B212" t="str">
        <f>INDEX(CBS_gemeenten_alfabetisch_2023!$B:$B,MATCH($A212,CBS_gemeenten_alfabetisch_2023!$A:$A,0))</f>
        <v>Ommen</v>
      </c>
      <c r="C212">
        <f>SUMIF(BAG_dakoppervlak_woningen!$B:$B,$B212,BAG_dakoppervlak_woningen!$G:$G)/10^6</f>
        <v>0.97517799999999999</v>
      </c>
      <c r="D212">
        <f>SUMIF(BAG_dakoppervlak_gebouwen!$B:$B,$B212,BAG_dakoppervlak_gebouwen!$G:$G)/10^6</f>
        <v>1.3676170000000001</v>
      </c>
    </row>
    <row r="213" spans="1:4" x14ac:dyDescent="0.2">
      <c r="A213" t="s">
        <v>424</v>
      </c>
      <c r="B213" t="str">
        <f>INDEX(CBS_gemeenten_alfabetisch_2023!$B:$B,MATCH($A213,CBS_gemeenten_alfabetisch_2023!$A:$A,0))</f>
        <v>Oost Gelre</v>
      </c>
      <c r="C213">
        <f>SUMIF(BAG_dakoppervlak_woningen!$B:$B,$B213,BAG_dakoppervlak_woningen!$G:$G)/10^6</f>
        <v>1.359823</v>
      </c>
      <c r="D213">
        <f>SUMIF(BAG_dakoppervlak_gebouwen!$B:$B,$B213,BAG_dakoppervlak_gebouwen!$G:$G)/10^6</f>
        <v>2.3869590000000001</v>
      </c>
    </row>
    <row r="214" spans="1:4" x14ac:dyDescent="0.2">
      <c r="A214" t="s">
        <v>426</v>
      </c>
      <c r="B214" t="str">
        <f>INDEX(CBS_gemeenten_alfabetisch_2023!$B:$B,MATCH($A214,CBS_gemeenten_alfabetisch_2023!$A:$A,0))</f>
        <v>Oosterhout</v>
      </c>
      <c r="C214">
        <f>SUMIF(BAG_dakoppervlak_woningen!$B:$B,$B214,BAG_dakoppervlak_woningen!$G:$G)/10^6</f>
        <v>1.7820940000000001</v>
      </c>
      <c r="D214">
        <f>SUMIF(BAG_dakoppervlak_gebouwen!$B:$B,$B214,BAG_dakoppervlak_gebouwen!$G:$G)/10^6</f>
        <v>3.1452390000000001</v>
      </c>
    </row>
    <row r="215" spans="1:4" x14ac:dyDescent="0.2">
      <c r="A215" t="s">
        <v>428</v>
      </c>
      <c r="B215" t="str">
        <f>INDEX(CBS_gemeenten_alfabetisch_2023!$B:$B,MATCH($A215,CBS_gemeenten_alfabetisch_2023!$A:$A,0))</f>
        <v>Ooststellingwerf</v>
      </c>
      <c r="C215">
        <f>SUMIF(BAG_dakoppervlak_woningen!$B:$B,$B215,BAG_dakoppervlak_woningen!$G:$G)/10^6</f>
        <v>1.4688049999999999</v>
      </c>
      <c r="D215">
        <f>SUMIF(BAG_dakoppervlak_gebouwen!$B:$B,$B215,BAG_dakoppervlak_gebouwen!$G:$G)/10^6</f>
        <v>1.6751510000000001</v>
      </c>
    </row>
    <row r="216" spans="1:4" x14ac:dyDescent="0.2">
      <c r="A216" t="s">
        <v>430</v>
      </c>
      <c r="B216" t="str">
        <f>INDEX(CBS_gemeenten_alfabetisch_2023!$B:$B,MATCH($A216,CBS_gemeenten_alfabetisch_2023!$A:$A,0))</f>
        <v>Oostzaan</v>
      </c>
      <c r="C216">
        <f>SUMIF(BAG_dakoppervlak_woningen!$B:$B,$B216,BAG_dakoppervlak_woningen!$G:$G)/10^6</f>
        <v>0.286634</v>
      </c>
      <c r="D216">
        <f>SUMIF(BAG_dakoppervlak_gebouwen!$B:$B,$B216,BAG_dakoppervlak_gebouwen!$G:$G)/10^6</f>
        <v>0.21035499999999999</v>
      </c>
    </row>
    <row r="217" spans="1:4" x14ac:dyDescent="0.2">
      <c r="A217" t="s">
        <v>432</v>
      </c>
      <c r="B217" t="str">
        <f>INDEX(CBS_gemeenten_alfabetisch_2023!$B:$B,MATCH($A217,CBS_gemeenten_alfabetisch_2023!$A:$A,0))</f>
        <v>Opmeer</v>
      </c>
      <c r="C217">
        <f>SUMIF(BAG_dakoppervlak_woningen!$B:$B,$B217,BAG_dakoppervlak_woningen!$G:$G)/10^6</f>
        <v>0.52914799999999995</v>
      </c>
      <c r="D217">
        <f>SUMIF(BAG_dakoppervlak_gebouwen!$B:$B,$B217,BAG_dakoppervlak_gebouwen!$G:$G)/10^6</f>
        <v>0.76263700000000001</v>
      </c>
    </row>
    <row r="218" spans="1:4" x14ac:dyDescent="0.2">
      <c r="A218" t="s">
        <v>434</v>
      </c>
      <c r="B218" t="str">
        <f>INDEX(CBS_gemeenten_alfabetisch_2023!$B:$B,MATCH($A218,CBS_gemeenten_alfabetisch_2023!$A:$A,0))</f>
        <v>Opsterland</v>
      </c>
      <c r="C218">
        <f>SUMIF(BAG_dakoppervlak_woningen!$B:$B,$B218,BAG_dakoppervlak_woningen!$G:$G)/10^6</f>
        <v>1.6622189999999999</v>
      </c>
      <c r="D218">
        <f>SUMIF(BAG_dakoppervlak_gebouwen!$B:$B,$B218,BAG_dakoppervlak_gebouwen!$G:$G)/10^6</f>
        <v>1.5601080000000001</v>
      </c>
    </row>
    <row r="219" spans="1:4" x14ac:dyDescent="0.2">
      <c r="A219" t="s">
        <v>436</v>
      </c>
      <c r="B219" t="str">
        <f>INDEX(CBS_gemeenten_alfabetisch_2023!$B:$B,MATCH($A219,CBS_gemeenten_alfabetisch_2023!$A:$A,0))</f>
        <v>Oss</v>
      </c>
      <c r="C219">
        <f>SUMIF(BAG_dakoppervlak_woningen!$B:$B,$B219,BAG_dakoppervlak_woningen!$G:$G)/10^6</f>
        <v>3.4161890000000001</v>
      </c>
      <c r="D219">
        <f>SUMIF(BAG_dakoppervlak_gebouwen!$B:$B,$B219,BAG_dakoppervlak_gebouwen!$G:$G)/10^6</f>
        <v>4.347029</v>
      </c>
    </row>
    <row r="220" spans="1:4" x14ac:dyDescent="0.2">
      <c r="A220" t="s">
        <v>438</v>
      </c>
      <c r="B220" t="str">
        <f>INDEX(CBS_gemeenten_alfabetisch_2023!$B:$B,MATCH($A220,CBS_gemeenten_alfabetisch_2023!$A:$A,0))</f>
        <v>Oude IJsselstreek</v>
      </c>
      <c r="C220">
        <f>SUMIF(BAG_dakoppervlak_woningen!$B:$B,$B220,BAG_dakoppervlak_woningen!$G:$G)/10^6</f>
        <v>1.901556</v>
      </c>
      <c r="D220">
        <f>SUMIF(BAG_dakoppervlak_gebouwen!$B:$B,$B220,BAG_dakoppervlak_gebouwen!$G:$G)/10^6</f>
        <v>2.3368739999999999</v>
      </c>
    </row>
    <row r="221" spans="1:4" x14ac:dyDescent="0.2">
      <c r="A221" t="s">
        <v>440</v>
      </c>
      <c r="B221" t="str">
        <f>INDEX(CBS_gemeenten_alfabetisch_2023!$B:$B,MATCH($A221,CBS_gemeenten_alfabetisch_2023!$A:$A,0))</f>
        <v>Ouder-Amstel</v>
      </c>
      <c r="C221">
        <f>SUMIF(BAG_dakoppervlak_woningen!$B:$B,$B221,BAG_dakoppervlak_woningen!$G:$G)/10^6</f>
        <v>0.39449699999999999</v>
      </c>
      <c r="D221">
        <f>SUMIF(BAG_dakoppervlak_gebouwen!$B:$B,$B221,BAG_dakoppervlak_gebouwen!$G:$G)/10^6</f>
        <v>0.61461399999999999</v>
      </c>
    </row>
    <row r="222" spans="1:4" x14ac:dyDescent="0.2">
      <c r="A222" t="s">
        <v>442</v>
      </c>
      <c r="B222" t="str">
        <f>INDEX(CBS_gemeenten_alfabetisch_2023!$B:$B,MATCH($A222,CBS_gemeenten_alfabetisch_2023!$A:$A,0))</f>
        <v>Oudewater</v>
      </c>
      <c r="C222">
        <f>SUMIF(BAG_dakoppervlak_woningen!$B:$B,$B222,BAG_dakoppervlak_woningen!$G:$G)/10^6</f>
        <v>0.365452</v>
      </c>
      <c r="D222">
        <f>SUMIF(BAG_dakoppervlak_gebouwen!$B:$B,$B222,BAG_dakoppervlak_gebouwen!$G:$G)/10^6</f>
        <v>0.50567200000000001</v>
      </c>
    </row>
    <row r="223" spans="1:4" x14ac:dyDescent="0.2">
      <c r="A223" t="s">
        <v>444</v>
      </c>
      <c r="B223" t="str">
        <f>INDEX(CBS_gemeenten_alfabetisch_2023!$B:$B,MATCH($A223,CBS_gemeenten_alfabetisch_2023!$A:$A,0))</f>
        <v>Overbetuwe</v>
      </c>
      <c r="C223">
        <f>SUMIF(BAG_dakoppervlak_woningen!$B:$B,$B223,BAG_dakoppervlak_woningen!$G:$G)/10^6</f>
        <v>1.8351599999999999</v>
      </c>
      <c r="D223">
        <f>SUMIF(BAG_dakoppervlak_gebouwen!$B:$B,$B223,BAG_dakoppervlak_gebouwen!$G:$G)/10^6</f>
        <v>2.2425139999999999</v>
      </c>
    </row>
    <row r="224" spans="1:4" x14ac:dyDescent="0.2">
      <c r="A224" t="s">
        <v>446</v>
      </c>
      <c r="B224" t="str">
        <f>INDEX(CBS_gemeenten_alfabetisch_2023!$B:$B,MATCH($A224,CBS_gemeenten_alfabetisch_2023!$A:$A,0))</f>
        <v>Papendrecht</v>
      </c>
      <c r="C224">
        <f>SUMIF(BAG_dakoppervlak_woningen!$B:$B,$B224,BAG_dakoppervlak_woningen!$G:$G)/10^6</f>
        <v>0.74162300000000003</v>
      </c>
      <c r="D224">
        <f>SUMIF(BAG_dakoppervlak_gebouwen!$B:$B,$B224,BAG_dakoppervlak_gebouwen!$G:$G)/10^6</f>
        <v>0.60779399999999995</v>
      </c>
    </row>
    <row r="225" spans="1:4" x14ac:dyDescent="0.2">
      <c r="A225" t="s">
        <v>448</v>
      </c>
      <c r="B225" t="str">
        <f>INDEX(CBS_gemeenten_alfabetisch_2023!$B:$B,MATCH($A225,CBS_gemeenten_alfabetisch_2023!$A:$A,0))</f>
        <v>Peel en Maas</v>
      </c>
      <c r="C225">
        <f>SUMIF(BAG_dakoppervlak_woningen!$B:$B,$B225,BAG_dakoppervlak_woningen!$G:$G)/10^6</f>
        <v>2.1594259999999998</v>
      </c>
      <c r="D225">
        <f>SUMIF(BAG_dakoppervlak_gebouwen!$B:$B,$B225,BAG_dakoppervlak_gebouwen!$G:$G)/10^6</f>
        <v>7.5433779999999997</v>
      </c>
    </row>
    <row r="226" spans="1:4" x14ac:dyDescent="0.2">
      <c r="A226" t="s">
        <v>450</v>
      </c>
      <c r="B226" t="str">
        <f>INDEX(CBS_gemeenten_alfabetisch_2023!$B:$B,MATCH($A226,CBS_gemeenten_alfabetisch_2023!$A:$A,0))</f>
        <v>Pekela</v>
      </c>
      <c r="C226">
        <f>SUMIF(BAG_dakoppervlak_woningen!$B:$B,$B226,BAG_dakoppervlak_woningen!$G:$G)/10^6</f>
        <v>0.60964499999999999</v>
      </c>
      <c r="D226">
        <f>SUMIF(BAG_dakoppervlak_gebouwen!$B:$B,$B226,BAG_dakoppervlak_gebouwen!$G:$G)/10^6</f>
        <v>0.614923</v>
      </c>
    </row>
    <row r="227" spans="1:4" x14ac:dyDescent="0.2">
      <c r="A227" t="s">
        <v>452</v>
      </c>
      <c r="B227" t="str">
        <f>INDEX(CBS_gemeenten_alfabetisch_2023!$B:$B,MATCH($A227,CBS_gemeenten_alfabetisch_2023!$A:$A,0))</f>
        <v>Pijnacker-Nootdorp</v>
      </c>
      <c r="C227">
        <f>SUMIF(BAG_dakoppervlak_woningen!$B:$B,$B227,BAG_dakoppervlak_woningen!$G:$G)/10^6</f>
        <v>1.560802</v>
      </c>
      <c r="D227">
        <f>SUMIF(BAG_dakoppervlak_gebouwen!$B:$B,$B227,BAG_dakoppervlak_gebouwen!$G:$G)/10^6</f>
        <v>4.770791</v>
      </c>
    </row>
    <row r="228" spans="1:4" x14ac:dyDescent="0.2">
      <c r="A228" t="s">
        <v>454</v>
      </c>
      <c r="B228" t="str">
        <f>INDEX(CBS_gemeenten_alfabetisch_2023!$B:$B,MATCH($A228,CBS_gemeenten_alfabetisch_2023!$A:$A,0))</f>
        <v>Purmerend</v>
      </c>
      <c r="C228">
        <f>SUMIF(BAG_dakoppervlak_woningen!$B:$B,$B228,BAG_dakoppervlak_woningen!$G:$G)/10^6</f>
        <v>1.8863909999999999</v>
      </c>
      <c r="D228">
        <f>SUMIF(BAG_dakoppervlak_gebouwen!$B:$B,$B228,BAG_dakoppervlak_gebouwen!$G:$G)/10^6</f>
        <v>1.0811040000000001</v>
      </c>
    </row>
    <row r="229" spans="1:4" x14ac:dyDescent="0.2">
      <c r="A229" t="s">
        <v>456</v>
      </c>
      <c r="B229" t="str">
        <f>INDEX(CBS_gemeenten_alfabetisch_2023!$B:$B,MATCH($A229,CBS_gemeenten_alfabetisch_2023!$A:$A,0))</f>
        <v>Putten</v>
      </c>
      <c r="C229">
        <f>SUMIF(BAG_dakoppervlak_woningen!$B:$B,$B229,BAG_dakoppervlak_woningen!$G:$G)/10^6</f>
        <v>0.919937</v>
      </c>
      <c r="D229">
        <f>SUMIF(BAG_dakoppervlak_gebouwen!$B:$B,$B229,BAG_dakoppervlak_gebouwen!$G:$G)/10^6</f>
        <v>1.409268</v>
      </c>
    </row>
    <row r="230" spans="1:4" x14ac:dyDescent="0.2">
      <c r="A230" t="s">
        <v>458</v>
      </c>
      <c r="B230" t="str">
        <f>INDEX(CBS_gemeenten_alfabetisch_2023!$B:$B,MATCH($A230,CBS_gemeenten_alfabetisch_2023!$A:$A,0))</f>
        <v>Raalte</v>
      </c>
      <c r="C230">
        <f>SUMIF(BAG_dakoppervlak_woningen!$B:$B,$B230,BAG_dakoppervlak_woningen!$G:$G)/10^6</f>
        <v>1.6192569999999999</v>
      </c>
      <c r="D230">
        <f>SUMIF(BAG_dakoppervlak_gebouwen!$B:$B,$B230,BAG_dakoppervlak_gebouwen!$G:$G)/10^6</f>
        <v>2.4584250000000001</v>
      </c>
    </row>
    <row r="231" spans="1:4" x14ac:dyDescent="0.2">
      <c r="A231" t="s">
        <v>460</v>
      </c>
      <c r="B231" t="str">
        <f>INDEX(CBS_gemeenten_alfabetisch_2023!$B:$B,MATCH($A231,CBS_gemeenten_alfabetisch_2023!$A:$A,0))</f>
        <v>Reimerswaal</v>
      </c>
      <c r="C231">
        <f>SUMIF(BAG_dakoppervlak_woningen!$B:$B,$B231,BAG_dakoppervlak_woningen!$G:$G)/10^6</f>
        <v>0.78179100000000001</v>
      </c>
      <c r="D231">
        <f>SUMIF(BAG_dakoppervlak_gebouwen!$B:$B,$B231,BAG_dakoppervlak_gebouwen!$G:$G)/10^6</f>
        <v>2.1500219999999999</v>
      </c>
    </row>
    <row r="232" spans="1:4" x14ac:dyDescent="0.2">
      <c r="A232" t="s">
        <v>462</v>
      </c>
      <c r="B232" t="str">
        <f>INDEX(CBS_gemeenten_alfabetisch_2023!$B:$B,MATCH($A232,CBS_gemeenten_alfabetisch_2023!$A:$A,0))</f>
        <v>Renkum</v>
      </c>
      <c r="C232">
        <f>SUMIF(BAG_dakoppervlak_woningen!$B:$B,$B232,BAG_dakoppervlak_woningen!$G:$G)/10^6</f>
        <v>1.08338</v>
      </c>
      <c r="D232">
        <f>SUMIF(BAG_dakoppervlak_gebouwen!$B:$B,$B232,BAG_dakoppervlak_gebouwen!$G:$G)/10^6</f>
        <v>0.62957099999999999</v>
      </c>
    </row>
    <row r="233" spans="1:4" x14ac:dyDescent="0.2">
      <c r="A233" t="s">
        <v>464</v>
      </c>
      <c r="B233" t="str">
        <f>INDEX(CBS_gemeenten_alfabetisch_2023!$B:$B,MATCH($A233,CBS_gemeenten_alfabetisch_2023!$A:$A,0))</f>
        <v>Renswoude</v>
      </c>
      <c r="C233">
        <f>SUMIF(BAG_dakoppervlak_woningen!$B:$B,$B233,BAG_dakoppervlak_woningen!$G:$G)/10^6</f>
        <v>0.22173100000000001</v>
      </c>
      <c r="D233">
        <f>SUMIF(BAG_dakoppervlak_gebouwen!$B:$B,$B233,BAG_dakoppervlak_gebouwen!$G:$G)/10^6</f>
        <v>0.42998199999999998</v>
      </c>
    </row>
    <row r="234" spans="1:4" x14ac:dyDescent="0.2">
      <c r="A234" t="s">
        <v>466</v>
      </c>
      <c r="B234" t="str">
        <f>INDEX(CBS_gemeenten_alfabetisch_2023!$B:$B,MATCH($A234,CBS_gemeenten_alfabetisch_2023!$A:$A,0))</f>
        <v>Reusel-De Mierden</v>
      </c>
      <c r="C234">
        <f>SUMIF(BAG_dakoppervlak_woningen!$B:$B,$B234,BAG_dakoppervlak_woningen!$G:$G)/10^6</f>
        <v>0.652007</v>
      </c>
      <c r="D234">
        <f>SUMIF(BAG_dakoppervlak_gebouwen!$B:$B,$B234,BAG_dakoppervlak_gebouwen!$G:$G)/10^6</f>
        <v>1.282816</v>
      </c>
    </row>
    <row r="235" spans="1:4" x14ac:dyDescent="0.2">
      <c r="A235" t="s">
        <v>468</v>
      </c>
      <c r="B235" t="str">
        <f>INDEX(CBS_gemeenten_alfabetisch_2023!$B:$B,MATCH($A235,CBS_gemeenten_alfabetisch_2023!$A:$A,0))</f>
        <v>Rheden</v>
      </c>
      <c r="C235">
        <f>SUMIF(BAG_dakoppervlak_woningen!$B:$B,$B235,BAG_dakoppervlak_woningen!$G:$G)/10^6</f>
        <v>1.4389369999999999</v>
      </c>
      <c r="D235">
        <f>SUMIF(BAG_dakoppervlak_gebouwen!$B:$B,$B235,BAG_dakoppervlak_gebouwen!$G:$G)/10^6</f>
        <v>1.001296</v>
      </c>
    </row>
    <row r="236" spans="1:4" x14ac:dyDescent="0.2">
      <c r="A236" t="s">
        <v>470</v>
      </c>
      <c r="B236" t="str">
        <f>INDEX(CBS_gemeenten_alfabetisch_2023!$B:$B,MATCH($A236,CBS_gemeenten_alfabetisch_2023!$A:$A,0))</f>
        <v>Rhenen</v>
      </c>
      <c r="C236">
        <f>SUMIF(BAG_dakoppervlak_woningen!$B:$B,$B236,BAG_dakoppervlak_woningen!$G:$G)/10^6</f>
        <v>0.66506600000000005</v>
      </c>
      <c r="D236">
        <f>SUMIF(BAG_dakoppervlak_gebouwen!$B:$B,$B236,BAG_dakoppervlak_gebouwen!$G:$G)/10^6</f>
        <v>0.66798199999999996</v>
      </c>
    </row>
    <row r="237" spans="1:4" x14ac:dyDescent="0.2">
      <c r="A237" t="s">
        <v>472</v>
      </c>
      <c r="B237" t="str">
        <f>INDEX(CBS_gemeenten_alfabetisch_2023!$B:$B,MATCH($A237,CBS_gemeenten_alfabetisch_2023!$A:$A,0))</f>
        <v>Ridderkerk</v>
      </c>
      <c r="C237">
        <f>SUMIF(BAG_dakoppervlak_woningen!$B:$B,$B237,BAG_dakoppervlak_woningen!$G:$G)/10^6</f>
        <v>1.1947289999999999</v>
      </c>
      <c r="D237">
        <f>SUMIF(BAG_dakoppervlak_gebouwen!$B:$B,$B237,BAG_dakoppervlak_gebouwen!$G:$G)/10^6</f>
        <v>1.84598</v>
      </c>
    </row>
    <row r="238" spans="1:4" x14ac:dyDescent="0.2">
      <c r="A238" t="s">
        <v>474</v>
      </c>
      <c r="B238" t="str">
        <f>INDEX(CBS_gemeenten_alfabetisch_2023!$B:$B,MATCH($A238,CBS_gemeenten_alfabetisch_2023!$A:$A,0))</f>
        <v>Rijssen-Holten</v>
      </c>
      <c r="C238">
        <f>SUMIF(BAG_dakoppervlak_woningen!$B:$B,$B238,BAG_dakoppervlak_woningen!$G:$G)/10^6</f>
        <v>1.3222670000000001</v>
      </c>
      <c r="D238">
        <f>SUMIF(BAG_dakoppervlak_gebouwen!$B:$B,$B238,BAG_dakoppervlak_gebouwen!$G:$G)/10^6</f>
        <v>1.783237</v>
      </c>
    </row>
    <row r="239" spans="1:4" x14ac:dyDescent="0.2">
      <c r="A239" t="s">
        <v>476</v>
      </c>
      <c r="B239" t="str">
        <f>INDEX(CBS_gemeenten_alfabetisch_2023!$B:$B,MATCH($A239,CBS_gemeenten_alfabetisch_2023!$A:$A,0))</f>
        <v>Rijswijk</v>
      </c>
      <c r="C239">
        <f>SUMIF(BAG_dakoppervlak_woningen!$B:$B,$B239,BAG_dakoppervlak_woningen!$G:$G)/10^6</f>
        <v>1.043677</v>
      </c>
      <c r="D239">
        <f>SUMIF(BAG_dakoppervlak_gebouwen!$B:$B,$B239,BAG_dakoppervlak_gebouwen!$G:$G)/10^6</f>
        <v>1.0552859999999999</v>
      </c>
    </row>
    <row r="240" spans="1:4" x14ac:dyDescent="0.2">
      <c r="A240" t="s">
        <v>478</v>
      </c>
      <c r="B240" t="str">
        <f>INDEX(CBS_gemeenten_alfabetisch_2023!$B:$B,MATCH($A240,CBS_gemeenten_alfabetisch_2023!$A:$A,0))</f>
        <v>Roerdalen</v>
      </c>
      <c r="C240">
        <f>SUMIF(BAG_dakoppervlak_woningen!$B:$B,$B240,BAG_dakoppervlak_woningen!$G:$G)/10^6</f>
        <v>1.0576589999999999</v>
      </c>
      <c r="D240">
        <f>SUMIF(BAG_dakoppervlak_gebouwen!$B:$B,$B240,BAG_dakoppervlak_gebouwen!$G:$G)/10^6</f>
        <v>0.84684800000000005</v>
      </c>
    </row>
    <row r="241" spans="1:4" x14ac:dyDescent="0.2">
      <c r="A241" t="s">
        <v>480</v>
      </c>
      <c r="B241" t="str">
        <f>INDEX(CBS_gemeenten_alfabetisch_2023!$B:$B,MATCH($A241,CBS_gemeenten_alfabetisch_2023!$A:$A,0))</f>
        <v>Roermond</v>
      </c>
      <c r="C241">
        <f>SUMIF(BAG_dakoppervlak_woningen!$B:$B,$B241,BAG_dakoppervlak_woningen!$G:$G)/10^6</f>
        <v>2.0445720000000001</v>
      </c>
      <c r="D241">
        <f>SUMIF(BAG_dakoppervlak_gebouwen!$B:$B,$B241,BAG_dakoppervlak_gebouwen!$G:$G)/10^6</f>
        <v>2.4065099999999999</v>
      </c>
    </row>
    <row r="242" spans="1:4" x14ac:dyDescent="0.2">
      <c r="A242" t="s">
        <v>482</v>
      </c>
      <c r="B242" t="str">
        <f>INDEX(CBS_gemeenten_alfabetisch_2023!$B:$B,MATCH($A242,CBS_gemeenten_alfabetisch_2023!$A:$A,0))</f>
        <v>De Ronde Venen</v>
      </c>
      <c r="C242">
        <f>SUMIF(BAG_dakoppervlak_woningen!$B:$B,$B242,BAG_dakoppervlak_woningen!$G:$G)/10^6</f>
        <v>1.5809260000000001</v>
      </c>
      <c r="D242">
        <f>SUMIF(BAG_dakoppervlak_gebouwen!$B:$B,$B242,BAG_dakoppervlak_gebouwen!$G:$G)/10^6</f>
        <v>1.856012</v>
      </c>
    </row>
    <row r="243" spans="1:4" x14ac:dyDescent="0.2">
      <c r="A243" t="s">
        <v>484</v>
      </c>
      <c r="B243" t="str">
        <f>INDEX(CBS_gemeenten_alfabetisch_2023!$B:$B,MATCH($A243,CBS_gemeenten_alfabetisch_2023!$A:$A,0))</f>
        <v>Roosendaal</v>
      </c>
      <c r="C243">
        <f>SUMIF(BAG_dakoppervlak_woningen!$B:$B,$B243,BAG_dakoppervlak_woningen!$G:$G)/10^6</f>
        <v>2.6382500000000002</v>
      </c>
      <c r="D243">
        <f>SUMIF(BAG_dakoppervlak_gebouwen!$B:$B,$B243,BAG_dakoppervlak_gebouwen!$G:$G)/10^6</f>
        <v>3.7118120000000001</v>
      </c>
    </row>
    <row r="244" spans="1:4" x14ac:dyDescent="0.2">
      <c r="A244" t="s">
        <v>486</v>
      </c>
      <c r="B244" t="str">
        <f>INDEX(CBS_gemeenten_alfabetisch_2023!$B:$B,MATCH($A244,CBS_gemeenten_alfabetisch_2023!$A:$A,0))</f>
        <v>Rotterdam</v>
      </c>
      <c r="C244">
        <f>SUMIF(BAG_dakoppervlak_woningen!$B:$B,$B244,BAG_dakoppervlak_woningen!$G:$G)/10^6</f>
        <v>10.399875</v>
      </c>
      <c r="D244">
        <f>SUMIF(BAG_dakoppervlak_gebouwen!$B:$B,$B244,BAG_dakoppervlak_gebouwen!$G:$G)/10^6</f>
        <v>14.498324</v>
      </c>
    </row>
    <row r="245" spans="1:4" x14ac:dyDescent="0.2">
      <c r="A245" t="s">
        <v>488</v>
      </c>
      <c r="B245" t="str">
        <f>INDEX(CBS_gemeenten_alfabetisch_2023!$B:$B,MATCH($A245,CBS_gemeenten_alfabetisch_2023!$A:$A,0))</f>
        <v>Rozendaal</v>
      </c>
      <c r="C245">
        <f>SUMIF(BAG_dakoppervlak_woningen!$B:$B,$B245,BAG_dakoppervlak_woningen!$G:$G)/10^6</f>
        <v>8.0466999999999997E-2</v>
      </c>
      <c r="D245">
        <f>SUMIF(BAG_dakoppervlak_gebouwen!$B:$B,$B245,BAG_dakoppervlak_gebouwen!$G:$G)/10^6</f>
        <v>2.5104000000000001E-2</v>
      </c>
    </row>
    <row r="246" spans="1:4" x14ac:dyDescent="0.2">
      <c r="A246" t="s">
        <v>490</v>
      </c>
      <c r="B246" t="str">
        <f>INDEX(CBS_gemeenten_alfabetisch_2023!$B:$B,MATCH($A246,CBS_gemeenten_alfabetisch_2023!$A:$A,0))</f>
        <v>Rucphen</v>
      </c>
      <c r="C246">
        <f>SUMIF(BAG_dakoppervlak_woningen!$B:$B,$B246,BAG_dakoppervlak_woningen!$G:$G)/10^6</f>
        <v>1.074209</v>
      </c>
      <c r="D246">
        <f>SUMIF(BAG_dakoppervlak_gebouwen!$B:$B,$B246,BAG_dakoppervlak_gebouwen!$G:$G)/10^6</f>
        <v>1.2059139999999999</v>
      </c>
    </row>
    <row r="247" spans="1:4" x14ac:dyDescent="0.2">
      <c r="A247" t="s">
        <v>492</v>
      </c>
      <c r="B247" t="str">
        <f>INDEX(CBS_gemeenten_alfabetisch_2023!$B:$B,MATCH($A247,CBS_gemeenten_alfabetisch_2023!$A:$A,0))</f>
        <v>Schagen</v>
      </c>
      <c r="C247">
        <f>SUMIF(BAG_dakoppervlak_woningen!$B:$B,$B247,BAG_dakoppervlak_woningen!$G:$G)/10^6</f>
        <v>2.1530499999999999</v>
      </c>
      <c r="D247">
        <f>SUMIF(BAG_dakoppervlak_gebouwen!$B:$B,$B247,BAG_dakoppervlak_gebouwen!$G:$G)/10^6</f>
        <v>2.4680529999999998</v>
      </c>
    </row>
    <row r="248" spans="1:4" x14ac:dyDescent="0.2">
      <c r="A248" t="s">
        <v>494</v>
      </c>
      <c r="B248" t="str">
        <f>INDEX(CBS_gemeenten_alfabetisch_2023!$B:$B,MATCH($A248,CBS_gemeenten_alfabetisch_2023!$A:$A,0))</f>
        <v>Scherpenzeel</v>
      </c>
      <c r="C248">
        <f>SUMIF(BAG_dakoppervlak_woningen!$B:$B,$B248,BAG_dakoppervlak_woningen!$G:$G)/10^6</f>
        <v>0.31998199999999999</v>
      </c>
      <c r="D248">
        <f>SUMIF(BAG_dakoppervlak_gebouwen!$B:$B,$B248,BAG_dakoppervlak_gebouwen!$G:$G)/10^6</f>
        <v>0.45593699999999998</v>
      </c>
    </row>
    <row r="249" spans="1:4" x14ac:dyDescent="0.2">
      <c r="A249" t="s">
        <v>496</v>
      </c>
      <c r="B249" t="str">
        <f>INDEX(CBS_gemeenten_alfabetisch_2023!$B:$B,MATCH($A249,CBS_gemeenten_alfabetisch_2023!$A:$A,0))</f>
        <v>Schiedam</v>
      </c>
      <c r="C249">
        <f>SUMIF(BAG_dakoppervlak_woningen!$B:$B,$B249,BAG_dakoppervlak_woningen!$G:$G)/10^6</f>
        <v>1.4200680000000001</v>
      </c>
      <c r="D249">
        <f>SUMIF(BAG_dakoppervlak_gebouwen!$B:$B,$B249,BAG_dakoppervlak_gebouwen!$G:$G)/10^6</f>
        <v>1.438879</v>
      </c>
    </row>
    <row r="250" spans="1:4" x14ac:dyDescent="0.2">
      <c r="A250" t="s">
        <v>498</v>
      </c>
      <c r="B250" t="str">
        <f>INDEX(CBS_gemeenten_alfabetisch_2023!$B:$B,MATCH($A250,CBS_gemeenten_alfabetisch_2023!$A:$A,0))</f>
        <v>Schiermonnikoog</v>
      </c>
      <c r="C250">
        <f>SUMIF(BAG_dakoppervlak_woningen!$B:$B,$B250,BAG_dakoppervlak_woningen!$G:$G)/10^6</f>
        <v>5.2935999999999997E-2</v>
      </c>
      <c r="D250">
        <f>SUMIF(BAG_dakoppervlak_gebouwen!$B:$B,$B250,BAG_dakoppervlak_gebouwen!$G:$G)/10^6</f>
        <v>9.8764000000000005E-2</v>
      </c>
    </row>
    <row r="251" spans="1:4" x14ac:dyDescent="0.2">
      <c r="A251" t="s">
        <v>500</v>
      </c>
      <c r="B251" t="str">
        <f>INDEX(CBS_gemeenten_alfabetisch_2023!$B:$B,MATCH($A251,CBS_gemeenten_alfabetisch_2023!$A:$A,0))</f>
        <v>Schouwen-Duiveland</v>
      </c>
      <c r="C251">
        <f>SUMIF(BAG_dakoppervlak_woningen!$B:$B,$B251,BAG_dakoppervlak_woningen!$G:$G)/10^6</f>
        <v>1.614706</v>
      </c>
      <c r="D251">
        <f>SUMIF(BAG_dakoppervlak_gebouwen!$B:$B,$B251,BAG_dakoppervlak_gebouwen!$G:$G)/10^6</f>
        <v>2.663586</v>
      </c>
    </row>
    <row r="252" spans="1:4" x14ac:dyDescent="0.2">
      <c r="A252" t="s">
        <v>502</v>
      </c>
      <c r="B252" t="str">
        <f>INDEX(CBS_gemeenten_alfabetisch_2023!$B:$B,MATCH($A252,CBS_gemeenten_alfabetisch_2023!$A:$A,0))</f>
        <v>Simpelveld</v>
      </c>
      <c r="C252">
        <f>SUMIF(BAG_dakoppervlak_woningen!$B:$B,$B252,BAG_dakoppervlak_woningen!$G:$G)/10^6</f>
        <v>0.45927000000000001</v>
      </c>
      <c r="D252">
        <f>SUMIF(BAG_dakoppervlak_gebouwen!$B:$B,$B252,BAG_dakoppervlak_gebouwen!$G:$G)/10^6</f>
        <v>0.218082</v>
      </c>
    </row>
    <row r="253" spans="1:4" x14ac:dyDescent="0.2">
      <c r="A253" t="s">
        <v>504</v>
      </c>
      <c r="B253" t="str">
        <f>INDEX(CBS_gemeenten_alfabetisch_2023!$B:$B,MATCH($A253,CBS_gemeenten_alfabetisch_2023!$A:$A,0))</f>
        <v>Sint-Michielsgestel</v>
      </c>
      <c r="C253">
        <f>SUMIF(BAG_dakoppervlak_woningen!$B:$B,$B253,BAG_dakoppervlak_woningen!$G:$G)/10^6</f>
        <v>1.296729</v>
      </c>
      <c r="D253">
        <f>SUMIF(BAG_dakoppervlak_gebouwen!$B:$B,$B253,BAG_dakoppervlak_gebouwen!$G:$G)/10^6</f>
        <v>1.035199</v>
      </c>
    </row>
    <row r="254" spans="1:4" x14ac:dyDescent="0.2">
      <c r="A254" t="s">
        <v>506</v>
      </c>
      <c r="B254" t="str">
        <f>INDEX(CBS_gemeenten_alfabetisch_2023!$B:$B,MATCH($A254,CBS_gemeenten_alfabetisch_2023!$A:$A,0))</f>
        <v>Sittard-Geleen</v>
      </c>
      <c r="C254">
        <f>SUMIF(BAG_dakoppervlak_woningen!$B:$B,$B254,BAG_dakoppervlak_woningen!$G:$G)/10^6</f>
        <v>3.623828</v>
      </c>
      <c r="D254">
        <f>SUMIF(BAG_dakoppervlak_gebouwen!$B:$B,$B254,BAG_dakoppervlak_gebouwen!$G:$G)/10^6</f>
        <v>4.189781</v>
      </c>
    </row>
    <row r="255" spans="1:4" x14ac:dyDescent="0.2">
      <c r="A255" t="s">
        <v>508</v>
      </c>
      <c r="B255" t="str">
        <f>INDEX(CBS_gemeenten_alfabetisch_2023!$B:$B,MATCH($A255,CBS_gemeenten_alfabetisch_2023!$A:$A,0))</f>
        <v>Sliedrecht</v>
      </c>
      <c r="C255">
        <f>SUMIF(BAG_dakoppervlak_woningen!$B:$B,$B255,BAG_dakoppervlak_woningen!$G:$G)/10^6</f>
        <v>0.59987599999999996</v>
      </c>
      <c r="D255">
        <f>SUMIF(BAG_dakoppervlak_gebouwen!$B:$B,$B255,BAG_dakoppervlak_gebouwen!$G:$G)/10^6</f>
        <v>0.63731000000000004</v>
      </c>
    </row>
    <row r="256" spans="1:4" x14ac:dyDescent="0.2">
      <c r="A256" t="s">
        <v>510</v>
      </c>
      <c r="B256" t="str">
        <f>INDEX(CBS_gemeenten_alfabetisch_2023!$B:$B,MATCH($A256,CBS_gemeenten_alfabetisch_2023!$A:$A,0))</f>
        <v>Sluis</v>
      </c>
      <c r="C256">
        <f>SUMIF(BAG_dakoppervlak_woningen!$B:$B,$B256,BAG_dakoppervlak_woningen!$G:$G)/10^6</f>
        <v>1.4009069999999999</v>
      </c>
      <c r="D256">
        <f>SUMIF(BAG_dakoppervlak_gebouwen!$B:$B,$B256,BAG_dakoppervlak_gebouwen!$G:$G)/10^6</f>
        <v>1.875875</v>
      </c>
    </row>
    <row r="257" spans="1:4" x14ac:dyDescent="0.2">
      <c r="A257" t="s">
        <v>512</v>
      </c>
      <c r="B257" t="str">
        <f>INDEX(CBS_gemeenten_alfabetisch_2023!$B:$B,MATCH($A257,CBS_gemeenten_alfabetisch_2023!$A:$A,0))</f>
        <v>Smallingerland</v>
      </c>
      <c r="C257">
        <f>SUMIF(BAG_dakoppervlak_woningen!$B:$B,$B257,BAG_dakoppervlak_woningen!$G:$G)/10^6</f>
        <v>2.1536819999999999</v>
      </c>
      <c r="D257">
        <f>SUMIF(BAG_dakoppervlak_gebouwen!$B:$B,$B257,BAG_dakoppervlak_gebouwen!$G:$G)/10^6</f>
        <v>2.0372710000000001</v>
      </c>
    </row>
    <row r="258" spans="1:4" x14ac:dyDescent="0.2">
      <c r="A258" t="s">
        <v>514</v>
      </c>
      <c r="B258" t="str">
        <f>INDEX(CBS_gemeenten_alfabetisch_2023!$B:$B,MATCH($A258,CBS_gemeenten_alfabetisch_2023!$A:$A,0))</f>
        <v>Soest</v>
      </c>
      <c r="C258">
        <f>SUMIF(BAG_dakoppervlak_woningen!$B:$B,$B258,BAG_dakoppervlak_woningen!$G:$G)/10^6</f>
        <v>1.377756</v>
      </c>
      <c r="D258">
        <f>SUMIF(BAG_dakoppervlak_gebouwen!$B:$B,$B258,BAG_dakoppervlak_gebouwen!$G:$G)/10^6</f>
        <v>1.2763800000000001</v>
      </c>
    </row>
    <row r="259" spans="1:4" x14ac:dyDescent="0.2">
      <c r="A259" t="s">
        <v>516</v>
      </c>
      <c r="B259" t="str">
        <f>INDEX(CBS_gemeenten_alfabetisch_2023!$B:$B,MATCH($A259,CBS_gemeenten_alfabetisch_2023!$A:$A,0))</f>
        <v>Someren</v>
      </c>
      <c r="C259">
        <f>SUMIF(BAG_dakoppervlak_woningen!$B:$B,$B259,BAG_dakoppervlak_woningen!$G:$G)/10^6</f>
        <v>0.94990699999999995</v>
      </c>
      <c r="D259">
        <f>SUMIF(BAG_dakoppervlak_gebouwen!$B:$B,$B259,BAG_dakoppervlak_gebouwen!$G:$G)/10^6</f>
        <v>2.7372999999999998</v>
      </c>
    </row>
    <row r="260" spans="1:4" x14ac:dyDescent="0.2">
      <c r="A260" t="s">
        <v>518</v>
      </c>
      <c r="B260" t="str">
        <f>INDEX(CBS_gemeenten_alfabetisch_2023!$B:$B,MATCH($A260,CBS_gemeenten_alfabetisch_2023!$A:$A,0))</f>
        <v>Son en Breugel</v>
      </c>
      <c r="C260">
        <f>SUMIF(BAG_dakoppervlak_woningen!$B:$B,$B260,BAG_dakoppervlak_woningen!$G:$G)/10^6</f>
        <v>0.70759399999999995</v>
      </c>
      <c r="D260">
        <f>SUMIF(BAG_dakoppervlak_gebouwen!$B:$B,$B260,BAG_dakoppervlak_gebouwen!$G:$G)/10^6</f>
        <v>1.1014900000000001</v>
      </c>
    </row>
    <row r="261" spans="1:4" x14ac:dyDescent="0.2">
      <c r="A261" t="s">
        <v>520</v>
      </c>
      <c r="B261" t="str">
        <f>INDEX(CBS_gemeenten_alfabetisch_2023!$B:$B,MATCH($A261,CBS_gemeenten_alfabetisch_2023!$A:$A,0))</f>
        <v>Stadskanaal</v>
      </c>
      <c r="C261">
        <f>SUMIF(BAG_dakoppervlak_woningen!$B:$B,$B261,BAG_dakoppervlak_woningen!$G:$G)/10^6</f>
        <v>1.574322</v>
      </c>
      <c r="D261">
        <f>SUMIF(BAG_dakoppervlak_gebouwen!$B:$B,$B261,BAG_dakoppervlak_gebouwen!$G:$G)/10^6</f>
        <v>1.151227</v>
      </c>
    </row>
    <row r="262" spans="1:4" x14ac:dyDescent="0.2">
      <c r="A262" t="s">
        <v>522</v>
      </c>
      <c r="B262" t="str">
        <f>INDEX(CBS_gemeenten_alfabetisch_2023!$B:$B,MATCH($A262,CBS_gemeenten_alfabetisch_2023!$A:$A,0))</f>
        <v>Staphorst</v>
      </c>
      <c r="C262">
        <f>SUMIF(BAG_dakoppervlak_woningen!$B:$B,$B262,BAG_dakoppervlak_woningen!$G:$G)/10^6</f>
        <v>0.95152099999999995</v>
      </c>
      <c r="D262">
        <f>SUMIF(BAG_dakoppervlak_gebouwen!$B:$B,$B262,BAG_dakoppervlak_gebouwen!$G:$G)/10^6</f>
        <v>1.1848989999999999</v>
      </c>
    </row>
    <row r="263" spans="1:4" x14ac:dyDescent="0.2">
      <c r="A263" t="s">
        <v>524</v>
      </c>
      <c r="B263" t="str">
        <f>INDEX(CBS_gemeenten_alfabetisch_2023!$B:$B,MATCH($A263,CBS_gemeenten_alfabetisch_2023!$A:$A,0))</f>
        <v>Stede Broec</v>
      </c>
      <c r="C263">
        <f>SUMIF(BAG_dakoppervlak_woningen!$B:$B,$B263,BAG_dakoppervlak_woningen!$G:$G)/10^6</f>
        <v>0.68976700000000002</v>
      </c>
      <c r="D263">
        <f>SUMIF(BAG_dakoppervlak_gebouwen!$B:$B,$B263,BAG_dakoppervlak_gebouwen!$G:$G)/10^6</f>
        <v>0.84094199999999997</v>
      </c>
    </row>
    <row r="264" spans="1:4" x14ac:dyDescent="0.2">
      <c r="A264" t="s">
        <v>526</v>
      </c>
      <c r="B264" t="str">
        <f>INDEX(CBS_gemeenten_alfabetisch_2023!$B:$B,MATCH($A264,CBS_gemeenten_alfabetisch_2023!$A:$A,0))</f>
        <v>Steenbergen</v>
      </c>
      <c r="C264">
        <f>SUMIF(BAG_dakoppervlak_woningen!$B:$B,$B264,BAG_dakoppervlak_woningen!$G:$G)/10^6</f>
        <v>0.93236600000000003</v>
      </c>
      <c r="D264">
        <f>SUMIF(BAG_dakoppervlak_gebouwen!$B:$B,$B264,BAG_dakoppervlak_gebouwen!$G:$G)/10^6</f>
        <v>3.1712220000000002</v>
      </c>
    </row>
    <row r="265" spans="1:4" x14ac:dyDescent="0.2">
      <c r="A265" t="s">
        <v>528</v>
      </c>
      <c r="B265" t="str">
        <f>INDEX(CBS_gemeenten_alfabetisch_2023!$B:$B,MATCH($A265,CBS_gemeenten_alfabetisch_2023!$A:$A,0))</f>
        <v>Steenwijkerland</v>
      </c>
      <c r="C265">
        <f>SUMIF(BAG_dakoppervlak_woningen!$B:$B,$B265,BAG_dakoppervlak_woningen!$G:$G)/10^6</f>
        <v>2.366879</v>
      </c>
      <c r="D265">
        <f>SUMIF(BAG_dakoppervlak_gebouwen!$B:$B,$B265,BAG_dakoppervlak_gebouwen!$G:$G)/10^6</f>
        <v>2.0245829999999998</v>
      </c>
    </row>
    <row r="266" spans="1:4" x14ac:dyDescent="0.2">
      <c r="A266" t="s">
        <v>530</v>
      </c>
      <c r="B266" t="str">
        <f>INDEX(CBS_gemeenten_alfabetisch_2023!$B:$B,MATCH($A266,CBS_gemeenten_alfabetisch_2023!$A:$A,0))</f>
        <v>Stein</v>
      </c>
      <c r="C266">
        <f>SUMIF(BAG_dakoppervlak_woningen!$B:$B,$B266,BAG_dakoppervlak_woningen!$G:$G)/10^6</f>
        <v>1.0448010000000001</v>
      </c>
      <c r="D266">
        <f>SUMIF(BAG_dakoppervlak_gebouwen!$B:$B,$B266,BAG_dakoppervlak_gebouwen!$G:$G)/10^6</f>
        <v>0.57128000000000001</v>
      </c>
    </row>
    <row r="267" spans="1:4" x14ac:dyDescent="0.2">
      <c r="A267" t="s">
        <v>532</v>
      </c>
      <c r="B267" t="str">
        <f>INDEX(CBS_gemeenten_alfabetisch_2023!$B:$B,MATCH($A267,CBS_gemeenten_alfabetisch_2023!$A:$A,0))</f>
        <v>Stichtse Vecht</v>
      </c>
      <c r="C267">
        <f>SUMIF(BAG_dakoppervlak_woningen!$B:$B,$B267,BAG_dakoppervlak_woningen!$G:$G)/10^6</f>
        <v>1.9457040000000001</v>
      </c>
      <c r="D267">
        <f>SUMIF(BAG_dakoppervlak_gebouwen!$B:$B,$B267,BAG_dakoppervlak_gebouwen!$G:$G)/10^6</f>
        <v>1.5935159999999999</v>
      </c>
    </row>
    <row r="268" spans="1:4" x14ac:dyDescent="0.2">
      <c r="A268" t="s">
        <v>534</v>
      </c>
      <c r="B268" t="str">
        <f>INDEX(CBS_gemeenten_alfabetisch_2023!$B:$B,MATCH($A268,CBS_gemeenten_alfabetisch_2023!$A:$A,0))</f>
        <v>Súdwest-Fryslân</v>
      </c>
      <c r="C268">
        <f>SUMIF(BAG_dakoppervlak_woningen!$B:$B,$B268,BAG_dakoppervlak_woningen!$G:$G)/10^6</f>
        <v>4.9790369999999999</v>
      </c>
      <c r="D268">
        <f>SUMIF(BAG_dakoppervlak_gebouwen!$B:$B,$B268,BAG_dakoppervlak_gebouwen!$G:$G)/10^6</f>
        <v>0</v>
      </c>
    </row>
    <row r="269" spans="1:4" x14ac:dyDescent="0.2">
      <c r="A269" t="s">
        <v>536</v>
      </c>
      <c r="B269" t="str">
        <f>INDEX(CBS_gemeenten_alfabetisch_2023!$B:$B,MATCH($A269,CBS_gemeenten_alfabetisch_2023!$A:$A,0))</f>
        <v>Terneuzen</v>
      </c>
      <c r="C269">
        <f>SUMIF(BAG_dakoppervlak_woningen!$B:$B,$B269,BAG_dakoppervlak_woningen!$G:$G)/10^6</f>
        <v>2.0560990000000001</v>
      </c>
      <c r="D269">
        <f>SUMIF(BAG_dakoppervlak_gebouwen!$B:$B,$B269,BAG_dakoppervlak_gebouwen!$G:$G)/10^6</f>
        <v>4.3153969999999999</v>
      </c>
    </row>
    <row r="270" spans="1:4" x14ac:dyDescent="0.2">
      <c r="A270" t="s">
        <v>538</v>
      </c>
      <c r="B270" t="str">
        <f>INDEX(CBS_gemeenten_alfabetisch_2023!$B:$B,MATCH($A270,CBS_gemeenten_alfabetisch_2023!$A:$A,0))</f>
        <v>Terschelling</v>
      </c>
      <c r="C270">
        <f>SUMIF(BAG_dakoppervlak_woningen!$B:$B,$B270,BAG_dakoppervlak_woningen!$G:$G)/10^6</f>
        <v>0.23419100000000001</v>
      </c>
      <c r="D270">
        <f>SUMIF(BAG_dakoppervlak_gebouwen!$B:$B,$B270,BAG_dakoppervlak_gebouwen!$G:$G)/10^6</f>
        <v>0.26651000000000002</v>
      </c>
    </row>
    <row r="271" spans="1:4" x14ac:dyDescent="0.2">
      <c r="A271" t="s">
        <v>540</v>
      </c>
      <c r="B271" t="str">
        <f>INDEX(CBS_gemeenten_alfabetisch_2023!$B:$B,MATCH($A271,CBS_gemeenten_alfabetisch_2023!$A:$A,0))</f>
        <v>Texel</v>
      </c>
      <c r="C271">
        <f>SUMIF(BAG_dakoppervlak_woningen!$B:$B,$B271,BAG_dakoppervlak_woningen!$G:$G)/10^6</f>
        <v>0.82857099999999995</v>
      </c>
      <c r="D271">
        <f>SUMIF(BAG_dakoppervlak_gebouwen!$B:$B,$B271,BAG_dakoppervlak_gebouwen!$G:$G)/10^6</f>
        <v>0.98050700000000002</v>
      </c>
    </row>
    <row r="272" spans="1:4" x14ac:dyDescent="0.2">
      <c r="A272" t="s">
        <v>542</v>
      </c>
      <c r="B272" t="str">
        <f>INDEX(CBS_gemeenten_alfabetisch_2023!$B:$B,MATCH($A272,CBS_gemeenten_alfabetisch_2023!$A:$A,0))</f>
        <v>Teylingen</v>
      </c>
      <c r="C272">
        <f>SUMIF(BAG_dakoppervlak_woningen!$B:$B,$B272,BAG_dakoppervlak_woningen!$G:$G)/10^6</f>
        <v>1.103046</v>
      </c>
      <c r="D272">
        <f>SUMIF(BAG_dakoppervlak_gebouwen!$B:$B,$B272,BAG_dakoppervlak_gebouwen!$G:$G)/10^6</f>
        <v>1.239984</v>
      </c>
    </row>
    <row r="273" spans="1:4" x14ac:dyDescent="0.2">
      <c r="A273" t="s">
        <v>544</v>
      </c>
      <c r="B273" t="str">
        <f>INDEX(CBS_gemeenten_alfabetisch_2023!$B:$B,MATCH($A273,CBS_gemeenten_alfabetisch_2023!$A:$A,0))</f>
        <v>Tholen</v>
      </c>
      <c r="C273">
        <f>SUMIF(BAG_dakoppervlak_woningen!$B:$B,$B273,BAG_dakoppervlak_woningen!$G:$G)/10^6</f>
        <v>0.96734500000000001</v>
      </c>
      <c r="D273">
        <f>SUMIF(BAG_dakoppervlak_gebouwen!$B:$B,$B273,BAG_dakoppervlak_gebouwen!$G:$G)/10^6</f>
        <v>1.7973220000000001</v>
      </c>
    </row>
    <row r="274" spans="1:4" x14ac:dyDescent="0.2">
      <c r="A274" t="s">
        <v>546</v>
      </c>
      <c r="B274" t="str">
        <f>INDEX(CBS_gemeenten_alfabetisch_2023!$B:$B,MATCH($A274,CBS_gemeenten_alfabetisch_2023!$A:$A,0))</f>
        <v>Tiel</v>
      </c>
      <c r="C274">
        <f>SUMIF(BAG_dakoppervlak_woningen!$B:$B,$B274,BAG_dakoppervlak_woningen!$G:$G)/10^6</f>
        <v>1.1840729999999999</v>
      </c>
      <c r="D274">
        <f>SUMIF(BAG_dakoppervlak_gebouwen!$B:$B,$B274,BAG_dakoppervlak_gebouwen!$G:$G)/10^6</f>
        <v>1.8905209999999999</v>
      </c>
    </row>
    <row r="275" spans="1:4" x14ac:dyDescent="0.2">
      <c r="A275" t="s">
        <v>548</v>
      </c>
      <c r="B275" t="str">
        <f>INDEX(CBS_gemeenten_alfabetisch_2023!$B:$B,MATCH($A275,CBS_gemeenten_alfabetisch_2023!$A:$A,0))</f>
        <v>Tilburg</v>
      </c>
      <c r="C275">
        <f>SUMIF(BAG_dakoppervlak_woningen!$B:$B,$B275,BAG_dakoppervlak_woningen!$G:$G)/10^6</f>
        <v>5.9712800000000001</v>
      </c>
      <c r="D275">
        <f>SUMIF(BAG_dakoppervlak_gebouwen!$B:$B,$B275,BAG_dakoppervlak_gebouwen!$G:$G)/10^6</f>
        <v>7.3209439999999999</v>
      </c>
    </row>
    <row r="276" spans="1:4" x14ac:dyDescent="0.2">
      <c r="A276" t="s">
        <v>550</v>
      </c>
      <c r="B276" t="str">
        <f>INDEX(CBS_gemeenten_alfabetisch_2023!$B:$B,MATCH($A276,CBS_gemeenten_alfabetisch_2023!$A:$A,0))</f>
        <v>Tubbergen</v>
      </c>
      <c r="C276">
        <f>SUMIF(BAG_dakoppervlak_woningen!$B:$B,$B276,BAG_dakoppervlak_woningen!$G:$G)/10^6</f>
        <v>1.080392</v>
      </c>
      <c r="D276">
        <f>SUMIF(BAG_dakoppervlak_gebouwen!$B:$B,$B276,BAG_dakoppervlak_gebouwen!$G:$G)/10^6</f>
        <v>1.966906</v>
      </c>
    </row>
    <row r="277" spans="1:4" x14ac:dyDescent="0.2">
      <c r="A277" t="s">
        <v>552</v>
      </c>
      <c r="B277" t="str">
        <f>INDEX(CBS_gemeenten_alfabetisch_2023!$B:$B,MATCH($A277,CBS_gemeenten_alfabetisch_2023!$A:$A,0))</f>
        <v>Twenterand</v>
      </c>
      <c r="C277">
        <f>SUMIF(BAG_dakoppervlak_woningen!$B:$B,$B277,BAG_dakoppervlak_woningen!$G:$G)/10^6</f>
        <v>1.450223</v>
      </c>
      <c r="D277">
        <f>SUMIF(BAG_dakoppervlak_gebouwen!$B:$B,$B277,BAG_dakoppervlak_gebouwen!$G:$G)/10^6</f>
        <v>1.7095199999999999</v>
      </c>
    </row>
    <row r="278" spans="1:4" x14ac:dyDescent="0.2">
      <c r="A278" t="s">
        <v>554</v>
      </c>
      <c r="B278" t="str">
        <f>INDEX(CBS_gemeenten_alfabetisch_2023!$B:$B,MATCH($A278,CBS_gemeenten_alfabetisch_2023!$A:$A,0))</f>
        <v>Tynaarlo</v>
      </c>
      <c r="C278">
        <f>SUMIF(BAG_dakoppervlak_woningen!$B:$B,$B278,BAG_dakoppervlak_woningen!$G:$G)/10^6</f>
        <v>1.637751</v>
      </c>
      <c r="D278">
        <f>SUMIF(BAG_dakoppervlak_gebouwen!$B:$B,$B278,BAG_dakoppervlak_gebouwen!$G:$G)/10^6</f>
        <v>1.310932</v>
      </c>
    </row>
    <row r="279" spans="1:4" x14ac:dyDescent="0.2">
      <c r="A279" t="s">
        <v>556</v>
      </c>
      <c r="B279" t="str">
        <f>INDEX(CBS_gemeenten_alfabetisch_2023!$B:$B,MATCH($A279,CBS_gemeenten_alfabetisch_2023!$A:$A,0))</f>
        <v>Tytsjerksteradiel</v>
      </c>
      <c r="C279">
        <f>SUMIF(BAG_dakoppervlak_woningen!$B:$B,$B279,BAG_dakoppervlak_woningen!$G:$G)/10^6</f>
        <v>1.620512</v>
      </c>
      <c r="D279">
        <f>SUMIF(BAG_dakoppervlak_gebouwen!$B:$B,$B279,BAG_dakoppervlak_gebouwen!$G:$G)/10^6</f>
        <v>1.292527</v>
      </c>
    </row>
    <row r="280" spans="1:4" x14ac:dyDescent="0.2">
      <c r="A280" t="s">
        <v>558</v>
      </c>
      <c r="B280" t="str">
        <f>INDEX(CBS_gemeenten_alfabetisch_2023!$B:$B,MATCH($A280,CBS_gemeenten_alfabetisch_2023!$A:$A,0))</f>
        <v>Uitgeest</v>
      </c>
      <c r="C280">
        <f>SUMIF(BAG_dakoppervlak_woningen!$B:$B,$B280,BAG_dakoppervlak_woningen!$G:$G)/10^6</f>
        <v>0.399173</v>
      </c>
      <c r="D280">
        <f>SUMIF(BAG_dakoppervlak_gebouwen!$B:$B,$B280,BAG_dakoppervlak_gebouwen!$G:$G)/10^6</f>
        <v>0.32641500000000001</v>
      </c>
    </row>
    <row r="281" spans="1:4" x14ac:dyDescent="0.2">
      <c r="A281" t="s">
        <v>560</v>
      </c>
      <c r="B281" t="str">
        <f>INDEX(CBS_gemeenten_alfabetisch_2023!$B:$B,MATCH($A281,CBS_gemeenten_alfabetisch_2023!$A:$A,0))</f>
        <v>Uithoorn</v>
      </c>
      <c r="C281">
        <f>SUMIF(BAG_dakoppervlak_woningen!$B:$B,$B281,BAG_dakoppervlak_woningen!$G:$G)/10^6</f>
        <v>0.79212199999999999</v>
      </c>
      <c r="D281">
        <f>SUMIF(BAG_dakoppervlak_gebouwen!$B:$B,$B281,BAG_dakoppervlak_gebouwen!$G:$G)/10^6</f>
        <v>3.1386069999999999</v>
      </c>
    </row>
    <row r="282" spans="1:4" x14ac:dyDescent="0.2">
      <c r="A282" t="s">
        <v>562</v>
      </c>
      <c r="B282" t="str">
        <f>INDEX(CBS_gemeenten_alfabetisch_2023!$B:$B,MATCH($A282,CBS_gemeenten_alfabetisch_2023!$A:$A,0))</f>
        <v>Urk</v>
      </c>
      <c r="C282">
        <f>SUMIF(BAG_dakoppervlak_woningen!$B:$B,$B282,BAG_dakoppervlak_woningen!$G:$G)/10^6</f>
        <v>0.49177199999999999</v>
      </c>
      <c r="D282">
        <f>SUMIF(BAG_dakoppervlak_gebouwen!$B:$B,$B282,BAG_dakoppervlak_gebouwen!$G:$G)/10^6</f>
        <v>0.52635799999999999</v>
      </c>
    </row>
    <row r="283" spans="1:4" x14ac:dyDescent="0.2">
      <c r="A283" t="s">
        <v>564</v>
      </c>
      <c r="B283" t="str">
        <f>INDEX(CBS_gemeenten_alfabetisch_2023!$B:$B,MATCH($A283,CBS_gemeenten_alfabetisch_2023!$A:$A,0))</f>
        <v>Utrecht</v>
      </c>
      <c r="C283">
        <f>SUMIF(BAG_dakoppervlak_woningen!$B:$B,$B283,BAG_dakoppervlak_woningen!$G:$G)/10^6</f>
        <v>7.072794</v>
      </c>
      <c r="D283">
        <f>SUMIF(BAG_dakoppervlak_gebouwen!$B:$B,$B283,BAG_dakoppervlak_gebouwen!$G:$G)/10^6</f>
        <v>6.1889760000000003</v>
      </c>
    </row>
    <row r="284" spans="1:4" x14ac:dyDescent="0.2">
      <c r="A284" t="s">
        <v>566</v>
      </c>
      <c r="B284" t="str">
        <f>INDEX(CBS_gemeenten_alfabetisch_2023!$B:$B,MATCH($A284,CBS_gemeenten_alfabetisch_2023!$A:$A,0))</f>
        <v>Utrechtse Heuvelrug</v>
      </c>
      <c r="C284">
        <f>SUMIF(BAG_dakoppervlak_woningen!$B:$B,$B284,BAG_dakoppervlak_woningen!$G:$G)/10^6</f>
        <v>1.848371</v>
      </c>
      <c r="D284">
        <f>SUMIF(BAG_dakoppervlak_gebouwen!$B:$B,$B284,BAG_dakoppervlak_gebouwen!$G:$G)/10^6</f>
        <v>1.4339299999999999</v>
      </c>
    </row>
    <row r="285" spans="1:4" x14ac:dyDescent="0.2">
      <c r="A285" t="s">
        <v>568</v>
      </c>
      <c r="B285" t="str">
        <f>INDEX(CBS_gemeenten_alfabetisch_2023!$B:$B,MATCH($A285,CBS_gemeenten_alfabetisch_2023!$A:$A,0))</f>
        <v>Vaals</v>
      </c>
      <c r="C285">
        <f>SUMIF(BAG_dakoppervlak_woningen!$B:$B,$B285,BAG_dakoppervlak_woningen!$G:$G)/10^6</f>
        <v>0.38198700000000002</v>
      </c>
      <c r="D285">
        <f>SUMIF(BAG_dakoppervlak_gebouwen!$B:$B,$B285,BAG_dakoppervlak_gebouwen!$G:$G)/10^6</f>
        <v>0.23124900000000001</v>
      </c>
    </row>
    <row r="286" spans="1:4" x14ac:dyDescent="0.2">
      <c r="A286" t="s">
        <v>570</v>
      </c>
      <c r="B286" t="str">
        <f>INDEX(CBS_gemeenten_alfabetisch_2023!$B:$B,MATCH($A286,CBS_gemeenten_alfabetisch_2023!$A:$A,0))</f>
        <v>Valkenburg aan de Geul</v>
      </c>
      <c r="C286">
        <f>SUMIF(BAG_dakoppervlak_woningen!$B:$B,$B286,BAG_dakoppervlak_woningen!$G:$G)/10^6</f>
        <v>0.72957700000000003</v>
      </c>
      <c r="D286">
        <f>SUMIF(BAG_dakoppervlak_gebouwen!$B:$B,$B286,BAG_dakoppervlak_gebouwen!$G:$G)/10^6</f>
        <v>0.46880100000000002</v>
      </c>
    </row>
    <row r="287" spans="1:4" x14ac:dyDescent="0.2">
      <c r="A287" t="s">
        <v>572</v>
      </c>
      <c r="B287" t="str">
        <f>INDEX(CBS_gemeenten_alfabetisch_2023!$B:$B,MATCH($A287,CBS_gemeenten_alfabetisch_2023!$A:$A,0))</f>
        <v>Valkenswaard</v>
      </c>
      <c r="C287">
        <f>SUMIF(BAG_dakoppervlak_woningen!$B:$B,$B287,BAG_dakoppervlak_woningen!$G:$G)/10^6</f>
        <v>1.199049</v>
      </c>
      <c r="D287">
        <f>SUMIF(BAG_dakoppervlak_gebouwen!$B:$B,$B287,BAG_dakoppervlak_gebouwen!$G:$G)/10^6</f>
        <v>1.2110639999999999</v>
      </c>
    </row>
    <row r="288" spans="1:4" x14ac:dyDescent="0.2">
      <c r="A288" t="s">
        <v>574</v>
      </c>
      <c r="B288" t="str">
        <f>INDEX(CBS_gemeenten_alfabetisch_2023!$B:$B,MATCH($A288,CBS_gemeenten_alfabetisch_2023!$A:$A,0))</f>
        <v>Veendam</v>
      </c>
      <c r="C288">
        <f>SUMIF(BAG_dakoppervlak_woningen!$B:$B,$B288,BAG_dakoppervlak_woningen!$G:$G)/10^6</f>
        <v>1.1890160000000001</v>
      </c>
      <c r="D288">
        <f>SUMIF(BAG_dakoppervlak_gebouwen!$B:$B,$B288,BAG_dakoppervlak_gebouwen!$G:$G)/10^6</f>
        <v>1.3232889999999999</v>
      </c>
    </row>
    <row r="289" spans="1:4" x14ac:dyDescent="0.2">
      <c r="A289" t="s">
        <v>576</v>
      </c>
      <c r="B289" t="str">
        <f>INDEX(CBS_gemeenten_alfabetisch_2023!$B:$B,MATCH($A289,CBS_gemeenten_alfabetisch_2023!$A:$A,0))</f>
        <v>Veenendaal</v>
      </c>
      <c r="C289">
        <f>SUMIF(BAG_dakoppervlak_woningen!$B:$B,$B289,BAG_dakoppervlak_woningen!$G:$G)/10^6</f>
        <v>1.5907739999999999</v>
      </c>
      <c r="D289">
        <f>SUMIF(BAG_dakoppervlak_gebouwen!$B:$B,$B289,BAG_dakoppervlak_gebouwen!$G:$G)/10^6</f>
        <v>1.941281</v>
      </c>
    </row>
    <row r="290" spans="1:4" x14ac:dyDescent="0.2">
      <c r="A290" t="s">
        <v>578</v>
      </c>
      <c r="B290" t="str">
        <f>INDEX(CBS_gemeenten_alfabetisch_2023!$B:$B,MATCH($A290,CBS_gemeenten_alfabetisch_2023!$A:$A,0))</f>
        <v>Veere</v>
      </c>
      <c r="C290">
        <f>SUMIF(BAG_dakoppervlak_woningen!$B:$B,$B290,BAG_dakoppervlak_woningen!$G:$G)/10^6</f>
        <v>1.088757</v>
      </c>
      <c r="D290">
        <f>SUMIF(BAG_dakoppervlak_gebouwen!$B:$B,$B290,BAG_dakoppervlak_gebouwen!$G:$G)/10^6</f>
        <v>1.386566</v>
      </c>
    </row>
    <row r="291" spans="1:4" x14ac:dyDescent="0.2">
      <c r="A291" t="s">
        <v>580</v>
      </c>
      <c r="B291" t="str">
        <f>INDEX(CBS_gemeenten_alfabetisch_2023!$B:$B,MATCH($A291,CBS_gemeenten_alfabetisch_2023!$A:$A,0))</f>
        <v>Veldhoven</v>
      </c>
      <c r="C291">
        <f>SUMIF(BAG_dakoppervlak_woningen!$B:$B,$B291,BAG_dakoppervlak_woningen!$G:$G)/10^6</f>
        <v>1.641216</v>
      </c>
      <c r="D291">
        <f>SUMIF(BAG_dakoppervlak_gebouwen!$B:$B,$B291,BAG_dakoppervlak_gebouwen!$G:$G)/10^6</f>
        <v>1.436029</v>
      </c>
    </row>
    <row r="292" spans="1:4" x14ac:dyDescent="0.2">
      <c r="A292" t="s">
        <v>582</v>
      </c>
      <c r="B292" t="str">
        <f>INDEX(CBS_gemeenten_alfabetisch_2023!$B:$B,MATCH($A292,CBS_gemeenten_alfabetisch_2023!$A:$A,0))</f>
        <v>Velsen</v>
      </c>
      <c r="C292">
        <f>SUMIF(BAG_dakoppervlak_woningen!$B:$B,$B292,BAG_dakoppervlak_woningen!$G:$G)/10^6</f>
        <v>1.6144259999999999</v>
      </c>
      <c r="D292">
        <f>SUMIF(BAG_dakoppervlak_gebouwen!$B:$B,$B292,BAG_dakoppervlak_gebouwen!$G:$G)/10^6</f>
        <v>2.375947</v>
      </c>
    </row>
    <row r="293" spans="1:4" x14ac:dyDescent="0.2">
      <c r="A293" t="s">
        <v>584</v>
      </c>
      <c r="B293" t="str">
        <f>INDEX(CBS_gemeenten_alfabetisch_2023!$B:$B,MATCH($A293,CBS_gemeenten_alfabetisch_2023!$A:$A,0))</f>
        <v>Venlo</v>
      </c>
      <c r="C293">
        <f>SUMIF(BAG_dakoppervlak_woningen!$B:$B,$B293,BAG_dakoppervlak_woningen!$G:$G)/10^6</f>
        <v>3.791846</v>
      </c>
      <c r="D293">
        <f>SUMIF(BAG_dakoppervlak_gebouwen!$B:$B,$B293,BAG_dakoppervlak_gebouwen!$G:$G)/10^6</f>
        <v>8.7950719999999993</v>
      </c>
    </row>
    <row r="294" spans="1:4" x14ac:dyDescent="0.2">
      <c r="A294" t="s">
        <v>586</v>
      </c>
      <c r="B294" t="str">
        <f>INDEX(CBS_gemeenten_alfabetisch_2023!$B:$B,MATCH($A294,CBS_gemeenten_alfabetisch_2023!$A:$A,0))</f>
        <v>Venray</v>
      </c>
      <c r="C294">
        <f>SUMIF(BAG_dakoppervlak_woningen!$B:$B,$B294,BAG_dakoppervlak_woningen!$G:$G)/10^6</f>
        <v>2.130674</v>
      </c>
      <c r="D294">
        <f>SUMIF(BAG_dakoppervlak_gebouwen!$B:$B,$B294,BAG_dakoppervlak_gebouwen!$G:$G)/10^6</f>
        <v>4.033741</v>
      </c>
    </row>
    <row r="295" spans="1:4" x14ac:dyDescent="0.2">
      <c r="A295" t="s">
        <v>588</v>
      </c>
      <c r="B295" t="str">
        <f>INDEX(CBS_gemeenten_alfabetisch_2023!$B:$B,MATCH($A295,CBS_gemeenten_alfabetisch_2023!$A:$A,0))</f>
        <v>Vijfheerenlanden</v>
      </c>
      <c r="C295">
        <f>SUMIF(BAG_dakoppervlak_woningen!$B:$B,$B295,BAG_dakoppervlak_woningen!$G:$G)/10^6</f>
        <v>1.766645</v>
      </c>
      <c r="D295">
        <f>SUMIF(BAG_dakoppervlak_gebouwen!$B:$B,$B295,BAG_dakoppervlak_gebouwen!$G:$G)/10^6</f>
        <v>2.361685</v>
      </c>
    </row>
    <row r="296" spans="1:4" x14ac:dyDescent="0.2">
      <c r="A296" t="s">
        <v>590</v>
      </c>
      <c r="B296" t="str">
        <f>INDEX(CBS_gemeenten_alfabetisch_2023!$B:$B,MATCH($A296,CBS_gemeenten_alfabetisch_2023!$A:$A,0))</f>
        <v>Vlaardingen</v>
      </c>
      <c r="C296">
        <f>SUMIF(BAG_dakoppervlak_woningen!$B:$B,$B296,BAG_dakoppervlak_woningen!$G:$G)/10^6</f>
        <v>1.3184739999999999</v>
      </c>
      <c r="D296">
        <f>SUMIF(BAG_dakoppervlak_gebouwen!$B:$B,$B296,BAG_dakoppervlak_gebouwen!$G:$G)/10^6</f>
        <v>1.1690849999999999</v>
      </c>
    </row>
    <row r="297" spans="1:4" x14ac:dyDescent="0.2">
      <c r="A297" t="s">
        <v>592</v>
      </c>
      <c r="B297" t="str">
        <f>INDEX(CBS_gemeenten_alfabetisch_2023!$B:$B,MATCH($A297,CBS_gemeenten_alfabetisch_2023!$A:$A,0))</f>
        <v>Vlieland</v>
      </c>
      <c r="C297">
        <f>SUMIF(BAG_dakoppervlak_woningen!$B:$B,$B297,BAG_dakoppervlak_woningen!$G:$G)/10^6</f>
        <v>4.9091000000000003E-2</v>
      </c>
      <c r="D297">
        <f>SUMIF(BAG_dakoppervlak_gebouwen!$B:$B,$B297,BAG_dakoppervlak_gebouwen!$G:$G)/10^6</f>
        <v>7.4446999999999999E-2</v>
      </c>
    </row>
    <row r="298" spans="1:4" x14ac:dyDescent="0.2">
      <c r="A298" t="s">
        <v>594</v>
      </c>
      <c r="B298" t="str">
        <f>INDEX(CBS_gemeenten_alfabetisch_2023!$B:$B,MATCH($A298,CBS_gemeenten_alfabetisch_2023!$A:$A,0))</f>
        <v>Vlissingen</v>
      </c>
      <c r="C298">
        <f>SUMIF(BAG_dakoppervlak_woningen!$B:$B,$B298,BAG_dakoppervlak_woningen!$G:$G)/10^6</f>
        <v>1.289061</v>
      </c>
      <c r="D298">
        <f>SUMIF(BAG_dakoppervlak_gebouwen!$B:$B,$B298,BAG_dakoppervlak_gebouwen!$G:$G)/10^6</f>
        <v>1.7556799999999999</v>
      </c>
    </row>
    <row r="299" spans="1:4" x14ac:dyDescent="0.2">
      <c r="A299" t="s">
        <v>596</v>
      </c>
      <c r="B299" t="str">
        <f>INDEX(CBS_gemeenten_alfabetisch_2023!$B:$B,MATCH($A299,CBS_gemeenten_alfabetisch_2023!$A:$A,0))</f>
        <v>Voerendaal</v>
      </c>
      <c r="C299">
        <f>SUMIF(BAG_dakoppervlak_woningen!$B:$B,$B299,BAG_dakoppervlak_woningen!$G:$G)/10^6</f>
        <v>0.59196000000000004</v>
      </c>
      <c r="D299">
        <f>SUMIF(BAG_dakoppervlak_gebouwen!$B:$B,$B299,BAG_dakoppervlak_gebouwen!$G:$G)/10^6</f>
        <v>0.31104199999999999</v>
      </c>
    </row>
    <row r="300" spans="1:4" x14ac:dyDescent="0.2">
      <c r="A300" t="s">
        <v>598</v>
      </c>
      <c r="B300" t="str">
        <f>INDEX(CBS_gemeenten_alfabetisch_2023!$B:$B,MATCH($A300,CBS_gemeenten_alfabetisch_2023!$A:$A,0))</f>
        <v>Voorne aan Zee</v>
      </c>
      <c r="C300">
        <f>SUMIF(BAG_dakoppervlak_woningen!$B:$B,$B300,BAG_dakoppervlak_woningen!$G:$G)/10^6</f>
        <v>2.4173830000000001</v>
      </c>
      <c r="D300">
        <f>SUMIF(BAG_dakoppervlak_gebouwen!$B:$B,$B300,BAG_dakoppervlak_gebouwen!$G:$G)/10^6</f>
        <v>3.9868640000000002</v>
      </c>
    </row>
    <row r="301" spans="1:4" x14ac:dyDescent="0.2">
      <c r="A301" t="s">
        <v>600</v>
      </c>
      <c r="B301" t="str">
        <f>INDEX(CBS_gemeenten_alfabetisch_2023!$B:$B,MATCH($A301,CBS_gemeenten_alfabetisch_2023!$A:$A,0))</f>
        <v>Voorschoten</v>
      </c>
      <c r="C301">
        <f>SUMIF(BAG_dakoppervlak_woningen!$B:$B,$B301,BAG_dakoppervlak_woningen!$G:$G)/10^6</f>
        <v>0.67993899999999996</v>
      </c>
      <c r="D301">
        <f>SUMIF(BAG_dakoppervlak_gebouwen!$B:$B,$B301,BAG_dakoppervlak_gebouwen!$G:$G)/10^6</f>
        <v>0.41492200000000001</v>
      </c>
    </row>
    <row r="302" spans="1:4" x14ac:dyDescent="0.2">
      <c r="A302" t="s">
        <v>602</v>
      </c>
      <c r="B302" t="str">
        <f>INDEX(CBS_gemeenten_alfabetisch_2023!$B:$B,MATCH($A302,CBS_gemeenten_alfabetisch_2023!$A:$A,0))</f>
        <v>Voorst</v>
      </c>
      <c r="C302">
        <f>SUMIF(BAG_dakoppervlak_woningen!$B:$B,$B302,BAG_dakoppervlak_woningen!$G:$G)/10^6</f>
        <v>1.091251</v>
      </c>
      <c r="D302">
        <f>SUMIF(BAG_dakoppervlak_gebouwen!$B:$B,$B302,BAG_dakoppervlak_gebouwen!$G:$G)/10^6</f>
        <v>1.8438380000000001</v>
      </c>
    </row>
    <row r="303" spans="1:4" x14ac:dyDescent="0.2">
      <c r="A303" t="s">
        <v>604</v>
      </c>
      <c r="B303" t="str">
        <f>INDEX(CBS_gemeenten_alfabetisch_2023!$B:$B,MATCH($A303,CBS_gemeenten_alfabetisch_2023!$A:$A,0))</f>
        <v>Vught</v>
      </c>
      <c r="C303">
        <f>SUMIF(BAG_dakoppervlak_woningen!$B:$B,$B303,BAG_dakoppervlak_woningen!$G:$G)/10^6</f>
        <v>1.1669750000000001</v>
      </c>
      <c r="D303">
        <f>SUMIF(BAG_dakoppervlak_gebouwen!$B:$B,$B303,BAG_dakoppervlak_gebouwen!$G:$G)/10^6</f>
        <v>0.93491000000000002</v>
      </c>
    </row>
    <row r="304" spans="1:4" x14ac:dyDescent="0.2">
      <c r="A304" t="s">
        <v>606</v>
      </c>
      <c r="B304" t="str">
        <f>INDEX(CBS_gemeenten_alfabetisch_2023!$B:$B,MATCH($A304,CBS_gemeenten_alfabetisch_2023!$A:$A,0))</f>
        <v>Waadhoeke</v>
      </c>
      <c r="C304">
        <f>SUMIF(BAG_dakoppervlak_woningen!$B:$B,$B304,BAG_dakoppervlak_woningen!$G:$G)/10^6</f>
        <v>2.5446179999999998</v>
      </c>
      <c r="D304">
        <f>SUMIF(BAG_dakoppervlak_gebouwen!$B:$B,$B304,BAG_dakoppervlak_gebouwen!$G:$G)/10^6</f>
        <v>3.4614039999999999</v>
      </c>
    </row>
    <row r="305" spans="1:4" x14ac:dyDescent="0.2">
      <c r="A305" t="s">
        <v>608</v>
      </c>
      <c r="B305" t="str">
        <f>INDEX(CBS_gemeenten_alfabetisch_2023!$B:$B,MATCH($A305,CBS_gemeenten_alfabetisch_2023!$A:$A,0))</f>
        <v>Waalre</v>
      </c>
      <c r="C305">
        <f>SUMIF(BAG_dakoppervlak_woningen!$B:$B,$B305,BAG_dakoppervlak_woningen!$G:$G)/10^6</f>
        <v>0.72894800000000004</v>
      </c>
      <c r="D305">
        <f>SUMIF(BAG_dakoppervlak_gebouwen!$B:$B,$B305,BAG_dakoppervlak_gebouwen!$G:$G)/10^6</f>
        <v>0.339814</v>
      </c>
    </row>
    <row r="306" spans="1:4" x14ac:dyDescent="0.2">
      <c r="A306" t="s">
        <v>610</v>
      </c>
      <c r="B306" t="str">
        <f>INDEX(CBS_gemeenten_alfabetisch_2023!$B:$B,MATCH($A306,CBS_gemeenten_alfabetisch_2023!$A:$A,0))</f>
        <v>Waalwijk</v>
      </c>
      <c r="C306">
        <f>SUMIF(BAG_dakoppervlak_woningen!$B:$B,$B306,BAG_dakoppervlak_woningen!$G:$G)/10^6</f>
        <v>1.694501</v>
      </c>
      <c r="D306">
        <f>SUMIF(BAG_dakoppervlak_gebouwen!$B:$B,$B306,BAG_dakoppervlak_gebouwen!$G:$G)/10^6</f>
        <v>2.884881</v>
      </c>
    </row>
    <row r="307" spans="1:4" x14ac:dyDescent="0.2">
      <c r="A307" t="s">
        <v>612</v>
      </c>
      <c r="B307" t="str">
        <f>INDEX(CBS_gemeenten_alfabetisch_2023!$B:$B,MATCH($A307,CBS_gemeenten_alfabetisch_2023!$A:$A,0))</f>
        <v>Waddinxveen</v>
      </c>
      <c r="C307">
        <f>SUMIF(BAG_dakoppervlak_woningen!$B:$B,$B307,BAG_dakoppervlak_woningen!$G:$G)/10^6</f>
        <v>0.79395800000000005</v>
      </c>
      <c r="D307">
        <f>SUMIF(BAG_dakoppervlak_gebouwen!$B:$B,$B307,BAG_dakoppervlak_gebouwen!$G:$G)/10^6</f>
        <v>2.1685249999999998</v>
      </c>
    </row>
    <row r="308" spans="1:4" x14ac:dyDescent="0.2">
      <c r="A308" t="s">
        <v>614</v>
      </c>
      <c r="B308" t="str">
        <f>INDEX(CBS_gemeenten_alfabetisch_2023!$B:$B,MATCH($A308,CBS_gemeenten_alfabetisch_2023!$A:$A,0))</f>
        <v>Wageningen</v>
      </c>
      <c r="C308">
        <f>SUMIF(BAG_dakoppervlak_woningen!$B:$B,$B308,BAG_dakoppervlak_woningen!$G:$G)/10^6</f>
        <v>0.92722800000000005</v>
      </c>
      <c r="D308">
        <f>SUMIF(BAG_dakoppervlak_gebouwen!$B:$B,$B308,BAG_dakoppervlak_gebouwen!$G:$G)/10^6</f>
        <v>0.75899700000000003</v>
      </c>
    </row>
    <row r="309" spans="1:4" x14ac:dyDescent="0.2">
      <c r="A309" t="s">
        <v>616</v>
      </c>
      <c r="B309" t="str">
        <f>INDEX(CBS_gemeenten_alfabetisch_2023!$B:$B,MATCH($A309,CBS_gemeenten_alfabetisch_2023!$A:$A,0))</f>
        <v>Wassenaar</v>
      </c>
      <c r="C309">
        <f>SUMIF(BAG_dakoppervlak_woningen!$B:$B,$B309,BAG_dakoppervlak_woningen!$G:$G)/10^6</f>
        <v>0.97083799999999998</v>
      </c>
      <c r="D309">
        <f>SUMIF(BAG_dakoppervlak_gebouwen!$B:$B,$B309,BAG_dakoppervlak_gebouwen!$G:$G)/10^6</f>
        <v>0.55386299999999999</v>
      </c>
    </row>
    <row r="310" spans="1:4" x14ac:dyDescent="0.2">
      <c r="A310" t="s">
        <v>618</v>
      </c>
      <c r="B310" t="str">
        <f>INDEX(CBS_gemeenten_alfabetisch_2023!$B:$B,MATCH($A310,CBS_gemeenten_alfabetisch_2023!$A:$A,0))</f>
        <v>Waterland</v>
      </c>
      <c r="C310">
        <f>SUMIF(BAG_dakoppervlak_woningen!$B:$B,$B310,BAG_dakoppervlak_woningen!$G:$G)/10^6</f>
        <v>0.55266599999999999</v>
      </c>
      <c r="D310">
        <f>SUMIF(BAG_dakoppervlak_gebouwen!$B:$B,$B310,BAG_dakoppervlak_gebouwen!$G:$G)/10^6</f>
        <v>0.45048199999999999</v>
      </c>
    </row>
    <row r="311" spans="1:4" x14ac:dyDescent="0.2">
      <c r="A311" t="s">
        <v>620</v>
      </c>
      <c r="B311" t="str">
        <f>INDEX(CBS_gemeenten_alfabetisch_2023!$B:$B,MATCH($A311,CBS_gemeenten_alfabetisch_2023!$A:$A,0))</f>
        <v>Weert</v>
      </c>
      <c r="C311">
        <f>SUMIF(BAG_dakoppervlak_woningen!$B:$B,$B311,BAG_dakoppervlak_woningen!$G:$G)/10^6</f>
        <v>2.0857049999999999</v>
      </c>
      <c r="D311">
        <f>SUMIF(BAG_dakoppervlak_gebouwen!$B:$B,$B311,BAG_dakoppervlak_gebouwen!$G:$G)/10^6</f>
        <v>2.7843070000000001</v>
      </c>
    </row>
    <row r="312" spans="1:4" x14ac:dyDescent="0.2">
      <c r="A312" t="s">
        <v>622</v>
      </c>
      <c r="B312" t="str">
        <f>INDEX(CBS_gemeenten_alfabetisch_2023!$B:$B,MATCH($A312,CBS_gemeenten_alfabetisch_2023!$A:$A,0))</f>
        <v>West Betuwe</v>
      </c>
      <c r="C312">
        <f>SUMIF(BAG_dakoppervlak_woningen!$B:$B,$B312,BAG_dakoppervlak_woningen!$G:$G)/10^6</f>
        <v>2.4342999999999999</v>
      </c>
      <c r="D312">
        <f>SUMIF(BAG_dakoppervlak_gebouwen!$B:$B,$B312,BAG_dakoppervlak_gebouwen!$G:$G)/10^6</f>
        <v>3.8803169999999998</v>
      </c>
    </row>
    <row r="313" spans="1:4" x14ac:dyDescent="0.2">
      <c r="A313" t="s">
        <v>624</v>
      </c>
      <c r="B313" t="str">
        <f>INDEX(CBS_gemeenten_alfabetisch_2023!$B:$B,MATCH($A313,CBS_gemeenten_alfabetisch_2023!$A:$A,0))</f>
        <v>West Maas en Waal</v>
      </c>
      <c r="C313">
        <f>SUMIF(BAG_dakoppervlak_woningen!$B:$B,$B313,BAG_dakoppervlak_woningen!$G:$G)/10^6</f>
        <v>0.99981799999999998</v>
      </c>
      <c r="D313">
        <f>SUMIF(BAG_dakoppervlak_gebouwen!$B:$B,$B313,BAG_dakoppervlak_gebouwen!$G:$G)/10^6</f>
        <v>1.278184</v>
      </c>
    </row>
    <row r="314" spans="1:4" x14ac:dyDescent="0.2">
      <c r="A314" t="s">
        <v>626</v>
      </c>
      <c r="B314" t="str">
        <f>INDEX(CBS_gemeenten_alfabetisch_2023!$B:$B,MATCH($A314,CBS_gemeenten_alfabetisch_2023!$A:$A,0))</f>
        <v>Westerkwartier</v>
      </c>
      <c r="C314">
        <f>SUMIF(BAG_dakoppervlak_woningen!$B:$B,$B314,BAG_dakoppervlak_woningen!$G:$G)/10^6</f>
        <v>3.449119</v>
      </c>
      <c r="D314">
        <f>SUMIF(BAG_dakoppervlak_gebouwen!$B:$B,$B314,BAG_dakoppervlak_gebouwen!$G:$G)/10^6</f>
        <v>3.2337180000000001</v>
      </c>
    </row>
    <row r="315" spans="1:4" x14ac:dyDescent="0.2">
      <c r="A315" t="s">
        <v>628</v>
      </c>
      <c r="B315" t="str">
        <f>INDEX(CBS_gemeenten_alfabetisch_2023!$B:$B,MATCH($A315,CBS_gemeenten_alfabetisch_2023!$A:$A,0))</f>
        <v>Westerveld</v>
      </c>
      <c r="C315">
        <f>SUMIF(BAG_dakoppervlak_woningen!$B:$B,$B315,BAG_dakoppervlak_woningen!$G:$G)/10^6</f>
        <v>1.2549049999999999</v>
      </c>
      <c r="D315">
        <f>SUMIF(BAG_dakoppervlak_gebouwen!$B:$B,$B315,BAG_dakoppervlak_gebouwen!$G:$G)/10^6</f>
        <v>1.0907389999999999</v>
      </c>
    </row>
    <row r="316" spans="1:4" x14ac:dyDescent="0.2">
      <c r="A316" t="s">
        <v>630</v>
      </c>
      <c r="B316" t="str">
        <f>INDEX(CBS_gemeenten_alfabetisch_2023!$B:$B,MATCH($A316,CBS_gemeenten_alfabetisch_2023!$A:$A,0))</f>
        <v>Westervoort</v>
      </c>
      <c r="C316">
        <f>SUMIF(BAG_dakoppervlak_woningen!$B:$B,$B316,BAG_dakoppervlak_woningen!$G:$G)/10^6</f>
        <v>0.46257399999999999</v>
      </c>
      <c r="D316">
        <f>SUMIF(BAG_dakoppervlak_gebouwen!$B:$B,$B316,BAG_dakoppervlak_gebouwen!$G:$G)/10^6</f>
        <v>0.17957999999999999</v>
      </c>
    </row>
    <row r="317" spans="1:4" x14ac:dyDescent="0.2">
      <c r="A317" t="s">
        <v>632</v>
      </c>
      <c r="B317" t="str">
        <f>INDEX(CBS_gemeenten_alfabetisch_2023!$B:$B,MATCH($A317,CBS_gemeenten_alfabetisch_2023!$A:$A,0))</f>
        <v>Westerwolde</v>
      </c>
      <c r="C317">
        <f>SUMIF(BAG_dakoppervlak_woningen!$B:$B,$B317,BAG_dakoppervlak_woningen!$G:$G)/10^6</f>
        <v>1.67964</v>
      </c>
      <c r="D317">
        <f>SUMIF(BAG_dakoppervlak_gebouwen!$B:$B,$B317,BAG_dakoppervlak_gebouwen!$G:$G)/10^6</f>
        <v>1.625845</v>
      </c>
    </row>
    <row r="318" spans="1:4" x14ac:dyDescent="0.2">
      <c r="A318" t="s">
        <v>634</v>
      </c>
      <c r="B318" t="str">
        <f>INDEX(CBS_gemeenten_alfabetisch_2023!$B:$B,MATCH($A318,CBS_gemeenten_alfabetisch_2023!$A:$A,0))</f>
        <v>Westland</v>
      </c>
      <c r="C318">
        <f>SUMIF(BAG_dakoppervlak_woningen!$B:$B,$B318,BAG_dakoppervlak_woningen!$G:$G)/10^6</f>
        <v>3.321218</v>
      </c>
      <c r="D318">
        <f>SUMIF(BAG_dakoppervlak_gebouwen!$B:$B,$B318,BAG_dakoppervlak_gebouwen!$G:$G)/10^6</f>
        <v>33.151767</v>
      </c>
    </row>
    <row r="319" spans="1:4" x14ac:dyDescent="0.2">
      <c r="A319" t="s">
        <v>636</v>
      </c>
      <c r="B319" t="str">
        <f>INDEX(CBS_gemeenten_alfabetisch_2023!$B:$B,MATCH($A319,CBS_gemeenten_alfabetisch_2023!$A:$A,0))</f>
        <v>Weststellingwerf</v>
      </c>
      <c r="C319">
        <f>SUMIF(BAG_dakoppervlak_woningen!$B:$B,$B319,BAG_dakoppervlak_woningen!$G:$G)/10^6</f>
        <v>1.508618</v>
      </c>
      <c r="D319">
        <f>SUMIF(BAG_dakoppervlak_gebouwen!$B:$B,$B319,BAG_dakoppervlak_gebouwen!$G:$G)/10^6</f>
        <v>1.6324730000000001</v>
      </c>
    </row>
    <row r="320" spans="1:4" x14ac:dyDescent="0.2">
      <c r="A320" t="s">
        <v>638</v>
      </c>
      <c r="B320" t="str">
        <f>INDEX(CBS_gemeenten_alfabetisch_2023!$B:$B,MATCH($A320,CBS_gemeenten_alfabetisch_2023!$A:$A,0))</f>
        <v>Wierden</v>
      </c>
      <c r="C320">
        <f>SUMIF(BAG_dakoppervlak_woningen!$B:$B,$B320,BAG_dakoppervlak_woningen!$G:$G)/10^6</f>
        <v>1.0017929999999999</v>
      </c>
      <c r="D320">
        <f>SUMIF(BAG_dakoppervlak_gebouwen!$B:$B,$B320,BAG_dakoppervlak_gebouwen!$G:$G)/10^6</f>
        <v>1.2976380000000001</v>
      </c>
    </row>
    <row r="321" spans="1:4" x14ac:dyDescent="0.2">
      <c r="A321" t="s">
        <v>640</v>
      </c>
      <c r="B321" t="str">
        <f>INDEX(CBS_gemeenten_alfabetisch_2023!$B:$B,MATCH($A321,CBS_gemeenten_alfabetisch_2023!$A:$A,0))</f>
        <v>Wijchen</v>
      </c>
      <c r="C321">
        <f>SUMIF(BAG_dakoppervlak_woningen!$B:$B,$B321,BAG_dakoppervlak_woningen!$G:$G)/10^6</f>
        <v>1.4847649999999999</v>
      </c>
      <c r="D321">
        <f>SUMIF(BAG_dakoppervlak_gebouwen!$B:$B,$B321,BAG_dakoppervlak_gebouwen!$G:$G)/10^6</f>
        <v>1.817977</v>
      </c>
    </row>
    <row r="322" spans="1:4" x14ac:dyDescent="0.2">
      <c r="A322" t="s">
        <v>642</v>
      </c>
      <c r="B322" t="str">
        <f>INDEX(CBS_gemeenten_alfabetisch_2023!$B:$B,MATCH($A322,CBS_gemeenten_alfabetisch_2023!$A:$A,0))</f>
        <v>Wijdemeren</v>
      </c>
      <c r="C322">
        <f>SUMIF(BAG_dakoppervlak_woningen!$B:$B,$B322,BAG_dakoppervlak_woningen!$G:$G)/10^6</f>
        <v>0.86648599999999998</v>
      </c>
      <c r="D322">
        <f>SUMIF(BAG_dakoppervlak_gebouwen!$B:$B,$B322,BAG_dakoppervlak_gebouwen!$G:$G)/10^6</f>
        <v>0.79422499999999996</v>
      </c>
    </row>
    <row r="323" spans="1:4" x14ac:dyDescent="0.2">
      <c r="A323" t="s">
        <v>644</v>
      </c>
      <c r="B323" t="str">
        <f>INDEX(CBS_gemeenten_alfabetisch_2023!$B:$B,MATCH($A323,CBS_gemeenten_alfabetisch_2023!$A:$A,0))</f>
        <v>Wijk bij Duurstede</v>
      </c>
      <c r="C323">
        <f>SUMIF(BAG_dakoppervlak_woningen!$B:$B,$B323,BAG_dakoppervlak_woningen!$G:$G)/10^6</f>
        <v>0.80430199999999996</v>
      </c>
      <c r="D323">
        <f>SUMIF(BAG_dakoppervlak_gebouwen!$B:$B,$B323,BAG_dakoppervlak_gebouwen!$G:$G)/10^6</f>
        <v>0.608178</v>
      </c>
    </row>
    <row r="324" spans="1:4" x14ac:dyDescent="0.2">
      <c r="A324" t="s">
        <v>646</v>
      </c>
      <c r="B324" t="str">
        <f>INDEX(CBS_gemeenten_alfabetisch_2023!$B:$B,MATCH($A324,CBS_gemeenten_alfabetisch_2023!$A:$A,0))</f>
        <v>Winterswijk</v>
      </c>
      <c r="C324">
        <f>SUMIF(BAG_dakoppervlak_woningen!$B:$B,$B324,BAG_dakoppervlak_woningen!$G:$G)/10^6</f>
        <v>1.2953790000000001</v>
      </c>
      <c r="D324">
        <f>SUMIF(BAG_dakoppervlak_gebouwen!$B:$B,$B324,BAG_dakoppervlak_gebouwen!$G:$G)/10^6</f>
        <v>1.717978</v>
      </c>
    </row>
    <row r="325" spans="1:4" x14ac:dyDescent="0.2">
      <c r="A325" t="s">
        <v>648</v>
      </c>
      <c r="B325" t="str">
        <f>INDEX(CBS_gemeenten_alfabetisch_2023!$B:$B,MATCH($A325,CBS_gemeenten_alfabetisch_2023!$A:$A,0))</f>
        <v>Woensdrecht</v>
      </c>
      <c r="C325">
        <f>SUMIF(BAG_dakoppervlak_woningen!$B:$B,$B325,BAG_dakoppervlak_woningen!$G:$G)/10^6</f>
        <v>0.90238099999999999</v>
      </c>
      <c r="D325">
        <f>SUMIF(BAG_dakoppervlak_gebouwen!$B:$B,$B325,BAG_dakoppervlak_gebouwen!$G:$G)/10^6</f>
        <v>1.253933</v>
      </c>
    </row>
    <row r="326" spans="1:4" x14ac:dyDescent="0.2">
      <c r="A326" t="s">
        <v>650</v>
      </c>
      <c r="B326" t="str">
        <f>INDEX(CBS_gemeenten_alfabetisch_2023!$B:$B,MATCH($A326,CBS_gemeenten_alfabetisch_2023!$A:$A,0))</f>
        <v>Woerden</v>
      </c>
      <c r="C326">
        <f>SUMIF(BAG_dakoppervlak_woningen!$B:$B,$B326,BAG_dakoppervlak_woningen!$G:$G)/10^6</f>
        <v>1.5610889999999999</v>
      </c>
      <c r="D326">
        <f>SUMIF(BAG_dakoppervlak_gebouwen!$B:$B,$B326,BAG_dakoppervlak_gebouwen!$G:$G)/10^6</f>
        <v>2.3848229999999999</v>
      </c>
    </row>
    <row r="327" spans="1:4" x14ac:dyDescent="0.2">
      <c r="A327" t="s">
        <v>652</v>
      </c>
      <c r="B327" t="str">
        <f>INDEX(CBS_gemeenten_alfabetisch_2023!$B:$B,MATCH($A327,CBS_gemeenten_alfabetisch_2023!$A:$A,0))</f>
        <v>De Wolden</v>
      </c>
      <c r="C327">
        <f>SUMIF(BAG_dakoppervlak_woningen!$B:$B,$B327,BAG_dakoppervlak_woningen!$G:$G)/10^6</f>
        <v>1.5392779999999999</v>
      </c>
      <c r="D327">
        <f>SUMIF(BAG_dakoppervlak_gebouwen!$B:$B,$B327,BAG_dakoppervlak_gebouwen!$G:$G)/10^6</f>
        <v>1.4220120000000001</v>
      </c>
    </row>
    <row r="328" spans="1:4" x14ac:dyDescent="0.2">
      <c r="A328" t="s">
        <v>654</v>
      </c>
      <c r="B328" t="str">
        <f>INDEX(CBS_gemeenten_alfabetisch_2023!$B:$B,MATCH($A328,CBS_gemeenten_alfabetisch_2023!$A:$A,0))</f>
        <v>Wormerland</v>
      </c>
      <c r="C328">
        <f>SUMIF(BAG_dakoppervlak_woningen!$B:$B,$B328,BAG_dakoppervlak_woningen!$G:$G)/10^6</f>
        <v>0.48272700000000002</v>
      </c>
      <c r="D328">
        <f>SUMIF(BAG_dakoppervlak_gebouwen!$B:$B,$B328,BAG_dakoppervlak_gebouwen!$G:$G)/10^6</f>
        <v>0.47325499999999998</v>
      </c>
    </row>
    <row r="329" spans="1:4" x14ac:dyDescent="0.2">
      <c r="A329" t="s">
        <v>656</v>
      </c>
      <c r="B329" t="str">
        <f>INDEX(CBS_gemeenten_alfabetisch_2023!$B:$B,MATCH($A329,CBS_gemeenten_alfabetisch_2023!$A:$A,0))</f>
        <v>Woudenberg</v>
      </c>
      <c r="C329">
        <f>SUMIF(BAG_dakoppervlak_woningen!$B:$B,$B329,BAG_dakoppervlak_woningen!$G:$G)/10^6</f>
        <v>0.44202799999999998</v>
      </c>
      <c r="D329">
        <f>SUMIF(BAG_dakoppervlak_gebouwen!$B:$B,$B329,BAG_dakoppervlak_gebouwen!$G:$G)/10^6</f>
        <v>0.59681700000000004</v>
      </c>
    </row>
    <row r="330" spans="1:4" x14ac:dyDescent="0.2">
      <c r="A330" t="s">
        <v>658</v>
      </c>
      <c r="B330" t="str">
        <f>INDEX(CBS_gemeenten_alfabetisch_2023!$B:$B,MATCH($A330,CBS_gemeenten_alfabetisch_2023!$A:$A,0))</f>
        <v>Zaanstad</v>
      </c>
      <c r="C330">
        <f>SUMIF(BAG_dakoppervlak_woningen!$B:$B,$B330,BAG_dakoppervlak_woningen!$G:$G)/10^6</f>
        <v>3.4989309999999998</v>
      </c>
      <c r="D330">
        <f>SUMIF(BAG_dakoppervlak_gebouwen!$B:$B,$B330,BAG_dakoppervlak_gebouwen!$G:$G)/10^6</f>
        <v>3.6957659999999999</v>
      </c>
    </row>
    <row r="331" spans="1:4" x14ac:dyDescent="0.2">
      <c r="A331" t="s">
        <v>660</v>
      </c>
      <c r="B331" t="str">
        <f>INDEX(CBS_gemeenten_alfabetisch_2023!$B:$B,MATCH($A331,CBS_gemeenten_alfabetisch_2023!$A:$A,0))</f>
        <v>Zaltbommel</v>
      </c>
      <c r="C331">
        <f>SUMIF(BAG_dakoppervlak_woningen!$B:$B,$B331,BAG_dakoppervlak_woningen!$G:$G)/10^6</f>
        <v>1.736221</v>
      </c>
      <c r="D331">
        <f>SUMIF(BAG_dakoppervlak_gebouwen!$B:$B,$B331,BAG_dakoppervlak_gebouwen!$G:$G)/10^6</f>
        <v>4.5430840000000003</v>
      </c>
    </row>
    <row r="332" spans="1:4" x14ac:dyDescent="0.2">
      <c r="A332" t="s">
        <v>662</v>
      </c>
      <c r="B332" t="str">
        <f>INDEX(CBS_gemeenten_alfabetisch_2023!$B:$B,MATCH($A332,CBS_gemeenten_alfabetisch_2023!$A:$A,0))</f>
        <v>Zandvoort</v>
      </c>
      <c r="C332">
        <f>SUMIF(BAG_dakoppervlak_woningen!$B:$B,$B332,BAG_dakoppervlak_woningen!$G:$G)/10^6</f>
        <v>0.52454999999999996</v>
      </c>
      <c r="D332">
        <f>SUMIF(BAG_dakoppervlak_gebouwen!$B:$B,$B332,BAG_dakoppervlak_gebouwen!$G:$G)/10^6</f>
        <v>0.215479</v>
      </c>
    </row>
    <row r="333" spans="1:4" x14ac:dyDescent="0.2">
      <c r="A333" t="s">
        <v>664</v>
      </c>
      <c r="B333" t="str">
        <f>INDEX(CBS_gemeenten_alfabetisch_2023!$B:$B,MATCH($A333,CBS_gemeenten_alfabetisch_2023!$A:$A,0))</f>
        <v>Zeewolde</v>
      </c>
      <c r="C333">
        <f>SUMIF(BAG_dakoppervlak_woningen!$B:$B,$B333,BAG_dakoppervlak_woningen!$G:$G)/10^6</f>
        <v>0.66305400000000003</v>
      </c>
      <c r="D333">
        <f>SUMIF(BAG_dakoppervlak_gebouwen!$B:$B,$B333,BAG_dakoppervlak_gebouwen!$G:$G)/10^6</f>
        <v>1.802805</v>
      </c>
    </row>
    <row r="334" spans="1:4" x14ac:dyDescent="0.2">
      <c r="A334" t="s">
        <v>666</v>
      </c>
      <c r="B334" t="str">
        <f>INDEX(CBS_gemeenten_alfabetisch_2023!$B:$B,MATCH($A334,CBS_gemeenten_alfabetisch_2023!$A:$A,0))</f>
        <v>Zeist</v>
      </c>
      <c r="C334">
        <f>SUMIF(BAG_dakoppervlak_woningen!$B:$B,$B334,BAG_dakoppervlak_woningen!$G:$G)/10^6</f>
        <v>1.821482</v>
      </c>
      <c r="D334">
        <f>SUMIF(BAG_dakoppervlak_gebouwen!$B:$B,$B334,BAG_dakoppervlak_gebouwen!$G:$G)/10^6</f>
        <v>1.2407459999999999</v>
      </c>
    </row>
    <row r="335" spans="1:4" x14ac:dyDescent="0.2">
      <c r="A335" t="s">
        <v>668</v>
      </c>
      <c r="B335" t="str">
        <f>INDEX(CBS_gemeenten_alfabetisch_2023!$B:$B,MATCH($A335,CBS_gemeenten_alfabetisch_2023!$A:$A,0))</f>
        <v>Zevenaar</v>
      </c>
      <c r="C335">
        <f>SUMIF(BAG_dakoppervlak_woningen!$B:$B,$B335,BAG_dakoppervlak_woningen!$G:$G)/10^6</f>
        <v>1.6461129999999999</v>
      </c>
      <c r="D335">
        <f>SUMIF(BAG_dakoppervlak_gebouwen!$B:$B,$B335,BAG_dakoppervlak_gebouwen!$G:$G)/10^6</f>
        <v>1.7651809999999999</v>
      </c>
    </row>
    <row r="336" spans="1:4" x14ac:dyDescent="0.2">
      <c r="A336" t="s">
        <v>670</v>
      </c>
      <c r="B336" t="str">
        <f>INDEX(CBS_gemeenten_alfabetisch_2023!$B:$B,MATCH($A336,CBS_gemeenten_alfabetisch_2023!$A:$A,0))</f>
        <v>Zoetermeer</v>
      </c>
      <c r="C336">
        <f>SUMIF(BAG_dakoppervlak_woningen!$B:$B,$B336,BAG_dakoppervlak_woningen!$G:$G)/10^6</f>
        <v>2.6505030000000001</v>
      </c>
      <c r="D336">
        <f>SUMIF(BAG_dakoppervlak_gebouwen!$B:$B,$B336,BAG_dakoppervlak_gebouwen!$G:$G)/10^6</f>
        <v>1.8827339999999999</v>
      </c>
    </row>
    <row r="337" spans="1:4" x14ac:dyDescent="0.2">
      <c r="A337" t="s">
        <v>672</v>
      </c>
      <c r="B337" t="str">
        <f>INDEX(CBS_gemeenten_alfabetisch_2023!$B:$B,MATCH($A337,CBS_gemeenten_alfabetisch_2023!$A:$A,0))</f>
        <v>Zoeterwoude</v>
      </c>
      <c r="C337">
        <f>SUMIF(BAG_dakoppervlak_woningen!$B:$B,$B337,BAG_dakoppervlak_woningen!$G:$G)/10^6</f>
        <v>0.29071900000000001</v>
      </c>
      <c r="D337">
        <f>SUMIF(BAG_dakoppervlak_gebouwen!$B:$B,$B337,BAG_dakoppervlak_gebouwen!$G:$G)/10^6</f>
        <v>0.64319400000000004</v>
      </c>
    </row>
    <row r="338" spans="1:4" x14ac:dyDescent="0.2">
      <c r="A338" t="s">
        <v>674</v>
      </c>
      <c r="B338" t="str">
        <f>INDEX(CBS_gemeenten_alfabetisch_2023!$B:$B,MATCH($A338,CBS_gemeenten_alfabetisch_2023!$A:$A,0))</f>
        <v>Zuidplas</v>
      </c>
      <c r="C338">
        <f>SUMIF(BAG_dakoppervlak_woningen!$B:$B,$B338,BAG_dakoppervlak_woningen!$G:$G)/10^6</f>
        <v>1.2469600000000001</v>
      </c>
      <c r="D338">
        <f>SUMIF(BAG_dakoppervlak_gebouwen!$B:$B,$B338,BAG_dakoppervlak_gebouwen!$G:$G)/10^6</f>
        <v>4.649076</v>
      </c>
    </row>
    <row r="339" spans="1:4" x14ac:dyDescent="0.2">
      <c r="A339" t="s">
        <v>676</v>
      </c>
      <c r="B339" t="str">
        <f>INDEX(CBS_gemeenten_alfabetisch_2023!$B:$B,MATCH($A339,CBS_gemeenten_alfabetisch_2023!$A:$A,0))</f>
        <v>Zundert</v>
      </c>
      <c r="C339">
        <f>SUMIF(BAG_dakoppervlak_woningen!$B:$B,$B339,BAG_dakoppervlak_woningen!$G:$G)/10^6</f>
        <v>1.169241</v>
      </c>
      <c r="D339">
        <f>SUMIF(BAG_dakoppervlak_gebouwen!$B:$B,$B339,BAG_dakoppervlak_gebouwen!$G:$G)/10^6</f>
        <v>2.3160319999999999</v>
      </c>
    </row>
    <row r="340" spans="1:4" x14ac:dyDescent="0.2">
      <c r="A340" t="s">
        <v>678</v>
      </c>
      <c r="B340" t="str">
        <f>INDEX(CBS_gemeenten_alfabetisch_2023!$B:$B,MATCH($A340,CBS_gemeenten_alfabetisch_2023!$A:$A,0))</f>
        <v>Zutphen</v>
      </c>
      <c r="C340">
        <f>SUMIF(BAG_dakoppervlak_woningen!$B:$B,$B340,BAG_dakoppervlak_woningen!$G:$G)/10^6</f>
        <v>1.3790420000000001</v>
      </c>
      <c r="D340">
        <f>SUMIF(BAG_dakoppervlak_gebouwen!$B:$B,$B340,BAG_dakoppervlak_gebouwen!$G:$G)/10^6</f>
        <v>1.431718</v>
      </c>
    </row>
    <row r="341" spans="1:4" x14ac:dyDescent="0.2">
      <c r="A341" t="s">
        <v>680</v>
      </c>
      <c r="B341" t="str">
        <f>INDEX(CBS_gemeenten_alfabetisch_2023!$B:$B,MATCH($A341,CBS_gemeenten_alfabetisch_2023!$A:$A,0))</f>
        <v>Zwartewaterland</v>
      </c>
      <c r="C341">
        <f>SUMIF(BAG_dakoppervlak_woningen!$B:$B,$B341,BAG_dakoppervlak_woningen!$G:$G)/10^6</f>
        <v>0.84108799999999995</v>
      </c>
      <c r="D341">
        <f>SUMIF(BAG_dakoppervlak_gebouwen!$B:$B,$B341,BAG_dakoppervlak_gebouwen!$G:$G)/10^6</f>
        <v>1.500194</v>
      </c>
    </row>
    <row r="342" spans="1:4" x14ac:dyDescent="0.2">
      <c r="A342" t="s">
        <v>682</v>
      </c>
      <c r="B342" t="str">
        <f>INDEX(CBS_gemeenten_alfabetisch_2023!$B:$B,MATCH($A342,CBS_gemeenten_alfabetisch_2023!$A:$A,0))</f>
        <v>Zwijndrecht</v>
      </c>
      <c r="C342">
        <f>SUMIF(BAG_dakoppervlak_woningen!$B:$B,$B342,BAG_dakoppervlak_woningen!$G:$G)/10^6</f>
        <v>1.04609</v>
      </c>
      <c r="D342">
        <f>SUMIF(BAG_dakoppervlak_gebouwen!$B:$B,$B342,BAG_dakoppervlak_gebouwen!$G:$G)/10^6</f>
        <v>1.3739030000000001</v>
      </c>
    </row>
    <row r="343" spans="1:4" x14ac:dyDescent="0.2">
      <c r="A343" t="s">
        <v>684</v>
      </c>
      <c r="B343" t="str">
        <f>INDEX(CBS_gemeenten_alfabetisch_2023!$B:$B,MATCH($A343,CBS_gemeenten_alfabetisch_2023!$A:$A,0))</f>
        <v>Zwolle</v>
      </c>
      <c r="C343">
        <f>SUMIF(BAG_dakoppervlak_woningen!$B:$B,$B343,BAG_dakoppervlak_woningen!$G:$G)/10^6</f>
        <v>3.4078819999999999</v>
      </c>
      <c r="D343">
        <f>SUMIF(BAG_dakoppervlak_gebouwen!$B:$B,$B343,BAG_dakoppervlak_gebouwen!$G:$G)/10^6</f>
        <v>3.4738980000000002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BD37-CD9F-2741-BD70-8B1F8617BE15}">
  <dimension ref="A1:G354"/>
  <sheetViews>
    <sheetView workbookViewId="0">
      <selection activeCell="B157" sqref="B157"/>
    </sheetView>
  </sheetViews>
  <sheetFormatPr baseColWidth="10" defaultRowHeight="16" x14ac:dyDescent="0.2"/>
  <cols>
    <col min="1" max="1" width="20" customWidth="1"/>
    <col min="2" max="2" width="21.83203125" bestFit="1" customWidth="1"/>
    <col min="3" max="3" width="13.6640625" bestFit="1" customWidth="1"/>
  </cols>
  <sheetData>
    <row r="1" spans="1:7" x14ac:dyDescent="0.2">
      <c r="A1" s="4" t="s">
        <v>687</v>
      </c>
      <c r="B1" s="4" t="s">
        <v>688</v>
      </c>
      <c r="C1" s="4" t="s">
        <v>689</v>
      </c>
      <c r="D1" s="4" t="s">
        <v>690</v>
      </c>
      <c r="E1" s="4" t="s">
        <v>691</v>
      </c>
      <c r="F1" s="4" t="s">
        <v>692</v>
      </c>
      <c r="G1" s="4" t="s">
        <v>693</v>
      </c>
    </row>
    <row r="2" spans="1:7" x14ac:dyDescent="0.2">
      <c r="A2" s="4"/>
      <c r="B2" t="s">
        <v>694</v>
      </c>
      <c r="C2" t="s">
        <v>695</v>
      </c>
      <c r="D2" s="5">
        <v>392358906</v>
      </c>
      <c r="E2" s="5">
        <v>155219511</v>
      </c>
      <c r="F2" s="5">
        <v>8962633</v>
      </c>
      <c r="G2" s="5">
        <v>556541051</v>
      </c>
    </row>
    <row r="3" spans="1:7" x14ac:dyDescent="0.2">
      <c r="A3">
        <v>14</v>
      </c>
      <c r="B3" t="s">
        <v>211</v>
      </c>
      <c r="C3" t="s">
        <v>695</v>
      </c>
      <c r="D3" s="5">
        <v>3220762</v>
      </c>
      <c r="E3" s="5">
        <v>2531769</v>
      </c>
      <c r="F3" s="5">
        <v>161576</v>
      </c>
      <c r="G3" s="5">
        <v>5914107</v>
      </c>
    </row>
    <row r="4" spans="1:7" x14ac:dyDescent="0.2">
      <c r="A4">
        <v>34</v>
      </c>
      <c r="B4" t="s">
        <v>19</v>
      </c>
      <c r="C4" t="s">
        <v>695</v>
      </c>
      <c r="D4" s="5">
        <v>2529755</v>
      </c>
      <c r="E4" s="5">
        <v>2332920</v>
      </c>
      <c r="F4" s="5">
        <v>194086</v>
      </c>
      <c r="G4" s="5">
        <v>5056762</v>
      </c>
    </row>
    <row r="5" spans="1:7" x14ac:dyDescent="0.2">
      <c r="A5">
        <v>37</v>
      </c>
      <c r="B5" t="s">
        <v>521</v>
      </c>
      <c r="C5" t="s">
        <v>695</v>
      </c>
      <c r="D5" s="5">
        <v>1242774</v>
      </c>
      <c r="E5" s="5">
        <v>307563</v>
      </c>
      <c r="F5" s="5">
        <v>23986</v>
      </c>
      <c r="G5" s="5">
        <v>1574322</v>
      </c>
    </row>
    <row r="6" spans="1:7" x14ac:dyDescent="0.2">
      <c r="A6">
        <v>47</v>
      </c>
      <c r="B6" t="s">
        <v>575</v>
      </c>
      <c r="C6" t="s">
        <v>695</v>
      </c>
      <c r="D6" s="5">
        <v>925117</v>
      </c>
      <c r="E6" s="5">
        <v>248579</v>
      </c>
      <c r="F6" s="5">
        <v>15320</v>
      </c>
      <c r="G6" s="5">
        <v>1189016</v>
      </c>
    </row>
    <row r="7" spans="1:7" x14ac:dyDescent="0.2">
      <c r="A7">
        <v>50</v>
      </c>
      <c r="B7" t="s">
        <v>665</v>
      </c>
      <c r="C7" t="s">
        <v>695</v>
      </c>
      <c r="D7" s="5">
        <v>452919</v>
      </c>
      <c r="E7" s="5">
        <v>185515</v>
      </c>
      <c r="F7" s="5">
        <v>24619</v>
      </c>
      <c r="G7" s="5">
        <v>663054</v>
      </c>
    </row>
    <row r="8" spans="1:7" x14ac:dyDescent="0.2">
      <c r="A8">
        <v>59</v>
      </c>
      <c r="B8" t="s">
        <v>9</v>
      </c>
      <c r="C8" t="s">
        <v>695</v>
      </c>
      <c r="D8" s="5">
        <v>1025581</v>
      </c>
      <c r="E8" s="5">
        <v>249824</v>
      </c>
      <c r="F8" s="5">
        <v>13873</v>
      </c>
      <c r="G8" s="5">
        <v>1289278</v>
      </c>
    </row>
    <row r="9" spans="1:7" x14ac:dyDescent="0.2">
      <c r="A9">
        <v>60</v>
      </c>
      <c r="B9" t="s">
        <v>27</v>
      </c>
      <c r="C9" t="s">
        <v>695</v>
      </c>
      <c r="D9" s="5">
        <v>185731</v>
      </c>
      <c r="E9" s="5">
        <v>17242</v>
      </c>
      <c r="F9" s="5">
        <v>4365</v>
      </c>
      <c r="G9" s="5">
        <v>207338</v>
      </c>
    </row>
    <row r="10" spans="1:7" x14ac:dyDescent="0.2">
      <c r="A10">
        <v>72</v>
      </c>
      <c r="B10" t="s">
        <v>229</v>
      </c>
      <c r="C10" t="s">
        <v>695</v>
      </c>
      <c r="D10" s="5">
        <v>474250</v>
      </c>
      <c r="E10" s="5">
        <v>101517</v>
      </c>
      <c r="F10" s="5">
        <v>15598</v>
      </c>
      <c r="G10" s="5">
        <v>591365</v>
      </c>
    </row>
    <row r="11" spans="1:7" x14ac:dyDescent="0.2">
      <c r="A11">
        <v>74</v>
      </c>
      <c r="B11" t="s">
        <v>239</v>
      </c>
      <c r="C11" t="s">
        <v>695</v>
      </c>
      <c r="D11" s="5">
        <v>1625945</v>
      </c>
      <c r="E11" s="5">
        <v>628103</v>
      </c>
      <c r="F11" s="5">
        <v>36223</v>
      </c>
      <c r="G11" s="5">
        <v>2290272</v>
      </c>
    </row>
    <row r="12" spans="1:7" x14ac:dyDescent="0.2">
      <c r="A12">
        <v>80</v>
      </c>
      <c r="B12" t="s">
        <v>319</v>
      </c>
      <c r="C12" t="s">
        <v>695</v>
      </c>
      <c r="D12" s="5">
        <v>2838098</v>
      </c>
      <c r="E12" s="5">
        <v>1366546</v>
      </c>
      <c r="F12" s="5">
        <v>89909</v>
      </c>
      <c r="G12" s="5">
        <v>4294553</v>
      </c>
    </row>
    <row r="13" spans="1:7" x14ac:dyDescent="0.2">
      <c r="A13">
        <v>85</v>
      </c>
      <c r="B13" t="s">
        <v>429</v>
      </c>
      <c r="C13" t="s">
        <v>695</v>
      </c>
      <c r="D13" s="5">
        <v>1198099</v>
      </c>
      <c r="E13" s="5">
        <v>261342</v>
      </c>
      <c r="F13" s="5">
        <v>9365</v>
      </c>
      <c r="G13" s="5">
        <v>1468805</v>
      </c>
    </row>
    <row r="14" spans="1:7" x14ac:dyDescent="0.2">
      <c r="A14">
        <v>86</v>
      </c>
      <c r="B14" t="s">
        <v>435</v>
      </c>
      <c r="C14" t="s">
        <v>695</v>
      </c>
      <c r="D14" s="5">
        <v>1326535</v>
      </c>
      <c r="E14" s="5">
        <v>327948</v>
      </c>
      <c r="F14" s="5">
        <v>7736</v>
      </c>
      <c r="G14" s="5">
        <v>1662219</v>
      </c>
    </row>
    <row r="15" spans="1:7" x14ac:dyDescent="0.2">
      <c r="A15">
        <v>88</v>
      </c>
      <c r="B15" t="s">
        <v>499</v>
      </c>
      <c r="C15" t="s">
        <v>695</v>
      </c>
      <c r="D15" s="5">
        <v>42381</v>
      </c>
      <c r="E15" s="5">
        <v>10338</v>
      </c>
      <c r="F15" s="5">
        <v>217</v>
      </c>
      <c r="G15" s="5">
        <v>52936</v>
      </c>
    </row>
    <row r="16" spans="1:7" x14ac:dyDescent="0.2">
      <c r="A16">
        <v>90</v>
      </c>
      <c r="B16" t="s">
        <v>513</v>
      </c>
      <c r="C16" t="s">
        <v>695</v>
      </c>
      <c r="D16" s="5">
        <v>1680765</v>
      </c>
      <c r="E16" s="5">
        <v>442493</v>
      </c>
      <c r="F16" s="5">
        <v>30424</v>
      </c>
      <c r="G16" s="5">
        <v>2153682</v>
      </c>
    </row>
    <row r="17" spans="1:7" x14ac:dyDescent="0.2">
      <c r="A17">
        <v>93</v>
      </c>
      <c r="B17" t="s">
        <v>539</v>
      </c>
      <c r="C17" t="s">
        <v>695</v>
      </c>
      <c r="D17" s="5">
        <v>200877</v>
      </c>
      <c r="E17" s="5">
        <v>32523</v>
      </c>
      <c r="F17" s="5">
        <v>791</v>
      </c>
      <c r="G17" s="5">
        <v>234191</v>
      </c>
    </row>
    <row r="18" spans="1:7" x14ac:dyDescent="0.2">
      <c r="A18">
        <v>96</v>
      </c>
      <c r="B18" t="s">
        <v>593</v>
      </c>
      <c r="C18" t="s">
        <v>695</v>
      </c>
      <c r="D18" s="5">
        <v>37394</v>
      </c>
      <c r="E18" s="5">
        <v>11043</v>
      </c>
      <c r="F18" s="5">
        <v>653</v>
      </c>
      <c r="G18" s="5">
        <v>49091</v>
      </c>
    </row>
    <row r="19" spans="1:7" x14ac:dyDescent="0.2">
      <c r="A19">
        <v>98</v>
      </c>
      <c r="B19" t="s">
        <v>637</v>
      </c>
      <c r="C19" t="s">
        <v>695</v>
      </c>
      <c r="D19" s="5">
        <v>1207468</v>
      </c>
      <c r="E19" s="5">
        <v>281031</v>
      </c>
      <c r="F19" s="5">
        <v>20119</v>
      </c>
      <c r="G19" s="5">
        <v>1508618</v>
      </c>
    </row>
    <row r="20" spans="1:7" x14ac:dyDescent="0.2">
      <c r="A20">
        <v>106</v>
      </c>
      <c r="B20" t="s">
        <v>39</v>
      </c>
      <c r="C20" t="s">
        <v>695</v>
      </c>
      <c r="D20" s="5">
        <v>1596286</v>
      </c>
      <c r="E20" s="5">
        <v>632093</v>
      </c>
      <c r="F20" s="5">
        <v>39485</v>
      </c>
      <c r="G20" s="5">
        <v>2267864</v>
      </c>
    </row>
    <row r="21" spans="1:7" x14ac:dyDescent="0.2">
      <c r="A21">
        <v>109</v>
      </c>
      <c r="B21" t="s">
        <v>115</v>
      </c>
      <c r="C21" t="s">
        <v>695</v>
      </c>
      <c r="D21" s="5">
        <v>1603195</v>
      </c>
      <c r="E21" s="5">
        <v>335151</v>
      </c>
      <c r="F21" s="5">
        <v>21052</v>
      </c>
      <c r="G21" s="5">
        <v>1959397</v>
      </c>
    </row>
    <row r="22" spans="1:7" x14ac:dyDescent="0.2">
      <c r="A22">
        <v>114</v>
      </c>
      <c r="B22" t="s">
        <v>173</v>
      </c>
      <c r="C22" t="s">
        <v>695</v>
      </c>
      <c r="D22" s="5">
        <v>2944698</v>
      </c>
      <c r="E22" s="5">
        <v>1758924</v>
      </c>
      <c r="F22" s="5">
        <v>55063</v>
      </c>
      <c r="G22" s="5">
        <v>4758685</v>
      </c>
    </row>
    <row r="23" spans="1:7" x14ac:dyDescent="0.2">
      <c r="A23">
        <v>118</v>
      </c>
      <c r="B23" t="s">
        <v>277</v>
      </c>
      <c r="C23" t="s">
        <v>695</v>
      </c>
      <c r="D23" s="5">
        <v>1499343</v>
      </c>
      <c r="E23" s="5">
        <v>577201</v>
      </c>
      <c r="F23" s="5">
        <v>38378</v>
      </c>
      <c r="G23" s="5">
        <v>2114922</v>
      </c>
    </row>
    <row r="24" spans="1:7" x14ac:dyDescent="0.2">
      <c r="A24">
        <v>119</v>
      </c>
      <c r="B24" t="s">
        <v>361</v>
      </c>
      <c r="C24" t="s">
        <v>695</v>
      </c>
      <c r="D24" s="5">
        <v>907161</v>
      </c>
      <c r="E24" s="5">
        <v>299496</v>
      </c>
      <c r="F24" s="5">
        <v>28197</v>
      </c>
      <c r="G24" s="5">
        <v>1234854</v>
      </c>
    </row>
    <row r="25" spans="1:7" x14ac:dyDescent="0.2">
      <c r="A25">
        <v>141</v>
      </c>
      <c r="B25" t="s">
        <v>17</v>
      </c>
      <c r="C25" t="s">
        <v>695</v>
      </c>
      <c r="D25" s="5">
        <v>1647132</v>
      </c>
      <c r="E25" s="5">
        <v>696806</v>
      </c>
      <c r="F25" s="5">
        <v>71355</v>
      </c>
      <c r="G25" s="5">
        <v>2415293</v>
      </c>
    </row>
    <row r="26" spans="1:7" x14ac:dyDescent="0.2">
      <c r="A26">
        <v>147</v>
      </c>
      <c r="B26" t="s">
        <v>91</v>
      </c>
      <c r="C26" t="s">
        <v>695</v>
      </c>
      <c r="D26" s="5">
        <v>686236</v>
      </c>
      <c r="E26" s="5">
        <v>129091</v>
      </c>
      <c r="F26" s="5">
        <v>55269</v>
      </c>
      <c r="G26" s="5">
        <v>870596</v>
      </c>
    </row>
    <row r="27" spans="1:7" x14ac:dyDescent="0.2">
      <c r="A27">
        <v>148</v>
      </c>
      <c r="B27" t="s">
        <v>121</v>
      </c>
      <c r="C27" t="s">
        <v>695</v>
      </c>
      <c r="D27" s="5">
        <v>1180560</v>
      </c>
      <c r="E27" s="5">
        <v>183671</v>
      </c>
      <c r="F27" s="5">
        <v>20787</v>
      </c>
      <c r="G27" s="5">
        <v>1385018</v>
      </c>
    </row>
    <row r="28" spans="1:7" x14ac:dyDescent="0.2">
      <c r="A28">
        <v>150</v>
      </c>
      <c r="B28" t="s">
        <v>129</v>
      </c>
      <c r="C28" t="s">
        <v>695</v>
      </c>
      <c r="D28" s="5">
        <v>2053399</v>
      </c>
      <c r="E28" s="5">
        <v>795737</v>
      </c>
      <c r="F28" s="5">
        <v>54800</v>
      </c>
      <c r="G28" s="5">
        <v>2903937</v>
      </c>
    </row>
    <row r="29" spans="1:7" x14ac:dyDescent="0.2">
      <c r="A29">
        <v>153</v>
      </c>
      <c r="B29" t="s">
        <v>177</v>
      </c>
      <c r="C29" t="s">
        <v>695</v>
      </c>
      <c r="D29" s="5">
        <v>3242832</v>
      </c>
      <c r="E29" s="5">
        <v>1430744</v>
      </c>
      <c r="F29" s="5">
        <v>86560</v>
      </c>
      <c r="G29" s="5">
        <v>4760136</v>
      </c>
    </row>
    <row r="30" spans="1:7" x14ac:dyDescent="0.2">
      <c r="A30">
        <v>158</v>
      </c>
      <c r="B30" t="s">
        <v>215</v>
      </c>
      <c r="C30" t="s">
        <v>695</v>
      </c>
      <c r="D30" s="5">
        <v>843478</v>
      </c>
      <c r="E30" s="5">
        <v>151316</v>
      </c>
      <c r="F30" s="5">
        <v>18813</v>
      </c>
      <c r="G30" s="5">
        <v>1013607</v>
      </c>
    </row>
    <row r="31" spans="1:7" x14ac:dyDescent="0.2">
      <c r="A31">
        <v>160</v>
      </c>
      <c r="B31" t="s">
        <v>223</v>
      </c>
      <c r="C31" t="s">
        <v>695</v>
      </c>
      <c r="D31" s="5">
        <v>2143279</v>
      </c>
      <c r="E31" s="5">
        <v>406656</v>
      </c>
      <c r="F31" s="5">
        <v>72129</v>
      </c>
      <c r="G31" s="5">
        <v>2622064</v>
      </c>
    </row>
    <row r="32" spans="1:7" x14ac:dyDescent="0.2">
      <c r="A32">
        <v>163</v>
      </c>
      <c r="B32" t="s">
        <v>249</v>
      </c>
      <c r="C32" t="s">
        <v>695</v>
      </c>
      <c r="D32" s="5">
        <v>1116911</v>
      </c>
      <c r="E32" s="5">
        <v>256637</v>
      </c>
      <c r="F32" s="5">
        <v>24355</v>
      </c>
      <c r="G32" s="5">
        <v>1397903</v>
      </c>
    </row>
    <row r="33" spans="1:7" x14ac:dyDescent="0.2">
      <c r="A33">
        <v>164</v>
      </c>
      <c r="B33" s="9" t="s">
        <v>255</v>
      </c>
      <c r="C33" t="s">
        <v>695</v>
      </c>
      <c r="D33" s="5">
        <v>1832877</v>
      </c>
      <c r="E33" s="5">
        <v>768614</v>
      </c>
      <c r="F33" s="5">
        <v>59863</v>
      </c>
      <c r="G33" s="5">
        <v>2661354</v>
      </c>
    </row>
    <row r="34" spans="1:7" x14ac:dyDescent="0.2">
      <c r="A34">
        <v>166</v>
      </c>
      <c r="B34" t="s">
        <v>293</v>
      </c>
      <c r="C34" t="s">
        <v>695</v>
      </c>
      <c r="D34" s="5">
        <v>1386605</v>
      </c>
      <c r="E34" s="5">
        <v>363738</v>
      </c>
      <c r="F34" s="5">
        <v>48999</v>
      </c>
      <c r="G34" s="5">
        <v>1799342</v>
      </c>
    </row>
    <row r="35" spans="1:7" x14ac:dyDescent="0.2">
      <c r="A35">
        <v>168</v>
      </c>
      <c r="B35" t="s">
        <v>343</v>
      </c>
      <c r="C35" t="s">
        <v>695</v>
      </c>
      <c r="D35" s="5">
        <v>830551</v>
      </c>
      <c r="E35" s="5">
        <v>133319</v>
      </c>
      <c r="F35" s="5">
        <v>22617</v>
      </c>
      <c r="G35" s="5">
        <v>986487</v>
      </c>
    </row>
    <row r="36" spans="1:7" x14ac:dyDescent="0.2">
      <c r="A36">
        <v>171</v>
      </c>
      <c r="B36" t="s">
        <v>401</v>
      </c>
      <c r="C36" t="s">
        <v>695</v>
      </c>
      <c r="D36" s="5">
        <v>1573907</v>
      </c>
      <c r="E36" s="5">
        <v>474310</v>
      </c>
      <c r="F36" s="5">
        <v>41642</v>
      </c>
      <c r="G36" s="5">
        <v>2089859</v>
      </c>
    </row>
    <row r="37" spans="1:7" x14ac:dyDescent="0.2">
      <c r="A37">
        <v>173</v>
      </c>
      <c r="B37" t="s">
        <v>419</v>
      </c>
      <c r="C37" t="s">
        <v>695</v>
      </c>
      <c r="D37" s="5">
        <v>865504</v>
      </c>
      <c r="E37" s="5">
        <v>219444</v>
      </c>
      <c r="F37" s="5">
        <v>20080</v>
      </c>
      <c r="G37" s="5">
        <v>1105029</v>
      </c>
    </row>
    <row r="38" spans="1:7" x14ac:dyDescent="0.2">
      <c r="A38">
        <v>175</v>
      </c>
      <c r="B38" t="s">
        <v>423</v>
      </c>
      <c r="C38" t="s">
        <v>695</v>
      </c>
      <c r="D38" s="5">
        <v>726727</v>
      </c>
      <c r="E38" s="5">
        <v>226740</v>
      </c>
      <c r="F38" s="5">
        <v>21710</v>
      </c>
      <c r="G38" s="5">
        <v>975178</v>
      </c>
    </row>
    <row r="39" spans="1:7" x14ac:dyDescent="0.2">
      <c r="A39">
        <v>177</v>
      </c>
      <c r="B39" t="s">
        <v>459</v>
      </c>
      <c r="C39" t="s">
        <v>695</v>
      </c>
      <c r="D39" s="5">
        <v>1364463</v>
      </c>
      <c r="E39" s="5">
        <v>227296</v>
      </c>
      <c r="F39" s="5">
        <v>27498</v>
      </c>
      <c r="G39" s="5">
        <v>1619257</v>
      </c>
    </row>
    <row r="40" spans="1:7" x14ac:dyDescent="0.2">
      <c r="A40">
        <v>180</v>
      </c>
      <c r="B40" t="s">
        <v>523</v>
      </c>
      <c r="C40" t="s">
        <v>695</v>
      </c>
      <c r="D40" s="5">
        <v>865167</v>
      </c>
      <c r="E40" s="5">
        <v>71699</v>
      </c>
      <c r="F40" s="5">
        <v>14655</v>
      </c>
      <c r="G40" s="5">
        <v>951521</v>
      </c>
    </row>
    <row r="41" spans="1:7" x14ac:dyDescent="0.2">
      <c r="A41">
        <v>183</v>
      </c>
      <c r="B41" t="s">
        <v>551</v>
      </c>
      <c r="C41" t="s">
        <v>695</v>
      </c>
      <c r="D41" s="5">
        <v>953468</v>
      </c>
      <c r="E41" s="5">
        <v>100237</v>
      </c>
      <c r="F41" s="5">
        <v>26687</v>
      </c>
      <c r="G41" s="5">
        <v>1080392</v>
      </c>
    </row>
    <row r="42" spans="1:7" x14ac:dyDescent="0.2">
      <c r="A42">
        <v>184</v>
      </c>
      <c r="B42" t="s">
        <v>563</v>
      </c>
      <c r="C42" t="s">
        <v>695</v>
      </c>
      <c r="D42" s="5">
        <v>431634</v>
      </c>
      <c r="E42" s="5">
        <v>42391</v>
      </c>
      <c r="F42" s="5">
        <v>17747</v>
      </c>
      <c r="G42" s="5">
        <v>491772</v>
      </c>
    </row>
    <row r="43" spans="1:7" x14ac:dyDescent="0.2">
      <c r="A43">
        <v>189</v>
      </c>
      <c r="B43" t="s">
        <v>639</v>
      </c>
      <c r="C43" t="s">
        <v>695</v>
      </c>
      <c r="D43" s="5">
        <v>852175</v>
      </c>
      <c r="E43" s="5">
        <v>126444</v>
      </c>
      <c r="F43" s="5">
        <v>23173</v>
      </c>
      <c r="G43" s="5">
        <v>1001793</v>
      </c>
    </row>
    <row r="44" spans="1:7" x14ac:dyDescent="0.2">
      <c r="A44">
        <v>193</v>
      </c>
      <c r="B44" t="s">
        <v>685</v>
      </c>
      <c r="C44" t="s">
        <v>695</v>
      </c>
      <c r="D44" s="5">
        <v>2234947</v>
      </c>
      <c r="E44" s="5">
        <v>1105634</v>
      </c>
      <c r="F44" s="5">
        <v>67301</v>
      </c>
      <c r="G44" s="5">
        <v>3407882</v>
      </c>
    </row>
    <row r="45" spans="1:7" x14ac:dyDescent="0.2">
      <c r="A45">
        <v>197</v>
      </c>
      <c r="B45" t="s">
        <v>7</v>
      </c>
      <c r="C45" t="s">
        <v>695</v>
      </c>
      <c r="D45" s="5">
        <v>982240</v>
      </c>
      <c r="E45" s="5">
        <v>151636</v>
      </c>
      <c r="F45" s="5">
        <v>6484</v>
      </c>
      <c r="G45" s="5">
        <v>1140360</v>
      </c>
    </row>
    <row r="46" spans="1:7" x14ac:dyDescent="0.2">
      <c r="A46">
        <v>200</v>
      </c>
      <c r="B46" t="s">
        <v>35</v>
      </c>
      <c r="C46" t="s">
        <v>695</v>
      </c>
      <c r="D46" s="5">
        <v>3499919</v>
      </c>
      <c r="E46" s="5">
        <v>1552831</v>
      </c>
      <c r="F46" s="5">
        <v>56942</v>
      </c>
      <c r="G46" s="5">
        <v>5109693</v>
      </c>
    </row>
    <row r="47" spans="1:7" x14ac:dyDescent="0.2">
      <c r="A47">
        <v>202</v>
      </c>
      <c r="B47" t="s">
        <v>37</v>
      </c>
      <c r="C47" t="s">
        <v>695</v>
      </c>
      <c r="D47" s="5">
        <v>2294306</v>
      </c>
      <c r="E47" s="5">
        <v>1386410</v>
      </c>
      <c r="F47" s="5">
        <v>70848</v>
      </c>
      <c r="G47" s="5">
        <v>3751564</v>
      </c>
    </row>
    <row r="48" spans="1:7" x14ac:dyDescent="0.2">
      <c r="A48">
        <v>203</v>
      </c>
      <c r="B48" t="s">
        <v>49</v>
      </c>
      <c r="C48" t="s">
        <v>695</v>
      </c>
      <c r="D48" s="5">
        <v>1618179</v>
      </c>
      <c r="E48" s="5">
        <v>369482</v>
      </c>
      <c r="F48" s="5">
        <v>22440</v>
      </c>
      <c r="G48" s="5">
        <v>2010101</v>
      </c>
    </row>
    <row r="49" spans="1:7" x14ac:dyDescent="0.2">
      <c r="A49">
        <v>209</v>
      </c>
      <c r="B49" t="s">
        <v>73</v>
      </c>
      <c r="C49" t="s">
        <v>695</v>
      </c>
      <c r="D49" s="5">
        <v>751557</v>
      </c>
      <c r="E49" s="5">
        <v>162625</v>
      </c>
      <c r="F49" s="5">
        <v>24082</v>
      </c>
      <c r="G49" s="5">
        <v>938264</v>
      </c>
    </row>
    <row r="50" spans="1:7" x14ac:dyDescent="0.2">
      <c r="A50">
        <v>213</v>
      </c>
      <c r="B50" t="s">
        <v>101</v>
      </c>
      <c r="C50" t="s">
        <v>695</v>
      </c>
      <c r="D50" s="5">
        <v>684491</v>
      </c>
      <c r="E50" s="5">
        <v>102349</v>
      </c>
      <c r="F50" s="5">
        <v>9161</v>
      </c>
      <c r="G50" s="5">
        <v>796000</v>
      </c>
    </row>
    <row r="51" spans="1:7" x14ac:dyDescent="0.2">
      <c r="A51">
        <v>214</v>
      </c>
      <c r="B51" t="s">
        <v>109</v>
      </c>
      <c r="C51" t="s">
        <v>695</v>
      </c>
      <c r="D51" s="5">
        <v>1037769</v>
      </c>
      <c r="E51" s="5">
        <v>233530</v>
      </c>
      <c r="F51" s="5">
        <v>23825</v>
      </c>
      <c r="G51" s="5">
        <v>1295124</v>
      </c>
    </row>
    <row r="52" spans="1:7" x14ac:dyDescent="0.2">
      <c r="A52">
        <v>216</v>
      </c>
      <c r="B52" t="s">
        <v>119</v>
      </c>
      <c r="C52" t="s">
        <v>695</v>
      </c>
      <c r="D52" s="5">
        <v>615633</v>
      </c>
      <c r="E52" s="5">
        <v>183671</v>
      </c>
      <c r="F52" s="5">
        <v>41060</v>
      </c>
      <c r="G52" s="5">
        <v>840364</v>
      </c>
    </row>
    <row r="53" spans="1:7" x14ac:dyDescent="0.2">
      <c r="A53">
        <v>221</v>
      </c>
      <c r="B53" t="s">
        <v>137</v>
      </c>
      <c r="C53" t="s">
        <v>695</v>
      </c>
      <c r="D53" s="5">
        <v>288613</v>
      </c>
      <c r="E53" s="5">
        <v>70523</v>
      </c>
      <c r="F53" s="5">
        <v>2040</v>
      </c>
      <c r="G53" s="5">
        <v>361175</v>
      </c>
    </row>
    <row r="54" spans="1:7" x14ac:dyDescent="0.2">
      <c r="A54">
        <v>222</v>
      </c>
      <c r="B54" t="s">
        <v>139</v>
      </c>
      <c r="C54" t="s">
        <v>695</v>
      </c>
      <c r="D54" s="5">
        <v>1513853</v>
      </c>
      <c r="E54" s="5">
        <v>462715</v>
      </c>
      <c r="F54" s="5">
        <v>19528</v>
      </c>
      <c r="G54" s="5">
        <v>1996096</v>
      </c>
    </row>
    <row r="55" spans="1:7" x14ac:dyDescent="0.2">
      <c r="A55">
        <v>225</v>
      </c>
      <c r="B55" t="s">
        <v>151</v>
      </c>
      <c r="C55" t="s">
        <v>695</v>
      </c>
      <c r="D55" s="5">
        <v>563034</v>
      </c>
      <c r="E55" s="5">
        <v>161261</v>
      </c>
      <c r="F55" s="5">
        <v>20333</v>
      </c>
      <c r="G55" s="5">
        <v>744628</v>
      </c>
    </row>
    <row r="56" spans="1:7" x14ac:dyDescent="0.2">
      <c r="A56">
        <v>226</v>
      </c>
      <c r="B56" t="s">
        <v>153</v>
      </c>
      <c r="C56" t="s">
        <v>695</v>
      </c>
      <c r="D56" s="5">
        <v>727782</v>
      </c>
      <c r="E56" s="5">
        <v>146372</v>
      </c>
      <c r="F56" s="5">
        <v>6389</v>
      </c>
      <c r="G56" s="5">
        <v>880543</v>
      </c>
    </row>
    <row r="57" spans="1:7" x14ac:dyDescent="0.2">
      <c r="A57">
        <v>228</v>
      </c>
      <c r="B57" t="s">
        <v>159</v>
      </c>
      <c r="C57" t="s">
        <v>695</v>
      </c>
      <c r="D57" s="5">
        <v>2730255</v>
      </c>
      <c r="E57" s="5">
        <v>866976</v>
      </c>
      <c r="F57" s="5">
        <v>38907</v>
      </c>
      <c r="G57" s="5">
        <v>3636138</v>
      </c>
    </row>
    <row r="58" spans="1:7" x14ac:dyDescent="0.2">
      <c r="A58">
        <v>230</v>
      </c>
      <c r="B58" t="s">
        <v>171</v>
      </c>
      <c r="C58" t="s">
        <v>695</v>
      </c>
      <c r="D58" s="5">
        <v>666968</v>
      </c>
      <c r="E58" s="5">
        <v>95897</v>
      </c>
      <c r="F58" s="5">
        <v>9990</v>
      </c>
      <c r="G58" s="5">
        <v>772855</v>
      </c>
    </row>
    <row r="59" spans="1:7" x14ac:dyDescent="0.2">
      <c r="A59">
        <v>232</v>
      </c>
      <c r="B59" t="s">
        <v>179</v>
      </c>
      <c r="C59" t="s">
        <v>695</v>
      </c>
      <c r="D59" s="5">
        <v>1050102</v>
      </c>
      <c r="E59" s="5">
        <v>238363</v>
      </c>
      <c r="F59" s="5">
        <v>8997</v>
      </c>
      <c r="G59" s="5">
        <v>1297462</v>
      </c>
    </row>
    <row r="60" spans="1:7" x14ac:dyDescent="0.2">
      <c r="A60">
        <v>233</v>
      </c>
      <c r="B60" t="s">
        <v>181</v>
      </c>
      <c r="C60" t="s">
        <v>695</v>
      </c>
      <c r="D60" s="5">
        <v>725468</v>
      </c>
      <c r="E60" s="5">
        <v>285121</v>
      </c>
      <c r="F60" s="5">
        <v>6260</v>
      </c>
      <c r="G60" s="5">
        <v>1016849</v>
      </c>
    </row>
    <row r="61" spans="1:7" x14ac:dyDescent="0.2">
      <c r="A61">
        <v>243</v>
      </c>
      <c r="B61" t="s">
        <v>225</v>
      </c>
      <c r="C61" t="s">
        <v>695</v>
      </c>
      <c r="D61" s="5">
        <v>1035044</v>
      </c>
      <c r="E61" s="5">
        <v>292484</v>
      </c>
      <c r="F61" s="5">
        <v>16974</v>
      </c>
      <c r="G61" s="5">
        <v>1344503</v>
      </c>
    </row>
    <row r="62" spans="1:7" x14ac:dyDescent="0.2">
      <c r="A62">
        <v>244</v>
      </c>
      <c r="B62" t="s">
        <v>231</v>
      </c>
      <c r="C62" t="s">
        <v>695</v>
      </c>
      <c r="D62" s="5">
        <v>373439</v>
      </c>
      <c r="E62" s="5">
        <v>85343</v>
      </c>
      <c r="F62" s="5">
        <v>3558</v>
      </c>
      <c r="G62" s="5">
        <v>462340</v>
      </c>
    </row>
    <row r="63" spans="1:7" x14ac:dyDescent="0.2">
      <c r="A63">
        <v>246</v>
      </c>
      <c r="B63" t="s">
        <v>237</v>
      </c>
      <c r="C63" t="s">
        <v>695</v>
      </c>
      <c r="D63" s="5">
        <v>614930</v>
      </c>
      <c r="E63" s="5">
        <v>130834</v>
      </c>
      <c r="F63" s="5">
        <v>5549</v>
      </c>
      <c r="G63" s="5">
        <v>751312</v>
      </c>
    </row>
    <row r="64" spans="1:7" x14ac:dyDescent="0.2">
      <c r="A64">
        <v>252</v>
      </c>
      <c r="B64" t="s">
        <v>259</v>
      </c>
      <c r="C64" t="s">
        <v>695</v>
      </c>
      <c r="D64" s="5">
        <v>535547</v>
      </c>
      <c r="E64" s="5">
        <v>144377</v>
      </c>
      <c r="F64" s="5">
        <v>4024</v>
      </c>
      <c r="G64" s="5">
        <v>683947</v>
      </c>
    </row>
    <row r="65" spans="1:7" x14ac:dyDescent="0.2">
      <c r="A65">
        <v>262</v>
      </c>
      <c r="B65" t="s">
        <v>337</v>
      </c>
      <c r="C65" t="s">
        <v>695</v>
      </c>
      <c r="D65" s="5">
        <v>1435451</v>
      </c>
      <c r="E65" s="5">
        <v>287452</v>
      </c>
      <c r="F65" s="5">
        <v>5790</v>
      </c>
      <c r="G65" s="5">
        <v>1728694</v>
      </c>
    </row>
    <row r="66" spans="1:7" x14ac:dyDescent="0.2">
      <c r="A66">
        <v>263</v>
      </c>
      <c r="B66" t="s">
        <v>345</v>
      </c>
      <c r="C66" t="s">
        <v>695</v>
      </c>
      <c r="D66" s="5">
        <v>945603</v>
      </c>
      <c r="E66" s="5">
        <v>304081</v>
      </c>
      <c r="F66" s="5">
        <v>22764</v>
      </c>
      <c r="G66" s="5">
        <v>1272448</v>
      </c>
    </row>
    <row r="67" spans="1:7" x14ac:dyDescent="0.2">
      <c r="A67">
        <v>267</v>
      </c>
      <c r="B67" t="s">
        <v>389</v>
      </c>
      <c r="C67" t="s">
        <v>695</v>
      </c>
      <c r="D67" s="5">
        <v>1069311</v>
      </c>
      <c r="E67" s="5">
        <v>283489</v>
      </c>
      <c r="F67" s="5">
        <v>9736</v>
      </c>
      <c r="G67" s="5">
        <v>1362537</v>
      </c>
    </row>
    <row r="68" spans="1:7" x14ac:dyDescent="0.2">
      <c r="A68">
        <v>268</v>
      </c>
      <c r="B68" t="s">
        <v>391</v>
      </c>
      <c r="C68" t="s">
        <v>695</v>
      </c>
      <c r="D68" s="5">
        <v>2193516</v>
      </c>
      <c r="E68" s="5">
        <v>1750634</v>
      </c>
      <c r="F68" s="5">
        <v>126462</v>
      </c>
      <c r="G68" s="5">
        <v>4070612</v>
      </c>
    </row>
    <row r="69" spans="1:7" x14ac:dyDescent="0.2">
      <c r="A69">
        <v>269</v>
      </c>
      <c r="B69" t="s">
        <v>417</v>
      </c>
      <c r="C69" t="s">
        <v>695</v>
      </c>
      <c r="D69" s="5">
        <v>764338</v>
      </c>
      <c r="E69" s="5">
        <v>111526</v>
      </c>
      <c r="F69" s="5">
        <v>6450</v>
      </c>
      <c r="G69" s="5">
        <v>882315</v>
      </c>
    </row>
    <row r="70" spans="1:7" x14ac:dyDescent="0.2">
      <c r="A70">
        <v>273</v>
      </c>
      <c r="B70" t="s">
        <v>457</v>
      </c>
      <c r="C70" t="s">
        <v>695</v>
      </c>
      <c r="D70" s="5">
        <v>784785</v>
      </c>
      <c r="E70" s="5">
        <v>130293</v>
      </c>
      <c r="F70" s="5">
        <v>4859</v>
      </c>
      <c r="G70" s="5">
        <v>919937</v>
      </c>
    </row>
    <row r="71" spans="1:7" x14ac:dyDescent="0.2">
      <c r="A71">
        <v>274</v>
      </c>
      <c r="B71" t="s">
        <v>463</v>
      </c>
      <c r="C71" t="s">
        <v>695</v>
      </c>
      <c r="D71" s="5">
        <v>765960</v>
      </c>
      <c r="E71" s="5">
        <v>312920</v>
      </c>
      <c r="F71" s="5">
        <v>4500</v>
      </c>
      <c r="G71" s="5">
        <v>1083380</v>
      </c>
    </row>
    <row r="72" spans="1:7" x14ac:dyDescent="0.2">
      <c r="A72">
        <v>275</v>
      </c>
      <c r="B72" t="s">
        <v>469</v>
      </c>
      <c r="C72" t="s">
        <v>695</v>
      </c>
      <c r="D72" s="5">
        <v>1115737</v>
      </c>
      <c r="E72" s="5">
        <v>317443</v>
      </c>
      <c r="F72" s="5">
        <v>5757</v>
      </c>
      <c r="G72" s="5">
        <v>1438937</v>
      </c>
    </row>
    <row r="73" spans="1:7" x14ac:dyDescent="0.2">
      <c r="A73">
        <v>277</v>
      </c>
      <c r="B73" t="s">
        <v>489</v>
      </c>
      <c r="C73" t="s">
        <v>695</v>
      </c>
      <c r="D73" s="5">
        <v>66110</v>
      </c>
      <c r="E73" s="5">
        <v>13822</v>
      </c>
      <c r="F73" s="5">
        <v>535</v>
      </c>
      <c r="G73" s="5">
        <v>80467</v>
      </c>
    </row>
    <row r="74" spans="1:7" x14ac:dyDescent="0.2">
      <c r="A74">
        <v>279</v>
      </c>
      <c r="B74" t="s">
        <v>495</v>
      </c>
      <c r="C74" t="s">
        <v>695</v>
      </c>
      <c r="D74" s="5">
        <v>269446</v>
      </c>
      <c r="E74" s="5">
        <v>49090</v>
      </c>
      <c r="F74" s="5">
        <v>1447</v>
      </c>
      <c r="G74" s="5">
        <v>319982</v>
      </c>
    </row>
    <row r="75" spans="1:7" x14ac:dyDescent="0.2">
      <c r="A75">
        <v>281</v>
      </c>
      <c r="B75" t="s">
        <v>547</v>
      </c>
      <c r="C75" t="s">
        <v>695</v>
      </c>
      <c r="D75" s="5">
        <v>864575</v>
      </c>
      <c r="E75" s="5">
        <v>302034</v>
      </c>
      <c r="F75" s="5">
        <v>17465</v>
      </c>
      <c r="G75" s="5">
        <v>1184073</v>
      </c>
    </row>
    <row r="76" spans="1:7" x14ac:dyDescent="0.2">
      <c r="A76">
        <v>285</v>
      </c>
      <c r="B76" t="s">
        <v>603</v>
      </c>
      <c r="C76" t="s">
        <v>695</v>
      </c>
      <c r="D76" s="5">
        <v>880295</v>
      </c>
      <c r="E76" s="5">
        <v>201541</v>
      </c>
      <c r="F76" s="5">
        <v>9415</v>
      </c>
      <c r="G76" s="5">
        <v>1091251</v>
      </c>
    </row>
    <row r="77" spans="1:7" x14ac:dyDescent="0.2">
      <c r="A77">
        <v>289</v>
      </c>
      <c r="B77" t="s">
        <v>615</v>
      </c>
      <c r="C77" t="s">
        <v>695</v>
      </c>
      <c r="D77" s="5">
        <v>576063</v>
      </c>
      <c r="E77" s="5">
        <v>337615</v>
      </c>
      <c r="F77" s="5">
        <v>13549</v>
      </c>
      <c r="G77" s="5">
        <v>927228</v>
      </c>
    </row>
    <row r="78" spans="1:7" x14ac:dyDescent="0.2">
      <c r="A78">
        <v>293</v>
      </c>
      <c r="B78" t="s">
        <v>631</v>
      </c>
      <c r="C78" t="s">
        <v>695</v>
      </c>
      <c r="D78" s="5">
        <v>393814</v>
      </c>
      <c r="E78" s="5">
        <v>63776</v>
      </c>
      <c r="F78" s="5">
        <v>4984</v>
      </c>
      <c r="G78" s="5">
        <v>462574</v>
      </c>
    </row>
    <row r="79" spans="1:7" x14ac:dyDescent="0.2">
      <c r="A79">
        <v>294</v>
      </c>
      <c r="B79" t="s">
        <v>647</v>
      </c>
      <c r="C79" t="s">
        <v>695</v>
      </c>
      <c r="D79" s="5">
        <v>1014820</v>
      </c>
      <c r="E79" s="5">
        <v>275242</v>
      </c>
      <c r="F79" s="5">
        <v>5316</v>
      </c>
      <c r="G79" s="5">
        <v>1295379</v>
      </c>
    </row>
    <row r="80" spans="1:7" x14ac:dyDescent="0.2">
      <c r="A80">
        <v>296</v>
      </c>
      <c r="B80" t="s">
        <v>641</v>
      </c>
      <c r="C80" t="s">
        <v>695</v>
      </c>
      <c r="D80" s="5">
        <v>1166507</v>
      </c>
      <c r="E80" s="5">
        <v>300855</v>
      </c>
      <c r="F80" s="5">
        <v>17403</v>
      </c>
      <c r="G80" s="5">
        <v>1484765</v>
      </c>
    </row>
    <row r="81" spans="1:7" x14ac:dyDescent="0.2">
      <c r="A81">
        <v>297</v>
      </c>
      <c r="B81" t="s">
        <v>661</v>
      </c>
      <c r="C81" t="s">
        <v>695</v>
      </c>
      <c r="D81" s="5">
        <v>1263536</v>
      </c>
      <c r="E81" s="5">
        <v>433761</v>
      </c>
      <c r="F81" s="5">
        <v>38924</v>
      </c>
      <c r="G81" s="5">
        <v>1736221</v>
      </c>
    </row>
    <row r="82" spans="1:7" x14ac:dyDescent="0.2">
      <c r="A82">
        <v>299</v>
      </c>
      <c r="B82" t="s">
        <v>669</v>
      </c>
      <c r="C82" t="s">
        <v>695</v>
      </c>
      <c r="D82" s="5">
        <v>1263177</v>
      </c>
      <c r="E82" s="5">
        <v>368032</v>
      </c>
      <c r="F82" s="5">
        <v>14904</v>
      </c>
      <c r="G82" s="5">
        <v>1646113</v>
      </c>
    </row>
    <row r="83" spans="1:7" x14ac:dyDescent="0.2">
      <c r="A83">
        <v>301</v>
      </c>
      <c r="B83" t="s">
        <v>679</v>
      </c>
      <c r="C83" t="s">
        <v>695</v>
      </c>
      <c r="D83" s="5">
        <v>1016290</v>
      </c>
      <c r="E83" s="5">
        <v>344574</v>
      </c>
      <c r="F83" s="5">
        <v>18178</v>
      </c>
      <c r="G83" s="5">
        <v>1379042</v>
      </c>
    </row>
    <row r="84" spans="1:7" x14ac:dyDescent="0.2">
      <c r="A84">
        <v>302</v>
      </c>
      <c r="B84" t="s">
        <v>407</v>
      </c>
      <c r="C84" t="s">
        <v>695</v>
      </c>
      <c r="D84" s="5">
        <v>801405</v>
      </c>
      <c r="E84" s="5">
        <v>131664</v>
      </c>
      <c r="F84" s="5">
        <v>8358</v>
      </c>
      <c r="G84" s="5">
        <v>941428</v>
      </c>
    </row>
    <row r="85" spans="1:7" x14ac:dyDescent="0.2">
      <c r="A85">
        <v>303</v>
      </c>
      <c r="B85" t="s">
        <v>149</v>
      </c>
      <c r="C85" t="s">
        <v>695</v>
      </c>
      <c r="D85" s="5">
        <v>1184655</v>
      </c>
      <c r="E85" s="5">
        <v>273197</v>
      </c>
      <c r="F85" s="5">
        <v>33189</v>
      </c>
      <c r="G85" s="5">
        <v>1491041</v>
      </c>
    </row>
    <row r="86" spans="1:7" x14ac:dyDescent="0.2">
      <c r="A86">
        <v>307</v>
      </c>
      <c r="B86" t="s">
        <v>29</v>
      </c>
      <c r="C86" t="s">
        <v>695</v>
      </c>
      <c r="D86" s="5">
        <v>2367932</v>
      </c>
      <c r="E86" s="5">
        <v>1402701</v>
      </c>
      <c r="F86" s="5">
        <v>24491</v>
      </c>
      <c r="G86" s="5">
        <v>3795124</v>
      </c>
    </row>
    <row r="87" spans="1:7" x14ac:dyDescent="0.2">
      <c r="A87">
        <v>308</v>
      </c>
      <c r="B87" t="s">
        <v>45</v>
      </c>
      <c r="C87" t="s">
        <v>695</v>
      </c>
      <c r="D87" s="5">
        <v>607101</v>
      </c>
      <c r="E87" s="5">
        <v>158043</v>
      </c>
      <c r="F87" s="5">
        <v>4217</v>
      </c>
      <c r="G87" s="5">
        <v>769361</v>
      </c>
    </row>
    <row r="88" spans="1:7" x14ac:dyDescent="0.2">
      <c r="A88">
        <v>310</v>
      </c>
      <c r="B88" t="s">
        <v>77</v>
      </c>
      <c r="C88" t="s">
        <v>695</v>
      </c>
      <c r="D88" s="5">
        <v>1134111</v>
      </c>
      <c r="E88" s="5">
        <v>319454</v>
      </c>
      <c r="F88" s="5">
        <v>12750</v>
      </c>
      <c r="G88" s="5">
        <v>1466315</v>
      </c>
    </row>
    <row r="89" spans="1:7" x14ac:dyDescent="0.2">
      <c r="A89">
        <v>312</v>
      </c>
      <c r="B89" t="s">
        <v>105</v>
      </c>
      <c r="C89" t="s">
        <v>695</v>
      </c>
      <c r="D89" s="5">
        <v>426880</v>
      </c>
      <c r="E89" s="5">
        <v>105535</v>
      </c>
      <c r="F89" s="5">
        <v>10367</v>
      </c>
      <c r="G89" s="5">
        <v>542781</v>
      </c>
    </row>
    <row r="90" spans="1:7" x14ac:dyDescent="0.2">
      <c r="A90">
        <v>313</v>
      </c>
      <c r="B90" t="s">
        <v>107</v>
      </c>
      <c r="C90" t="s">
        <v>695</v>
      </c>
      <c r="D90" s="5">
        <v>521967</v>
      </c>
      <c r="E90" s="5">
        <v>75639</v>
      </c>
      <c r="F90" s="5">
        <v>5654</v>
      </c>
      <c r="G90" s="5">
        <v>603260</v>
      </c>
    </row>
    <row r="91" spans="1:7" x14ac:dyDescent="0.2">
      <c r="A91">
        <v>317</v>
      </c>
      <c r="B91" t="s">
        <v>161</v>
      </c>
      <c r="C91" t="s">
        <v>695</v>
      </c>
      <c r="D91" s="5">
        <v>275270</v>
      </c>
      <c r="E91" s="5">
        <v>45525</v>
      </c>
      <c r="F91" s="5">
        <v>2103</v>
      </c>
      <c r="G91" s="5">
        <v>322899</v>
      </c>
    </row>
    <row r="92" spans="1:7" x14ac:dyDescent="0.2">
      <c r="A92">
        <v>321</v>
      </c>
      <c r="B92" t="s">
        <v>283</v>
      </c>
      <c r="C92" t="s">
        <v>695</v>
      </c>
      <c r="D92" s="5">
        <v>1081756</v>
      </c>
      <c r="E92" s="5">
        <v>329650</v>
      </c>
      <c r="F92" s="5">
        <v>32829</v>
      </c>
      <c r="G92" s="5">
        <v>1444235</v>
      </c>
    </row>
    <row r="93" spans="1:7" x14ac:dyDescent="0.2">
      <c r="A93">
        <v>327</v>
      </c>
      <c r="B93" t="s">
        <v>331</v>
      </c>
      <c r="C93" t="s">
        <v>695</v>
      </c>
      <c r="D93" s="5">
        <v>723232</v>
      </c>
      <c r="E93" s="5">
        <v>255810</v>
      </c>
      <c r="F93" s="5">
        <v>5061</v>
      </c>
      <c r="G93" s="5">
        <v>984103</v>
      </c>
    </row>
    <row r="94" spans="1:7" x14ac:dyDescent="0.2">
      <c r="A94">
        <v>331</v>
      </c>
      <c r="B94" t="s">
        <v>341</v>
      </c>
      <c r="C94" t="s">
        <v>695</v>
      </c>
      <c r="D94" s="5">
        <v>456851</v>
      </c>
      <c r="E94" s="5">
        <v>61653</v>
      </c>
      <c r="F94" s="5">
        <v>10768</v>
      </c>
      <c r="G94" s="5">
        <v>529271</v>
      </c>
    </row>
    <row r="95" spans="1:7" x14ac:dyDescent="0.2">
      <c r="A95">
        <v>335</v>
      </c>
      <c r="B95" t="s">
        <v>377</v>
      </c>
      <c r="C95" t="s">
        <v>695</v>
      </c>
      <c r="D95" s="5">
        <v>389883</v>
      </c>
      <c r="E95" s="5">
        <v>54737</v>
      </c>
      <c r="F95" s="5">
        <v>11550</v>
      </c>
      <c r="G95" s="5">
        <v>456170</v>
      </c>
    </row>
    <row r="96" spans="1:7" x14ac:dyDescent="0.2">
      <c r="A96">
        <v>339</v>
      </c>
      <c r="B96" t="s">
        <v>465</v>
      </c>
      <c r="C96" t="s">
        <v>695</v>
      </c>
      <c r="D96" s="5">
        <v>178987</v>
      </c>
      <c r="E96" s="5">
        <v>39219</v>
      </c>
      <c r="F96" s="5">
        <v>3525</v>
      </c>
      <c r="G96" s="5">
        <v>221731</v>
      </c>
    </row>
    <row r="97" spans="1:7" x14ac:dyDescent="0.2">
      <c r="A97">
        <v>340</v>
      </c>
      <c r="B97" t="s">
        <v>471</v>
      </c>
      <c r="C97" t="s">
        <v>695</v>
      </c>
      <c r="D97" s="5">
        <v>525102</v>
      </c>
      <c r="E97" s="5">
        <v>121646</v>
      </c>
      <c r="F97" s="5">
        <v>18317</v>
      </c>
      <c r="G97" s="5">
        <v>665066</v>
      </c>
    </row>
    <row r="98" spans="1:7" x14ac:dyDescent="0.2">
      <c r="A98">
        <v>342</v>
      </c>
      <c r="B98" t="s">
        <v>515</v>
      </c>
      <c r="C98" t="s">
        <v>695</v>
      </c>
      <c r="D98" s="5">
        <v>994228</v>
      </c>
      <c r="E98" s="5">
        <v>380191</v>
      </c>
      <c r="F98" s="5">
        <v>3336</v>
      </c>
      <c r="G98" s="5">
        <v>1377756</v>
      </c>
    </row>
    <row r="99" spans="1:7" x14ac:dyDescent="0.2">
      <c r="A99">
        <v>344</v>
      </c>
      <c r="B99" t="s">
        <v>565</v>
      </c>
      <c r="C99" t="s">
        <v>695</v>
      </c>
      <c r="D99" s="5">
        <v>3538586</v>
      </c>
      <c r="E99" s="5">
        <v>3321041</v>
      </c>
      <c r="F99" s="5">
        <v>213167</v>
      </c>
      <c r="G99" s="5">
        <v>7072794</v>
      </c>
    </row>
    <row r="100" spans="1:7" x14ac:dyDescent="0.2">
      <c r="A100">
        <v>345</v>
      </c>
      <c r="B100" t="s">
        <v>577</v>
      </c>
      <c r="C100" t="s">
        <v>695</v>
      </c>
      <c r="D100" s="5">
        <v>1148687</v>
      </c>
      <c r="E100" s="5">
        <v>405775</v>
      </c>
      <c r="F100" s="5">
        <v>36312</v>
      </c>
      <c r="G100" s="5">
        <v>1590774</v>
      </c>
    </row>
    <row r="101" spans="1:7" x14ac:dyDescent="0.2">
      <c r="A101">
        <v>351</v>
      </c>
      <c r="B101" t="s">
        <v>657</v>
      </c>
      <c r="C101" t="s">
        <v>695</v>
      </c>
      <c r="D101" s="5">
        <v>355831</v>
      </c>
      <c r="E101" s="5">
        <v>79377</v>
      </c>
      <c r="F101" s="5">
        <v>6820</v>
      </c>
      <c r="G101" s="5">
        <v>442028</v>
      </c>
    </row>
    <row r="102" spans="1:7" x14ac:dyDescent="0.2">
      <c r="A102">
        <v>352</v>
      </c>
      <c r="B102" t="s">
        <v>645</v>
      </c>
      <c r="C102" t="s">
        <v>695</v>
      </c>
      <c r="D102" s="5">
        <v>638171</v>
      </c>
      <c r="E102" s="5">
        <v>146158</v>
      </c>
      <c r="F102" s="5">
        <v>19974</v>
      </c>
      <c r="G102" s="5">
        <v>804302</v>
      </c>
    </row>
    <row r="103" spans="1:7" x14ac:dyDescent="0.2">
      <c r="A103">
        <v>353</v>
      </c>
      <c r="B103" t="s">
        <v>289</v>
      </c>
      <c r="C103" t="s">
        <v>695</v>
      </c>
      <c r="D103" s="5">
        <v>519477</v>
      </c>
      <c r="E103" s="5">
        <v>376708</v>
      </c>
      <c r="F103" s="5">
        <v>8868</v>
      </c>
      <c r="G103" s="5">
        <v>905054</v>
      </c>
    </row>
    <row r="104" spans="1:7" x14ac:dyDescent="0.2">
      <c r="A104">
        <v>355</v>
      </c>
      <c r="B104" t="s">
        <v>667</v>
      </c>
      <c r="C104" t="s">
        <v>695</v>
      </c>
      <c r="D104" s="5">
        <v>1215680</v>
      </c>
      <c r="E104" s="5">
        <v>576129</v>
      </c>
      <c r="F104" s="5">
        <v>29672</v>
      </c>
      <c r="G104" s="5">
        <v>1821482</v>
      </c>
    </row>
    <row r="105" spans="1:7" x14ac:dyDescent="0.2">
      <c r="A105">
        <v>356</v>
      </c>
      <c r="B105" t="s">
        <v>385</v>
      </c>
      <c r="C105" t="s">
        <v>695</v>
      </c>
      <c r="D105" s="5">
        <v>1033906</v>
      </c>
      <c r="E105" s="5">
        <v>432323</v>
      </c>
      <c r="F105" s="5">
        <v>20930</v>
      </c>
      <c r="G105" s="5">
        <v>1487158</v>
      </c>
    </row>
    <row r="106" spans="1:7" x14ac:dyDescent="0.2">
      <c r="A106">
        <v>358</v>
      </c>
      <c r="B106" t="s">
        <v>5</v>
      </c>
      <c r="C106" t="s">
        <v>695</v>
      </c>
      <c r="D106" s="5">
        <v>1178261</v>
      </c>
      <c r="E106" s="5">
        <v>478024</v>
      </c>
      <c r="F106" s="5">
        <v>22496</v>
      </c>
      <c r="G106" s="5">
        <v>1678781</v>
      </c>
    </row>
    <row r="107" spans="1:7" x14ac:dyDescent="0.2">
      <c r="A107">
        <v>361</v>
      </c>
      <c r="B107" t="s">
        <v>15</v>
      </c>
      <c r="C107" t="s">
        <v>695</v>
      </c>
      <c r="D107" s="5">
        <v>2074806</v>
      </c>
      <c r="E107" s="5">
        <v>853204</v>
      </c>
      <c r="F107" s="5">
        <v>40278</v>
      </c>
      <c r="G107" s="5">
        <v>2968289</v>
      </c>
    </row>
    <row r="108" spans="1:7" x14ac:dyDescent="0.2">
      <c r="A108">
        <v>362</v>
      </c>
      <c r="B108" t="s">
        <v>31</v>
      </c>
      <c r="C108" t="s">
        <v>695</v>
      </c>
      <c r="D108" s="5">
        <v>1206808</v>
      </c>
      <c r="E108" s="5">
        <v>671781</v>
      </c>
      <c r="F108" s="5">
        <v>28379</v>
      </c>
      <c r="G108" s="5">
        <v>1906968</v>
      </c>
    </row>
    <row r="109" spans="1:7" x14ac:dyDescent="0.2">
      <c r="A109">
        <v>363</v>
      </c>
      <c r="B109" t="s">
        <v>33</v>
      </c>
      <c r="C109" t="s">
        <v>695</v>
      </c>
      <c r="D109" s="5">
        <v>4363506</v>
      </c>
      <c r="E109" s="5">
        <v>7462128</v>
      </c>
      <c r="F109" s="5">
        <v>264888</v>
      </c>
      <c r="G109" s="5">
        <v>12090522</v>
      </c>
    </row>
    <row r="110" spans="1:7" x14ac:dyDescent="0.2">
      <c r="A110">
        <v>370</v>
      </c>
      <c r="B110" t="s">
        <v>696</v>
      </c>
      <c r="C110" t="s">
        <v>695</v>
      </c>
      <c r="D110" s="5">
        <v>383928</v>
      </c>
      <c r="E110" s="5">
        <v>57516</v>
      </c>
      <c r="F110" s="5">
        <v>11847</v>
      </c>
      <c r="G110" s="5">
        <v>453291</v>
      </c>
    </row>
    <row r="111" spans="1:7" x14ac:dyDescent="0.2">
      <c r="A111">
        <v>373</v>
      </c>
      <c r="B111" s="9" t="s">
        <v>63</v>
      </c>
      <c r="C111" t="s">
        <v>695</v>
      </c>
      <c r="D111" s="5">
        <v>935635</v>
      </c>
      <c r="E111" s="5">
        <v>351865</v>
      </c>
      <c r="F111" s="5">
        <v>7789</v>
      </c>
      <c r="G111" s="5">
        <v>1295289</v>
      </c>
    </row>
    <row r="112" spans="1:7" x14ac:dyDescent="0.2">
      <c r="A112">
        <v>375</v>
      </c>
      <c r="B112" t="s">
        <v>75</v>
      </c>
      <c r="C112" t="s">
        <v>695</v>
      </c>
      <c r="D112" s="5">
        <v>610742</v>
      </c>
      <c r="E112" s="5">
        <v>346557</v>
      </c>
      <c r="F112" s="5">
        <v>13866</v>
      </c>
      <c r="G112" s="5">
        <v>971164</v>
      </c>
    </row>
    <row r="113" spans="1:7" x14ac:dyDescent="0.2">
      <c r="A113">
        <v>376</v>
      </c>
      <c r="B113" t="s">
        <v>81</v>
      </c>
      <c r="C113" t="s">
        <v>695</v>
      </c>
      <c r="D113" s="5">
        <v>387477</v>
      </c>
      <c r="E113" s="5">
        <v>44864</v>
      </c>
      <c r="F113" s="5">
        <v>38406</v>
      </c>
      <c r="G113" s="5">
        <v>470748</v>
      </c>
    </row>
    <row r="114" spans="1:7" x14ac:dyDescent="0.2">
      <c r="A114">
        <v>377</v>
      </c>
      <c r="B114" t="s">
        <v>83</v>
      </c>
      <c r="C114" t="s">
        <v>695</v>
      </c>
      <c r="D114" s="5">
        <v>701750</v>
      </c>
      <c r="E114" s="5">
        <v>183715</v>
      </c>
      <c r="F114" s="5">
        <v>10568</v>
      </c>
      <c r="G114" s="5">
        <v>896033</v>
      </c>
    </row>
    <row r="115" spans="1:7" x14ac:dyDescent="0.2">
      <c r="A115">
        <v>383</v>
      </c>
      <c r="B115" t="s">
        <v>113</v>
      </c>
      <c r="C115" t="s">
        <v>695</v>
      </c>
      <c r="D115" s="5">
        <v>959499</v>
      </c>
      <c r="E115" s="5">
        <v>267663</v>
      </c>
      <c r="F115" s="5">
        <v>23181</v>
      </c>
      <c r="G115" s="5">
        <v>1250343</v>
      </c>
    </row>
    <row r="116" spans="1:7" x14ac:dyDescent="0.2">
      <c r="A116">
        <v>384</v>
      </c>
      <c r="B116" t="s">
        <v>131</v>
      </c>
      <c r="C116" t="s">
        <v>695</v>
      </c>
      <c r="D116" s="5">
        <v>311518</v>
      </c>
      <c r="E116" s="5">
        <v>225600</v>
      </c>
      <c r="F116" s="5">
        <v>25050</v>
      </c>
      <c r="G116" s="5">
        <v>562167</v>
      </c>
    </row>
    <row r="117" spans="1:7" x14ac:dyDescent="0.2">
      <c r="A117">
        <v>385</v>
      </c>
      <c r="B117" t="s">
        <v>157</v>
      </c>
      <c r="C117" t="s">
        <v>695</v>
      </c>
      <c r="D117" s="5">
        <v>1017411</v>
      </c>
      <c r="E117" s="5">
        <v>161195</v>
      </c>
      <c r="F117" s="5">
        <v>23066</v>
      </c>
      <c r="G117" s="5">
        <v>1201671</v>
      </c>
    </row>
    <row r="118" spans="1:7" x14ac:dyDescent="0.2">
      <c r="A118">
        <v>388</v>
      </c>
      <c r="B118" t="s">
        <v>175</v>
      </c>
      <c r="C118" t="s">
        <v>695</v>
      </c>
      <c r="D118" s="5">
        <v>444376</v>
      </c>
      <c r="E118" s="5">
        <v>129880</v>
      </c>
      <c r="F118" s="5">
        <v>8356</v>
      </c>
      <c r="G118" s="5">
        <v>582613</v>
      </c>
    </row>
    <row r="119" spans="1:7" x14ac:dyDescent="0.2">
      <c r="A119">
        <v>392</v>
      </c>
      <c r="B119" t="s">
        <v>217</v>
      </c>
      <c r="C119" t="s">
        <v>695</v>
      </c>
      <c r="D119" s="5">
        <v>1911871</v>
      </c>
      <c r="E119" s="5">
        <v>1676989</v>
      </c>
      <c r="F119" s="5">
        <v>41055</v>
      </c>
      <c r="G119" s="5">
        <v>3629916</v>
      </c>
    </row>
    <row r="120" spans="1:7" x14ac:dyDescent="0.2">
      <c r="A120">
        <v>394</v>
      </c>
      <c r="B120" t="s">
        <v>219</v>
      </c>
      <c r="C120" t="s">
        <v>695</v>
      </c>
      <c r="D120" s="5">
        <v>2905920</v>
      </c>
      <c r="E120" s="5">
        <v>1340033</v>
      </c>
      <c r="F120" s="5">
        <v>100029</v>
      </c>
      <c r="G120" s="5">
        <v>4345982</v>
      </c>
    </row>
    <row r="121" spans="1:7" x14ac:dyDescent="0.2">
      <c r="A121">
        <v>396</v>
      </c>
      <c r="B121" t="s">
        <v>233</v>
      </c>
      <c r="C121" t="s">
        <v>695</v>
      </c>
      <c r="D121" s="5">
        <v>770281</v>
      </c>
      <c r="E121" s="5">
        <v>256954</v>
      </c>
      <c r="F121" s="5">
        <v>11215</v>
      </c>
      <c r="G121" s="5">
        <v>1038450</v>
      </c>
    </row>
    <row r="122" spans="1:7" x14ac:dyDescent="0.2">
      <c r="A122">
        <v>397</v>
      </c>
      <c r="B122" t="s">
        <v>235</v>
      </c>
      <c r="C122" t="s">
        <v>695</v>
      </c>
      <c r="D122" s="5">
        <v>630214</v>
      </c>
      <c r="E122" s="5">
        <v>194974</v>
      </c>
      <c r="F122" s="5">
        <v>5811</v>
      </c>
      <c r="G122" s="5">
        <v>831000</v>
      </c>
    </row>
    <row r="123" spans="1:7" x14ac:dyDescent="0.2">
      <c r="A123">
        <v>398</v>
      </c>
      <c r="B123" s="9" t="s">
        <v>133</v>
      </c>
      <c r="C123" t="s">
        <v>695</v>
      </c>
      <c r="D123" s="5">
        <v>1066701</v>
      </c>
      <c r="E123" s="5">
        <v>561367</v>
      </c>
      <c r="F123" s="5">
        <v>57141</v>
      </c>
      <c r="G123" s="5">
        <v>1685209</v>
      </c>
    </row>
    <row r="124" spans="1:7" x14ac:dyDescent="0.2">
      <c r="A124">
        <v>399</v>
      </c>
      <c r="B124" t="s">
        <v>245</v>
      </c>
      <c r="C124" t="s">
        <v>695</v>
      </c>
      <c r="D124" s="5">
        <v>613490</v>
      </c>
      <c r="E124" s="5">
        <v>174815</v>
      </c>
      <c r="F124" s="5">
        <v>20423</v>
      </c>
      <c r="G124" s="5">
        <v>808728</v>
      </c>
    </row>
    <row r="125" spans="1:7" x14ac:dyDescent="0.2">
      <c r="A125">
        <v>400</v>
      </c>
      <c r="B125" t="s">
        <v>247</v>
      </c>
      <c r="C125" t="s">
        <v>695</v>
      </c>
      <c r="D125" s="5">
        <v>1100410</v>
      </c>
      <c r="E125" s="5">
        <v>606559</v>
      </c>
      <c r="F125" s="5">
        <v>27865</v>
      </c>
      <c r="G125" s="5">
        <v>1734834</v>
      </c>
    </row>
    <row r="126" spans="1:7" x14ac:dyDescent="0.2">
      <c r="A126">
        <v>402</v>
      </c>
      <c r="B126" t="s">
        <v>267</v>
      </c>
      <c r="C126" t="s">
        <v>695</v>
      </c>
      <c r="D126" s="5">
        <v>1723073</v>
      </c>
      <c r="E126" s="5">
        <v>591802</v>
      </c>
      <c r="F126" s="5">
        <v>39984</v>
      </c>
      <c r="G126" s="5">
        <v>2354859</v>
      </c>
    </row>
    <row r="127" spans="1:7" x14ac:dyDescent="0.2">
      <c r="A127">
        <v>405</v>
      </c>
      <c r="B127" t="s">
        <v>279</v>
      </c>
      <c r="C127" t="s">
        <v>695</v>
      </c>
      <c r="D127" s="5">
        <v>1570660</v>
      </c>
      <c r="E127" s="5">
        <v>402205</v>
      </c>
      <c r="F127" s="5">
        <v>34131</v>
      </c>
      <c r="G127" s="5">
        <v>2006997</v>
      </c>
    </row>
    <row r="128" spans="1:7" x14ac:dyDescent="0.2">
      <c r="A128">
        <v>406</v>
      </c>
      <c r="B128" t="s">
        <v>285</v>
      </c>
      <c r="C128" t="s">
        <v>695</v>
      </c>
      <c r="D128" s="5">
        <v>864547</v>
      </c>
      <c r="E128" s="5">
        <v>309258</v>
      </c>
      <c r="F128" s="5">
        <v>6401</v>
      </c>
      <c r="G128" s="5">
        <v>1180206</v>
      </c>
    </row>
    <row r="129" spans="1:7" x14ac:dyDescent="0.2">
      <c r="A129">
        <v>415</v>
      </c>
      <c r="B129" t="s">
        <v>313</v>
      </c>
      <c r="C129" t="s">
        <v>695</v>
      </c>
      <c r="D129" s="5">
        <v>284783</v>
      </c>
      <c r="E129" s="5">
        <v>82575</v>
      </c>
      <c r="F129" s="5">
        <v>5049</v>
      </c>
      <c r="G129" s="5">
        <v>372406</v>
      </c>
    </row>
    <row r="130" spans="1:7" x14ac:dyDescent="0.2">
      <c r="A130">
        <v>416</v>
      </c>
      <c r="B130" s="9" t="s">
        <v>133</v>
      </c>
      <c r="C130" t="s">
        <v>695</v>
      </c>
      <c r="D130" s="5">
        <v>822177</v>
      </c>
      <c r="E130" s="5">
        <v>150276</v>
      </c>
      <c r="F130" s="5">
        <v>15697</v>
      </c>
      <c r="G130" s="5">
        <v>988150</v>
      </c>
    </row>
    <row r="131" spans="1:7" x14ac:dyDescent="0.2">
      <c r="A131">
        <v>417</v>
      </c>
      <c r="B131" t="s">
        <v>317</v>
      </c>
      <c r="C131" t="s">
        <v>695</v>
      </c>
      <c r="D131" s="5">
        <v>469599</v>
      </c>
      <c r="E131" s="5">
        <v>59269</v>
      </c>
      <c r="F131" s="5">
        <v>1711</v>
      </c>
      <c r="G131" s="5">
        <v>530579</v>
      </c>
    </row>
    <row r="132" spans="1:7" x14ac:dyDescent="0.2">
      <c r="A132">
        <v>420</v>
      </c>
      <c r="B132" t="s">
        <v>355</v>
      </c>
      <c r="C132" t="s">
        <v>695</v>
      </c>
      <c r="D132" s="5">
        <v>1599596</v>
      </c>
      <c r="E132" s="5">
        <v>311921</v>
      </c>
      <c r="F132" s="5">
        <v>26404</v>
      </c>
      <c r="G132" s="5">
        <v>1937920</v>
      </c>
    </row>
    <row r="133" spans="1:7" x14ac:dyDescent="0.2">
      <c r="A133">
        <v>431</v>
      </c>
      <c r="B133" t="s">
        <v>431</v>
      </c>
      <c r="C133" t="s">
        <v>695</v>
      </c>
      <c r="D133" s="5">
        <v>234790</v>
      </c>
      <c r="E133" s="5">
        <v>50973</v>
      </c>
      <c r="F133" s="5">
        <v>871</v>
      </c>
      <c r="G133" s="5">
        <v>286634</v>
      </c>
    </row>
    <row r="134" spans="1:7" x14ac:dyDescent="0.2">
      <c r="A134">
        <v>432</v>
      </c>
      <c r="B134" t="s">
        <v>433</v>
      </c>
      <c r="C134" t="s">
        <v>695</v>
      </c>
      <c r="D134" s="5">
        <v>439744</v>
      </c>
      <c r="E134" s="5">
        <v>77081</v>
      </c>
      <c r="F134" s="5">
        <v>12323</v>
      </c>
      <c r="G134" s="5">
        <v>529148</v>
      </c>
    </row>
    <row r="135" spans="1:7" x14ac:dyDescent="0.2">
      <c r="A135">
        <v>437</v>
      </c>
      <c r="B135" t="s">
        <v>441</v>
      </c>
      <c r="C135" t="s">
        <v>695</v>
      </c>
      <c r="D135" s="5">
        <v>259904</v>
      </c>
      <c r="E135" s="5">
        <v>125855</v>
      </c>
      <c r="F135" s="5">
        <v>8738</v>
      </c>
      <c r="G135" s="5">
        <v>394497</v>
      </c>
    </row>
    <row r="136" spans="1:7" x14ac:dyDescent="0.2">
      <c r="A136">
        <v>439</v>
      </c>
      <c r="B136" t="s">
        <v>455</v>
      </c>
      <c r="C136" t="s">
        <v>695</v>
      </c>
      <c r="D136" s="5">
        <v>1233225</v>
      </c>
      <c r="E136" s="5">
        <v>635574</v>
      </c>
      <c r="F136" s="5">
        <v>17592</v>
      </c>
      <c r="G136" s="5">
        <v>1886391</v>
      </c>
    </row>
    <row r="137" spans="1:7" x14ac:dyDescent="0.2">
      <c r="A137">
        <v>441</v>
      </c>
      <c r="B137" t="s">
        <v>493</v>
      </c>
      <c r="C137" t="s">
        <v>695</v>
      </c>
      <c r="D137" s="5">
        <v>1583907</v>
      </c>
      <c r="E137" s="5">
        <v>547578</v>
      </c>
      <c r="F137" s="5">
        <v>21564</v>
      </c>
      <c r="G137" s="5">
        <v>2153050</v>
      </c>
    </row>
    <row r="138" spans="1:7" x14ac:dyDescent="0.2">
      <c r="A138">
        <v>448</v>
      </c>
      <c r="B138" t="s">
        <v>541</v>
      </c>
      <c r="C138" t="s">
        <v>695</v>
      </c>
      <c r="D138" s="5">
        <v>639431</v>
      </c>
      <c r="E138" s="5">
        <v>183818</v>
      </c>
      <c r="F138" s="5">
        <v>5322</v>
      </c>
      <c r="G138" s="5">
        <v>828571</v>
      </c>
    </row>
    <row r="139" spans="1:7" x14ac:dyDescent="0.2">
      <c r="A139">
        <v>450</v>
      </c>
      <c r="B139" t="s">
        <v>559</v>
      </c>
      <c r="C139" t="s">
        <v>695</v>
      </c>
      <c r="D139" s="5">
        <v>341030</v>
      </c>
      <c r="E139" s="5">
        <v>54800</v>
      </c>
      <c r="F139" s="5">
        <v>3343</v>
      </c>
      <c r="G139" s="5">
        <v>399173</v>
      </c>
    </row>
    <row r="140" spans="1:7" x14ac:dyDescent="0.2">
      <c r="A140">
        <v>451</v>
      </c>
      <c r="B140" t="s">
        <v>561</v>
      </c>
      <c r="C140" t="s">
        <v>695</v>
      </c>
      <c r="D140" s="5">
        <v>506793</v>
      </c>
      <c r="E140" s="5">
        <v>256912</v>
      </c>
      <c r="F140" s="5">
        <v>28417</v>
      </c>
      <c r="G140" s="5">
        <v>792122</v>
      </c>
    </row>
    <row r="141" spans="1:7" x14ac:dyDescent="0.2">
      <c r="A141">
        <v>453</v>
      </c>
      <c r="B141" t="s">
        <v>583</v>
      </c>
      <c r="C141" t="s">
        <v>695</v>
      </c>
      <c r="D141" s="5">
        <v>1005876</v>
      </c>
      <c r="E141" s="5">
        <v>596243</v>
      </c>
      <c r="F141" s="5">
        <v>12307</v>
      </c>
      <c r="G141" s="5">
        <v>1614426</v>
      </c>
    </row>
    <row r="142" spans="1:7" x14ac:dyDescent="0.2">
      <c r="A142">
        <v>457</v>
      </c>
      <c r="B142" t="s">
        <v>697</v>
      </c>
      <c r="C142" t="s">
        <v>695</v>
      </c>
      <c r="D142" s="5">
        <v>241487</v>
      </c>
      <c r="E142" s="5">
        <v>185410</v>
      </c>
      <c r="F142" s="5">
        <v>22376</v>
      </c>
      <c r="G142" s="5">
        <v>449272</v>
      </c>
    </row>
    <row r="143" spans="1:7" x14ac:dyDescent="0.2">
      <c r="A143">
        <v>473</v>
      </c>
      <c r="B143" t="s">
        <v>663</v>
      </c>
      <c r="C143" t="s">
        <v>695</v>
      </c>
      <c r="D143" s="5">
        <v>288708</v>
      </c>
      <c r="E143" s="5">
        <v>233425</v>
      </c>
      <c r="F143" s="5">
        <v>2417</v>
      </c>
      <c r="G143" s="5">
        <v>524550</v>
      </c>
    </row>
    <row r="144" spans="1:7" x14ac:dyDescent="0.2">
      <c r="A144">
        <v>479</v>
      </c>
      <c r="B144" t="s">
        <v>659</v>
      </c>
      <c r="C144" t="s">
        <v>695</v>
      </c>
      <c r="D144" s="5">
        <v>2270154</v>
      </c>
      <c r="E144" s="5">
        <v>1181017</v>
      </c>
      <c r="F144" s="5">
        <v>47760</v>
      </c>
      <c r="G144" s="5">
        <v>3498931</v>
      </c>
    </row>
    <row r="145" spans="1:7" x14ac:dyDescent="0.2">
      <c r="A145">
        <v>482</v>
      </c>
      <c r="B145" t="s">
        <v>11</v>
      </c>
      <c r="C145" t="s">
        <v>695</v>
      </c>
      <c r="D145" s="5">
        <v>314559</v>
      </c>
      <c r="E145" s="5">
        <v>129173</v>
      </c>
      <c r="F145" s="5">
        <v>12125</v>
      </c>
      <c r="G145" s="5">
        <v>455858</v>
      </c>
    </row>
    <row r="146" spans="1:7" x14ac:dyDescent="0.2">
      <c r="A146">
        <v>484</v>
      </c>
      <c r="B146" t="s">
        <v>21</v>
      </c>
      <c r="C146" t="s">
        <v>695</v>
      </c>
      <c r="D146" s="5">
        <v>1911313</v>
      </c>
      <c r="E146" s="5">
        <v>961853</v>
      </c>
      <c r="F146" s="5">
        <v>72534</v>
      </c>
      <c r="G146" s="5">
        <v>2945701</v>
      </c>
    </row>
    <row r="147" spans="1:7" x14ac:dyDescent="0.2">
      <c r="A147">
        <v>489</v>
      </c>
      <c r="B147" t="s">
        <v>47</v>
      </c>
      <c r="C147" t="s">
        <v>695</v>
      </c>
      <c r="D147" s="5">
        <v>858232</v>
      </c>
      <c r="E147" s="5">
        <v>376675</v>
      </c>
      <c r="F147" s="5">
        <v>21469</v>
      </c>
      <c r="G147" s="5">
        <v>1256377</v>
      </c>
    </row>
    <row r="148" spans="1:7" x14ac:dyDescent="0.2">
      <c r="A148">
        <v>498</v>
      </c>
      <c r="B148" t="s">
        <v>145</v>
      </c>
      <c r="C148" t="s">
        <v>695</v>
      </c>
      <c r="D148" s="5">
        <v>690951</v>
      </c>
      <c r="E148" s="5">
        <v>128977</v>
      </c>
      <c r="F148" s="5">
        <v>12522</v>
      </c>
      <c r="G148" s="5">
        <v>832450</v>
      </c>
    </row>
    <row r="149" spans="1:7" x14ac:dyDescent="0.2">
      <c r="A149">
        <v>501</v>
      </c>
      <c r="B149" s="9" t="s">
        <v>599</v>
      </c>
      <c r="C149" t="s">
        <v>695</v>
      </c>
      <c r="D149" s="5">
        <v>418263</v>
      </c>
      <c r="E149" s="5">
        <v>177622</v>
      </c>
      <c r="F149" s="5">
        <v>8388</v>
      </c>
      <c r="G149" s="5">
        <v>604273</v>
      </c>
    </row>
    <row r="150" spans="1:7" x14ac:dyDescent="0.2">
      <c r="A150">
        <v>502</v>
      </c>
      <c r="B150" t="s">
        <v>111</v>
      </c>
      <c r="C150" t="s">
        <v>695</v>
      </c>
      <c r="D150" s="5">
        <v>785666</v>
      </c>
      <c r="E150" s="5">
        <v>538132</v>
      </c>
      <c r="F150" s="5">
        <v>6453</v>
      </c>
      <c r="G150" s="5">
        <v>1330252</v>
      </c>
    </row>
    <row r="151" spans="1:7" x14ac:dyDescent="0.2">
      <c r="A151">
        <v>503</v>
      </c>
      <c r="B151" t="s">
        <v>125</v>
      </c>
      <c r="C151" t="s">
        <v>695</v>
      </c>
      <c r="D151" s="5">
        <v>873816</v>
      </c>
      <c r="E151" s="5">
        <v>893613</v>
      </c>
      <c r="F151" s="5">
        <v>42896</v>
      </c>
      <c r="G151" s="5">
        <v>1810325</v>
      </c>
    </row>
    <row r="152" spans="1:7" x14ac:dyDescent="0.2">
      <c r="A152">
        <v>505</v>
      </c>
      <c r="B152" t="s">
        <v>143</v>
      </c>
      <c r="C152" t="s">
        <v>695</v>
      </c>
      <c r="D152" s="5">
        <v>1616928</v>
      </c>
      <c r="E152" s="5">
        <v>961898</v>
      </c>
      <c r="F152" s="5">
        <v>26172</v>
      </c>
      <c r="G152" s="5">
        <v>2604998</v>
      </c>
    </row>
    <row r="153" spans="1:7" x14ac:dyDescent="0.2">
      <c r="A153">
        <v>512</v>
      </c>
      <c r="B153" t="s">
        <v>205</v>
      </c>
      <c r="C153" t="s">
        <v>695</v>
      </c>
      <c r="D153" s="5">
        <v>538218</v>
      </c>
      <c r="E153" s="5">
        <v>296647</v>
      </c>
      <c r="F153" s="5">
        <v>38466</v>
      </c>
      <c r="G153" s="5">
        <v>873332</v>
      </c>
    </row>
    <row r="154" spans="1:7" x14ac:dyDescent="0.2">
      <c r="A154">
        <v>513</v>
      </c>
      <c r="B154" t="s">
        <v>207</v>
      </c>
      <c r="C154" t="s">
        <v>695</v>
      </c>
      <c r="D154" s="5">
        <v>1086330</v>
      </c>
      <c r="E154" s="5">
        <v>479598</v>
      </c>
      <c r="F154" s="5">
        <v>39054</v>
      </c>
      <c r="G154" s="5">
        <v>1604982</v>
      </c>
    </row>
    <row r="155" spans="1:7" x14ac:dyDescent="0.2">
      <c r="A155">
        <v>518</v>
      </c>
      <c r="B155" t="s">
        <v>209</v>
      </c>
      <c r="C155" t="s">
        <v>695</v>
      </c>
      <c r="D155" s="5">
        <v>3479411</v>
      </c>
      <c r="E155" s="5">
        <v>6196131</v>
      </c>
      <c r="F155" s="5">
        <v>124872</v>
      </c>
      <c r="G155" s="5">
        <v>9800414</v>
      </c>
    </row>
    <row r="156" spans="1:7" x14ac:dyDescent="0.2">
      <c r="A156">
        <v>523</v>
      </c>
      <c r="B156" t="s">
        <v>227</v>
      </c>
      <c r="C156" t="s">
        <v>695</v>
      </c>
      <c r="D156" s="5">
        <v>356939</v>
      </c>
      <c r="E156" s="5">
        <v>133818</v>
      </c>
      <c r="F156" s="5">
        <v>16698</v>
      </c>
      <c r="G156" s="5">
        <v>507454</v>
      </c>
    </row>
    <row r="157" spans="1:7" x14ac:dyDescent="0.2">
      <c r="A157">
        <v>530</v>
      </c>
      <c r="B157" s="9" t="s">
        <v>599</v>
      </c>
      <c r="C157" t="s">
        <v>695</v>
      </c>
      <c r="D157" s="5">
        <v>831644</v>
      </c>
      <c r="E157" s="5">
        <v>291029</v>
      </c>
      <c r="F157" s="5">
        <v>10345</v>
      </c>
      <c r="G157" s="5">
        <v>1133019</v>
      </c>
    </row>
    <row r="158" spans="1:7" x14ac:dyDescent="0.2">
      <c r="A158">
        <v>531</v>
      </c>
      <c r="B158" t="s">
        <v>253</v>
      </c>
      <c r="C158" t="s">
        <v>695</v>
      </c>
      <c r="D158" s="5">
        <v>553749</v>
      </c>
      <c r="E158" s="5">
        <v>149494</v>
      </c>
      <c r="F158" s="5">
        <v>19626</v>
      </c>
      <c r="G158" s="5">
        <v>722869</v>
      </c>
    </row>
    <row r="159" spans="1:7" x14ac:dyDescent="0.2">
      <c r="A159">
        <v>532</v>
      </c>
      <c r="B159" t="s">
        <v>525</v>
      </c>
      <c r="C159" t="s">
        <v>695</v>
      </c>
      <c r="D159" s="5">
        <v>590624</v>
      </c>
      <c r="E159" s="5">
        <v>90207</v>
      </c>
      <c r="F159" s="5">
        <v>8935</v>
      </c>
      <c r="G159" s="5">
        <v>689767</v>
      </c>
    </row>
    <row r="160" spans="1:7" x14ac:dyDescent="0.2">
      <c r="A160">
        <v>534</v>
      </c>
      <c r="B160" t="s">
        <v>263</v>
      </c>
      <c r="C160" t="s">
        <v>695</v>
      </c>
      <c r="D160" s="5">
        <v>437189</v>
      </c>
      <c r="E160" s="5">
        <v>177281</v>
      </c>
      <c r="F160" s="5">
        <v>18248</v>
      </c>
      <c r="G160" s="5">
        <v>632717</v>
      </c>
    </row>
    <row r="161" spans="1:7" x14ac:dyDescent="0.2">
      <c r="A161">
        <v>537</v>
      </c>
      <c r="B161" t="s">
        <v>297</v>
      </c>
      <c r="C161" t="s">
        <v>695</v>
      </c>
      <c r="D161" s="5">
        <v>1061889</v>
      </c>
      <c r="E161" s="5">
        <v>441600</v>
      </c>
      <c r="F161" s="5">
        <v>44609</v>
      </c>
      <c r="G161" s="5">
        <v>1548098</v>
      </c>
    </row>
    <row r="162" spans="1:7" x14ac:dyDescent="0.2">
      <c r="A162">
        <v>542</v>
      </c>
      <c r="B162" t="s">
        <v>303</v>
      </c>
      <c r="C162" t="s">
        <v>695</v>
      </c>
      <c r="D162" s="5">
        <v>516402</v>
      </c>
      <c r="E162" s="5">
        <v>228501</v>
      </c>
      <c r="F162" s="5">
        <v>8852</v>
      </c>
      <c r="G162" s="5">
        <v>753756</v>
      </c>
    </row>
    <row r="163" spans="1:7" x14ac:dyDescent="0.2">
      <c r="A163">
        <v>546</v>
      </c>
      <c r="B163" t="s">
        <v>321</v>
      </c>
      <c r="C163" t="s">
        <v>695</v>
      </c>
      <c r="D163" s="5">
        <v>1477934</v>
      </c>
      <c r="E163" s="5">
        <v>967677</v>
      </c>
      <c r="F163" s="5">
        <v>38916</v>
      </c>
      <c r="G163" s="5">
        <v>2484526</v>
      </c>
    </row>
    <row r="164" spans="1:7" x14ac:dyDescent="0.2">
      <c r="A164">
        <v>547</v>
      </c>
      <c r="B164" t="s">
        <v>323</v>
      </c>
      <c r="C164" t="s">
        <v>695</v>
      </c>
      <c r="D164" s="5">
        <v>418905</v>
      </c>
      <c r="E164" s="5">
        <v>232283</v>
      </c>
      <c r="F164" s="5">
        <v>4785</v>
      </c>
      <c r="G164" s="5">
        <v>655973</v>
      </c>
    </row>
    <row r="165" spans="1:7" x14ac:dyDescent="0.2">
      <c r="A165">
        <v>553</v>
      </c>
      <c r="B165" t="s">
        <v>335</v>
      </c>
      <c r="C165" t="s">
        <v>695</v>
      </c>
      <c r="D165" s="5">
        <v>436672</v>
      </c>
      <c r="E165" s="5">
        <v>167244</v>
      </c>
      <c r="F165" s="5">
        <v>5875</v>
      </c>
      <c r="G165" s="5">
        <v>609791</v>
      </c>
    </row>
    <row r="166" spans="1:7" x14ac:dyDescent="0.2">
      <c r="A166">
        <v>556</v>
      </c>
      <c r="B166" t="s">
        <v>351</v>
      </c>
      <c r="C166" t="s">
        <v>695</v>
      </c>
      <c r="D166" s="5">
        <v>364320</v>
      </c>
      <c r="E166" s="5">
        <v>268723</v>
      </c>
      <c r="F166" s="5">
        <v>25689</v>
      </c>
      <c r="G166" s="5">
        <v>658731</v>
      </c>
    </row>
    <row r="167" spans="1:7" x14ac:dyDescent="0.2">
      <c r="A167">
        <v>569</v>
      </c>
      <c r="B167" t="s">
        <v>387</v>
      </c>
      <c r="C167" t="s">
        <v>695</v>
      </c>
      <c r="D167" s="5">
        <v>814176</v>
      </c>
      <c r="E167" s="5">
        <v>203028</v>
      </c>
      <c r="F167" s="5">
        <v>41585</v>
      </c>
      <c r="G167" s="5">
        <v>1058790</v>
      </c>
    </row>
    <row r="168" spans="1:7" x14ac:dyDescent="0.2">
      <c r="A168">
        <v>575</v>
      </c>
      <c r="B168" t="s">
        <v>403</v>
      </c>
      <c r="C168" t="s">
        <v>695</v>
      </c>
      <c r="D168" s="5">
        <v>982151</v>
      </c>
      <c r="E168" s="5">
        <v>423994</v>
      </c>
      <c r="F168" s="5">
        <v>32150</v>
      </c>
      <c r="G168" s="5">
        <v>1438295</v>
      </c>
    </row>
    <row r="169" spans="1:7" x14ac:dyDescent="0.2">
      <c r="A169">
        <v>579</v>
      </c>
      <c r="B169" t="s">
        <v>409</v>
      </c>
      <c r="C169" t="s">
        <v>695</v>
      </c>
      <c r="D169" s="5">
        <v>440036</v>
      </c>
      <c r="E169" s="5">
        <v>195217</v>
      </c>
      <c r="F169" s="5">
        <v>30830</v>
      </c>
      <c r="G169" s="5">
        <v>666082</v>
      </c>
    </row>
    <row r="170" spans="1:7" x14ac:dyDescent="0.2">
      <c r="A170">
        <v>589</v>
      </c>
      <c r="B170" t="s">
        <v>443</v>
      </c>
      <c r="C170" t="s">
        <v>695</v>
      </c>
      <c r="D170" s="5">
        <v>306440</v>
      </c>
      <c r="E170" s="5">
        <v>52710</v>
      </c>
      <c r="F170" s="5">
        <v>6302</v>
      </c>
      <c r="G170" s="5">
        <v>365452</v>
      </c>
    </row>
    <row r="171" spans="1:7" x14ac:dyDescent="0.2">
      <c r="A171">
        <v>590</v>
      </c>
      <c r="B171" t="s">
        <v>447</v>
      </c>
      <c r="C171" t="s">
        <v>695</v>
      </c>
      <c r="D171" s="5">
        <v>495446</v>
      </c>
      <c r="E171" s="5">
        <v>233869</v>
      </c>
      <c r="F171" s="5">
        <v>12308</v>
      </c>
      <c r="G171" s="5">
        <v>741623</v>
      </c>
    </row>
    <row r="172" spans="1:7" x14ac:dyDescent="0.2">
      <c r="A172">
        <v>597</v>
      </c>
      <c r="B172" t="s">
        <v>473</v>
      </c>
      <c r="C172" t="s">
        <v>695</v>
      </c>
      <c r="D172" s="5">
        <v>709759</v>
      </c>
      <c r="E172" s="5">
        <v>466251</v>
      </c>
      <c r="F172" s="5">
        <v>18719</v>
      </c>
      <c r="G172" s="5">
        <v>1194729</v>
      </c>
    </row>
    <row r="173" spans="1:7" x14ac:dyDescent="0.2">
      <c r="A173">
        <v>599</v>
      </c>
      <c r="B173" t="s">
        <v>487</v>
      </c>
      <c r="C173" t="s">
        <v>695</v>
      </c>
      <c r="D173" s="5">
        <v>4502365</v>
      </c>
      <c r="E173" s="5">
        <v>5727684</v>
      </c>
      <c r="F173" s="5">
        <v>169826</v>
      </c>
      <c r="G173" s="5">
        <v>10399875</v>
      </c>
    </row>
    <row r="174" spans="1:7" x14ac:dyDescent="0.2">
      <c r="A174">
        <v>603</v>
      </c>
      <c r="B174" t="s">
        <v>477</v>
      </c>
      <c r="C174" t="s">
        <v>695</v>
      </c>
      <c r="D174" s="5">
        <v>529202</v>
      </c>
      <c r="E174" s="5">
        <v>455649</v>
      </c>
      <c r="F174" s="5">
        <v>58827</v>
      </c>
      <c r="G174" s="5">
        <v>1043677</v>
      </c>
    </row>
    <row r="175" spans="1:7" x14ac:dyDescent="0.2">
      <c r="A175">
        <v>606</v>
      </c>
      <c r="B175" t="s">
        <v>497</v>
      </c>
      <c r="C175" t="s">
        <v>695</v>
      </c>
      <c r="D175" s="5">
        <v>614303</v>
      </c>
      <c r="E175" s="5">
        <v>777848</v>
      </c>
      <c r="F175" s="5">
        <v>27918</v>
      </c>
      <c r="G175" s="5">
        <v>1420068</v>
      </c>
    </row>
    <row r="176" spans="1:7" x14ac:dyDescent="0.2">
      <c r="A176">
        <v>610</v>
      </c>
      <c r="B176" t="s">
        <v>509</v>
      </c>
      <c r="C176" t="s">
        <v>695</v>
      </c>
      <c r="D176" s="5">
        <v>398497</v>
      </c>
      <c r="E176" s="5">
        <v>190019</v>
      </c>
      <c r="F176" s="5">
        <v>11360</v>
      </c>
      <c r="G176" s="5">
        <v>599876</v>
      </c>
    </row>
    <row r="177" spans="1:7" x14ac:dyDescent="0.2">
      <c r="A177">
        <v>613</v>
      </c>
      <c r="B177" t="s">
        <v>13</v>
      </c>
      <c r="C177" t="s">
        <v>695</v>
      </c>
      <c r="D177" s="5">
        <v>548830</v>
      </c>
      <c r="E177" s="5">
        <v>160930</v>
      </c>
      <c r="F177" s="5">
        <v>17146</v>
      </c>
      <c r="G177" s="5">
        <v>726905</v>
      </c>
    </row>
    <row r="178" spans="1:7" x14ac:dyDescent="0.2">
      <c r="A178">
        <v>614</v>
      </c>
      <c r="B178" s="9" t="s">
        <v>599</v>
      </c>
      <c r="C178" t="s">
        <v>695</v>
      </c>
      <c r="D178" s="5">
        <v>518688</v>
      </c>
      <c r="E178" s="5">
        <v>152822</v>
      </c>
      <c r="F178" s="5">
        <v>8581</v>
      </c>
      <c r="G178" s="5">
        <v>680091</v>
      </c>
    </row>
    <row r="179" spans="1:7" x14ac:dyDescent="0.2">
      <c r="A179">
        <v>622</v>
      </c>
      <c r="B179" t="s">
        <v>591</v>
      </c>
      <c r="C179" t="s">
        <v>695</v>
      </c>
      <c r="D179" s="5">
        <v>585494</v>
      </c>
      <c r="E179" s="5">
        <v>704206</v>
      </c>
      <c r="F179" s="5">
        <v>28775</v>
      </c>
      <c r="G179" s="5">
        <v>1318474</v>
      </c>
    </row>
    <row r="180" spans="1:7" x14ac:dyDescent="0.2">
      <c r="A180">
        <v>626</v>
      </c>
      <c r="B180" t="s">
        <v>601</v>
      </c>
      <c r="C180" t="s">
        <v>695</v>
      </c>
      <c r="D180" s="5">
        <v>494982</v>
      </c>
      <c r="E180" s="5">
        <v>177288</v>
      </c>
      <c r="F180" s="5">
        <v>7670</v>
      </c>
      <c r="G180" s="5">
        <v>679939</v>
      </c>
    </row>
    <row r="181" spans="1:7" x14ac:dyDescent="0.2">
      <c r="A181">
        <v>627</v>
      </c>
      <c r="B181" t="s">
        <v>613</v>
      </c>
      <c r="C181" t="s">
        <v>695</v>
      </c>
      <c r="D181" s="5">
        <v>508918</v>
      </c>
      <c r="E181" s="5">
        <v>231165</v>
      </c>
      <c r="F181" s="5">
        <v>53875</v>
      </c>
      <c r="G181" s="5">
        <v>793958</v>
      </c>
    </row>
    <row r="182" spans="1:7" x14ac:dyDescent="0.2">
      <c r="A182">
        <v>629</v>
      </c>
      <c r="B182" t="s">
        <v>617</v>
      </c>
      <c r="C182" t="s">
        <v>695</v>
      </c>
      <c r="D182" s="5">
        <v>762225</v>
      </c>
      <c r="E182" s="5">
        <v>201913</v>
      </c>
      <c r="F182" s="5">
        <v>6699</v>
      </c>
      <c r="G182" s="5">
        <v>970838</v>
      </c>
    </row>
    <row r="183" spans="1:7" x14ac:dyDescent="0.2">
      <c r="A183">
        <v>632</v>
      </c>
      <c r="B183" t="s">
        <v>651</v>
      </c>
      <c r="C183" t="s">
        <v>695</v>
      </c>
      <c r="D183" s="5">
        <v>1147906</v>
      </c>
      <c r="E183" s="5">
        <v>388016</v>
      </c>
      <c r="F183" s="5">
        <v>25168</v>
      </c>
      <c r="G183" s="5">
        <v>1561089</v>
      </c>
    </row>
    <row r="184" spans="1:7" x14ac:dyDescent="0.2">
      <c r="A184">
        <v>637</v>
      </c>
      <c r="B184" t="s">
        <v>671</v>
      </c>
      <c r="C184" t="s">
        <v>695</v>
      </c>
      <c r="D184" s="5">
        <v>1444138</v>
      </c>
      <c r="E184" s="5">
        <v>1145218</v>
      </c>
      <c r="F184" s="5">
        <v>61146</v>
      </c>
      <c r="G184" s="5">
        <v>2650503</v>
      </c>
    </row>
    <row r="185" spans="1:7" x14ac:dyDescent="0.2">
      <c r="A185">
        <v>638</v>
      </c>
      <c r="B185" t="s">
        <v>673</v>
      </c>
      <c r="C185" t="s">
        <v>695</v>
      </c>
      <c r="D185" s="5">
        <v>218946</v>
      </c>
      <c r="E185" s="5">
        <v>62833</v>
      </c>
      <c r="F185" s="5">
        <v>8940</v>
      </c>
      <c r="G185" s="5">
        <v>290719</v>
      </c>
    </row>
    <row r="186" spans="1:7" x14ac:dyDescent="0.2">
      <c r="A186">
        <v>642</v>
      </c>
      <c r="B186" t="s">
        <v>683</v>
      </c>
      <c r="C186" t="s">
        <v>695</v>
      </c>
      <c r="D186" s="5">
        <v>754974</v>
      </c>
      <c r="E186" s="5">
        <v>279630</v>
      </c>
      <c r="F186" s="5">
        <v>11486</v>
      </c>
      <c r="G186" s="5">
        <v>1046090</v>
      </c>
    </row>
    <row r="187" spans="1:7" x14ac:dyDescent="0.2">
      <c r="A187">
        <v>654</v>
      </c>
      <c r="B187" t="s">
        <v>93</v>
      </c>
      <c r="C187" t="s">
        <v>695</v>
      </c>
      <c r="D187" s="5">
        <v>829960</v>
      </c>
      <c r="E187" s="5">
        <v>128551</v>
      </c>
      <c r="F187" s="5">
        <v>14762</v>
      </c>
      <c r="G187" s="5">
        <v>973272</v>
      </c>
    </row>
    <row r="188" spans="1:7" x14ac:dyDescent="0.2">
      <c r="A188">
        <v>664</v>
      </c>
      <c r="B188" t="s">
        <v>199</v>
      </c>
      <c r="C188" t="s">
        <v>695</v>
      </c>
      <c r="D188" s="5">
        <v>934482</v>
      </c>
      <c r="E188" s="5">
        <v>370637</v>
      </c>
      <c r="F188" s="5">
        <v>43534</v>
      </c>
      <c r="G188" s="5">
        <v>1348652</v>
      </c>
    </row>
    <row r="189" spans="1:7" x14ac:dyDescent="0.2">
      <c r="A189">
        <v>668</v>
      </c>
      <c r="B189" t="s">
        <v>625</v>
      </c>
      <c r="C189" t="s">
        <v>695</v>
      </c>
      <c r="D189" s="5">
        <v>789774</v>
      </c>
      <c r="E189" s="5">
        <v>192086</v>
      </c>
      <c r="F189" s="5">
        <v>17958</v>
      </c>
      <c r="G189" s="5">
        <v>999818</v>
      </c>
    </row>
    <row r="190" spans="1:7" x14ac:dyDescent="0.2">
      <c r="A190">
        <v>677</v>
      </c>
      <c r="B190" t="s">
        <v>287</v>
      </c>
      <c r="C190" t="s">
        <v>695</v>
      </c>
      <c r="D190" s="5">
        <v>1102936</v>
      </c>
      <c r="E190" s="5">
        <v>216543</v>
      </c>
      <c r="F190" s="5">
        <v>19740</v>
      </c>
      <c r="G190" s="5">
        <v>1339219</v>
      </c>
    </row>
    <row r="191" spans="1:7" x14ac:dyDescent="0.2">
      <c r="A191">
        <v>678</v>
      </c>
      <c r="B191" t="s">
        <v>295</v>
      </c>
      <c r="C191" t="s">
        <v>695</v>
      </c>
      <c r="D191" s="5">
        <v>388599</v>
      </c>
      <c r="E191" s="5">
        <v>85559</v>
      </c>
      <c r="F191" s="5">
        <v>11521</v>
      </c>
      <c r="G191" s="5">
        <v>485679</v>
      </c>
    </row>
    <row r="192" spans="1:7" x14ac:dyDescent="0.2">
      <c r="A192">
        <v>687</v>
      </c>
      <c r="B192" t="s">
        <v>363</v>
      </c>
      <c r="C192" t="s">
        <v>695</v>
      </c>
      <c r="D192" s="5">
        <v>1151938</v>
      </c>
      <c r="E192" s="5">
        <v>362459</v>
      </c>
      <c r="F192" s="5">
        <v>31660</v>
      </c>
      <c r="G192" s="5">
        <v>1546057</v>
      </c>
    </row>
    <row r="193" spans="1:7" x14ac:dyDescent="0.2">
      <c r="A193">
        <v>703</v>
      </c>
      <c r="B193" t="s">
        <v>461</v>
      </c>
      <c r="C193" t="s">
        <v>695</v>
      </c>
      <c r="D193" s="5">
        <v>645882</v>
      </c>
      <c r="E193" s="5">
        <v>111650</v>
      </c>
      <c r="F193" s="5">
        <v>24259</v>
      </c>
      <c r="G193" s="5">
        <v>781791</v>
      </c>
    </row>
    <row r="194" spans="1:7" x14ac:dyDescent="0.2">
      <c r="A194">
        <v>715</v>
      </c>
      <c r="B194" t="s">
        <v>537</v>
      </c>
      <c r="C194" t="s">
        <v>695</v>
      </c>
      <c r="D194" s="5">
        <v>1597187</v>
      </c>
      <c r="E194" s="5">
        <v>427246</v>
      </c>
      <c r="F194" s="5">
        <v>31666</v>
      </c>
      <c r="G194" s="5">
        <v>2056099</v>
      </c>
    </row>
    <row r="195" spans="1:7" x14ac:dyDescent="0.2">
      <c r="A195">
        <v>716</v>
      </c>
      <c r="B195" t="s">
        <v>545</v>
      </c>
      <c r="C195" t="s">
        <v>695</v>
      </c>
      <c r="D195" s="5">
        <v>803803</v>
      </c>
      <c r="E195" s="5">
        <v>141121</v>
      </c>
      <c r="F195" s="5">
        <v>22421</v>
      </c>
      <c r="G195" s="5">
        <v>967345</v>
      </c>
    </row>
    <row r="196" spans="1:7" x14ac:dyDescent="0.2">
      <c r="A196">
        <v>717</v>
      </c>
      <c r="B196" t="s">
        <v>579</v>
      </c>
      <c r="C196" t="s">
        <v>695</v>
      </c>
      <c r="D196" s="5">
        <v>923245</v>
      </c>
      <c r="E196" s="5">
        <v>145461</v>
      </c>
      <c r="F196" s="5">
        <v>20051</v>
      </c>
      <c r="G196" s="5">
        <v>1088757</v>
      </c>
    </row>
    <row r="197" spans="1:7" x14ac:dyDescent="0.2">
      <c r="A197">
        <v>718</v>
      </c>
      <c r="B197" t="s">
        <v>595</v>
      </c>
      <c r="C197" t="s">
        <v>695</v>
      </c>
      <c r="D197" s="5">
        <v>888371</v>
      </c>
      <c r="E197" s="5">
        <v>388639</v>
      </c>
      <c r="F197" s="5">
        <v>12051</v>
      </c>
      <c r="G197" s="5">
        <v>1289061</v>
      </c>
    </row>
    <row r="198" spans="1:7" x14ac:dyDescent="0.2">
      <c r="A198">
        <v>736</v>
      </c>
      <c r="B198" t="s">
        <v>483</v>
      </c>
      <c r="C198" t="s">
        <v>695</v>
      </c>
      <c r="D198" s="5">
        <v>1151591</v>
      </c>
      <c r="E198" s="5">
        <v>379193</v>
      </c>
      <c r="F198" s="5">
        <v>50143</v>
      </c>
      <c r="G198" s="5">
        <v>1580926</v>
      </c>
    </row>
    <row r="199" spans="1:7" x14ac:dyDescent="0.2">
      <c r="A199">
        <v>737</v>
      </c>
      <c r="B199" t="s">
        <v>557</v>
      </c>
      <c r="C199" t="s">
        <v>695</v>
      </c>
      <c r="D199" s="5">
        <v>1263592</v>
      </c>
      <c r="E199" s="5">
        <v>332113</v>
      </c>
      <c r="F199" s="5">
        <v>24806</v>
      </c>
      <c r="G199" s="5">
        <v>1620512</v>
      </c>
    </row>
    <row r="200" spans="1:7" x14ac:dyDescent="0.2">
      <c r="A200">
        <v>743</v>
      </c>
      <c r="B200" t="s">
        <v>41</v>
      </c>
      <c r="C200" t="s">
        <v>695</v>
      </c>
      <c r="D200" s="5">
        <v>640560</v>
      </c>
      <c r="E200" s="5">
        <v>136885</v>
      </c>
      <c r="F200" s="5">
        <v>4935</v>
      </c>
      <c r="G200" s="5">
        <v>782380</v>
      </c>
    </row>
    <row r="201" spans="1:7" x14ac:dyDescent="0.2">
      <c r="A201">
        <v>744</v>
      </c>
      <c r="B201" t="s">
        <v>43</v>
      </c>
      <c r="C201" t="s">
        <v>695</v>
      </c>
      <c r="D201" s="5">
        <v>318675</v>
      </c>
      <c r="E201" s="5">
        <v>59901</v>
      </c>
      <c r="F201" s="5">
        <v>2592</v>
      </c>
      <c r="G201" s="5">
        <v>381167</v>
      </c>
    </row>
    <row r="202" spans="1:7" x14ac:dyDescent="0.2">
      <c r="A202">
        <v>748</v>
      </c>
      <c r="B202" t="s">
        <v>65</v>
      </c>
      <c r="C202" t="s">
        <v>695</v>
      </c>
      <c r="D202" s="5">
        <v>1368401</v>
      </c>
      <c r="E202" s="5">
        <v>671924</v>
      </c>
      <c r="F202" s="5">
        <v>39732</v>
      </c>
      <c r="G202" s="5">
        <v>2080057</v>
      </c>
    </row>
    <row r="203" spans="1:7" x14ac:dyDescent="0.2">
      <c r="A203">
        <v>753</v>
      </c>
      <c r="B203" t="s">
        <v>71</v>
      </c>
      <c r="C203" t="s">
        <v>695</v>
      </c>
      <c r="D203" s="5">
        <v>796638</v>
      </c>
      <c r="E203" s="5">
        <v>212373</v>
      </c>
      <c r="F203" s="5">
        <v>17956</v>
      </c>
      <c r="G203" s="5">
        <v>1026967</v>
      </c>
    </row>
    <row r="204" spans="1:7" x14ac:dyDescent="0.2">
      <c r="A204">
        <v>755</v>
      </c>
      <c r="B204" t="s">
        <v>87</v>
      </c>
      <c r="C204" t="s">
        <v>695</v>
      </c>
      <c r="D204" s="5">
        <v>462672</v>
      </c>
      <c r="E204" s="5">
        <v>131670</v>
      </c>
      <c r="F204" s="5">
        <v>6948</v>
      </c>
      <c r="G204" s="5">
        <v>601290</v>
      </c>
    </row>
    <row r="205" spans="1:7" x14ac:dyDescent="0.2">
      <c r="A205">
        <v>756</v>
      </c>
      <c r="B205" s="9" t="s">
        <v>309</v>
      </c>
      <c r="C205" t="s">
        <v>695</v>
      </c>
      <c r="D205" s="5">
        <v>1110588</v>
      </c>
      <c r="E205" s="5">
        <v>213416</v>
      </c>
      <c r="F205" s="5">
        <v>14359</v>
      </c>
      <c r="G205" s="5">
        <v>1338363</v>
      </c>
    </row>
    <row r="206" spans="1:7" x14ac:dyDescent="0.2">
      <c r="A206">
        <v>757</v>
      </c>
      <c r="B206" t="s">
        <v>95</v>
      </c>
      <c r="C206" t="s">
        <v>695</v>
      </c>
      <c r="D206" s="5">
        <v>886891</v>
      </c>
      <c r="E206" s="5">
        <v>381628</v>
      </c>
      <c r="F206" s="5">
        <v>5001</v>
      </c>
      <c r="G206" s="5">
        <v>1273519</v>
      </c>
    </row>
    <row r="207" spans="1:7" x14ac:dyDescent="0.2">
      <c r="A207">
        <v>758</v>
      </c>
      <c r="B207" t="s">
        <v>97</v>
      </c>
      <c r="C207" t="s">
        <v>695</v>
      </c>
      <c r="D207" s="5">
        <v>3565540</v>
      </c>
      <c r="E207" s="5">
        <v>1693446</v>
      </c>
      <c r="F207" s="5">
        <v>97557</v>
      </c>
      <c r="G207" s="5">
        <v>5356542</v>
      </c>
    </row>
    <row r="208" spans="1:7" x14ac:dyDescent="0.2">
      <c r="A208">
        <v>762</v>
      </c>
      <c r="B208" t="s">
        <v>127</v>
      </c>
      <c r="C208" t="s">
        <v>695</v>
      </c>
      <c r="D208" s="5">
        <v>1278394</v>
      </c>
      <c r="E208" s="5">
        <v>339342</v>
      </c>
      <c r="F208" s="5">
        <v>9447</v>
      </c>
      <c r="G208" s="5">
        <v>1627183</v>
      </c>
    </row>
    <row r="209" spans="1:7" x14ac:dyDescent="0.2">
      <c r="A209">
        <v>765</v>
      </c>
      <c r="B209" t="s">
        <v>451</v>
      </c>
      <c r="C209" t="s">
        <v>695</v>
      </c>
      <c r="D209" s="5">
        <v>503041</v>
      </c>
      <c r="E209" s="5">
        <v>100348</v>
      </c>
      <c r="F209" s="5">
        <v>6256</v>
      </c>
      <c r="G209" s="5">
        <v>609645</v>
      </c>
    </row>
    <row r="210" spans="1:7" x14ac:dyDescent="0.2">
      <c r="A210">
        <v>766</v>
      </c>
      <c r="B210" t="s">
        <v>141</v>
      </c>
      <c r="C210" t="s">
        <v>695</v>
      </c>
      <c r="D210" s="5">
        <v>812854</v>
      </c>
      <c r="E210" s="5">
        <v>300660</v>
      </c>
      <c r="F210" s="5">
        <v>14526</v>
      </c>
      <c r="G210" s="5">
        <v>1128040</v>
      </c>
    </row>
    <row r="211" spans="1:7" x14ac:dyDescent="0.2">
      <c r="A211">
        <v>770</v>
      </c>
      <c r="B211" t="s">
        <v>165</v>
      </c>
      <c r="C211" t="s">
        <v>695</v>
      </c>
      <c r="D211" s="5">
        <v>775146</v>
      </c>
      <c r="E211" s="5">
        <v>198673</v>
      </c>
      <c r="F211" s="5">
        <v>15643</v>
      </c>
      <c r="G211" s="5">
        <v>989462</v>
      </c>
    </row>
    <row r="212" spans="1:7" x14ac:dyDescent="0.2">
      <c r="A212">
        <v>772</v>
      </c>
      <c r="B212" t="s">
        <v>169</v>
      </c>
      <c r="C212" t="s">
        <v>695</v>
      </c>
      <c r="D212" s="5">
        <v>3998112</v>
      </c>
      <c r="E212" s="5">
        <v>2161844</v>
      </c>
      <c r="F212" s="5">
        <v>98613</v>
      </c>
      <c r="G212" s="5">
        <v>6258570</v>
      </c>
    </row>
    <row r="213" spans="1:7" x14ac:dyDescent="0.2">
      <c r="A213">
        <v>777</v>
      </c>
      <c r="B213" t="s">
        <v>183</v>
      </c>
      <c r="C213" t="s">
        <v>695</v>
      </c>
      <c r="D213" s="5">
        <v>1023110</v>
      </c>
      <c r="E213" s="5">
        <v>394345</v>
      </c>
      <c r="F213" s="5">
        <v>18385</v>
      </c>
      <c r="G213" s="5">
        <v>1435839</v>
      </c>
    </row>
    <row r="214" spans="1:7" x14ac:dyDescent="0.2">
      <c r="A214">
        <v>779</v>
      </c>
      <c r="B214" t="s">
        <v>187</v>
      </c>
      <c r="C214" t="s">
        <v>695</v>
      </c>
      <c r="D214" s="5">
        <v>583476</v>
      </c>
      <c r="E214" s="5">
        <v>119637</v>
      </c>
      <c r="F214" s="5">
        <v>9993</v>
      </c>
      <c r="G214" s="5">
        <v>713107</v>
      </c>
    </row>
    <row r="215" spans="1:7" x14ac:dyDescent="0.2">
      <c r="A215">
        <v>784</v>
      </c>
      <c r="B215" t="s">
        <v>195</v>
      </c>
      <c r="C215" t="s">
        <v>695</v>
      </c>
      <c r="D215" s="5">
        <v>751209</v>
      </c>
      <c r="E215" s="5">
        <v>226939</v>
      </c>
      <c r="F215" s="5">
        <v>11845</v>
      </c>
      <c r="G215" s="5">
        <v>989994</v>
      </c>
    </row>
    <row r="216" spans="1:7" x14ac:dyDescent="0.2">
      <c r="A216">
        <v>785</v>
      </c>
      <c r="B216" t="s">
        <v>201</v>
      </c>
      <c r="C216" t="s">
        <v>695</v>
      </c>
      <c r="D216" s="5">
        <v>584235</v>
      </c>
      <c r="E216" s="5">
        <v>313003</v>
      </c>
      <c r="F216" s="5">
        <v>15112</v>
      </c>
      <c r="G216" s="5">
        <v>912349</v>
      </c>
    </row>
    <row r="217" spans="1:7" x14ac:dyDescent="0.2">
      <c r="A217">
        <v>786</v>
      </c>
      <c r="B217" s="9" t="s">
        <v>309</v>
      </c>
      <c r="C217" t="s">
        <v>695</v>
      </c>
      <c r="D217" s="5">
        <v>397164</v>
      </c>
      <c r="E217" s="5">
        <v>71000</v>
      </c>
      <c r="F217" s="5">
        <v>5399</v>
      </c>
      <c r="G217" s="5">
        <v>473563</v>
      </c>
    </row>
    <row r="218" spans="1:7" x14ac:dyDescent="0.2">
      <c r="A218">
        <v>794</v>
      </c>
      <c r="B218" t="s">
        <v>251</v>
      </c>
      <c r="C218" t="s">
        <v>695</v>
      </c>
      <c r="D218" s="5">
        <v>2170446</v>
      </c>
      <c r="E218" s="5">
        <v>667736</v>
      </c>
      <c r="F218" s="5">
        <v>61781</v>
      </c>
      <c r="G218" s="5">
        <v>2899962</v>
      </c>
    </row>
    <row r="219" spans="1:7" x14ac:dyDescent="0.2">
      <c r="A219">
        <v>796</v>
      </c>
      <c r="B219" t="s">
        <v>257</v>
      </c>
      <c r="C219" t="s">
        <v>695</v>
      </c>
      <c r="D219" s="5">
        <v>2797987</v>
      </c>
      <c r="E219" s="5">
        <v>1774831</v>
      </c>
      <c r="F219" s="5">
        <v>68374</v>
      </c>
      <c r="G219" s="5">
        <v>4641193</v>
      </c>
    </row>
    <row r="220" spans="1:7" x14ac:dyDescent="0.2">
      <c r="A220">
        <v>797</v>
      </c>
      <c r="B220" t="s">
        <v>261</v>
      </c>
      <c r="C220" t="s">
        <v>695</v>
      </c>
      <c r="D220" s="5">
        <v>1292422</v>
      </c>
      <c r="E220" s="5">
        <v>407094</v>
      </c>
      <c r="F220" s="5">
        <v>33551</v>
      </c>
      <c r="G220" s="5">
        <v>1733067</v>
      </c>
    </row>
    <row r="221" spans="1:7" x14ac:dyDescent="0.2">
      <c r="A221">
        <v>798</v>
      </c>
      <c r="B221" t="s">
        <v>265</v>
      </c>
      <c r="C221" t="s">
        <v>695</v>
      </c>
      <c r="D221" s="5">
        <v>653671</v>
      </c>
      <c r="E221" s="5">
        <v>156545</v>
      </c>
      <c r="F221" s="5">
        <v>9198</v>
      </c>
      <c r="G221" s="5">
        <v>819415</v>
      </c>
    </row>
    <row r="222" spans="1:7" x14ac:dyDescent="0.2">
      <c r="A222">
        <v>809</v>
      </c>
      <c r="B222" t="s">
        <v>339</v>
      </c>
      <c r="C222" t="s">
        <v>695</v>
      </c>
      <c r="D222" s="5">
        <v>692789</v>
      </c>
      <c r="E222" s="5">
        <v>141798</v>
      </c>
      <c r="F222" s="5">
        <v>13646</v>
      </c>
      <c r="G222" s="5">
        <v>848233</v>
      </c>
    </row>
    <row r="223" spans="1:7" x14ac:dyDescent="0.2">
      <c r="A223">
        <v>815</v>
      </c>
      <c r="B223" s="9" t="s">
        <v>309</v>
      </c>
      <c r="C223" t="s">
        <v>695</v>
      </c>
      <c r="D223" s="5">
        <v>466386</v>
      </c>
      <c r="E223" s="5">
        <v>82576</v>
      </c>
      <c r="F223" s="5">
        <v>3653</v>
      </c>
      <c r="G223" s="5">
        <v>552615</v>
      </c>
    </row>
    <row r="224" spans="1:7" x14ac:dyDescent="0.2">
      <c r="A224">
        <v>820</v>
      </c>
      <c r="B224" s="9" t="s">
        <v>405</v>
      </c>
      <c r="C224" t="s">
        <v>695</v>
      </c>
      <c r="D224" s="5">
        <v>732730</v>
      </c>
      <c r="E224" s="5">
        <v>267963</v>
      </c>
      <c r="F224" s="5">
        <v>6351</v>
      </c>
      <c r="G224" s="5">
        <v>1007045</v>
      </c>
    </row>
    <row r="225" spans="1:7" x14ac:dyDescent="0.2">
      <c r="A225">
        <v>823</v>
      </c>
      <c r="B225" t="s">
        <v>411</v>
      </c>
      <c r="C225" t="s">
        <v>695</v>
      </c>
      <c r="D225" s="5">
        <v>722132</v>
      </c>
      <c r="E225" s="5">
        <v>166142</v>
      </c>
      <c r="F225" s="5">
        <v>10152</v>
      </c>
      <c r="G225" s="5">
        <v>898426</v>
      </c>
    </row>
    <row r="226" spans="1:7" x14ac:dyDescent="0.2">
      <c r="A226">
        <v>824</v>
      </c>
      <c r="B226" t="s">
        <v>413</v>
      </c>
      <c r="C226" t="s">
        <v>695</v>
      </c>
      <c r="D226" s="5">
        <v>1030372</v>
      </c>
      <c r="E226" s="5">
        <v>313277</v>
      </c>
      <c r="F226" s="5">
        <v>11916</v>
      </c>
      <c r="G226" s="5">
        <v>1355564</v>
      </c>
    </row>
    <row r="227" spans="1:7" x14ac:dyDescent="0.2">
      <c r="A227">
        <v>826</v>
      </c>
      <c r="B227" t="s">
        <v>427</v>
      </c>
      <c r="C227" t="s">
        <v>695</v>
      </c>
      <c r="D227" s="5">
        <v>1308442</v>
      </c>
      <c r="E227" s="5">
        <v>443025</v>
      </c>
      <c r="F227" s="5">
        <v>30627</v>
      </c>
      <c r="G227" s="5">
        <v>1782094</v>
      </c>
    </row>
    <row r="228" spans="1:7" x14ac:dyDescent="0.2">
      <c r="A228">
        <v>828</v>
      </c>
      <c r="B228" t="s">
        <v>437</v>
      </c>
      <c r="C228" t="s">
        <v>695</v>
      </c>
      <c r="D228" s="5">
        <v>2358815</v>
      </c>
      <c r="E228" s="5">
        <v>1013522</v>
      </c>
      <c r="F228" s="5">
        <v>43852</v>
      </c>
      <c r="G228" s="5">
        <v>3416189</v>
      </c>
    </row>
    <row r="229" spans="1:7" x14ac:dyDescent="0.2">
      <c r="A229">
        <v>840</v>
      </c>
      <c r="B229" t="s">
        <v>491</v>
      </c>
      <c r="C229" t="s">
        <v>695</v>
      </c>
      <c r="D229" s="5">
        <v>877517</v>
      </c>
      <c r="E229" s="5">
        <v>187086</v>
      </c>
      <c r="F229" s="5">
        <v>9606</v>
      </c>
      <c r="G229" s="5">
        <v>1074209</v>
      </c>
    </row>
    <row r="230" spans="1:7" x14ac:dyDescent="0.2">
      <c r="A230">
        <v>845</v>
      </c>
      <c r="B230" t="s">
        <v>505</v>
      </c>
      <c r="C230" t="s">
        <v>695</v>
      </c>
      <c r="D230" s="5">
        <v>1030833</v>
      </c>
      <c r="E230" s="5">
        <v>249080</v>
      </c>
      <c r="F230" s="5">
        <v>16816</v>
      </c>
      <c r="G230" s="5">
        <v>1296729</v>
      </c>
    </row>
    <row r="231" spans="1:7" x14ac:dyDescent="0.2">
      <c r="A231">
        <v>847</v>
      </c>
      <c r="B231" t="s">
        <v>517</v>
      </c>
      <c r="C231" t="s">
        <v>695</v>
      </c>
      <c r="D231" s="5">
        <v>738540</v>
      </c>
      <c r="E231" s="5">
        <v>199179</v>
      </c>
      <c r="F231" s="5">
        <v>12187</v>
      </c>
      <c r="G231" s="5">
        <v>949907</v>
      </c>
    </row>
    <row r="232" spans="1:7" x14ac:dyDescent="0.2">
      <c r="A232">
        <v>848</v>
      </c>
      <c r="B232" t="s">
        <v>519</v>
      </c>
      <c r="C232" t="s">
        <v>695</v>
      </c>
      <c r="D232" s="5">
        <v>466468</v>
      </c>
      <c r="E232" s="5">
        <v>229442</v>
      </c>
      <c r="F232" s="5">
        <v>11684</v>
      </c>
      <c r="G232" s="5">
        <v>707594</v>
      </c>
    </row>
    <row r="233" spans="1:7" x14ac:dyDescent="0.2">
      <c r="A233">
        <v>851</v>
      </c>
      <c r="B233" t="s">
        <v>527</v>
      </c>
      <c r="C233" t="s">
        <v>695</v>
      </c>
      <c r="D233" s="5">
        <v>750803</v>
      </c>
      <c r="E233" s="5">
        <v>166306</v>
      </c>
      <c r="F233" s="5">
        <v>15258</v>
      </c>
      <c r="G233" s="5">
        <v>932366</v>
      </c>
    </row>
    <row r="234" spans="1:7" x14ac:dyDescent="0.2">
      <c r="A234">
        <v>852</v>
      </c>
      <c r="B234" t="s">
        <v>619</v>
      </c>
      <c r="C234" t="s">
        <v>695</v>
      </c>
      <c r="D234" s="5">
        <v>491970</v>
      </c>
      <c r="E234" s="5">
        <v>53886</v>
      </c>
      <c r="F234" s="5">
        <v>6810</v>
      </c>
      <c r="G234" s="5">
        <v>552666</v>
      </c>
    </row>
    <row r="235" spans="1:7" x14ac:dyDescent="0.2">
      <c r="A235">
        <v>855</v>
      </c>
      <c r="B235" t="s">
        <v>549</v>
      </c>
      <c r="C235" t="s">
        <v>695</v>
      </c>
      <c r="D235" s="5">
        <v>3543388</v>
      </c>
      <c r="E235" s="5">
        <v>2351751</v>
      </c>
      <c r="F235" s="5">
        <v>76141</v>
      </c>
      <c r="G235" s="5">
        <v>5971280</v>
      </c>
    </row>
    <row r="236" spans="1:7" x14ac:dyDescent="0.2">
      <c r="A236">
        <v>856</v>
      </c>
      <c r="B236" s="9" t="s">
        <v>349</v>
      </c>
      <c r="C236" t="s">
        <v>695</v>
      </c>
      <c r="D236" s="5">
        <v>1122245</v>
      </c>
      <c r="E236" s="5">
        <v>577799</v>
      </c>
      <c r="F236" s="5">
        <v>13641</v>
      </c>
      <c r="G236" s="5">
        <v>1713685</v>
      </c>
    </row>
    <row r="237" spans="1:7" x14ac:dyDescent="0.2">
      <c r="A237">
        <v>858</v>
      </c>
      <c r="B237" t="s">
        <v>573</v>
      </c>
      <c r="C237" t="s">
        <v>695</v>
      </c>
      <c r="D237" s="5">
        <v>886392</v>
      </c>
      <c r="E237" s="5">
        <v>301472</v>
      </c>
      <c r="F237" s="5">
        <v>11184</v>
      </c>
      <c r="G237" s="5">
        <v>1199049</v>
      </c>
    </row>
    <row r="238" spans="1:7" x14ac:dyDescent="0.2">
      <c r="A238">
        <v>861</v>
      </c>
      <c r="B238" t="s">
        <v>581</v>
      </c>
      <c r="C238" t="s">
        <v>695</v>
      </c>
      <c r="D238" s="5">
        <v>1214632</v>
      </c>
      <c r="E238" s="5">
        <v>410877</v>
      </c>
      <c r="F238" s="5">
        <v>15708</v>
      </c>
      <c r="G238" s="5">
        <v>1641216</v>
      </c>
    </row>
    <row r="239" spans="1:7" x14ac:dyDescent="0.2">
      <c r="A239">
        <v>865</v>
      </c>
      <c r="B239" t="s">
        <v>605</v>
      </c>
      <c r="C239" t="s">
        <v>695</v>
      </c>
      <c r="D239" s="5">
        <v>889964</v>
      </c>
      <c r="E239" s="5">
        <v>265810</v>
      </c>
      <c r="F239" s="5">
        <v>11200</v>
      </c>
      <c r="G239" s="5">
        <v>1166975</v>
      </c>
    </row>
    <row r="240" spans="1:7" x14ac:dyDescent="0.2">
      <c r="A240">
        <v>866</v>
      </c>
      <c r="B240" t="s">
        <v>609</v>
      </c>
      <c r="C240" t="s">
        <v>695</v>
      </c>
      <c r="D240" s="5">
        <v>538022</v>
      </c>
      <c r="E240" s="5">
        <v>180461</v>
      </c>
      <c r="F240" s="5">
        <v>10464</v>
      </c>
      <c r="G240" s="5">
        <v>728948</v>
      </c>
    </row>
    <row r="241" spans="1:7" x14ac:dyDescent="0.2">
      <c r="A241">
        <v>867</v>
      </c>
      <c r="B241" t="s">
        <v>611</v>
      </c>
      <c r="C241" t="s">
        <v>695</v>
      </c>
      <c r="D241" s="5">
        <v>1183203</v>
      </c>
      <c r="E241" s="5">
        <v>470232</v>
      </c>
      <c r="F241" s="5">
        <v>41066</v>
      </c>
      <c r="G241" s="5">
        <v>1694501</v>
      </c>
    </row>
    <row r="242" spans="1:7" x14ac:dyDescent="0.2">
      <c r="A242">
        <v>873</v>
      </c>
      <c r="B242" t="s">
        <v>649</v>
      </c>
      <c r="C242" t="s">
        <v>695</v>
      </c>
      <c r="D242" s="5">
        <v>755788</v>
      </c>
      <c r="E242" s="5">
        <v>139911</v>
      </c>
      <c r="F242" s="5">
        <v>6681</v>
      </c>
      <c r="G242" s="5">
        <v>902381</v>
      </c>
    </row>
    <row r="243" spans="1:7" x14ac:dyDescent="0.2">
      <c r="A243">
        <v>879</v>
      </c>
      <c r="B243" t="s">
        <v>677</v>
      </c>
      <c r="C243" t="s">
        <v>695</v>
      </c>
      <c r="D243" s="5">
        <v>953450</v>
      </c>
      <c r="E243" s="5">
        <v>199758</v>
      </c>
      <c r="F243" s="5">
        <v>16033</v>
      </c>
      <c r="G243" s="5">
        <v>1169241</v>
      </c>
    </row>
    <row r="244" spans="1:7" x14ac:dyDescent="0.2">
      <c r="A244">
        <v>880</v>
      </c>
      <c r="B244" t="s">
        <v>655</v>
      </c>
      <c r="C244" t="s">
        <v>695</v>
      </c>
      <c r="D244" s="5">
        <v>350632</v>
      </c>
      <c r="E244" s="5">
        <v>125039</v>
      </c>
      <c r="F244" s="5">
        <v>7056</v>
      </c>
      <c r="G244" s="5">
        <v>482727</v>
      </c>
    </row>
    <row r="245" spans="1:7" x14ac:dyDescent="0.2">
      <c r="A245">
        <v>882</v>
      </c>
      <c r="B245" t="s">
        <v>311</v>
      </c>
      <c r="C245" t="s">
        <v>695</v>
      </c>
      <c r="D245" s="5">
        <v>850775</v>
      </c>
      <c r="E245" s="5">
        <v>597906</v>
      </c>
      <c r="F245" s="5">
        <v>3223</v>
      </c>
      <c r="G245" s="5">
        <v>1451904</v>
      </c>
    </row>
    <row r="246" spans="1:7" x14ac:dyDescent="0.2">
      <c r="A246">
        <v>888</v>
      </c>
      <c r="B246" t="s">
        <v>51</v>
      </c>
      <c r="C246" t="s">
        <v>695</v>
      </c>
      <c r="D246" s="5">
        <v>477270</v>
      </c>
      <c r="E246" s="5">
        <v>195046</v>
      </c>
      <c r="F246" s="5">
        <v>389</v>
      </c>
      <c r="G246" s="5">
        <v>672705</v>
      </c>
    </row>
    <row r="247" spans="1:7" x14ac:dyDescent="0.2">
      <c r="A247">
        <v>889</v>
      </c>
      <c r="B247" t="s">
        <v>55</v>
      </c>
      <c r="C247" t="s">
        <v>695</v>
      </c>
      <c r="D247" s="5">
        <v>456837</v>
      </c>
      <c r="E247" s="5">
        <v>107429</v>
      </c>
      <c r="F247" s="5">
        <v>2698</v>
      </c>
      <c r="G247" s="5">
        <v>566964</v>
      </c>
    </row>
    <row r="248" spans="1:7" x14ac:dyDescent="0.2">
      <c r="A248">
        <v>893</v>
      </c>
      <c r="B248" s="9" t="s">
        <v>61</v>
      </c>
      <c r="C248" t="s">
        <v>695</v>
      </c>
      <c r="D248" s="5">
        <v>550218</v>
      </c>
      <c r="E248" s="5">
        <v>115257</v>
      </c>
      <c r="F248" s="5">
        <v>2492</v>
      </c>
      <c r="G248" s="5">
        <v>667967</v>
      </c>
    </row>
    <row r="249" spans="1:7" x14ac:dyDescent="0.2">
      <c r="A249">
        <v>899</v>
      </c>
      <c r="B249" t="s">
        <v>103</v>
      </c>
      <c r="C249" t="s">
        <v>695</v>
      </c>
      <c r="D249" s="5">
        <v>644225</v>
      </c>
      <c r="E249" s="5">
        <v>376309</v>
      </c>
      <c r="F249" s="5">
        <v>2337</v>
      </c>
      <c r="G249" s="5">
        <v>1022871</v>
      </c>
    </row>
    <row r="250" spans="1:7" x14ac:dyDescent="0.2">
      <c r="A250">
        <v>907</v>
      </c>
      <c r="B250" t="s">
        <v>193</v>
      </c>
      <c r="C250" t="s">
        <v>695</v>
      </c>
      <c r="D250" s="5">
        <v>589960</v>
      </c>
      <c r="E250" s="5">
        <v>134882</v>
      </c>
      <c r="F250" s="5">
        <v>7932</v>
      </c>
      <c r="G250" s="5">
        <v>732774</v>
      </c>
    </row>
    <row r="251" spans="1:7" x14ac:dyDescent="0.2">
      <c r="A251">
        <v>917</v>
      </c>
      <c r="B251" t="s">
        <v>241</v>
      </c>
      <c r="C251" t="s">
        <v>695</v>
      </c>
      <c r="D251" s="5">
        <v>1638281</v>
      </c>
      <c r="E251" s="5">
        <v>1094970</v>
      </c>
      <c r="F251" s="5">
        <v>13289</v>
      </c>
      <c r="G251" s="5">
        <v>2746540</v>
      </c>
    </row>
    <row r="252" spans="1:7" x14ac:dyDescent="0.2">
      <c r="A252">
        <v>928</v>
      </c>
      <c r="B252" t="s">
        <v>299</v>
      </c>
      <c r="C252" t="s">
        <v>695</v>
      </c>
      <c r="D252" s="5">
        <v>986417</v>
      </c>
      <c r="E252" s="5">
        <v>639785</v>
      </c>
      <c r="F252" s="5">
        <v>6493</v>
      </c>
      <c r="G252" s="5">
        <v>1632694</v>
      </c>
    </row>
    <row r="253" spans="1:7" x14ac:dyDescent="0.2">
      <c r="A253">
        <v>935</v>
      </c>
      <c r="B253" t="s">
        <v>353</v>
      </c>
      <c r="C253" t="s">
        <v>695</v>
      </c>
      <c r="D253" s="5">
        <v>2221113</v>
      </c>
      <c r="E253" s="5">
        <v>1464952</v>
      </c>
      <c r="F253" s="5">
        <v>24960</v>
      </c>
      <c r="G253" s="5">
        <v>3711025</v>
      </c>
    </row>
    <row r="254" spans="1:7" x14ac:dyDescent="0.2">
      <c r="A254">
        <v>938</v>
      </c>
      <c r="B254" t="s">
        <v>357</v>
      </c>
      <c r="C254" t="s">
        <v>695</v>
      </c>
      <c r="D254" s="5">
        <v>602653</v>
      </c>
      <c r="E254" s="5">
        <v>295711</v>
      </c>
      <c r="F254" s="5">
        <v>663</v>
      </c>
      <c r="G254" s="5">
        <v>899026</v>
      </c>
    </row>
    <row r="255" spans="1:7" x14ac:dyDescent="0.2">
      <c r="A255">
        <v>944</v>
      </c>
      <c r="B255" t="s">
        <v>379</v>
      </c>
      <c r="C255" t="s">
        <v>695</v>
      </c>
      <c r="D255" s="5">
        <v>295620</v>
      </c>
      <c r="E255" s="5">
        <v>70123</v>
      </c>
      <c r="F255" s="5">
        <v>2937</v>
      </c>
      <c r="G255" s="5">
        <v>368680</v>
      </c>
    </row>
    <row r="256" spans="1:7" x14ac:dyDescent="0.2">
      <c r="A256">
        <v>946</v>
      </c>
      <c r="B256" t="s">
        <v>383</v>
      </c>
      <c r="C256" t="s">
        <v>695</v>
      </c>
      <c r="D256" s="5">
        <v>704217</v>
      </c>
      <c r="E256" s="5">
        <v>262452</v>
      </c>
      <c r="F256" s="5">
        <v>3060</v>
      </c>
      <c r="G256" s="5">
        <v>969729</v>
      </c>
    </row>
    <row r="257" spans="1:7" x14ac:dyDescent="0.2">
      <c r="A257">
        <v>957</v>
      </c>
      <c r="B257" t="s">
        <v>481</v>
      </c>
      <c r="C257" t="s">
        <v>695</v>
      </c>
      <c r="D257" s="5">
        <v>1406564</v>
      </c>
      <c r="E257" s="5">
        <v>614831</v>
      </c>
      <c r="F257" s="5">
        <v>23178</v>
      </c>
      <c r="G257" s="5">
        <v>2044572</v>
      </c>
    </row>
    <row r="258" spans="1:7" x14ac:dyDescent="0.2">
      <c r="A258">
        <v>965</v>
      </c>
      <c r="B258" t="s">
        <v>503</v>
      </c>
      <c r="C258" t="s">
        <v>695</v>
      </c>
      <c r="D258" s="5">
        <v>317145</v>
      </c>
      <c r="E258" s="5">
        <v>139576</v>
      </c>
      <c r="F258" s="5">
        <v>2548</v>
      </c>
      <c r="G258" s="5">
        <v>459270</v>
      </c>
    </row>
    <row r="259" spans="1:7" x14ac:dyDescent="0.2">
      <c r="A259">
        <v>971</v>
      </c>
      <c r="B259" t="s">
        <v>531</v>
      </c>
      <c r="C259" t="s">
        <v>695</v>
      </c>
      <c r="D259" s="5">
        <v>701686</v>
      </c>
      <c r="E259" s="5">
        <v>339329</v>
      </c>
      <c r="F259" s="5">
        <v>3786</v>
      </c>
      <c r="G259" s="5">
        <v>1044801</v>
      </c>
    </row>
    <row r="260" spans="1:7" x14ac:dyDescent="0.2">
      <c r="A260">
        <v>981</v>
      </c>
      <c r="B260" t="s">
        <v>569</v>
      </c>
      <c r="C260" t="s">
        <v>695</v>
      </c>
      <c r="D260" s="5">
        <v>257652</v>
      </c>
      <c r="E260" s="5">
        <v>119446</v>
      </c>
      <c r="F260" s="5">
        <v>4889</v>
      </c>
      <c r="G260" s="5">
        <v>381987</v>
      </c>
    </row>
    <row r="261" spans="1:7" x14ac:dyDescent="0.2">
      <c r="A261">
        <v>983</v>
      </c>
      <c r="B261" t="s">
        <v>585</v>
      </c>
      <c r="C261" t="s">
        <v>695</v>
      </c>
      <c r="D261" s="5">
        <v>2688130</v>
      </c>
      <c r="E261" s="5">
        <v>1068256</v>
      </c>
      <c r="F261" s="5">
        <v>35460</v>
      </c>
      <c r="G261" s="5">
        <v>3791846</v>
      </c>
    </row>
    <row r="262" spans="1:7" x14ac:dyDescent="0.2">
      <c r="A262">
        <v>984</v>
      </c>
      <c r="B262" t="s">
        <v>587</v>
      </c>
      <c r="C262" t="s">
        <v>695</v>
      </c>
      <c r="D262" s="5">
        <v>1365304</v>
      </c>
      <c r="E262" s="5">
        <v>737617</v>
      </c>
      <c r="F262" s="5">
        <v>27752</v>
      </c>
      <c r="G262" s="5">
        <v>2130674</v>
      </c>
    </row>
    <row r="263" spans="1:7" x14ac:dyDescent="0.2">
      <c r="A263">
        <v>986</v>
      </c>
      <c r="B263" t="s">
        <v>597</v>
      </c>
      <c r="C263" t="s">
        <v>695</v>
      </c>
      <c r="D263" s="5">
        <v>400817</v>
      </c>
      <c r="E263" s="5">
        <v>186996</v>
      </c>
      <c r="F263" s="5">
        <v>4147</v>
      </c>
      <c r="G263" s="5">
        <v>591960</v>
      </c>
    </row>
    <row r="264" spans="1:7" x14ac:dyDescent="0.2">
      <c r="A264">
        <v>988</v>
      </c>
      <c r="B264" t="s">
        <v>621</v>
      </c>
      <c r="C264" t="s">
        <v>695</v>
      </c>
      <c r="D264" s="5">
        <v>1529239</v>
      </c>
      <c r="E264" s="5">
        <v>543073</v>
      </c>
      <c r="F264" s="5">
        <v>13393</v>
      </c>
      <c r="G264" s="5">
        <v>2085705</v>
      </c>
    </row>
    <row r="265" spans="1:7" x14ac:dyDescent="0.2">
      <c r="A265">
        <v>994</v>
      </c>
      <c r="B265" t="s">
        <v>571</v>
      </c>
      <c r="C265" t="s">
        <v>695</v>
      </c>
      <c r="D265" s="5">
        <v>505503</v>
      </c>
      <c r="E265" s="5">
        <v>221947</v>
      </c>
      <c r="F265" s="5">
        <v>2127</v>
      </c>
      <c r="G265" s="5">
        <v>729577</v>
      </c>
    </row>
    <row r="266" spans="1:7" x14ac:dyDescent="0.2">
      <c r="A266">
        <v>995</v>
      </c>
      <c r="B266" t="s">
        <v>327</v>
      </c>
      <c r="C266" t="s">
        <v>695</v>
      </c>
      <c r="D266" s="5">
        <v>1264265</v>
      </c>
      <c r="E266" s="5">
        <v>1097181</v>
      </c>
      <c r="F266" s="5">
        <v>49548</v>
      </c>
      <c r="G266" s="5">
        <v>2410994</v>
      </c>
    </row>
    <row r="267" spans="1:7" x14ac:dyDescent="0.2">
      <c r="A267">
        <v>1507</v>
      </c>
      <c r="B267" t="s">
        <v>281</v>
      </c>
      <c r="C267" t="s">
        <v>695</v>
      </c>
      <c r="D267" s="5">
        <v>1815277</v>
      </c>
      <c r="E267" s="5">
        <v>464385</v>
      </c>
      <c r="F267" s="5">
        <v>12550</v>
      </c>
      <c r="G267" s="5">
        <v>2292213</v>
      </c>
    </row>
    <row r="268" spans="1:7" x14ac:dyDescent="0.2">
      <c r="A268">
        <v>1509</v>
      </c>
      <c r="B268" t="s">
        <v>439</v>
      </c>
      <c r="C268" t="s">
        <v>695</v>
      </c>
      <c r="D268" s="5">
        <v>1549919</v>
      </c>
      <c r="E268" s="5">
        <v>344460</v>
      </c>
      <c r="F268" s="5">
        <v>7176</v>
      </c>
      <c r="G268" s="5">
        <v>1901556</v>
      </c>
    </row>
    <row r="269" spans="1:7" x14ac:dyDescent="0.2">
      <c r="A269">
        <v>1525</v>
      </c>
      <c r="B269" t="s">
        <v>543</v>
      </c>
      <c r="C269" t="s">
        <v>695</v>
      </c>
      <c r="D269" s="5">
        <v>813809</v>
      </c>
      <c r="E269" s="5">
        <v>254103</v>
      </c>
      <c r="F269" s="5">
        <v>35134</v>
      </c>
      <c r="G269" s="5">
        <v>1103046</v>
      </c>
    </row>
    <row r="270" spans="1:7" x14ac:dyDescent="0.2">
      <c r="A270">
        <v>1581</v>
      </c>
      <c r="B270" t="s">
        <v>567</v>
      </c>
      <c r="C270" t="s">
        <v>695</v>
      </c>
      <c r="D270" s="5">
        <v>1398625</v>
      </c>
      <c r="E270" s="5">
        <v>423283</v>
      </c>
      <c r="F270" s="5">
        <v>26462</v>
      </c>
      <c r="G270" s="5">
        <v>1848371</v>
      </c>
    </row>
    <row r="271" spans="1:7" x14ac:dyDescent="0.2">
      <c r="A271">
        <v>1586</v>
      </c>
      <c r="B271" t="s">
        <v>425</v>
      </c>
      <c r="C271" t="s">
        <v>695</v>
      </c>
      <c r="D271" s="5">
        <v>1136686</v>
      </c>
      <c r="E271" s="5">
        <v>217952</v>
      </c>
      <c r="F271" s="5">
        <v>5185</v>
      </c>
      <c r="G271" s="5">
        <v>1359823</v>
      </c>
    </row>
    <row r="272" spans="1:7" x14ac:dyDescent="0.2">
      <c r="A272">
        <v>1598</v>
      </c>
      <c r="B272" t="s">
        <v>301</v>
      </c>
      <c r="C272" t="s">
        <v>695</v>
      </c>
      <c r="D272" s="5">
        <v>741159</v>
      </c>
      <c r="E272" s="5">
        <v>171550</v>
      </c>
      <c r="F272" s="5">
        <v>22828</v>
      </c>
      <c r="G272" s="5">
        <v>935538</v>
      </c>
    </row>
    <row r="273" spans="1:7" x14ac:dyDescent="0.2">
      <c r="A273">
        <v>1621</v>
      </c>
      <c r="B273" t="s">
        <v>315</v>
      </c>
      <c r="C273" t="s">
        <v>695</v>
      </c>
      <c r="D273" s="5">
        <v>1175919</v>
      </c>
      <c r="E273" s="5">
        <v>491052</v>
      </c>
      <c r="F273" s="5">
        <v>63367</v>
      </c>
      <c r="G273" s="5">
        <v>1730338</v>
      </c>
    </row>
    <row r="274" spans="1:7" x14ac:dyDescent="0.2">
      <c r="A274">
        <v>1640</v>
      </c>
      <c r="B274" t="s">
        <v>329</v>
      </c>
      <c r="C274" t="s">
        <v>695</v>
      </c>
      <c r="D274" s="5">
        <v>1572922</v>
      </c>
      <c r="E274" s="5">
        <v>474317</v>
      </c>
      <c r="F274" s="5">
        <v>11149</v>
      </c>
      <c r="G274" s="5">
        <v>2058388</v>
      </c>
    </row>
    <row r="275" spans="1:7" x14ac:dyDescent="0.2">
      <c r="A275">
        <v>1641</v>
      </c>
      <c r="B275" t="s">
        <v>347</v>
      </c>
      <c r="C275" t="s">
        <v>695</v>
      </c>
      <c r="D275" s="5">
        <v>956404</v>
      </c>
      <c r="E275" s="5">
        <v>288031</v>
      </c>
      <c r="F275" s="5">
        <v>6151</v>
      </c>
      <c r="G275" s="5">
        <v>1250586</v>
      </c>
    </row>
    <row r="276" spans="1:7" x14ac:dyDescent="0.2">
      <c r="A276">
        <v>1652</v>
      </c>
      <c r="B276" t="s">
        <v>191</v>
      </c>
      <c r="C276" t="s">
        <v>695</v>
      </c>
      <c r="D276" s="5">
        <v>1141566</v>
      </c>
      <c r="E276" s="5">
        <v>333634</v>
      </c>
      <c r="F276" s="5">
        <v>14824</v>
      </c>
      <c r="G276" s="5">
        <v>1490025</v>
      </c>
    </row>
    <row r="277" spans="1:7" x14ac:dyDescent="0.2">
      <c r="A277">
        <v>1655</v>
      </c>
      <c r="B277" t="s">
        <v>221</v>
      </c>
      <c r="C277" t="s">
        <v>695</v>
      </c>
      <c r="D277" s="5">
        <v>1025101</v>
      </c>
      <c r="E277" s="5">
        <v>258999</v>
      </c>
      <c r="F277" s="5">
        <v>17658</v>
      </c>
      <c r="G277" s="5">
        <v>1301757</v>
      </c>
    </row>
    <row r="278" spans="1:7" x14ac:dyDescent="0.2">
      <c r="A278">
        <v>1658</v>
      </c>
      <c r="B278" t="s">
        <v>243</v>
      </c>
      <c r="C278" t="s">
        <v>695</v>
      </c>
      <c r="D278" s="5">
        <v>672765</v>
      </c>
      <c r="E278" s="5">
        <v>131378</v>
      </c>
      <c r="F278" s="5">
        <v>8445</v>
      </c>
      <c r="G278" s="5">
        <v>812588</v>
      </c>
    </row>
    <row r="279" spans="1:7" x14ac:dyDescent="0.2">
      <c r="A279">
        <v>1659</v>
      </c>
      <c r="B279" t="s">
        <v>307</v>
      </c>
      <c r="C279" t="s">
        <v>695</v>
      </c>
      <c r="D279" s="5">
        <v>799046</v>
      </c>
      <c r="E279" s="5">
        <v>160921</v>
      </c>
      <c r="F279" s="5">
        <v>9606</v>
      </c>
      <c r="G279" s="5">
        <v>969573</v>
      </c>
    </row>
    <row r="280" spans="1:7" x14ac:dyDescent="0.2">
      <c r="A280">
        <v>1667</v>
      </c>
      <c r="B280" t="s">
        <v>467</v>
      </c>
      <c r="C280" t="s">
        <v>695</v>
      </c>
      <c r="D280" s="5">
        <v>565648</v>
      </c>
      <c r="E280" s="5">
        <v>82393</v>
      </c>
      <c r="F280" s="5">
        <v>3967</v>
      </c>
      <c r="G280" s="5">
        <v>652007</v>
      </c>
    </row>
    <row r="281" spans="1:7" x14ac:dyDescent="0.2">
      <c r="A281">
        <v>1669</v>
      </c>
      <c r="B281" t="s">
        <v>479</v>
      </c>
      <c r="C281" t="s">
        <v>695</v>
      </c>
      <c r="D281" s="5">
        <v>836783</v>
      </c>
      <c r="E281" s="5">
        <v>217607</v>
      </c>
      <c r="F281" s="5">
        <v>3268</v>
      </c>
      <c r="G281" s="5">
        <v>1057659</v>
      </c>
    </row>
    <row r="282" spans="1:7" x14ac:dyDescent="0.2">
      <c r="A282">
        <v>1674</v>
      </c>
      <c r="B282" t="s">
        <v>485</v>
      </c>
      <c r="C282" t="s">
        <v>695</v>
      </c>
      <c r="D282" s="5">
        <v>1877254</v>
      </c>
      <c r="E282" s="5">
        <v>746418</v>
      </c>
      <c r="F282" s="5">
        <v>14578</v>
      </c>
      <c r="G282" s="5">
        <v>2638250</v>
      </c>
    </row>
    <row r="283" spans="1:7" x14ac:dyDescent="0.2">
      <c r="A283">
        <v>1676</v>
      </c>
      <c r="B283" t="s">
        <v>501</v>
      </c>
      <c r="C283" t="s">
        <v>695</v>
      </c>
      <c r="D283" s="5">
        <v>1317410</v>
      </c>
      <c r="E283" s="5">
        <v>268848</v>
      </c>
      <c r="F283" s="5">
        <v>28448</v>
      </c>
      <c r="G283" s="5">
        <v>1614706</v>
      </c>
    </row>
    <row r="284" spans="1:7" x14ac:dyDescent="0.2">
      <c r="A284">
        <v>1680</v>
      </c>
      <c r="B284" t="s">
        <v>3</v>
      </c>
      <c r="C284" t="s">
        <v>695</v>
      </c>
      <c r="D284" s="5">
        <v>1409987</v>
      </c>
      <c r="E284" s="5">
        <v>191469</v>
      </c>
      <c r="F284" s="5">
        <v>20404</v>
      </c>
      <c r="G284" s="5">
        <v>1621860</v>
      </c>
    </row>
    <row r="285" spans="1:7" x14ac:dyDescent="0.2">
      <c r="A285">
        <v>1681</v>
      </c>
      <c r="B285" t="s">
        <v>89</v>
      </c>
      <c r="C285" t="s">
        <v>695</v>
      </c>
      <c r="D285" s="5">
        <v>1300454</v>
      </c>
      <c r="E285" s="5">
        <v>126822</v>
      </c>
      <c r="F285" s="5">
        <v>22679</v>
      </c>
      <c r="G285" s="5">
        <v>1449955</v>
      </c>
    </row>
    <row r="286" spans="1:7" x14ac:dyDescent="0.2">
      <c r="A286">
        <v>1684</v>
      </c>
      <c r="B286" s="9" t="s">
        <v>309</v>
      </c>
      <c r="C286" t="s">
        <v>695</v>
      </c>
      <c r="D286" s="5">
        <v>738153</v>
      </c>
      <c r="E286" s="5">
        <v>221357</v>
      </c>
      <c r="F286" s="5">
        <v>10557</v>
      </c>
      <c r="G286" s="5">
        <v>970067</v>
      </c>
    </row>
    <row r="287" spans="1:7" x14ac:dyDescent="0.2">
      <c r="A287">
        <v>1685</v>
      </c>
      <c r="B287" s="9" t="s">
        <v>349</v>
      </c>
      <c r="C287" t="s">
        <v>695</v>
      </c>
      <c r="D287" s="5">
        <v>621004</v>
      </c>
      <c r="E287" s="5">
        <v>164468</v>
      </c>
      <c r="F287" s="5">
        <v>12022</v>
      </c>
      <c r="G287" s="5">
        <v>797494</v>
      </c>
    </row>
    <row r="288" spans="1:7" x14ac:dyDescent="0.2">
      <c r="A288">
        <v>1690</v>
      </c>
      <c r="B288" t="s">
        <v>653</v>
      </c>
      <c r="C288" t="s">
        <v>695</v>
      </c>
      <c r="D288" s="5">
        <v>1361556</v>
      </c>
      <c r="E288" s="5">
        <v>164383</v>
      </c>
      <c r="F288" s="5">
        <v>13339</v>
      </c>
      <c r="G288" s="5">
        <v>1539278</v>
      </c>
    </row>
    <row r="289" spans="1:7" x14ac:dyDescent="0.2">
      <c r="A289">
        <v>1695</v>
      </c>
      <c r="B289" t="s">
        <v>397</v>
      </c>
      <c r="C289" t="s">
        <v>695</v>
      </c>
      <c r="D289" s="5">
        <v>271566</v>
      </c>
      <c r="E289" s="5">
        <v>126054</v>
      </c>
      <c r="F289" s="5">
        <v>5457</v>
      </c>
      <c r="G289" s="5">
        <v>403076</v>
      </c>
    </row>
    <row r="290" spans="1:7" x14ac:dyDescent="0.2">
      <c r="A290">
        <v>1696</v>
      </c>
      <c r="B290" t="s">
        <v>643</v>
      </c>
      <c r="C290" t="s">
        <v>695</v>
      </c>
      <c r="D290" s="5">
        <v>685686</v>
      </c>
      <c r="E290" s="5">
        <v>169897</v>
      </c>
      <c r="F290" s="5">
        <v>10903</v>
      </c>
      <c r="G290" s="5">
        <v>866486</v>
      </c>
    </row>
    <row r="291" spans="1:7" x14ac:dyDescent="0.2">
      <c r="A291">
        <v>1699</v>
      </c>
      <c r="B291" t="s">
        <v>399</v>
      </c>
      <c r="C291" t="s">
        <v>695</v>
      </c>
      <c r="D291" s="5">
        <v>1337550</v>
      </c>
      <c r="E291" s="5">
        <v>236183</v>
      </c>
      <c r="F291" s="5">
        <v>31345</v>
      </c>
      <c r="G291" s="5">
        <v>1605078</v>
      </c>
    </row>
    <row r="292" spans="1:7" x14ac:dyDescent="0.2">
      <c r="A292">
        <v>1700</v>
      </c>
      <c r="B292" t="s">
        <v>553</v>
      </c>
      <c r="C292" t="s">
        <v>695</v>
      </c>
      <c r="D292" s="5">
        <v>1174878</v>
      </c>
      <c r="E292" s="5">
        <v>257536</v>
      </c>
      <c r="F292" s="5">
        <v>17809</v>
      </c>
      <c r="G292" s="5">
        <v>1450223</v>
      </c>
    </row>
    <row r="293" spans="1:7" x14ac:dyDescent="0.2">
      <c r="A293">
        <v>1701</v>
      </c>
      <c r="B293" t="s">
        <v>629</v>
      </c>
      <c r="C293" t="s">
        <v>695</v>
      </c>
      <c r="D293" s="5">
        <v>1098113</v>
      </c>
      <c r="E293" s="5">
        <v>143512</v>
      </c>
      <c r="F293" s="5">
        <v>13280</v>
      </c>
      <c r="G293" s="5">
        <v>1254905</v>
      </c>
    </row>
    <row r="294" spans="1:7" x14ac:dyDescent="0.2">
      <c r="A294">
        <v>1702</v>
      </c>
      <c r="B294" s="9" t="s">
        <v>309</v>
      </c>
      <c r="C294" t="s">
        <v>695</v>
      </c>
      <c r="D294" s="5">
        <v>544571</v>
      </c>
      <c r="E294" s="5">
        <v>78184</v>
      </c>
      <c r="F294" s="5">
        <v>2824</v>
      </c>
      <c r="G294" s="5">
        <v>625578</v>
      </c>
    </row>
    <row r="295" spans="1:7" x14ac:dyDescent="0.2">
      <c r="A295">
        <v>1705</v>
      </c>
      <c r="B295" t="s">
        <v>333</v>
      </c>
      <c r="C295" t="s">
        <v>695</v>
      </c>
      <c r="D295" s="5">
        <v>1358600</v>
      </c>
      <c r="E295" s="5">
        <v>350061</v>
      </c>
      <c r="F295" s="5">
        <v>24754</v>
      </c>
      <c r="G295" s="5">
        <v>1733414</v>
      </c>
    </row>
    <row r="296" spans="1:7" x14ac:dyDescent="0.2">
      <c r="A296">
        <v>1706</v>
      </c>
      <c r="B296" t="s">
        <v>117</v>
      </c>
      <c r="C296" t="s">
        <v>695</v>
      </c>
      <c r="D296" s="5">
        <v>770936</v>
      </c>
      <c r="E296" s="5">
        <v>197677</v>
      </c>
      <c r="F296" s="5">
        <v>6213</v>
      </c>
      <c r="G296" s="5">
        <v>974826</v>
      </c>
    </row>
    <row r="297" spans="1:7" x14ac:dyDescent="0.2">
      <c r="A297">
        <v>1708</v>
      </c>
      <c r="B297" t="s">
        <v>529</v>
      </c>
      <c r="C297" t="s">
        <v>695</v>
      </c>
      <c r="D297" s="5">
        <v>1889588</v>
      </c>
      <c r="E297" s="5">
        <v>452003</v>
      </c>
      <c r="F297" s="5">
        <v>25288</v>
      </c>
      <c r="G297" s="5">
        <v>2366879</v>
      </c>
    </row>
    <row r="298" spans="1:7" x14ac:dyDescent="0.2">
      <c r="A298">
        <v>1709</v>
      </c>
      <c r="B298" t="s">
        <v>371</v>
      </c>
      <c r="C298" t="s">
        <v>695</v>
      </c>
      <c r="D298" s="5">
        <v>1127158</v>
      </c>
      <c r="E298" s="5">
        <v>288334</v>
      </c>
      <c r="F298" s="5">
        <v>15389</v>
      </c>
      <c r="G298" s="5">
        <v>1430881</v>
      </c>
    </row>
    <row r="299" spans="1:7" x14ac:dyDescent="0.2">
      <c r="A299">
        <v>1711</v>
      </c>
      <c r="B299" t="s">
        <v>155</v>
      </c>
      <c r="C299" t="s">
        <v>695</v>
      </c>
      <c r="D299" s="5">
        <v>1204854</v>
      </c>
      <c r="E299" s="5">
        <v>416398</v>
      </c>
      <c r="F299" s="5">
        <v>4120</v>
      </c>
      <c r="G299" s="5">
        <v>1625371</v>
      </c>
    </row>
    <row r="300" spans="1:7" x14ac:dyDescent="0.2">
      <c r="A300">
        <v>1714</v>
      </c>
      <c r="B300" t="s">
        <v>511</v>
      </c>
      <c r="C300" t="s">
        <v>695</v>
      </c>
      <c r="D300" s="5">
        <v>1128027</v>
      </c>
      <c r="E300" s="5">
        <v>252909</v>
      </c>
      <c r="F300" s="5">
        <v>19971</v>
      </c>
      <c r="G300" s="5">
        <v>1400907</v>
      </c>
    </row>
    <row r="301" spans="1:7" x14ac:dyDescent="0.2">
      <c r="A301">
        <v>1719</v>
      </c>
      <c r="B301" t="s">
        <v>147</v>
      </c>
      <c r="C301" t="s">
        <v>695</v>
      </c>
      <c r="D301" s="5">
        <v>883296</v>
      </c>
      <c r="E301" s="5">
        <v>174523</v>
      </c>
      <c r="F301" s="5">
        <v>12192</v>
      </c>
      <c r="G301" s="5">
        <v>1070011</v>
      </c>
    </row>
    <row r="302" spans="1:7" x14ac:dyDescent="0.2">
      <c r="A302">
        <v>1721</v>
      </c>
      <c r="B302" t="s">
        <v>69</v>
      </c>
      <c r="C302" t="s">
        <v>695</v>
      </c>
      <c r="D302" s="5">
        <v>1098318</v>
      </c>
      <c r="E302" s="5">
        <v>326835</v>
      </c>
      <c r="F302" s="5">
        <v>10672</v>
      </c>
      <c r="G302" s="5">
        <v>1435826</v>
      </c>
    </row>
    <row r="303" spans="1:7" x14ac:dyDescent="0.2">
      <c r="A303">
        <v>1723</v>
      </c>
      <c r="B303" t="s">
        <v>23</v>
      </c>
      <c r="C303" t="s">
        <v>695</v>
      </c>
      <c r="D303" s="5">
        <v>489726</v>
      </c>
      <c r="E303" s="5">
        <v>87209</v>
      </c>
      <c r="F303" s="5">
        <v>6485</v>
      </c>
      <c r="G303" s="5">
        <v>583420</v>
      </c>
    </row>
    <row r="304" spans="1:7" x14ac:dyDescent="0.2">
      <c r="A304">
        <v>1724</v>
      </c>
      <c r="B304" t="s">
        <v>59</v>
      </c>
      <c r="C304" t="s">
        <v>695</v>
      </c>
      <c r="D304" s="5">
        <v>776035</v>
      </c>
      <c r="E304" s="5">
        <v>207101</v>
      </c>
      <c r="F304" s="5">
        <v>8253</v>
      </c>
      <c r="G304" s="5">
        <v>991389</v>
      </c>
    </row>
    <row r="305" spans="1:7" x14ac:dyDescent="0.2">
      <c r="A305">
        <v>1728</v>
      </c>
      <c r="B305" t="s">
        <v>79</v>
      </c>
      <c r="C305" t="s">
        <v>695</v>
      </c>
      <c r="D305" s="5">
        <v>734365</v>
      </c>
      <c r="E305" s="5">
        <v>265333</v>
      </c>
      <c r="F305" s="5">
        <v>7639</v>
      </c>
      <c r="G305" s="5">
        <v>1007337</v>
      </c>
    </row>
    <row r="306" spans="1:7" x14ac:dyDescent="0.2">
      <c r="A306">
        <v>1729</v>
      </c>
      <c r="B306" t="s">
        <v>213</v>
      </c>
      <c r="C306" t="s">
        <v>695</v>
      </c>
      <c r="D306" s="5">
        <v>594807</v>
      </c>
      <c r="E306" s="5">
        <v>148612</v>
      </c>
      <c r="F306" s="5">
        <v>2708</v>
      </c>
      <c r="G306" s="5">
        <v>746127</v>
      </c>
    </row>
    <row r="307" spans="1:7" x14ac:dyDescent="0.2">
      <c r="A307">
        <v>1730</v>
      </c>
      <c r="B307" t="s">
        <v>555</v>
      </c>
      <c r="C307" t="s">
        <v>695</v>
      </c>
      <c r="D307" s="5">
        <v>1342146</v>
      </c>
      <c r="E307" s="5">
        <v>230949</v>
      </c>
      <c r="F307" s="5">
        <v>64656</v>
      </c>
      <c r="G307" s="5">
        <v>1637751</v>
      </c>
    </row>
    <row r="308" spans="1:7" x14ac:dyDescent="0.2">
      <c r="A308">
        <v>1731</v>
      </c>
      <c r="B308" t="s">
        <v>367</v>
      </c>
      <c r="C308" t="s">
        <v>695</v>
      </c>
      <c r="D308" s="5">
        <v>1532925</v>
      </c>
      <c r="E308" s="5">
        <v>261568</v>
      </c>
      <c r="F308" s="5">
        <v>23819</v>
      </c>
      <c r="G308" s="5">
        <v>1818312</v>
      </c>
    </row>
    <row r="309" spans="1:7" x14ac:dyDescent="0.2">
      <c r="A309">
        <v>1734</v>
      </c>
      <c r="B309" t="s">
        <v>445</v>
      </c>
      <c r="C309" t="s">
        <v>695</v>
      </c>
      <c r="D309" s="5">
        <v>1378256</v>
      </c>
      <c r="E309" s="5">
        <v>417578</v>
      </c>
      <c r="F309" s="5">
        <v>39327</v>
      </c>
      <c r="G309" s="5">
        <v>1835160</v>
      </c>
    </row>
    <row r="310" spans="1:7" x14ac:dyDescent="0.2">
      <c r="A310">
        <v>1735</v>
      </c>
      <c r="B310" t="s">
        <v>271</v>
      </c>
      <c r="C310" t="s">
        <v>695</v>
      </c>
      <c r="D310" s="5">
        <v>1355109</v>
      </c>
      <c r="E310" s="5">
        <v>212214</v>
      </c>
      <c r="F310" s="5">
        <v>21739</v>
      </c>
      <c r="G310" s="5">
        <v>1589063</v>
      </c>
    </row>
    <row r="311" spans="1:7" x14ac:dyDescent="0.2">
      <c r="A311">
        <v>1740</v>
      </c>
      <c r="B311" t="s">
        <v>381</v>
      </c>
      <c r="C311" t="s">
        <v>695</v>
      </c>
      <c r="D311" s="5">
        <v>679473</v>
      </c>
      <c r="E311" s="5">
        <v>205568</v>
      </c>
      <c r="F311" s="5">
        <v>21249</v>
      </c>
      <c r="G311" s="5">
        <v>906289</v>
      </c>
    </row>
    <row r="312" spans="1:7" x14ac:dyDescent="0.2">
      <c r="A312">
        <v>1742</v>
      </c>
      <c r="B312" t="s">
        <v>475</v>
      </c>
      <c r="C312" t="s">
        <v>695</v>
      </c>
      <c r="D312" s="5">
        <v>1063353</v>
      </c>
      <c r="E312" s="5">
        <v>230423</v>
      </c>
      <c r="F312" s="5">
        <v>28491</v>
      </c>
      <c r="G312" s="5">
        <v>1322267</v>
      </c>
    </row>
    <row r="313" spans="1:7" x14ac:dyDescent="0.2">
      <c r="A313">
        <v>1771</v>
      </c>
      <c r="B313" t="s">
        <v>189</v>
      </c>
      <c r="C313" t="s">
        <v>695</v>
      </c>
      <c r="D313" s="5">
        <v>975014</v>
      </c>
      <c r="E313" s="5">
        <v>404858</v>
      </c>
      <c r="F313" s="5">
        <v>25475</v>
      </c>
      <c r="G313" s="5">
        <v>1405347</v>
      </c>
    </row>
    <row r="314" spans="1:7" x14ac:dyDescent="0.2">
      <c r="A314">
        <v>1773</v>
      </c>
      <c r="B314" t="s">
        <v>421</v>
      </c>
      <c r="C314" t="s">
        <v>695</v>
      </c>
      <c r="D314" s="5">
        <v>700798</v>
      </c>
      <c r="E314" s="5">
        <v>106721</v>
      </c>
      <c r="F314" s="5">
        <v>13169</v>
      </c>
      <c r="G314" s="5">
        <v>820689</v>
      </c>
    </row>
    <row r="315" spans="1:7" x14ac:dyDescent="0.2">
      <c r="A315">
        <v>1774</v>
      </c>
      <c r="B315" t="s">
        <v>135</v>
      </c>
      <c r="C315" t="s">
        <v>695</v>
      </c>
      <c r="D315" s="5">
        <v>1188243</v>
      </c>
      <c r="E315" s="5">
        <v>156232</v>
      </c>
      <c r="F315" s="5">
        <v>34050</v>
      </c>
      <c r="G315" s="5">
        <v>1378524</v>
      </c>
    </row>
    <row r="316" spans="1:7" x14ac:dyDescent="0.2">
      <c r="A316">
        <v>1783</v>
      </c>
      <c r="B316" t="s">
        <v>635</v>
      </c>
      <c r="C316" t="s">
        <v>695</v>
      </c>
      <c r="D316" s="5">
        <v>2200582</v>
      </c>
      <c r="E316" s="5">
        <v>979144</v>
      </c>
      <c r="F316" s="5">
        <v>141492</v>
      </c>
      <c r="G316" s="5">
        <v>3321218</v>
      </c>
    </row>
    <row r="317" spans="1:7" x14ac:dyDescent="0.2">
      <c r="A317">
        <v>1842</v>
      </c>
      <c r="B317" t="s">
        <v>365</v>
      </c>
      <c r="C317" t="s">
        <v>695</v>
      </c>
      <c r="D317" s="5">
        <v>645752</v>
      </c>
      <c r="E317" s="5">
        <v>131167</v>
      </c>
      <c r="F317" s="5">
        <v>23007</v>
      </c>
      <c r="G317" s="5">
        <v>799926</v>
      </c>
    </row>
    <row r="318" spans="1:7" x14ac:dyDescent="0.2">
      <c r="A318">
        <v>1859</v>
      </c>
      <c r="B318" t="s">
        <v>67</v>
      </c>
      <c r="C318" t="s">
        <v>695</v>
      </c>
      <c r="D318" s="5">
        <v>1905582</v>
      </c>
      <c r="E318" s="5">
        <v>335861</v>
      </c>
      <c r="F318" s="5">
        <v>24457</v>
      </c>
      <c r="G318" s="5">
        <v>2265900</v>
      </c>
    </row>
    <row r="319" spans="1:7" x14ac:dyDescent="0.2">
      <c r="A319">
        <v>1876</v>
      </c>
      <c r="B319" t="s">
        <v>99</v>
      </c>
      <c r="C319" t="s">
        <v>695</v>
      </c>
      <c r="D319" s="5">
        <v>1707121</v>
      </c>
      <c r="E319" s="5">
        <v>241718</v>
      </c>
      <c r="F319" s="5">
        <v>3991</v>
      </c>
      <c r="G319" s="5">
        <v>1952830</v>
      </c>
    </row>
    <row r="320" spans="1:7" x14ac:dyDescent="0.2">
      <c r="A320">
        <v>1883</v>
      </c>
      <c r="B320" t="s">
        <v>507</v>
      </c>
      <c r="C320" t="s">
        <v>695</v>
      </c>
      <c r="D320" s="5">
        <v>2283590</v>
      </c>
      <c r="E320" s="5">
        <v>1329881</v>
      </c>
      <c r="F320" s="5">
        <v>10357</v>
      </c>
      <c r="G320" s="5">
        <v>3623828</v>
      </c>
    </row>
    <row r="321" spans="1:7" x14ac:dyDescent="0.2">
      <c r="A321">
        <v>1884</v>
      </c>
      <c r="B321" t="s">
        <v>291</v>
      </c>
      <c r="C321" t="s">
        <v>695</v>
      </c>
      <c r="D321" s="5">
        <v>808192</v>
      </c>
      <c r="E321" s="5">
        <v>173873</v>
      </c>
      <c r="F321" s="5">
        <v>29685</v>
      </c>
      <c r="G321" s="5">
        <v>1011751</v>
      </c>
    </row>
    <row r="322" spans="1:7" x14ac:dyDescent="0.2">
      <c r="A322">
        <v>1891</v>
      </c>
      <c r="B322" t="s">
        <v>123</v>
      </c>
      <c r="C322" t="s">
        <v>695</v>
      </c>
      <c r="D322" s="5">
        <v>771749</v>
      </c>
      <c r="E322" s="5">
        <v>196519</v>
      </c>
      <c r="F322" s="5">
        <v>9928</v>
      </c>
      <c r="G322" s="5">
        <v>978196</v>
      </c>
    </row>
    <row r="323" spans="1:7" x14ac:dyDescent="0.2">
      <c r="A323">
        <v>1892</v>
      </c>
      <c r="B323" t="s">
        <v>675</v>
      </c>
      <c r="C323" t="s">
        <v>695</v>
      </c>
      <c r="D323" s="5">
        <v>849625</v>
      </c>
      <c r="E323" s="5">
        <v>315538</v>
      </c>
      <c r="F323" s="5">
        <v>81797</v>
      </c>
      <c r="G323" s="5">
        <v>1246960</v>
      </c>
    </row>
    <row r="324" spans="1:7" x14ac:dyDescent="0.2">
      <c r="A324">
        <v>1894</v>
      </c>
      <c r="B324" t="s">
        <v>449</v>
      </c>
      <c r="C324" t="s">
        <v>695</v>
      </c>
      <c r="D324" s="5">
        <v>1750845</v>
      </c>
      <c r="E324" s="5">
        <v>398050</v>
      </c>
      <c r="F324" s="5">
        <v>10531</v>
      </c>
      <c r="G324" s="5">
        <v>2159426</v>
      </c>
    </row>
    <row r="325" spans="1:7" x14ac:dyDescent="0.2">
      <c r="A325">
        <v>1895</v>
      </c>
      <c r="B325" t="s">
        <v>415</v>
      </c>
      <c r="C325" t="s">
        <v>695</v>
      </c>
      <c r="D325" s="5">
        <v>1668239</v>
      </c>
      <c r="E325" s="5">
        <v>380162</v>
      </c>
      <c r="F325" s="5">
        <v>40605</v>
      </c>
      <c r="G325" s="5">
        <v>2089006</v>
      </c>
    </row>
    <row r="326" spans="1:7" x14ac:dyDescent="0.2">
      <c r="A326">
        <v>1896</v>
      </c>
      <c r="B326" t="s">
        <v>681</v>
      </c>
      <c r="C326" t="s">
        <v>695</v>
      </c>
      <c r="D326" s="5">
        <v>716253</v>
      </c>
      <c r="E326" s="5">
        <v>112728</v>
      </c>
      <c r="F326" s="5">
        <v>12107</v>
      </c>
      <c r="G326" s="5">
        <v>841088</v>
      </c>
    </row>
    <row r="327" spans="1:7" x14ac:dyDescent="0.2">
      <c r="A327">
        <v>1900</v>
      </c>
      <c r="B327" s="9" t="s">
        <v>535</v>
      </c>
      <c r="C327" t="s">
        <v>695</v>
      </c>
      <c r="D327" s="5">
        <v>3791182</v>
      </c>
      <c r="E327" s="5">
        <v>1128144</v>
      </c>
      <c r="F327" s="5">
        <v>59711</v>
      </c>
      <c r="G327" s="5">
        <v>4979037</v>
      </c>
    </row>
    <row r="328" spans="1:7" x14ac:dyDescent="0.2">
      <c r="A328">
        <v>1901</v>
      </c>
      <c r="B328" t="s">
        <v>85</v>
      </c>
      <c r="C328" t="s">
        <v>695</v>
      </c>
      <c r="D328" s="5">
        <v>902127</v>
      </c>
      <c r="E328" s="5">
        <v>280156</v>
      </c>
      <c r="F328" s="5">
        <v>32154</v>
      </c>
      <c r="G328" s="5">
        <v>1214437</v>
      </c>
    </row>
    <row r="329" spans="1:7" x14ac:dyDescent="0.2">
      <c r="A329">
        <v>1903</v>
      </c>
      <c r="B329" t="s">
        <v>167</v>
      </c>
      <c r="C329" t="s">
        <v>695</v>
      </c>
      <c r="D329" s="5">
        <v>956898</v>
      </c>
      <c r="E329" s="5">
        <v>332575</v>
      </c>
      <c r="F329" s="5">
        <v>5943</v>
      </c>
      <c r="G329" s="5">
        <v>1295416</v>
      </c>
    </row>
    <row r="330" spans="1:7" x14ac:dyDescent="0.2">
      <c r="A330">
        <v>1904</v>
      </c>
      <c r="B330" t="s">
        <v>533</v>
      </c>
      <c r="C330" t="s">
        <v>695</v>
      </c>
      <c r="D330" s="5">
        <v>1530814</v>
      </c>
      <c r="E330" s="5">
        <v>396476</v>
      </c>
      <c r="F330" s="5">
        <v>18413</v>
      </c>
      <c r="G330" s="5">
        <v>1945704</v>
      </c>
    </row>
    <row r="331" spans="1:7" x14ac:dyDescent="0.2">
      <c r="A331">
        <v>1911</v>
      </c>
      <c r="B331" t="s">
        <v>275</v>
      </c>
      <c r="C331" t="s">
        <v>695</v>
      </c>
      <c r="D331" s="5">
        <v>1946840</v>
      </c>
      <c r="E331" s="5">
        <v>451057</v>
      </c>
      <c r="F331" s="5">
        <v>14333</v>
      </c>
      <c r="G331" s="5">
        <v>2412230</v>
      </c>
    </row>
    <row r="332" spans="1:7" x14ac:dyDescent="0.2">
      <c r="A332">
        <v>1916</v>
      </c>
      <c r="B332" t="s">
        <v>325</v>
      </c>
      <c r="C332" t="s">
        <v>695</v>
      </c>
      <c r="D332" s="5">
        <v>974440</v>
      </c>
      <c r="E332" s="5">
        <v>760445</v>
      </c>
      <c r="F332" s="5">
        <v>8656</v>
      </c>
      <c r="G332" s="5">
        <v>1743540</v>
      </c>
    </row>
    <row r="333" spans="1:7" x14ac:dyDescent="0.2">
      <c r="A333">
        <v>1924</v>
      </c>
      <c r="B333" t="s">
        <v>197</v>
      </c>
      <c r="C333" t="s">
        <v>695</v>
      </c>
      <c r="D333" s="5">
        <v>1552994</v>
      </c>
      <c r="E333" s="5">
        <v>281108</v>
      </c>
      <c r="F333" s="5">
        <v>33878</v>
      </c>
      <c r="G333" s="5">
        <v>1867980</v>
      </c>
    </row>
    <row r="334" spans="1:7" x14ac:dyDescent="0.2">
      <c r="A334">
        <v>1926</v>
      </c>
      <c r="B334" t="s">
        <v>453</v>
      </c>
      <c r="C334" t="s">
        <v>695</v>
      </c>
      <c r="D334" s="5">
        <v>1050352</v>
      </c>
      <c r="E334" s="5">
        <v>433859</v>
      </c>
      <c r="F334" s="5">
        <v>76591</v>
      </c>
      <c r="G334" s="5">
        <v>1560802</v>
      </c>
    </row>
    <row r="335" spans="1:7" x14ac:dyDescent="0.2">
      <c r="A335">
        <v>1930</v>
      </c>
      <c r="B335" t="s">
        <v>393</v>
      </c>
      <c r="C335" t="s">
        <v>695</v>
      </c>
      <c r="D335" s="5">
        <v>1457224</v>
      </c>
      <c r="E335" s="5">
        <v>583484</v>
      </c>
      <c r="F335" s="5">
        <v>31763</v>
      </c>
      <c r="G335" s="5">
        <v>2072472</v>
      </c>
    </row>
    <row r="336" spans="1:7" x14ac:dyDescent="0.2">
      <c r="A336">
        <v>1931</v>
      </c>
      <c r="B336" t="s">
        <v>305</v>
      </c>
      <c r="C336" t="s">
        <v>695</v>
      </c>
      <c r="D336" s="5">
        <v>1425640</v>
      </c>
      <c r="E336" s="5">
        <v>342470</v>
      </c>
      <c r="F336" s="5">
        <v>44372</v>
      </c>
      <c r="G336" s="5">
        <v>1812482</v>
      </c>
    </row>
    <row r="337" spans="1:7" x14ac:dyDescent="0.2">
      <c r="A337">
        <v>1940</v>
      </c>
      <c r="B337" t="s">
        <v>185</v>
      </c>
      <c r="C337" t="s">
        <v>695</v>
      </c>
      <c r="D337" s="5">
        <v>2289235</v>
      </c>
      <c r="E337" s="5">
        <v>611676</v>
      </c>
      <c r="F337" s="5">
        <v>33028</v>
      </c>
      <c r="G337" s="5">
        <v>2933939</v>
      </c>
    </row>
    <row r="338" spans="1:7" x14ac:dyDescent="0.2">
      <c r="A338">
        <v>1942</v>
      </c>
      <c r="B338" t="s">
        <v>203</v>
      </c>
      <c r="C338" t="s">
        <v>695</v>
      </c>
      <c r="D338" s="5">
        <v>1369563</v>
      </c>
      <c r="E338" s="5">
        <v>338798</v>
      </c>
      <c r="F338" s="5">
        <v>15784</v>
      </c>
      <c r="G338" s="5">
        <v>1724145</v>
      </c>
    </row>
    <row r="339" spans="1:7" x14ac:dyDescent="0.2">
      <c r="A339">
        <v>1945</v>
      </c>
      <c r="B339" t="s">
        <v>57</v>
      </c>
      <c r="C339" t="s">
        <v>695</v>
      </c>
      <c r="D339" s="5">
        <v>1072200</v>
      </c>
      <c r="E339" s="5">
        <v>233499</v>
      </c>
      <c r="F339" s="5">
        <v>22280</v>
      </c>
      <c r="G339" s="5">
        <v>1327979</v>
      </c>
    </row>
    <row r="340" spans="1:7" x14ac:dyDescent="0.2">
      <c r="A340">
        <v>1948</v>
      </c>
      <c r="B340" t="s">
        <v>359</v>
      </c>
      <c r="C340" t="s">
        <v>695</v>
      </c>
      <c r="D340" s="5">
        <v>2617480</v>
      </c>
      <c r="E340" s="5">
        <v>679267</v>
      </c>
      <c r="F340" s="5">
        <v>41807</v>
      </c>
      <c r="G340" s="5">
        <v>3338554</v>
      </c>
    </row>
    <row r="341" spans="1:7" x14ac:dyDescent="0.2">
      <c r="A341">
        <v>1949</v>
      </c>
      <c r="B341" t="s">
        <v>607</v>
      </c>
      <c r="C341" t="s">
        <v>695</v>
      </c>
      <c r="D341" s="5">
        <v>2047160</v>
      </c>
      <c r="E341" s="5">
        <v>475028</v>
      </c>
      <c r="F341" s="5">
        <v>22429</v>
      </c>
      <c r="G341" s="5">
        <v>2544618</v>
      </c>
    </row>
    <row r="342" spans="1:7" x14ac:dyDescent="0.2">
      <c r="A342">
        <v>1950</v>
      </c>
      <c r="B342" t="s">
        <v>633</v>
      </c>
      <c r="C342" t="s">
        <v>695</v>
      </c>
      <c r="D342" s="5">
        <v>1379015</v>
      </c>
      <c r="E342" s="5">
        <v>278595</v>
      </c>
      <c r="F342" s="5">
        <v>22030</v>
      </c>
      <c r="G342" s="5">
        <v>1679640</v>
      </c>
    </row>
    <row r="343" spans="1:7" x14ac:dyDescent="0.2">
      <c r="A343">
        <v>1952</v>
      </c>
      <c r="B343" t="s">
        <v>369</v>
      </c>
      <c r="C343" t="s">
        <v>695</v>
      </c>
      <c r="D343" s="5">
        <v>2347272</v>
      </c>
      <c r="E343" s="5">
        <v>1055139</v>
      </c>
      <c r="F343" s="5">
        <v>37270</v>
      </c>
      <c r="G343" s="5">
        <v>3439682</v>
      </c>
    </row>
    <row r="344" spans="1:7" x14ac:dyDescent="0.2">
      <c r="A344">
        <v>1954</v>
      </c>
      <c r="B344" t="s">
        <v>53</v>
      </c>
      <c r="C344" t="s">
        <v>695</v>
      </c>
      <c r="D344" s="5">
        <v>1264113</v>
      </c>
      <c r="E344" s="5">
        <v>534685</v>
      </c>
      <c r="F344" s="5">
        <v>6612</v>
      </c>
      <c r="G344" s="5">
        <v>1805410</v>
      </c>
    </row>
    <row r="345" spans="1:7" x14ac:dyDescent="0.2">
      <c r="A345">
        <v>1955</v>
      </c>
      <c r="B345" t="s">
        <v>375</v>
      </c>
      <c r="C345" t="s">
        <v>695</v>
      </c>
      <c r="D345" s="5">
        <v>1310374</v>
      </c>
      <c r="E345" s="5">
        <v>262175</v>
      </c>
      <c r="F345" s="5">
        <v>10907</v>
      </c>
      <c r="G345" s="5">
        <v>1583457</v>
      </c>
    </row>
    <row r="346" spans="1:7" x14ac:dyDescent="0.2">
      <c r="A346">
        <v>1959</v>
      </c>
      <c r="B346" t="s">
        <v>25</v>
      </c>
      <c r="C346" t="s">
        <v>695</v>
      </c>
      <c r="D346" s="5">
        <v>1690056</v>
      </c>
      <c r="E346" s="5">
        <v>371219</v>
      </c>
      <c r="F346" s="5">
        <v>43857</v>
      </c>
      <c r="G346" s="5">
        <v>2105131</v>
      </c>
    </row>
    <row r="347" spans="1:7" x14ac:dyDescent="0.2">
      <c r="A347">
        <v>1960</v>
      </c>
      <c r="B347" t="s">
        <v>623</v>
      </c>
      <c r="C347" t="s">
        <v>695</v>
      </c>
      <c r="D347" s="5">
        <v>1842511</v>
      </c>
      <c r="E347" s="5">
        <v>542790</v>
      </c>
      <c r="F347" s="5">
        <v>48999</v>
      </c>
      <c r="G347" s="5">
        <v>2434300</v>
      </c>
    </row>
    <row r="348" spans="1:7" x14ac:dyDescent="0.2">
      <c r="A348">
        <v>1961</v>
      </c>
      <c r="B348" t="s">
        <v>589</v>
      </c>
      <c r="C348" t="s">
        <v>695</v>
      </c>
      <c r="D348" s="5">
        <v>1386218</v>
      </c>
      <c r="E348" s="5">
        <v>312758</v>
      </c>
      <c r="F348" s="5">
        <v>67669</v>
      </c>
      <c r="G348" s="5">
        <v>1766645</v>
      </c>
    </row>
    <row r="349" spans="1:7" x14ac:dyDescent="0.2">
      <c r="A349">
        <v>1963</v>
      </c>
      <c r="B349" t="s">
        <v>269</v>
      </c>
      <c r="C349" t="s">
        <v>695</v>
      </c>
      <c r="D349" s="5">
        <v>2461056</v>
      </c>
      <c r="E349" s="5">
        <v>508196</v>
      </c>
      <c r="F349" s="5">
        <v>39537</v>
      </c>
      <c r="G349" s="5">
        <v>3008789</v>
      </c>
    </row>
    <row r="350" spans="1:7" x14ac:dyDescent="0.2">
      <c r="A350">
        <v>1966</v>
      </c>
      <c r="B350" t="s">
        <v>273</v>
      </c>
      <c r="C350" t="s">
        <v>695</v>
      </c>
      <c r="D350" s="5">
        <v>2842222</v>
      </c>
      <c r="E350" s="5">
        <v>405148</v>
      </c>
      <c r="F350" s="5">
        <v>48334</v>
      </c>
      <c r="G350" s="5">
        <v>3295705</v>
      </c>
    </row>
    <row r="351" spans="1:7" x14ac:dyDescent="0.2">
      <c r="A351">
        <v>1969</v>
      </c>
      <c r="B351" t="s">
        <v>627</v>
      </c>
      <c r="C351" t="s">
        <v>695</v>
      </c>
      <c r="D351" s="5">
        <v>2845242</v>
      </c>
      <c r="E351" s="5">
        <v>512152</v>
      </c>
      <c r="F351" s="5">
        <v>91725</v>
      </c>
      <c r="G351" s="5">
        <v>3449119</v>
      </c>
    </row>
    <row r="352" spans="1:7" x14ac:dyDescent="0.2">
      <c r="A352">
        <v>1970</v>
      </c>
      <c r="B352" s="9" t="s">
        <v>395</v>
      </c>
      <c r="C352" t="s">
        <v>695</v>
      </c>
      <c r="D352" s="5">
        <v>2104950</v>
      </c>
      <c r="E352" s="5">
        <v>486412</v>
      </c>
      <c r="F352" s="5">
        <v>22695</v>
      </c>
      <c r="G352" s="5">
        <v>2614057</v>
      </c>
    </row>
    <row r="353" spans="1:7" x14ac:dyDescent="0.2">
      <c r="A353">
        <v>1978</v>
      </c>
      <c r="B353" t="s">
        <v>373</v>
      </c>
      <c r="C353" t="s">
        <v>695</v>
      </c>
      <c r="D353" s="5">
        <v>1298540</v>
      </c>
      <c r="E353" s="5">
        <v>155674</v>
      </c>
      <c r="F353" s="5">
        <v>26956</v>
      </c>
      <c r="G353" s="5">
        <v>1481169</v>
      </c>
    </row>
    <row r="354" spans="1:7" x14ac:dyDescent="0.2">
      <c r="A354">
        <v>1979</v>
      </c>
      <c r="B354" t="s">
        <v>163</v>
      </c>
      <c r="C354" t="s">
        <v>695</v>
      </c>
      <c r="D354" s="5">
        <v>2056156</v>
      </c>
      <c r="E354" s="5">
        <v>442631</v>
      </c>
      <c r="F354" s="5">
        <v>32942</v>
      </c>
      <c r="G354" s="5">
        <v>2531728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31AC-ED0B-3E43-9DD5-5428C45E021A}">
  <dimension ref="A1:G3661"/>
  <sheetViews>
    <sheetView tabSelected="1" topLeftCell="A1590" workbookViewId="0">
      <selection activeCell="C1610" sqref="C1610:C1620"/>
    </sheetView>
  </sheetViews>
  <sheetFormatPr baseColWidth="10" defaultRowHeight="16" x14ac:dyDescent="0.2"/>
  <cols>
    <col min="2" max="2" width="19" customWidth="1"/>
  </cols>
  <sheetData>
    <row r="1" spans="1:7" x14ac:dyDescent="0.2">
      <c r="A1" s="4" t="s">
        <v>687</v>
      </c>
      <c r="B1" s="4" t="s">
        <v>688</v>
      </c>
      <c r="C1" s="4" t="s">
        <v>689</v>
      </c>
      <c r="D1" s="4" t="s">
        <v>690</v>
      </c>
      <c r="E1" s="4" t="s">
        <v>691</v>
      </c>
      <c r="F1" s="4" t="s">
        <v>692</v>
      </c>
      <c r="G1" s="4" t="s">
        <v>693</v>
      </c>
    </row>
    <row r="2" spans="1:7" x14ac:dyDescent="0.2">
      <c r="A2" s="4"/>
      <c r="B2" s="6" t="s">
        <v>699</v>
      </c>
      <c r="C2" s="6"/>
      <c r="D2" s="7">
        <v>637980687</v>
      </c>
      <c r="E2" s="7">
        <v>622452611</v>
      </c>
      <c r="F2" s="7">
        <v>20393603</v>
      </c>
      <c r="G2" s="7">
        <v>1280826902</v>
      </c>
    </row>
    <row r="3" spans="1:7" x14ac:dyDescent="0.2">
      <c r="A3" s="4"/>
      <c r="B3" t="s">
        <v>694</v>
      </c>
      <c r="C3" t="s">
        <v>700</v>
      </c>
      <c r="D3" s="5">
        <v>177592262</v>
      </c>
      <c r="E3" s="5">
        <v>167021517</v>
      </c>
      <c r="F3" s="5">
        <v>5700468</v>
      </c>
      <c r="G3" s="5">
        <v>350314247</v>
      </c>
    </row>
    <row r="4" spans="1:7" x14ac:dyDescent="0.2">
      <c r="A4" s="4"/>
      <c r="B4" t="s">
        <v>694</v>
      </c>
      <c r="C4" t="s">
        <v>701</v>
      </c>
      <c r="D4" s="5">
        <v>5830745</v>
      </c>
      <c r="E4" s="5">
        <v>12751946</v>
      </c>
      <c r="F4" s="5">
        <v>120312</v>
      </c>
      <c r="G4" s="5">
        <v>18703004</v>
      </c>
    </row>
    <row r="5" spans="1:7" x14ac:dyDescent="0.2">
      <c r="A5" s="4"/>
      <c r="B5" t="s">
        <v>694</v>
      </c>
      <c r="C5" t="s">
        <v>702</v>
      </c>
      <c r="D5" s="5">
        <v>3124</v>
      </c>
      <c r="E5" s="5">
        <v>230038</v>
      </c>
      <c r="F5" s="5">
        <v>133</v>
      </c>
      <c r="G5" s="5">
        <v>233294</v>
      </c>
    </row>
    <row r="6" spans="1:7" x14ac:dyDescent="0.2">
      <c r="A6" s="4"/>
      <c r="B6" t="s">
        <v>694</v>
      </c>
      <c r="C6" t="s">
        <v>703</v>
      </c>
      <c r="D6" s="5">
        <v>846125</v>
      </c>
      <c r="E6" s="5">
        <v>5743269</v>
      </c>
      <c r="F6" s="5">
        <v>33096</v>
      </c>
      <c r="G6" s="5">
        <v>6622490</v>
      </c>
    </row>
    <row r="7" spans="1:7" x14ac:dyDescent="0.2">
      <c r="A7" s="4"/>
      <c r="B7" t="s">
        <v>694</v>
      </c>
      <c r="C7" t="s">
        <v>704</v>
      </c>
      <c r="D7" s="5">
        <v>36055294</v>
      </c>
      <c r="E7" s="5">
        <v>138368397</v>
      </c>
      <c r="F7" s="5">
        <v>2599098</v>
      </c>
      <c r="G7" s="5">
        <v>177022789</v>
      </c>
    </row>
    <row r="8" spans="1:7" x14ac:dyDescent="0.2">
      <c r="A8" s="4"/>
      <c r="B8" t="s">
        <v>694</v>
      </c>
      <c r="C8" t="s">
        <v>705</v>
      </c>
      <c r="D8" s="5">
        <v>5806253</v>
      </c>
      <c r="E8" s="5">
        <v>46528178</v>
      </c>
      <c r="F8" s="5">
        <v>1435780</v>
      </c>
      <c r="G8" s="5">
        <v>53770212</v>
      </c>
    </row>
    <row r="9" spans="1:7" x14ac:dyDescent="0.2">
      <c r="A9" s="4"/>
      <c r="B9" t="s">
        <v>694</v>
      </c>
      <c r="C9" t="s">
        <v>706</v>
      </c>
      <c r="D9" s="5">
        <v>2298</v>
      </c>
      <c r="E9" s="5">
        <v>1513</v>
      </c>
      <c r="F9" s="5">
        <v>275</v>
      </c>
      <c r="G9" s="5">
        <v>4087</v>
      </c>
    </row>
    <row r="10" spans="1:7" x14ac:dyDescent="0.2">
      <c r="A10" s="4"/>
      <c r="B10" t="s">
        <v>694</v>
      </c>
      <c r="C10" t="s">
        <v>707</v>
      </c>
      <c r="D10" s="5">
        <v>4620431</v>
      </c>
      <c r="E10" s="5">
        <v>4588482</v>
      </c>
      <c r="F10" s="5">
        <v>543013</v>
      </c>
      <c r="G10" s="5">
        <v>9751926</v>
      </c>
    </row>
    <row r="11" spans="1:7" x14ac:dyDescent="0.2">
      <c r="A11" s="4"/>
      <c r="B11" t="s">
        <v>694</v>
      </c>
      <c r="C11" t="s">
        <v>708</v>
      </c>
      <c r="D11" s="5">
        <v>1569063</v>
      </c>
      <c r="E11" s="5">
        <v>16790886</v>
      </c>
      <c r="F11" s="5">
        <v>109360</v>
      </c>
      <c r="G11" s="5">
        <v>18469309</v>
      </c>
    </row>
    <row r="12" spans="1:7" x14ac:dyDescent="0.2">
      <c r="A12" s="4"/>
      <c r="B12" t="s">
        <v>694</v>
      </c>
      <c r="C12" t="s">
        <v>709</v>
      </c>
      <c r="D12" s="5">
        <v>6431684</v>
      </c>
      <c r="E12" s="5">
        <v>27360046</v>
      </c>
      <c r="F12" s="5">
        <v>504577</v>
      </c>
      <c r="G12" s="5">
        <v>34296307</v>
      </c>
    </row>
    <row r="13" spans="1:7" x14ac:dyDescent="0.2">
      <c r="A13" s="4"/>
      <c r="B13" t="s">
        <v>694</v>
      </c>
      <c r="C13" t="s">
        <v>710</v>
      </c>
      <c r="D13" s="5">
        <v>792295</v>
      </c>
      <c r="E13" s="5">
        <v>9683289</v>
      </c>
      <c r="F13" s="5">
        <v>75019</v>
      </c>
      <c r="G13" s="5">
        <v>10550604</v>
      </c>
    </row>
    <row r="14" spans="1:7" x14ac:dyDescent="0.2">
      <c r="A14" s="4"/>
      <c r="B14" t="s">
        <v>694</v>
      </c>
      <c r="C14" t="s">
        <v>711</v>
      </c>
      <c r="D14" s="5">
        <v>19567</v>
      </c>
      <c r="E14" s="5">
        <v>31141</v>
      </c>
      <c r="F14" s="5">
        <v>2601</v>
      </c>
      <c r="G14" s="5">
        <v>53309</v>
      </c>
    </row>
    <row r="15" spans="1:7" x14ac:dyDescent="0.2">
      <c r="A15" s="4"/>
      <c r="B15" t="s">
        <v>694</v>
      </c>
      <c r="C15" t="s">
        <v>712</v>
      </c>
      <c r="D15" s="5">
        <v>6052639</v>
      </c>
      <c r="E15" s="5">
        <v>38134398</v>
      </c>
      <c r="F15" s="5">
        <v>307237</v>
      </c>
      <c r="G15" s="5">
        <v>44494275</v>
      </c>
    </row>
    <row r="16" spans="1:7" x14ac:dyDescent="0.2">
      <c r="A16">
        <v>14</v>
      </c>
      <c r="B16" t="s">
        <v>211</v>
      </c>
      <c r="C16" t="s">
        <v>700</v>
      </c>
      <c r="D16" s="5">
        <v>446178</v>
      </c>
      <c r="E16" s="5">
        <v>695620</v>
      </c>
      <c r="F16" s="5">
        <v>39877</v>
      </c>
      <c r="G16" s="5">
        <v>1181674</v>
      </c>
    </row>
    <row r="17" spans="1:7" x14ac:dyDescent="0.2">
      <c r="A17">
        <v>14</v>
      </c>
      <c r="B17" t="s">
        <v>211</v>
      </c>
      <c r="C17" t="s">
        <v>701</v>
      </c>
      <c r="D17" s="5">
        <v>58691</v>
      </c>
      <c r="E17" s="5">
        <v>169748</v>
      </c>
      <c r="F17" s="5">
        <v>3520</v>
      </c>
      <c r="G17" s="5">
        <v>231959</v>
      </c>
    </row>
    <row r="18" spans="1:7" x14ac:dyDescent="0.2">
      <c r="A18">
        <v>14</v>
      </c>
      <c r="B18" t="s">
        <v>211</v>
      </c>
      <c r="C18" t="s">
        <v>702</v>
      </c>
      <c r="D18" s="5">
        <v>0</v>
      </c>
      <c r="E18" s="5">
        <v>23356</v>
      </c>
      <c r="F18" s="5">
        <v>0</v>
      </c>
      <c r="G18" s="5">
        <v>23356</v>
      </c>
    </row>
    <row r="19" spans="1:7" x14ac:dyDescent="0.2">
      <c r="A19">
        <v>14</v>
      </c>
      <c r="B19" t="s">
        <v>211</v>
      </c>
      <c r="C19" t="s">
        <v>703</v>
      </c>
      <c r="D19" s="5">
        <v>5428</v>
      </c>
      <c r="E19" s="5">
        <v>99994</v>
      </c>
      <c r="F19" s="5">
        <v>145</v>
      </c>
      <c r="G19" s="5">
        <v>105568</v>
      </c>
    </row>
    <row r="20" spans="1:7" x14ac:dyDescent="0.2">
      <c r="A20">
        <v>14</v>
      </c>
      <c r="B20" t="s">
        <v>211</v>
      </c>
      <c r="C20" t="s">
        <v>704</v>
      </c>
      <c r="D20" s="5">
        <v>75442</v>
      </c>
      <c r="E20" s="5">
        <v>1095107</v>
      </c>
      <c r="F20" s="5">
        <v>5785</v>
      </c>
      <c r="G20" s="5">
        <v>1176334</v>
      </c>
    </row>
    <row r="21" spans="1:7" x14ac:dyDescent="0.2">
      <c r="A21">
        <v>14</v>
      </c>
      <c r="B21" t="s">
        <v>211</v>
      </c>
      <c r="C21" t="s">
        <v>705</v>
      </c>
      <c r="D21" s="5">
        <v>61601</v>
      </c>
      <c r="E21" s="5">
        <v>458097</v>
      </c>
      <c r="F21" s="5">
        <v>12921</v>
      </c>
      <c r="G21" s="5">
        <v>532619</v>
      </c>
    </row>
    <row r="22" spans="1:7" x14ac:dyDescent="0.2">
      <c r="A22">
        <v>14</v>
      </c>
      <c r="B22" t="s">
        <v>211</v>
      </c>
      <c r="C22" t="s">
        <v>706</v>
      </c>
      <c r="D22" s="5">
        <v>446</v>
      </c>
      <c r="E22" s="5">
        <v>353</v>
      </c>
      <c r="F22" s="5">
        <v>275</v>
      </c>
      <c r="G22" s="5">
        <v>1074</v>
      </c>
    </row>
    <row r="23" spans="1:7" x14ac:dyDescent="0.2">
      <c r="A23">
        <v>14</v>
      </c>
      <c r="B23" t="s">
        <v>211</v>
      </c>
      <c r="C23" t="s">
        <v>707</v>
      </c>
      <c r="D23" s="5">
        <v>19053</v>
      </c>
      <c r="E23" s="5">
        <v>22682</v>
      </c>
      <c r="F23" s="5">
        <v>293</v>
      </c>
      <c r="G23" s="5">
        <v>42028</v>
      </c>
    </row>
    <row r="24" spans="1:7" x14ac:dyDescent="0.2">
      <c r="A24">
        <v>14</v>
      </c>
      <c r="B24" t="s">
        <v>211</v>
      </c>
      <c r="C24" t="s">
        <v>708</v>
      </c>
      <c r="D24" s="5">
        <v>23577</v>
      </c>
      <c r="E24" s="5">
        <v>334072</v>
      </c>
      <c r="F24" s="5">
        <v>7342</v>
      </c>
      <c r="G24" s="5">
        <v>364991</v>
      </c>
    </row>
    <row r="25" spans="1:7" x14ac:dyDescent="0.2">
      <c r="A25">
        <v>14</v>
      </c>
      <c r="B25" t="s">
        <v>211</v>
      </c>
      <c r="C25" t="s">
        <v>709</v>
      </c>
      <c r="D25" s="5">
        <v>50104</v>
      </c>
      <c r="E25" s="5">
        <v>250970</v>
      </c>
      <c r="F25" s="5">
        <v>10459</v>
      </c>
      <c r="G25" s="5">
        <v>311532</v>
      </c>
    </row>
    <row r="26" spans="1:7" x14ac:dyDescent="0.2">
      <c r="A26">
        <v>14</v>
      </c>
      <c r="B26" t="s">
        <v>211</v>
      </c>
      <c r="C26" t="s">
        <v>710</v>
      </c>
      <c r="D26" s="5">
        <v>5411</v>
      </c>
      <c r="E26" s="5">
        <v>154360</v>
      </c>
      <c r="F26" s="5">
        <v>0</v>
      </c>
      <c r="G26" s="5">
        <v>159771</v>
      </c>
    </row>
    <row r="27" spans="1:7" x14ac:dyDescent="0.2">
      <c r="A27">
        <v>14</v>
      </c>
      <c r="B27" t="s">
        <v>211</v>
      </c>
      <c r="C27" t="s">
        <v>712</v>
      </c>
      <c r="D27" s="5">
        <v>81621</v>
      </c>
      <c r="E27" s="5">
        <v>460069</v>
      </c>
      <c r="F27" s="5">
        <v>7479</v>
      </c>
      <c r="G27" s="5">
        <v>549169</v>
      </c>
    </row>
    <row r="28" spans="1:7" x14ac:dyDescent="0.2">
      <c r="A28">
        <v>34</v>
      </c>
      <c r="B28" t="s">
        <v>19</v>
      </c>
      <c r="C28" t="s">
        <v>700</v>
      </c>
      <c r="D28" s="5">
        <v>440831</v>
      </c>
      <c r="E28" s="5">
        <v>623609</v>
      </c>
      <c r="F28" s="5">
        <v>22826</v>
      </c>
      <c r="G28" s="5">
        <v>1087267</v>
      </c>
    </row>
    <row r="29" spans="1:7" x14ac:dyDescent="0.2">
      <c r="A29">
        <v>34</v>
      </c>
      <c r="B29" t="s">
        <v>19</v>
      </c>
      <c r="C29" t="s">
        <v>701</v>
      </c>
      <c r="D29" s="5">
        <v>5637</v>
      </c>
      <c r="E29" s="5">
        <v>105417</v>
      </c>
      <c r="F29" s="5">
        <v>2110</v>
      </c>
      <c r="G29" s="5">
        <v>113164</v>
      </c>
    </row>
    <row r="30" spans="1:7" x14ac:dyDescent="0.2">
      <c r="A30">
        <v>34</v>
      </c>
      <c r="B30" t="s">
        <v>19</v>
      </c>
      <c r="C30" t="s">
        <v>703</v>
      </c>
      <c r="D30" s="5">
        <v>1381</v>
      </c>
      <c r="E30" s="5">
        <v>51324</v>
      </c>
      <c r="F30" s="5">
        <v>2703</v>
      </c>
      <c r="G30" s="5">
        <v>55408</v>
      </c>
    </row>
    <row r="31" spans="1:7" x14ac:dyDescent="0.2">
      <c r="A31">
        <v>34</v>
      </c>
      <c r="B31" t="s">
        <v>19</v>
      </c>
      <c r="C31" t="s">
        <v>704</v>
      </c>
      <c r="D31" s="5">
        <v>195117</v>
      </c>
      <c r="E31" s="5">
        <v>1241257</v>
      </c>
      <c r="F31" s="5">
        <v>3653</v>
      </c>
      <c r="G31" s="5">
        <v>1440026</v>
      </c>
    </row>
    <row r="32" spans="1:7" x14ac:dyDescent="0.2">
      <c r="A32">
        <v>34</v>
      </c>
      <c r="B32" t="s">
        <v>19</v>
      </c>
      <c r="C32" t="s">
        <v>705</v>
      </c>
      <c r="D32" s="5">
        <v>6972</v>
      </c>
      <c r="E32" s="5">
        <v>320117</v>
      </c>
      <c r="F32" s="5">
        <v>8641</v>
      </c>
      <c r="G32" s="5">
        <v>335730</v>
      </c>
    </row>
    <row r="33" spans="1:7" x14ac:dyDescent="0.2">
      <c r="A33">
        <v>34</v>
      </c>
      <c r="B33" t="s">
        <v>19</v>
      </c>
      <c r="C33" t="s">
        <v>707</v>
      </c>
      <c r="D33" s="5">
        <v>688</v>
      </c>
      <c r="E33" s="5">
        <v>5649</v>
      </c>
      <c r="F33" s="5">
        <v>0</v>
      </c>
      <c r="G33" s="5">
        <v>6337</v>
      </c>
    </row>
    <row r="34" spans="1:7" x14ac:dyDescent="0.2">
      <c r="A34">
        <v>34</v>
      </c>
      <c r="B34" t="s">
        <v>19</v>
      </c>
      <c r="C34" t="s">
        <v>708</v>
      </c>
      <c r="D34" s="5">
        <v>436</v>
      </c>
      <c r="E34" s="5">
        <v>191996</v>
      </c>
      <c r="F34" s="5">
        <v>1695</v>
      </c>
      <c r="G34" s="5">
        <v>194127</v>
      </c>
    </row>
    <row r="35" spans="1:7" x14ac:dyDescent="0.2">
      <c r="A35">
        <v>34</v>
      </c>
      <c r="B35" t="s">
        <v>19</v>
      </c>
      <c r="C35" t="s">
        <v>709</v>
      </c>
      <c r="D35" s="5">
        <v>67174</v>
      </c>
      <c r="E35" s="5">
        <v>352045</v>
      </c>
      <c r="F35" s="5">
        <v>1326</v>
      </c>
      <c r="G35" s="5">
        <v>420545</v>
      </c>
    </row>
    <row r="36" spans="1:7" x14ac:dyDescent="0.2">
      <c r="A36">
        <v>34</v>
      </c>
      <c r="B36" t="s">
        <v>19</v>
      </c>
      <c r="C36" t="s">
        <v>710</v>
      </c>
      <c r="D36" s="5">
        <v>1516</v>
      </c>
      <c r="E36" s="5">
        <v>98012</v>
      </c>
      <c r="F36" s="5">
        <v>1401</v>
      </c>
      <c r="G36" s="5">
        <v>100928</v>
      </c>
    </row>
    <row r="37" spans="1:7" x14ac:dyDescent="0.2">
      <c r="A37">
        <v>34</v>
      </c>
      <c r="B37" t="s">
        <v>19</v>
      </c>
      <c r="C37" t="s">
        <v>712</v>
      </c>
      <c r="D37" s="5">
        <v>15838</v>
      </c>
      <c r="E37" s="5">
        <v>296935</v>
      </c>
      <c r="F37" s="5">
        <v>241</v>
      </c>
      <c r="G37" s="5">
        <v>313014</v>
      </c>
    </row>
    <row r="38" spans="1:7" x14ac:dyDescent="0.2">
      <c r="A38">
        <v>37</v>
      </c>
      <c r="B38" t="s">
        <v>521</v>
      </c>
      <c r="C38" t="s">
        <v>700</v>
      </c>
      <c r="D38" s="5">
        <v>388271</v>
      </c>
      <c r="E38" s="5">
        <v>218539</v>
      </c>
      <c r="F38" s="5">
        <v>31520</v>
      </c>
      <c r="G38" s="5">
        <v>638330</v>
      </c>
    </row>
    <row r="39" spans="1:7" x14ac:dyDescent="0.2">
      <c r="A39">
        <v>37</v>
      </c>
      <c r="B39" t="s">
        <v>521</v>
      </c>
      <c r="C39" t="s">
        <v>701</v>
      </c>
      <c r="D39" s="5">
        <v>9124</v>
      </c>
      <c r="E39" s="5">
        <v>20914</v>
      </c>
      <c r="F39" s="5">
        <v>162</v>
      </c>
      <c r="G39" s="5">
        <v>30200</v>
      </c>
    </row>
    <row r="40" spans="1:7" x14ac:dyDescent="0.2">
      <c r="A40">
        <v>37</v>
      </c>
      <c r="B40" t="s">
        <v>521</v>
      </c>
      <c r="C40" t="s">
        <v>703</v>
      </c>
      <c r="D40" s="5">
        <v>1376</v>
      </c>
      <c r="E40" s="5">
        <v>17619</v>
      </c>
      <c r="F40" s="5">
        <v>0</v>
      </c>
      <c r="G40" s="5">
        <v>18995</v>
      </c>
    </row>
    <row r="41" spans="1:7" x14ac:dyDescent="0.2">
      <c r="A41">
        <v>37</v>
      </c>
      <c r="B41" t="s">
        <v>521</v>
      </c>
      <c r="C41" t="s">
        <v>704</v>
      </c>
      <c r="D41" s="5">
        <v>5544</v>
      </c>
      <c r="E41" s="5">
        <v>165765</v>
      </c>
      <c r="F41" s="5">
        <v>4881</v>
      </c>
      <c r="G41" s="5">
        <v>176189</v>
      </c>
    </row>
    <row r="42" spans="1:7" x14ac:dyDescent="0.2">
      <c r="A42">
        <v>37</v>
      </c>
      <c r="B42" t="s">
        <v>521</v>
      </c>
      <c r="C42" t="s">
        <v>705</v>
      </c>
      <c r="D42" s="5">
        <v>2975</v>
      </c>
      <c r="E42" s="5">
        <v>53259</v>
      </c>
      <c r="F42" s="5">
        <v>7243</v>
      </c>
      <c r="G42" s="5">
        <v>63477</v>
      </c>
    </row>
    <row r="43" spans="1:7" x14ac:dyDescent="0.2">
      <c r="A43">
        <v>37</v>
      </c>
      <c r="B43" t="s">
        <v>521</v>
      </c>
      <c r="C43" t="s">
        <v>707</v>
      </c>
      <c r="D43" s="5">
        <v>837</v>
      </c>
      <c r="E43" s="5">
        <v>14441</v>
      </c>
      <c r="F43" s="5">
        <v>0</v>
      </c>
      <c r="G43" s="5">
        <v>15278</v>
      </c>
    </row>
    <row r="44" spans="1:7" x14ac:dyDescent="0.2">
      <c r="A44">
        <v>37</v>
      </c>
      <c r="B44" t="s">
        <v>521</v>
      </c>
      <c r="C44" t="s">
        <v>708</v>
      </c>
      <c r="D44" s="5">
        <v>9832</v>
      </c>
      <c r="E44" s="5">
        <v>31344</v>
      </c>
      <c r="F44" s="5">
        <v>0</v>
      </c>
      <c r="G44" s="5">
        <v>41176</v>
      </c>
    </row>
    <row r="45" spans="1:7" x14ac:dyDescent="0.2">
      <c r="A45">
        <v>37</v>
      </c>
      <c r="B45" t="s">
        <v>521</v>
      </c>
      <c r="C45" t="s">
        <v>709</v>
      </c>
      <c r="D45" s="5">
        <v>7351</v>
      </c>
      <c r="E45" s="5">
        <v>25258</v>
      </c>
      <c r="F45" s="5">
        <v>2071</v>
      </c>
      <c r="G45" s="5">
        <v>34679</v>
      </c>
    </row>
    <row r="46" spans="1:7" x14ac:dyDescent="0.2">
      <c r="A46">
        <v>37</v>
      </c>
      <c r="B46" t="s">
        <v>521</v>
      </c>
      <c r="C46" t="s">
        <v>710</v>
      </c>
      <c r="D46" s="5">
        <v>2756</v>
      </c>
      <c r="E46" s="5">
        <v>16005</v>
      </c>
      <c r="F46" s="5">
        <v>138</v>
      </c>
      <c r="G46" s="5">
        <v>18900</v>
      </c>
    </row>
    <row r="47" spans="1:7" x14ac:dyDescent="0.2">
      <c r="A47">
        <v>37</v>
      </c>
      <c r="B47" t="s">
        <v>521</v>
      </c>
      <c r="C47" t="s">
        <v>712</v>
      </c>
      <c r="D47" s="5">
        <v>6575</v>
      </c>
      <c r="E47" s="5">
        <v>106303</v>
      </c>
      <c r="F47" s="5">
        <v>1125</v>
      </c>
      <c r="G47" s="5">
        <v>114003</v>
      </c>
    </row>
    <row r="48" spans="1:7" x14ac:dyDescent="0.2">
      <c r="A48">
        <v>47</v>
      </c>
      <c r="B48" t="s">
        <v>575</v>
      </c>
      <c r="C48" t="s">
        <v>700</v>
      </c>
      <c r="D48" s="5">
        <v>195120</v>
      </c>
      <c r="E48" s="5">
        <v>367752</v>
      </c>
      <c r="F48" s="5">
        <v>25079</v>
      </c>
      <c r="G48" s="5">
        <v>587951</v>
      </c>
    </row>
    <row r="49" spans="1:7" x14ac:dyDescent="0.2">
      <c r="A49">
        <v>47</v>
      </c>
      <c r="B49" t="s">
        <v>575</v>
      </c>
      <c r="C49" t="s">
        <v>701</v>
      </c>
      <c r="D49" s="5">
        <v>9853</v>
      </c>
      <c r="E49" s="5">
        <v>33930</v>
      </c>
      <c r="F49" s="5">
        <v>71</v>
      </c>
      <c r="G49" s="5">
        <v>43853</v>
      </c>
    </row>
    <row r="50" spans="1:7" x14ac:dyDescent="0.2">
      <c r="A50">
        <v>47</v>
      </c>
      <c r="B50" t="s">
        <v>575</v>
      </c>
      <c r="C50" t="s">
        <v>703</v>
      </c>
      <c r="D50" s="5">
        <v>1305</v>
      </c>
      <c r="E50" s="5">
        <v>7536</v>
      </c>
      <c r="F50" s="5">
        <v>0</v>
      </c>
      <c r="G50" s="5">
        <v>8842</v>
      </c>
    </row>
    <row r="51" spans="1:7" x14ac:dyDescent="0.2">
      <c r="A51">
        <v>47</v>
      </c>
      <c r="B51" t="s">
        <v>575</v>
      </c>
      <c r="C51" t="s">
        <v>704</v>
      </c>
      <c r="D51" s="5">
        <v>35622</v>
      </c>
      <c r="E51" s="5">
        <v>297760</v>
      </c>
      <c r="F51" s="5">
        <v>39219</v>
      </c>
      <c r="G51" s="5">
        <v>372600</v>
      </c>
    </row>
    <row r="52" spans="1:7" x14ac:dyDescent="0.2">
      <c r="A52">
        <v>47</v>
      </c>
      <c r="B52" t="s">
        <v>575</v>
      </c>
      <c r="C52" t="s">
        <v>705</v>
      </c>
      <c r="D52" s="5">
        <v>7607</v>
      </c>
      <c r="E52" s="5">
        <v>46675</v>
      </c>
      <c r="F52" s="5">
        <v>2682</v>
      </c>
      <c r="G52" s="5">
        <v>56963</v>
      </c>
    </row>
    <row r="53" spans="1:7" x14ac:dyDescent="0.2">
      <c r="A53">
        <v>47</v>
      </c>
      <c r="B53" t="s">
        <v>575</v>
      </c>
      <c r="C53" t="s">
        <v>707</v>
      </c>
      <c r="D53" s="5">
        <v>0</v>
      </c>
      <c r="E53" s="5">
        <v>259</v>
      </c>
      <c r="F53" s="5">
        <v>0</v>
      </c>
      <c r="G53" s="5">
        <v>259</v>
      </c>
    </row>
    <row r="54" spans="1:7" x14ac:dyDescent="0.2">
      <c r="A54">
        <v>47</v>
      </c>
      <c r="B54" t="s">
        <v>575</v>
      </c>
      <c r="C54" t="s">
        <v>708</v>
      </c>
      <c r="D54" s="5">
        <v>4560</v>
      </c>
      <c r="E54" s="5">
        <v>29490</v>
      </c>
      <c r="F54" s="5">
        <v>0</v>
      </c>
      <c r="G54" s="5">
        <v>34050</v>
      </c>
    </row>
    <row r="55" spans="1:7" x14ac:dyDescent="0.2">
      <c r="A55">
        <v>47</v>
      </c>
      <c r="B55" t="s">
        <v>575</v>
      </c>
      <c r="C55" t="s">
        <v>709</v>
      </c>
      <c r="D55" s="5">
        <v>4562</v>
      </c>
      <c r="E55" s="5">
        <v>53550</v>
      </c>
      <c r="F55" s="5">
        <v>197</v>
      </c>
      <c r="G55" s="5">
        <v>58310</v>
      </c>
    </row>
    <row r="56" spans="1:7" x14ac:dyDescent="0.2">
      <c r="A56">
        <v>47</v>
      </c>
      <c r="B56" t="s">
        <v>575</v>
      </c>
      <c r="C56" t="s">
        <v>710</v>
      </c>
      <c r="D56" s="5">
        <v>746</v>
      </c>
      <c r="E56" s="5">
        <v>16008</v>
      </c>
      <c r="F56" s="5">
        <v>0</v>
      </c>
      <c r="G56" s="5">
        <v>16755</v>
      </c>
    </row>
    <row r="57" spans="1:7" x14ac:dyDescent="0.2">
      <c r="A57">
        <v>47</v>
      </c>
      <c r="B57" t="s">
        <v>575</v>
      </c>
      <c r="C57" t="s">
        <v>712</v>
      </c>
      <c r="D57" s="5">
        <v>9265</v>
      </c>
      <c r="E57" s="5">
        <v>134364</v>
      </c>
      <c r="F57" s="5">
        <v>77</v>
      </c>
      <c r="G57" s="5">
        <v>143706</v>
      </c>
    </row>
    <row r="58" spans="1:7" x14ac:dyDescent="0.2">
      <c r="A58">
        <v>50</v>
      </c>
      <c r="B58" t="s">
        <v>665</v>
      </c>
      <c r="C58" t="s">
        <v>700</v>
      </c>
      <c r="D58" s="5">
        <v>605037</v>
      </c>
      <c r="E58" s="5">
        <v>299647</v>
      </c>
      <c r="F58" s="5">
        <v>12011</v>
      </c>
      <c r="G58" s="5">
        <v>916695</v>
      </c>
    </row>
    <row r="59" spans="1:7" x14ac:dyDescent="0.2">
      <c r="A59">
        <v>50</v>
      </c>
      <c r="B59" t="s">
        <v>665</v>
      </c>
      <c r="C59" t="s">
        <v>701</v>
      </c>
      <c r="D59" s="5">
        <v>3537</v>
      </c>
      <c r="E59" s="5">
        <v>11913</v>
      </c>
      <c r="F59" s="5">
        <v>0</v>
      </c>
      <c r="G59" s="5">
        <v>15450</v>
      </c>
    </row>
    <row r="60" spans="1:7" x14ac:dyDescent="0.2">
      <c r="A60">
        <v>50</v>
      </c>
      <c r="B60" t="s">
        <v>665</v>
      </c>
      <c r="C60" t="s">
        <v>703</v>
      </c>
      <c r="D60" s="5">
        <v>0</v>
      </c>
      <c r="E60" s="5">
        <v>4819</v>
      </c>
      <c r="F60" s="5">
        <v>0</v>
      </c>
      <c r="G60" s="5">
        <v>4819</v>
      </c>
    </row>
    <row r="61" spans="1:7" x14ac:dyDescent="0.2">
      <c r="A61">
        <v>50</v>
      </c>
      <c r="B61" t="s">
        <v>665</v>
      </c>
      <c r="C61" t="s">
        <v>704</v>
      </c>
      <c r="D61" s="5">
        <v>35650</v>
      </c>
      <c r="E61" s="5">
        <v>303123</v>
      </c>
      <c r="F61" s="5">
        <v>2703</v>
      </c>
      <c r="G61" s="5">
        <v>341476</v>
      </c>
    </row>
    <row r="62" spans="1:7" x14ac:dyDescent="0.2">
      <c r="A62">
        <v>50</v>
      </c>
      <c r="B62" t="s">
        <v>665</v>
      </c>
      <c r="C62" t="s">
        <v>705</v>
      </c>
      <c r="D62" s="5">
        <v>15128</v>
      </c>
      <c r="E62" s="5">
        <v>185453</v>
      </c>
      <c r="F62" s="5">
        <v>1932</v>
      </c>
      <c r="G62" s="5">
        <v>202513</v>
      </c>
    </row>
    <row r="63" spans="1:7" x14ac:dyDescent="0.2">
      <c r="A63">
        <v>50</v>
      </c>
      <c r="B63" t="s">
        <v>665</v>
      </c>
      <c r="C63" t="s">
        <v>707</v>
      </c>
      <c r="D63" s="5">
        <v>73515</v>
      </c>
      <c r="E63" s="5">
        <v>63090</v>
      </c>
      <c r="F63" s="5">
        <v>1456</v>
      </c>
      <c r="G63" s="5">
        <v>138061</v>
      </c>
    </row>
    <row r="64" spans="1:7" x14ac:dyDescent="0.2">
      <c r="A64">
        <v>50</v>
      </c>
      <c r="B64" t="s">
        <v>665</v>
      </c>
      <c r="C64" t="s">
        <v>708</v>
      </c>
      <c r="D64" s="5">
        <v>0</v>
      </c>
      <c r="E64" s="5">
        <v>20493</v>
      </c>
      <c r="F64" s="5">
        <v>0</v>
      </c>
      <c r="G64" s="5">
        <v>20493</v>
      </c>
    </row>
    <row r="65" spans="1:7" x14ac:dyDescent="0.2">
      <c r="A65">
        <v>50</v>
      </c>
      <c r="B65" t="s">
        <v>665</v>
      </c>
      <c r="C65" t="s">
        <v>709</v>
      </c>
      <c r="D65" s="5">
        <v>15354</v>
      </c>
      <c r="E65" s="5">
        <v>49579</v>
      </c>
      <c r="F65" s="5">
        <v>252</v>
      </c>
      <c r="G65" s="5">
        <v>65185</v>
      </c>
    </row>
    <row r="66" spans="1:7" x14ac:dyDescent="0.2">
      <c r="A66">
        <v>50</v>
      </c>
      <c r="B66" t="s">
        <v>665</v>
      </c>
      <c r="C66" t="s">
        <v>710</v>
      </c>
      <c r="D66" s="5">
        <v>272</v>
      </c>
      <c r="E66" s="5">
        <v>10455</v>
      </c>
      <c r="F66" s="5">
        <v>0</v>
      </c>
      <c r="G66" s="5">
        <v>10727</v>
      </c>
    </row>
    <row r="67" spans="1:7" x14ac:dyDescent="0.2">
      <c r="A67">
        <v>50</v>
      </c>
      <c r="B67" t="s">
        <v>665</v>
      </c>
      <c r="C67" t="s">
        <v>712</v>
      </c>
      <c r="D67" s="5">
        <v>3041</v>
      </c>
      <c r="E67" s="5">
        <v>77291</v>
      </c>
      <c r="F67" s="5">
        <v>7053</v>
      </c>
      <c r="G67" s="5">
        <v>87386</v>
      </c>
    </row>
    <row r="68" spans="1:7" x14ac:dyDescent="0.2">
      <c r="A68">
        <v>59</v>
      </c>
      <c r="B68" t="s">
        <v>9</v>
      </c>
      <c r="C68" t="s">
        <v>700</v>
      </c>
      <c r="D68" s="5">
        <v>424691</v>
      </c>
      <c r="E68" s="5">
        <v>379745</v>
      </c>
      <c r="F68" s="5">
        <v>14806</v>
      </c>
      <c r="G68" s="5">
        <v>819242</v>
      </c>
    </row>
    <row r="69" spans="1:7" x14ac:dyDescent="0.2">
      <c r="A69">
        <v>59</v>
      </c>
      <c r="B69" t="s">
        <v>9</v>
      </c>
      <c r="C69" t="s">
        <v>701</v>
      </c>
      <c r="D69" s="5">
        <v>13944</v>
      </c>
      <c r="E69" s="5">
        <v>34373</v>
      </c>
      <c r="F69" s="5">
        <v>314</v>
      </c>
      <c r="G69" s="5">
        <v>48631</v>
      </c>
    </row>
    <row r="70" spans="1:7" x14ac:dyDescent="0.2">
      <c r="A70">
        <v>59</v>
      </c>
      <c r="B70" t="s">
        <v>9</v>
      </c>
      <c r="C70" t="s">
        <v>703</v>
      </c>
      <c r="D70" s="5">
        <v>2341</v>
      </c>
      <c r="E70" s="5">
        <v>3649</v>
      </c>
      <c r="F70" s="5">
        <v>439</v>
      </c>
      <c r="G70" s="5">
        <v>6429</v>
      </c>
    </row>
    <row r="71" spans="1:7" x14ac:dyDescent="0.2">
      <c r="A71">
        <v>59</v>
      </c>
      <c r="B71" t="s">
        <v>9</v>
      </c>
      <c r="C71" t="s">
        <v>704</v>
      </c>
      <c r="D71" s="5">
        <v>41945</v>
      </c>
      <c r="E71" s="5">
        <v>243043</v>
      </c>
      <c r="F71" s="5">
        <v>20498</v>
      </c>
      <c r="G71" s="5">
        <v>305486</v>
      </c>
    </row>
    <row r="72" spans="1:7" x14ac:dyDescent="0.2">
      <c r="A72">
        <v>59</v>
      </c>
      <c r="B72" t="s">
        <v>9</v>
      </c>
      <c r="C72" t="s">
        <v>705</v>
      </c>
      <c r="D72" s="5">
        <v>4447</v>
      </c>
      <c r="E72" s="5">
        <v>36366</v>
      </c>
      <c r="F72" s="5">
        <v>1181</v>
      </c>
      <c r="G72" s="5">
        <v>41995</v>
      </c>
    </row>
    <row r="73" spans="1:7" x14ac:dyDescent="0.2">
      <c r="A73">
        <v>59</v>
      </c>
      <c r="B73" t="s">
        <v>9</v>
      </c>
      <c r="C73" t="s">
        <v>707</v>
      </c>
      <c r="D73" s="5">
        <v>1945</v>
      </c>
      <c r="E73" s="5">
        <v>184</v>
      </c>
      <c r="F73" s="5">
        <v>0</v>
      </c>
      <c r="G73" s="5">
        <v>2128</v>
      </c>
    </row>
    <row r="74" spans="1:7" x14ac:dyDescent="0.2">
      <c r="A74">
        <v>59</v>
      </c>
      <c r="B74" t="s">
        <v>9</v>
      </c>
      <c r="C74" t="s">
        <v>708</v>
      </c>
      <c r="D74" s="5">
        <v>3627</v>
      </c>
      <c r="E74" s="5">
        <v>23224</v>
      </c>
      <c r="F74" s="5">
        <v>1094</v>
      </c>
      <c r="G74" s="5">
        <v>27945</v>
      </c>
    </row>
    <row r="75" spans="1:7" x14ac:dyDescent="0.2">
      <c r="A75">
        <v>59</v>
      </c>
      <c r="B75" t="s">
        <v>9</v>
      </c>
      <c r="C75" t="s">
        <v>709</v>
      </c>
      <c r="D75" s="5">
        <v>3113</v>
      </c>
      <c r="E75" s="5">
        <v>11189</v>
      </c>
      <c r="F75" s="5">
        <v>42</v>
      </c>
      <c r="G75" s="5">
        <v>14344</v>
      </c>
    </row>
    <row r="76" spans="1:7" x14ac:dyDescent="0.2">
      <c r="A76">
        <v>59</v>
      </c>
      <c r="B76" t="s">
        <v>9</v>
      </c>
      <c r="C76" t="s">
        <v>710</v>
      </c>
      <c r="D76" s="5">
        <v>4436</v>
      </c>
      <c r="E76" s="5">
        <v>24111</v>
      </c>
      <c r="F76" s="5">
        <v>0</v>
      </c>
      <c r="G76" s="5">
        <v>28548</v>
      </c>
    </row>
    <row r="77" spans="1:7" x14ac:dyDescent="0.2">
      <c r="A77">
        <v>59</v>
      </c>
      <c r="B77" t="s">
        <v>9</v>
      </c>
      <c r="C77" t="s">
        <v>712</v>
      </c>
      <c r="D77" s="5">
        <v>19729</v>
      </c>
      <c r="E77" s="5">
        <v>86991</v>
      </c>
      <c r="F77" s="5">
        <v>2671</v>
      </c>
      <c r="G77" s="5">
        <v>109392</v>
      </c>
    </row>
    <row r="78" spans="1:7" x14ac:dyDescent="0.2">
      <c r="A78">
        <v>60</v>
      </c>
      <c r="B78" t="s">
        <v>27</v>
      </c>
      <c r="C78" t="s">
        <v>700</v>
      </c>
      <c r="D78" s="5">
        <v>52949</v>
      </c>
      <c r="E78" s="5">
        <v>40315</v>
      </c>
      <c r="F78" s="5">
        <v>2000</v>
      </c>
      <c r="G78" s="5">
        <v>95264</v>
      </c>
    </row>
    <row r="79" spans="1:7" x14ac:dyDescent="0.2">
      <c r="A79">
        <v>60</v>
      </c>
      <c r="B79" t="s">
        <v>27</v>
      </c>
      <c r="C79" t="s">
        <v>701</v>
      </c>
      <c r="D79" s="5">
        <v>6070</v>
      </c>
      <c r="E79" s="5">
        <v>14277</v>
      </c>
      <c r="F79" s="5">
        <v>35</v>
      </c>
      <c r="G79" s="5">
        <v>20382</v>
      </c>
    </row>
    <row r="80" spans="1:7" x14ac:dyDescent="0.2">
      <c r="A80">
        <v>60</v>
      </c>
      <c r="B80" t="s">
        <v>27</v>
      </c>
      <c r="C80" t="s">
        <v>703</v>
      </c>
      <c r="D80" s="5">
        <v>98</v>
      </c>
      <c r="E80" s="5">
        <v>0</v>
      </c>
      <c r="F80" s="5">
        <v>0</v>
      </c>
      <c r="G80" s="5">
        <v>98</v>
      </c>
    </row>
    <row r="81" spans="1:7" x14ac:dyDescent="0.2">
      <c r="A81">
        <v>60</v>
      </c>
      <c r="B81" t="s">
        <v>27</v>
      </c>
      <c r="C81" t="s">
        <v>704</v>
      </c>
      <c r="D81" s="5">
        <v>14518</v>
      </c>
      <c r="E81" s="5">
        <v>14914</v>
      </c>
      <c r="F81" s="5">
        <v>0</v>
      </c>
      <c r="G81" s="5">
        <v>29432</v>
      </c>
    </row>
    <row r="82" spans="1:7" x14ac:dyDescent="0.2">
      <c r="A82">
        <v>60</v>
      </c>
      <c r="B82" t="s">
        <v>27</v>
      </c>
      <c r="C82" t="s">
        <v>705</v>
      </c>
      <c r="D82" s="5">
        <v>2018</v>
      </c>
      <c r="E82" s="5">
        <v>7406</v>
      </c>
      <c r="F82" s="5">
        <v>0</v>
      </c>
      <c r="G82" s="5">
        <v>9423</v>
      </c>
    </row>
    <row r="83" spans="1:7" x14ac:dyDescent="0.2">
      <c r="A83">
        <v>60</v>
      </c>
      <c r="B83" t="s">
        <v>27</v>
      </c>
      <c r="C83" t="s">
        <v>707</v>
      </c>
      <c r="D83" s="5">
        <v>91576</v>
      </c>
      <c r="E83" s="5">
        <v>67840</v>
      </c>
      <c r="F83" s="5">
        <v>1961</v>
      </c>
      <c r="G83" s="5">
        <v>161377</v>
      </c>
    </row>
    <row r="84" spans="1:7" x14ac:dyDescent="0.2">
      <c r="A84">
        <v>60</v>
      </c>
      <c r="B84" t="s">
        <v>27</v>
      </c>
      <c r="C84" t="s">
        <v>708</v>
      </c>
      <c r="D84" s="5">
        <v>1133</v>
      </c>
      <c r="E84" s="5">
        <v>2339</v>
      </c>
      <c r="F84" s="5">
        <v>0</v>
      </c>
      <c r="G84" s="5">
        <v>3472</v>
      </c>
    </row>
    <row r="85" spans="1:7" x14ac:dyDescent="0.2">
      <c r="A85">
        <v>60</v>
      </c>
      <c r="B85" t="s">
        <v>27</v>
      </c>
      <c r="C85" t="s">
        <v>709</v>
      </c>
      <c r="D85" s="5">
        <v>10153</v>
      </c>
      <c r="E85" s="5">
        <v>7488</v>
      </c>
      <c r="F85" s="5">
        <v>49</v>
      </c>
      <c r="G85" s="5">
        <v>17690</v>
      </c>
    </row>
    <row r="86" spans="1:7" x14ac:dyDescent="0.2">
      <c r="A86">
        <v>60</v>
      </c>
      <c r="B86" t="s">
        <v>27</v>
      </c>
      <c r="C86" t="s">
        <v>710</v>
      </c>
      <c r="D86" s="5">
        <v>295</v>
      </c>
      <c r="E86" s="5">
        <v>2649</v>
      </c>
      <c r="F86" s="5">
        <v>81</v>
      </c>
      <c r="G86" s="5">
        <v>3025</v>
      </c>
    </row>
    <row r="87" spans="1:7" x14ac:dyDescent="0.2">
      <c r="A87">
        <v>60</v>
      </c>
      <c r="B87" t="s">
        <v>27</v>
      </c>
      <c r="C87" t="s">
        <v>712</v>
      </c>
      <c r="D87" s="5">
        <v>12605</v>
      </c>
      <c r="E87" s="5">
        <v>14303</v>
      </c>
      <c r="F87" s="5">
        <v>828</v>
      </c>
      <c r="G87" s="5">
        <v>27736</v>
      </c>
    </row>
    <row r="88" spans="1:7" x14ac:dyDescent="0.2">
      <c r="A88">
        <v>72</v>
      </c>
      <c r="B88" t="s">
        <v>229</v>
      </c>
      <c r="C88" t="s">
        <v>700</v>
      </c>
      <c r="D88" s="5">
        <v>115140</v>
      </c>
      <c r="E88" s="5">
        <v>116334</v>
      </c>
      <c r="F88" s="5">
        <v>2326</v>
      </c>
      <c r="G88" s="5">
        <v>233801</v>
      </c>
    </row>
    <row r="89" spans="1:7" x14ac:dyDescent="0.2">
      <c r="A89">
        <v>72</v>
      </c>
      <c r="B89" t="s">
        <v>229</v>
      </c>
      <c r="C89" t="s">
        <v>701</v>
      </c>
      <c r="D89" s="5">
        <v>10093</v>
      </c>
      <c r="E89" s="5">
        <v>6680</v>
      </c>
      <c r="F89" s="5">
        <v>174</v>
      </c>
      <c r="G89" s="5">
        <v>16947</v>
      </c>
    </row>
    <row r="90" spans="1:7" x14ac:dyDescent="0.2">
      <c r="A90">
        <v>72</v>
      </c>
      <c r="B90" t="s">
        <v>229</v>
      </c>
      <c r="C90" t="s">
        <v>703</v>
      </c>
      <c r="D90" s="5">
        <v>376</v>
      </c>
      <c r="E90" s="5">
        <v>12000</v>
      </c>
      <c r="F90" s="5">
        <v>0</v>
      </c>
      <c r="G90" s="5">
        <v>12375</v>
      </c>
    </row>
    <row r="91" spans="1:7" x14ac:dyDescent="0.2">
      <c r="A91">
        <v>72</v>
      </c>
      <c r="B91" t="s">
        <v>229</v>
      </c>
      <c r="C91" t="s">
        <v>704</v>
      </c>
      <c r="D91" s="5">
        <v>13841</v>
      </c>
      <c r="E91" s="5">
        <v>89618</v>
      </c>
      <c r="F91" s="5">
        <v>3956</v>
      </c>
      <c r="G91" s="5">
        <v>107415</v>
      </c>
    </row>
    <row r="92" spans="1:7" x14ac:dyDescent="0.2">
      <c r="A92">
        <v>72</v>
      </c>
      <c r="B92" t="s">
        <v>229</v>
      </c>
      <c r="C92" t="s">
        <v>705</v>
      </c>
      <c r="D92" s="5">
        <v>16754</v>
      </c>
      <c r="E92" s="5">
        <v>184409</v>
      </c>
      <c r="F92" s="5">
        <v>0</v>
      </c>
      <c r="G92" s="5">
        <v>201163</v>
      </c>
    </row>
    <row r="93" spans="1:7" x14ac:dyDescent="0.2">
      <c r="A93">
        <v>72</v>
      </c>
      <c r="B93" t="s">
        <v>229</v>
      </c>
      <c r="C93" t="s">
        <v>707</v>
      </c>
      <c r="D93" s="5">
        <v>348</v>
      </c>
      <c r="E93" s="5">
        <v>864</v>
      </c>
      <c r="F93" s="5">
        <v>0</v>
      </c>
      <c r="G93" s="5">
        <v>1212</v>
      </c>
    </row>
    <row r="94" spans="1:7" x14ac:dyDescent="0.2">
      <c r="A94">
        <v>72</v>
      </c>
      <c r="B94" t="s">
        <v>229</v>
      </c>
      <c r="C94" t="s">
        <v>708</v>
      </c>
      <c r="D94" s="5">
        <v>1632</v>
      </c>
      <c r="E94" s="5">
        <v>19870</v>
      </c>
      <c r="F94" s="5">
        <v>0</v>
      </c>
      <c r="G94" s="5">
        <v>21502</v>
      </c>
    </row>
    <row r="95" spans="1:7" x14ac:dyDescent="0.2">
      <c r="A95">
        <v>72</v>
      </c>
      <c r="B95" t="s">
        <v>229</v>
      </c>
      <c r="C95" t="s">
        <v>709</v>
      </c>
      <c r="D95" s="5">
        <v>4246</v>
      </c>
      <c r="E95" s="5">
        <v>17632</v>
      </c>
      <c r="F95" s="5">
        <v>86</v>
      </c>
      <c r="G95" s="5">
        <v>21963</v>
      </c>
    </row>
    <row r="96" spans="1:7" x14ac:dyDescent="0.2">
      <c r="A96">
        <v>72</v>
      </c>
      <c r="B96" t="s">
        <v>229</v>
      </c>
      <c r="C96" t="s">
        <v>710</v>
      </c>
      <c r="D96" s="5">
        <v>471</v>
      </c>
      <c r="E96" s="5">
        <v>9560</v>
      </c>
      <c r="F96" s="5">
        <v>0</v>
      </c>
      <c r="G96" s="5">
        <v>10031</v>
      </c>
    </row>
    <row r="97" spans="1:7" x14ac:dyDescent="0.2">
      <c r="A97">
        <v>72</v>
      </c>
      <c r="B97" t="s">
        <v>229</v>
      </c>
      <c r="C97" t="s">
        <v>712</v>
      </c>
      <c r="D97" s="5">
        <v>9979</v>
      </c>
      <c r="E97" s="5">
        <v>25067</v>
      </c>
      <c r="F97" s="5">
        <v>0</v>
      </c>
      <c r="G97" s="5">
        <v>35046</v>
      </c>
    </row>
    <row r="98" spans="1:7" x14ac:dyDescent="0.2">
      <c r="A98">
        <v>74</v>
      </c>
      <c r="B98" t="s">
        <v>239</v>
      </c>
      <c r="C98" t="s">
        <v>700</v>
      </c>
      <c r="D98" s="5">
        <v>490434</v>
      </c>
      <c r="E98" s="5">
        <v>453444</v>
      </c>
      <c r="F98" s="5">
        <v>9414</v>
      </c>
      <c r="G98" s="5">
        <v>953292</v>
      </c>
    </row>
    <row r="99" spans="1:7" x14ac:dyDescent="0.2">
      <c r="A99">
        <v>74</v>
      </c>
      <c r="B99" t="s">
        <v>239</v>
      </c>
      <c r="C99" t="s">
        <v>701</v>
      </c>
      <c r="D99" s="5">
        <v>12210</v>
      </c>
      <c r="E99" s="5">
        <v>30101</v>
      </c>
      <c r="F99" s="5">
        <v>226</v>
      </c>
      <c r="G99" s="5">
        <v>42537</v>
      </c>
    </row>
    <row r="100" spans="1:7" x14ac:dyDescent="0.2">
      <c r="A100">
        <v>74</v>
      </c>
      <c r="B100" t="s">
        <v>239</v>
      </c>
      <c r="C100" t="s">
        <v>703</v>
      </c>
      <c r="D100" s="5">
        <v>2108</v>
      </c>
      <c r="E100" s="5">
        <v>18897</v>
      </c>
      <c r="F100" s="5">
        <v>0</v>
      </c>
      <c r="G100" s="5">
        <v>21005</v>
      </c>
    </row>
    <row r="101" spans="1:7" x14ac:dyDescent="0.2">
      <c r="A101">
        <v>74</v>
      </c>
      <c r="B101" t="s">
        <v>239</v>
      </c>
      <c r="C101" t="s">
        <v>704</v>
      </c>
      <c r="D101" s="5">
        <v>39609</v>
      </c>
      <c r="E101" s="5">
        <v>579428</v>
      </c>
      <c r="F101" s="5">
        <v>24414</v>
      </c>
      <c r="G101" s="5">
        <v>643451</v>
      </c>
    </row>
    <row r="102" spans="1:7" x14ac:dyDescent="0.2">
      <c r="A102">
        <v>74</v>
      </c>
      <c r="B102" t="s">
        <v>239</v>
      </c>
      <c r="C102" t="s">
        <v>705</v>
      </c>
      <c r="D102" s="5">
        <v>9068</v>
      </c>
      <c r="E102" s="5">
        <v>168239</v>
      </c>
      <c r="F102" s="5">
        <v>1440</v>
      </c>
      <c r="G102" s="5">
        <v>178747</v>
      </c>
    </row>
    <row r="103" spans="1:7" x14ac:dyDescent="0.2">
      <c r="A103">
        <v>74</v>
      </c>
      <c r="B103" t="s">
        <v>239</v>
      </c>
      <c r="C103" t="s">
        <v>706</v>
      </c>
      <c r="D103" s="5">
        <v>0</v>
      </c>
      <c r="E103" s="5">
        <v>91</v>
      </c>
      <c r="F103" s="5">
        <v>0</v>
      </c>
      <c r="G103" s="5">
        <v>91</v>
      </c>
    </row>
    <row r="104" spans="1:7" x14ac:dyDescent="0.2">
      <c r="A104">
        <v>74</v>
      </c>
      <c r="B104" t="s">
        <v>239</v>
      </c>
      <c r="C104" t="s">
        <v>707</v>
      </c>
      <c r="D104" s="5">
        <v>4241</v>
      </c>
      <c r="E104" s="5">
        <v>11420</v>
      </c>
      <c r="F104" s="5">
        <v>692</v>
      </c>
      <c r="G104" s="5">
        <v>16353</v>
      </c>
    </row>
    <row r="105" spans="1:7" x14ac:dyDescent="0.2">
      <c r="A105">
        <v>74</v>
      </c>
      <c r="B105" t="s">
        <v>239</v>
      </c>
      <c r="C105" t="s">
        <v>708</v>
      </c>
      <c r="D105" s="5">
        <v>2176</v>
      </c>
      <c r="E105" s="5">
        <v>56942</v>
      </c>
      <c r="F105" s="5">
        <v>893</v>
      </c>
      <c r="G105" s="5">
        <v>60011</v>
      </c>
    </row>
    <row r="106" spans="1:7" x14ac:dyDescent="0.2">
      <c r="A106">
        <v>74</v>
      </c>
      <c r="B106" t="s">
        <v>239</v>
      </c>
      <c r="C106" t="s">
        <v>709</v>
      </c>
      <c r="D106" s="5">
        <v>13072</v>
      </c>
      <c r="E106" s="5">
        <v>106702</v>
      </c>
      <c r="F106" s="5">
        <v>745</v>
      </c>
      <c r="G106" s="5">
        <v>120520</v>
      </c>
    </row>
    <row r="107" spans="1:7" x14ac:dyDescent="0.2">
      <c r="A107">
        <v>74</v>
      </c>
      <c r="B107" t="s">
        <v>239</v>
      </c>
      <c r="C107" t="s">
        <v>710</v>
      </c>
      <c r="D107" s="5">
        <v>4888</v>
      </c>
      <c r="E107" s="5">
        <v>41525</v>
      </c>
      <c r="F107" s="5">
        <v>96</v>
      </c>
      <c r="G107" s="5">
        <v>46508</v>
      </c>
    </row>
    <row r="108" spans="1:7" x14ac:dyDescent="0.2">
      <c r="A108">
        <v>74</v>
      </c>
      <c r="B108" t="s">
        <v>239</v>
      </c>
      <c r="C108" t="s">
        <v>712</v>
      </c>
      <c r="D108" s="5">
        <v>18315</v>
      </c>
      <c r="E108" s="5">
        <v>259075</v>
      </c>
      <c r="F108" s="5">
        <v>276</v>
      </c>
      <c r="G108" s="5">
        <v>277666</v>
      </c>
    </row>
    <row r="109" spans="1:7" x14ac:dyDescent="0.2">
      <c r="A109">
        <v>80</v>
      </c>
      <c r="B109" t="s">
        <v>319</v>
      </c>
      <c r="C109" t="s">
        <v>700</v>
      </c>
      <c r="D109" s="5">
        <v>406449</v>
      </c>
      <c r="E109" s="5">
        <v>637738</v>
      </c>
      <c r="F109" s="5">
        <v>58864</v>
      </c>
      <c r="G109" s="5">
        <v>1103050</v>
      </c>
    </row>
    <row r="110" spans="1:7" x14ac:dyDescent="0.2">
      <c r="A110">
        <v>80</v>
      </c>
      <c r="B110" t="s">
        <v>319</v>
      </c>
      <c r="C110" t="s">
        <v>701</v>
      </c>
      <c r="D110" s="5">
        <v>47796</v>
      </c>
      <c r="E110" s="5">
        <v>111541</v>
      </c>
      <c r="F110" s="5">
        <v>526</v>
      </c>
      <c r="G110" s="5">
        <v>159863</v>
      </c>
    </row>
    <row r="111" spans="1:7" x14ac:dyDescent="0.2">
      <c r="A111">
        <v>80</v>
      </c>
      <c r="B111" t="s">
        <v>319</v>
      </c>
      <c r="C111" t="s">
        <v>702</v>
      </c>
      <c r="D111" s="5">
        <v>0</v>
      </c>
      <c r="E111" s="5">
        <v>11913</v>
      </c>
      <c r="F111" s="5">
        <v>0</v>
      </c>
      <c r="G111" s="5">
        <v>11913</v>
      </c>
    </row>
    <row r="112" spans="1:7" x14ac:dyDescent="0.2">
      <c r="A112">
        <v>80</v>
      </c>
      <c r="B112" t="s">
        <v>319</v>
      </c>
      <c r="C112" t="s">
        <v>703</v>
      </c>
      <c r="D112" s="5">
        <v>2752</v>
      </c>
      <c r="E112" s="5">
        <v>103392</v>
      </c>
      <c r="F112" s="5">
        <v>0</v>
      </c>
      <c r="G112" s="5">
        <v>106144</v>
      </c>
    </row>
    <row r="113" spans="1:7" x14ac:dyDescent="0.2">
      <c r="A113">
        <v>80</v>
      </c>
      <c r="B113" t="s">
        <v>319</v>
      </c>
      <c r="C113" t="s">
        <v>704</v>
      </c>
      <c r="D113" s="5">
        <v>59178</v>
      </c>
      <c r="E113" s="5">
        <v>741724</v>
      </c>
      <c r="F113" s="5">
        <v>12373</v>
      </c>
      <c r="G113" s="5">
        <v>813275</v>
      </c>
    </row>
    <row r="114" spans="1:7" x14ac:dyDescent="0.2">
      <c r="A114">
        <v>80</v>
      </c>
      <c r="B114" t="s">
        <v>319</v>
      </c>
      <c r="C114" t="s">
        <v>705</v>
      </c>
      <c r="D114" s="5">
        <v>40202</v>
      </c>
      <c r="E114" s="5">
        <v>367965</v>
      </c>
      <c r="F114" s="5">
        <v>10479</v>
      </c>
      <c r="G114" s="5">
        <v>418646</v>
      </c>
    </row>
    <row r="115" spans="1:7" x14ac:dyDescent="0.2">
      <c r="A115">
        <v>80</v>
      </c>
      <c r="B115" t="s">
        <v>319</v>
      </c>
      <c r="C115" t="s">
        <v>706</v>
      </c>
      <c r="D115" s="5">
        <v>0</v>
      </c>
      <c r="E115" s="5">
        <v>239</v>
      </c>
      <c r="F115" s="5">
        <v>0</v>
      </c>
      <c r="G115" s="5">
        <v>239</v>
      </c>
    </row>
    <row r="116" spans="1:7" x14ac:dyDescent="0.2">
      <c r="A116">
        <v>80</v>
      </c>
      <c r="B116" t="s">
        <v>319</v>
      </c>
      <c r="C116" t="s">
        <v>707</v>
      </c>
      <c r="D116" s="5">
        <v>29521</v>
      </c>
      <c r="E116" s="5">
        <v>13771</v>
      </c>
      <c r="F116" s="5">
        <v>4836</v>
      </c>
      <c r="G116" s="5">
        <v>48127</v>
      </c>
    </row>
    <row r="117" spans="1:7" x14ac:dyDescent="0.2">
      <c r="A117">
        <v>80</v>
      </c>
      <c r="B117" t="s">
        <v>319</v>
      </c>
      <c r="C117" t="s">
        <v>708</v>
      </c>
      <c r="D117" s="5">
        <v>8373</v>
      </c>
      <c r="E117" s="5">
        <v>173772</v>
      </c>
      <c r="F117" s="5">
        <v>0</v>
      </c>
      <c r="G117" s="5">
        <v>182145</v>
      </c>
    </row>
    <row r="118" spans="1:7" x14ac:dyDescent="0.2">
      <c r="A118">
        <v>80</v>
      </c>
      <c r="B118" t="s">
        <v>319</v>
      </c>
      <c r="C118" t="s">
        <v>709</v>
      </c>
      <c r="D118" s="5">
        <v>27973</v>
      </c>
      <c r="E118" s="5">
        <v>354630</v>
      </c>
      <c r="F118" s="5">
        <v>4846</v>
      </c>
      <c r="G118" s="5">
        <v>387449</v>
      </c>
    </row>
    <row r="119" spans="1:7" x14ac:dyDescent="0.2">
      <c r="A119">
        <v>80</v>
      </c>
      <c r="B119" t="s">
        <v>319</v>
      </c>
      <c r="C119" t="s">
        <v>710</v>
      </c>
      <c r="D119" s="5">
        <v>6196</v>
      </c>
      <c r="E119" s="5">
        <v>64616</v>
      </c>
      <c r="F119" s="5">
        <v>0</v>
      </c>
      <c r="G119" s="5">
        <v>70812</v>
      </c>
    </row>
    <row r="120" spans="1:7" x14ac:dyDescent="0.2">
      <c r="A120">
        <v>80</v>
      </c>
      <c r="B120" t="s">
        <v>319</v>
      </c>
      <c r="C120" t="s">
        <v>712</v>
      </c>
      <c r="D120" s="5">
        <v>44017</v>
      </c>
      <c r="E120" s="5">
        <v>425256</v>
      </c>
      <c r="F120" s="5">
        <v>4747</v>
      </c>
      <c r="G120" s="5">
        <v>474021</v>
      </c>
    </row>
    <row r="121" spans="1:7" x14ac:dyDescent="0.2">
      <c r="A121">
        <v>85</v>
      </c>
      <c r="B121" t="s">
        <v>429</v>
      </c>
      <c r="C121" t="s">
        <v>700</v>
      </c>
      <c r="D121" s="5">
        <v>638119</v>
      </c>
      <c r="E121" s="5">
        <v>484190</v>
      </c>
      <c r="F121" s="5">
        <v>19250</v>
      </c>
      <c r="G121" s="5">
        <v>1141559</v>
      </c>
    </row>
    <row r="122" spans="1:7" x14ac:dyDescent="0.2">
      <c r="A122">
        <v>85</v>
      </c>
      <c r="B122" t="s">
        <v>429</v>
      </c>
      <c r="C122" t="s">
        <v>701</v>
      </c>
      <c r="D122" s="5">
        <v>8395</v>
      </c>
      <c r="E122" s="5">
        <v>25620</v>
      </c>
      <c r="F122" s="5">
        <v>0</v>
      </c>
      <c r="G122" s="5">
        <v>34015</v>
      </c>
    </row>
    <row r="123" spans="1:7" x14ac:dyDescent="0.2">
      <c r="A123">
        <v>85</v>
      </c>
      <c r="B123" t="s">
        <v>429</v>
      </c>
      <c r="C123" t="s">
        <v>703</v>
      </c>
      <c r="D123" s="5">
        <v>1485</v>
      </c>
      <c r="E123" s="5">
        <v>26021</v>
      </c>
      <c r="F123" s="5">
        <v>393</v>
      </c>
      <c r="G123" s="5">
        <v>27898</v>
      </c>
    </row>
    <row r="124" spans="1:7" x14ac:dyDescent="0.2">
      <c r="A124">
        <v>85</v>
      </c>
      <c r="B124" t="s">
        <v>429</v>
      </c>
      <c r="C124" t="s">
        <v>704</v>
      </c>
      <c r="D124" s="5">
        <v>21074</v>
      </c>
      <c r="E124" s="5">
        <v>195140</v>
      </c>
      <c r="F124" s="5">
        <v>13630</v>
      </c>
      <c r="G124" s="5">
        <v>229844</v>
      </c>
    </row>
    <row r="125" spans="1:7" x14ac:dyDescent="0.2">
      <c r="A125">
        <v>85</v>
      </c>
      <c r="B125" t="s">
        <v>429</v>
      </c>
      <c r="C125" t="s">
        <v>705</v>
      </c>
      <c r="D125" s="5">
        <v>3250</v>
      </c>
      <c r="E125" s="5">
        <v>47171</v>
      </c>
      <c r="F125" s="5">
        <v>604</v>
      </c>
      <c r="G125" s="5">
        <v>51025</v>
      </c>
    </row>
    <row r="126" spans="1:7" x14ac:dyDescent="0.2">
      <c r="A126">
        <v>85</v>
      </c>
      <c r="B126" t="s">
        <v>429</v>
      </c>
      <c r="C126" t="s">
        <v>707</v>
      </c>
      <c r="D126" s="5">
        <v>30688</v>
      </c>
      <c r="E126" s="5">
        <v>15619</v>
      </c>
      <c r="F126" s="5">
        <v>2064</v>
      </c>
      <c r="G126" s="5">
        <v>48371</v>
      </c>
    </row>
    <row r="127" spans="1:7" x14ac:dyDescent="0.2">
      <c r="A127">
        <v>85</v>
      </c>
      <c r="B127" t="s">
        <v>429</v>
      </c>
      <c r="C127" t="s">
        <v>708</v>
      </c>
      <c r="D127" s="5">
        <v>6894</v>
      </c>
      <c r="E127" s="5">
        <v>18810</v>
      </c>
      <c r="F127" s="5">
        <v>513</v>
      </c>
      <c r="G127" s="5">
        <v>26217</v>
      </c>
    </row>
    <row r="128" spans="1:7" x14ac:dyDescent="0.2">
      <c r="A128">
        <v>85</v>
      </c>
      <c r="B128" t="s">
        <v>429</v>
      </c>
      <c r="C128" t="s">
        <v>709</v>
      </c>
      <c r="D128" s="5">
        <v>4869</v>
      </c>
      <c r="E128" s="5">
        <v>27872</v>
      </c>
      <c r="F128" s="5">
        <v>451</v>
      </c>
      <c r="G128" s="5">
        <v>33191</v>
      </c>
    </row>
    <row r="129" spans="1:7" x14ac:dyDescent="0.2">
      <c r="A129">
        <v>85</v>
      </c>
      <c r="B129" t="s">
        <v>429</v>
      </c>
      <c r="C129" t="s">
        <v>710</v>
      </c>
      <c r="D129" s="5">
        <v>253</v>
      </c>
      <c r="E129" s="5">
        <v>4977</v>
      </c>
      <c r="F129" s="5">
        <v>0</v>
      </c>
      <c r="G129" s="5">
        <v>5230</v>
      </c>
    </row>
    <row r="130" spans="1:7" x14ac:dyDescent="0.2">
      <c r="A130">
        <v>85</v>
      </c>
      <c r="B130" t="s">
        <v>429</v>
      </c>
      <c r="C130" t="s">
        <v>712</v>
      </c>
      <c r="D130" s="5">
        <v>8770</v>
      </c>
      <c r="E130" s="5">
        <v>69031</v>
      </c>
      <c r="F130" s="5">
        <v>0</v>
      </c>
      <c r="G130" s="5">
        <v>77801</v>
      </c>
    </row>
    <row r="131" spans="1:7" x14ac:dyDescent="0.2">
      <c r="A131">
        <v>86</v>
      </c>
      <c r="B131" t="s">
        <v>435</v>
      </c>
      <c r="C131" t="s">
        <v>700</v>
      </c>
      <c r="D131" s="5">
        <v>612178</v>
      </c>
      <c r="E131" s="5">
        <v>371058</v>
      </c>
      <c r="F131" s="5">
        <v>10464</v>
      </c>
      <c r="G131" s="5">
        <v>993700</v>
      </c>
    </row>
    <row r="132" spans="1:7" x14ac:dyDescent="0.2">
      <c r="A132">
        <v>86</v>
      </c>
      <c r="B132" t="s">
        <v>435</v>
      </c>
      <c r="C132" t="s">
        <v>701</v>
      </c>
      <c r="D132" s="5">
        <v>9681</v>
      </c>
      <c r="E132" s="5">
        <v>22472</v>
      </c>
      <c r="F132" s="5">
        <v>1000</v>
      </c>
      <c r="G132" s="5">
        <v>33154</v>
      </c>
    </row>
    <row r="133" spans="1:7" x14ac:dyDescent="0.2">
      <c r="A133">
        <v>86</v>
      </c>
      <c r="B133" t="s">
        <v>435</v>
      </c>
      <c r="C133" t="s">
        <v>703</v>
      </c>
      <c r="D133" s="5">
        <v>1961</v>
      </c>
      <c r="E133" s="5">
        <v>11382</v>
      </c>
      <c r="F133" s="5">
        <v>0</v>
      </c>
      <c r="G133" s="5">
        <v>13342</v>
      </c>
    </row>
    <row r="134" spans="1:7" x14ac:dyDescent="0.2">
      <c r="A134">
        <v>86</v>
      </c>
      <c r="B134" t="s">
        <v>435</v>
      </c>
      <c r="C134" t="s">
        <v>704</v>
      </c>
      <c r="D134" s="5">
        <v>27574</v>
      </c>
      <c r="E134" s="5">
        <v>266447</v>
      </c>
      <c r="F134" s="5">
        <v>955</v>
      </c>
      <c r="G134" s="5">
        <v>294976</v>
      </c>
    </row>
    <row r="135" spans="1:7" x14ac:dyDescent="0.2">
      <c r="A135">
        <v>86</v>
      </c>
      <c r="B135" t="s">
        <v>435</v>
      </c>
      <c r="C135" t="s">
        <v>705</v>
      </c>
      <c r="D135" s="5">
        <v>6402</v>
      </c>
      <c r="E135" s="5">
        <v>30445</v>
      </c>
      <c r="F135" s="5">
        <v>3312</v>
      </c>
      <c r="G135" s="5">
        <v>40159</v>
      </c>
    </row>
    <row r="136" spans="1:7" x14ac:dyDescent="0.2">
      <c r="A136">
        <v>86</v>
      </c>
      <c r="B136" t="s">
        <v>435</v>
      </c>
      <c r="C136" t="s">
        <v>707</v>
      </c>
      <c r="D136" s="5">
        <v>2855</v>
      </c>
      <c r="E136" s="5">
        <v>2378</v>
      </c>
      <c r="F136" s="5">
        <v>326</v>
      </c>
      <c r="G136" s="5">
        <v>5559</v>
      </c>
    </row>
    <row r="137" spans="1:7" x14ac:dyDescent="0.2">
      <c r="A137">
        <v>86</v>
      </c>
      <c r="B137" t="s">
        <v>435</v>
      </c>
      <c r="C137" t="s">
        <v>708</v>
      </c>
      <c r="D137" s="5">
        <v>0</v>
      </c>
      <c r="E137" s="5">
        <v>38678</v>
      </c>
      <c r="F137" s="5">
        <v>1441</v>
      </c>
      <c r="G137" s="5">
        <v>40119</v>
      </c>
    </row>
    <row r="138" spans="1:7" x14ac:dyDescent="0.2">
      <c r="A138">
        <v>86</v>
      </c>
      <c r="B138" t="s">
        <v>435</v>
      </c>
      <c r="C138" t="s">
        <v>709</v>
      </c>
      <c r="D138" s="5">
        <v>5445</v>
      </c>
      <c r="E138" s="5">
        <v>6889</v>
      </c>
      <c r="F138" s="5">
        <v>47</v>
      </c>
      <c r="G138" s="5">
        <v>12382</v>
      </c>
    </row>
    <row r="139" spans="1:7" x14ac:dyDescent="0.2">
      <c r="A139">
        <v>86</v>
      </c>
      <c r="B139" t="s">
        <v>435</v>
      </c>
      <c r="C139" t="s">
        <v>710</v>
      </c>
      <c r="D139" s="5">
        <v>59</v>
      </c>
      <c r="E139" s="5">
        <v>31538</v>
      </c>
      <c r="F139" s="5">
        <v>1214</v>
      </c>
      <c r="G139" s="5">
        <v>32812</v>
      </c>
    </row>
    <row r="140" spans="1:7" x14ac:dyDescent="0.2">
      <c r="A140">
        <v>86</v>
      </c>
      <c r="B140" t="s">
        <v>435</v>
      </c>
      <c r="C140" t="s">
        <v>711</v>
      </c>
      <c r="D140" s="5">
        <v>0</v>
      </c>
      <c r="E140" s="5">
        <v>0</v>
      </c>
      <c r="F140" s="5">
        <v>40</v>
      </c>
      <c r="G140" s="5">
        <v>40</v>
      </c>
    </row>
    <row r="141" spans="1:7" x14ac:dyDescent="0.2">
      <c r="A141">
        <v>86</v>
      </c>
      <c r="B141" t="s">
        <v>435</v>
      </c>
      <c r="C141" t="s">
        <v>712</v>
      </c>
      <c r="D141" s="5">
        <v>23138</v>
      </c>
      <c r="E141" s="5">
        <v>70727</v>
      </c>
      <c r="F141" s="5">
        <v>0</v>
      </c>
      <c r="G141" s="5">
        <v>93865</v>
      </c>
    </row>
    <row r="142" spans="1:7" x14ac:dyDescent="0.2">
      <c r="A142">
        <v>88</v>
      </c>
      <c r="B142" t="s">
        <v>499</v>
      </c>
      <c r="C142" t="s">
        <v>700</v>
      </c>
      <c r="D142" s="5">
        <v>9546</v>
      </c>
      <c r="E142" s="5">
        <v>2628</v>
      </c>
      <c r="F142" s="5">
        <v>224</v>
      </c>
      <c r="G142" s="5">
        <v>12398</v>
      </c>
    </row>
    <row r="143" spans="1:7" x14ac:dyDescent="0.2">
      <c r="A143">
        <v>88</v>
      </c>
      <c r="B143" t="s">
        <v>499</v>
      </c>
      <c r="C143" t="s">
        <v>701</v>
      </c>
      <c r="D143" s="5">
        <v>1850</v>
      </c>
      <c r="E143" s="5">
        <v>1503</v>
      </c>
      <c r="F143" s="5">
        <v>0</v>
      </c>
      <c r="G143" s="5">
        <v>3353</v>
      </c>
    </row>
    <row r="144" spans="1:7" x14ac:dyDescent="0.2">
      <c r="A144">
        <v>88</v>
      </c>
      <c r="B144" t="s">
        <v>499</v>
      </c>
      <c r="C144" t="s">
        <v>704</v>
      </c>
      <c r="D144" s="5">
        <v>6160</v>
      </c>
      <c r="E144" s="5">
        <v>12165</v>
      </c>
      <c r="F144" s="5">
        <v>0</v>
      </c>
      <c r="G144" s="5">
        <v>18325</v>
      </c>
    </row>
    <row r="145" spans="1:7" x14ac:dyDescent="0.2">
      <c r="A145">
        <v>88</v>
      </c>
      <c r="B145" t="s">
        <v>499</v>
      </c>
      <c r="C145" t="s">
        <v>705</v>
      </c>
      <c r="D145" s="5">
        <v>1163</v>
      </c>
      <c r="E145" s="5">
        <v>749</v>
      </c>
      <c r="F145" s="5">
        <v>0</v>
      </c>
      <c r="G145" s="5">
        <v>1913</v>
      </c>
    </row>
    <row r="146" spans="1:7" x14ac:dyDescent="0.2">
      <c r="A146">
        <v>88</v>
      </c>
      <c r="B146" t="s">
        <v>499</v>
      </c>
      <c r="C146" t="s">
        <v>707</v>
      </c>
      <c r="D146" s="5">
        <v>21219</v>
      </c>
      <c r="E146" s="5">
        <v>29859</v>
      </c>
      <c r="F146" s="5">
        <v>463</v>
      </c>
      <c r="G146" s="5">
        <v>51541</v>
      </c>
    </row>
    <row r="147" spans="1:7" x14ac:dyDescent="0.2">
      <c r="A147">
        <v>88</v>
      </c>
      <c r="B147" t="s">
        <v>499</v>
      </c>
      <c r="C147" t="s">
        <v>708</v>
      </c>
      <c r="D147" s="5">
        <v>646</v>
      </c>
      <c r="E147" s="5">
        <v>1234</v>
      </c>
      <c r="F147" s="5">
        <v>0</v>
      </c>
      <c r="G147" s="5">
        <v>1880</v>
      </c>
    </row>
    <row r="148" spans="1:7" x14ac:dyDescent="0.2">
      <c r="A148">
        <v>88</v>
      </c>
      <c r="B148" t="s">
        <v>499</v>
      </c>
      <c r="C148" t="s">
        <v>709</v>
      </c>
      <c r="D148" s="5">
        <v>2087</v>
      </c>
      <c r="E148" s="5">
        <v>2574</v>
      </c>
      <c r="F148" s="5">
        <v>22</v>
      </c>
      <c r="G148" s="5">
        <v>4684</v>
      </c>
    </row>
    <row r="149" spans="1:7" x14ac:dyDescent="0.2">
      <c r="A149">
        <v>88</v>
      </c>
      <c r="B149" t="s">
        <v>499</v>
      </c>
      <c r="C149" t="s">
        <v>710</v>
      </c>
      <c r="D149" s="5">
        <v>20</v>
      </c>
      <c r="E149" s="5">
        <v>854</v>
      </c>
      <c r="F149" s="5">
        <v>0</v>
      </c>
      <c r="G149" s="5">
        <v>873</v>
      </c>
    </row>
    <row r="150" spans="1:7" x14ac:dyDescent="0.2">
      <c r="A150">
        <v>88</v>
      </c>
      <c r="B150" t="s">
        <v>499</v>
      </c>
      <c r="C150" t="s">
        <v>712</v>
      </c>
      <c r="D150" s="5">
        <v>1422</v>
      </c>
      <c r="E150" s="5">
        <v>2375</v>
      </c>
      <c r="F150" s="5">
        <v>0</v>
      </c>
      <c r="G150" s="5">
        <v>3797</v>
      </c>
    </row>
    <row r="151" spans="1:7" x14ac:dyDescent="0.2">
      <c r="A151">
        <v>90</v>
      </c>
      <c r="B151" t="s">
        <v>513</v>
      </c>
      <c r="C151" t="s">
        <v>700</v>
      </c>
      <c r="D151" s="5">
        <v>307754</v>
      </c>
      <c r="E151" s="5">
        <v>331359</v>
      </c>
      <c r="F151" s="5">
        <v>14504</v>
      </c>
      <c r="G151" s="5">
        <v>653617</v>
      </c>
    </row>
    <row r="152" spans="1:7" x14ac:dyDescent="0.2">
      <c r="A152">
        <v>90</v>
      </c>
      <c r="B152" t="s">
        <v>513</v>
      </c>
      <c r="C152" t="s">
        <v>701</v>
      </c>
      <c r="D152" s="5">
        <v>14400</v>
      </c>
      <c r="E152" s="5">
        <v>43207</v>
      </c>
      <c r="F152" s="5">
        <v>2668</v>
      </c>
      <c r="G152" s="5">
        <v>60275</v>
      </c>
    </row>
    <row r="153" spans="1:7" x14ac:dyDescent="0.2">
      <c r="A153">
        <v>90</v>
      </c>
      <c r="B153" t="s">
        <v>513</v>
      </c>
      <c r="C153" t="s">
        <v>703</v>
      </c>
      <c r="D153" s="5">
        <v>3121</v>
      </c>
      <c r="E153" s="5">
        <v>52056</v>
      </c>
      <c r="F153" s="5">
        <v>461</v>
      </c>
      <c r="G153" s="5">
        <v>55638</v>
      </c>
    </row>
    <row r="154" spans="1:7" x14ac:dyDescent="0.2">
      <c r="A154">
        <v>90</v>
      </c>
      <c r="B154" t="s">
        <v>513</v>
      </c>
      <c r="C154" t="s">
        <v>704</v>
      </c>
      <c r="D154" s="5">
        <v>35098</v>
      </c>
      <c r="E154" s="5">
        <v>540066</v>
      </c>
      <c r="F154" s="5">
        <v>24516</v>
      </c>
      <c r="G154" s="5">
        <v>599680</v>
      </c>
    </row>
    <row r="155" spans="1:7" x14ac:dyDescent="0.2">
      <c r="A155">
        <v>90</v>
      </c>
      <c r="B155" t="s">
        <v>513</v>
      </c>
      <c r="C155" t="s">
        <v>705</v>
      </c>
      <c r="D155" s="5">
        <v>6293</v>
      </c>
      <c r="E155" s="5">
        <v>119318</v>
      </c>
      <c r="F155" s="5">
        <v>20754</v>
      </c>
      <c r="G155" s="5">
        <v>146366</v>
      </c>
    </row>
    <row r="156" spans="1:7" x14ac:dyDescent="0.2">
      <c r="A156">
        <v>90</v>
      </c>
      <c r="B156" t="s">
        <v>513</v>
      </c>
      <c r="C156" t="s">
        <v>707</v>
      </c>
      <c r="D156" s="5">
        <v>719</v>
      </c>
      <c r="E156" s="5">
        <v>4055</v>
      </c>
      <c r="F156" s="5">
        <v>67</v>
      </c>
      <c r="G156" s="5">
        <v>4841</v>
      </c>
    </row>
    <row r="157" spans="1:7" x14ac:dyDescent="0.2">
      <c r="A157">
        <v>90</v>
      </c>
      <c r="B157" t="s">
        <v>513</v>
      </c>
      <c r="C157" t="s">
        <v>708</v>
      </c>
      <c r="D157" s="5">
        <v>4127</v>
      </c>
      <c r="E157" s="5">
        <v>87435</v>
      </c>
      <c r="F157" s="5">
        <v>0</v>
      </c>
      <c r="G157" s="5">
        <v>91561</v>
      </c>
    </row>
    <row r="158" spans="1:7" x14ac:dyDescent="0.2">
      <c r="A158">
        <v>90</v>
      </c>
      <c r="B158" t="s">
        <v>513</v>
      </c>
      <c r="C158" t="s">
        <v>709</v>
      </c>
      <c r="D158" s="5">
        <v>9534</v>
      </c>
      <c r="E158" s="5">
        <v>99156</v>
      </c>
      <c r="F158" s="5">
        <v>624</v>
      </c>
      <c r="G158" s="5">
        <v>109314</v>
      </c>
    </row>
    <row r="159" spans="1:7" x14ac:dyDescent="0.2">
      <c r="A159">
        <v>90</v>
      </c>
      <c r="B159" t="s">
        <v>513</v>
      </c>
      <c r="C159" t="s">
        <v>710</v>
      </c>
      <c r="D159" s="5">
        <v>198</v>
      </c>
      <c r="E159" s="5">
        <v>35489</v>
      </c>
      <c r="F159" s="5">
        <v>618</v>
      </c>
      <c r="G159" s="5">
        <v>36306</v>
      </c>
    </row>
    <row r="160" spans="1:7" x14ac:dyDescent="0.2">
      <c r="A160">
        <v>90</v>
      </c>
      <c r="B160" t="s">
        <v>513</v>
      </c>
      <c r="C160" t="s">
        <v>712</v>
      </c>
      <c r="D160" s="5">
        <v>18786</v>
      </c>
      <c r="E160" s="5">
        <v>256650</v>
      </c>
      <c r="F160" s="5">
        <v>4237</v>
      </c>
      <c r="G160" s="5">
        <v>279673</v>
      </c>
    </row>
    <row r="161" spans="1:7" x14ac:dyDescent="0.2">
      <c r="A161">
        <v>93</v>
      </c>
      <c r="B161" t="s">
        <v>539</v>
      </c>
      <c r="C161" t="s">
        <v>700</v>
      </c>
      <c r="D161" s="5">
        <v>56960</v>
      </c>
      <c r="E161" s="5">
        <v>18628</v>
      </c>
      <c r="F161" s="5">
        <v>689</v>
      </c>
      <c r="G161" s="5">
        <v>76276</v>
      </c>
    </row>
    <row r="162" spans="1:7" x14ac:dyDescent="0.2">
      <c r="A162">
        <v>93</v>
      </c>
      <c r="B162" t="s">
        <v>539</v>
      </c>
      <c r="C162" t="s">
        <v>701</v>
      </c>
      <c r="D162" s="5">
        <v>6719</v>
      </c>
      <c r="E162" s="5">
        <v>7236</v>
      </c>
      <c r="F162" s="5">
        <v>488</v>
      </c>
      <c r="G162" s="5">
        <v>14442</v>
      </c>
    </row>
    <row r="163" spans="1:7" x14ac:dyDescent="0.2">
      <c r="A163">
        <v>93</v>
      </c>
      <c r="B163" t="s">
        <v>539</v>
      </c>
      <c r="C163" t="s">
        <v>703</v>
      </c>
      <c r="D163" s="5">
        <v>67</v>
      </c>
      <c r="E163" s="5">
        <v>733</v>
      </c>
      <c r="F163" s="5">
        <v>0</v>
      </c>
      <c r="G163" s="5">
        <v>799</v>
      </c>
    </row>
    <row r="164" spans="1:7" x14ac:dyDescent="0.2">
      <c r="A164">
        <v>93</v>
      </c>
      <c r="B164" t="s">
        <v>539</v>
      </c>
      <c r="C164" t="s">
        <v>704</v>
      </c>
      <c r="D164" s="5">
        <v>15087</v>
      </c>
      <c r="E164" s="5">
        <v>21675</v>
      </c>
      <c r="F164" s="5">
        <v>115</v>
      </c>
      <c r="G164" s="5">
        <v>36877</v>
      </c>
    </row>
    <row r="165" spans="1:7" x14ac:dyDescent="0.2">
      <c r="A165">
        <v>93</v>
      </c>
      <c r="B165" t="s">
        <v>539</v>
      </c>
      <c r="C165" t="s">
        <v>705</v>
      </c>
      <c r="D165" s="5">
        <v>2902</v>
      </c>
      <c r="E165" s="5">
        <v>5768</v>
      </c>
      <c r="F165" s="5">
        <v>0</v>
      </c>
      <c r="G165" s="5">
        <v>8669</v>
      </c>
    </row>
    <row r="166" spans="1:7" x14ac:dyDescent="0.2">
      <c r="A166">
        <v>93</v>
      </c>
      <c r="B166" t="s">
        <v>539</v>
      </c>
      <c r="C166" t="s">
        <v>707</v>
      </c>
      <c r="D166" s="5">
        <v>66214</v>
      </c>
      <c r="E166" s="5">
        <v>24664</v>
      </c>
      <c r="F166" s="5">
        <v>716</v>
      </c>
      <c r="G166" s="5">
        <v>91593</v>
      </c>
    </row>
    <row r="167" spans="1:7" x14ac:dyDescent="0.2">
      <c r="A167">
        <v>93</v>
      </c>
      <c r="B167" t="s">
        <v>539</v>
      </c>
      <c r="C167" t="s">
        <v>708</v>
      </c>
      <c r="D167" s="5">
        <v>610</v>
      </c>
      <c r="E167" s="5">
        <v>7279</v>
      </c>
      <c r="F167" s="5">
        <v>0</v>
      </c>
      <c r="G167" s="5">
        <v>7889</v>
      </c>
    </row>
    <row r="168" spans="1:7" x14ac:dyDescent="0.2">
      <c r="A168">
        <v>93</v>
      </c>
      <c r="B168" t="s">
        <v>539</v>
      </c>
      <c r="C168" t="s">
        <v>709</v>
      </c>
      <c r="D168" s="5">
        <v>4004</v>
      </c>
      <c r="E168" s="5">
        <v>2596</v>
      </c>
      <c r="F168" s="5">
        <v>42</v>
      </c>
      <c r="G168" s="5">
        <v>6643</v>
      </c>
    </row>
    <row r="169" spans="1:7" x14ac:dyDescent="0.2">
      <c r="A169">
        <v>93</v>
      </c>
      <c r="B169" t="s">
        <v>539</v>
      </c>
      <c r="C169" t="s">
        <v>710</v>
      </c>
      <c r="D169" s="5">
        <v>2718</v>
      </c>
      <c r="E169" s="5">
        <v>854</v>
      </c>
      <c r="F169" s="5">
        <v>0</v>
      </c>
      <c r="G169" s="5">
        <v>3573</v>
      </c>
    </row>
    <row r="170" spans="1:7" x14ac:dyDescent="0.2">
      <c r="A170">
        <v>93</v>
      </c>
      <c r="B170" t="s">
        <v>539</v>
      </c>
      <c r="C170" t="s">
        <v>712</v>
      </c>
      <c r="D170" s="5">
        <v>7066</v>
      </c>
      <c r="E170" s="5">
        <v>12683</v>
      </c>
      <c r="F170" s="5">
        <v>0</v>
      </c>
      <c r="G170" s="5">
        <v>19749</v>
      </c>
    </row>
    <row r="171" spans="1:7" x14ac:dyDescent="0.2">
      <c r="A171">
        <v>96</v>
      </c>
      <c r="B171" t="s">
        <v>593</v>
      </c>
      <c r="C171" t="s">
        <v>700</v>
      </c>
      <c r="D171" s="5">
        <v>6790</v>
      </c>
      <c r="E171" s="5">
        <v>6090</v>
      </c>
      <c r="F171" s="5">
        <v>200</v>
      </c>
      <c r="G171" s="5">
        <v>13080</v>
      </c>
    </row>
    <row r="172" spans="1:7" x14ac:dyDescent="0.2">
      <c r="A172">
        <v>96</v>
      </c>
      <c r="B172" t="s">
        <v>593</v>
      </c>
      <c r="C172" t="s">
        <v>701</v>
      </c>
      <c r="D172" s="5">
        <v>2767</v>
      </c>
      <c r="E172" s="5">
        <v>1592</v>
      </c>
      <c r="F172" s="5">
        <v>800</v>
      </c>
      <c r="G172" s="5">
        <v>5159</v>
      </c>
    </row>
    <row r="173" spans="1:7" x14ac:dyDescent="0.2">
      <c r="A173">
        <v>96</v>
      </c>
      <c r="B173" t="s">
        <v>593</v>
      </c>
      <c r="C173" t="s">
        <v>703</v>
      </c>
      <c r="D173" s="5">
        <v>0</v>
      </c>
      <c r="E173" s="5">
        <v>155</v>
      </c>
      <c r="F173" s="5">
        <v>0</v>
      </c>
      <c r="G173" s="5">
        <v>155</v>
      </c>
    </row>
    <row r="174" spans="1:7" x14ac:dyDescent="0.2">
      <c r="A174">
        <v>96</v>
      </c>
      <c r="B174" t="s">
        <v>593</v>
      </c>
      <c r="C174" t="s">
        <v>704</v>
      </c>
      <c r="D174" s="5">
        <v>9177</v>
      </c>
      <c r="E174" s="5">
        <v>3002</v>
      </c>
      <c r="F174" s="5">
        <v>0</v>
      </c>
      <c r="G174" s="5">
        <v>12179</v>
      </c>
    </row>
    <row r="175" spans="1:7" x14ac:dyDescent="0.2">
      <c r="A175">
        <v>96</v>
      </c>
      <c r="B175" t="s">
        <v>593</v>
      </c>
      <c r="C175" t="s">
        <v>705</v>
      </c>
      <c r="D175" s="5">
        <v>1316</v>
      </c>
      <c r="E175" s="5">
        <v>1710</v>
      </c>
      <c r="F175" s="5">
        <v>0</v>
      </c>
      <c r="G175" s="5">
        <v>3026</v>
      </c>
    </row>
    <row r="176" spans="1:7" x14ac:dyDescent="0.2">
      <c r="A176">
        <v>96</v>
      </c>
      <c r="B176" t="s">
        <v>593</v>
      </c>
      <c r="C176" t="s">
        <v>707</v>
      </c>
      <c r="D176" s="5">
        <v>18077</v>
      </c>
      <c r="E176" s="5">
        <v>13974</v>
      </c>
      <c r="F176" s="5">
        <v>0</v>
      </c>
      <c r="G176" s="5">
        <v>32051</v>
      </c>
    </row>
    <row r="177" spans="1:7" x14ac:dyDescent="0.2">
      <c r="A177">
        <v>96</v>
      </c>
      <c r="B177" t="s">
        <v>593</v>
      </c>
      <c r="C177" t="s">
        <v>708</v>
      </c>
      <c r="D177" s="5">
        <v>1237</v>
      </c>
      <c r="E177" s="5">
        <v>0</v>
      </c>
      <c r="F177" s="5">
        <v>0</v>
      </c>
      <c r="G177" s="5">
        <v>1237</v>
      </c>
    </row>
    <row r="178" spans="1:7" x14ac:dyDescent="0.2">
      <c r="A178">
        <v>96</v>
      </c>
      <c r="B178" t="s">
        <v>593</v>
      </c>
      <c r="C178" t="s">
        <v>709</v>
      </c>
      <c r="D178" s="5">
        <v>1574</v>
      </c>
      <c r="E178" s="5">
        <v>1472</v>
      </c>
      <c r="F178" s="5">
        <v>84</v>
      </c>
      <c r="G178" s="5">
        <v>3130</v>
      </c>
    </row>
    <row r="179" spans="1:7" x14ac:dyDescent="0.2">
      <c r="A179">
        <v>96</v>
      </c>
      <c r="B179" t="s">
        <v>593</v>
      </c>
      <c r="C179" t="s">
        <v>710</v>
      </c>
      <c r="D179" s="5">
        <v>12</v>
      </c>
      <c r="E179" s="5">
        <v>2290</v>
      </c>
      <c r="F179" s="5">
        <v>0</v>
      </c>
      <c r="G179" s="5">
        <v>2302</v>
      </c>
    </row>
    <row r="180" spans="1:7" x14ac:dyDescent="0.2">
      <c r="A180">
        <v>96</v>
      </c>
      <c r="B180" t="s">
        <v>593</v>
      </c>
      <c r="C180" t="s">
        <v>712</v>
      </c>
      <c r="D180" s="5">
        <v>785</v>
      </c>
      <c r="E180" s="5">
        <v>1344</v>
      </c>
      <c r="F180" s="5">
        <v>0</v>
      </c>
      <c r="G180" s="5">
        <v>2128</v>
      </c>
    </row>
    <row r="181" spans="1:7" x14ac:dyDescent="0.2">
      <c r="A181">
        <v>98</v>
      </c>
      <c r="B181" t="s">
        <v>637</v>
      </c>
      <c r="C181" t="s">
        <v>700</v>
      </c>
      <c r="D181" s="5">
        <v>693460</v>
      </c>
      <c r="E181" s="5">
        <v>339236</v>
      </c>
      <c r="F181" s="5">
        <v>7032</v>
      </c>
      <c r="G181" s="5">
        <v>1039729</v>
      </c>
    </row>
    <row r="182" spans="1:7" x14ac:dyDescent="0.2">
      <c r="A182">
        <v>98</v>
      </c>
      <c r="B182" t="s">
        <v>637</v>
      </c>
      <c r="C182" t="s">
        <v>701</v>
      </c>
      <c r="D182" s="5">
        <v>12211</v>
      </c>
      <c r="E182" s="5">
        <v>13454</v>
      </c>
      <c r="F182" s="5">
        <v>0</v>
      </c>
      <c r="G182" s="5">
        <v>25664</v>
      </c>
    </row>
    <row r="183" spans="1:7" x14ac:dyDescent="0.2">
      <c r="A183">
        <v>98</v>
      </c>
      <c r="B183" t="s">
        <v>637</v>
      </c>
      <c r="C183" t="s">
        <v>703</v>
      </c>
      <c r="D183" s="5">
        <v>1984</v>
      </c>
      <c r="E183" s="5">
        <v>6342</v>
      </c>
      <c r="F183" s="5">
        <v>0</v>
      </c>
      <c r="G183" s="5">
        <v>8326</v>
      </c>
    </row>
    <row r="184" spans="1:7" x14ac:dyDescent="0.2">
      <c r="A184">
        <v>98</v>
      </c>
      <c r="B184" t="s">
        <v>637</v>
      </c>
      <c r="C184" t="s">
        <v>704</v>
      </c>
      <c r="D184" s="5">
        <v>56115</v>
      </c>
      <c r="E184" s="5">
        <v>229742</v>
      </c>
      <c r="F184" s="5">
        <v>4788</v>
      </c>
      <c r="G184" s="5">
        <v>290645</v>
      </c>
    </row>
    <row r="185" spans="1:7" x14ac:dyDescent="0.2">
      <c r="A185">
        <v>98</v>
      </c>
      <c r="B185" t="s">
        <v>637</v>
      </c>
      <c r="C185" t="s">
        <v>705</v>
      </c>
      <c r="D185" s="5">
        <v>3787</v>
      </c>
      <c r="E185" s="5">
        <v>64999</v>
      </c>
      <c r="F185" s="5">
        <v>326</v>
      </c>
      <c r="G185" s="5">
        <v>69112</v>
      </c>
    </row>
    <row r="186" spans="1:7" x14ac:dyDescent="0.2">
      <c r="A186">
        <v>98</v>
      </c>
      <c r="B186" t="s">
        <v>637</v>
      </c>
      <c r="C186" t="s">
        <v>707</v>
      </c>
      <c r="D186" s="5">
        <v>6032</v>
      </c>
      <c r="E186" s="5">
        <v>8770</v>
      </c>
      <c r="F186" s="5">
        <v>250</v>
      </c>
      <c r="G186" s="5">
        <v>15052</v>
      </c>
    </row>
    <row r="187" spans="1:7" x14ac:dyDescent="0.2">
      <c r="A187">
        <v>98</v>
      </c>
      <c r="B187" t="s">
        <v>637</v>
      </c>
      <c r="C187" t="s">
        <v>708</v>
      </c>
      <c r="D187" s="5">
        <v>5614</v>
      </c>
      <c r="E187" s="5">
        <v>23787</v>
      </c>
      <c r="F187" s="5">
        <v>94</v>
      </c>
      <c r="G187" s="5">
        <v>29495</v>
      </c>
    </row>
    <row r="188" spans="1:7" x14ac:dyDescent="0.2">
      <c r="A188">
        <v>98</v>
      </c>
      <c r="B188" t="s">
        <v>637</v>
      </c>
      <c r="C188" t="s">
        <v>709</v>
      </c>
      <c r="D188" s="5">
        <v>6966</v>
      </c>
      <c r="E188" s="5">
        <v>22359</v>
      </c>
      <c r="F188" s="5">
        <v>36</v>
      </c>
      <c r="G188" s="5">
        <v>29361</v>
      </c>
    </row>
    <row r="189" spans="1:7" x14ac:dyDescent="0.2">
      <c r="A189">
        <v>98</v>
      </c>
      <c r="B189" t="s">
        <v>637</v>
      </c>
      <c r="C189" t="s">
        <v>710</v>
      </c>
      <c r="D189" s="5">
        <v>357</v>
      </c>
      <c r="E189" s="5">
        <v>11885</v>
      </c>
      <c r="F189" s="5">
        <v>0</v>
      </c>
      <c r="G189" s="5">
        <v>12242</v>
      </c>
    </row>
    <row r="190" spans="1:7" x14ac:dyDescent="0.2">
      <c r="A190">
        <v>98</v>
      </c>
      <c r="B190" t="s">
        <v>637</v>
      </c>
      <c r="C190" t="s">
        <v>712</v>
      </c>
      <c r="D190" s="5">
        <v>22225</v>
      </c>
      <c r="E190" s="5">
        <v>89122</v>
      </c>
      <c r="F190" s="5">
        <v>1500</v>
      </c>
      <c r="G190" s="5">
        <v>112847</v>
      </c>
    </row>
    <row r="191" spans="1:7" x14ac:dyDescent="0.2">
      <c r="A191">
        <v>106</v>
      </c>
      <c r="B191" t="s">
        <v>39</v>
      </c>
      <c r="C191" t="s">
        <v>700</v>
      </c>
      <c r="D191" s="5">
        <v>146869</v>
      </c>
      <c r="E191" s="5">
        <v>249169</v>
      </c>
      <c r="F191" s="5">
        <v>8379</v>
      </c>
      <c r="G191" s="5">
        <v>404416</v>
      </c>
    </row>
    <row r="192" spans="1:7" x14ac:dyDescent="0.2">
      <c r="A192">
        <v>106</v>
      </c>
      <c r="B192" t="s">
        <v>39</v>
      </c>
      <c r="C192" t="s">
        <v>701</v>
      </c>
      <c r="D192" s="5">
        <v>16132</v>
      </c>
      <c r="E192" s="5">
        <v>51130</v>
      </c>
      <c r="F192" s="5">
        <v>4221</v>
      </c>
      <c r="G192" s="5">
        <v>71483</v>
      </c>
    </row>
    <row r="193" spans="1:7" x14ac:dyDescent="0.2">
      <c r="A193">
        <v>106</v>
      </c>
      <c r="B193" t="s">
        <v>39</v>
      </c>
      <c r="C193" t="s">
        <v>702</v>
      </c>
      <c r="D193" s="5">
        <v>0</v>
      </c>
      <c r="E193" s="5">
        <v>879</v>
      </c>
      <c r="F193" s="5">
        <v>0</v>
      </c>
      <c r="G193" s="5">
        <v>879</v>
      </c>
    </row>
    <row r="194" spans="1:7" x14ac:dyDescent="0.2">
      <c r="A194">
        <v>106</v>
      </c>
      <c r="B194" t="s">
        <v>39</v>
      </c>
      <c r="C194" t="s">
        <v>703</v>
      </c>
      <c r="D194" s="5">
        <v>7991</v>
      </c>
      <c r="E194" s="5">
        <v>80296</v>
      </c>
      <c r="F194" s="5">
        <v>715</v>
      </c>
      <c r="G194" s="5">
        <v>89001</v>
      </c>
    </row>
    <row r="195" spans="1:7" x14ac:dyDescent="0.2">
      <c r="A195">
        <v>106</v>
      </c>
      <c r="B195" t="s">
        <v>39</v>
      </c>
      <c r="C195" t="s">
        <v>704</v>
      </c>
      <c r="D195" s="5">
        <v>18961</v>
      </c>
      <c r="E195" s="5">
        <v>430397</v>
      </c>
      <c r="F195" s="5">
        <v>31615</v>
      </c>
      <c r="G195" s="5">
        <v>480973</v>
      </c>
    </row>
    <row r="196" spans="1:7" x14ac:dyDescent="0.2">
      <c r="A196">
        <v>106</v>
      </c>
      <c r="B196" t="s">
        <v>39</v>
      </c>
      <c r="C196" t="s">
        <v>705</v>
      </c>
      <c r="D196" s="5">
        <v>17262</v>
      </c>
      <c r="E196" s="5">
        <v>163315</v>
      </c>
      <c r="F196" s="5">
        <v>23950</v>
      </c>
      <c r="G196" s="5">
        <v>204527</v>
      </c>
    </row>
    <row r="197" spans="1:7" x14ac:dyDescent="0.2">
      <c r="A197">
        <v>106</v>
      </c>
      <c r="B197" t="s">
        <v>39</v>
      </c>
      <c r="C197" t="s">
        <v>707</v>
      </c>
      <c r="D197" s="5">
        <v>737</v>
      </c>
      <c r="E197" s="5">
        <v>11244</v>
      </c>
      <c r="F197" s="5">
        <v>8913</v>
      </c>
      <c r="G197" s="5">
        <v>20895</v>
      </c>
    </row>
    <row r="198" spans="1:7" x14ac:dyDescent="0.2">
      <c r="A198">
        <v>106</v>
      </c>
      <c r="B198" t="s">
        <v>39</v>
      </c>
      <c r="C198" t="s">
        <v>708</v>
      </c>
      <c r="D198" s="5">
        <v>6480</v>
      </c>
      <c r="E198" s="5">
        <v>107535</v>
      </c>
      <c r="F198" s="5">
        <v>1667</v>
      </c>
      <c r="G198" s="5">
        <v>115682</v>
      </c>
    </row>
    <row r="199" spans="1:7" x14ac:dyDescent="0.2">
      <c r="A199">
        <v>106</v>
      </c>
      <c r="B199" t="s">
        <v>39</v>
      </c>
      <c r="C199" t="s">
        <v>709</v>
      </c>
      <c r="D199" s="5">
        <v>7593</v>
      </c>
      <c r="E199" s="5">
        <v>59927</v>
      </c>
      <c r="F199" s="5">
        <v>6967</v>
      </c>
      <c r="G199" s="5">
        <v>74487</v>
      </c>
    </row>
    <row r="200" spans="1:7" x14ac:dyDescent="0.2">
      <c r="A200">
        <v>106</v>
      </c>
      <c r="B200" t="s">
        <v>39</v>
      </c>
      <c r="C200" t="s">
        <v>710</v>
      </c>
      <c r="D200" s="5">
        <v>3878</v>
      </c>
      <c r="E200" s="5">
        <v>53757</v>
      </c>
      <c r="F200" s="5">
        <v>3073</v>
      </c>
      <c r="G200" s="5">
        <v>60708</v>
      </c>
    </row>
    <row r="201" spans="1:7" x14ac:dyDescent="0.2">
      <c r="A201">
        <v>106</v>
      </c>
      <c r="B201" t="s">
        <v>39</v>
      </c>
      <c r="C201" t="s">
        <v>711</v>
      </c>
      <c r="D201" s="5">
        <v>0</v>
      </c>
      <c r="E201" s="5">
        <v>61</v>
      </c>
      <c r="F201" s="5">
        <v>0</v>
      </c>
      <c r="G201" s="5">
        <v>61</v>
      </c>
    </row>
    <row r="202" spans="1:7" x14ac:dyDescent="0.2">
      <c r="A202">
        <v>106</v>
      </c>
      <c r="B202" t="s">
        <v>39</v>
      </c>
      <c r="C202" t="s">
        <v>712</v>
      </c>
      <c r="D202" s="5">
        <v>18092</v>
      </c>
      <c r="E202" s="5">
        <v>200912</v>
      </c>
      <c r="F202" s="5">
        <v>0</v>
      </c>
      <c r="G202" s="5">
        <v>219004</v>
      </c>
    </row>
    <row r="203" spans="1:7" x14ac:dyDescent="0.2">
      <c r="A203">
        <v>109</v>
      </c>
      <c r="B203" t="s">
        <v>115</v>
      </c>
      <c r="C203" t="s">
        <v>700</v>
      </c>
      <c r="D203" s="5">
        <v>771898</v>
      </c>
      <c r="E203" s="5">
        <v>541812</v>
      </c>
      <c r="F203" s="5">
        <v>73539</v>
      </c>
      <c r="G203" s="5">
        <v>1387249</v>
      </c>
    </row>
    <row r="204" spans="1:7" x14ac:dyDescent="0.2">
      <c r="A204">
        <v>109</v>
      </c>
      <c r="B204" t="s">
        <v>115</v>
      </c>
      <c r="C204" t="s">
        <v>701</v>
      </c>
      <c r="D204" s="5">
        <v>16478</v>
      </c>
      <c r="E204" s="5">
        <v>28036</v>
      </c>
      <c r="F204" s="5">
        <v>0</v>
      </c>
      <c r="G204" s="5">
        <v>44514</v>
      </c>
    </row>
    <row r="205" spans="1:7" x14ac:dyDescent="0.2">
      <c r="A205">
        <v>109</v>
      </c>
      <c r="B205" t="s">
        <v>115</v>
      </c>
      <c r="C205" t="s">
        <v>703</v>
      </c>
      <c r="D205" s="5">
        <v>1833</v>
      </c>
      <c r="E205" s="5">
        <v>13311</v>
      </c>
      <c r="F205" s="5">
        <v>0</v>
      </c>
      <c r="G205" s="5">
        <v>15143</v>
      </c>
    </row>
    <row r="206" spans="1:7" x14ac:dyDescent="0.2">
      <c r="A206">
        <v>109</v>
      </c>
      <c r="B206" t="s">
        <v>115</v>
      </c>
      <c r="C206" t="s">
        <v>704</v>
      </c>
      <c r="D206" s="5">
        <v>78750</v>
      </c>
      <c r="E206" s="5">
        <v>380079</v>
      </c>
      <c r="F206" s="5">
        <v>51206</v>
      </c>
      <c r="G206" s="5">
        <v>510035</v>
      </c>
    </row>
    <row r="207" spans="1:7" x14ac:dyDescent="0.2">
      <c r="A207">
        <v>109</v>
      </c>
      <c r="B207" t="s">
        <v>115</v>
      </c>
      <c r="C207" t="s">
        <v>705</v>
      </c>
      <c r="D207" s="5">
        <v>4977</v>
      </c>
      <c r="E207" s="5">
        <v>72752</v>
      </c>
      <c r="F207" s="5">
        <v>8529</v>
      </c>
      <c r="G207" s="5">
        <v>86258</v>
      </c>
    </row>
    <row r="208" spans="1:7" x14ac:dyDescent="0.2">
      <c r="A208">
        <v>109</v>
      </c>
      <c r="B208" t="s">
        <v>115</v>
      </c>
      <c r="C208" t="s">
        <v>707</v>
      </c>
      <c r="D208" s="5">
        <v>3769</v>
      </c>
      <c r="E208" s="5">
        <v>868</v>
      </c>
      <c r="F208" s="5">
        <v>202</v>
      </c>
      <c r="G208" s="5">
        <v>4840</v>
      </c>
    </row>
    <row r="209" spans="1:7" x14ac:dyDescent="0.2">
      <c r="A209">
        <v>109</v>
      </c>
      <c r="B209" t="s">
        <v>115</v>
      </c>
      <c r="C209" t="s">
        <v>708</v>
      </c>
      <c r="D209" s="5">
        <v>5533</v>
      </c>
      <c r="E209" s="5">
        <v>28857</v>
      </c>
      <c r="F209" s="5">
        <v>1156</v>
      </c>
      <c r="G209" s="5">
        <v>35546</v>
      </c>
    </row>
    <row r="210" spans="1:7" x14ac:dyDescent="0.2">
      <c r="A210">
        <v>109</v>
      </c>
      <c r="B210" t="s">
        <v>115</v>
      </c>
      <c r="C210" t="s">
        <v>709</v>
      </c>
      <c r="D210" s="5">
        <v>7033</v>
      </c>
      <c r="E210" s="5">
        <v>60921</v>
      </c>
      <c r="F210" s="5">
        <v>361</v>
      </c>
      <c r="G210" s="5">
        <v>68315</v>
      </c>
    </row>
    <row r="211" spans="1:7" x14ac:dyDescent="0.2">
      <c r="A211">
        <v>109</v>
      </c>
      <c r="B211" t="s">
        <v>115</v>
      </c>
      <c r="C211" t="s">
        <v>710</v>
      </c>
      <c r="D211" s="5">
        <v>2103</v>
      </c>
      <c r="E211" s="5">
        <v>28845</v>
      </c>
      <c r="F211" s="5">
        <v>18</v>
      </c>
      <c r="G211" s="5">
        <v>30967</v>
      </c>
    </row>
    <row r="212" spans="1:7" x14ac:dyDescent="0.2">
      <c r="A212">
        <v>109</v>
      </c>
      <c r="B212" t="s">
        <v>115</v>
      </c>
      <c r="C212" t="s">
        <v>712</v>
      </c>
      <c r="D212" s="5">
        <v>21985</v>
      </c>
      <c r="E212" s="5">
        <v>131236</v>
      </c>
      <c r="F212" s="5">
        <v>0</v>
      </c>
      <c r="G212" s="5">
        <v>153221</v>
      </c>
    </row>
    <row r="213" spans="1:7" x14ac:dyDescent="0.2">
      <c r="A213">
        <v>114</v>
      </c>
      <c r="B213" t="s">
        <v>173</v>
      </c>
      <c r="C213" t="s">
        <v>700</v>
      </c>
      <c r="D213" s="5">
        <v>1828283</v>
      </c>
      <c r="E213" s="5">
        <v>2192278</v>
      </c>
      <c r="F213" s="5">
        <v>120054</v>
      </c>
      <c r="G213" s="5">
        <v>4140615</v>
      </c>
    </row>
    <row r="214" spans="1:7" x14ac:dyDescent="0.2">
      <c r="A214">
        <v>114</v>
      </c>
      <c r="B214" t="s">
        <v>173</v>
      </c>
      <c r="C214" t="s">
        <v>701</v>
      </c>
      <c r="D214" s="5">
        <v>26185</v>
      </c>
      <c r="E214" s="5">
        <v>101895</v>
      </c>
      <c r="F214" s="5">
        <v>611</v>
      </c>
      <c r="G214" s="5">
        <v>128691</v>
      </c>
    </row>
    <row r="215" spans="1:7" x14ac:dyDescent="0.2">
      <c r="A215">
        <v>114</v>
      </c>
      <c r="B215" t="s">
        <v>173</v>
      </c>
      <c r="C215" t="s">
        <v>703</v>
      </c>
      <c r="D215" s="5">
        <v>2038</v>
      </c>
      <c r="E215" s="5">
        <v>58466</v>
      </c>
      <c r="F215" s="5">
        <v>252</v>
      </c>
      <c r="G215" s="5">
        <v>60757</v>
      </c>
    </row>
    <row r="216" spans="1:7" x14ac:dyDescent="0.2">
      <c r="A216">
        <v>114</v>
      </c>
      <c r="B216" t="s">
        <v>173</v>
      </c>
      <c r="C216" t="s">
        <v>704</v>
      </c>
      <c r="D216" s="5">
        <v>267016</v>
      </c>
      <c r="E216" s="5">
        <v>1304630</v>
      </c>
      <c r="F216" s="5">
        <v>31166</v>
      </c>
      <c r="G216" s="5">
        <v>1602812</v>
      </c>
    </row>
    <row r="217" spans="1:7" x14ac:dyDescent="0.2">
      <c r="A217">
        <v>114</v>
      </c>
      <c r="B217" t="s">
        <v>173</v>
      </c>
      <c r="C217" t="s">
        <v>705</v>
      </c>
      <c r="D217" s="5">
        <v>6529</v>
      </c>
      <c r="E217" s="5">
        <v>125791</v>
      </c>
      <c r="F217" s="5">
        <v>2066</v>
      </c>
      <c r="G217" s="5">
        <v>134386</v>
      </c>
    </row>
    <row r="218" spans="1:7" x14ac:dyDescent="0.2">
      <c r="A218">
        <v>114</v>
      </c>
      <c r="B218" t="s">
        <v>173</v>
      </c>
      <c r="C218" t="s">
        <v>707</v>
      </c>
      <c r="D218" s="5">
        <v>24774</v>
      </c>
      <c r="E218" s="5">
        <v>28867</v>
      </c>
      <c r="F218" s="5">
        <v>494</v>
      </c>
      <c r="G218" s="5">
        <v>54135</v>
      </c>
    </row>
    <row r="219" spans="1:7" x14ac:dyDescent="0.2">
      <c r="A219">
        <v>114</v>
      </c>
      <c r="B219" t="s">
        <v>173</v>
      </c>
      <c r="C219" t="s">
        <v>708</v>
      </c>
      <c r="D219" s="5">
        <v>10772</v>
      </c>
      <c r="E219" s="5">
        <v>138095</v>
      </c>
      <c r="F219" s="5">
        <v>9102</v>
      </c>
      <c r="G219" s="5">
        <v>157969</v>
      </c>
    </row>
    <row r="220" spans="1:7" x14ac:dyDescent="0.2">
      <c r="A220">
        <v>114</v>
      </c>
      <c r="B220" t="s">
        <v>173</v>
      </c>
      <c r="C220" t="s">
        <v>709</v>
      </c>
      <c r="D220" s="5">
        <v>7185</v>
      </c>
      <c r="E220" s="5">
        <v>56412</v>
      </c>
      <c r="F220" s="5">
        <v>419</v>
      </c>
      <c r="G220" s="5">
        <v>64015</v>
      </c>
    </row>
    <row r="221" spans="1:7" x14ac:dyDescent="0.2">
      <c r="A221">
        <v>114</v>
      </c>
      <c r="B221" t="s">
        <v>173</v>
      </c>
      <c r="C221" t="s">
        <v>710</v>
      </c>
      <c r="D221" s="5">
        <v>3247</v>
      </c>
      <c r="E221" s="5">
        <v>67093</v>
      </c>
      <c r="F221" s="5">
        <v>956</v>
      </c>
      <c r="G221" s="5">
        <v>71296</v>
      </c>
    </row>
    <row r="222" spans="1:7" x14ac:dyDescent="0.2">
      <c r="A222">
        <v>114</v>
      </c>
      <c r="B222" t="s">
        <v>173</v>
      </c>
      <c r="C222" t="s">
        <v>711</v>
      </c>
      <c r="D222" s="5">
        <v>3908</v>
      </c>
      <c r="E222" s="5">
        <v>601</v>
      </c>
      <c r="F222" s="5">
        <v>1239</v>
      </c>
      <c r="G222" s="5">
        <v>5748</v>
      </c>
    </row>
    <row r="223" spans="1:7" x14ac:dyDescent="0.2">
      <c r="A223">
        <v>114</v>
      </c>
      <c r="B223" t="s">
        <v>173</v>
      </c>
      <c r="C223" t="s">
        <v>712</v>
      </c>
      <c r="D223" s="5">
        <v>34910</v>
      </c>
      <c r="E223" s="5">
        <v>467740</v>
      </c>
      <c r="F223" s="5">
        <v>3603</v>
      </c>
      <c r="G223" s="5">
        <v>506254</v>
      </c>
    </row>
    <row r="224" spans="1:7" x14ac:dyDescent="0.2">
      <c r="A224">
        <v>118</v>
      </c>
      <c r="B224" t="s">
        <v>277</v>
      </c>
      <c r="C224" t="s">
        <v>700</v>
      </c>
      <c r="D224" s="5">
        <v>443158</v>
      </c>
      <c r="E224" s="5">
        <v>475511</v>
      </c>
      <c r="F224" s="5">
        <v>18099</v>
      </c>
      <c r="G224" s="5">
        <v>936768</v>
      </c>
    </row>
    <row r="225" spans="1:7" x14ac:dyDescent="0.2">
      <c r="A225">
        <v>118</v>
      </c>
      <c r="B225" t="s">
        <v>277</v>
      </c>
      <c r="C225" t="s">
        <v>701</v>
      </c>
      <c r="D225" s="5">
        <v>16937</v>
      </c>
      <c r="E225" s="5">
        <v>67792</v>
      </c>
      <c r="F225" s="5">
        <v>1853</v>
      </c>
      <c r="G225" s="5">
        <v>86582</v>
      </c>
    </row>
    <row r="226" spans="1:7" x14ac:dyDescent="0.2">
      <c r="A226">
        <v>118</v>
      </c>
      <c r="B226" t="s">
        <v>277</v>
      </c>
      <c r="C226" t="s">
        <v>703</v>
      </c>
      <c r="D226" s="5">
        <v>3593</v>
      </c>
      <c r="E226" s="5">
        <v>22243</v>
      </c>
      <c r="F226" s="5">
        <v>855</v>
      </c>
      <c r="G226" s="5">
        <v>26691</v>
      </c>
    </row>
    <row r="227" spans="1:7" x14ac:dyDescent="0.2">
      <c r="A227">
        <v>118</v>
      </c>
      <c r="B227" t="s">
        <v>277</v>
      </c>
      <c r="C227" t="s">
        <v>704</v>
      </c>
      <c r="D227" s="5">
        <v>24230</v>
      </c>
      <c r="E227" s="5">
        <v>710449</v>
      </c>
      <c r="F227" s="5">
        <v>1703</v>
      </c>
      <c r="G227" s="5">
        <v>736381</v>
      </c>
    </row>
    <row r="228" spans="1:7" x14ac:dyDescent="0.2">
      <c r="A228">
        <v>118</v>
      </c>
      <c r="B228" t="s">
        <v>277</v>
      </c>
      <c r="C228" t="s">
        <v>705</v>
      </c>
      <c r="D228" s="5">
        <v>4429</v>
      </c>
      <c r="E228" s="5">
        <v>161649</v>
      </c>
      <c r="F228" s="5">
        <v>1705</v>
      </c>
      <c r="G228" s="5">
        <v>167783</v>
      </c>
    </row>
    <row r="229" spans="1:7" x14ac:dyDescent="0.2">
      <c r="A229">
        <v>118</v>
      </c>
      <c r="B229" t="s">
        <v>277</v>
      </c>
      <c r="C229" t="s">
        <v>707</v>
      </c>
      <c r="D229" s="5">
        <v>1541</v>
      </c>
      <c r="E229" s="5">
        <v>3962</v>
      </c>
      <c r="F229" s="5">
        <v>0</v>
      </c>
      <c r="G229" s="5">
        <v>5503</v>
      </c>
    </row>
    <row r="230" spans="1:7" x14ac:dyDescent="0.2">
      <c r="A230">
        <v>118</v>
      </c>
      <c r="B230" t="s">
        <v>277</v>
      </c>
      <c r="C230" t="s">
        <v>708</v>
      </c>
      <c r="D230" s="5">
        <v>6903</v>
      </c>
      <c r="E230" s="5">
        <v>75737</v>
      </c>
      <c r="F230" s="5">
        <v>0</v>
      </c>
      <c r="G230" s="5">
        <v>82640</v>
      </c>
    </row>
    <row r="231" spans="1:7" x14ac:dyDescent="0.2">
      <c r="A231">
        <v>118</v>
      </c>
      <c r="B231" t="s">
        <v>277</v>
      </c>
      <c r="C231" t="s">
        <v>709</v>
      </c>
      <c r="D231" s="5">
        <v>8438</v>
      </c>
      <c r="E231" s="5">
        <v>61431</v>
      </c>
      <c r="F231" s="5">
        <v>397</v>
      </c>
      <c r="G231" s="5">
        <v>70266</v>
      </c>
    </row>
    <row r="232" spans="1:7" x14ac:dyDescent="0.2">
      <c r="A232">
        <v>118</v>
      </c>
      <c r="B232" t="s">
        <v>277</v>
      </c>
      <c r="C232" t="s">
        <v>710</v>
      </c>
      <c r="D232" s="5">
        <v>3598</v>
      </c>
      <c r="E232" s="5">
        <v>24484</v>
      </c>
      <c r="F232" s="5">
        <v>0</v>
      </c>
      <c r="G232" s="5">
        <v>28082</v>
      </c>
    </row>
    <row r="233" spans="1:7" x14ac:dyDescent="0.2">
      <c r="A233">
        <v>118</v>
      </c>
      <c r="B233" t="s">
        <v>277</v>
      </c>
      <c r="C233" t="s">
        <v>711</v>
      </c>
      <c r="D233" s="5">
        <v>511</v>
      </c>
      <c r="E233" s="5">
        <v>0</v>
      </c>
      <c r="F233" s="5">
        <v>0</v>
      </c>
      <c r="G233" s="5">
        <v>511</v>
      </c>
    </row>
    <row r="234" spans="1:7" x14ac:dyDescent="0.2">
      <c r="A234">
        <v>118</v>
      </c>
      <c r="B234" t="s">
        <v>277</v>
      </c>
      <c r="C234" t="s">
        <v>712</v>
      </c>
      <c r="D234" s="5">
        <v>15427</v>
      </c>
      <c r="E234" s="5">
        <v>254676</v>
      </c>
      <c r="F234" s="5">
        <v>79</v>
      </c>
      <c r="G234" s="5">
        <v>270182</v>
      </c>
    </row>
    <row r="235" spans="1:7" x14ac:dyDescent="0.2">
      <c r="A235">
        <v>119</v>
      </c>
      <c r="B235" t="s">
        <v>361</v>
      </c>
      <c r="C235" t="s">
        <v>700</v>
      </c>
      <c r="D235" s="5">
        <v>150570</v>
      </c>
      <c r="E235" s="5">
        <v>148001</v>
      </c>
      <c r="F235" s="5">
        <v>2195</v>
      </c>
      <c r="G235" s="5">
        <v>300767</v>
      </c>
    </row>
    <row r="236" spans="1:7" x14ac:dyDescent="0.2">
      <c r="A236">
        <v>119</v>
      </c>
      <c r="B236" t="s">
        <v>361</v>
      </c>
      <c r="C236" t="s">
        <v>701</v>
      </c>
      <c r="D236" s="5">
        <v>5043</v>
      </c>
      <c r="E236" s="5">
        <v>23316</v>
      </c>
      <c r="F236" s="5">
        <v>97</v>
      </c>
      <c r="G236" s="5">
        <v>28455</v>
      </c>
    </row>
    <row r="237" spans="1:7" x14ac:dyDescent="0.2">
      <c r="A237">
        <v>119</v>
      </c>
      <c r="B237" t="s">
        <v>361</v>
      </c>
      <c r="C237" t="s">
        <v>703</v>
      </c>
      <c r="D237" s="5">
        <v>1218</v>
      </c>
      <c r="E237" s="5">
        <v>22335</v>
      </c>
      <c r="F237" s="5">
        <v>0</v>
      </c>
      <c r="G237" s="5">
        <v>23553</v>
      </c>
    </row>
    <row r="238" spans="1:7" x14ac:dyDescent="0.2">
      <c r="A238">
        <v>119</v>
      </c>
      <c r="B238" t="s">
        <v>361</v>
      </c>
      <c r="C238" t="s">
        <v>704</v>
      </c>
      <c r="D238" s="5">
        <v>22783</v>
      </c>
      <c r="E238" s="5">
        <v>436408</v>
      </c>
      <c r="F238" s="5">
        <v>1131</v>
      </c>
      <c r="G238" s="5">
        <v>460322</v>
      </c>
    </row>
    <row r="239" spans="1:7" x14ac:dyDescent="0.2">
      <c r="A239">
        <v>119</v>
      </c>
      <c r="B239" t="s">
        <v>361</v>
      </c>
      <c r="C239" t="s">
        <v>705</v>
      </c>
      <c r="D239" s="5">
        <v>10817</v>
      </c>
      <c r="E239" s="5">
        <v>69974</v>
      </c>
      <c r="F239" s="5">
        <v>0</v>
      </c>
      <c r="G239" s="5">
        <v>80790</v>
      </c>
    </row>
    <row r="240" spans="1:7" x14ac:dyDescent="0.2">
      <c r="A240">
        <v>119</v>
      </c>
      <c r="B240" t="s">
        <v>361</v>
      </c>
      <c r="C240" t="s">
        <v>707</v>
      </c>
      <c r="D240" s="5">
        <v>947</v>
      </c>
      <c r="E240" s="5">
        <v>265</v>
      </c>
      <c r="F240" s="5">
        <v>0</v>
      </c>
      <c r="G240" s="5">
        <v>1213</v>
      </c>
    </row>
    <row r="241" spans="1:7" x14ac:dyDescent="0.2">
      <c r="A241">
        <v>119</v>
      </c>
      <c r="B241" t="s">
        <v>361</v>
      </c>
      <c r="C241" t="s">
        <v>708</v>
      </c>
      <c r="D241" s="5">
        <v>3766</v>
      </c>
      <c r="E241" s="5">
        <v>54401</v>
      </c>
      <c r="F241" s="5">
        <v>0</v>
      </c>
      <c r="G241" s="5">
        <v>58167</v>
      </c>
    </row>
    <row r="242" spans="1:7" x14ac:dyDescent="0.2">
      <c r="A242">
        <v>119</v>
      </c>
      <c r="B242" t="s">
        <v>361</v>
      </c>
      <c r="C242" t="s">
        <v>709</v>
      </c>
      <c r="D242" s="5">
        <v>5208</v>
      </c>
      <c r="E242" s="5">
        <v>24268</v>
      </c>
      <c r="F242" s="5">
        <v>183</v>
      </c>
      <c r="G242" s="5">
        <v>29658</v>
      </c>
    </row>
    <row r="243" spans="1:7" x14ac:dyDescent="0.2">
      <c r="A243">
        <v>119</v>
      </c>
      <c r="B243" t="s">
        <v>361</v>
      </c>
      <c r="C243" t="s">
        <v>710</v>
      </c>
      <c r="D243" s="5">
        <v>99</v>
      </c>
      <c r="E243" s="5">
        <v>29986</v>
      </c>
      <c r="F243" s="5">
        <v>0</v>
      </c>
      <c r="G243" s="5">
        <v>30085</v>
      </c>
    </row>
    <row r="244" spans="1:7" x14ac:dyDescent="0.2">
      <c r="A244">
        <v>119</v>
      </c>
      <c r="B244" t="s">
        <v>361</v>
      </c>
      <c r="C244" t="s">
        <v>712</v>
      </c>
      <c r="D244" s="5">
        <v>17090</v>
      </c>
      <c r="E244" s="5">
        <v>147076</v>
      </c>
      <c r="F244" s="5">
        <v>121</v>
      </c>
      <c r="G244" s="5">
        <v>164287</v>
      </c>
    </row>
    <row r="245" spans="1:7" x14ac:dyDescent="0.2">
      <c r="A245">
        <v>141</v>
      </c>
      <c r="B245" t="s">
        <v>17</v>
      </c>
      <c r="C245" t="s">
        <v>700</v>
      </c>
      <c r="D245" s="5">
        <v>367227</v>
      </c>
      <c r="E245" s="5">
        <v>748871</v>
      </c>
      <c r="F245" s="5">
        <v>23553</v>
      </c>
      <c r="G245" s="5">
        <v>1139650</v>
      </c>
    </row>
    <row r="246" spans="1:7" x14ac:dyDescent="0.2">
      <c r="A246">
        <v>141</v>
      </c>
      <c r="B246" t="s">
        <v>17</v>
      </c>
      <c r="C246" t="s">
        <v>701</v>
      </c>
      <c r="D246" s="5">
        <v>11343</v>
      </c>
      <c r="E246" s="5">
        <v>86158</v>
      </c>
      <c r="F246" s="5">
        <v>0</v>
      </c>
      <c r="G246" s="5">
        <v>97502</v>
      </c>
    </row>
    <row r="247" spans="1:7" x14ac:dyDescent="0.2">
      <c r="A247">
        <v>141</v>
      </c>
      <c r="B247" t="s">
        <v>17</v>
      </c>
      <c r="C247" t="s">
        <v>703</v>
      </c>
      <c r="D247" s="5">
        <v>3053</v>
      </c>
      <c r="E247" s="5">
        <v>48734</v>
      </c>
      <c r="F247" s="5">
        <v>1315</v>
      </c>
      <c r="G247" s="5">
        <v>53101</v>
      </c>
    </row>
    <row r="248" spans="1:7" x14ac:dyDescent="0.2">
      <c r="A248">
        <v>141</v>
      </c>
      <c r="B248" t="s">
        <v>17</v>
      </c>
      <c r="C248" t="s">
        <v>704</v>
      </c>
      <c r="D248" s="5">
        <v>227732</v>
      </c>
      <c r="E248" s="5">
        <v>930016</v>
      </c>
      <c r="F248" s="5">
        <v>25066</v>
      </c>
      <c r="G248" s="5">
        <v>1182814</v>
      </c>
    </row>
    <row r="249" spans="1:7" x14ac:dyDescent="0.2">
      <c r="A249">
        <v>141</v>
      </c>
      <c r="B249" t="s">
        <v>17</v>
      </c>
      <c r="C249" t="s">
        <v>705</v>
      </c>
      <c r="D249" s="5">
        <v>25977</v>
      </c>
      <c r="E249" s="5">
        <v>369138</v>
      </c>
      <c r="F249" s="5">
        <v>7122</v>
      </c>
      <c r="G249" s="5">
        <v>402237</v>
      </c>
    </row>
    <row r="250" spans="1:7" x14ac:dyDescent="0.2">
      <c r="A250">
        <v>141</v>
      </c>
      <c r="B250" t="s">
        <v>17</v>
      </c>
      <c r="C250" t="s">
        <v>707</v>
      </c>
      <c r="D250" s="5">
        <v>462</v>
      </c>
      <c r="E250" s="5">
        <v>10752</v>
      </c>
      <c r="F250" s="5">
        <v>0</v>
      </c>
      <c r="G250" s="5">
        <v>11214</v>
      </c>
    </row>
    <row r="251" spans="1:7" x14ac:dyDescent="0.2">
      <c r="A251">
        <v>141</v>
      </c>
      <c r="B251" t="s">
        <v>17</v>
      </c>
      <c r="C251" t="s">
        <v>708</v>
      </c>
      <c r="D251" s="5">
        <v>7408</v>
      </c>
      <c r="E251" s="5">
        <v>132068</v>
      </c>
      <c r="F251" s="5">
        <v>0</v>
      </c>
      <c r="G251" s="5">
        <v>139475</v>
      </c>
    </row>
    <row r="252" spans="1:7" x14ac:dyDescent="0.2">
      <c r="A252">
        <v>141</v>
      </c>
      <c r="B252" t="s">
        <v>17</v>
      </c>
      <c r="C252" t="s">
        <v>709</v>
      </c>
      <c r="D252" s="5">
        <v>9155</v>
      </c>
      <c r="E252" s="5">
        <v>115494</v>
      </c>
      <c r="F252" s="5">
        <v>1325</v>
      </c>
      <c r="G252" s="5">
        <v>125973</v>
      </c>
    </row>
    <row r="253" spans="1:7" x14ac:dyDescent="0.2">
      <c r="A253">
        <v>141</v>
      </c>
      <c r="B253" t="s">
        <v>17</v>
      </c>
      <c r="C253" t="s">
        <v>710</v>
      </c>
      <c r="D253" s="5">
        <v>1669</v>
      </c>
      <c r="E253" s="5">
        <v>40264</v>
      </c>
      <c r="F253" s="5">
        <v>369</v>
      </c>
      <c r="G253" s="5">
        <v>42302</v>
      </c>
    </row>
    <row r="254" spans="1:7" x14ac:dyDescent="0.2">
      <c r="A254">
        <v>141</v>
      </c>
      <c r="B254" t="s">
        <v>17</v>
      </c>
      <c r="C254" t="s">
        <v>711</v>
      </c>
      <c r="D254" s="5">
        <v>200</v>
      </c>
      <c r="E254" s="5">
        <v>109</v>
      </c>
      <c r="F254" s="5">
        <v>0</v>
      </c>
      <c r="G254" s="5">
        <v>309</v>
      </c>
    </row>
    <row r="255" spans="1:7" x14ac:dyDescent="0.2">
      <c r="A255">
        <v>141</v>
      </c>
      <c r="B255" t="s">
        <v>17</v>
      </c>
      <c r="C255" t="s">
        <v>712</v>
      </c>
      <c r="D255" s="5">
        <v>21531</v>
      </c>
      <c r="E255" s="5">
        <v>170841</v>
      </c>
      <c r="F255" s="5">
        <v>254</v>
      </c>
      <c r="G255" s="5">
        <v>192626</v>
      </c>
    </row>
    <row r="256" spans="1:7" x14ac:dyDescent="0.2">
      <c r="A256">
        <v>147</v>
      </c>
      <c r="B256" t="s">
        <v>91</v>
      </c>
      <c r="C256" t="s">
        <v>700</v>
      </c>
      <c r="D256" s="5">
        <v>152196</v>
      </c>
      <c r="E256" s="5">
        <v>119286</v>
      </c>
      <c r="F256" s="5">
        <v>6452</v>
      </c>
      <c r="G256" s="5">
        <v>277934</v>
      </c>
    </row>
    <row r="257" spans="1:7" x14ac:dyDescent="0.2">
      <c r="A257">
        <v>147</v>
      </c>
      <c r="B257" t="s">
        <v>91</v>
      </c>
      <c r="C257" t="s">
        <v>701</v>
      </c>
      <c r="D257" s="5">
        <v>7198</v>
      </c>
      <c r="E257" s="5">
        <v>8003</v>
      </c>
      <c r="F257" s="5">
        <v>367</v>
      </c>
      <c r="G257" s="5">
        <v>15568</v>
      </c>
    </row>
    <row r="258" spans="1:7" x14ac:dyDescent="0.2">
      <c r="A258">
        <v>147</v>
      </c>
      <c r="B258" t="s">
        <v>91</v>
      </c>
      <c r="C258" t="s">
        <v>703</v>
      </c>
      <c r="D258" s="5">
        <v>2389</v>
      </c>
      <c r="E258" s="5">
        <v>1306</v>
      </c>
      <c r="F258" s="5">
        <v>0</v>
      </c>
      <c r="G258" s="5">
        <v>3695</v>
      </c>
    </row>
    <row r="259" spans="1:7" x14ac:dyDescent="0.2">
      <c r="A259">
        <v>147</v>
      </c>
      <c r="B259" t="s">
        <v>91</v>
      </c>
      <c r="C259" t="s">
        <v>704</v>
      </c>
      <c r="D259" s="5">
        <v>13890</v>
      </c>
      <c r="E259" s="5">
        <v>86943</v>
      </c>
      <c r="F259" s="5">
        <v>12053</v>
      </c>
      <c r="G259" s="5">
        <v>112886</v>
      </c>
    </row>
    <row r="260" spans="1:7" x14ac:dyDescent="0.2">
      <c r="A260">
        <v>147</v>
      </c>
      <c r="B260" t="s">
        <v>91</v>
      </c>
      <c r="C260" t="s">
        <v>705</v>
      </c>
      <c r="D260" s="5">
        <v>3614</v>
      </c>
      <c r="E260" s="5">
        <v>21570</v>
      </c>
      <c r="F260" s="5">
        <v>4361</v>
      </c>
      <c r="G260" s="5">
        <v>29545</v>
      </c>
    </row>
    <row r="261" spans="1:7" x14ac:dyDescent="0.2">
      <c r="A261">
        <v>147</v>
      </c>
      <c r="B261" t="s">
        <v>91</v>
      </c>
      <c r="C261" t="s">
        <v>707</v>
      </c>
      <c r="D261" s="5">
        <v>370</v>
      </c>
      <c r="E261" s="5">
        <v>0</v>
      </c>
      <c r="F261" s="5">
        <v>3116</v>
      </c>
      <c r="G261" s="5">
        <v>3485</v>
      </c>
    </row>
    <row r="262" spans="1:7" x14ac:dyDescent="0.2">
      <c r="A262">
        <v>147</v>
      </c>
      <c r="B262" t="s">
        <v>91</v>
      </c>
      <c r="C262" t="s">
        <v>708</v>
      </c>
      <c r="D262" s="5">
        <v>2349</v>
      </c>
      <c r="E262" s="5">
        <v>21823</v>
      </c>
      <c r="F262" s="5">
        <v>4016</v>
      </c>
      <c r="G262" s="5">
        <v>28189</v>
      </c>
    </row>
    <row r="263" spans="1:7" x14ac:dyDescent="0.2">
      <c r="A263">
        <v>147</v>
      </c>
      <c r="B263" t="s">
        <v>91</v>
      </c>
      <c r="C263" t="s">
        <v>709</v>
      </c>
      <c r="D263" s="5">
        <v>2784</v>
      </c>
      <c r="E263" s="5">
        <v>8094</v>
      </c>
      <c r="F263" s="5">
        <v>587</v>
      </c>
      <c r="G263" s="5">
        <v>11465</v>
      </c>
    </row>
    <row r="264" spans="1:7" x14ac:dyDescent="0.2">
      <c r="A264">
        <v>147</v>
      </c>
      <c r="B264" t="s">
        <v>91</v>
      </c>
      <c r="C264" t="s">
        <v>710</v>
      </c>
      <c r="D264" s="5">
        <v>157</v>
      </c>
      <c r="E264" s="5">
        <v>16654</v>
      </c>
      <c r="F264" s="5">
        <v>470</v>
      </c>
      <c r="G264" s="5">
        <v>17282</v>
      </c>
    </row>
    <row r="265" spans="1:7" x14ac:dyDescent="0.2">
      <c r="A265">
        <v>147</v>
      </c>
      <c r="B265" t="s">
        <v>91</v>
      </c>
      <c r="C265" t="s">
        <v>712</v>
      </c>
      <c r="D265" s="5">
        <v>10554</v>
      </c>
      <c r="E265" s="5">
        <v>64653</v>
      </c>
      <c r="F265" s="5">
        <v>32</v>
      </c>
      <c r="G265" s="5">
        <v>75239</v>
      </c>
    </row>
    <row r="266" spans="1:7" x14ac:dyDescent="0.2">
      <c r="A266">
        <v>148</v>
      </c>
      <c r="B266" t="s">
        <v>121</v>
      </c>
      <c r="C266" t="s">
        <v>700</v>
      </c>
      <c r="D266" s="5">
        <v>923343</v>
      </c>
      <c r="E266" s="5">
        <v>596383</v>
      </c>
      <c r="F266" s="5">
        <v>14924</v>
      </c>
      <c r="G266" s="5">
        <v>1534650</v>
      </c>
    </row>
    <row r="267" spans="1:7" x14ac:dyDescent="0.2">
      <c r="A267">
        <v>148</v>
      </c>
      <c r="B267" t="s">
        <v>121</v>
      </c>
      <c r="C267" t="s">
        <v>701</v>
      </c>
      <c r="D267" s="5">
        <v>14412</v>
      </c>
      <c r="E267" s="5">
        <v>22438</v>
      </c>
      <c r="F267" s="5">
        <v>424</v>
      </c>
      <c r="G267" s="5">
        <v>37274</v>
      </c>
    </row>
    <row r="268" spans="1:7" x14ac:dyDescent="0.2">
      <c r="A268">
        <v>148</v>
      </c>
      <c r="B268" t="s">
        <v>121</v>
      </c>
      <c r="C268" t="s">
        <v>703</v>
      </c>
      <c r="D268" s="5">
        <v>1181</v>
      </c>
      <c r="E268" s="5">
        <v>3739</v>
      </c>
      <c r="F268" s="5">
        <v>0</v>
      </c>
      <c r="G268" s="5">
        <v>4920</v>
      </c>
    </row>
    <row r="269" spans="1:7" x14ac:dyDescent="0.2">
      <c r="A269">
        <v>148</v>
      </c>
      <c r="B269" t="s">
        <v>121</v>
      </c>
      <c r="C269" t="s">
        <v>704</v>
      </c>
      <c r="D269" s="5">
        <v>24743</v>
      </c>
      <c r="E269" s="5">
        <v>195213</v>
      </c>
      <c r="F269" s="5">
        <v>1739</v>
      </c>
      <c r="G269" s="5">
        <v>221695</v>
      </c>
    </row>
    <row r="270" spans="1:7" x14ac:dyDescent="0.2">
      <c r="A270">
        <v>148</v>
      </c>
      <c r="B270" t="s">
        <v>121</v>
      </c>
      <c r="C270" t="s">
        <v>705</v>
      </c>
      <c r="D270" s="5">
        <v>6739</v>
      </c>
      <c r="E270" s="5">
        <v>55460</v>
      </c>
      <c r="F270" s="5">
        <v>636</v>
      </c>
      <c r="G270" s="5">
        <v>62835</v>
      </c>
    </row>
    <row r="271" spans="1:7" x14ac:dyDescent="0.2">
      <c r="A271">
        <v>148</v>
      </c>
      <c r="B271" t="s">
        <v>121</v>
      </c>
      <c r="C271" t="s">
        <v>707</v>
      </c>
      <c r="D271" s="5">
        <v>18451</v>
      </c>
      <c r="E271" s="5">
        <v>4870</v>
      </c>
      <c r="F271" s="5">
        <v>253</v>
      </c>
      <c r="G271" s="5">
        <v>23574</v>
      </c>
    </row>
    <row r="272" spans="1:7" x14ac:dyDescent="0.2">
      <c r="A272">
        <v>148</v>
      </c>
      <c r="B272" t="s">
        <v>121</v>
      </c>
      <c r="C272" t="s">
        <v>708</v>
      </c>
      <c r="D272" s="5">
        <v>2359</v>
      </c>
      <c r="E272" s="5">
        <v>19049</v>
      </c>
      <c r="F272" s="5">
        <v>0</v>
      </c>
      <c r="G272" s="5">
        <v>21408</v>
      </c>
    </row>
    <row r="273" spans="1:7" x14ac:dyDescent="0.2">
      <c r="A273">
        <v>148</v>
      </c>
      <c r="B273" t="s">
        <v>121</v>
      </c>
      <c r="C273" t="s">
        <v>709</v>
      </c>
      <c r="D273" s="5">
        <v>5655</v>
      </c>
      <c r="E273" s="5">
        <v>29178</v>
      </c>
      <c r="F273" s="5">
        <v>211</v>
      </c>
      <c r="G273" s="5">
        <v>35044</v>
      </c>
    </row>
    <row r="274" spans="1:7" x14ac:dyDescent="0.2">
      <c r="A274">
        <v>148</v>
      </c>
      <c r="B274" t="s">
        <v>121</v>
      </c>
      <c r="C274" t="s">
        <v>710</v>
      </c>
      <c r="D274" s="5">
        <v>4149</v>
      </c>
      <c r="E274" s="5">
        <v>22555</v>
      </c>
      <c r="F274" s="5">
        <v>0</v>
      </c>
      <c r="G274" s="5">
        <v>26703</v>
      </c>
    </row>
    <row r="275" spans="1:7" x14ac:dyDescent="0.2">
      <c r="A275">
        <v>148</v>
      </c>
      <c r="B275" t="s">
        <v>121</v>
      </c>
      <c r="C275" t="s">
        <v>711</v>
      </c>
      <c r="D275" s="5">
        <v>130</v>
      </c>
      <c r="E275" s="5">
        <v>0</v>
      </c>
      <c r="F275" s="5">
        <v>0</v>
      </c>
      <c r="G275" s="5">
        <v>130</v>
      </c>
    </row>
    <row r="276" spans="1:7" x14ac:dyDescent="0.2">
      <c r="A276">
        <v>148</v>
      </c>
      <c r="B276" t="s">
        <v>121</v>
      </c>
      <c r="C276" t="s">
        <v>712</v>
      </c>
      <c r="D276" s="5">
        <v>8507</v>
      </c>
      <c r="E276" s="5">
        <v>96634</v>
      </c>
      <c r="F276" s="5">
        <v>0</v>
      </c>
      <c r="G276" s="5">
        <v>105141</v>
      </c>
    </row>
    <row r="277" spans="1:7" x14ac:dyDescent="0.2">
      <c r="A277">
        <v>150</v>
      </c>
      <c r="B277" t="s">
        <v>129</v>
      </c>
      <c r="C277" t="s">
        <v>700</v>
      </c>
      <c r="D277" s="5">
        <v>587118</v>
      </c>
      <c r="E277" s="5">
        <v>654824</v>
      </c>
      <c r="F277" s="5">
        <v>11430</v>
      </c>
      <c r="G277" s="5">
        <v>1253372</v>
      </c>
    </row>
    <row r="278" spans="1:7" x14ac:dyDescent="0.2">
      <c r="A278">
        <v>150</v>
      </c>
      <c r="B278" t="s">
        <v>129</v>
      </c>
      <c r="C278" t="s">
        <v>701</v>
      </c>
      <c r="D278" s="5">
        <v>35581</v>
      </c>
      <c r="E278" s="5">
        <v>72274</v>
      </c>
      <c r="F278" s="5">
        <v>8</v>
      </c>
      <c r="G278" s="5">
        <v>107863</v>
      </c>
    </row>
    <row r="279" spans="1:7" x14ac:dyDescent="0.2">
      <c r="A279">
        <v>150</v>
      </c>
      <c r="B279" t="s">
        <v>129</v>
      </c>
      <c r="C279" t="s">
        <v>702</v>
      </c>
      <c r="D279" s="5">
        <v>0</v>
      </c>
      <c r="E279" s="5">
        <v>0</v>
      </c>
      <c r="F279" s="5">
        <v>133</v>
      </c>
      <c r="G279" s="5">
        <v>133</v>
      </c>
    </row>
    <row r="280" spans="1:7" x14ac:dyDescent="0.2">
      <c r="A280">
        <v>150</v>
      </c>
      <c r="B280" t="s">
        <v>129</v>
      </c>
      <c r="C280" t="s">
        <v>703</v>
      </c>
      <c r="D280" s="5">
        <v>2933</v>
      </c>
      <c r="E280" s="5">
        <v>38523</v>
      </c>
      <c r="F280" s="5">
        <v>0</v>
      </c>
      <c r="G280" s="5">
        <v>41456</v>
      </c>
    </row>
    <row r="281" spans="1:7" x14ac:dyDescent="0.2">
      <c r="A281">
        <v>150</v>
      </c>
      <c r="B281" t="s">
        <v>129</v>
      </c>
      <c r="C281" t="s">
        <v>704</v>
      </c>
      <c r="D281" s="5">
        <v>37716</v>
      </c>
      <c r="E281" s="5">
        <v>759481</v>
      </c>
      <c r="F281" s="5">
        <v>132</v>
      </c>
      <c r="G281" s="5">
        <v>797328</v>
      </c>
    </row>
    <row r="282" spans="1:7" x14ac:dyDescent="0.2">
      <c r="A282">
        <v>150</v>
      </c>
      <c r="B282" t="s">
        <v>129</v>
      </c>
      <c r="C282" t="s">
        <v>705</v>
      </c>
      <c r="D282" s="5">
        <v>28243</v>
      </c>
      <c r="E282" s="5">
        <v>257676</v>
      </c>
      <c r="F282" s="5">
        <v>10458</v>
      </c>
      <c r="G282" s="5">
        <v>296377</v>
      </c>
    </row>
    <row r="283" spans="1:7" x14ac:dyDescent="0.2">
      <c r="A283">
        <v>150</v>
      </c>
      <c r="B283" t="s">
        <v>129</v>
      </c>
      <c r="C283" t="s">
        <v>707</v>
      </c>
      <c r="D283" s="5">
        <v>4245</v>
      </c>
      <c r="E283" s="5">
        <v>4006</v>
      </c>
      <c r="F283" s="5">
        <v>0</v>
      </c>
      <c r="G283" s="5">
        <v>8252</v>
      </c>
    </row>
    <row r="284" spans="1:7" x14ac:dyDescent="0.2">
      <c r="A284">
        <v>150</v>
      </c>
      <c r="B284" t="s">
        <v>129</v>
      </c>
      <c r="C284" t="s">
        <v>708</v>
      </c>
      <c r="D284" s="5">
        <v>14431</v>
      </c>
      <c r="E284" s="5">
        <v>106063</v>
      </c>
      <c r="F284" s="5">
        <v>0</v>
      </c>
      <c r="G284" s="5">
        <v>120494</v>
      </c>
    </row>
    <row r="285" spans="1:7" x14ac:dyDescent="0.2">
      <c r="A285">
        <v>150</v>
      </c>
      <c r="B285" t="s">
        <v>129</v>
      </c>
      <c r="C285" t="s">
        <v>709</v>
      </c>
      <c r="D285" s="5">
        <v>13839</v>
      </c>
      <c r="E285" s="5">
        <v>150278</v>
      </c>
      <c r="F285" s="5">
        <v>1831</v>
      </c>
      <c r="G285" s="5">
        <v>165949</v>
      </c>
    </row>
    <row r="286" spans="1:7" x14ac:dyDescent="0.2">
      <c r="A286">
        <v>150</v>
      </c>
      <c r="B286" t="s">
        <v>129</v>
      </c>
      <c r="C286" t="s">
        <v>710</v>
      </c>
      <c r="D286" s="5">
        <v>2047</v>
      </c>
      <c r="E286" s="5">
        <v>21231</v>
      </c>
      <c r="F286" s="5">
        <v>0</v>
      </c>
      <c r="G286" s="5">
        <v>23278</v>
      </c>
    </row>
    <row r="287" spans="1:7" x14ac:dyDescent="0.2">
      <c r="A287">
        <v>150</v>
      </c>
      <c r="B287" t="s">
        <v>129</v>
      </c>
      <c r="C287" t="s">
        <v>711</v>
      </c>
      <c r="D287" s="5">
        <v>257</v>
      </c>
      <c r="E287" s="5">
        <v>408</v>
      </c>
      <c r="F287" s="5">
        <v>0</v>
      </c>
      <c r="G287" s="5">
        <v>665</v>
      </c>
    </row>
    <row r="288" spans="1:7" x14ac:dyDescent="0.2">
      <c r="A288">
        <v>150</v>
      </c>
      <c r="B288" t="s">
        <v>129</v>
      </c>
      <c r="C288" t="s">
        <v>712</v>
      </c>
      <c r="D288" s="5">
        <v>48946</v>
      </c>
      <c r="E288" s="5">
        <v>225115</v>
      </c>
      <c r="F288" s="5">
        <v>627</v>
      </c>
      <c r="G288" s="5">
        <v>274687</v>
      </c>
    </row>
    <row r="289" spans="1:7" x14ac:dyDescent="0.2">
      <c r="A289">
        <v>153</v>
      </c>
      <c r="B289" t="s">
        <v>177</v>
      </c>
      <c r="C289" t="s">
        <v>700</v>
      </c>
      <c r="D289" s="5">
        <v>525421</v>
      </c>
      <c r="E289" s="5">
        <v>581138</v>
      </c>
      <c r="F289" s="5">
        <v>25161</v>
      </c>
      <c r="G289" s="5">
        <v>1131720</v>
      </c>
    </row>
    <row r="290" spans="1:7" x14ac:dyDescent="0.2">
      <c r="A290">
        <v>153</v>
      </c>
      <c r="B290" t="s">
        <v>177</v>
      </c>
      <c r="C290" t="s">
        <v>701</v>
      </c>
      <c r="D290" s="5">
        <v>35597</v>
      </c>
      <c r="E290" s="5">
        <v>147525</v>
      </c>
      <c r="F290" s="5">
        <v>4539</v>
      </c>
      <c r="G290" s="5">
        <v>187661</v>
      </c>
    </row>
    <row r="291" spans="1:7" x14ac:dyDescent="0.2">
      <c r="A291">
        <v>153</v>
      </c>
      <c r="B291" t="s">
        <v>177</v>
      </c>
      <c r="C291" t="s">
        <v>703</v>
      </c>
      <c r="D291" s="5">
        <v>4713</v>
      </c>
      <c r="E291" s="5">
        <v>68607</v>
      </c>
      <c r="F291" s="5">
        <v>0</v>
      </c>
      <c r="G291" s="5">
        <v>73320</v>
      </c>
    </row>
    <row r="292" spans="1:7" x14ac:dyDescent="0.2">
      <c r="A292">
        <v>153</v>
      </c>
      <c r="B292" t="s">
        <v>177</v>
      </c>
      <c r="C292" t="s">
        <v>704</v>
      </c>
      <c r="D292" s="5">
        <v>71659</v>
      </c>
      <c r="E292" s="5">
        <v>1309782</v>
      </c>
      <c r="F292" s="5">
        <v>36309</v>
      </c>
      <c r="G292" s="5">
        <v>1417750</v>
      </c>
    </row>
    <row r="293" spans="1:7" x14ac:dyDescent="0.2">
      <c r="A293">
        <v>153</v>
      </c>
      <c r="B293" t="s">
        <v>177</v>
      </c>
      <c r="C293" t="s">
        <v>705</v>
      </c>
      <c r="D293" s="5">
        <v>29796</v>
      </c>
      <c r="E293" s="5">
        <v>265469</v>
      </c>
      <c r="F293" s="5">
        <v>9969</v>
      </c>
      <c r="G293" s="5">
        <v>305234</v>
      </c>
    </row>
    <row r="294" spans="1:7" x14ac:dyDescent="0.2">
      <c r="A294">
        <v>153</v>
      </c>
      <c r="B294" t="s">
        <v>177</v>
      </c>
      <c r="C294" t="s">
        <v>707</v>
      </c>
      <c r="D294" s="5">
        <v>4359</v>
      </c>
      <c r="E294" s="5">
        <v>16308</v>
      </c>
      <c r="F294" s="5">
        <v>0</v>
      </c>
      <c r="G294" s="5">
        <v>20668</v>
      </c>
    </row>
    <row r="295" spans="1:7" x14ac:dyDescent="0.2">
      <c r="A295">
        <v>153</v>
      </c>
      <c r="B295" t="s">
        <v>177</v>
      </c>
      <c r="C295" t="s">
        <v>708</v>
      </c>
      <c r="D295" s="5">
        <v>12361</v>
      </c>
      <c r="E295" s="5">
        <v>168719</v>
      </c>
      <c r="F295" s="5">
        <v>562</v>
      </c>
      <c r="G295" s="5">
        <v>181642</v>
      </c>
    </row>
    <row r="296" spans="1:7" x14ac:dyDescent="0.2">
      <c r="A296">
        <v>153</v>
      </c>
      <c r="B296" t="s">
        <v>177</v>
      </c>
      <c r="C296" t="s">
        <v>709</v>
      </c>
      <c r="D296" s="5">
        <v>81663</v>
      </c>
      <c r="E296" s="5">
        <v>514742</v>
      </c>
      <c r="F296" s="5">
        <v>49585</v>
      </c>
      <c r="G296" s="5">
        <v>645990</v>
      </c>
    </row>
    <row r="297" spans="1:7" x14ac:dyDescent="0.2">
      <c r="A297">
        <v>153</v>
      </c>
      <c r="B297" t="s">
        <v>177</v>
      </c>
      <c r="C297" t="s">
        <v>710</v>
      </c>
      <c r="D297" s="5">
        <v>6774</v>
      </c>
      <c r="E297" s="5">
        <v>106294</v>
      </c>
      <c r="F297" s="5">
        <v>0</v>
      </c>
      <c r="G297" s="5">
        <v>113068</v>
      </c>
    </row>
    <row r="298" spans="1:7" x14ac:dyDescent="0.2">
      <c r="A298">
        <v>153</v>
      </c>
      <c r="B298" t="s">
        <v>177</v>
      </c>
      <c r="C298" t="s">
        <v>711</v>
      </c>
      <c r="D298" s="5">
        <v>163</v>
      </c>
      <c r="E298" s="5">
        <v>0</v>
      </c>
      <c r="F298" s="5">
        <v>0</v>
      </c>
      <c r="G298" s="5">
        <v>163</v>
      </c>
    </row>
    <row r="299" spans="1:7" x14ac:dyDescent="0.2">
      <c r="A299">
        <v>153</v>
      </c>
      <c r="B299" t="s">
        <v>177</v>
      </c>
      <c r="C299" t="s">
        <v>712</v>
      </c>
      <c r="D299" s="5">
        <v>36762</v>
      </c>
      <c r="E299" s="5">
        <v>372216</v>
      </c>
      <c r="F299" s="5">
        <v>666</v>
      </c>
      <c r="G299" s="5">
        <v>409644</v>
      </c>
    </row>
    <row r="300" spans="1:7" x14ac:dyDescent="0.2">
      <c r="A300">
        <v>158</v>
      </c>
      <c r="B300" t="s">
        <v>215</v>
      </c>
      <c r="C300" t="s">
        <v>700</v>
      </c>
      <c r="D300" s="5">
        <v>589520</v>
      </c>
      <c r="E300" s="5">
        <v>296901</v>
      </c>
      <c r="F300" s="5">
        <v>11531</v>
      </c>
      <c r="G300" s="5">
        <v>897952</v>
      </c>
    </row>
    <row r="301" spans="1:7" x14ac:dyDescent="0.2">
      <c r="A301">
        <v>158</v>
      </c>
      <c r="B301" t="s">
        <v>215</v>
      </c>
      <c r="C301" t="s">
        <v>701</v>
      </c>
      <c r="D301" s="5">
        <v>13742</v>
      </c>
      <c r="E301" s="5">
        <v>18178</v>
      </c>
      <c r="F301" s="5">
        <v>0</v>
      </c>
      <c r="G301" s="5">
        <v>31920</v>
      </c>
    </row>
    <row r="302" spans="1:7" x14ac:dyDescent="0.2">
      <c r="A302">
        <v>158</v>
      </c>
      <c r="B302" t="s">
        <v>215</v>
      </c>
      <c r="C302" t="s">
        <v>703</v>
      </c>
      <c r="D302" s="5">
        <v>1008</v>
      </c>
      <c r="E302" s="5">
        <v>1198</v>
      </c>
      <c r="F302" s="5">
        <v>0</v>
      </c>
      <c r="G302" s="5">
        <v>2205</v>
      </c>
    </row>
    <row r="303" spans="1:7" x14ac:dyDescent="0.2">
      <c r="A303">
        <v>158</v>
      </c>
      <c r="B303" t="s">
        <v>215</v>
      </c>
      <c r="C303" t="s">
        <v>704</v>
      </c>
      <c r="D303" s="5">
        <v>10846</v>
      </c>
      <c r="E303" s="5">
        <v>398255</v>
      </c>
      <c r="F303" s="5">
        <v>11055</v>
      </c>
      <c r="G303" s="5">
        <v>420156</v>
      </c>
    </row>
    <row r="304" spans="1:7" x14ac:dyDescent="0.2">
      <c r="A304">
        <v>158</v>
      </c>
      <c r="B304" t="s">
        <v>215</v>
      </c>
      <c r="C304" t="s">
        <v>705</v>
      </c>
      <c r="D304" s="5">
        <v>2756</v>
      </c>
      <c r="E304" s="5">
        <v>31636</v>
      </c>
      <c r="F304" s="5">
        <v>7087</v>
      </c>
      <c r="G304" s="5">
        <v>41479</v>
      </c>
    </row>
    <row r="305" spans="1:7" x14ac:dyDescent="0.2">
      <c r="A305">
        <v>158</v>
      </c>
      <c r="B305" t="s">
        <v>215</v>
      </c>
      <c r="C305" t="s">
        <v>707</v>
      </c>
      <c r="D305" s="5">
        <v>18713</v>
      </c>
      <c r="E305" s="5">
        <v>7034</v>
      </c>
      <c r="F305" s="5">
        <v>999</v>
      </c>
      <c r="G305" s="5">
        <v>26746</v>
      </c>
    </row>
    <row r="306" spans="1:7" x14ac:dyDescent="0.2">
      <c r="A306">
        <v>158</v>
      </c>
      <c r="B306" t="s">
        <v>215</v>
      </c>
      <c r="C306" t="s">
        <v>708</v>
      </c>
      <c r="D306" s="5">
        <v>3278</v>
      </c>
      <c r="E306" s="5">
        <v>17992</v>
      </c>
      <c r="F306" s="5">
        <v>0</v>
      </c>
      <c r="G306" s="5">
        <v>21270</v>
      </c>
    </row>
    <row r="307" spans="1:7" x14ac:dyDescent="0.2">
      <c r="A307">
        <v>158</v>
      </c>
      <c r="B307" t="s">
        <v>215</v>
      </c>
      <c r="C307" t="s">
        <v>709</v>
      </c>
      <c r="D307" s="5">
        <v>2970</v>
      </c>
      <c r="E307" s="5">
        <v>7265</v>
      </c>
      <c r="F307" s="5">
        <v>961</v>
      </c>
      <c r="G307" s="5">
        <v>11197</v>
      </c>
    </row>
    <row r="308" spans="1:7" x14ac:dyDescent="0.2">
      <c r="A308">
        <v>158</v>
      </c>
      <c r="B308" t="s">
        <v>215</v>
      </c>
      <c r="C308" t="s">
        <v>710</v>
      </c>
      <c r="D308" s="5">
        <v>0</v>
      </c>
      <c r="E308" s="5">
        <v>13358</v>
      </c>
      <c r="F308" s="5">
        <v>674</v>
      </c>
      <c r="G308" s="5">
        <v>14032</v>
      </c>
    </row>
    <row r="309" spans="1:7" x14ac:dyDescent="0.2">
      <c r="A309">
        <v>158</v>
      </c>
      <c r="B309" t="s">
        <v>215</v>
      </c>
      <c r="C309" t="s">
        <v>712</v>
      </c>
      <c r="D309" s="5">
        <v>14813</v>
      </c>
      <c r="E309" s="5">
        <v>71920</v>
      </c>
      <c r="F309" s="5">
        <v>0</v>
      </c>
      <c r="G309" s="5">
        <v>86733</v>
      </c>
    </row>
    <row r="310" spans="1:7" x14ac:dyDescent="0.2">
      <c r="A310">
        <v>160</v>
      </c>
      <c r="B310" t="s">
        <v>223</v>
      </c>
      <c r="C310" t="s">
        <v>700</v>
      </c>
      <c r="D310" s="5">
        <v>1552467</v>
      </c>
      <c r="E310" s="5">
        <v>854186</v>
      </c>
      <c r="F310" s="5">
        <v>66937</v>
      </c>
      <c r="G310" s="5">
        <v>2473591</v>
      </c>
    </row>
    <row r="311" spans="1:7" x14ac:dyDescent="0.2">
      <c r="A311">
        <v>160</v>
      </c>
      <c r="B311" t="s">
        <v>223</v>
      </c>
      <c r="C311" t="s">
        <v>701</v>
      </c>
      <c r="D311" s="5">
        <v>35988</v>
      </c>
      <c r="E311" s="5">
        <v>100521</v>
      </c>
      <c r="F311" s="5">
        <v>275</v>
      </c>
      <c r="G311" s="5">
        <v>136783</v>
      </c>
    </row>
    <row r="312" spans="1:7" x14ac:dyDescent="0.2">
      <c r="A312">
        <v>160</v>
      </c>
      <c r="B312" t="s">
        <v>223</v>
      </c>
      <c r="C312" t="s">
        <v>702</v>
      </c>
      <c r="D312" s="5">
        <v>0</v>
      </c>
      <c r="E312" s="5">
        <v>9473</v>
      </c>
      <c r="F312" s="5">
        <v>0</v>
      </c>
      <c r="G312" s="5">
        <v>9473</v>
      </c>
    </row>
    <row r="313" spans="1:7" x14ac:dyDescent="0.2">
      <c r="A313">
        <v>160</v>
      </c>
      <c r="B313" t="s">
        <v>223</v>
      </c>
      <c r="C313" t="s">
        <v>703</v>
      </c>
      <c r="D313" s="5">
        <v>3564</v>
      </c>
      <c r="E313" s="5">
        <v>39157</v>
      </c>
      <c r="F313" s="5">
        <v>0</v>
      </c>
      <c r="G313" s="5">
        <v>42721</v>
      </c>
    </row>
    <row r="314" spans="1:7" x14ac:dyDescent="0.2">
      <c r="A314">
        <v>160</v>
      </c>
      <c r="B314" t="s">
        <v>223</v>
      </c>
      <c r="C314" t="s">
        <v>704</v>
      </c>
      <c r="D314" s="5">
        <v>116992</v>
      </c>
      <c r="E314" s="5">
        <v>553820</v>
      </c>
      <c r="F314" s="5">
        <v>10351</v>
      </c>
      <c r="G314" s="5">
        <v>681163</v>
      </c>
    </row>
    <row r="315" spans="1:7" x14ac:dyDescent="0.2">
      <c r="A315">
        <v>160</v>
      </c>
      <c r="B315" t="s">
        <v>223</v>
      </c>
      <c r="C315" t="s">
        <v>705</v>
      </c>
      <c r="D315" s="5">
        <v>11980</v>
      </c>
      <c r="E315" s="5">
        <v>173461</v>
      </c>
      <c r="F315" s="5">
        <v>11890</v>
      </c>
      <c r="G315" s="5">
        <v>197332</v>
      </c>
    </row>
    <row r="316" spans="1:7" x14ac:dyDescent="0.2">
      <c r="A316">
        <v>160</v>
      </c>
      <c r="B316" t="s">
        <v>223</v>
      </c>
      <c r="C316" t="s">
        <v>707</v>
      </c>
      <c r="D316" s="5">
        <v>68071</v>
      </c>
      <c r="E316" s="5">
        <v>14301</v>
      </c>
      <c r="F316" s="5">
        <v>256</v>
      </c>
      <c r="G316" s="5">
        <v>82628</v>
      </c>
    </row>
    <row r="317" spans="1:7" x14ac:dyDescent="0.2">
      <c r="A317">
        <v>160</v>
      </c>
      <c r="B317" t="s">
        <v>223</v>
      </c>
      <c r="C317" t="s">
        <v>708</v>
      </c>
      <c r="D317" s="5">
        <v>10499</v>
      </c>
      <c r="E317" s="5">
        <v>61152</v>
      </c>
      <c r="F317" s="5">
        <v>0</v>
      </c>
      <c r="G317" s="5">
        <v>71651</v>
      </c>
    </row>
    <row r="318" spans="1:7" x14ac:dyDescent="0.2">
      <c r="A318">
        <v>160</v>
      </c>
      <c r="B318" t="s">
        <v>223</v>
      </c>
      <c r="C318" t="s">
        <v>709</v>
      </c>
      <c r="D318" s="5">
        <v>16288</v>
      </c>
      <c r="E318" s="5">
        <v>50027</v>
      </c>
      <c r="F318" s="5">
        <v>911</v>
      </c>
      <c r="G318" s="5">
        <v>67226</v>
      </c>
    </row>
    <row r="319" spans="1:7" x14ac:dyDescent="0.2">
      <c r="A319">
        <v>160</v>
      </c>
      <c r="B319" t="s">
        <v>223</v>
      </c>
      <c r="C319" t="s">
        <v>710</v>
      </c>
      <c r="D319" s="5">
        <v>1980</v>
      </c>
      <c r="E319" s="5">
        <v>31403</v>
      </c>
      <c r="F319" s="5">
        <v>4371</v>
      </c>
      <c r="G319" s="5">
        <v>37754</v>
      </c>
    </row>
    <row r="320" spans="1:7" x14ac:dyDescent="0.2">
      <c r="A320">
        <v>160</v>
      </c>
      <c r="B320" t="s">
        <v>223</v>
      </c>
      <c r="C320" t="s">
        <v>711</v>
      </c>
      <c r="D320" s="5">
        <v>0</v>
      </c>
      <c r="E320" s="5">
        <v>169</v>
      </c>
      <c r="F320" s="5">
        <v>0</v>
      </c>
      <c r="G320" s="5">
        <v>169</v>
      </c>
    </row>
    <row r="321" spans="1:7" x14ac:dyDescent="0.2">
      <c r="A321">
        <v>160</v>
      </c>
      <c r="B321" t="s">
        <v>223</v>
      </c>
      <c r="C321" t="s">
        <v>712</v>
      </c>
      <c r="D321" s="5">
        <v>39740</v>
      </c>
      <c r="E321" s="5">
        <v>186674</v>
      </c>
      <c r="F321" s="5">
        <v>2002</v>
      </c>
      <c r="G321" s="5">
        <v>228415</v>
      </c>
    </row>
    <row r="322" spans="1:7" x14ac:dyDescent="0.2">
      <c r="A322">
        <v>163</v>
      </c>
      <c r="B322" t="s">
        <v>249</v>
      </c>
      <c r="C322" t="s">
        <v>700</v>
      </c>
      <c r="D322" s="5">
        <v>670480</v>
      </c>
      <c r="E322" s="5">
        <v>532574</v>
      </c>
      <c r="F322" s="5">
        <v>24141</v>
      </c>
      <c r="G322" s="5">
        <v>1227195</v>
      </c>
    </row>
    <row r="323" spans="1:7" x14ac:dyDescent="0.2">
      <c r="A323">
        <v>163</v>
      </c>
      <c r="B323" t="s">
        <v>249</v>
      </c>
      <c r="C323" t="s">
        <v>701</v>
      </c>
      <c r="D323" s="5">
        <v>8919</v>
      </c>
      <c r="E323" s="5">
        <v>34622</v>
      </c>
      <c r="F323" s="5">
        <v>327</v>
      </c>
      <c r="G323" s="5">
        <v>43868</v>
      </c>
    </row>
    <row r="324" spans="1:7" x14ac:dyDescent="0.2">
      <c r="A324">
        <v>163</v>
      </c>
      <c r="B324" t="s">
        <v>249</v>
      </c>
      <c r="C324" t="s">
        <v>703</v>
      </c>
      <c r="D324" s="5">
        <v>3969</v>
      </c>
      <c r="E324" s="5">
        <v>16096</v>
      </c>
      <c r="F324" s="5">
        <v>0</v>
      </c>
      <c r="G324" s="5">
        <v>20065</v>
      </c>
    </row>
    <row r="325" spans="1:7" x14ac:dyDescent="0.2">
      <c r="A325">
        <v>163</v>
      </c>
      <c r="B325" t="s">
        <v>249</v>
      </c>
      <c r="C325" t="s">
        <v>704</v>
      </c>
      <c r="D325" s="5">
        <v>14201</v>
      </c>
      <c r="E325" s="5">
        <v>240457</v>
      </c>
      <c r="F325" s="5">
        <v>4361</v>
      </c>
      <c r="G325" s="5">
        <v>259020</v>
      </c>
    </row>
    <row r="326" spans="1:7" x14ac:dyDescent="0.2">
      <c r="A326">
        <v>163</v>
      </c>
      <c r="B326" t="s">
        <v>249</v>
      </c>
      <c r="C326" t="s">
        <v>705</v>
      </c>
      <c r="D326" s="5">
        <v>4992</v>
      </c>
      <c r="E326" s="5">
        <v>40694</v>
      </c>
      <c r="F326" s="5">
        <v>0</v>
      </c>
      <c r="G326" s="5">
        <v>45686</v>
      </c>
    </row>
    <row r="327" spans="1:7" x14ac:dyDescent="0.2">
      <c r="A327">
        <v>163</v>
      </c>
      <c r="B327" t="s">
        <v>249</v>
      </c>
      <c r="C327" t="s">
        <v>707</v>
      </c>
      <c r="D327" s="5">
        <v>31879</v>
      </c>
      <c r="E327" s="5">
        <v>4812</v>
      </c>
      <c r="F327" s="5">
        <v>2474</v>
      </c>
      <c r="G327" s="5">
        <v>39165</v>
      </c>
    </row>
    <row r="328" spans="1:7" x14ac:dyDescent="0.2">
      <c r="A328">
        <v>163</v>
      </c>
      <c r="B328" t="s">
        <v>249</v>
      </c>
      <c r="C328" t="s">
        <v>708</v>
      </c>
      <c r="D328" s="5">
        <v>5762</v>
      </c>
      <c r="E328" s="5">
        <v>35631</v>
      </c>
      <c r="F328" s="5">
        <v>0</v>
      </c>
      <c r="G328" s="5">
        <v>41392</v>
      </c>
    </row>
    <row r="329" spans="1:7" x14ac:dyDescent="0.2">
      <c r="A329">
        <v>163</v>
      </c>
      <c r="B329" t="s">
        <v>249</v>
      </c>
      <c r="C329" t="s">
        <v>709</v>
      </c>
      <c r="D329" s="5">
        <v>4518</v>
      </c>
      <c r="E329" s="5">
        <v>20505</v>
      </c>
      <c r="F329" s="5">
        <v>8545</v>
      </c>
      <c r="G329" s="5">
        <v>33568</v>
      </c>
    </row>
    <row r="330" spans="1:7" x14ac:dyDescent="0.2">
      <c r="A330">
        <v>163</v>
      </c>
      <c r="B330" t="s">
        <v>249</v>
      </c>
      <c r="C330" t="s">
        <v>710</v>
      </c>
      <c r="D330" s="5">
        <v>4203</v>
      </c>
      <c r="E330" s="5">
        <v>22426</v>
      </c>
      <c r="F330" s="5">
        <v>0</v>
      </c>
      <c r="G330" s="5">
        <v>26629</v>
      </c>
    </row>
    <row r="331" spans="1:7" x14ac:dyDescent="0.2">
      <c r="A331">
        <v>163</v>
      </c>
      <c r="B331" t="s">
        <v>249</v>
      </c>
      <c r="C331" t="s">
        <v>712</v>
      </c>
      <c r="D331" s="5">
        <v>9203</v>
      </c>
      <c r="E331" s="5">
        <v>157064</v>
      </c>
      <c r="F331" s="5">
        <v>0</v>
      </c>
      <c r="G331" s="5">
        <v>166267</v>
      </c>
    </row>
    <row r="332" spans="1:7" x14ac:dyDescent="0.2">
      <c r="A332">
        <v>164</v>
      </c>
      <c r="B332" s="9" t="s">
        <v>255</v>
      </c>
      <c r="C332" t="s">
        <v>700</v>
      </c>
      <c r="D332" s="5">
        <v>311804</v>
      </c>
      <c r="E332" s="5">
        <v>445475</v>
      </c>
      <c r="F332" s="5">
        <v>12121</v>
      </c>
      <c r="G332" s="5">
        <v>769400</v>
      </c>
    </row>
    <row r="333" spans="1:7" x14ac:dyDescent="0.2">
      <c r="A333">
        <v>164</v>
      </c>
      <c r="B333" s="9" t="s">
        <v>255</v>
      </c>
      <c r="C333" t="s">
        <v>701</v>
      </c>
      <c r="D333" s="5">
        <v>14682</v>
      </c>
      <c r="E333" s="5">
        <v>64550</v>
      </c>
      <c r="F333" s="5">
        <v>1281</v>
      </c>
      <c r="G333" s="5">
        <v>80512</v>
      </c>
    </row>
    <row r="334" spans="1:7" x14ac:dyDescent="0.2">
      <c r="A334">
        <v>164</v>
      </c>
      <c r="B334" s="9" t="s">
        <v>255</v>
      </c>
      <c r="C334" t="s">
        <v>703</v>
      </c>
      <c r="D334" s="5">
        <v>2357</v>
      </c>
      <c r="E334" s="5">
        <v>41228</v>
      </c>
      <c r="F334" s="5">
        <v>613</v>
      </c>
      <c r="G334" s="5">
        <v>44198</v>
      </c>
    </row>
    <row r="335" spans="1:7" x14ac:dyDescent="0.2">
      <c r="A335">
        <v>164</v>
      </c>
      <c r="B335" s="9" t="s">
        <v>255</v>
      </c>
      <c r="C335" t="s">
        <v>704</v>
      </c>
      <c r="D335" s="5">
        <v>21786</v>
      </c>
      <c r="E335" s="5">
        <v>717907</v>
      </c>
      <c r="F335" s="5">
        <v>17615</v>
      </c>
      <c r="G335" s="5">
        <v>757308</v>
      </c>
    </row>
    <row r="336" spans="1:7" x14ac:dyDescent="0.2">
      <c r="A336">
        <v>164</v>
      </c>
      <c r="B336" s="9" t="s">
        <v>255</v>
      </c>
      <c r="C336" t="s">
        <v>705</v>
      </c>
      <c r="D336" s="5">
        <v>12253</v>
      </c>
      <c r="E336" s="5">
        <v>320757</v>
      </c>
      <c r="F336" s="5">
        <v>5581</v>
      </c>
      <c r="G336" s="5">
        <v>338591</v>
      </c>
    </row>
    <row r="337" spans="1:7" x14ac:dyDescent="0.2">
      <c r="A337">
        <v>164</v>
      </c>
      <c r="B337" s="9" t="s">
        <v>255</v>
      </c>
      <c r="C337" t="s">
        <v>707</v>
      </c>
      <c r="D337" s="5">
        <v>4372</v>
      </c>
      <c r="E337" s="5">
        <v>6245</v>
      </c>
      <c r="F337" s="5">
        <v>1722</v>
      </c>
      <c r="G337" s="5">
        <v>12340</v>
      </c>
    </row>
    <row r="338" spans="1:7" x14ac:dyDescent="0.2">
      <c r="A338">
        <v>164</v>
      </c>
      <c r="B338" s="9" t="s">
        <v>255</v>
      </c>
      <c r="C338" t="s">
        <v>708</v>
      </c>
      <c r="D338" s="5">
        <v>13264</v>
      </c>
      <c r="E338" s="5">
        <v>136784</v>
      </c>
      <c r="F338" s="5">
        <v>4190</v>
      </c>
      <c r="G338" s="5">
        <v>154239</v>
      </c>
    </row>
    <row r="339" spans="1:7" x14ac:dyDescent="0.2">
      <c r="A339">
        <v>164</v>
      </c>
      <c r="B339" s="9" t="s">
        <v>255</v>
      </c>
      <c r="C339" t="s">
        <v>709</v>
      </c>
      <c r="D339" s="5">
        <v>13346</v>
      </c>
      <c r="E339" s="5">
        <v>99838</v>
      </c>
      <c r="F339" s="5">
        <v>1009</v>
      </c>
      <c r="G339" s="5">
        <v>114193</v>
      </c>
    </row>
    <row r="340" spans="1:7" x14ac:dyDescent="0.2">
      <c r="A340">
        <v>164</v>
      </c>
      <c r="B340" s="9" t="s">
        <v>255</v>
      </c>
      <c r="C340" t="s">
        <v>710</v>
      </c>
      <c r="D340" s="5">
        <v>1002</v>
      </c>
      <c r="E340" s="5">
        <v>32483</v>
      </c>
      <c r="F340" s="5">
        <v>2183</v>
      </c>
      <c r="G340" s="5">
        <v>35668</v>
      </c>
    </row>
    <row r="341" spans="1:7" x14ac:dyDescent="0.2">
      <c r="A341">
        <v>164</v>
      </c>
      <c r="B341" s="9" t="s">
        <v>255</v>
      </c>
      <c r="C341" t="s">
        <v>711</v>
      </c>
      <c r="D341" s="5">
        <v>107</v>
      </c>
      <c r="E341" s="5">
        <v>44</v>
      </c>
      <c r="F341" s="5">
        <v>0</v>
      </c>
      <c r="G341" s="5">
        <v>151</v>
      </c>
    </row>
    <row r="342" spans="1:7" x14ac:dyDescent="0.2">
      <c r="A342">
        <v>164</v>
      </c>
      <c r="B342" s="9" t="s">
        <v>255</v>
      </c>
      <c r="C342" t="s">
        <v>712</v>
      </c>
      <c r="D342" s="5">
        <v>11927</v>
      </c>
      <c r="E342" s="5">
        <v>351015</v>
      </c>
      <c r="F342" s="5">
        <v>7850</v>
      </c>
      <c r="G342" s="5">
        <v>370792</v>
      </c>
    </row>
    <row r="343" spans="1:7" x14ac:dyDescent="0.2">
      <c r="A343">
        <v>166</v>
      </c>
      <c r="B343" t="s">
        <v>293</v>
      </c>
      <c r="C343" t="s">
        <v>700</v>
      </c>
      <c r="D343" s="5">
        <v>985695</v>
      </c>
      <c r="E343" s="5">
        <v>557710</v>
      </c>
      <c r="F343" s="5">
        <v>11125</v>
      </c>
      <c r="G343" s="5">
        <v>1554530</v>
      </c>
    </row>
    <row r="344" spans="1:7" x14ac:dyDescent="0.2">
      <c r="A344">
        <v>166</v>
      </c>
      <c r="B344" t="s">
        <v>293</v>
      </c>
      <c r="C344" t="s">
        <v>701</v>
      </c>
      <c r="D344" s="5">
        <v>30638</v>
      </c>
      <c r="E344" s="5">
        <v>37080</v>
      </c>
      <c r="F344" s="5">
        <v>1117</v>
      </c>
      <c r="G344" s="5">
        <v>68835</v>
      </c>
    </row>
    <row r="345" spans="1:7" x14ac:dyDescent="0.2">
      <c r="A345">
        <v>166</v>
      </c>
      <c r="B345" t="s">
        <v>293</v>
      </c>
      <c r="C345" t="s">
        <v>703</v>
      </c>
      <c r="D345" s="5">
        <v>3211</v>
      </c>
      <c r="E345" s="5">
        <v>11729</v>
      </c>
      <c r="F345" s="5">
        <v>55</v>
      </c>
      <c r="G345" s="5">
        <v>14995</v>
      </c>
    </row>
    <row r="346" spans="1:7" x14ac:dyDescent="0.2">
      <c r="A346">
        <v>166</v>
      </c>
      <c r="B346" t="s">
        <v>293</v>
      </c>
      <c r="C346" t="s">
        <v>704</v>
      </c>
      <c r="D346" s="5">
        <v>338156</v>
      </c>
      <c r="E346" s="5">
        <v>619216</v>
      </c>
      <c r="F346" s="5">
        <v>4845</v>
      </c>
      <c r="G346" s="5">
        <v>962216</v>
      </c>
    </row>
    <row r="347" spans="1:7" x14ac:dyDescent="0.2">
      <c r="A347">
        <v>166</v>
      </c>
      <c r="B347" t="s">
        <v>293</v>
      </c>
      <c r="C347" t="s">
        <v>705</v>
      </c>
      <c r="D347" s="5">
        <v>11474</v>
      </c>
      <c r="E347" s="5">
        <v>77179</v>
      </c>
      <c r="F347" s="5">
        <v>0</v>
      </c>
      <c r="G347" s="5">
        <v>88653</v>
      </c>
    </row>
    <row r="348" spans="1:7" x14ac:dyDescent="0.2">
      <c r="A348">
        <v>166</v>
      </c>
      <c r="B348" t="s">
        <v>293</v>
      </c>
      <c r="C348" t="s">
        <v>707</v>
      </c>
      <c r="D348" s="5">
        <v>303</v>
      </c>
      <c r="E348" s="5">
        <v>94</v>
      </c>
      <c r="F348" s="5">
        <v>70</v>
      </c>
      <c r="G348" s="5">
        <v>468</v>
      </c>
    </row>
    <row r="349" spans="1:7" x14ac:dyDescent="0.2">
      <c r="A349">
        <v>166</v>
      </c>
      <c r="B349" t="s">
        <v>293</v>
      </c>
      <c r="C349" t="s">
        <v>708</v>
      </c>
      <c r="D349" s="5">
        <v>9303</v>
      </c>
      <c r="E349" s="5">
        <v>71467</v>
      </c>
      <c r="F349" s="5">
        <v>0</v>
      </c>
      <c r="G349" s="5">
        <v>80770</v>
      </c>
    </row>
    <row r="350" spans="1:7" x14ac:dyDescent="0.2">
      <c r="A350">
        <v>166</v>
      </c>
      <c r="B350" t="s">
        <v>293</v>
      </c>
      <c r="C350" t="s">
        <v>709</v>
      </c>
      <c r="D350" s="5">
        <v>89169</v>
      </c>
      <c r="E350" s="5">
        <v>57374</v>
      </c>
      <c r="F350" s="5">
        <v>543</v>
      </c>
      <c r="G350" s="5">
        <v>147086</v>
      </c>
    </row>
    <row r="351" spans="1:7" x14ac:dyDescent="0.2">
      <c r="A351">
        <v>166</v>
      </c>
      <c r="B351" t="s">
        <v>293</v>
      </c>
      <c r="C351" t="s">
        <v>710</v>
      </c>
      <c r="D351" s="5">
        <v>4828</v>
      </c>
      <c r="E351" s="5">
        <v>23226</v>
      </c>
      <c r="F351" s="5">
        <v>0</v>
      </c>
      <c r="G351" s="5">
        <v>28054</v>
      </c>
    </row>
    <row r="352" spans="1:7" x14ac:dyDescent="0.2">
      <c r="A352">
        <v>166</v>
      </c>
      <c r="B352" t="s">
        <v>293</v>
      </c>
      <c r="C352" t="s">
        <v>712</v>
      </c>
      <c r="D352" s="5">
        <v>40938</v>
      </c>
      <c r="E352" s="5">
        <v>96203</v>
      </c>
      <c r="F352" s="5">
        <v>4506</v>
      </c>
      <c r="G352" s="5">
        <v>141646</v>
      </c>
    </row>
    <row r="353" spans="1:7" x14ac:dyDescent="0.2">
      <c r="A353">
        <v>168</v>
      </c>
      <c r="B353" t="s">
        <v>343</v>
      </c>
      <c r="C353" t="s">
        <v>700</v>
      </c>
      <c r="D353" s="5">
        <v>445644</v>
      </c>
      <c r="E353" s="5">
        <v>188871</v>
      </c>
      <c r="F353" s="5">
        <v>5275</v>
      </c>
      <c r="G353" s="5">
        <v>639791</v>
      </c>
    </row>
    <row r="354" spans="1:7" x14ac:dyDescent="0.2">
      <c r="A354">
        <v>168</v>
      </c>
      <c r="B354" t="s">
        <v>343</v>
      </c>
      <c r="C354" t="s">
        <v>701</v>
      </c>
      <c r="D354" s="5">
        <v>11533</v>
      </c>
      <c r="E354" s="5">
        <v>6860</v>
      </c>
      <c r="F354" s="5">
        <v>170</v>
      </c>
      <c r="G354" s="5">
        <v>18563</v>
      </c>
    </row>
    <row r="355" spans="1:7" x14ac:dyDescent="0.2">
      <c r="A355">
        <v>168</v>
      </c>
      <c r="B355" t="s">
        <v>343</v>
      </c>
      <c r="C355" t="s">
        <v>703</v>
      </c>
      <c r="D355" s="5">
        <v>382</v>
      </c>
      <c r="E355" s="5">
        <v>5814</v>
      </c>
      <c r="F355" s="5">
        <v>0</v>
      </c>
      <c r="G355" s="5">
        <v>6196</v>
      </c>
    </row>
    <row r="356" spans="1:7" x14ac:dyDescent="0.2">
      <c r="A356">
        <v>168</v>
      </c>
      <c r="B356" t="s">
        <v>343</v>
      </c>
      <c r="C356" t="s">
        <v>704</v>
      </c>
      <c r="D356" s="5">
        <v>20101</v>
      </c>
      <c r="E356" s="5">
        <v>128475</v>
      </c>
      <c r="F356" s="5">
        <v>560</v>
      </c>
      <c r="G356" s="5">
        <v>149136</v>
      </c>
    </row>
    <row r="357" spans="1:7" x14ac:dyDescent="0.2">
      <c r="A357">
        <v>168</v>
      </c>
      <c r="B357" t="s">
        <v>343</v>
      </c>
      <c r="C357" t="s">
        <v>705</v>
      </c>
      <c r="D357" s="5">
        <v>5440</v>
      </c>
      <c r="E357" s="5">
        <v>12896</v>
      </c>
      <c r="F357" s="5">
        <v>113</v>
      </c>
      <c r="G357" s="5">
        <v>18450</v>
      </c>
    </row>
    <row r="358" spans="1:7" x14ac:dyDescent="0.2">
      <c r="A358">
        <v>168</v>
      </c>
      <c r="B358" t="s">
        <v>343</v>
      </c>
      <c r="C358" t="s">
        <v>707</v>
      </c>
      <c r="D358" s="5">
        <v>12297</v>
      </c>
      <c r="E358" s="5">
        <v>10237</v>
      </c>
      <c r="F358" s="5">
        <v>390</v>
      </c>
      <c r="G358" s="5">
        <v>22925</v>
      </c>
    </row>
    <row r="359" spans="1:7" x14ac:dyDescent="0.2">
      <c r="A359">
        <v>168</v>
      </c>
      <c r="B359" t="s">
        <v>343</v>
      </c>
      <c r="C359" t="s">
        <v>708</v>
      </c>
      <c r="D359" s="5">
        <v>4250</v>
      </c>
      <c r="E359" s="5">
        <v>15350</v>
      </c>
      <c r="F359" s="5">
        <v>0</v>
      </c>
      <c r="G359" s="5">
        <v>19600</v>
      </c>
    </row>
    <row r="360" spans="1:7" x14ac:dyDescent="0.2">
      <c r="A360">
        <v>168</v>
      </c>
      <c r="B360" t="s">
        <v>343</v>
      </c>
      <c r="C360" t="s">
        <v>709</v>
      </c>
      <c r="D360" s="5">
        <v>3895</v>
      </c>
      <c r="E360" s="5">
        <v>8559</v>
      </c>
      <c r="F360" s="5">
        <v>88</v>
      </c>
      <c r="G360" s="5">
        <v>12542</v>
      </c>
    </row>
    <row r="361" spans="1:7" x14ac:dyDescent="0.2">
      <c r="A361">
        <v>168</v>
      </c>
      <c r="B361" t="s">
        <v>343</v>
      </c>
      <c r="C361" t="s">
        <v>710</v>
      </c>
      <c r="D361" s="5">
        <v>2525</v>
      </c>
      <c r="E361" s="5">
        <v>33342</v>
      </c>
      <c r="F361" s="5">
        <v>0</v>
      </c>
      <c r="G361" s="5">
        <v>35868</v>
      </c>
    </row>
    <row r="362" spans="1:7" x14ac:dyDescent="0.2">
      <c r="A362">
        <v>168</v>
      </c>
      <c r="B362" t="s">
        <v>343</v>
      </c>
      <c r="C362" t="s">
        <v>712</v>
      </c>
      <c r="D362" s="5">
        <v>13328</v>
      </c>
      <c r="E362" s="5">
        <v>53162</v>
      </c>
      <c r="F362" s="5">
        <v>705</v>
      </c>
      <c r="G362" s="5">
        <v>67194</v>
      </c>
    </row>
    <row r="363" spans="1:7" x14ac:dyDescent="0.2">
      <c r="A363">
        <v>171</v>
      </c>
      <c r="B363" t="s">
        <v>401</v>
      </c>
      <c r="C363" t="s">
        <v>700</v>
      </c>
      <c r="D363" s="5">
        <v>2228280</v>
      </c>
      <c r="E363" s="5">
        <v>2199379</v>
      </c>
      <c r="F363" s="5">
        <v>106409</v>
      </c>
      <c r="G363" s="5">
        <v>4534068</v>
      </c>
    </row>
    <row r="364" spans="1:7" x14ac:dyDescent="0.2">
      <c r="A364">
        <v>171</v>
      </c>
      <c r="B364" t="s">
        <v>401</v>
      </c>
      <c r="C364" t="s">
        <v>701</v>
      </c>
      <c r="D364" s="5">
        <v>15158</v>
      </c>
      <c r="E364" s="5">
        <v>45950</v>
      </c>
      <c r="F364" s="5">
        <v>475</v>
      </c>
      <c r="G364" s="5">
        <v>61583</v>
      </c>
    </row>
    <row r="365" spans="1:7" x14ac:dyDescent="0.2">
      <c r="A365">
        <v>171</v>
      </c>
      <c r="B365" t="s">
        <v>401</v>
      </c>
      <c r="C365" t="s">
        <v>703</v>
      </c>
      <c r="D365" s="5">
        <v>1194</v>
      </c>
      <c r="E365" s="5">
        <v>7092</v>
      </c>
      <c r="F365" s="5">
        <v>0</v>
      </c>
      <c r="G365" s="5">
        <v>8286</v>
      </c>
    </row>
    <row r="366" spans="1:7" x14ac:dyDescent="0.2">
      <c r="A366">
        <v>171</v>
      </c>
      <c r="B366" t="s">
        <v>401</v>
      </c>
      <c r="C366" t="s">
        <v>704</v>
      </c>
      <c r="D366" s="5">
        <v>1317490</v>
      </c>
      <c r="E366" s="5">
        <v>931680</v>
      </c>
      <c r="F366" s="5">
        <v>40873</v>
      </c>
      <c r="G366" s="5">
        <v>2290042</v>
      </c>
    </row>
    <row r="367" spans="1:7" x14ac:dyDescent="0.2">
      <c r="A367">
        <v>171</v>
      </c>
      <c r="B367" t="s">
        <v>401</v>
      </c>
      <c r="C367" t="s">
        <v>705</v>
      </c>
      <c r="D367" s="5">
        <v>10701</v>
      </c>
      <c r="E367" s="5">
        <v>73819</v>
      </c>
      <c r="F367" s="5">
        <v>492</v>
      </c>
      <c r="G367" s="5">
        <v>85013</v>
      </c>
    </row>
    <row r="368" spans="1:7" x14ac:dyDescent="0.2">
      <c r="A368">
        <v>171</v>
      </c>
      <c r="B368" t="s">
        <v>401</v>
      </c>
      <c r="C368" t="s">
        <v>707</v>
      </c>
      <c r="D368" s="5">
        <v>2256</v>
      </c>
      <c r="E368" s="5">
        <v>9654</v>
      </c>
      <c r="F368" s="5">
        <v>4411</v>
      </c>
      <c r="G368" s="5">
        <v>16321</v>
      </c>
    </row>
    <row r="369" spans="1:7" x14ac:dyDescent="0.2">
      <c r="A369">
        <v>171</v>
      </c>
      <c r="B369" t="s">
        <v>401</v>
      </c>
      <c r="C369" t="s">
        <v>708</v>
      </c>
      <c r="D369" s="5">
        <v>10027</v>
      </c>
      <c r="E369" s="5">
        <v>61880</v>
      </c>
      <c r="F369" s="5">
        <v>0</v>
      </c>
      <c r="G369" s="5">
        <v>71908</v>
      </c>
    </row>
    <row r="370" spans="1:7" x14ac:dyDescent="0.2">
      <c r="A370">
        <v>171</v>
      </c>
      <c r="B370" t="s">
        <v>401</v>
      </c>
      <c r="C370" t="s">
        <v>709</v>
      </c>
      <c r="D370" s="5">
        <v>37734</v>
      </c>
      <c r="E370" s="5">
        <v>23347</v>
      </c>
      <c r="F370" s="5">
        <v>308</v>
      </c>
      <c r="G370" s="5">
        <v>61389</v>
      </c>
    </row>
    <row r="371" spans="1:7" x14ac:dyDescent="0.2">
      <c r="A371">
        <v>171</v>
      </c>
      <c r="B371" t="s">
        <v>401</v>
      </c>
      <c r="C371" t="s">
        <v>710</v>
      </c>
      <c r="D371" s="5">
        <v>1476</v>
      </c>
      <c r="E371" s="5">
        <v>33664</v>
      </c>
      <c r="F371" s="5">
        <v>0</v>
      </c>
      <c r="G371" s="5">
        <v>35140</v>
      </c>
    </row>
    <row r="372" spans="1:7" x14ac:dyDescent="0.2">
      <c r="A372">
        <v>171</v>
      </c>
      <c r="B372" t="s">
        <v>401</v>
      </c>
      <c r="C372" t="s">
        <v>712</v>
      </c>
      <c r="D372" s="5">
        <v>13890</v>
      </c>
      <c r="E372" s="5">
        <v>138821</v>
      </c>
      <c r="F372" s="5">
        <v>0</v>
      </c>
      <c r="G372" s="5">
        <v>152711</v>
      </c>
    </row>
    <row r="373" spans="1:7" x14ac:dyDescent="0.2">
      <c r="A373">
        <v>173</v>
      </c>
      <c r="B373" t="s">
        <v>419</v>
      </c>
      <c r="C373" t="s">
        <v>700</v>
      </c>
      <c r="D373" s="5">
        <v>97546</v>
      </c>
      <c r="E373" s="5">
        <v>184744</v>
      </c>
      <c r="F373" s="5">
        <v>2228</v>
      </c>
      <c r="G373" s="5">
        <v>284518</v>
      </c>
    </row>
    <row r="374" spans="1:7" x14ac:dyDescent="0.2">
      <c r="A374">
        <v>173</v>
      </c>
      <c r="B374" t="s">
        <v>419</v>
      </c>
      <c r="C374" t="s">
        <v>701</v>
      </c>
      <c r="D374" s="5">
        <v>14572</v>
      </c>
      <c r="E374" s="5">
        <v>26525</v>
      </c>
      <c r="F374" s="5">
        <v>0</v>
      </c>
      <c r="G374" s="5">
        <v>41097</v>
      </c>
    </row>
    <row r="375" spans="1:7" x14ac:dyDescent="0.2">
      <c r="A375">
        <v>173</v>
      </c>
      <c r="B375" t="s">
        <v>419</v>
      </c>
      <c r="C375" t="s">
        <v>703</v>
      </c>
      <c r="D375" s="5">
        <v>4116</v>
      </c>
      <c r="E375" s="5">
        <v>14204</v>
      </c>
      <c r="F375" s="5">
        <v>0</v>
      </c>
      <c r="G375" s="5">
        <v>18321</v>
      </c>
    </row>
    <row r="376" spans="1:7" x14ac:dyDescent="0.2">
      <c r="A376">
        <v>173</v>
      </c>
      <c r="B376" t="s">
        <v>419</v>
      </c>
      <c r="C376" t="s">
        <v>704</v>
      </c>
      <c r="D376" s="5">
        <v>7365</v>
      </c>
      <c r="E376" s="5">
        <v>425407</v>
      </c>
      <c r="F376" s="5">
        <v>493</v>
      </c>
      <c r="G376" s="5">
        <v>433265</v>
      </c>
    </row>
    <row r="377" spans="1:7" x14ac:dyDescent="0.2">
      <c r="A377">
        <v>173</v>
      </c>
      <c r="B377" t="s">
        <v>419</v>
      </c>
      <c r="C377" t="s">
        <v>705</v>
      </c>
      <c r="D377" s="5">
        <v>6769</v>
      </c>
      <c r="E377" s="5">
        <v>168414</v>
      </c>
      <c r="F377" s="5">
        <v>4438</v>
      </c>
      <c r="G377" s="5">
        <v>179621</v>
      </c>
    </row>
    <row r="378" spans="1:7" x14ac:dyDescent="0.2">
      <c r="A378">
        <v>173</v>
      </c>
      <c r="B378" t="s">
        <v>419</v>
      </c>
      <c r="C378" t="s">
        <v>707</v>
      </c>
      <c r="D378" s="5">
        <v>0</v>
      </c>
      <c r="E378" s="5">
        <v>1339</v>
      </c>
      <c r="F378" s="5">
        <v>0</v>
      </c>
      <c r="G378" s="5">
        <v>1339</v>
      </c>
    </row>
    <row r="379" spans="1:7" x14ac:dyDescent="0.2">
      <c r="A379">
        <v>173</v>
      </c>
      <c r="B379" t="s">
        <v>419</v>
      </c>
      <c r="C379" t="s">
        <v>708</v>
      </c>
      <c r="D379" s="5">
        <v>2749</v>
      </c>
      <c r="E379" s="5">
        <v>43867</v>
      </c>
      <c r="F379" s="5">
        <v>0</v>
      </c>
      <c r="G379" s="5">
        <v>46616</v>
      </c>
    </row>
    <row r="380" spans="1:7" x14ac:dyDescent="0.2">
      <c r="A380">
        <v>173</v>
      </c>
      <c r="B380" t="s">
        <v>419</v>
      </c>
      <c r="C380" t="s">
        <v>709</v>
      </c>
      <c r="D380" s="5">
        <v>4029</v>
      </c>
      <c r="E380" s="5">
        <v>60485</v>
      </c>
      <c r="F380" s="5">
        <v>97</v>
      </c>
      <c r="G380" s="5">
        <v>64612</v>
      </c>
    </row>
    <row r="381" spans="1:7" x14ac:dyDescent="0.2">
      <c r="A381">
        <v>173</v>
      </c>
      <c r="B381" t="s">
        <v>419</v>
      </c>
      <c r="C381" t="s">
        <v>710</v>
      </c>
      <c r="D381" s="5">
        <v>892</v>
      </c>
      <c r="E381" s="5">
        <v>10489</v>
      </c>
      <c r="F381" s="5">
        <v>0</v>
      </c>
      <c r="G381" s="5">
        <v>11380</v>
      </c>
    </row>
    <row r="382" spans="1:7" x14ac:dyDescent="0.2">
      <c r="A382">
        <v>173</v>
      </c>
      <c r="B382" t="s">
        <v>419</v>
      </c>
      <c r="C382" t="s">
        <v>712</v>
      </c>
      <c r="D382" s="5">
        <v>10540</v>
      </c>
      <c r="E382" s="5">
        <v>181366</v>
      </c>
      <c r="F382" s="5">
        <v>0</v>
      </c>
      <c r="G382" s="5">
        <v>191906</v>
      </c>
    </row>
    <row r="383" spans="1:7" x14ac:dyDescent="0.2">
      <c r="A383">
        <v>175</v>
      </c>
      <c r="B383" t="s">
        <v>423</v>
      </c>
      <c r="C383" t="s">
        <v>700</v>
      </c>
      <c r="D383" s="5">
        <v>610654</v>
      </c>
      <c r="E383" s="5">
        <v>345697</v>
      </c>
      <c r="F383" s="5">
        <v>17951</v>
      </c>
      <c r="G383" s="5">
        <v>974301</v>
      </c>
    </row>
    <row r="384" spans="1:7" x14ac:dyDescent="0.2">
      <c r="A384">
        <v>175</v>
      </c>
      <c r="B384" t="s">
        <v>423</v>
      </c>
      <c r="C384" t="s">
        <v>701</v>
      </c>
      <c r="D384" s="5">
        <v>15677</v>
      </c>
      <c r="E384" s="5">
        <v>23348</v>
      </c>
      <c r="F384" s="5">
        <v>1608</v>
      </c>
      <c r="G384" s="5">
        <v>40633</v>
      </c>
    </row>
    <row r="385" spans="1:7" x14ac:dyDescent="0.2">
      <c r="A385">
        <v>175</v>
      </c>
      <c r="B385" t="s">
        <v>423</v>
      </c>
      <c r="C385" t="s">
        <v>703</v>
      </c>
      <c r="D385" s="5">
        <v>1885</v>
      </c>
      <c r="E385" s="5">
        <v>4116</v>
      </c>
      <c r="F385" s="5">
        <v>0</v>
      </c>
      <c r="G385" s="5">
        <v>6000</v>
      </c>
    </row>
    <row r="386" spans="1:7" x14ac:dyDescent="0.2">
      <c r="A386">
        <v>175</v>
      </c>
      <c r="B386" t="s">
        <v>423</v>
      </c>
      <c r="C386" t="s">
        <v>704</v>
      </c>
      <c r="D386" s="5">
        <v>24175</v>
      </c>
      <c r="E386" s="5">
        <v>109996</v>
      </c>
      <c r="F386" s="5">
        <v>18186</v>
      </c>
      <c r="G386" s="5">
        <v>152356</v>
      </c>
    </row>
    <row r="387" spans="1:7" x14ac:dyDescent="0.2">
      <c r="A387">
        <v>175</v>
      </c>
      <c r="B387" t="s">
        <v>423</v>
      </c>
      <c r="C387" t="s">
        <v>705</v>
      </c>
      <c r="D387" s="5">
        <v>1939</v>
      </c>
      <c r="E387" s="5">
        <v>20464</v>
      </c>
      <c r="F387" s="5">
        <v>387</v>
      </c>
      <c r="G387" s="5">
        <v>22790</v>
      </c>
    </row>
    <row r="388" spans="1:7" x14ac:dyDescent="0.2">
      <c r="A388">
        <v>175</v>
      </c>
      <c r="B388" t="s">
        <v>423</v>
      </c>
      <c r="C388" t="s">
        <v>707</v>
      </c>
      <c r="D388" s="5">
        <v>5668</v>
      </c>
      <c r="E388" s="5">
        <v>5912</v>
      </c>
      <c r="F388" s="5">
        <v>1011</v>
      </c>
      <c r="G388" s="5">
        <v>12590</v>
      </c>
    </row>
    <row r="389" spans="1:7" x14ac:dyDescent="0.2">
      <c r="A389">
        <v>175</v>
      </c>
      <c r="B389" t="s">
        <v>423</v>
      </c>
      <c r="C389" t="s">
        <v>708</v>
      </c>
      <c r="D389" s="5">
        <v>3971</v>
      </c>
      <c r="E389" s="5">
        <v>33874</v>
      </c>
      <c r="F389" s="5">
        <v>0</v>
      </c>
      <c r="G389" s="5">
        <v>37845</v>
      </c>
    </row>
    <row r="390" spans="1:7" x14ac:dyDescent="0.2">
      <c r="A390">
        <v>175</v>
      </c>
      <c r="B390" t="s">
        <v>423</v>
      </c>
      <c r="C390" t="s">
        <v>709</v>
      </c>
      <c r="D390" s="5">
        <v>10516</v>
      </c>
      <c r="E390" s="5">
        <v>20101</v>
      </c>
      <c r="F390" s="5">
        <v>2098</v>
      </c>
      <c r="G390" s="5">
        <v>32715</v>
      </c>
    </row>
    <row r="391" spans="1:7" x14ac:dyDescent="0.2">
      <c r="A391">
        <v>175</v>
      </c>
      <c r="B391" t="s">
        <v>423</v>
      </c>
      <c r="C391" t="s">
        <v>710</v>
      </c>
      <c r="D391" s="5">
        <v>724</v>
      </c>
      <c r="E391" s="5">
        <v>8822</v>
      </c>
      <c r="F391" s="5">
        <v>0</v>
      </c>
      <c r="G391" s="5">
        <v>9546</v>
      </c>
    </row>
    <row r="392" spans="1:7" x14ac:dyDescent="0.2">
      <c r="A392">
        <v>175</v>
      </c>
      <c r="B392" t="s">
        <v>423</v>
      </c>
      <c r="C392" t="s">
        <v>712</v>
      </c>
      <c r="D392" s="5">
        <v>13400</v>
      </c>
      <c r="E392" s="5">
        <v>56975</v>
      </c>
      <c r="F392" s="5">
        <v>8466</v>
      </c>
      <c r="G392" s="5">
        <v>78841</v>
      </c>
    </row>
    <row r="393" spans="1:7" x14ac:dyDescent="0.2">
      <c r="A393">
        <v>177</v>
      </c>
      <c r="B393" t="s">
        <v>459</v>
      </c>
      <c r="C393" t="s">
        <v>700</v>
      </c>
      <c r="D393" s="5">
        <v>974548</v>
      </c>
      <c r="E393" s="5">
        <v>713897</v>
      </c>
      <c r="F393" s="5">
        <v>21220</v>
      </c>
      <c r="G393" s="5">
        <v>1709665</v>
      </c>
    </row>
    <row r="394" spans="1:7" x14ac:dyDescent="0.2">
      <c r="A394">
        <v>177</v>
      </c>
      <c r="B394" t="s">
        <v>459</v>
      </c>
      <c r="C394" t="s">
        <v>701</v>
      </c>
      <c r="D394" s="5">
        <v>15044</v>
      </c>
      <c r="E394" s="5">
        <v>27615</v>
      </c>
      <c r="F394" s="5">
        <v>0</v>
      </c>
      <c r="G394" s="5">
        <v>42659</v>
      </c>
    </row>
    <row r="395" spans="1:7" x14ac:dyDescent="0.2">
      <c r="A395">
        <v>177</v>
      </c>
      <c r="B395" t="s">
        <v>459</v>
      </c>
      <c r="C395" t="s">
        <v>703</v>
      </c>
      <c r="D395" s="5">
        <v>6254</v>
      </c>
      <c r="E395" s="5">
        <v>14340</v>
      </c>
      <c r="F395" s="5">
        <v>0</v>
      </c>
      <c r="G395" s="5">
        <v>20594</v>
      </c>
    </row>
    <row r="396" spans="1:7" x14ac:dyDescent="0.2">
      <c r="A396">
        <v>177</v>
      </c>
      <c r="B396" t="s">
        <v>459</v>
      </c>
      <c r="C396" t="s">
        <v>704</v>
      </c>
      <c r="D396" s="5">
        <v>56155</v>
      </c>
      <c r="E396" s="5">
        <v>303480</v>
      </c>
      <c r="F396" s="5">
        <v>7472</v>
      </c>
      <c r="G396" s="5">
        <v>367107</v>
      </c>
    </row>
    <row r="397" spans="1:7" x14ac:dyDescent="0.2">
      <c r="A397">
        <v>177</v>
      </c>
      <c r="B397" t="s">
        <v>459</v>
      </c>
      <c r="C397" t="s">
        <v>705</v>
      </c>
      <c r="D397" s="5">
        <v>10670</v>
      </c>
      <c r="E397" s="5">
        <v>92184</v>
      </c>
      <c r="F397" s="5">
        <v>3192</v>
      </c>
      <c r="G397" s="5">
        <v>106046</v>
      </c>
    </row>
    <row r="398" spans="1:7" x14ac:dyDescent="0.2">
      <c r="A398">
        <v>177</v>
      </c>
      <c r="B398" t="s">
        <v>459</v>
      </c>
      <c r="C398" t="s">
        <v>707</v>
      </c>
      <c r="D398" s="5">
        <v>669</v>
      </c>
      <c r="E398" s="5">
        <v>794</v>
      </c>
      <c r="F398" s="5">
        <v>0</v>
      </c>
      <c r="G398" s="5">
        <v>1464</v>
      </c>
    </row>
    <row r="399" spans="1:7" x14ac:dyDescent="0.2">
      <c r="A399">
        <v>177</v>
      </c>
      <c r="B399" t="s">
        <v>459</v>
      </c>
      <c r="C399" t="s">
        <v>708</v>
      </c>
      <c r="D399" s="5">
        <v>4931</v>
      </c>
      <c r="E399" s="5">
        <v>35221</v>
      </c>
      <c r="F399" s="5">
        <v>0</v>
      </c>
      <c r="G399" s="5">
        <v>40153</v>
      </c>
    </row>
    <row r="400" spans="1:7" x14ac:dyDescent="0.2">
      <c r="A400">
        <v>177</v>
      </c>
      <c r="B400" t="s">
        <v>459</v>
      </c>
      <c r="C400" t="s">
        <v>709</v>
      </c>
      <c r="D400" s="5">
        <v>5360</v>
      </c>
      <c r="E400" s="5">
        <v>17368</v>
      </c>
      <c r="F400" s="5">
        <v>1151</v>
      </c>
      <c r="G400" s="5">
        <v>23879</v>
      </c>
    </row>
    <row r="401" spans="1:7" x14ac:dyDescent="0.2">
      <c r="A401">
        <v>177</v>
      </c>
      <c r="B401" t="s">
        <v>459</v>
      </c>
      <c r="C401" t="s">
        <v>710</v>
      </c>
      <c r="D401" s="5">
        <v>8789</v>
      </c>
      <c r="E401" s="5">
        <v>36568</v>
      </c>
      <c r="F401" s="5">
        <v>0</v>
      </c>
      <c r="G401" s="5">
        <v>45357</v>
      </c>
    </row>
    <row r="402" spans="1:7" x14ac:dyDescent="0.2">
      <c r="A402">
        <v>177</v>
      </c>
      <c r="B402" t="s">
        <v>459</v>
      </c>
      <c r="C402" t="s">
        <v>712</v>
      </c>
      <c r="D402" s="5">
        <v>9145</v>
      </c>
      <c r="E402" s="5">
        <v>92356</v>
      </c>
      <c r="F402" s="5">
        <v>0</v>
      </c>
      <c r="G402" s="5">
        <v>101501</v>
      </c>
    </row>
    <row r="403" spans="1:7" x14ac:dyDescent="0.2">
      <c r="A403">
        <v>180</v>
      </c>
      <c r="B403" t="s">
        <v>523</v>
      </c>
      <c r="C403" t="s">
        <v>700</v>
      </c>
      <c r="D403" s="5">
        <v>415300</v>
      </c>
      <c r="E403" s="5">
        <v>193243</v>
      </c>
      <c r="F403" s="5">
        <v>11535</v>
      </c>
      <c r="G403" s="5">
        <v>620078</v>
      </c>
    </row>
    <row r="404" spans="1:7" x14ac:dyDescent="0.2">
      <c r="A404">
        <v>180</v>
      </c>
      <c r="B404" t="s">
        <v>523</v>
      </c>
      <c r="C404" t="s">
        <v>701</v>
      </c>
      <c r="D404" s="5">
        <v>10652</v>
      </c>
      <c r="E404" s="5">
        <v>8100</v>
      </c>
      <c r="F404" s="5">
        <v>0</v>
      </c>
      <c r="G404" s="5">
        <v>18752</v>
      </c>
    </row>
    <row r="405" spans="1:7" x14ac:dyDescent="0.2">
      <c r="A405">
        <v>180</v>
      </c>
      <c r="B405" t="s">
        <v>523</v>
      </c>
      <c r="C405" t="s">
        <v>703</v>
      </c>
      <c r="D405" s="5">
        <v>1338</v>
      </c>
      <c r="E405" s="5">
        <v>538</v>
      </c>
      <c r="F405" s="5">
        <v>0</v>
      </c>
      <c r="G405" s="5">
        <v>1876</v>
      </c>
    </row>
    <row r="406" spans="1:7" x14ac:dyDescent="0.2">
      <c r="A406">
        <v>180</v>
      </c>
      <c r="B406" t="s">
        <v>523</v>
      </c>
      <c r="C406" t="s">
        <v>704</v>
      </c>
      <c r="D406" s="5">
        <v>79521</v>
      </c>
      <c r="E406" s="5">
        <v>277485</v>
      </c>
      <c r="F406" s="5">
        <v>8555</v>
      </c>
      <c r="G406" s="5">
        <v>365561</v>
      </c>
    </row>
    <row r="407" spans="1:7" x14ac:dyDescent="0.2">
      <c r="A407">
        <v>180</v>
      </c>
      <c r="B407" t="s">
        <v>523</v>
      </c>
      <c r="C407" t="s">
        <v>705</v>
      </c>
      <c r="D407" s="5">
        <v>4083</v>
      </c>
      <c r="E407" s="5">
        <v>49333</v>
      </c>
      <c r="F407" s="5">
        <v>142</v>
      </c>
      <c r="G407" s="5">
        <v>53558</v>
      </c>
    </row>
    <row r="408" spans="1:7" x14ac:dyDescent="0.2">
      <c r="A408">
        <v>180</v>
      </c>
      <c r="B408" t="s">
        <v>523</v>
      </c>
      <c r="C408" t="s">
        <v>707</v>
      </c>
      <c r="D408" s="5">
        <v>15205</v>
      </c>
      <c r="E408" s="5">
        <v>6347</v>
      </c>
      <c r="F408" s="5">
        <v>198</v>
      </c>
      <c r="G408" s="5">
        <v>21749</v>
      </c>
    </row>
    <row r="409" spans="1:7" x14ac:dyDescent="0.2">
      <c r="A409">
        <v>180</v>
      </c>
      <c r="B409" t="s">
        <v>523</v>
      </c>
      <c r="C409" t="s">
        <v>708</v>
      </c>
      <c r="D409" s="5">
        <v>1887</v>
      </c>
      <c r="E409" s="5">
        <v>14744</v>
      </c>
      <c r="F409" s="5">
        <v>0</v>
      </c>
      <c r="G409" s="5">
        <v>16631</v>
      </c>
    </row>
    <row r="410" spans="1:7" x14ac:dyDescent="0.2">
      <c r="A410">
        <v>180</v>
      </c>
      <c r="B410" t="s">
        <v>523</v>
      </c>
      <c r="C410" t="s">
        <v>709</v>
      </c>
      <c r="D410" s="5">
        <v>1975</v>
      </c>
      <c r="E410" s="5">
        <v>19827</v>
      </c>
      <c r="F410" s="5">
        <v>7</v>
      </c>
      <c r="G410" s="5">
        <v>21809</v>
      </c>
    </row>
    <row r="411" spans="1:7" x14ac:dyDescent="0.2">
      <c r="A411">
        <v>180</v>
      </c>
      <c r="B411" t="s">
        <v>523</v>
      </c>
      <c r="C411" t="s">
        <v>710</v>
      </c>
      <c r="D411" s="5">
        <v>617</v>
      </c>
      <c r="E411" s="5">
        <v>10286</v>
      </c>
      <c r="F411" s="5">
        <v>0</v>
      </c>
      <c r="G411" s="5">
        <v>10903</v>
      </c>
    </row>
    <row r="412" spans="1:7" x14ac:dyDescent="0.2">
      <c r="A412">
        <v>180</v>
      </c>
      <c r="B412" t="s">
        <v>523</v>
      </c>
      <c r="C412" t="s">
        <v>712</v>
      </c>
      <c r="D412" s="5">
        <v>16272</v>
      </c>
      <c r="E412" s="5">
        <v>37710</v>
      </c>
      <c r="F412" s="5">
        <v>0</v>
      </c>
      <c r="G412" s="5">
        <v>53982</v>
      </c>
    </row>
    <row r="413" spans="1:7" x14ac:dyDescent="0.2">
      <c r="A413">
        <v>183</v>
      </c>
      <c r="B413" t="s">
        <v>551</v>
      </c>
      <c r="C413" t="s">
        <v>700</v>
      </c>
      <c r="D413" s="5">
        <v>1019549</v>
      </c>
      <c r="E413" s="5">
        <v>437384</v>
      </c>
      <c r="F413" s="5">
        <v>31385</v>
      </c>
      <c r="G413" s="5">
        <v>1488318</v>
      </c>
    </row>
    <row r="414" spans="1:7" x14ac:dyDescent="0.2">
      <c r="A414">
        <v>183</v>
      </c>
      <c r="B414" t="s">
        <v>551</v>
      </c>
      <c r="C414" t="s">
        <v>701</v>
      </c>
      <c r="D414" s="5">
        <v>14617</v>
      </c>
      <c r="E414" s="5">
        <v>19034</v>
      </c>
      <c r="F414" s="5">
        <v>0</v>
      </c>
      <c r="G414" s="5">
        <v>33651</v>
      </c>
    </row>
    <row r="415" spans="1:7" x14ac:dyDescent="0.2">
      <c r="A415">
        <v>183</v>
      </c>
      <c r="B415" t="s">
        <v>551</v>
      </c>
      <c r="C415" t="s">
        <v>703</v>
      </c>
      <c r="D415" s="5">
        <v>1271</v>
      </c>
      <c r="E415" s="5">
        <v>2180</v>
      </c>
      <c r="F415" s="5">
        <v>0</v>
      </c>
      <c r="G415" s="5">
        <v>3451</v>
      </c>
    </row>
    <row r="416" spans="1:7" x14ac:dyDescent="0.2">
      <c r="A416">
        <v>183</v>
      </c>
      <c r="B416" t="s">
        <v>551</v>
      </c>
      <c r="C416" t="s">
        <v>704</v>
      </c>
      <c r="D416" s="5">
        <v>30972</v>
      </c>
      <c r="E416" s="5">
        <v>188349</v>
      </c>
      <c r="F416" s="5">
        <v>1143</v>
      </c>
      <c r="G416" s="5">
        <v>220465</v>
      </c>
    </row>
    <row r="417" spans="1:7" x14ac:dyDescent="0.2">
      <c r="A417">
        <v>183</v>
      </c>
      <c r="B417" t="s">
        <v>551</v>
      </c>
      <c r="C417" t="s">
        <v>705</v>
      </c>
      <c r="D417" s="5">
        <v>4150</v>
      </c>
      <c r="E417" s="5">
        <v>34852</v>
      </c>
      <c r="F417" s="5">
        <v>601</v>
      </c>
      <c r="G417" s="5">
        <v>39603</v>
      </c>
    </row>
    <row r="418" spans="1:7" x14ac:dyDescent="0.2">
      <c r="A418">
        <v>183</v>
      </c>
      <c r="B418" t="s">
        <v>551</v>
      </c>
      <c r="C418" t="s">
        <v>707</v>
      </c>
      <c r="D418" s="5">
        <v>6619</v>
      </c>
      <c r="E418" s="5">
        <v>4165</v>
      </c>
      <c r="F418" s="5">
        <v>305</v>
      </c>
      <c r="G418" s="5">
        <v>11088</v>
      </c>
    </row>
    <row r="419" spans="1:7" x14ac:dyDescent="0.2">
      <c r="A419">
        <v>183</v>
      </c>
      <c r="B419" t="s">
        <v>551</v>
      </c>
      <c r="C419" t="s">
        <v>708</v>
      </c>
      <c r="D419" s="5">
        <v>5041</v>
      </c>
      <c r="E419" s="5">
        <v>13910</v>
      </c>
      <c r="F419" s="5">
        <v>0</v>
      </c>
      <c r="G419" s="5">
        <v>18951</v>
      </c>
    </row>
    <row r="420" spans="1:7" x14ac:dyDescent="0.2">
      <c r="A420">
        <v>183</v>
      </c>
      <c r="B420" t="s">
        <v>551</v>
      </c>
      <c r="C420" t="s">
        <v>709</v>
      </c>
      <c r="D420" s="5">
        <v>3221</v>
      </c>
      <c r="E420" s="5">
        <v>18564</v>
      </c>
      <c r="F420" s="5">
        <v>33</v>
      </c>
      <c r="G420" s="5">
        <v>21819</v>
      </c>
    </row>
    <row r="421" spans="1:7" x14ac:dyDescent="0.2">
      <c r="A421">
        <v>183</v>
      </c>
      <c r="B421" t="s">
        <v>551</v>
      </c>
      <c r="C421" t="s">
        <v>710</v>
      </c>
      <c r="D421" s="5">
        <v>1616</v>
      </c>
      <c r="E421" s="5">
        <v>7935</v>
      </c>
      <c r="F421" s="5">
        <v>0</v>
      </c>
      <c r="G421" s="5">
        <v>9551</v>
      </c>
    </row>
    <row r="422" spans="1:7" x14ac:dyDescent="0.2">
      <c r="A422">
        <v>183</v>
      </c>
      <c r="B422" t="s">
        <v>551</v>
      </c>
      <c r="C422" t="s">
        <v>712</v>
      </c>
      <c r="D422" s="5">
        <v>10451</v>
      </c>
      <c r="E422" s="5">
        <v>109236</v>
      </c>
      <c r="F422" s="5">
        <v>322</v>
      </c>
      <c r="G422" s="5">
        <v>120009</v>
      </c>
    </row>
    <row r="423" spans="1:7" x14ac:dyDescent="0.2">
      <c r="A423">
        <v>184</v>
      </c>
      <c r="B423" t="s">
        <v>563</v>
      </c>
      <c r="C423" t="s">
        <v>700</v>
      </c>
      <c r="D423" s="5">
        <v>36489</v>
      </c>
      <c r="E423" s="5">
        <v>34719</v>
      </c>
      <c r="F423" s="5">
        <v>1454</v>
      </c>
      <c r="G423" s="5">
        <v>72662</v>
      </c>
    </row>
    <row r="424" spans="1:7" x14ac:dyDescent="0.2">
      <c r="A424">
        <v>184</v>
      </c>
      <c r="B424" t="s">
        <v>563</v>
      </c>
      <c r="C424" t="s">
        <v>701</v>
      </c>
      <c r="D424" s="5">
        <v>12366</v>
      </c>
      <c r="E424" s="5">
        <v>23215</v>
      </c>
      <c r="F424" s="5">
        <v>0</v>
      </c>
      <c r="G424" s="5">
        <v>35582</v>
      </c>
    </row>
    <row r="425" spans="1:7" x14ac:dyDescent="0.2">
      <c r="A425">
        <v>184</v>
      </c>
      <c r="B425" t="s">
        <v>563</v>
      </c>
      <c r="C425" t="s">
        <v>703</v>
      </c>
      <c r="D425" s="5">
        <v>666</v>
      </c>
      <c r="E425" s="5">
        <v>3546</v>
      </c>
      <c r="F425" s="5">
        <v>0</v>
      </c>
      <c r="G425" s="5">
        <v>4212</v>
      </c>
    </row>
    <row r="426" spans="1:7" x14ac:dyDescent="0.2">
      <c r="A426">
        <v>184</v>
      </c>
      <c r="B426" t="s">
        <v>563</v>
      </c>
      <c r="C426" t="s">
        <v>704</v>
      </c>
      <c r="D426" s="5">
        <v>19566</v>
      </c>
      <c r="E426" s="5">
        <v>279890</v>
      </c>
      <c r="F426" s="5">
        <v>16738</v>
      </c>
      <c r="G426" s="5">
        <v>316194</v>
      </c>
    </row>
    <row r="427" spans="1:7" x14ac:dyDescent="0.2">
      <c r="A427">
        <v>184</v>
      </c>
      <c r="B427" t="s">
        <v>563</v>
      </c>
      <c r="C427" t="s">
        <v>705</v>
      </c>
      <c r="D427" s="5">
        <v>3693</v>
      </c>
      <c r="E427" s="5">
        <v>20182</v>
      </c>
      <c r="F427" s="5">
        <v>0</v>
      </c>
      <c r="G427" s="5">
        <v>23875</v>
      </c>
    </row>
    <row r="428" spans="1:7" x14ac:dyDescent="0.2">
      <c r="A428">
        <v>184</v>
      </c>
      <c r="B428" t="s">
        <v>563</v>
      </c>
      <c r="C428" t="s">
        <v>707</v>
      </c>
      <c r="D428" s="5">
        <v>601</v>
      </c>
      <c r="E428" s="5">
        <v>474</v>
      </c>
      <c r="F428" s="5">
        <v>0</v>
      </c>
      <c r="G428" s="5">
        <v>1075</v>
      </c>
    </row>
    <row r="429" spans="1:7" x14ac:dyDescent="0.2">
      <c r="A429">
        <v>184</v>
      </c>
      <c r="B429" t="s">
        <v>563</v>
      </c>
      <c r="C429" t="s">
        <v>708</v>
      </c>
      <c r="D429" s="5">
        <v>2317</v>
      </c>
      <c r="E429" s="5">
        <v>21261</v>
      </c>
      <c r="F429" s="5">
        <v>0</v>
      </c>
      <c r="G429" s="5">
        <v>23578</v>
      </c>
    </row>
    <row r="430" spans="1:7" x14ac:dyDescent="0.2">
      <c r="A430">
        <v>184</v>
      </c>
      <c r="B430" t="s">
        <v>563</v>
      </c>
      <c r="C430" t="s">
        <v>709</v>
      </c>
      <c r="D430" s="5">
        <v>942</v>
      </c>
      <c r="E430" s="5">
        <v>9735</v>
      </c>
      <c r="F430" s="5">
        <v>89</v>
      </c>
      <c r="G430" s="5">
        <v>10766</v>
      </c>
    </row>
    <row r="431" spans="1:7" x14ac:dyDescent="0.2">
      <c r="A431">
        <v>184</v>
      </c>
      <c r="B431" t="s">
        <v>563</v>
      </c>
      <c r="C431" t="s">
        <v>710</v>
      </c>
      <c r="D431" s="5">
        <v>240</v>
      </c>
      <c r="E431" s="5">
        <v>4311</v>
      </c>
      <c r="F431" s="5">
        <v>0</v>
      </c>
      <c r="G431" s="5">
        <v>4551</v>
      </c>
    </row>
    <row r="432" spans="1:7" x14ac:dyDescent="0.2">
      <c r="A432">
        <v>184</v>
      </c>
      <c r="B432" t="s">
        <v>563</v>
      </c>
      <c r="C432" t="s">
        <v>712</v>
      </c>
      <c r="D432" s="5">
        <v>7852</v>
      </c>
      <c r="E432" s="5">
        <v>23859</v>
      </c>
      <c r="F432" s="5">
        <v>2151</v>
      </c>
      <c r="G432" s="5">
        <v>33863</v>
      </c>
    </row>
    <row r="433" spans="1:7" x14ac:dyDescent="0.2">
      <c r="A433">
        <v>189</v>
      </c>
      <c r="B433" t="s">
        <v>639</v>
      </c>
      <c r="C433" t="s">
        <v>700</v>
      </c>
      <c r="D433" s="5">
        <v>475413</v>
      </c>
      <c r="E433" s="5">
        <v>305049</v>
      </c>
      <c r="F433" s="5">
        <v>21795</v>
      </c>
      <c r="G433" s="5">
        <v>802257</v>
      </c>
    </row>
    <row r="434" spans="1:7" x14ac:dyDescent="0.2">
      <c r="A434">
        <v>189</v>
      </c>
      <c r="B434" t="s">
        <v>639</v>
      </c>
      <c r="C434" t="s">
        <v>701</v>
      </c>
      <c r="D434" s="5">
        <v>10170</v>
      </c>
      <c r="E434" s="5">
        <v>10347</v>
      </c>
      <c r="F434" s="5">
        <v>696</v>
      </c>
      <c r="G434" s="5">
        <v>21214</v>
      </c>
    </row>
    <row r="435" spans="1:7" x14ac:dyDescent="0.2">
      <c r="A435">
        <v>189</v>
      </c>
      <c r="B435" t="s">
        <v>639</v>
      </c>
      <c r="C435" t="s">
        <v>703</v>
      </c>
      <c r="D435" s="5">
        <v>1042</v>
      </c>
      <c r="E435" s="5">
        <v>5745</v>
      </c>
      <c r="F435" s="5">
        <v>0</v>
      </c>
      <c r="G435" s="5">
        <v>6787</v>
      </c>
    </row>
    <row r="436" spans="1:7" x14ac:dyDescent="0.2">
      <c r="A436">
        <v>189</v>
      </c>
      <c r="B436" t="s">
        <v>639</v>
      </c>
      <c r="C436" t="s">
        <v>704</v>
      </c>
      <c r="D436" s="5">
        <v>9379</v>
      </c>
      <c r="E436" s="5">
        <v>253127</v>
      </c>
      <c r="F436" s="5">
        <v>7591</v>
      </c>
      <c r="G436" s="5">
        <v>270097</v>
      </c>
    </row>
    <row r="437" spans="1:7" x14ac:dyDescent="0.2">
      <c r="A437">
        <v>189</v>
      </c>
      <c r="B437" t="s">
        <v>639</v>
      </c>
      <c r="C437" t="s">
        <v>705</v>
      </c>
      <c r="D437" s="5">
        <v>11442</v>
      </c>
      <c r="E437" s="5">
        <v>19729</v>
      </c>
      <c r="F437" s="5">
        <v>5283</v>
      </c>
      <c r="G437" s="5">
        <v>36455</v>
      </c>
    </row>
    <row r="438" spans="1:7" x14ac:dyDescent="0.2">
      <c r="A438">
        <v>189</v>
      </c>
      <c r="B438" t="s">
        <v>639</v>
      </c>
      <c r="C438" t="s">
        <v>707</v>
      </c>
      <c r="D438" s="5">
        <v>13992</v>
      </c>
      <c r="E438" s="5">
        <v>1260</v>
      </c>
      <c r="F438" s="5">
        <v>299</v>
      </c>
      <c r="G438" s="5">
        <v>15551</v>
      </c>
    </row>
    <row r="439" spans="1:7" x14ac:dyDescent="0.2">
      <c r="A439">
        <v>189</v>
      </c>
      <c r="B439" t="s">
        <v>639</v>
      </c>
      <c r="C439" t="s">
        <v>708</v>
      </c>
      <c r="D439" s="5">
        <v>4191</v>
      </c>
      <c r="E439" s="5">
        <v>18209</v>
      </c>
      <c r="F439" s="5">
        <v>0</v>
      </c>
      <c r="G439" s="5">
        <v>22400</v>
      </c>
    </row>
    <row r="440" spans="1:7" x14ac:dyDescent="0.2">
      <c r="A440">
        <v>189</v>
      </c>
      <c r="B440" t="s">
        <v>639</v>
      </c>
      <c r="C440" t="s">
        <v>709</v>
      </c>
      <c r="D440" s="5">
        <v>9862</v>
      </c>
      <c r="E440" s="5">
        <v>25478</v>
      </c>
      <c r="F440" s="5">
        <v>642</v>
      </c>
      <c r="G440" s="5">
        <v>35981</v>
      </c>
    </row>
    <row r="441" spans="1:7" x14ac:dyDescent="0.2">
      <c r="A441">
        <v>189</v>
      </c>
      <c r="B441" t="s">
        <v>639</v>
      </c>
      <c r="C441" t="s">
        <v>710</v>
      </c>
      <c r="D441" s="5">
        <v>1373</v>
      </c>
      <c r="E441" s="5">
        <v>33034</v>
      </c>
      <c r="F441" s="5">
        <v>37</v>
      </c>
      <c r="G441" s="5">
        <v>34445</v>
      </c>
    </row>
    <row r="442" spans="1:7" x14ac:dyDescent="0.2">
      <c r="A442">
        <v>189</v>
      </c>
      <c r="B442" t="s">
        <v>639</v>
      </c>
      <c r="C442" t="s">
        <v>711</v>
      </c>
      <c r="D442" s="5">
        <v>0</v>
      </c>
      <c r="E442" s="5">
        <v>34</v>
      </c>
      <c r="F442" s="5">
        <v>0</v>
      </c>
      <c r="G442" s="5">
        <v>34</v>
      </c>
    </row>
    <row r="443" spans="1:7" x14ac:dyDescent="0.2">
      <c r="A443">
        <v>189</v>
      </c>
      <c r="B443" t="s">
        <v>639</v>
      </c>
      <c r="C443" t="s">
        <v>712</v>
      </c>
      <c r="D443" s="5">
        <v>10156</v>
      </c>
      <c r="E443" s="5">
        <v>42261</v>
      </c>
      <c r="F443" s="5">
        <v>0</v>
      </c>
      <c r="G443" s="5">
        <v>52417</v>
      </c>
    </row>
    <row r="444" spans="1:7" x14ac:dyDescent="0.2">
      <c r="A444">
        <v>193</v>
      </c>
      <c r="B444" t="s">
        <v>685</v>
      </c>
      <c r="C444" t="s">
        <v>700</v>
      </c>
      <c r="D444" s="5">
        <v>327429</v>
      </c>
      <c r="E444" s="5">
        <v>545596</v>
      </c>
      <c r="F444" s="5">
        <v>15585</v>
      </c>
      <c r="G444" s="5">
        <v>888611</v>
      </c>
    </row>
    <row r="445" spans="1:7" x14ac:dyDescent="0.2">
      <c r="A445">
        <v>193</v>
      </c>
      <c r="B445" t="s">
        <v>685</v>
      </c>
      <c r="C445" t="s">
        <v>701</v>
      </c>
      <c r="D445" s="5">
        <v>31655</v>
      </c>
      <c r="E445" s="5">
        <v>123376</v>
      </c>
      <c r="F445" s="5">
        <v>1796</v>
      </c>
      <c r="G445" s="5">
        <v>156826</v>
      </c>
    </row>
    <row r="446" spans="1:7" x14ac:dyDescent="0.2">
      <c r="A446">
        <v>193</v>
      </c>
      <c r="B446" t="s">
        <v>685</v>
      </c>
      <c r="C446" t="s">
        <v>702</v>
      </c>
      <c r="D446" s="5">
        <v>0</v>
      </c>
      <c r="E446" s="5">
        <v>8245</v>
      </c>
      <c r="F446" s="5">
        <v>0</v>
      </c>
      <c r="G446" s="5">
        <v>8245</v>
      </c>
    </row>
    <row r="447" spans="1:7" x14ac:dyDescent="0.2">
      <c r="A447">
        <v>193</v>
      </c>
      <c r="B447" t="s">
        <v>685</v>
      </c>
      <c r="C447" t="s">
        <v>703</v>
      </c>
      <c r="D447" s="5">
        <v>7616</v>
      </c>
      <c r="E447" s="5">
        <v>64411</v>
      </c>
      <c r="F447" s="5">
        <v>0</v>
      </c>
      <c r="G447" s="5">
        <v>72027</v>
      </c>
    </row>
    <row r="448" spans="1:7" x14ac:dyDescent="0.2">
      <c r="A448">
        <v>193</v>
      </c>
      <c r="B448" t="s">
        <v>685</v>
      </c>
      <c r="C448" t="s">
        <v>704</v>
      </c>
      <c r="D448" s="5">
        <v>20188</v>
      </c>
      <c r="E448" s="5">
        <v>430167</v>
      </c>
      <c r="F448" s="5">
        <v>23664</v>
      </c>
      <c r="G448" s="5">
        <v>474019</v>
      </c>
    </row>
    <row r="449" spans="1:7" x14ac:dyDescent="0.2">
      <c r="A449">
        <v>193</v>
      </c>
      <c r="B449" t="s">
        <v>685</v>
      </c>
      <c r="C449" t="s">
        <v>705</v>
      </c>
      <c r="D449" s="5">
        <v>26409</v>
      </c>
      <c r="E449" s="5">
        <v>418914</v>
      </c>
      <c r="F449" s="5">
        <v>8916</v>
      </c>
      <c r="G449" s="5">
        <v>454238</v>
      </c>
    </row>
    <row r="450" spans="1:7" x14ac:dyDescent="0.2">
      <c r="A450">
        <v>193</v>
      </c>
      <c r="B450" t="s">
        <v>685</v>
      </c>
      <c r="C450" t="s">
        <v>707</v>
      </c>
      <c r="D450" s="5">
        <v>1609</v>
      </c>
      <c r="E450" s="5">
        <v>21133</v>
      </c>
      <c r="F450" s="5">
        <v>0</v>
      </c>
      <c r="G450" s="5">
        <v>22741</v>
      </c>
    </row>
    <row r="451" spans="1:7" x14ac:dyDescent="0.2">
      <c r="A451">
        <v>193</v>
      </c>
      <c r="B451" t="s">
        <v>685</v>
      </c>
      <c r="C451" t="s">
        <v>708</v>
      </c>
      <c r="D451" s="5">
        <v>16776</v>
      </c>
      <c r="E451" s="5">
        <v>241412</v>
      </c>
      <c r="F451" s="5">
        <v>0</v>
      </c>
      <c r="G451" s="5">
        <v>258188</v>
      </c>
    </row>
    <row r="452" spans="1:7" x14ac:dyDescent="0.2">
      <c r="A452">
        <v>193</v>
      </c>
      <c r="B452" t="s">
        <v>685</v>
      </c>
      <c r="C452" t="s">
        <v>709</v>
      </c>
      <c r="D452" s="5">
        <v>29748</v>
      </c>
      <c r="E452" s="5">
        <v>632378</v>
      </c>
      <c r="F452" s="5">
        <v>1590</v>
      </c>
      <c r="G452" s="5">
        <v>663715</v>
      </c>
    </row>
    <row r="453" spans="1:7" x14ac:dyDescent="0.2">
      <c r="A453">
        <v>193</v>
      </c>
      <c r="B453" t="s">
        <v>685</v>
      </c>
      <c r="C453" t="s">
        <v>710</v>
      </c>
      <c r="D453" s="5">
        <v>2878</v>
      </c>
      <c r="E453" s="5">
        <v>37179</v>
      </c>
      <c r="F453" s="5">
        <v>0</v>
      </c>
      <c r="G453" s="5">
        <v>40056</v>
      </c>
    </row>
    <row r="454" spans="1:7" x14ac:dyDescent="0.2">
      <c r="A454">
        <v>193</v>
      </c>
      <c r="B454" t="s">
        <v>685</v>
      </c>
      <c r="C454" t="s">
        <v>712</v>
      </c>
      <c r="D454" s="5">
        <v>54558</v>
      </c>
      <c r="E454" s="5">
        <v>374596</v>
      </c>
      <c r="F454" s="5">
        <v>6078</v>
      </c>
      <c r="G454" s="5">
        <v>435232</v>
      </c>
    </row>
    <row r="455" spans="1:7" x14ac:dyDescent="0.2">
      <c r="A455">
        <v>197</v>
      </c>
      <c r="B455" t="s">
        <v>7</v>
      </c>
      <c r="C455" t="s">
        <v>700</v>
      </c>
      <c r="D455" s="5">
        <v>610342</v>
      </c>
      <c r="E455" s="5">
        <v>350987</v>
      </c>
      <c r="F455" s="5">
        <v>14065</v>
      </c>
      <c r="G455" s="5">
        <v>975394</v>
      </c>
    </row>
    <row r="456" spans="1:7" x14ac:dyDescent="0.2">
      <c r="A456">
        <v>197</v>
      </c>
      <c r="B456" t="s">
        <v>7</v>
      </c>
      <c r="C456" t="s">
        <v>701</v>
      </c>
      <c r="D456" s="5">
        <v>15058</v>
      </c>
      <c r="E456" s="5">
        <v>20649</v>
      </c>
      <c r="F456" s="5">
        <v>0</v>
      </c>
      <c r="G456" s="5">
        <v>35707</v>
      </c>
    </row>
    <row r="457" spans="1:7" x14ac:dyDescent="0.2">
      <c r="A457">
        <v>197</v>
      </c>
      <c r="B457" t="s">
        <v>7</v>
      </c>
      <c r="C457" t="s">
        <v>703</v>
      </c>
      <c r="D457" s="5">
        <v>2180</v>
      </c>
      <c r="E457" s="5">
        <v>3573</v>
      </c>
      <c r="F457" s="5">
        <v>0</v>
      </c>
      <c r="G457" s="5">
        <v>5753</v>
      </c>
    </row>
    <row r="458" spans="1:7" x14ac:dyDescent="0.2">
      <c r="A458">
        <v>197</v>
      </c>
      <c r="B458" t="s">
        <v>7</v>
      </c>
      <c r="C458" t="s">
        <v>704</v>
      </c>
      <c r="D458" s="5">
        <v>24988</v>
      </c>
      <c r="E458" s="5">
        <v>454181</v>
      </c>
      <c r="F458" s="5">
        <v>2051</v>
      </c>
      <c r="G458" s="5">
        <v>481220</v>
      </c>
    </row>
    <row r="459" spans="1:7" x14ac:dyDescent="0.2">
      <c r="A459">
        <v>197</v>
      </c>
      <c r="B459" t="s">
        <v>7</v>
      </c>
      <c r="C459" t="s">
        <v>705</v>
      </c>
      <c r="D459" s="5">
        <v>4996</v>
      </c>
      <c r="E459" s="5">
        <v>27430</v>
      </c>
      <c r="F459" s="5">
        <v>0</v>
      </c>
      <c r="G459" s="5">
        <v>32426</v>
      </c>
    </row>
    <row r="460" spans="1:7" x14ac:dyDescent="0.2">
      <c r="A460">
        <v>197</v>
      </c>
      <c r="B460" t="s">
        <v>7</v>
      </c>
      <c r="C460" t="s">
        <v>707</v>
      </c>
      <c r="D460" s="5">
        <v>7874</v>
      </c>
      <c r="E460" s="5">
        <v>1289</v>
      </c>
      <c r="F460" s="5">
        <v>0</v>
      </c>
      <c r="G460" s="5">
        <v>9163</v>
      </c>
    </row>
    <row r="461" spans="1:7" x14ac:dyDescent="0.2">
      <c r="A461">
        <v>197</v>
      </c>
      <c r="B461" t="s">
        <v>7</v>
      </c>
      <c r="C461" t="s">
        <v>708</v>
      </c>
      <c r="D461" s="5">
        <v>3268</v>
      </c>
      <c r="E461" s="5">
        <v>26460</v>
      </c>
      <c r="F461" s="5">
        <v>0</v>
      </c>
      <c r="G461" s="5">
        <v>29729</v>
      </c>
    </row>
    <row r="462" spans="1:7" x14ac:dyDescent="0.2">
      <c r="A462">
        <v>197</v>
      </c>
      <c r="B462" t="s">
        <v>7</v>
      </c>
      <c r="C462" t="s">
        <v>709</v>
      </c>
      <c r="D462" s="5">
        <v>3890</v>
      </c>
      <c r="E462" s="5">
        <v>35648</v>
      </c>
      <c r="F462" s="5">
        <v>24</v>
      </c>
      <c r="G462" s="5">
        <v>39562</v>
      </c>
    </row>
    <row r="463" spans="1:7" x14ac:dyDescent="0.2">
      <c r="A463">
        <v>197</v>
      </c>
      <c r="B463" t="s">
        <v>7</v>
      </c>
      <c r="C463" t="s">
        <v>710</v>
      </c>
      <c r="D463" s="5">
        <v>1462</v>
      </c>
      <c r="E463" s="5">
        <v>22808</v>
      </c>
      <c r="F463" s="5">
        <v>0</v>
      </c>
      <c r="G463" s="5">
        <v>24270</v>
      </c>
    </row>
    <row r="464" spans="1:7" x14ac:dyDescent="0.2">
      <c r="A464">
        <v>197</v>
      </c>
      <c r="B464" t="s">
        <v>7</v>
      </c>
      <c r="C464" t="s">
        <v>712</v>
      </c>
      <c r="D464" s="5">
        <v>8280</v>
      </c>
      <c r="E464" s="5">
        <v>28649</v>
      </c>
      <c r="F464" s="5">
        <v>0</v>
      </c>
      <c r="G464" s="5">
        <v>36929</v>
      </c>
    </row>
    <row r="465" spans="1:7" x14ac:dyDescent="0.2">
      <c r="A465">
        <v>200</v>
      </c>
      <c r="B465" t="s">
        <v>35</v>
      </c>
      <c r="C465" t="s">
        <v>700</v>
      </c>
      <c r="D465" s="5">
        <v>1163284</v>
      </c>
      <c r="E465" s="5">
        <v>1051866</v>
      </c>
      <c r="F465" s="5">
        <v>30684</v>
      </c>
      <c r="G465" s="5">
        <v>2245834</v>
      </c>
    </row>
    <row r="466" spans="1:7" x14ac:dyDescent="0.2">
      <c r="A466">
        <v>200</v>
      </c>
      <c r="B466" t="s">
        <v>35</v>
      </c>
      <c r="C466" t="s">
        <v>701</v>
      </c>
      <c r="D466" s="5">
        <v>14234</v>
      </c>
      <c r="E466" s="5">
        <v>54675</v>
      </c>
      <c r="F466" s="5">
        <v>0</v>
      </c>
      <c r="G466" s="5">
        <v>68909</v>
      </c>
    </row>
    <row r="467" spans="1:7" x14ac:dyDescent="0.2">
      <c r="A467">
        <v>200</v>
      </c>
      <c r="B467" t="s">
        <v>35</v>
      </c>
      <c r="C467" t="s">
        <v>703</v>
      </c>
      <c r="D467" s="5">
        <v>2917</v>
      </c>
      <c r="E467" s="5">
        <v>38623</v>
      </c>
      <c r="F467" s="5">
        <v>0</v>
      </c>
      <c r="G467" s="5">
        <v>41540</v>
      </c>
    </row>
    <row r="468" spans="1:7" x14ac:dyDescent="0.2">
      <c r="A468">
        <v>200</v>
      </c>
      <c r="B468" t="s">
        <v>35</v>
      </c>
      <c r="C468" t="s">
        <v>704</v>
      </c>
      <c r="D468" s="5">
        <v>52770</v>
      </c>
      <c r="E468" s="5">
        <v>599765</v>
      </c>
      <c r="F468" s="5">
        <v>6520</v>
      </c>
      <c r="G468" s="5">
        <v>659054</v>
      </c>
    </row>
    <row r="469" spans="1:7" x14ac:dyDescent="0.2">
      <c r="A469">
        <v>200</v>
      </c>
      <c r="B469" t="s">
        <v>35</v>
      </c>
      <c r="C469" t="s">
        <v>705</v>
      </c>
      <c r="D469" s="5">
        <v>21279</v>
      </c>
      <c r="E469" s="5">
        <v>229778</v>
      </c>
      <c r="F469" s="5">
        <v>0</v>
      </c>
      <c r="G469" s="5">
        <v>251057</v>
      </c>
    </row>
    <row r="470" spans="1:7" x14ac:dyDescent="0.2">
      <c r="A470">
        <v>200</v>
      </c>
      <c r="B470" t="s">
        <v>35</v>
      </c>
      <c r="C470" t="s">
        <v>707</v>
      </c>
      <c r="D470" s="5">
        <v>138710</v>
      </c>
      <c r="E470" s="5">
        <v>62896</v>
      </c>
      <c r="F470" s="5">
        <v>1594</v>
      </c>
      <c r="G470" s="5">
        <v>203200</v>
      </c>
    </row>
    <row r="471" spans="1:7" x14ac:dyDescent="0.2">
      <c r="A471">
        <v>200</v>
      </c>
      <c r="B471" t="s">
        <v>35</v>
      </c>
      <c r="C471" t="s">
        <v>708</v>
      </c>
      <c r="D471" s="5">
        <v>8309</v>
      </c>
      <c r="E471" s="5">
        <v>100144</v>
      </c>
      <c r="F471" s="5">
        <v>3914</v>
      </c>
      <c r="G471" s="5">
        <v>112367</v>
      </c>
    </row>
    <row r="472" spans="1:7" x14ac:dyDescent="0.2">
      <c r="A472">
        <v>200</v>
      </c>
      <c r="B472" t="s">
        <v>35</v>
      </c>
      <c r="C472" t="s">
        <v>709</v>
      </c>
      <c r="D472" s="5">
        <v>51669</v>
      </c>
      <c r="E472" s="5">
        <v>312601</v>
      </c>
      <c r="F472" s="5">
        <v>5969</v>
      </c>
      <c r="G472" s="5">
        <v>370238</v>
      </c>
    </row>
    <row r="473" spans="1:7" x14ac:dyDescent="0.2">
      <c r="A473">
        <v>200</v>
      </c>
      <c r="B473" t="s">
        <v>35</v>
      </c>
      <c r="C473" t="s">
        <v>710</v>
      </c>
      <c r="D473" s="5">
        <v>3528</v>
      </c>
      <c r="E473" s="5">
        <v>63608</v>
      </c>
      <c r="F473" s="5">
        <v>93</v>
      </c>
      <c r="G473" s="5">
        <v>67230</v>
      </c>
    </row>
    <row r="474" spans="1:7" x14ac:dyDescent="0.2">
      <c r="A474">
        <v>200</v>
      </c>
      <c r="B474" t="s">
        <v>35</v>
      </c>
      <c r="C474" t="s">
        <v>711</v>
      </c>
      <c r="D474" s="5">
        <v>1276</v>
      </c>
      <c r="E474" s="5">
        <v>2080</v>
      </c>
      <c r="F474" s="5">
        <v>0</v>
      </c>
      <c r="G474" s="5">
        <v>3356</v>
      </c>
    </row>
    <row r="475" spans="1:7" x14ac:dyDescent="0.2">
      <c r="A475">
        <v>200</v>
      </c>
      <c r="B475" t="s">
        <v>35</v>
      </c>
      <c r="C475" t="s">
        <v>712</v>
      </c>
      <c r="D475" s="5">
        <v>132689</v>
      </c>
      <c r="E475" s="5">
        <v>1222700</v>
      </c>
      <c r="F475" s="5">
        <v>67</v>
      </c>
      <c r="G475" s="5">
        <v>1355456</v>
      </c>
    </row>
    <row r="476" spans="1:7" x14ac:dyDescent="0.2">
      <c r="A476">
        <v>202</v>
      </c>
      <c r="B476" t="s">
        <v>37</v>
      </c>
      <c r="C476" t="s">
        <v>700</v>
      </c>
      <c r="D476" s="5">
        <v>203046</v>
      </c>
      <c r="E476" s="5">
        <v>489088</v>
      </c>
      <c r="F476" s="5">
        <v>11587</v>
      </c>
      <c r="G476" s="5">
        <v>703720</v>
      </c>
    </row>
    <row r="477" spans="1:7" x14ac:dyDescent="0.2">
      <c r="A477">
        <v>202</v>
      </c>
      <c r="B477" t="s">
        <v>37</v>
      </c>
      <c r="C477" t="s">
        <v>701</v>
      </c>
      <c r="D477" s="5">
        <v>42974</v>
      </c>
      <c r="E477" s="5">
        <v>126572</v>
      </c>
      <c r="F477" s="5">
        <v>410</v>
      </c>
      <c r="G477" s="5">
        <v>169956</v>
      </c>
    </row>
    <row r="478" spans="1:7" x14ac:dyDescent="0.2">
      <c r="A478">
        <v>202</v>
      </c>
      <c r="B478" t="s">
        <v>37</v>
      </c>
      <c r="C478" t="s">
        <v>703</v>
      </c>
      <c r="D478" s="5">
        <v>4097</v>
      </c>
      <c r="E478" s="5">
        <v>29141</v>
      </c>
      <c r="F478" s="5">
        <v>0</v>
      </c>
      <c r="G478" s="5">
        <v>33238</v>
      </c>
    </row>
    <row r="479" spans="1:7" x14ac:dyDescent="0.2">
      <c r="A479">
        <v>202</v>
      </c>
      <c r="B479" t="s">
        <v>37</v>
      </c>
      <c r="C479" t="s">
        <v>704</v>
      </c>
      <c r="D479" s="5">
        <v>35788</v>
      </c>
      <c r="E479" s="5">
        <v>539023</v>
      </c>
      <c r="F479" s="5">
        <v>0</v>
      </c>
      <c r="G479" s="5">
        <v>574811</v>
      </c>
    </row>
    <row r="480" spans="1:7" x14ac:dyDescent="0.2">
      <c r="A480">
        <v>202</v>
      </c>
      <c r="B480" t="s">
        <v>37</v>
      </c>
      <c r="C480" t="s">
        <v>705</v>
      </c>
      <c r="D480" s="5">
        <v>44792</v>
      </c>
      <c r="E480" s="5">
        <v>401663</v>
      </c>
      <c r="F480" s="5">
        <v>25828</v>
      </c>
      <c r="G480" s="5">
        <v>472283</v>
      </c>
    </row>
    <row r="481" spans="1:7" x14ac:dyDescent="0.2">
      <c r="A481">
        <v>202</v>
      </c>
      <c r="B481" t="s">
        <v>37</v>
      </c>
      <c r="C481" t="s">
        <v>707</v>
      </c>
      <c r="D481" s="5">
        <v>9161</v>
      </c>
      <c r="E481" s="5">
        <v>35793</v>
      </c>
      <c r="F481" s="5">
        <v>45</v>
      </c>
      <c r="G481" s="5">
        <v>45000</v>
      </c>
    </row>
    <row r="482" spans="1:7" x14ac:dyDescent="0.2">
      <c r="A482">
        <v>202</v>
      </c>
      <c r="B482" t="s">
        <v>37</v>
      </c>
      <c r="C482" t="s">
        <v>708</v>
      </c>
      <c r="D482" s="5">
        <v>9739</v>
      </c>
      <c r="E482" s="5">
        <v>199501</v>
      </c>
      <c r="F482" s="5">
        <v>0</v>
      </c>
      <c r="G482" s="5">
        <v>209241</v>
      </c>
    </row>
    <row r="483" spans="1:7" x14ac:dyDescent="0.2">
      <c r="A483">
        <v>202</v>
      </c>
      <c r="B483" t="s">
        <v>37</v>
      </c>
      <c r="C483" t="s">
        <v>709</v>
      </c>
      <c r="D483" s="5">
        <v>27770</v>
      </c>
      <c r="E483" s="5">
        <v>232333</v>
      </c>
      <c r="F483" s="5">
        <v>5135</v>
      </c>
      <c r="G483" s="5">
        <v>265239</v>
      </c>
    </row>
    <row r="484" spans="1:7" x14ac:dyDescent="0.2">
      <c r="A484">
        <v>202</v>
      </c>
      <c r="B484" t="s">
        <v>37</v>
      </c>
      <c r="C484" t="s">
        <v>710</v>
      </c>
      <c r="D484" s="5">
        <v>3273</v>
      </c>
      <c r="E484" s="5">
        <v>143850</v>
      </c>
      <c r="F484" s="5">
        <v>2359</v>
      </c>
      <c r="G484" s="5">
        <v>149483</v>
      </c>
    </row>
    <row r="485" spans="1:7" x14ac:dyDescent="0.2">
      <c r="A485">
        <v>202</v>
      </c>
      <c r="B485" t="s">
        <v>37</v>
      </c>
      <c r="C485" t="s">
        <v>711</v>
      </c>
      <c r="D485" s="5">
        <v>486</v>
      </c>
      <c r="E485" s="5">
        <v>0</v>
      </c>
      <c r="F485" s="5">
        <v>0</v>
      </c>
      <c r="G485" s="5">
        <v>486</v>
      </c>
    </row>
    <row r="486" spans="1:7" x14ac:dyDescent="0.2">
      <c r="A486">
        <v>202</v>
      </c>
      <c r="B486" t="s">
        <v>37</v>
      </c>
      <c r="C486" t="s">
        <v>712</v>
      </c>
      <c r="D486" s="5">
        <v>48479</v>
      </c>
      <c r="E486" s="5">
        <v>347603</v>
      </c>
      <c r="F486" s="5">
        <v>179</v>
      </c>
      <c r="G486" s="5">
        <v>396262</v>
      </c>
    </row>
    <row r="487" spans="1:7" x14ac:dyDescent="0.2">
      <c r="A487">
        <v>203</v>
      </c>
      <c r="B487" t="s">
        <v>49</v>
      </c>
      <c r="C487" t="s">
        <v>700</v>
      </c>
      <c r="D487" s="5">
        <v>1581997</v>
      </c>
      <c r="E487" s="5">
        <v>919586</v>
      </c>
      <c r="F487" s="5">
        <v>27223</v>
      </c>
      <c r="G487" s="5">
        <v>2528806</v>
      </c>
    </row>
    <row r="488" spans="1:7" x14ac:dyDescent="0.2">
      <c r="A488">
        <v>203</v>
      </c>
      <c r="B488" t="s">
        <v>49</v>
      </c>
      <c r="C488" t="s">
        <v>701</v>
      </c>
      <c r="D488" s="5">
        <v>21907</v>
      </c>
      <c r="E488" s="5">
        <v>64737</v>
      </c>
      <c r="F488" s="5">
        <v>108</v>
      </c>
      <c r="G488" s="5">
        <v>86752</v>
      </c>
    </row>
    <row r="489" spans="1:7" x14ac:dyDescent="0.2">
      <c r="A489">
        <v>203</v>
      </c>
      <c r="B489" t="s">
        <v>49</v>
      </c>
      <c r="C489" t="s">
        <v>703</v>
      </c>
      <c r="D489" s="5">
        <v>1553</v>
      </c>
      <c r="E489" s="5">
        <v>4932</v>
      </c>
      <c r="F489" s="5">
        <v>0</v>
      </c>
      <c r="G489" s="5">
        <v>6485</v>
      </c>
    </row>
    <row r="490" spans="1:7" x14ac:dyDescent="0.2">
      <c r="A490">
        <v>203</v>
      </c>
      <c r="B490" t="s">
        <v>49</v>
      </c>
      <c r="C490" t="s">
        <v>704</v>
      </c>
      <c r="D490" s="5">
        <v>64908</v>
      </c>
      <c r="E490" s="5">
        <v>966429</v>
      </c>
      <c r="F490" s="5">
        <v>129</v>
      </c>
      <c r="G490" s="5">
        <v>1031465</v>
      </c>
    </row>
    <row r="491" spans="1:7" x14ac:dyDescent="0.2">
      <c r="A491">
        <v>203</v>
      </c>
      <c r="B491" t="s">
        <v>49</v>
      </c>
      <c r="C491" t="s">
        <v>705</v>
      </c>
      <c r="D491" s="5">
        <v>18470</v>
      </c>
      <c r="E491" s="5">
        <v>160085</v>
      </c>
      <c r="F491" s="5">
        <v>383</v>
      </c>
      <c r="G491" s="5">
        <v>178938</v>
      </c>
    </row>
    <row r="492" spans="1:7" x14ac:dyDescent="0.2">
      <c r="A492">
        <v>203</v>
      </c>
      <c r="B492" t="s">
        <v>49</v>
      </c>
      <c r="C492" t="s">
        <v>707</v>
      </c>
      <c r="D492" s="5">
        <v>90626</v>
      </c>
      <c r="E492" s="5">
        <v>159845</v>
      </c>
      <c r="F492" s="5">
        <v>788</v>
      </c>
      <c r="G492" s="5">
        <v>251259</v>
      </c>
    </row>
    <row r="493" spans="1:7" x14ac:dyDescent="0.2">
      <c r="A493">
        <v>203</v>
      </c>
      <c r="B493" t="s">
        <v>49</v>
      </c>
      <c r="C493" t="s">
        <v>708</v>
      </c>
      <c r="D493" s="5">
        <v>7135</v>
      </c>
      <c r="E493" s="5">
        <v>69454</v>
      </c>
      <c r="F493" s="5">
        <v>0</v>
      </c>
      <c r="G493" s="5">
        <v>76588</v>
      </c>
    </row>
    <row r="494" spans="1:7" x14ac:dyDescent="0.2">
      <c r="A494">
        <v>203</v>
      </c>
      <c r="B494" t="s">
        <v>49</v>
      </c>
      <c r="C494" t="s">
        <v>709</v>
      </c>
      <c r="D494" s="5">
        <v>33700</v>
      </c>
      <c r="E494" s="5">
        <v>89279</v>
      </c>
      <c r="F494" s="5">
        <v>624</v>
      </c>
      <c r="G494" s="5">
        <v>123603</v>
      </c>
    </row>
    <row r="495" spans="1:7" x14ac:dyDescent="0.2">
      <c r="A495">
        <v>203</v>
      </c>
      <c r="B495" t="s">
        <v>49</v>
      </c>
      <c r="C495" t="s">
        <v>710</v>
      </c>
      <c r="D495" s="5">
        <v>1669</v>
      </c>
      <c r="E495" s="5">
        <v>39640</v>
      </c>
      <c r="F495" s="5">
        <v>0</v>
      </c>
      <c r="G495" s="5">
        <v>41309</v>
      </c>
    </row>
    <row r="496" spans="1:7" x14ac:dyDescent="0.2">
      <c r="A496">
        <v>203</v>
      </c>
      <c r="B496" t="s">
        <v>49</v>
      </c>
      <c r="C496" t="s">
        <v>712</v>
      </c>
      <c r="D496" s="5">
        <v>16346</v>
      </c>
      <c r="E496" s="5">
        <v>76098</v>
      </c>
      <c r="F496" s="5">
        <v>377</v>
      </c>
      <c r="G496" s="5">
        <v>92821</v>
      </c>
    </row>
    <row r="497" spans="1:7" x14ac:dyDescent="0.2">
      <c r="A497">
        <v>209</v>
      </c>
      <c r="B497" t="s">
        <v>73</v>
      </c>
      <c r="C497" t="s">
        <v>700</v>
      </c>
      <c r="D497" s="5">
        <v>196562</v>
      </c>
      <c r="E497" s="5">
        <v>196684</v>
      </c>
      <c r="F497" s="5">
        <v>15018</v>
      </c>
      <c r="G497" s="5">
        <v>408264</v>
      </c>
    </row>
    <row r="498" spans="1:7" x14ac:dyDescent="0.2">
      <c r="A498">
        <v>209</v>
      </c>
      <c r="B498" t="s">
        <v>73</v>
      </c>
      <c r="C498" t="s">
        <v>701</v>
      </c>
      <c r="D498" s="5">
        <v>5613</v>
      </c>
      <c r="E498" s="5">
        <v>5734</v>
      </c>
      <c r="F498" s="5">
        <v>0</v>
      </c>
      <c r="G498" s="5">
        <v>11346</v>
      </c>
    </row>
    <row r="499" spans="1:7" x14ac:dyDescent="0.2">
      <c r="A499">
        <v>209</v>
      </c>
      <c r="B499" t="s">
        <v>73</v>
      </c>
      <c r="C499" t="s">
        <v>703</v>
      </c>
      <c r="D499" s="5">
        <v>2562</v>
      </c>
      <c r="E499" s="5">
        <v>8797</v>
      </c>
      <c r="F499" s="5">
        <v>0</v>
      </c>
      <c r="G499" s="5">
        <v>11360</v>
      </c>
    </row>
    <row r="500" spans="1:7" x14ac:dyDescent="0.2">
      <c r="A500">
        <v>209</v>
      </c>
      <c r="B500" t="s">
        <v>73</v>
      </c>
      <c r="C500" t="s">
        <v>704</v>
      </c>
      <c r="D500" s="5">
        <v>16640</v>
      </c>
      <c r="E500" s="5">
        <v>202296</v>
      </c>
      <c r="F500" s="5">
        <v>1622</v>
      </c>
      <c r="G500" s="5">
        <v>220558</v>
      </c>
    </row>
    <row r="501" spans="1:7" x14ac:dyDescent="0.2">
      <c r="A501">
        <v>209</v>
      </c>
      <c r="B501" t="s">
        <v>73</v>
      </c>
      <c r="C501" t="s">
        <v>705</v>
      </c>
      <c r="D501" s="5">
        <v>5924</v>
      </c>
      <c r="E501" s="5">
        <v>60485</v>
      </c>
      <c r="F501" s="5">
        <v>239</v>
      </c>
      <c r="G501" s="5">
        <v>66648</v>
      </c>
    </row>
    <row r="502" spans="1:7" x14ac:dyDescent="0.2">
      <c r="A502">
        <v>209</v>
      </c>
      <c r="B502" t="s">
        <v>73</v>
      </c>
      <c r="C502" t="s">
        <v>707</v>
      </c>
      <c r="D502" s="5">
        <v>15856</v>
      </c>
      <c r="E502" s="5">
        <v>1269</v>
      </c>
      <c r="F502" s="5">
        <v>60</v>
      </c>
      <c r="G502" s="5">
        <v>17185</v>
      </c>
    </row>
    <row r="503" spans="1:7" x14ac:dyDescent="0.2">
      <c r="A503">
        <v>209</v>
      </c>
      <c r="B503" t="s">
        <v>73</v>
      </c>
      <c r="C503" t="s">
        <v>708</v>
      </c>
      <c r="D503" s="5">
        <v>1035</v>
      </c>
      <c r="E503" s="5">
        <v>16990</v>
      </c>
      <c r="F503" s="5">
        <v>0</v>
      </c>
      <c r="G503" s="5">
        <v>18024</v>
      </c>
    </row>
    <row r="504" spans="1:7" x14ac:dyDescent="0.2">
      <c r="A504">
        <v>209</v>
      </c>
      <c r="B504" t="s">
        <v>73</v>
      </c>
      <c r="C504" t="s">
        <v>709</v>
      </c>
      <c r="D504" s="5">
        <v>6623</v>
      </c>
      <c r="E504" s="5">
        <v>12019</v>
      </c>
      <c r="F504" s="5">
        <v>56</v>
      </c>
      <c r="G504" s="5">
        <v>18699</v>
      </c>
    </row>
    <row r="505" spans="1:7" x14ac:dyDescent="0.2">
      <c r="A505">
        <v>209</v>
      </c>
      <c r="B505" t="s">
        <v>73</v>
      </c>
      <c r="C505" t="s">
        <v>710</v>
      </c>
      <c r="D505" s="5">
        <v>1195</v>
      </c>
      <c r="E505" s="5">
        <v>8336</v>
      </c>
      <c r="F505" s="5">
        <v>0</v>
      </c>
      <c r="G505" s="5">
        <v>9531</v>
      </c>
    </row>
    <row r="506" spans="1:7" x14ac:dyDescent="0.2">
      <c r="A506">
        <v>209</v>
      </c>
      <c r="B506" t="s">
        <v>73</v>
      </c>
      <c r="C506" t="s">
        <v>711</v>
      </c>
      <c r="D506" s="5">
        <v>0</v>
      </c>
      <c r="E506" s="5">
        <v>130</v>
      </c>
      <c r="F506" s="5">
        <v>0</v>
      </c>
      <c r="G506" s="5">
        <v>130</v>
      </c>
    </row>
    <row r="507" spans="1:7" x14ac:dyDescent="0.2">
      <c r="A507">
        <v>209</v>
      </c>
      <c r="B507" t="s">
        <v>73</v>
      </c>
      <c r="C507" t="s">
        <v>712</v>
      </c>
      <c r="D507" s="5">
        <v>5116</v>
      </c>
      <c r="E507" s="5">
        <v>54838</v>
      </c>
      <c r="F507" s="5">
        <v>0</v>
      </c>
      <c r="G507" s="5">
        <v>59955</v>
      </c>
    </row>
    <row r="508" spans="1:7" x14ac:dyDescent="0.2">
      <c r="A508">
        <v>213</v>
      </c>
      <c r="B508" t="s">
        <v>101</v>
      </c>
      <c r="C508" t="s">
        <v>700</v>
      </c>
      <c r="D508" s="5">
        <v>280397</v>
      </c>
      <c r="E508" s="5">
        <v>328067</v>
      </c>
      <c r="F508" s="5">
        <v>13661</v>
      </c>
      <c r="G508" s="5">
        <v>622125</v>
      </c>
    </row>
    <row r="509" spans="1:7" x14ac:dyDescent="0.2">
      <c r="A509">
        <v>213</v>
      </c>
      <c r="B509" t="s">
        <v>101</v>
      </c>
      <c r="C509" t="s">
        <v>701</v>
      </c>
      <c r="D509" s="5">
        <v>12821</v>
      </c>
      <c r="E509" s="5">
        <v>9616</v>
      </c>
      <c r="F509" s="5">
        <v>0</v>
      </c>
      <c r="G509" s="5">
        <v>22437</v>
      </c>
    </row>
    <row r="510" spans="1:7" x14ac:dyDescent="0.2">
      <c r="A510">
        <v>213</v>
      </c>
      <c r="B510" t="s">
        <v>101</v>
      </c>
      <c r="C510" t="s">
        <v>703</v>
      </c>
      <c r="D510" s="5">
        <v>3255</v>
      </c>
      <c r="E510" s="5">
        <v>5077</v>
      </c>
      <c r="F510" s="5">
        <v>0</v>
      </c>
      <c r="G510" s="5">
        <v>8332</v>
      </c>
    </row>
    <row r="511" spans="1:7" x14ac:dyDescent="0.2">
      <c r="A511">
        <v>213</v>
      </c>
      <c r="B511" t="s">
        <v>101</v>
      </c>
      <c r="C511" t="s">
        <v>704</v>
      </c>
      <c r="D511" s="5">
        <v>12035</v>
      </c>
      <c r="E511" s="5">
        <v>229228</v>
      </c>
      <c r="F511" s="5">
        <v>0</v>
      </c>
      <c r="G511" s="5">
        <v>241263</v>
      </c>
    </row>
    <row r="512" spans="1:7" x14ac:dyDescent="0.2">
      <c r="A512">
        <v>213</v>
      </c>
      <c r="B512" t="s">
        <v>101</v>
      </c>
      <c r="C512" t="s">
        <v>705</v>
      </c>
      <c r="D512" s="5">
        <v>7705</v>
      </c>
      <c r="E512" s="5">
        <v>26733</v>
      </c>
      <c r="F512" s="5">
        <v>0</v>
      </c>
      <c r="G512" s="5">
        <v>34438</v>
      </c>
    </row>
    <row r="513" spans="1:7" x14ac:dyDescent="0.2">
      <c r="A513">
        <v>213</v>
      </c>
      <c r="B513" t="s">
        <v>101</v>
      </c>
      <c r="C513" t="s">
        <v>707</v>
      </c>
      <c r="D513" s="5">
        <v>22170</v>
      </c>
      <c r="E513" s="5">
        <v>5455</v>
      </c>
      <c r="F513" s="5">
        <v>0</v>
      </c>
      <c r="G513" s="5">
        <v>27624</v>
      </c>
    </row>
    <row r="514" spans="1:7" x14ac:dyDescent="0.2">
      <c r="A514">
        <v>213</v>
      </c>
      <c r="B514" t="s">
        <v>101</v>
      </c>
      <c r="C514" t="s">
        <v>708</v>
      </c>
      <c r="D514" s="5">
        <v>3479</v>
      </c>
      <c r="E514" s="5">
        <v>5882</v>
      </c>
      <c r="F514" s="5">
        <v>0</v>
      </c>
      <c r="G514" s="5">
        <v>9361</v>
      </c>
    </row>
    <row r="515" spans="1:7" x14ac:dyDescent="0.2">
      <c r="A515">
        <v>213</v>
      </c>
      <c r="B515" t="s">
        <v>101</v>
      </c>
      <c r="C515" t="s">
        <v>709</v>
      </c>
      <c r="D515" s="5">
        <v>4941</v>
      </c>
      <c r="E515" s="5">
        <v>17670</v>
      </c>
      <c r="F515" s="5">
        <v>40</v>
      </c>
      <c r="G515" s="5">
        <v>22651</v>
      </c>
    </row>
    <row r="516" spans="1:7" x14ac:dyDescent="0.2">
      <c r="A516">
        <v>213</v>
      </c>
      <c r="B516" t="s">
        <v>101</v>
      </c>
      <c r="C516" t="s">
        <v>710</v>
      </c>
      <c r="D516" s="5">
        <v>875</v>
      </c>
      <c r="E516" s="5">
        <v>11506</v>
      </c>
      <c r="F516" s="5">
        <v>0</v>
      </c>
      <c r="G516" s="5">
        <v>12381</v>
      </c>
    </row>
    <row r="517" spans="1:7" x14ac:dyDescent="0.2">
      <c r="A517">
        <v>213</v>
      </c>
      <c r="B517" t="s">
        <v>101</v>
      </c>
      <c r="C517" t="s">
        <v>712</v>
      </c>
      <c r="D517" s="5">
        <v>11876</v>
      </c>
      <c r="E517" s="5">
        <v>39767</v>
      </c>
      <c r="F517" s="5">
        <v>817</v>
      </c>
      <c r="G517" s="5">
        <v>52460</v>
      </c>
    </row>
    <row r="518" spans="1:7" x14ac:dyDescent="0.2">
      <c r="A518">
        <v>214</v>
      </c>
      <c r="B518" t="s">
        <v>109</v>
      </c>
      <c r="C518" t="s">
        <v>700</v>
      </c>
      <c r="D518" s="5">
        <v>510887</v>
      </c>
      <c r="E518" s="5">
        <v>502760</v>
      </c>
      <c r="F518" s="5">
        <v>8083</v>
      </c>
      <c r="G518" s="5">
        <v>1021730</v>
      </c>
    </row>
    <row r="519" spans="1:7" x14ac:dyDescent="0.2">
      <c r="A519">
        <v>214</v>
      </c>
      <c r="B519" t="s">
        <v>109</v>
      </c>
      <c r="C519" t="s">
        <v>701</v>
      </c>
      <c r="D519" s="5">
        <v>21542</v>
      </c>
      <c r="E519" s="5">
        <v>12659</v>
      </c>
      <c r="F519" s="5">
        <v>350</v>
      </c>
      <c r="G519" s="5">
        <v>34552</v>
      </c>
    </row>
    <row r="520" spans="1:7" x14ac:dyDescent="0.2">
      <c r="A520">
        <v>214</v>
      </c>
      <c r="B520" t="s">
        <v>109</v>
      </c>
      <c r="C520" t="s">
        <v>703</v>
      </c>
      <c r="D520" s="5">
        <v>2229</v>
      </c>
      <c r="E520" s="5">
        <v>4473</v>
      </c>
      <c r="F520" s="5">
        <v>171</v>
      </c>
      <c r="G520" s="5">
        <v>6873</v>
      </c>
    </row>
    <row r="521" spans="1:7" x14ac:dyDescent="0.2">
      <c r="A521">
        <v>214</v>
      </c>
      <c r="B521" t="s">
        <v>109</v>
      </c>
      <c r="C521" t="s">
        <v>704</v>
      </c>
      <c r="D521" s="5">
        <v>33762</v>
      </c>
      <c r="E521" s="5">
        <v>223812</v>
      </c>
      <c r="F521" s="5">
        <v>1824</v>
      </c>
      <c r="G521" s="5">
        <v>259398</v>
      </c>
    </row>
    <row r="522" spans="1:7" x14ac:dyDescent="0.2">
      <c r="A522">
        <v>214</v>
      </c>
      <c r="B522" t="s">
        <v>109</v>
      </c>
      <c r="C522" t="s">
        <v>705</v>
      </c>
      <c r="D522" s="5">
        <v>7925</v>
      </c>
      <c r="E522" s="5">
        <v>55675</v>
      </c>
      <c r="F522" s="5">
        <v>5077</v>
      </c>
      <c r="G522" s="5">
        <v>68677</v>
      </c>
    </row>
    <row r="523" spans="1:7" x14ac:dyDescent="0.2">
      <c r="A523">
        <v>214</v>
      </c>
      <c r="B523" t="s">
        <v>109</v>
      </c>
      <c r="C523" t="s">
        <v>706</v>
      </c>
      <c r="D523" s="5">
        <v>340</v>
      </c>
      <c r="E523" s="5">
        <v>0</v>
      </c>
      <c r="F523" s="5">
        <v>0</v>
      </c>
      <c r="G523" s="5">
        <v>340</v>
      </c>
    </row>
    <row r="524" spans="1:7" x14ac:dyDescent="0.2">
      <c r="A524">
        <v>214</v>
      </c>
      <c r="B524" t="s">
        <v>109</v>
      </c>
      <c r="C524" t="s">
        <v>707</v>
      </c>
      <c r="D524" s="5">
        <v>9289</v>
      </c>
      <c r="E524" s="5">
        <v>24969</v>
      </c>
      <c r="F524" s="5">
        <v>74</v>
      </c>
      <c r="G524" s="5">
        <v>34332</v>
      </c>
    </row>
    <row r="525" spans="1:7" x14ac:dyDescent="0.2">
      <c r="A525">
        <v>214</v>
      </c>
      <c r="B525" t="s">
        <v>109</v>
      </c>
      <c r="C525" t="s">
        <v>708</v>
      </c>
      <c r="D525" s="5">
        <v>2656</v>
      </c>
      <c r="E525" s="5">
        <v>15127</v>
      </c>
      <c r="F525" s="5">
        <v>0</v>
      </c>
      <c r="G525" s="5">
        <v>17783</v>
      </c>
    </row>
    <row r="526" spans="1:7" x14ac:dyDescent="0.2">
      <c r="A526">
        <v>214</v>
      </c>
      <c r="B526" t="s">
        <v>109</v>
      </c>
      <c r="C526" t="s">
        <v>709</v>
      </c>
      <c r="D526" s="5">
        <v>3721</v>
      </c>
      <c r="E526" s="5">
        <v>8020</v>
      </c>
      <c r="F526" s="5">
        <v>49</v>
      </c>
      <c r="G526" s="5">
        <v>11789</v>
      </c>
    </row>
    <row r="527" spans="1:7" x14ac:dyDescent="0.2">
      <c r="A527">
        <v>214</v>
      </c>
      <c r="B527" t="s">
        <v>109</v>
      </c>
      <c r="C527" t="s">
        <v>710</v>
      </c>
      <c r="D527" s="5">
        <v>2293</v>
      </c>
      <c r="E527" s="5">
        <v>5701</v>
      </c>
      <c r="F527" s="5">
        <v>82</v>
      </c>
      <c r="G527" s="5">
        <v>8075</v>
      </c>
    </row>
    <row r="528" spans="1:7" x14ac:dyDescent="0.2">
      <c r="A528">
        <v>214</v>
      </c>
      <c r="B528" t="s">
        <v>109</v>
      </c>
      <c r="C528" t="s">
        <v>711</v>
      </c>
      <c r="D528" s="5">
        <v>0</v>
      </c>
      <c r="E528" s="5">
        <v>204</v>
      </c>
      <c r="F528" s="5">
        <v>0</v>
      </c>
      <c r="G528" s="5">
        <v>204</v>
      </c>
    </row>
    <row r="529" spans="1:7" x14ac:dyDescent="0.2">
      <c r="A529">
        <v>214</v>
      </c>
      <c r="B529" t="s">
        <v>109</v>
      </c>
      <c r="C529" t="s">
        <v>712</v>
      </c>
      <c r="D529" s="5">
        <v>17421</v>
      </c>
      <c r="E529" s="5">
        <v>40703</v>
      </c>
      <c r="F529" s="5">
        <v>0</v>
      </c>
      <c r="G529" s="5">
        <v>58124</v>
      </c>
    </row>
    <row r="530" spans="1:7" x14ac:dyDescent="0.2">
      <c r="A530">
        <v>216</v>
      </c>
      <c r="B530" t="s">
        <v>119</v>
      </c>
      <c r="C530" t="s">
        <v>700</v>
      </c>
      <c r="D530" s="5">
        <v>93109</v>
      </c>
      <c r="E530" s="5">
        <v>138900</v>
      </c>
      <c r="F530" s="5">
        <v>4371</v>
      </c>
      <c r="G530" s="5">
        <v>236381</v>
      </c>
    </row>
    <row r="531" spans="1:7" x14ac:dyDescent="0.2">
      <c r="A531">
        <v>216</v>
      </c>
      <c r="B531" t="s">
        <v>119</v>
      </c>
      <c r="C531" t="s">
        <v>701</v>
      </c>
      <c r="D531" s="5">
        <v>10259</v>
      </c>
      <c r="E531" s="5">
        <v>20735</v>
      </c>
      <c r="F531" s="5">
        <v>175</v>
      </c>
      <c r="G531" s="5">
        <v>31168</v>
      </c>
    </row>
    <row r="532" spans="1:7" x14ac:dyDescent="0.2">
      <c r="A532">
        <v>216</v>
      </c>
      <c r="B532" t="s">
        <v>119</v>
      </c>
      <c r="C532" t="s">
        <v>703</v>
      </c>
      <c r="D532" s="5">
        <v>1445</v>
      </c>
      <c r="E532" s="5">
        <v>1863</v>
      </c>
      <c r="F532" s="5">
        <v>0</v>
      </c>
      <c r="G532" s="5">
        <v>3307</v>
      </c>
    </row>
    <row r="533" spans="1:7" x14ac:dyDescent="0.2">
      <c r="A533">
        <v>216</v>
      </c>
      <c r="B533" t="s">
        <v>119</v>
      </c>
      <c r="C533" t="s">
        <v>704</v>
      </c>
      <c r="D533" s="5">
        <v>7517</v>
      </c>
      <c r="E533" s="5">
        <v>349430</v>
      </c>
      <c r="F533" s="5">
        <v>1837</v>
      </c>
      <c r="G533" s="5">
        <v>358785</v>
      </c>
    </row>
    <row r="534" spans="1:7" x14ac:dyDescent="0.2">
      <c r="A534">
        <v>216</v>
      </c>
      <c r="B534" t="s">
        <v>119</v>
      </c>
      <c r="C534" t="s">
        <v>705</v>
      </c>
      <c r="D534" s="5">
        <v>7996</v>
      </c>
      <c r="E534" s="5">
        <v>160340</v>
      </c>
      <c r="F534" s="5">
        <v>32</v>
      </c>
      <c r="G534" s="5">
        <v>168368</v>
      </c>
    </row>
    <row r="535" spans="1:7" x14ac:dyDescent="0.2">
      <c r="A535">
        <v>216</v>
      </c>
      <c r="B535" t="s">
        <v>119</v>
      </c>
      <c r="C535" t="s">
        <v>707</v>
      </c>
      <c r="D535" s="5">
        <v>3342</v>
      </c>
      <c r="E535" s="5">
        <v>5525</v>
      </c>
      <c r="F535" s="5">
        <v>0</v>
      </c>
      <c r="G535" s="5">
        <v>8867</v>
      </c>
    </row>
    <row r="536" spans="1:7" x14ac:dyDescent="0.2">
      <c r="A536">
        <v>216</v>
      </c>
      <c r="B536" t="s">
        <v>119</v>
      </c>
      <c r="C536" t="s">
        <v>708</v>
      </c>
      <c r="D536" s="5">
        <v>4264</v>
      </c>
      <c r="E536" s="5">
        <v>30072</v>
      </c>
      <c r="F536" s="5">
        <v>0</v>
      </c>
      <c r="G536" s="5">
        <v>34336</v>
      </c>
    </row>
    <row r="537" spans="1:7" x14ac:dyDescent="0.2">
      <c r="A537">
        <v>216</v>
      </c>
      <c r="B537" t="s">
        <v>119</v>
      </c>
      <c r="C537" t="s">
        <v>709</v>
      </c>
      <c r="D537" s="5">
        <v>3023</v>
      </c>
      <c r="E537" s="5">
        <v>29403</v>
      </c>
      <c r="F537" s="5">
        <v>617</v>
      </c>
      <c r="G537" s="5">
        <v>33042</v>
      </c>
    </row>
    <row r="538" spans="1:7" x14ac:dyDescent="0.2">
      <c r="A538">
        <v>216</v>
      </c>
      <c r="B538" t="s">
        <v>119</v>
      </c>
      <c r="C538" t="s">
        <v>710</v>
      </c>
      <c r="D538" s="5">
        <v>1685</v>
      </c>
      <c r="E538" s="5">
        <v>12692</v>
      </c>
      <c r="F538" s="5">
        <v>0</v>
      </c>
      <c r="G538" s="5">
        <v>14378</v>
      </c>
    </row>
    <row r="539" spans="1:7" x14ac:dyDescent="0.2">
      <c r="A539">
        <v>216</v>
      </c>
      <c r="B539" t="s">
        <v>119</v>
      </c>
      <c r="C539" t="s">
        <v>712</v>
      </c>
      <c r="D539" s="5">
        <v>11865</v>
      </c>
      <c r="E539" s="5">
        <v>123098</v>
      </c>
      <c r="F539" s="5">
        <v>54</v>
      </c>
      <c r="G539" s="5">
        <v>135017</v>
      </c>
    </row>
    <row r="540" spans="1:7" x14ac:dyDescent="0.2">
      <c r="A540">
        <v>221</v>
      </c>
      <c r="B540" t="s">
        <v>137</v>
      </c>
      <c r="C540" t="s">
        <v>700</v>
      </c>
      <c r="D540" s="5">
        <v>39246</v>
      </c>
      <c r="E540" s="5">
        <v>57190</v>
      </c>
      <c r="F540" s="5">
        <v>203</v>
      </c>
      <c r="G540" s="5">
        <v>96638</v>
      </c>
    </row>
    <row r="541" spans="1:7" x14ac:dyDescent="0.2">
      <c r="A541">
        <v>221</v>
      </c>
      <c r="B541" t="s">
        <v>137</v>
      </c>
      <c r="C541" t="s">
        <v>701</v>
      </c>
      <c r="D541" s="5">
        <v>929</v>
      </c>
      <c r="E541" s="5">
        <v>95</v>
      </c>
      <c r="F541" s="5">
        <v>0</v>
      </c>
      <c r="G541" s="5">
        <v>1024</v>
      </c>
    </row>
    <row r="542" spans="1:7" x14ac:dyDescent="0.2">
      <c r="A542">
        <v>221</v>
      </c>
      <c r="B542" t="s">
        <v>137</v>
      </c>
      <c r="C542" t="s">
        <v>703</v>
      </c>
      <c r="D542" s="5">
        <v>0</v>
      </c>
      <c r="E542" s="5">
        <v>2374</v>
      </c>
      <c r="F542" s="5">
        <v>0</v>
      </c>
      <c r="G542" s="5">
        <v>2374</v>
      </c>
    </row>
    <row r="543" spans="1:7" x14ac:dyDescent="0.2">
      <c r="A543">
        <v>221</v>
      </c>
      <c r="B543" t="s">
        <v>137</v>
      </c>
      <c r="C543" t="s">
        <v>704</v>
      </c>
      <c r="D543" s="5">
        <v>3047</v>
      </c>
      <c r="E543" s="5">
        <v>8146</v>
      </c>
      <c r="F543" s="5">
        <v>0</v>
      </c>
      <c r="G543" s="5">
        <v>11192</v>
      </c>
    </row>
    <row r="544" spans="1:7" x14ac:dyDescent="0.2">
      <c r="A544">
        <v>221</v>
      </c>
      <c r="B544" t="s">
        <v>137</v>
      </c>
      <c r="C544" t="s">
        <v>705</v>
      </c>
      <c r="D544" s="5">
        <v>882</v>
      </c>
      <c r="E544" s="5">
        <v>15270</v>
      </c>
      <c r="F544" s="5">
        <v>0</v>
      </c>
      <c r="G544" s="5">
        <v>16152</v>
      </c>
    </row>
    <row r="545" spans="1:7" x14ac:dyDescent="0.2">
      <c r="A545">
        <v>221</v>
      </c>
      <c r="B545" t="s">
        <v>137</v>
      </c>
      <c r="C545" t="s">
        <v>707</v>
      </c>
      <c r="D545" s="5">
        <v>0</v>
      </c>
      <c r="E545" s="5">
        <v>350</v>
      </c>
      <c r="F545" s="5">
        <v>0</v>
      </c>
      <c r="G545" s="5">
        <v>350</v>
      </c>
    </row>
    <row r="546" spans="1:7" x14ac:dyDescent="0.2">
      <c r="A546">
        <v>221</v>
      </c>
      <c r="B546" t="s">
        <v>137</v>
      </c>
      <c r="C546" t="s">
        <v>708</v>
      </c>
      <c r="D546" s="5">
        <v>1458</v>
      </c>
      <c r="E546" s="5">
        <v>0</v>
      </c>
      <c r="F546" s="5">
        <v>0</v>
      </c>
      <c r="G546" s="5">
        <v>1458</v>
      </c>
    </row>
    <row r="547" spans="1:7" x14ac:dyDescent="0.2">
      <c r="A547">
        <v>221</v>
      </c>
      <c r="B547" t="s">
        <v>137</v>
      </c>
      <c r="C547" t="s">
        <v>709</v>
      </c>
      <c r="D547" s="5">
        <v>11656</v>
      </c>
      <c r="E547" s="5">
        <v>95683</v>
      </c>
      <c r="F547" s="5">
        <v>19</v>
      </c>
      <c r="G547" s="5">
        <v>107358</v>
      </c>
    </row>
    <row r="548" spans="1:7" x14ac:dyDescent="0.2">
      <c r="A548">
        <v>221</v>
      </c>
      <c r="B548" t="s">
        <v>137</v>
      </c>
      <c r="C548" t="s">
        <v>710</v>
      </c>
      <c r="D548" s="5">
        <v>3079</v>
      </c>
      <c r="E548" s="5">
        <v>7835</v>
      </c>
      <c r="F548" s="5">
        <v>0</v>
      </c>
      <c r="G548" s="5">
        <v>10915</v>
      </c>
    </row>
    <row r="549" spans="1:7" x14ac:dyDescent="0.2">
      <c r="A549">
        <v>221</v>
      </c>
      <c r="B549" t="s">
        <v>137</v>
      </c>
      <c r="C549" t="s">
        <v>712</v>
      </c>
      <c r="D549" s="5">
        <v>5429</v>
      </c>
      <c r="E549" s="5">
        <v>10218</v>
      </c>
      <c r="F549" s="5">
        <v>152</v>
      </c>
      <c r="G549" s="5">
        <v>15799</v>
      </c>
    </row>
    <row r="550" spans="1:7" x14ac:dyDescent="0.2">
      <c r="A550">
        <v>222</v>
      </c>
      <c r="B550" t="s">
        <v>139</v>
      </c>
      <c r="C550" t="s">
        <v>700</v>
      </c>
      <c r="D550" s="5">
        <v>440147</v>
      </c>
      <c r="E550" s="5">
        <v>379537</v>
      </c>
      <c r="F550" s="5">
        <v>9408</v>
      </c>
      <c r="G550" s="5">
        <v>829092</v>
      </c>
    </row>
    <row r="551" spans="1:7" x14ac:dyDescent="0.2">
      <c r="A551">
        <v>222</v>
      </c>
      <c r="B551" t="s">
        <v>139</v>
      </c>
      <c r="C551" t="s">
        <v>701</v>
      </c>
      <c r="D551" s="5">
        <v>15752</v>
      </c>
      <c r="E551" s="5">
        <v>59057</v>
      </c>
      <c r="F551" s="5">
        <v>0</v>
      </c>
      <c r="G551" s="5">
        <v>74809</v>
      </c>
    </row>
    <row r="552" spans="1:7" x14ac:dyDescent="0.2">
      <c r="A552">
        <v>222</v>
      </c>
      <c r="B552" t="s">
        <v>139</v>
      </c>
      <c r="C552" t="s">
        <v>703</v>
      </c>
      <c r="D552" s="5">
        <v>8900</v>
      </c>
      <c r="E552" s="5">
        <v>44325</v>
      </c>
      <c r="F552" s="5">
        <v>0</v>
      </c>
      <c r="G552" s="5">
        <v>53225</v>
      </c>
    </row>
    <row r="553" spans="1:7" x14ac:dyDescent="0.2">
      <c r="A553">
        <v>222</v>
      </c>
      <c r="B553" t="s">
        <v>139</v>
      </c>
      <c r="C553" t="s">
        <v>704</v>
      </c>
      <c r="D553" s="5">
        <v>63156</v>
      </c>
      <c r="E553" s="5">
        <v>611407</v>
      </c>
      <c r="F553" s="5">
        <v>1295</v>
      </c>
      <c r="G553" s="5">
        <v>675858</v>
      </c>
    </row>
    <row r="554" spans="1:7" x14ac:dyDescent="0.2">
      <c r="A554">
        <v>222</v>
      </c>
      <c r="B554" t="s">
        <v>139</v>
      </c>
      <c r="C554" t="s">
        <v>705</v>
      </c>
      <c r="D554" s="5">
        <v>25521</v>
      </c>
      <c r="E554" s="5">
        <v>173941</v>
      </c>
      <c r="F554" s="5">
        <v>0</v>
      </c>
      <c r="G554" s="5">
        <v>199461</v>
      </c>
    </row>
    <row r="555" spans="1:7" x14ac:dyDescent="0.2">
      <c r="A555">
        <v>222</v>
      </c>
      <c r="B555" t="s">
        <v>139</v>
      </c>
      <c r="C555" t="s">
        <v>707</v>
      </c>
      <c r="D555" s="5">
        <v>784</v>
      </c>
      <c r="E555" s="5">
        <v>4329</v>
      </c>
      <c r="F555" s="5">
        <v>0</v>
      </c>
      <c r="G555" s="5">
        <v>5113</v>
      </c>
    </row>
    <row r="556" spans="1:7" x14ac:dyDescent="0.2">
      <c r="A556">
        <v>222</v>
      </c>
      <c r="B556" t="s">
        <v>139</v>
      </c>
      <c r="C556" t="s">
        <v>708</v>
      </c>
      <c r="D556" s="5">
        <v>4239</v>
      </c>
      <c r="E556" s="5">
        <v>108668</v>
      </c>
      <c r="F556" s="5">
        <v>0</v>
      </c>
      <c r="G556" s="5">
        <v>112907</v>
      </c>
    </row>
    <row r="557" spans="1:7" x14ac:dyDescent="0.2">
      <c r="A557">
        <v>222</v>
      </c>
      <c r="B557" t="s">
        <v>139</v>
      </c>
      <c r="C557" t="s">
        <v>709</v>
      </c>
      <c r="D557" s="5">
        <v>32246</v>
      </c>
      <c r="E557" s="5">
        <v>51207</v>
      </c>
      <c r="F557" s="5">
        <v>235</v>
      </c>
      <c r="G557" s="5">
        <v>83688</v>
      </c>
    </row>
    <row r="558" spans="1:7" x14ac:dyDescent="0.2">
      <c r="A558">
        <v>222</v>
      </c>
      <c r="B558" t="s">
        <v>139</v>
      </c>
      <c r="C558" t="s">
        <v>710</v>
      </c>
      <c r="D558" s="5">
        <v>2748</v>
      </c>
      <c r="E558" s="5">
        <v>55186</v>
      </c>
      <c r="F558" s="5">
        <v>0</v>
      </c>
      <c r="G558" s="5">
        <v>57933</v>
      </c>
    </row>
    <row r="559" spans="1:7" x14ac:dyDescent="0.2">
      <c r="A559">
        <v>222</v>
      </c>
      <c r="B559" t="s">
        <v>139</v>
      </c>
      <c r="C559" t="s">
        <v>711</v>
      </c>
      <c r="D559" s="5">
        <v>204</v>
      </c>
      <c r="E559" s="5">
        <v>79</v>
      </c>
      <c r="F559" s="5">
        <v>0</v>
      </c>
      <c r="G559" s="5">
        <v>283</v>
      </c>
    </row>
    <row r="560" spans="1:7" x14ac:dyDescent="0.2">
      <c r="A560">
        <v>222</v>
      </c>
      <c r="B560" t="s">
        <v>139</v>
      </c>
      <c r="C560" t="s">
        <v>712</v>
      </c>
      <c r="D560" s="5">
        <v>34331</v>
      </c>
      <c r="E560" s="5">
        <v>291496</v>
      </c>
      <c r="F560" s="5">
        <v>0</v>
      </c>
      <c r="G560" s="5">
        <v>325828</v>
      </c>
    </row>
    <row r="561" spans="1:7" x14ac:dyDescent="0.2">
      <c r="A561">
        <v>225</v>
      </c>
      <c r="B561" t="s">
        <v>151</v>
      </c>
      <c r="C561" t="s">
        <v>700</v>
      </c>
      <c r="D561" s="5">
        <v>190785</v>
      </c>
      <c r="E561" s="5">
        <v>187335</v>
      </c>
      <c r="F561" s="5">
        <v>9559</v>
      </c>
      <c r="G561" s="5">
        <v>387680</v>
      </c>
    </row>
    <row r="562" spans="1:7" x14ac:dyDescent="0.2">
      <c r="A562">
        <v>225</v>
      </c>
      <c r="B562" t="s">
        <v>151</v>
      </c>
      <c r="C562" t="s">
        <v>701</v>
      </c>
      <c r="D562" s="5">
        <v>7246</v>
      </c>
      <c r="E562" s="5">
        <v>3416</v>
      </c>
      <c r="F562" s="5">
        <v>40</v>
      </c>
      <c r="G562" s="5">
        <v>10702</v>
      </c>
    </row>
    <row r="563" spans="1:7" x14ac:dyDescent="0.2">
      <c r="A563">
        <v>225</v>
      </c>
      <c r="B563" t="s">
        <v>151</v>
      </c>
      <c r="C563" t="s">
        <v>703</v>
      </c>
      <c r="D563" s="5">
        <v>2246</v>
      </c>
      <c r="E563" s="5">
        <v>4426</v>
      </c>
      <c r="F563" s="5">
        <v>0</v>
      </c>
      <c r="G563" s="5">
        <v>6672</v>
      </c>
    </row>
    <row r="564" spans="1:7" x14ac:dyDescent="0.2">
      <c r="A564">
        <v>225</v>
      </c>
      <c r="B564" t="s">
        <v>151</v>
      </c>
      <c r="C564" t="s">
        <v>704</v>
      </c>
      <c r="D564" s="5">
        <v>16246</v>
      </c>
      <c r="E564" s="5">
        <v>182110</v>
      </c>
      <c r="F564" s="5">
        <v>1465</v>
      </c>
      <c r="G564" s="5">
        <v>199821</v>
      </c>
    </row>
    <row r="565" spans="1:7" x14ac:dyDescent="0.2">
      <c r="A565">
        <v>225</v>
      </c>
      <c r="B565" t="s">
        <v>151</v>
      </c>
      <c r="C565" t="s">
        <v>705</v>
      </c>
      <c r="D565" s="5">
        <v>3092</v>
      </c>
      <c r="E565" s="5">
        <v>35435</v>
      </c>
      <c r="F565" s="5">
        <v>69</v>
      </c>
      <c r="G565" s="5">
        <v>38596</v>
      </c>
    </row>
    <row r="566" spans="1:7" x14ac:dyDescent="0.2">
      <c r="A566">
        <v>225</v>
      </c>
      <c r="B566" t="s">
        <v>151</v>
      </c>
      <c r="C566" t="s">
        <v>707</v>
      </c>
      <c r="D566" s="5">
        <v>478</v>
      </c>
      <c r="E566" s="5">
        <v>4144</v>
      </c>
      <c r="F566" s="5">
        <v>0</v>
      </c>
      <c r="G566" s="5">
        <v>4622</v>
      </c>
    </row>
    <row r="567" spans="1:7" x14ac:dyDescent="0.2">
      <c r="A567">
        <v>225</v>
      </c>
      <c r="B567" t="s">
        <v>151</v>
      </c>
      <c r="C567" t="s">
        <v>708</v>
      </c>
      <c r="D567" s="5">
        <v>1805</v>
      </c>
      <c r="E567" s="5">
        <v>19609</v>
      </c>
      <c r="F567" s="5">
        <v>265</v>
      </c>
      <c r="G567" s="5">
        <v>21678</v>
      </c>
    </row>
    <row r="568" spans="1:7" x14ac:dyDescent="0.2">
      <c r="A568">
        <v>225</v>
      </c>
      <c r="B568" t="s">
        <v>151</v>
      </c>
      <c r="C568" t="s">
        <v>709</v>
      </c>
      <c r="D568" s="5">
        <v>3048</v>
      </c>
      <c r="E568" s="5">
        <v>10559</v>
      </c>
      <c r="F568" s="5">
        <v>699</v>
      </c>
      <c r="G568" s="5">
        <v>14306</v>
      </c>
    </row>
    <row r="569" spans="1:7" x14ac:dyDescent="0.2">
      <c r="A569">
        <v>225</v>
      </c>
      <c r="B569" t="s">
        <v>151</v>
      </c>
      <c r="C569" t="s">
        <v>710</v>
      </c>
      <c r="D569" s="5">
        <v>161</v>
      </c>
      <c r="E569" s="5">
        <v>23433</v>
      </c>
      <c r="F569" s="5">
        <v>0</v>
      </c>
      <c r="G569" s="5">
        <v>23594</v>
      </c>
    </row>
    <row r="570" spans="1:7" x14ac:dyDescent="0.2">
      <c r="A570">
        <v>225</v>
      </c>
      <c r="B570" t="s">
        <v>151</v>
      </c>
      <c r="C570" t="s">
        <v>712</v>
      </c>
      <c r="D570" s="5">
        <v>5154</v>
      </c>
      <c r="E570" s="5">
        <v>43778</v>
      </c>
      <c r="F570" s="5">
        <v>0</v>
      </c>
      <c r="G570" s="5">
        <v>48932</v>
      </c>
    </row>
    <row r="571" spans="1:7" x14ac:dyDescent="0.2">
      <c r="A571">
        <v>226</v>
      </c>
      <c r="B571" t="s">
        <v>153</v>
      </c>
      <c r="C571" t="s">
        <v>700</v>
      </c>
      <c r="D571" s="5">
        <v>256827</v>
      </c>
      <c r="E571" s="5">
        <v>217497</v>
      </c>
      <c r="F571" s="5">
        <v>4732</v>
      </c>
      <c r="G571" s="5">
        <v>479056</v>
      </c>
    </row>
    <row r="572" spans="1:7" x14ac:dyDescent="0.2">
      <c r="A572">
        <v>226</v>
      </c>
      <c r="B572" t="s">
        <v>153</v>
      </c>
      <c r="C572" t="s">
        <v>701</v>
      </c>
      <c r="D572" s="5">
        <v>5715</v>
      </c>
      <c r="E572" s="5">
        <v>13657</v>
      </c>
      <c r="F572" s="5">
        <v>20</v>
      </c>
      <c r="G572" s="5">
        <v>19392</v>
      </c>
    </row>
    <row r="573" spans="1:7" x14ac:dyDescent="0.2">
      <c r="A573">
        <v>226</v>
      </c>
      <c r="B573" t="s">
        <v>153</v>
      </c>
      <c r="C573" t="s">
        <v>703</v>
      </c>
      <c r="D573" s="5">
        <v>589</v>
      </c>
      <c r="E573" s="5">
        <v>7317</v>
      </c>
      <c r="F573" s="5">
        <v>0</v>
      </c>
      <c r="G573" s="5">
        <v>7906</v>
      </c>
    </row>
    <row r="574" spans="1:7" x14ac:dyDescent="0.2">
      <c r="A574">
        <v>226</v>
      </c>
      <c r="B574" t="s">
        <v>153</v>
      </c>
      <c r="C574" t="s">
        <v>704</v>
      </c>
      <c r="D574" s="5">
        <v>10966</v>
      </c>
      <c r="E574" s="5">
        <v>394318</v>
      </c>
      <c r="F574" s="5">
        <v>700</v>
      </c>
      <c r="G574" s="5">
        <v>405984</v>
      </c>
    </row>
    <row r="575" spans="1:7" x14ac:dyDescent="0.2">
      <c r="A575">
        <v>226</v>
      </c>
      <c r="B575" t="s">
        <v>153</v>
      </c>
      <c r="C575" t="s">
        <v>705</v>
      </c>
      <c r="D575" s="5">
        <v>2928</v>
      </c>
      <c r="E575" s="5">
        <v>99290</v>
      </c>
      <c r="F575" s="5">
        <v>153</v>
      </c>
      <c r="G575" s="5">
        <v>102370</v>
      </c>
    </row>
    <row r="576" spans="1:7" x14ac:dyDescent="0.2">
      <c r="A576">
        <v>226</v>
      </c>
      <c r="B576" t="s">
        <v>153</v>
      </c>
      <c r="C576" t="s">
        <v>707</v>
      </c>
      <c r="D576" s="5">
        <v>261</v>
      </c>
      <c r="E576" s="5">
        <v>0</v>
      </c>
      <c r="F576" s="5">
        <v>0</v>
      </c>
      <c r="G576" s="5">
        <v>261</v>
      </c>
    </row>
    <row r="577" spans="1:7" x14ac:dyDescent="0.2">
      <c r="A577">
        <v>226</v>
      </c>
      <c r="B577" t="s">
        <v>153</v>
      </c>
      <c r="C577" t="s">
        <v>708</v>
      </c>
      <c r="D577" s="5">
        <v>3440</v>
      </c>
      <c r="E577" s="5">
        <v>22640</v>
      </c>
      <c r="F577" s="5">
        <v>0</v>
      </c>
      <c r="G577" s="5">
        <v>26079</v>
      </c>
    </row>
    <row r="578" spans="1:7" x14ac:dyDescent="0.2">
      <c r="A578">
        <v>226</v>
      </c>
      <c r="B578" t="s">
        <v>153</v>
      </c>
      <c r="C578" t="s">
        <v>709</v>
      </c>
      <c r="D578" s="5">
        <v>2447</v>
      </c>
      <c r="E578" s="5">
        <v>31313</v>
      </c>
      <c r="F578" s="5">
        <v>4</v>
      </c>
      <c r="G578" s="5">
        <v>33764</v>
      </c>
    </row>
    <row r="579" spans="1:7" x14ac:dyDescent="0.2">
      <c r="A579">
        <v>226</v>
      </c>
      <c r="B579" t="s">
        <v>153</v>
      </c>
      <c r="C579" t="s">
        <v>710</v>
      </c>
      <c r="D579" s="5">
        <v>358</v>
      </c>
      <c r="E579" s="5">
        <v>13541</v>
      </c>
      <c r="F579" s="5">
        <v>0</v>
      </c>
      <c r="G579" s="5">
        <v>13900</v>
      </c>
    </row>
    <row r="580" spans="1:7" x14ac:dyDescent="0.2">
      <c r="A580">
        <v>226</v>
      </c>
      <c r="B580" t="s">
        <v>153</v>
      </c>
      <c r="C580" t="s">
        <v>712</v>
      </c>
      <c r="D580" s="5">
        <v>1211</v>
      </c>
      <c r="E580" s="5">
        <v>177787</v>
      </c>
      <c r="F580" s="5">
        <v>0</v>
      </c>
      <c r="G580" s="5">
        <v>178998</v>
      </c>
    </row>
    <row r="581" spans="1:7" x14ac:dyDescent="0.2">
      <c r="A581">
        <v>228</v>
      </c>
      <c r="B581" t="s">
        <v>159</v>
      </c>
      <c r="C581" t="s">
        <v>700</v>
      </c>
      <c r="D581" s="5">
        <v>1967871</v>
      </c>
      <c r="E581" s="5">
        <v>1218844</v>
      </c>
      <c r="F581" s="5">
        <v>36302</v>
      </c>
      <c r="G581" s="5">
        <v>3223017</v>
      </c>
    </row>
    <row r="582" spans="1:7" x14ac:dyDescent="0.2">
      <c r="A582">
        <v>228</v>
      </c>
      <c r="B582" t="s">
        <v>159</v>
      </c>
      <c r="C582" t="s">
        <v>701</v>
      </c>
      <c r="D582" s="5">
        <v>57494</v>
      </c>
      <c r="E582" s="5">
        <v>112369</v>
      </c>
      <c r="F582" s="5">
        <v>0</v>
      </c>
      <c r="G582" s="5">
        <v>169864</v>
      </c>
    </row>
    <row r="583" spans="1:7" x14ac:dyDescent="0.2">
      <c r="A583">
        <v>228</v>
      </c>
      <c r="B583" t="s">
        <v>159</v>
      </c>
      <c r="C583" t="s">
        <v>703</v>
      </c>
      <c r="D583" s="5">
        <v>7849</v>
      </c>
      <c r="E583" s="5">
        <v>50356</v>
      </c>
      <c r="F583" s="5">
        <v>0</v>
      </c>
      <c r="G583" s="5">
        <v>58206</v>
      </c>
    </row>
    <row r="584" spans="1:7" x14ac:dyDescent="0.2">
      <c r="A584">
        <v>228</v>
      </c>
      <c r="B584" t="s">
        <v>159</v>
      </c>
      <c r="C584" t="s">
        <v>704</v>
      </c>
      <c r="D584" s="5">
        <v>94986</v>
      </c>
      <c r="E584" s="5">
        <v>729294</v>
      </c>
      <c r="F584" s="5">
        <v>4381</v>
      </c>
      <c r="G584" s="5">
        <v>828661</v>
      </c>
    </row>
    <row r="585" spans="1:7" x14ac:dyDescent="0.2">
      <c r="A585">
        <v>228</v>
      </c>
      <c r="B585" t="s">
        <v>159</v>
      </c>
      <c r="C585" t="s">
        <v>705</v>
      </c>
      <c r="D585" s="5">
        <v>50479</v>
      </c>
      <c r="E585" s="5">
        <v>561797</v>
      </c>
      <c r="F585" s="5">
        <v>18707</v>
      </c>
      <c r="G585" s="5">
        <v>630983</v>
      </c>
    </row>
    <row r="586" spans="1:7" x14ac:dyDescent="0.2">
      <c r="A586">
        <v>228</v>
      </c>
      <c r="B586" t="s">
        <v>159</v>
      </c>
      <c r="C586" t="s">
        <v>707</v>
      </c>
      <c r="D586" s="5">
        <v>35250</v>
      </c>
      <c r="E586" s="5">
        <v>16739</v>
      </c>
      <c r="F586" s="5">
        <v>1674</v>
      </c>
      <c r="G586" s="5">
        <v>53663</v>
      </c>
    </row>
    <row r="587" spans="1:7" x14ac:dyDescent="0.2">
      <c r="A587">
        <v>228</v>
      </c>
      <c r="B587" t="s">
        <v>159</v>
      </c>
      <c r="C587" t="s">
        <v>708</v>
      </c>
      <c r="D587" s="5">
        <v>13296</v>
      </c>
      <c r="E587" s="5">
        <v>128166</v>
      </c>
      <c r="F587" s="5">
        <v>0</v>
      </c>
      <c r="G587" s="5">
        <v>141461</v>
      </c>
    </row>
    <row r="588" spans="1:7" x14ac:dyDescent="0.2">
      <c r="A588">
        <v>228</v>
      </c>
      <c r="B588" t="s">
        <v>159</v>
      </c>
      <c r="C588" t="s">
        <v>709</v>
      </c>
      <c r="D588" s="5">
        <v>19642</v>
      </c>
      <c r="E588" s="5">
        <v>79706</v>
      </c>
      <c r="F588" s="5">
        <v>222</v>
      </c>
      <c r="G588" s="5">
        <v>99570</v>
      </c>
    </row>
    <row r="589" spans="1:7" x14ac:dyDescent="0.2">
      <c r="A589">
        <v>228</v>
      </c>
      <c r="B589" t="s">
        <v>159</v>
      </c>
      <c r="C589" t="s">
        <v>710</v>
      </c>
      <c r="D589" s="5">
        <v>2342</v>
      </c>
      <c r="E589" s="5">
        <v>53837</v>
      </c>
      <c r="F589" s="5">
        <v>0</v>
      </c>
      <c r="G589" s="5">
        <v>56180</v>
      </c>
    </row>
    <row r="590" spans="1:7" x14ac:dyDescent="0.2">
      <c r="A590">
        <v>228</v>
      </c>
      <c r="B590" t="s">
        <v>159</v>
      </c>
      <c r="C590" t="s">
        <v>712</v>
      </c>
      <c r="D590" s="5">
        <v>29573</v>
      </c>
      <c r="E590" s="5">
        <v>170344</v>
      </c>
      <c r="F590" s="5">
        <v>18</v>
      </c>
      <c r="G590" s="5">
        <v>199935</v>
      </c>
    </row>
    <row r="591" spans="1:7" x14ac:dyDescent="0.2">
      <c r="A591">
        <v>230</v>
      </c>
      <c r="B591" t="s">
        <v>171</v>
      </c>
      <c r="C591" t="s">
        <v>700</v>
      </c>
      <c r="D591" s="5">
        <v>270224</v>
      </c>
      <c r="E591" s="5">
        <v>174573</v>
      </c>
      <c r="F591" s="5">
        <v>2340</v>
      </c>
      <c r="G591" s="5">
        <v>447137</v>
      </c>
    </row>
    <row r="592" spans="1:7" x14ac:dyDescent="0.2">
      <c r="A592">
        <v>230</v>
      </c>
      <c r="B592" t="s">
        <v>171</v>
      </c>
      <c r="C592" t="s">
        <v>701</v>
      </c>
      <c r="D592" s="5">
        <v>13843</v>
      </c>
      <c r="E592" s="5">
        <v>19655</v>
      </c>
      <c r="F592" s="5">
        <v>0</v>
      </c>
      <c r="G592" s="5">
        <v>33498</v>
      </c>
    </row>
    <row r="593" spans="1:7" x14ac:dyDescent="0.2">
      <c r="A593">
        <v>230</v>
      </c>
      <c r="B593" t="s">
        <v>171</v>
      </c>
      <c r="C593" t="s">
        <v>703</v>
      </c>
      <c r="D593" s="5">
        <v>412</v>
      </c>
      <c r="E593" s="5">
        <v>11788</v>
      </c>
      <c r="F593" s="5">
        <v>49</v>
      </c>
      <c r="G593" s="5">
        <v>12249</v>
      </c>
    </row>
    <row r="594" spans="1:7" x14ac:dyDescent="0.2">
      <c r="A594">
        <v>230</v>
      </c>
      <c r="B594" t="s">
        <v>171</v>
      </c>
      <c r="C594" t="s">
        <v>704</v>
      </c>
      <c r="D594" s="5">
        <v>11427</v>
      </c>
      <c r="E594" s="5">
        <v>158615</v>
      </c>
      <c r="F594" s="5">
        <v>1799</v>
      </c>
      <c r="G594" s="5">
        <v>171841</v>
      </c>
    </row>
    <row r="595" spans="1:7" x14ac:dyDescent="0.2">
      <c r="A595">
        <v>230</v>
      </c>
      <c r="B595" t="s">
        <v>171</v>
      </c>
      <c r="C595" t="s">
        <v>705</v>
      </c>
      <c r="D595" s="5">
        <v>5945</v>
      </c>
      <c r="E595" s="5">
        <v>45582</v>
      </c>
      <c r="F595" s="5">
        <v>645</v>
      </c>
      <c r="G595" s="5">
        <v>52173</v>
      </c>
    </row>
    <row r="596" spans="1:7" x14ac:dyDescent="0.2">
      <c r="A596">
        <v>230</v>
      </c>
      <c r="B596" t="s">
        <v>171</v>
      </c>
      <c r="C596" t="s">
        <v>707</v>
      </c>
      <c r="D596" s="5">
        <v>14794</v>
      </c>
      <c r="E596" s="5">
        <v>17869</v>
      </c>
      <c r="F596" s="5">
        <v>121</v>
      </c>
      <c r="G596" s="5">
        <v>32784</v>
      </c>
    </row>
    <row r="597" spans="1:7" x14ac:dyDescent="0.2">
      <c r="A597">
        <v>230</v>
      </c>
      <c r="B597" t="s">
        <v>171</v>
      </c>
      <c r="C597" t="s">
        <v>708</v>
      </c>
      <c r="D597" s="5">
        <v>2103</v>
      </c>
      <c r="E597" s="5">
        <v>19526</v>
      </c>
      <c r="F597" s="5">
        <v>0</v>
      </c>
      <c r="G597" s="5">
        <v>21629</v>
      </c>
    </row>
    <row r="598" spans="1:7" x14ac:dyDescent="0.2">
      <c r="A598">
        <v>230</v>
      </c>
      <c r="B598" t="s">
        <v>171</v>
      </c>
      <c r="C598" t="s">
        <v>709</v>
      </c>
      <c r="D598" s="5">
        <v>7624</v>
      </c>
      <c r="E598" s="5">
        <v>22540</v>
      </c>
      <c r="F598" s="5">
        <v>190</v>
      </c>
      <c r="G598" s="5">
        <v>30353</v>
      </c>
    </row>
    <row r="599" spans="1:7" x14ac:dyDescent="0.2">
      <c r="A599">
        <v>230</v>
      </c>
      <c r="B599" t="s">
        <v>171</v>
      </c>
      <c r="C599" t="s">
        <v>710</v>
      </c>
      <c r="D599" s="5">
        <v>1778</v>
      </c>
      <c r="E599" s="5">
        <v>28161</v>
      </c>
      <c r="F599" s="5">
        <v>0</v>
      </c>
      <c r="G599" s="5">
        <v>29939</v>
      </c>
    </row>
    <row r="600" spans="1:7" x14ac:dyDescent="0.2">
      <c r="A600">
        <v>230</v>
      </c>
      <c r="B600" t="s">
        <v>171</v>
      </c>
      <c r="C600" t="s">
        <v>712</v>
      </c>
      <c r="D600" s="5">
        <v>9347</v>
      </c>
      <c r="E600" s="5">
        <v>69892</v>
      </c>
      <c r="F600" s="5">
        <v>57</v>
      </c>
      <c r="G600" s="5">
        <v>79297</v>
      </c>
    </row>
    <row r="601" spans="1:7" x14ac:dyDescent="0.2">
      <c r="A601">
        <v>232</v>
      </c>
      <c r="B601" t="s">
        <v>179</v>
      </c>
      <c r="C601" t="s">
        <v>700</v>
      </c>
      <c r="D601" s="5">
        <v>619715</v>
      </c>
      <c r="E601" s="5">
        <v>444362</v>
      </c>
      <c r="F601" s="5">
        <v>6132</v>
      </c>
      <c r="G601" s="5">
        <v>1070209</v>
      </c>
    </row>
    <row r="602" spans="1:7" x14ac:dyDescent="0.2">
      <c r="A602">
        <v>232</v>
      </c>
      <c r="B602" t="s">
        <v>179</v>
      </c>
      <c r="C602" t="s">
        <v>701</v>
      </c>
      <c r="D602" s="5">
        <v>9321</v>
      </c>
      <c r="E602" s="5">
        <v>34986</v>
      </c>
      <c r="F602" s="5">
        <v>0</v>
      </c>
      <c r="G602" s="5">
        <v>44307</v>
      </c>
    </row>
    <row r="603" spans="1:7" x14ac:dyDescent="0.2">
      <c r="A603">
        <v>232</v>
      </c>
      <c r="B603" t="s">
        <v>179</v>
      </c>
      <c r="C603" t="s">
        <v>703</v>
      </c>
      <c r="D603" s="5">
        <v>1869</v>
      </c>
      <c r="E603" s="5">
        <v>5228</v>
      </c>
      <c r="F603" s="5">
        <v>0</v>
      </c>
      <c r="G603" s="5">
        <v>7097</v>
      </c>
    </row>
    <row r="604" spans="1:7" x14ac:dyDescent="0.2">
      <c r="A604">
        <v>232</v>
      </c>
      <c r="B604" t="s">
        <v>179</v>
      </c>
      <c r="C604" t="s">
        <v>704</v>
      </c>
      <c r="D604" s="5">
        <v>10082</v>
      </c>
      <c r="E604" s="5">
        <v>309737</v>
      </c>
      <c r="F604" s="5">
        <v>1397</v>
      </c>
      <c r="G604" s="5">
        <v>321216</v>
      </c>
    </row>
    <row r="605" spans="1:7" x14ac:dyDescent="0.2">
      <c r="A605">
        <v>232</v>
      </c>
      <c r="B605" t="s">
        <v>179</v>
      </c>
      <c r="C605" t="s">
        <v>705</v>
      </c>
      <c r="D605" s="5">
        <v>8315</v>
      </c>
      <c r="E605" s="5">
        <v>31171</v>
      </c>
      <c r="F605" s="5">
        <v>0</v>
      </c>
      <c r="G605" s="5">
        <v>39486</v>
      </c>
    </row>
    <row r="606" spans="1:7" x14ac:dyDescent="0.2">
      <c r="A606">
        <v>232</v>
      </c>
      <c r="B606" t="s">
        <v>179</v>
      </c>
      <c r="C606" t="s">
        <v>707</v>
      </c>
      <c r="D606" s="5">
        <v>33106</v>
      </c>
      <c r="E606" s="5">
        <v>22856</v>
      </c>
      <c r="F606" s="5">
        <v>99</v>
      </c>
      <c r="G606" s="5">
        <v>56061</v>
      </c>
    </row>
    <row r="607" spans="1:7" x14ac:dyDescent="0.2">
      <c r="A607">
        <v>232</v>
      </c>
      <c r="B607" t="s">
        <v>179</v>
      </c>
      <c r="C607" t="s">
        <v>708</v>
      </c>
      <c r="D607" s="5">
        <v>5631</v>
      </c>
      <c r="E607" s="5">
        <v>28746</v>
      </c>
      <c r="F607" s="5">
        <v>0</v>
      </c>
      <c r="G607" s="5">
        <v>34377</v>
      </c>
    </row>
    <row r="608" spans="1:7" x14ac:dyDescent="0.2">
      <c r="A608">
        <v>232</v>
      </c>
      <c r="B608" t="s">
        <v>179</v>
      </c>
      <c r="C608" t="s">
        <v>709</v>
      </c>
      <c r="D608" s="5">
        <v>3208</v>
      </c>
      <c r="E608" s="5">
        <v>15813</v>
      </c>
      <c r="F608" s="5">
        <v>31</v>
      </c>
      <c r="G608" s="5">
        <v>19052</v>
      </c>
    </row>
    <row r="609" spans="1:7" x14ac:dyDescent="0.2">
      <c r="A609">
        <v>232</v>
      </c>
      <c r="B609" t="s">
        <v>179</v>
      </c>
      <c r="C609" t="s">
        <v>710</v>
      </c>
      <c r="D609" s="5">
        <v>138</v>
      </c>
      <c r="E609" s="5">
        <v>18774</v>
      </c>
      <c r="F609" s="5">
        <v>0</v>
      </c>
      <c r="G609" s="5">
        <v>18911</v>
      </c>
    </row>
    <row r="610" spans="1:7" x14ac:dyDescent="0.2">
      <c r="A610">
        <v>232</v>
      </c>
      <c r="B610" t="s">
        <v>179</v>
      </c>
      <c r="C610" t="s">
        <v>712</v>
      </c>
      <c r="D610" s="5">
        <v>10991</v>
      </c>
      <c r="E610" s="5">
        <v>54565</v>
      </c>
      <c r="F610" s="5">
        <v>0</v>
      </c>
      <c r="G610" s="5">
        <v>65556</v>
      </c>
    </row>
    <row r="611" spans="1:7" x14ac:dyDescent="0.2">
      <c r="A611">
        <v>233</v>
      </c>
      <c r="B611" t="s">
        <v>181</v>
      </c>
      <c r="C611" t="s">
        <v>700</v>
      </c>
      <c r="D611" s="5">
        <v>393741</v>
      </c>
      <c r="E611" s="5">
        <v>375174</v>
      </c>
      <c r="F611" s="5">
        <v>10217</v>
      </c>
      <c r="G611" s="5">
        <v>779131</v>
      </c>
    </row>
    <row r="612" spans="1:7" x14ac:dyDescent="0.2">
      <c r="A612">
        <v>233</v>
      </c>
      <c r="B612" t="s">
        <v>181</v>
      </c>
      <c r="C612" t="s">
        <v>701</v>
      </c>
      <c r="D612" s="5">
        <v>5701</v>
      </c>
      <c r="E612" s="5">
        <v>4803</v>
      </c>
      <c r="F612" s="5">
        <v>0</v>
      </c>
      <c r="G612" s="5">
        <v>10504</v>
      </c>
    </row>
    <row r="613" spans="1:7" x14ac:dyDescent="0.2">
      <c r="A613">
        <v>233</v>
      </c>
      <c r="B613" t="s">
        <v>181</v>
      </c>
      <c r="C613" t="s">
        <v>703</v>
      </c>
      <c r="D613" s="5">
        <v>7219</v>
      </c>
      <c r="E613" s="5">
        <v>22135</v>
      </c>
      <c r="F613" s="5">
        <v>0</v>
      </c>
      <c r="G613" s="5">
        <v>29354</v>
      </c>
    </row>
    <row r="614" spans="1:7" x14ac:dyDescent="0.2">
      <c r="A614">
        <v>233</v>
      </c>
      <c r="B614" t="s">
        <v>181</v>
      </c>
      <c r="C614" t="s">
        <v>704</v>
      </c>
      <c r="D614" s="5">
        <v>12412</v>
      </c>
      <c r="E614" s="5">
        <v>78296</v>
      </c>
      <c r="F614" s="5">
        <v>227</v>
      </c>
      <c r="G614" s="5">
        <v>90935</v>
      </c>
    </row>
    <row r="615" spans="1:7" x14ac:dyDescent="0.2">
      <c r="A615">
        <v>233</v>
      </c>
      <c r="B615" t="s">
        <v>181</v>
      </c>
      <c r="C615" t="s">
        <v>705</v>
      </c>
      <c r="D615" s="5">
        <v>4616</v>
      </c>
      <c r="E615" s="5">
        <v>41579</v>
      </c>
      <c r="F615" s="5">
        <v>0</v>
      </c>
      <c r="G615" s="5">
        <v>46195</v>
      </c>
    </row>
    <row r="616" spans="1:7" x14ac:dyDescent="0.2">
      <c r="A616">
        <v>233</v>
      </c>
      <c r="B616" t="s">
        <v>181</v>
      </c>
      <c r="C616" t="s">
        <v>707</v>
      </c>
      <c r="D616" s="5">
        <v>119931</v>
      </c>
      <c r="E616" s="5">
        <v>118201</v>
      </c>
      <c r="F616" s="5">
        <v>1075</v>
      </c>
      <c r="G616" s="5">
        <v>239207</v>
      </c>
    </row>
    <row r="617" spans="1:7" x14ac:dyDescent="0.2">
      <c r="A617">
        <v>233</v>
      </c>
      <c r="B617" t="s">
        <v>181</v>
      </c>
      <c r="C617" t="s">
        <v>708</v>
      </c>
      <c r="D617" s="5">
        <v>1936</v>
      </c>
      <c r="E617" s="5">
        <v>12850</v>
      </c>
      <c r="F617" s="5">
        <v>0</v>
      </c>
      <c r="G617" s="5">
        <v>14786</v>
      </c>
    </row>
    <row r="618" spans="1:7" x14ac:dyDescent="0.2">
      <c r="A618">
        <v>233</v>
      </c>
      <c r="B618" t="s">
        <v>181</v>
      </c>
      <c r="C618" t="s">
        <v>709</v>
      </c>
      <c r="D618" s="5">
        <v>10156</v>
      </c>
      <c r="E618" s="5">
        <v>46491</v>
      </c>
      <c r="F618" s="5">
        <v>57</v>
      </c>
      <c r="G618" s="5">
        <v>56703</v>
      </c>
    </row>
    <row r="619" spans="1:7" x14ac:dyDescent="0.2">
      <c r="A619">
        <v>233</v>
      </c>
      <c r="B619" t="s">
        <v>181</v>
      </c>
      <c r="C619" t="s">
        <v>710</v>
      </c>
      <c r="D619" s="5">
        <v>1661</v>
      </c>
      <c r="E619" s="5">
        <v>8725</v>
      </c>
      <c r="F619" s="5">
        <v>0</v>
      </c>
      <c r="G619" s="5">
        <v>10385</v>
      </c>
    </row>
    <row r="620" spans="1:7" x14ac:dyDescent="0.2">
      <c r="A620">
        <v>233</v>
      </c>
      <c r="B620" t="s">
        <v>181</v>
      </c>
      <c r="C620" t="s">
        <v>712</v>
      </c>
      <c r="D620" s="5">
        <v>6417</v>
      </c>
      <c r="E620" s="5">
        <v>30997</v>
      </c>
      <c r="F620" s="5">
        <v>0</v>
      </c>
      <c r="G620" s="5">
        <v>37414</v>
      </c>
    </row>
    <row r="621" spans="1:7" x14ac:dyDescent="0.2">
      <c r="A621">
        <v>243</v>
      </c>
      <c r="B621" t="s">
        <v>225</v>
      </c>
      <c r="C621" t="s">
        <v>700</v>
      </c>
      <c r="D621" s="5">
        <v>207371</v>
      </c>
      <c r="E621" s="5">
        <v>281297</v>
      </c>
      <c r="F621" s="5">
        <v>3651</v>
      </c>
      <c r="G621" s="5">
        <v>492319</v>
      </c>
    </row>
    <row r="622" spans="1:7" x14ac:dyDescent="0.2">
      <c r="A622">
        <v>243</v>
      </c>
      <c r="B622" t="s">
        <v>225</v>
      </c>
      <c r="C622" t="s">
        <v>701</v>
      </c>
      <c r="D622" s="5">
        <v>11304</v>
      </c>
      <c r="E622" s="5">
        <v>24557</v>
      </c>
      <c r="F622" s="5">
        <v>66</v>
      </c>
      <c r="G622" s="5">
        <v>35927</v>
      </c>
    </row>
    <row r="623" spans="1:7" x14ac:dyDescent="0.2">
      <c r="A623">
        <v>243</v>
      </c>
      <c r="B623" t="s">
        <v>225</v>
      </c>
      <c r="C623" t="s">
        <v>703</v>
      </c>
      <c r="D623" s="5">
        <v>752</v>
      </c>
      <c r="E623" s="5">
        <v>29015</v>
      </c>
      <c r="F623" s="5">
        <v>0</v>
      </c>
      <c r="G623" s="5">
        <v>29767</v>
      </c>
    </row>
    <row r="624" spans="1:7" x14ac:dyDescent="0.2">
      <c r="A624">
        <v>243</v>
      </c>
      <c r="B624" t="s">
        <v>225</v>
      </c>
      <c r="C624" t="s">
        <v>704</v>
      </c>
      <c r="D624" s="5">
        <v>13913</v>
      </c>
      <c r="E624" s="5">
        <v>289465</v>
      </c>
      <c r="F624" s="5">
        <v>0</v>
      </c>
      <c r="G624" s="5">
        <v>303379</v>
      </c>
    </row>
    <row r="625" spans="1:7" x14ac:dyDescent="0.2">
      <c r="A625">
        <v>243</v>
      </c>
      <c r="B625" t="s">
        <v>225</v>
      </c>
      <c r="C625" t="s">
        <v>705</v>
      </c>
      <c r="D625" s="5">
        <v>11194</v>
      </c>
      <c r="E625" s="5">
        <v>273011</v>
      </c>
      <c r="F625" s="5">
        <v>60</v>
      </c>
      <c r="G625" s="5">
        <v>284265</v>
      </c>
    </row>
    <row r="626" spans="1:7" x14ac:dyDescent="0.2">
      <c r="A626">
        <v>243</v>
      </c>
      <c r="B626" t="s">
        <v>225</v>
      </c>
      <c r="C626" t="s">
        <v>707</v>
      </c>
      <c r="D626" s="5">
        <v>40408</v>
      </c>
      <c r="E626" s="5">
        <v>22769</v>
      </c>
      <c r="F626" s="5">
        <v>884</v>
      </c>
      <c r="G626" s="5">
        <v>64061</v>
      </c>
    </row>
    <row r="627" spans="1:7" x14ac:dyDescent="0.2">
      <c r="A627">
        <v>243</v>
      </c>
      <c r="B627" t="s">
        <v>225</v>
      </c>
      <c r="C627" t="s">
        <v>708</v>
      </c>
      <c r="D627" s="5">
        <v>3471</v>
      </c>
      <c r="E627" s="5">
        <v>63828</v>
      </c>
      <c r="F627" s="5">
        <v>0</v>
      </c>
      <c r="G627" s="5">
        <v>67300</v>
      </c>
    </row>
    <row r="628" spans="1:7" x14ac:dyDescent="0.2">
      <c r="A628">
        <v>243</v>
      </c>
      <c r="B628" t="s">
        <v>225</v>
      </c>
      <c r="C628" t="s">
        <v>709</v>
      </c>
      <c r="D628" s="5">
        <v>9843</v>
      </c>
      <c r="E628" s="5">
        <v>82047</v>
      </c>
      <c r="F628" s="5">
        <v>303</v>
      </c>
      <c r="G628" s="5">
        <v>92194</v>
      </c>
    </row>
    <row r="629" spans="1:7" x14ac:dyDescent="0.2">
      <c r="A629">
        <v>243</v>
      </c>
      <c r="B629" t="s">
        <v>225</v>
      </c>
      <c r="C629" t="s">
        <v>710</v>
      </c>
      <c r="D629" s="5">
        <v>2830</v>
      </c>
      <c r="E629" s="5">
        <v>21934</v>
      </c>
      <c r="F629" s="5">
        <v>0</v>
      </c>
      <c r="G629" s="5">
        <v>24764</v>
      </c>
    </row>
    <row r="630" spans="1:7" x14ac:dyDescent="0.2">
      <c r="A630">
        <v>243</v>
      </c>
      <c r="B630" t="s">
        <v>225</v>
      </c>
      <c r="C630" t="s">
        <v>712</v>
      </c>
      <c r="D630" s="5">
        <v>14225</v>
      </c>
      <c r="E630" s="5">
        <v>116739</v>
      </c>
      <c r="F630" s="5">
        <v>0</v>
      </c>
      <c r="G630" s="5">
        <v>130963</v>
      </c>
    </row>
    <row r="631" spans="1:7" x14ac:dyDescent="0.2">
      <c r="A631">
        <v>244</v>
      </c>
      <c r="B631" t="s">
        <v>231</v>
      </c>
      <c r="C631" t="s">
        <v>700</v>
      </c>
      <c r="D631" s="5">
        <v>88110</v>
      </c>
      <c r="E631" s="5">
        <v>77748</v>
      </c>
      <c r="F631" s="5">
        <v>2175</v>
      </c>
      <c r="G631" s="5">
        <v>168032</v>
      </c>
    </row>
    <row r="632" spans="1:7" x14ac:dyDescent="0.2">
      <c r="A632">
        <v>244</v>
      </c>
      <c r="B632" t="s">
        <v>231</v>
      </c>
      <c r="C632" t="s">
        <v>701</v>
      </c>
      <c r="D632" s="5">
        <v>4563</v>
      </c>
      <c r="E632" s="5">
        <v>15401</v>
      </c>
      <c r="F632" s="5">
        <v>0</v>
      </c>
      <c r="G632" s="5">
        <v>19963</v>
      </c>
    </row>
    <row r="633" spans="1:7" x14ac:dyDescent="0.2">
      <c r="A633">
        <v>244</v>
      </c>
      <c r="B633" t="s">
        <v>231</v>
      </c>
      <c r="C633" t="s">
        <v>703</v>
      </c>
      <c r="D633" s="5">
        <v>1076</v>
      </c>
      <c r="E633" s="5">
        <v>847</v>
      </c>
      <c r="F633" s="5">
        <v>0</v>
      </c>
      <c r="G633" s="5">
        <v>1923</v>
      </c>
    </row>
    <row r="634" spans="1:7" x14ac:dyDescent="0.2">
      <c r="A634">
        <v>244</v>
      </c>
      <c r="B634" t="s">
        <v>231</v>
      </c>
      <c r="C634" t="s">
        <v>704</v>
      </c>
      <c r="D634" s="5">
        <v>781</v>
      </c>
      <c r="E634" s="5">
        <v>7306</v>
      </c>
      <c r="F634" s="5">
        <v>0</v>
      </c>
      <c r="G634" s="5">
        <v>8087</v>
      </c>
    </row>
    <row r="635" spans="1:7" x14ac:dyDescent="0.2">
      <c r="A635">
        <v>244</v>
      </c>
      <c r="B635" t="s">
        <v>231</v>
      </c>
      <c r="C635" t="s">
        <v>705</v>
      </c>
      <c r="D635" s="5">
        <v>643</v>
      </c>
      <c r="E635" s="5">
        <v>751</v>
      </c>
      <c r="F635" s="5">
        <v>596</v>
      </c>
      <c r="G635" s="5">
        <v>1989</v>
      </c>
    </row>
    <row r="636" spans="1:7" x14ac:dyDescent="0.2">
      <c r="A636">
        <v>244</v>
      </c>
      <c r="B636" t="s">
        <v>231</v>
      </c>
      <c r="C636" t="s">
        <v>707</v>
      </c>
      <c r="D636" s="5">
        <v>2265</v>
      </c>
      <c r="E636" s="5">
        <v>719</v>
      </c>
      <c r="F636" s="5">
        <v>0</v>
      </c>
      <c r="G636" s="5">
        <v>2984</v>
      </c>
    </row>
    <row r="637" spans="1:7" x14ac:dyDescent="0.2">
      <c r="A637">
        <v>244</v>
      </c>
      <c r="B637" t="s">
        <v>231</v>
      </c>
      <c r="C637" t="s">
        <v>709</v>
      </c>
      <c r="D637" s="5">
        <v>19657</v>
      </c>
      <c r="E637" s="5">
        <v>60561</v>
      </c>
      <c r="F637" s="5">
        <v>14</v>
      </c>
      <c r="G637" s="5">
        <v>80232</v>
      </c>
    </row>
    <row r="638" spans="1:7" x14ac:dyDescent="0.2">
      <c r="A638">
        <v>244</v>
      </c>
      <c r="B638" t="s">
        <v>231</v>
      </c>
      <c r="C638" t="s">
        <v>710</v>
      </c>
      <c r="D638" s="5">
        <v>500</v>
      </c>
      <c r="E638" s="5">
        <v>7563</v>
      </c>
      <c r="F638" s="5">
        <v>0</v>
      </c>
      <c r="G638" s="5">
        <v>8063</v>
      </c>
    </row>
    <row r="639" spans="1:7" x14ac:dyDescent="0.2">
      <c r="A639">
        <v>244</v>
      </c>
      <c r="B639" t="s">
        <v>231</v>
      </c>
      <c r="C639" t="s">
        <v>712</v>
      </c>
      <c r="D639" s="5">
        <v>7501</v>
      </c>
      <c r="E639" s="5">
        <v>26903</v>
      </c>
      <c r="F639" s="5">
        <v>69</v>
      </c>
      <c r="G639" s="5">
        <v>34473</v>
      </c>
    </row>
    <row r="640" spans="1:7" x14ac:dyDescent="0.2">
      <c r="A640">
        <v>246</v>
      </c>
      <c r="B640" t="s">
        <v>237</v>
      </c>
      <c r="C640" t="s">
        <v>700</v>
      </c>
      <c r="D640" s="5">
        <v>291549</v>
      </c>
      <c r="E640" s="5">
        <v>257712</v>
      </c>
      <c r="F640" s="5">
        <v>3970</v>
      </c>
      <c r="G640" s="5">
        <v>553232</v>
      </c>
    </row>
    <row r="641" spans="1:7" x14ac:dyDescent="0.2">
      <c r="A641">
        <v>246</v>
      </c>
      <c r="B641" t="s">
        <v>237</v>
      </c>
      <c r="C641" t="s">
        <v>701</v>
      </c>
      <c r="D641" s="5">
        <v>6999</v>
      </c>
      <c r="E641" s="5">
        <v>11917</v>
      </c>
      <c r="F641" s="5">
        <v>0</v>
      </c>
      <c r="G641" s="5">
        <v>18916</v>
      </c>
    </row>
    <row r="642" spans="1:7" x14ac:dyDescent="0.2">
      <c r="A642">
        <v>246</v>
      </c>
      <c r="B642" t="s">
        <v>237</v>
      </c>
      <c r="C642" t="s">
        <v>703</v>
      </c>
      <c r="D642" s="5">
        <v>0</v>
      </c>
      <c r="E642" s="5">
        <v>11627</v>
      </c>
      <c r="F642" s="5">
        <v>0</v>
      </c>
      <c r="G642" s="5">
        <v>11627</v>
      </c>
    </row>
    <row r="643" spans="1:7" x14ac:dyDescent="0.2">
      <c r="A643">
        <v>246</v>
      </c>
      <c r="B643" t="s">
        <v>237</v>
      </c>
      <c r="C643" t="s">
        <v>704</v>
      </c>
      <c r="D643" s="5">
        <v>29621</v>
      </c>
      <c r="E643" s="5">
        <v>126103</v>
      </c>
      <c r="F643" s="5">
        <v>0</v>
      </c>
      <c r="G643" s="5">
        <v>155724</v>
      </c>
    </row>
    <row r="644" spans="1:7" x14ac:dyDescent="0.2">
      <c r="A644">
        <v>246</v>
      </c>
      <c r="B644" t="s">
        <v>237</v>
      </c>
      <c r="C644" t="s">
        <v>705</v>
      </c>
      <c r="D644" s="5">
        <v>4012</v>
      </c>
      <c r="E644" s="5">
        <v>18223</v>
      </c>
      <c r="F644" s="5">
        <v>0</v>
      </c>
      <c r="G644" s="5">
        <v>22235</v>
      </c>
    </row>
    <row r="645" spans="1:7" x14ac:dyDescent="0.2">
      <c r="A645">
        <v>246</v>
      </c>
      <c r="B645" t="s">
        <v>237</v>
      </c>
      <c r="C645" t="s">
        <v>707</v>
      </c>
      <c r="D645" s="5">
        <v>601</v>
      </c>
      <c r="E645" s="5">
        <v>4453</v>
      </c>
      <c r="F645" s="5">
        <v>231</v>
      </c>
      <c r="G645" s="5">
        <v>5285</v>
      </c>
    </row>
    <row r="646" spans="1:7" x14ac:dyDescent="0.2">
      <c r="A646">
        <v>246</v>
      </c>
      <c r="B646" t="s">
        <v>237</v>
      </c>
      <c r="C646" t="s">
        <v>708</v>
      </c>
      <c r="D646" s="5">
        <v>2618</v>
      </c>
      <c r="E646" s="5">
        <v>13820</v>
      </c>
      <c r="F646" s="5">
        <v>0</v>
      </c>
      <c r="G646" s="5">
        <v>16438</v>
      </c>
    </row>
    <row r="647" spans="1:7" x14ac:dyDescent="0.2">
      <c r="A647">
        <v>246</v>
      </c>
      <c r="B647" t="s">
        <v>237</v>
      </c>
      <c r="C647" t="s">
        <v>709</v>
      </c>
      <c r="D647" s="5">
        <v>7589</v>
      </c>
      <c r="E647" s="5">
        <v>27263</v>
      </c>
      <c r="F647" s="5">
        <v>5</v>
      </c>
      <c r="G647" s="5">
        <v>34856</v>
      </c>
    </row>
    <row r="648" spans="1:7" x14ac:dyDescent="0.2">
      <c r="A648">
        <v>246</v>
      </c>
      <c r="B648" t="s">
        <v>237</v>
      </c>
      <c r="C648" t="s">
        <v>710</v>
      </c>
      <c r="D648" s="5">
        <v>2489</v>
      </c>
      <c r="E648" s="5">
        <v>16272</v>
      </c>
      <c r="F648" s="5">
        <v>0</v>
      </c>
      <c r="G648" s="5">
        <v>18761</v>
      </c>
    </row>
    <row r="649" spans="1:7" x14ac:dyDescent="0.2">
      <c r="A649">
        <v>246</v>
      </c>
      <c r="B649" t="s">
        <v>237</v>
      </c>
      <c r="C649" t="s">
        <v>711</v>
      </c>
      <c r="D649" s="5">
        <v>126</v>
      </c>
      <c r="E649" s="5">
        <v>116</v>
      </c>
      <c r="F649" s="5">
        <v>0</v>
      </c>
      <c r="G649" s="5">
        <v>242</v>
      </c>
    </row>
    <row r="650" spans="1:7" x14ac:dyDescent="0.2">
      <c r="A650">
        <v>246</v>
      </c>
      <c r="B650" t="s">
        <v>237</v>
      </c>
      <c r="C650" t="s">
        <v>712</v>
      </c>
      <c r="D650" s="5">
        <v>4056</v>
      </c>
      <c r="E650" s="5">
        <v>36757</v>
      </c>
      <c r="F650" s="5">
        <v>0</v>
      </c>
      <c r="G650" s="5">
        <v>40812</v>
      </c>
    </row>
    <row r="651" spans="1:7" x14ac:dyDescent="0.2">
      <c r="A651">
        <v>252</v>
      </c>
      <c r="B651" t="s">
        <v>259</v>
      </c>
      <c r="C651" t="s">
        <v>700</v>
      </c>
      <c r="D651" s="5">
        <v>176576</v>
      </c>
      <c r="E651" s="5">
        <v>190859</v>
      </c>
      <c r="F651" s="5">
        <v>1069</v>
      </c>
      <c r="G651" s="5">
        <v>368505</v>
      </c>
    </row>
    <row r="652" spans="1:7" x14ac:dyDescent="0.2">
      <c r="A652">
        <v>252</v>
      </c>
      <c r="B652" t="s">
        <v>259</v>
      </c>
      <c r="C652" t="s">
        <v>701</v>
      </c>
      <c r="D652" s="5">
        <v>5550</v>
      </c>
      <c r="E652" s="5">
        <v>11278</v>
      </c>
      <c r="F652" s="5">
        <v>314</v>
      </c>
      <c r="G652" s="5">
        <v>17143</v>
      </c>
    </row>
    <row r="653" spans="1:7" x14ac:dyDescent="0.2">
      <c r="A653">
        <v>252</v>
      </c>
      <c r="B653" t="s">
        <v>259</v>
      </c>
      <c r="C653" t="s">
        <v>703</v>
      </c>
      <c r="D653" s="5">
        <v>1135</v>
      </c>
      <c r="E653" s="5">
        <v>3750</v>
      </c>
      <c r="F653" s="5">
        <v>0</v>
      </c>
      <c r="G653" s="5">
        <v>4884</v>
      </c>
    </row>
    <row r="654" spans="1:7" x14ac:dyDescent="0.2">
      <c r="A654">
        <v>252</v>
      </c>
      <c r="B654" t="s">
        <v>259</v>
      </c>
      <c r="C654" t="s">
        <v>704</v>
      </c>
      <c r="D654" s="5">
        <v>19831</v>
      </c>
      <c r="E654" s="5">
        <v>99815</v>
      </c>
      <c r="F654" s="5">
        <v>125</v>
      </c>
      <c r="G654" s="5">
        <v>119772</v>
      </c>
    </row>
    <row r="655" spans="1:7" x14ac:dyDescent="0.2">
      <c r="A655">
        <v>252</v>
      </c>
      <c r="B655" t="s">
        <v>259</v>
      </c>
      <c r="C655" t="s">
        <v>705</v>
      </c>
      <c r="D655" s="5">
        <v>3922</v>
      </c>
      <c r="E655" s="5">
        <v>17346</v>
      </c>
      <c r="F655" s="5">
        <v>132</v>
      </c>
      <c r="G655" s="5">
        <v>21400</v>
      </c>
    </row>
    <row r="656" spans="1:7" x14ac:dyDescent="0.2">
      <c r="A656">
        <v>252</v>
      </c>
      <c r="B656" t="s">
        <v>259</v>
      </c>
      <c r="C656" t="s">
        <v>707</v>
      </c>
      <c r="D656" s="5">
        <v>3041</v>
      </c>
      <c r="E656" s="5">
        <v>4680</v>
      </c>
      <c r="F656" s="5">
        <v>35</v>
      </c>
      <c r="G656" s="5">
        <v>7756</v>
      </c>
    </row>
    <row r="657" spans="1:7" x14ac:dyDescent="0.2">
      <c r="A657">
        <v>252</v>
      </c>
      <c r="B657" t="s">
        <v>259</v>
      </c>
      <c r="C657" t="s">
        <v>708</v>
      </c>
      <c r="D657" s="5">
        <v>150</v>
      </c>
      <c r="E657" s="5">
        <v>8111</v>
      </c>
      <c r="F657" s="5">
        <v>0</v>
      </c>
      <c r="G657" s="5">
        <v>8261</v>
      </c>
    </row>
    <row r="658" spans="1:7" x14ac:dyDescent="0.2">
      <c r="A658">
        <v>252</v>
      </c>
      <c r="B658" t="s">
        <v>259</v>
      </c>
      <c r="C658" t="s">
        <v>709</v>
      </c>
      <c r="D658" s="5">
        <v>1723</v>
      </c>
      <c r="E658" s="5">
        <v>8234</v>
      </c>
      <c r="F658" s="5">
        <v>7</v>
      </c>
      <c r="G658" s="5">
        <v>9964</v>
      </c>
    </row>
    <row r="659" spans="1:7" x14ac:dyDescent="0.2">
      <c r="A659">
        <v>252</v>
      </c>
      <c r="B659" t="s">
        <v>259</v>
      </c>
      <c r="C659" t="s">
        <v>710</v>
      </c>
      <c r="D659" s="5">
        <v>2868</v>
      </c>
      <c r="E659" s="5">
        <v>16228</v>
      </c>
      <c r="F659" s="5">
        <v>0</v>
      </c>
      <c r="G659" s="5">
        <v>19095</v>
      </c>
    </row>
    <row r="660" spans="1:7" x14ac:dyDescent="0.2">
      <c r="A660">
        <v>252</v>
      </c>
      <c r="B660" t="s">
        <v>259</v>
      </c>
      <c r="C660" t="s">
        <v>712</v>
      </c>
      <c r="D660" s="5">
        <v>1356</v>
      </c>
      <c r="E660" s="5">
        <v>27588</v>
      </c>
      <c r="F660" s="5">
        <v>0</v>
      </c>
      <c r="G660" s="5">
        <v>28944</v>
      </c>
    </row>
    <row r="661" spans="1:7" x14ac:dyDescent="0.2">
      <c r="A661">
        <v>262</v>
      </c>
      <c r="B661" t="s">
        <v>337</v>
      </c>
      <c r="C661" t="s">
        <v>700</v>
      </c>
      <c r="D661" s="5">
        <v>941700</v>
      </c>
      <c r="E661" s="5">
        <v>567918</v>
      </c>
      <c r="F661" s="5">
        <v>10627</v>
      </c>
      <c r="G661" s="5">
        <v>1520245</v>
      </c>
    </row>
    <row r="662" spans="1:7" x14ac:dyDescent="0.2">
      <c r="A662">
        <v>262</v>
      </c>
      <c r="B662" t="s">
        <v>337</v>
      </c>
      <c r="C662" t="s">
        <v>701</v>
      </c>
      <c r="D662" s="5">
        <v>12807</v>
      </c>
      <c r="E662" s="5">
        <v>18994</v>
      </c>
      <c r="F662" s="5">
        <v>0</v>
      </c>
      <c r="G662" s="5">
        <v>31802</v>
      </c>
    </row>
    <row r="663" spans="1:7" x14ac:dyDescent="0.2">
      <c r="A663">
        <v>262</v>
      </c>
      <c r="B663" t="s">
        <v>337</v>
      </c>
      <c r="C663" t="s">
        <v>703</v>
      </c>
      <c r="D663" s="5">
        <v>7824</v>
      </c>
      <c r="E663" s="5">
        <v>21808</v>
      </c>
      <c r="F663" s="5">
        <v>0</v>
      </c>
      <c r="G663" s="5">
        <v>29632</v>
      </c>
    </row>
    <row r="664" spans="1:7" x14ac:dyDescent="0.2">
      <c r="A664">
        <v>262</v>
      </c>
      <c r="B664" t="s">
        <v>337</v>
      </c>
      <c r="C664" t="s">
        <v>704</v>
      </c>
      <c r="D664" s="5">
        <v>15286</v>
      </c>
      <c r="E664" s="5">
        <v>185558</v>
      </c>
      <c r="F664" s="5">
        <v>177</v>
      </c>
      <c r="G664" s="5">
        <v>201022</v>
      </c>
    </row>
    <row r="665" spans="1:7" x14ac:dyDescent="0.2">
      <c r="A665">
        <v>262</v>
      </c>
      <c r="B665" t="s">
        <v>337</v>
      </c>
      <c r="C665" t="s">
        <v>705</v>
      </c>
      <c r="D665" s="5">
        <v>9057</v>
      </c>
      <c r="E665" s="5">
        <v>30246</v>
      </c>
      <c r="F665" s="5">
        <v>0</v>
      </c>
      <c r="G665" s="5">
        <v>39303</v>
      </c>
    </row>
    <row r="666" spans="1:7" x14ac:dyDescent="0.2">
      <c r="A666">
        <v>262</v>
      </c>
      <c r="B666" t="s">
        <v>337</v>
      </c>
      <c r="C666" t="s">
        <v>707</v>
      </c>
      <c r="D666" s="5">
        <v>50016</v>
      </c>
      <c r="E666" s="5">
        <v>42668</v>
      </c>
      <c r="F666" s="5">
        <v>350</v>
      </c>
      <c r="G666" s="5">
        <v>93033</v>
      </c>
    </row>
    <row r="667" spans="1:7" x14ac:dyDescent="0.2">
      <c r="A667">
        <v>262</v>
      </c>
      <c r="B667" t="s">
        <v>337</v>
      </c>
      <c r="C667" t="s">
        <v>708</v>
      </c>
      <c r="D667" s="5">
        <v>3075</v>
      </c>
      <c r="E667" s="5">
        <v>22983</v>
      </c>
      <c r="F667" s="5">
        <v>0</v>
      </c>
      <c r="G667" s="5">
        <v>26059</v>
      </c>
    </row>
    <row r="668" spans="1:7" x14ac:dyDescent="0.2">
      <c r="A668">
        <v>262</v>
      </c>
      <c r="B668" t="s">
        <v>337</v>
      </c>
      <c r="C668" t="s">
        <v>709</v>
      </c>
      <c r="D668" s="5">
        <v>12072</v>
      </c>
      <c r="E668" s="5">
        <v>31036</v>
      </c>
      <c r="F668" s="5">
        <v>122</v>
      </c>
      <c r="G668" s="5">
        <v>43230</v>
      </c>
    </row>
    <row r="669" spans="1:7" x14ac:dyDescent="0.2">
      <c r="A669">
        <v>262</v>
      </c>
      <c r="B669" t="s">
        <v>337</v>
      </c>
      <c r="C669" t="s">
        <v>710</v>
      </c>
      <c r="D669" s="5">
        <v>4291</v>
      </c>
      <c r="E669" s="5">
        <v>29008</v>
      </c>
      <c r="F669" s="5">
        <v>0</v>
      </c>
      <c r="G669" s="5">
        <v>33299</v>
      </c>
    </row>
    <row r="670" spans="1:7" x14ac:dyDescent="0.2">
      <c r="A670">
        <v>262</v>
      </c>
      <c r="B670" t="s">
        <v>337</v>
      </c>
      <c r="C670" t="s">
        <v>711</v>
      </c>
      <c r="D670" s="5">
        <v>123</v>
      </c>
      <c r="E670" s="5">
        <v>336</v>
      </c>
      <c r="F670" s="5">
        <v>0</v>
      </c>
      <c r="G670" s="5">
        <v>459</v>
      </c>
    </row>
    <row r="671" spans="1:7" x14ac:dyDescent="0.2">
      <c r="A671">
        <v>262</v>
      </c>
      <c r="B671" t="s">
        <v>337</v>
      </c>
      <c r="C671" t="s">
        <v>712</v>
      </c>
      <c r="D671" s="5">
        <v>24739</v>
      </c>
      <c r="E671" s="5">
        <v>69115</v>
      </c>
      <c r="F671" s="5">
        <v>566</v>
      </c>
      <c r="G671" s="5">
        <v>94420</v>
      </c>
    </row>
    <row r="672" spans="1:7" x14ac:dyDescent="0.2">
      <c r="A672">
        <v>263</v>
      </c>
      <c r="B672" t="s">
        <v>345</v>
      </c>
      <c r="C672" t="s">
        <v>700</v>
      </c>
      <c r="D672" s="5">
        <v>564688</v>
      </c>
      <c r="E672" s="5">
        <v>673092</v>
      </c>
      <c r="F672" s="5">
        <v>24113</v>
      </c>
      <c r="G672" s="5">
        <v>1261893</v>
      </c>
    </row>
    <row r="673" spans="1:7" x14ac:dyDescent="0.2">
      <c r="A673">
        <v>263</v>
      </c>
      <c r="B673" t="s">
        <v>345</v>
      </c>
      <c r="C673" t="s">
        <v>701</v>
      </c>
      <c r="D673" s="5">
        <v>16674</v>
      </c>
      <c r="E673" s="5">
        <v>19023</v>
      </c>
      <c r="F673" s="5">
        <v>0</v>
      </c>
      <c r="G673" s="5">
        <v>35697</v>
      </c>
    </row>
    <row r="674" spans="1:7" x14ac:dyDescent="0.2">
      <c r="A674">
        <v>263</v>
      </c>
      <c r="B674" t="s">
        <v>345</v>
      </c>
      <c r="C674" t="s">
        <v>703</v>
      </c>
      <c r="D674" s="5">
        <v>1822</v>
      </c>
      <c r="E674" s="5">
        <v>3323</v>
      </c>
      <c r="F674" s="5">
        <v>0</v>
      </c>
      <c r="G674" s="5">
        <v>5146</v>
      </c>
    </row>
    <row r="675" spans="1:7" x14ac:dyDescent="0.2">
      <c r="A675">
        <v>263</v>
      </c>
      <c r="B675" t="s">
        <v>345</v>
      </c>
      <c r="C675" t="s">
        <v>704</v>
      </c>
      <c r="D675" s="5">
        <v>112958</v>
      </c>
      <c r="E675" s="5">
        <v>444151</v>
      </c>
      <c r="F675" s="5">
        <v>6898</v>
      </c>
      <c r="G675" s="5">
        <v>564007</v>
      </c>
    </row>
    <row r="676" spans="1:7" x14ac:dyDescent="0.2">
      <c r="A676">
        <v>263</v>
      </c>
      <c r="B676" t="s">
        <v>345</v>
      </c>
      <c r="C676" t="s">
        <v>705</v>
      </c>
      <c r="D676" s="5">
        <v>9261</v>
      </c>
      <c r="E676" s="5">
        <v>38000</v>
      </c>
      <c r="F676" s="5">
        <v>1136</v>
      </c>
      <c r="G676" s="5">
        <v>48398</v>
      </c>
    </row>
    <row r="677" spans="1:7" x14ac:dyDescent="0.2">
      <c r="A677">
        <v>263</v>
      </c>
      <c r="B677" t="s">
        <v>345</v>
      </c>
      <c r="C677" t="s">
        <v>707</v>
      </c>
      <c r="D677" s="5">
        <v>4312</v>
      </c>
      <c r="E677" s="5">
        <v>24360</v>
      </c>
      <c r="F677" s="5">
        <v>100</v>
      </c>
      <c r="G677" s="5">
        <v>28771</v>
      </c>
    </row>
    <row r="678" spans="1:7" x14ac:dyDescent="0.2">
      <c r="A678">
        <v>263</v>
      </c>
      <c r="B678" t="s">
        <v>345</v>
      </c>
      <c r="C678" t="s">
        <v>708</v>
      </c>
      <c r="D678" s="5">
        <v>578</v>
      </c>
      <c r="E678" s="5">
        <v>19134</v>
      </c>
      <c r="F678" s="5">
        <v>0</v>
      </c>
      <c r="G678" s="5">
        <v>19712</v>
      </c>
    </row>
    <row r="679" spans="1:7" x14ac:dyDescent="0.2">
      <c r="A679">
        <v>263</v>
      </c>
      <c r="B679" t="s">
        <v>345</v>
      </c>
      <c r="C679" t="s">
        <v>709</v>
      </c>
      <c r="D679" s="5">
        <v>1606</v>
      </c>
      <c r="E679" s="5">
        <v>7382</v>
      </c>
      <c r="F679" s="5">
        <v>27</v>
      </c>
      <c r="G679" s="5">
        <v>9015</v>
      </c>
    </row>
    <row r="680" spans="1:7" x14ac:dyDescent="0.2">
      <c r="A680">
        <v>263</v>
      </c>
      <c r="B680" t="s">
        <v>345</v>
      </c>
      <c r="C680" t="s">
        <v>710</v>
      </c>
      <c r="D680" s="5">
        <v>0</v>
      </c>
      <c r="E680" s="5">
        <v>12947</v>
      </c>
      <c r="F680" s="5">
        <v>0</v>
      </c>
      <c r="G680" s="5">
        <v>12947</v>
      </c>
    </row>
    <row r="681" spans="1:7" x14ac:dyDescent="0.2">
      <c r="A681">
        <v>263</v>
      </c>
      <c r="B681" t="s">
        <v>345</v>
      </c>
      <c r="C681" t="s">
        <v>712</v>
      </c>
      <c r="D681" s="5">
        <v>4178</v>
      </c>
      <c r="E681" s="5">
        <v>19173</v>
      </c>
      <c r="F681" s="5">
        <v>0</v>
      </c>
      <c r="G681" s="5">
        <v>23352</v>
      </c>
    </row>
    <row r="682" spans="1:7" x14ac:dyDescent="0.2">
      <c r="A682">
        <v>267</v>
      </c>
      <c r="B682" t="s">
        <v>389</v>
      </c>
      <c r="C682" t="s">
        <v>700</v>
      </c>
      <c r="D682" s="5">
        <v>480264</v>
      </c>
      <c r="E682" s="5">
        <v>353460</v>
      </c>
      <c r="F682" s="5">
        <v>7913</v>
      </c>
      <c r="G682" s="5">
        <v>841637</v>
      </c>
    </row>
    <row r="683" spans="1:7" x14ac:dyDescent="0.2">
      <c r="A683">
        <v>267</v>
      </c>
      <c r="B683" t="s">
        <v>389</v>
      </c>
      <c r="C683" t="s">
        <v>701</v>
      </c>
      <c r="D683" s="5">
        <v>9694</v>
      </c>
      <c r="E683" s="5">
        <v>34795</v>
      </c>
      <c r="F683" s="5">
        <v>0</v>
      </c>
      <c r="G683" s="5">
        <v>44489</v>
      </c>
    </row>
    <row r="684" spans="1:7" x14ac:dyDescent="0.2">
      <c r="A684">
        <v>267</v>
      </c>
      <c r="B684" t="s">
        <v>389</v>
      </c>
      <c r="C684" t="s">
        <v>703</v>
      </c>
      <c r="D684" s="5">
        <v>1645</v>
      </c>
      <c r="E684" s="5">
        <v>8643</v>
      </c>
      <c r="F684" s="5">
        <v>0</v>
      </c>
      <c r="G684" s="5">
        <v>10287</v>
      </c>
    </row>
    <row r="685" spans="1:7" x14ac:dyDescent="0.2">
      <c r="A685">
        <v>267</v>
      </c>
      <c r="B685" t="s">
        <v>389</v>
      </c>
      <c r="C685" t="s">
        <v>704</v>
      </c>
      <c r="D685" s="5">
        <v>20397</v>
      </c>
      <c r="E685" s="5">
        <v>527443</v>
      </c>
      <c r="F685" s="5">
        <v>1171</v>
      </c>
      <c r="G685" s="5">
        <v>549011</v>
      </c>
    </row>
    <row r="686" spans="1:7" x14ac:dyDescent="0.2">
      <c r="A686">
        <v>267</v>
      </c>
      <c r="B686" t="s">
        <v>389</v>
      </c>
      <c r="C686" t="s">
        <v>705</v>
      </c>
      <c r="D686" s="5">
        <v>6007</v>
      </c>
      <c r="E686" s="5">
        <v>179212</v>
      </c>
      <c r="F686" s="5">
        <v>50</v>
      </c>
      <c r="G686" s="5">
        <v>185269</v>
      </c>
    </row>
    <row r="687" spans="1:7" x14ac:dyDescent="0.2">
      <c r="A687">
        <v>267</v>
      </c>
      <c r="B687" t="s">
        <v>389</v>
      </c>
      <c r="C687" t="s">
        <v>707</v>
      </c>
      <c r="D687" s="5">
        <v>4663</v>
      </c>
      <c r="E687" s="5">
        <v>18618</v>
      </c>
      <c r="F687" s="5">
        <v>509</v>
      </c>
      <c r="G687" s="5">
        <v>23790</v>
      </c>
    </row>
    <row r="688" spans="1:7" x14ac:dyDescent="0.2">
      <c r="A688">
        <v>267</v>
      </c>
      <c r="B688" t="s">
        <v>389</v>
      </c>
      <c r="C688" t="s">
        <v>708</v>
      </c>
      <c r="D688" s="5">
        <v>3272</v>
      </c>
      <c r="E688" s="5">
        <v>54466</v>
      </c>
      <c r="F688" s="5">
        <v>0</v>
      </c>
      <c r="G688" s="5">
        <v>57739</v>
      </c>
    </row>
    <row r="689" spans="1:7" x14ac:dyDescent="0.2">
      <c r="A689">
        <v>267</v>
      </c>
      <c r="B689" t="s">
        <v>389</v>
      </c>
      <c r="C689" t="s">
        <v>709</v>
      </c>
      <c r="D689" s="5">
        <v>9496</v>
      </c>
      <c r="E689" s="5">
        <v>28533</v>
      </c>
      <c r="F689" s="5">
        <v>45</v>
      </c>
      <c r="G689" s="5">
        <v>38074</v>
      </c>
    </row>
    <row r="690" spans="1:7" x14ac:dyDescent="0.2">
      <c r="A690">
        <v>267</v>
      </c>
      <c r="B690" t="s">
        <v>389</v>
      </c>
      <c r="C690" t="s">
        <v>710</v>
      </c>
      <c r="D690" s="5">
        <v>1734</v>
      </c>
      <c r="E690" s="5">
        <v>19126</v>
      </c>
      <c r="F690" s="5">
        <v>0</v>
      </c>
      <c r="G690" s="5">
        <v>20861</v>
      </c>
    </row>
    <row r="691" spans="1:7" x14ac:dyDescent="0.2">
      <c r="A691">
        <v>267</v>
      </c>
      <c r="B691" t="s">
        <v>389</v>
      </c>
      <c r="C691" t="s">
        <v>712</v>
      </c>
      <c r="D691" s="5">
        <v>14175</v>
      </c>
      <c r="E691" s="5">
        <v>181001</v>
      </c>
      <c r="F691" s="5">
        <v>102</v>
      </c>
      <c r="G691" s="5">
        <v>195278</v>
      </c>
    </row>
    <row r="692" spans="1:7" x14ac:dyDescent="0.2">
      <c r="A692">
        <v>268</v>
      </c>
      <c r="B692" t="s">
        <v>391</v>
      </c>
      <c r="C692" t="s">
        <v>700</v>
      </c>
      <c r="D692" s="5">
        <v>189055</v>
      </c>
      <c r="E692" s="5">
        <v>558163</v>
      </c>
      <c r="F692" s="5">
        <v>18586</v>
      </c>
      <c r="G692" s="5">
        <v>765804</v>
      </c>
    </row>
    <row r="693" spans="1:7" x14ac:dyDescent="0.2">
      <c r="A693">
        <v>268</v>
      </c>
      <c r="B693" t="s">
        <v>391</v>
      </c>
      <c r="C693" t="s">
        <v>701</v>
      </c>
      <c r="D693" s="5">
        <v>35010</v>
      </c>
      <c r="E693" s="5">
        <v>142919</v>
      </c>
      <c r="F693" s="5">
        <v>656</v>
      </c>
      <c r="G693" s="5">
        <v>178585</v>
      </c>
    </row>
    <row r="694" spans="1:7" x14ac:dyDescent="0.2">
      <c r="A694">
        <v>268</v>
      </c>
      <c r="B694" t="s">
        <v>391</v>
      </c>
      <c r="C694" t="s">
        <v>703</v>
      </c>
      <c r="D694" s="5">
        <v>10694</v>
      </c>
      <c r="E694" s="5">
        <v>148892</v>
      </c>
      <c r="F694" s="5">
        <v>92</v>
      </c>
      <c r="G694" s="5">
        <v>159677</v>
      </c>
    </row>
    <row r="695" spans="1:7" x14ac:dyDescent="0.2">
      <c r="A695">
        <v>268</v>
      </c>
      <c r="B695" t="s">
        <v>391</v>
      </c>
      <c r="C695" t="s">
        <v>704</v>
      </c>
      <c r="D695" s="5">
        <v>59916</v>
      </c>
      <c r="E695" s="5">
        <v>967348</v>
      </c>
      <c r="F695" s="5">
        <v>199</v>
      </c>
      <c r="G695" s="5">
        <v>1027462</v>
      </c>
    </row>
    <row r="696" spans="1:7" x14ac:dyDescent="0.2">
      <c r="A696">
        <v>268</v>
      </c>
      <c r="B696" t="s">
        <v>391</v>
      </c>
      <c r="C696" t="s">
        <v>705</v>
      </c>
      <c r="D696" s="5">
        <v>35391</v>
      </c>
      <c r="E696" s="5">
        <v>423675</v>
      </c>
      <c r="F696" s="5">
        <v>1547</v>
      </c>
      <c r="G696" s="5">
        <v>460614</v>
      </c>
    </row>
    <row r="697" spans="1:7" x14ac:dyDescent="0.2">
      <c r="A697">
        <v>268</v>
      </c>
      <c r="B697" t="s">
        <v>391</v>
      </c>
      <c r="C697" t="s">
        <v>707</v>
      </c>
      <c r="D697" s="5">
        <v>3212</v>
      </c>
      <c r="E697" s="5">
        <v>6495</v>
      </c>
      <c r="F697" s="5">
        <v>99</v>
      </c>
      <c r="G697" s="5">
        <v>9806</v>
      </c>
    </row>
    <row r="698" spans="1:7" x14ac:dyDescent="0.2">
      <c r="A698">
        <v>268</v>
      </c>
      <c r="B698" t="s">
        <v>391</v>
      </c>
      <c r="C698" t="s">
        <v>708</v>
      </c>
      <c r="D698" s="5">
        <v>13360</v>
      </c>
      <c r="E698" s="5">
        <v>298881</v>
      </c>
      <c r="F698" s="5">
        <v>1489</v>
      </c>
      <c r="G698" s="5">
        <v>313730</v>
      </c>
    </row>
    <row r="699" spans="1:7" x14ac:dyDescent="0.2">
      <c r="A699">
        <v>268</v>
      </c>
      <c r="B699" t="s">
        <v>391</v>
      </c>
      <c r="C699" t="s">
        <v>709</v>
      </c>
      <c r="D699" s="5">
        <v>27339</v>
      </c>
      <c r="E699" s="5">
        <v>206003</v>
      </c>
      <c r="F699" s="5">
        <v>4725</v>
      </c>
      <c r="G699" s="5">
        <v>238067</v>
      </c>
    </row>
    <row r="700" spans="1:7" x14ac:dyDescent="0.2">
      <c r="A700">
        <v>268</v>
      </c>
      <c r="B700" t="s">
        <v>391</v>
      </c>
      <c r="C700" t="s">
        <v>710</v>
      </c>
      <c r="D700" s="5">
        <v>12419</v>
      </c>
      <c r="E700" s="5">
        <v>129704</v>
      </c>
      <c r="F700" s="5">
        <v>3757</v>
      </c>
      <c r="G700" s="5">
        <v>145879</v>
      </c>
    </row>
    <row r="701" spans="1:7" x14ac:dyDescent="0.2">
      <c r="A701">
        <v>268</v>
      </c>
      <c r="B701" t="s">
        <v>391</v>
      </c>
      <c r="C701" t="s">
        <v>712</v>
      </c>
      <c r="D701" s="5">
        <v>22461</v>
      </c>
      <c r="E701" s="5">
        <v>188213</v>
      </c>
      <c r="F701" s="5">
        <v>7162</v>
      </c>
      <c r="G701" s="5">
        <v>217836</v>
      </c>
    </row>
    <row r="702" spans="1:7" x14ac:dyDescent="0.2">
      <c r="A702">
        <v>269</v>
      </c>
      <c r="B702" t="s">
        <v>417</v>
      </c>
      <c r="C702" t="s">
        <v>700</v>
      </c>
      <c r="D702" s="5">
        <v>517319</v>
      </c>
      <c r="E702" s="5">
        <v>282958</v>
      </c>
      <c r="F702" s="5">
        <v>6253</v>
      </c>
      <c r="G702" s="5">
        <v>806530</v>
      </c>
    </row>
    <row r="703" spans="1:7" x14ac:dyDescent="0.2">
      <c r="A703">
        <v>269</v>
      </c>
      <c r="B703" t="s">
        <v>417</v>
      </c>
      <c r="C703" t="s">
        <v>701</v>
      </c>
      <c r="D703" s="5">
        <v>11493</v>
      </c>
      <c r="E703" s="5">
        <v>25738</v>
      </c>
      <c r="F703" s="5">
        <v>0</v>
      </c>
      <c r="G703" s="5">
        <v>37230</v>
      </c>
    </row>
    <row r="704" spans="1:7" x14ac:dyDescent="0.2">
      <c r="A704">
        <v>269</v>
      </c>
      <c r="B704" t="s">
        <v>417</v>
      </c>
      <c r="C704" t="s">
        <v>703</v>
      </c>
      <c r="D704" s="5">
        <v>1961</v>
      </c>
      <c r="E704" s="5">
        <v>1317</v>
      </c>
      <c r="F704" s="5">
        <v>0</v>
      </c>
      <c r="G704" s="5">
        <v>3278</v>
      </c>
    </row>
    <row r="705" spans="1:7" x14ac:dyDescent="0.2">
      <c r="A705">
        <v>269</v>
      </c>
      <c r="B705" t="s">
        <v>417</v>
      </c>
      <c r="C705" t="s">
        <v>704</v>
      </c>
      <c r="D705" s="5">
        <v>40929</v>
      </c>
      <c r="E705" s="5">
        <v>111275</v>
      </c>
      <c r="F705" s="5">
        <v>0</v>
      </c>
      <c r="G705" s="5">
        <v>152204</v>
      </c>
    </row>
    <row r="706" spans="1:7" x14ac:dyDescent="0.2">
      <c r="A706">
        <v>269</v>
      </c>
      <c r="B706" t="s">
        <v>417</v>
      </c>
      <c r="C706" t="s">
        <v>705</v>
      </c>
      <c r="D706" s="5">
        <v>2158</v>
      </c>
      <c r="E706" s="5">
        <v>16971</v>
      </c>
      <c r="F706" s="5">
        <v>0</v>
      </c>
      <c r="G706" s="5">
        <v>19129</v>
      </c>
    </row>
    <row r="707" spans="1:7" x14ac:dyDescent="0.2">
      <c r="A707">
        <v>269</v>
      </c>
      <c r="B707" t="s">
        <v>417</v>
      </c>
      <c r="C707" t="s">
        <v>707</v>
      </c>
      <c r="D707" s="5">
        <v>28217</v>
      </c>
      <c r="E707" s="5">
        <v>3200</v>
      </c>
      <c r="F707" s="5">
        <v>0</v>
      </c>
      <c r="G707" s="5">
        <v>31417</v>
      </c>
    </row>
    <row r="708" spans="1:7" x14ac:dyDescent="0.2">
      <c r="A708">
        <v>269</v>
      </c>
      <c r="B708" t="s">
        <v>417</v>
      </c>
      <c r="C708" t="s">
        <v>708</v>
      </c>
      <c r="D708" s="5">
        <v>1127</v>
      </c>
      <c r="E708" s="5">
        <v>13931</v>
      </c>
      <c r="F708" s="5">
        <v>0</v>
      </c>
      <c r="G708" s="5">
        <v>15058</v>
      </c>
    </row>
    <row r="709" spans="1:7" x14ac:dyDescent="0.2">
      <c r="A709">
        <v>269</v>
      </c>
      <c r="B709" t="s">
        <v>417</v>
      </c>
      <c r="C709" t="s">
        <v>709</v>
      </c>
      <c r="D709" s="5">
        <v>4873</v>
      </c>
      <c r="E709" s="5">
        <v>7499</v>
      </c>
      <c r="F709" s="5">
        <v>5</v>
      </c>
      <c r="G709" s="5">
        <v>12377</v>
      </c>
    </row>
    <row r="710" spans="1:7" x14ac:dyDescent="0.2">
      <c r="A710">
        <v>269</v>
      </c>
      <c r="B710" t="s">
        <v>417</v>
      </c>
      <c r="C710" t="s">
        <v>710</v>
      </c>
      <c r="D710" s="5">
        <v>666</v>
      </c>
      <c r="E710" s="5">
        <v>10473</v>
      </c>
      <c r="F710" s="5">
        <v>625</v>
      </c>
      <c r="G710" s="5">
        <v>11764</v>
      </c>
    </row>
    <row r="711" spans="1:7" x14ac:dyDescent="0.2">
      <c r="A711">
        <v>269</v>
      </c>
      <c r="B711" t="s">
        <v>417</v>
      </c>
      <c r="C711" t="s">
        <v>711</v>
      </c>
      <c r="D711" s="5">
        <v>65</v>
      </c>
      <c r="E711" s="5">
        <v>0</v>
      </c>
      <c r="F711" s="5">
        <v>0</v>
      </c>
      <c r="G711" s="5">
        <v>65</v>
      </c>
    </row>
    <row r="712" spans="1:7" x14ac:dyDescent="0.2">
      <c r="A712">
        <v>269</v>
      </c>
      <c r="B712" t="s">
        <v>417</v>
      </c>
      <c r="C712" t="s">
        <v>712</v>
      </c>
      <c r="D712" s="5">
        <v>11666</v>
      </c>
      <c r="E712" s="5">
        <v>56238</v>
      </c>
      <c r="F712" s="5">
        <v>0</v>
      </c>
      <c r="G712" s="5">
        <v>67904</v>
      </c>
    </row>
    <row r="713" spans="1:7" x14ac:dyDescent="0.2">
      <c r="A713">
        <v>273</v>
      </c>
      <c r="B713" t="s">
        <v>457</v>
      </c>
      <c r="C713" t="s">
        <v>700</v>
      </c>
      <c r="D713" s="5">
        <v>588018</v>
      </c>
      <c r="E713" s="5">
        <v>408739</v>
      </c>
      <c r="F713" s="5">
        <v>7704</v>
      </c>
      <c r="G713" s="5">
        <v>1004462</v>
      </c>
    </row>
    <row r="714" spans="1:7" x14ac:dyDescent="0.2">
      <c r="A714">
        <v>273</v>
      </c>
      <c r="B714" t="s">
        <v>457</v>
      </c>
      <c r="C714" t="s">
        <v>701</v>
      </c>
      <c r="D714" s="5">
        <v>11174</v>
      </c>
      <c r="E714" s="5">
        <v>9493</v>
      </c>
      <c r="F714" s="5">
        <v>0</v>
      </c>
      <c r="G714" s="5">
        <v>20667</v>
      </c>
    </row>
    <row r="715" spans="1:7" x14ac:dyDescent="0.2">
      <c r="A715">
        <v>273</v>
      </c>
      <c r="B715" t="s">
        <v>457</v>
      </c>
      <c r="C715" t="s">
        <v>703</v>
      </c>
      <c r="D715" s="5">
        <v>1945</v>
      </c>
      <c r="E715" s="5">
        <v>3042</v>
      </c>
      <c r="F715" s="5">
        <v>0</v>
      </c>
      <c r="G715" s="5">
        <v>4986</v>
      </c>
    </row>
    <row r="716" spans="1:7" x14ac:dyDescent="0.2">
      <c r="A716">
        <v>273</v>
      </c>
      <c r="B716" t="s">
        <v>457</v>
      </c>
      <c r="C716" t="s">
        <v>704</v>
      </c>
      <c r="D716" s="5">
        <v>15842</v>
      </c>
      <c r="E716" s="5">
        <v>146348</v>
      </c>
      <c r="F716" s="5">
        <v>0</v>
      </c>
      <c r="G716" s="5">
        <v>162190</v>
      </c>
    </row>
    <row r="717" spans="1:7" x14ac:dyDescent="0.2">
      <c r="A717">
        <v>273</v>
      </c>
      <c r="B717" t="s">
        <v>457</v>
      </c>
      <c r="C717" t="s">
        <v>705</v>
      </c>
      <c r="D717" s="5">
        <v>4886</v>
      </c>
      <c r="E717" s="5">
        <v>28390</v>
      </c>
      <c r="F717" s="5">
        <v>200</v>
      </c>
      <c r="G717" s="5">
        <v>33476</v>
      </c>
    </row>
    <row r="718" spans="1:7" x14ac:dyDescent="0.2">
      <c r="A718">
        <v>273</v>
      </c>
      <c r="B718" t="s">
        <v>457</v>
      </c>
      <c r="C718" t="s">
        <v>707</v>
      </c>
      <c r="D718" s="5">
        <v>28876</v>
      </c>
      <c r="E718" s="5">
        <v>37219</v>
      </c>
      <c r="F718" s="5">
        <v>668</v>
      </c>
      <c r="G718" s="5">
        <v>66762</v>
      </c>
    </row>
    <row r="719" spans="1:7" x14ac:dyDescent="0.2">
      <c r="A719">
        <v>273</v>
      </c>
      <c r="B719" t="s">
        <v>457</v>
      </c>
      <c r="C719" t="s">
        <v>708</v>
      </c>
      <c r="D719" s="5">
        <v>5557</v>
      </c>
      <c r="E719" s="5">
        <v>14782</v>
      </c>
      <c r="F719" s="5">
        <v>0</v>
      </c>
      <c r="G719" s="5">
        <v>20339</v>
      </c>
    </row>
    <row r="720" spans="1:7" x14ac:dyDescent="0.2">
      <c r="A720">
        <v>273</v>
      </c>
      <c r="B720" t="s">
        <v>457</v>
      </c>
      <c r="C720" t="s">
        <v>709</v>
      </c>
      <c r="D720" s="5">
        <v>4428</v>
      </c>
      <c r="E720" s="5">
        <v>11117</v>
      </c>
      <c r="F720" s="5">
        <v>51</v>
      </c>
      <c r="G720" s="5">
        <v>15597</v>
      </c>
    </row>
    <row r="721" spans="1:7" x14ac:dyDescent="0.2">
      <c r="A721">
        <v>273</v>
      </c>
      <c r="B721" t="s">
        <v>457</v>
      </c>
      <c r="C721" t="s">
        <v>710</v>
      </c>
      <c r="D721" s="5">
        <v>525</v>
      </c>
      <c r="E721" s="5">
        <v>12965</v>
      </c>
      <c r="F721" s="5">
        <v>0</v>
      </c>
      <c r="G721" s="5">
        <v>13490</v>
      </c>
    </row>
    <row r="722" spans="1:7" x14ac:dyDescent="0.2">
      <c r="A722">
        <v>273</v>
      </c>
      <c r="B722" t="s">
        <v>457</v>
      </c>
      <c r="C722" t="s">
        <v>711</v>
      </c>
      <c r="D722" s="5">
        <v>113</v>
      </c>
      <c r="E722" s="5">
        <v>0</v>
      </c>
      <c r="F722" s="5">
        <v>0</v>
      </c>
      <c r="G722" s="5">
        <v>113</v>
      </c>
    </row>
    <row r="723" spans="1:7" x14ac:dyDescent="0.2">
      <c r="A723">
        <v>273</v>
      </c>
      <c r="B723" t="s">
        <v>457</v>
      </c>
      <c r="C723" t="s">
        <v>712</v>
      </c>
      <c r="D723" s="5">
        <v>8950</v>
      </c>
      <c r="E723" s="5">
        <v>58236</v>
      </c>
      <c r="F723" s="5">
        <v>0</v>
      </c>
      <c r="G723" s="5">
        <v>67186</v>
      </c>
    </row>
    <row r="724" spans="1:7" x14ac:dyDescent="0.2">
      <c r="A724">
        <v>274</v>
      </c>
      <c r="B724" t="s">
        <v>463</v>
      </c>
      <c r="C724" t="s">
        <v>700</v>
      </c>
      <c r="D724" s="5">
        <v>113126</v>
      </c>
      <c r="E724" s="5">
        <v>154808</v>
      </c>
      <c r="F724" s="5">
        <v>1113</v>
      </c>
      <c r="G724" s="5">
        <v>269046</v>
      </c>
    </row>
    <row r="725" spans="1:7" x14ac:dyDescent="0.2">
      <c r="A725">
        <v>274</v>
      </c>
      <c r="B725" t="s">
        <v>463</v>
      </c>
      <c r="C725" t="s">
        <v>701</v>
      </c>
      <c r="D725" s="5">
        <v>16410</v>
      </c>
      <c r="E725" s="5">
        <v>21583</v>
      </c>
      <c r="F725" s="5">
        <v>280</v>
      </c>
      <c r="G725" s="5">
        <v>38273</v>
      </c>
    </row>
    <row r="726" spans="1:7" x14ac:dyDescent="0.2">
      <c r="A726">
        <v>274</v>
      </c>
      <c r="B726" t="s">
        <v>463</v>
      </c>
      <c r="C726" t="s">
        <v>703</v>
      </c>
      <c r="D726" s="5">
        <v>3166</v>
      </c>
      <c r="E726" s="5">
        <v>16730</v>
      </c>
      <c r="F726" s="5">
        <v>0</v>
      </c>
      <c r="G726" s="5">
        <v>19896</v>
      </c>
    </row>
    <row r="727" spans="1:7" x14ac:dyDescent="0.2">
      <c r="A727">
        <v>274</v>
      </c>
      <c r="B727" t="s">
        <v>463</v>
      </c>
      <c r="C727" t="s">
        <v>704</v>
      </c>
      <c r="D727" s="5">
        <v>3917</v>
      </c>
      <c r="E727" s="5">
        <v>141910</v>
      </c>
      <c r="F727" s="5">
        <v>0</v>
      </c>
      <c r="G727" s="5">
        <v>145827</v>
      </c>
    </row>
    <row r="728" spans="1:7" x14ac:dyDescent="0.2">
      <c r="A728">
        <v>274</v>
      </c>
      <c r="B728" t="s">
        <v>463</v>
      </c>
      <c r="C728" t="s">
        <v>705</v>
      </c>
      <c r="D728" s="5">
        <v>7775</v>
      </c>
      <c r="E728" s="5">
        <v>34127</v>
      </c>
      <c r="F728" s="5">
        <v>0</v>
      </c>
      <c r="G728" s="5">
        <v>41902</v>
      </c>
    </row>
    <row r="729" spans="1:7" x14ac:dyDescent="0.2">
      <c r="A729">
        <v>274</v>
      </c>
      <c r="B729" t="s">
        <v>463</v>
      </c>
      <c r="C729" t="s">
        <v>707</v>
      </c>
      <c r="D729" s="5">
        <v>279</v>
      </c>
      <c r="E729" s="5">
        <v>13747</v>
      </c>
      <c r="F729" s="5">
        <v>0</v>
      </c>
      <c r="G729" s="5">
        <v>14025</v>
      </c>
    </row>
    <row r="730" spans="1:7" x14ac:dyDescent="0.2">
      <c r="A730">
        <v>274</v>
      </c>
      <c r="B730" t="s">
        <v>463</v>
      </c>
      <c r="C730" t="s">
        <v>708</v>
      </c>
      <c r="D730" s="5">
        <v>3576</v>
      </c>
      <c r="E730" s="5">
        <v>22819</v>
      </c>
      <c r="F730" s="5">
        <v>0</v>
      </c>
      <c r="G730" s="5">
        <v>26395</v>
      </c>
    </row>
    <row r="731" spans="1:7" x14ac:dyDescent="0.2">
      <c r="A731">
        <v>274</v>
      </c>
      <c r="B731" t="s">
        <v>463</v>
      </c>
      <c r="C731" t="s">
        <v>709</v>
      </c>
      <c r="D731" s="5">
        <v>8080</v>
      </c>
      <c r="E731" s="5">
        <v>15743</v>
      </c>
      <c r="F731" s="5">
        <v>292</v>
      </c>
      <c r="G731" s="5">
        <v>24115</v>
      </c>
    </row>
    <row r="732" spans="1:7" x14ac:dyDescent="0.2">
      <c r="A732">
        <v>274</v>
      </c>
      <c r="B732" t="s">
        <v>463</v>
      </c>
      <c r="C732" t="s">
        <v>710</v>
      </c>
      <c r="D732" s="5">
        <v>2324</v>
      </c>
      <c r="E732" s="5">
        <v>7302</v>
      </c>
      <c r="F732" s="5">
        <v>0</v>
      </c>
      <c r="G732" s="5">
        <v>9626</v>
      </c>
    </row>
    <row r="733" spans="1:7" x14ac:dyDescent="0.2">
      <c r="A733">
        <v>274</v>
      </c>
      <c r="B733" t="s">
        <v>463</v>
      </c>
      <c r="C733" t="s">
        <v>712</v>
      </c>
      <c r="D733" s="5">
        <v>7263</v>
      </c>
      <c r="E733" s="5">
        <v>33202</v>
      </c>
      <c r="F733" s="5">
        <v>0</v>
      </c>
      <c r="G733" s="5">
        <v>40466</v>
      </c>
    </row>
    <row r="734" spans="1:7" x14ac:dyDescent="0.2">
      <c r="A734">
        <v>275</v>
      </c>
      <c r="B734" t="s">
        <v>469</v>
      </c>
      <c r="C734" t="s">
        <v>700</v>
      </c>
      <c r="D734" s="5">
        <v>197377</v>
      </c>
      <c r="E734" s="5">
        <v>289836</v>
      </c>
      <c r="F734" s="5">
        <v>2560</v>
      </c>
      <c r="G734" s="5">
        <v>489773</v>
      </c>
    </row>
    <row r="735" spans="1:7" x14ac:dyDescent="0.2">
      <c r="A735">
        <v>275</v>
      </c>
      <c r="B735" t="s">
        <v>469</v>
      </c>
      <c r="C735" t="s">
        <v>701</v>
      </c>
      <c r="D735" s="5">
        <v>7085</v>
      </c>
      <c r="E735" s="5">
        <v>7845</v>
      </c>
      <c r="F735" s="5">
        <v>0</v>
      </c>
      <c r="G735" s="5">
        <v>14930</v>
      </c>
    </row>
    <row r="736" spans="1:7" x14ac:dyDescent="0.2">
      <c r="A736">
        <v>275</v>
      </c>
      <c r="B736" t="s">
        <v>469</v>
      </c>
      <c r="C736" t="s">
        <v>703</v>
      </c>
      <c r="D736" s="5">
        <v>2826</v>
      </c>
      <c r="E736" s="5">
        <v>11694</v>
      </c>
      <c r="F736" s="5">
        <v>0</v>
      </c>
      <c r="G736" s="5">
        <v>14521</v>
      </c>
    </row>
    <row r="737" spans="1:7" x14ac:dyDescent="0.2">
      <c r="A737">
        <v>275</v>
      </c>
      <c r="B737" t="s">
        <v>469</v>
      </c>
      <c r="C737" t="s">
        <v>704</v>
      </c>
      <c r="D737" s="5">
        <v>2131</v>
      </c>
      <c r="E737" s="5">
        <v>115161</v>
      </c>
      <c r="F737" s="5">
        <v>320</v>
      </c>
      <c r="G737" s="5">
        <v>117611</v>
      </c>
    </row>
    <row r="738" spans="1:7" x14ac:dyDescent="0.2">
      <c r="A738">
        <v>275</v>
      </c>
      <c r="B738" t="s">
        <v>469</v>
      </c>
      <c r="C738" t="s">
        <v>705</v>
      </c>
      <c r="D738" s="5">
        <v>5394</v>
      </c>
      <c r="E738" s="5">
        <v>65509</v>
      </c>
      <c r="F738" s="5">
        <v>0</v>
      </c>
      <c r="G738" s="5">
        <v>70903</v>
      </c>
    </row>
    <row r="739" spans="1:7" x14ac:dyDescent="0.2">
      <c r="A739">
        <v>275</v>
      </c>
      <c r="B739" t="s">
        <v>469</v>
      </c>
      <c r="C739" t="s">
        <v>707</v>
      </c>
      <c r="D739" s="5">
        <v>2069</v>
      </c>
      <c r="E739" s="5">
        <v>5903</v>
      </c>
      <c r="F739" s="5">
        <v>0</v>
      </c>
      <c r="G739" s="5">
        <v>7972</v>
      </c>
    </row>
    <row r="740" spans="1:7" x14ac:dyDescent="0.2">
      <c r="A740">
        <v>275</v>
      </c>
      <c r="B740" t="s">
        <v>469</v>
      </c>
      <c r="C740" t="s">
        <v>708</v>
      </c>
      <c r="D740" s="5">
        <v>3862</v>
      </c>
      <c r="E740" s="5">
        <v>37025</v>
      </c>
      <c r="F740" s="5">
        <v>0</v>
      </c>
      <c r="G740" s="5">
        <v>40886</v>
      </c>
    </row>
    <row r="741" spans="1:7" x14ac:dyDescent="0.2">
      <c r="A741">
        <v>275</v>
      </c>
      <c r="B741" t="s">
        <v>469</v>
      </c>
      <c r="C741" t="s">
        <v>709</v>
      </c>
      <c r="D741" s="5">
        <v>30242</v>
      </c>
      <c r="E741" s="5">
        <v>122048</v>
      </c>
      <c r="F741" s="5">
        <v>192</v>
      </c>
      <c r="G741" s="5">
        <v>152482</v>
      </c>
    </row>
    <row r="742" spans="1:7" x14ac:dyDescent="0.2">
      <c r="A742">
        <v>275</v>
      </c>
      <c r="B742" t="s">
        <v>469</v>
      </c>
      <c r="C742" t="s">
        <v>710</v>
      </c>
      <c r="D742" s="5">
        <v>1612</v>
      </c>
      <c r="E742" s="5">
        <v>26170</v>
      </c>
      <c r="F742" s="5">
        <v>0</v>
      </c>
      <c r="G742" s="5">
        <v>27782</v>
      </c>
    </row>
    <row r="743" spans="1:7" x14ac:dyDescent="0.2">
      <c r="A743">
        <v>275</v>
      </c>
      <c r="B743" t="s">
        <v>469</v>
      </c>
      <c r="C743" t="s">
        <v>712</v>
      </c>
      <c r="D743" s="5">
        <v>12396</v>
      </c>
      <c r="E743" s="5">
        <v>51956</v>
      </c>
      <c r="F743" s="5">
        <v>84</v>
      </c>
      <c r="G743" s="5">
        <v>64436</v>
      </c>
    </row>
    <row r="744" spans="1:7" x14ac:dyDescent="0.2">
      <c r="A744">
        <v>277</v>
      </c>
      <c r="B744" t="s">
        <v>489</v>
      </c>
      <c r="C744" t="s">
        <v>700</v>
      </c>
      <c r="D744" s="5">
        <v>7368</v>
      </c>
      <c r="E744" s="5">
        <v>3757</v>
      </c>
      <c r="F744" s="5">
        <v>207</v>
      </c>
      <c r="G744" s="5">
        <v>11332</v>
      </c>
    </row>
    <row r="745" spans="1:7" x14ac:dyDescent="0.2">
      <c r="A745">
        <v>277</v>
      </c>
      <c r="B745" t="s">
        <v>489</v>
      </c>
      <c r="C745" t="s">
        <v>701</v>
      </c>
      <c r="D745" s="5">
        <v>918</v>
      </c>
      <c r="E745" s="5">
        <v>0</v>
      </c>
      <c r="F745" s="5">
        <v>0</v>
      </c>
      <c r="G745" s="5">
        <v>918</v>
      </c>
    </row>
    <row r="746" spans="1:7" x14ac:dyDescent="0.2">
      <c r="A746">
        <v>277</v>
      </c>
      <c r="B746" t="s">
        <v>489</v>
      </c>
      <c r="C746" t="s">
        <v>703</v>
      </c>
      <c r="D746" s="5">
        <v>0</v>
      </c>
      <c r="E746" s="5">
        <v>2245</v>
      </c>
      <c r="F746" s="5">
        <v>0</v>
      </c>
      <c r="G746" s="5">
        <v>2245</v>
      </c>
    </row>
    <row r="747" spans="1:7" x14ac:dyDescent="0.2">
      <c r="A747">
        <v>277</v>
      </c>
      <c r="B747" t="s">
        <v>489</v>
      </c>
      <c r="C747" t="s">
        <v>705</v>
      </c>
      <c r="D747" s="5">
        <v>538</v>
      </c>
      <c r="E747" s="5">
        <v>0</v>
      </c>
      <c r="F747" s="5">
        <v>0</v>
      </c>
      <c r="G747" s="5">
        <v>538</v>
      </c>
    </row>
    <row r="748" spans="1:7" x14ac:dyDescent="0.2">
      <c r="A748">
        <v>277</v>
      </c>
      <c r="B748" t="s">
        <v>489</v>
      </c>
      <c r="C748" t="s">
        <v>708</v>
      </c>
      <c r="D748" s="5">
        <v>0</v>
      </c>
      <c r="E748" s="5">
        <v>5763</v>
      </c>
      <c r="F748" s="5">
        <v>0</v>
      </c>
      <c r="G748" s="5">
        <v>5763</v>
      </c>
    </row>
    <row r="749" spans="1:7" x14ac:dyDescent="0.2">
      <c r="A749">
        <v>277</v>
      </c>
      <c r="B749" t="s">
        <v>489</v>
      </c>
      <c r="C749" t="s">
        <v>709</v>
      </c>
      <c r="D749" s="5">
        <v>1419</v>
      </c>
      <c r="E749" s="5">
        <v>268</v>
      </c>
      <c r="F749" s="5">
        <v>0</v>
      </c>
      <c r="G749" s="5">
        <v>1687</v>
      </c>
    </row>
    <row r="750" spans="1:7" x14ac:dyDescent="0.2">
      <c r="A750">
        <v>277</v>
      </c>
      <c r="B750" t="s">
        <v>489</v>
      </c>
      <c r="C750" t="s">
        <v>710</v>
      </c>
      <c r="D750" s="5">
        <v>446</v>
      </c>
      <c r="E750" s="5">
        <v>1951</v>
      </c>
      <c r="F750" s="5">
        <v>0</v>
      </c>
      <c r="G750" s="5">
        <v>2398</v>
      </c>
    </row>
    <row r="751" spans="1:7" x14ac:dyDescent="0.2">
      <c r="A751">
        <v>277</v>
      </c>
      <c r="B751" t="s">
        <v>489</v>
      </c>
      <c r="C751" t="s">
        <v>712</v>
      </c>
      <c r="D751" s="5">
        <v>223</v>
      </c>
      <c r="E751" s="5">
        <v>0</v>
      </c>
      <c r="F751" s="5">
        <v>0</v>
      </c>
      <c r="G751" s="5">
        <v>223</v>
      </c>
    </row>
    <row r="752" spans="1:7" x14ac:dyDescent="0.2">
      <c r="A752">
        <v>279</v>
      </c>
      <c r="B752" t="s">
        <v>495</v>
      </c>
      <c r="C752" t="s">
        <v>700</v>
      </c>
      <c r="D752" s="5">
        <v>95826</v>
      </c>
      <c r="E752" s="5">
        <v>158190</v>
      </c>
      <c r="F752" s="5">
        <v>4870</v>
      </c>
      <c r="G752" s="5">
        <v>258886</v>
      </c>
    </row>
    <row r="753" spans="1:7" x14ac:dyDescent="0.2">
      <c r="A753">
        <v>279</v>
      </c>
      <c r="B753" t="s">
        <v>495</v>
      </c>
      <c r="C753" t="s">
        <v>701</v>
      </c>
      <c r="D753" s="5">
        <v>3513</v>
      </c>
      <c r="E753" s="5">
        <v>7128</v>
      </c>
      <c r="F753" s="5">
        <v>0</v>
      </c>
      <c r="G753" s="5">
        <v>10641</v>
      </c>
    </row>
    <row r="754" spans="1:7" x14ac:dyDescent="0.2">
      <c r="A754">
        <v>279</v>
      </c>
      <c r="B754" t="s">
        <v>495</v>
      </c>
      <c r="C754" t="s">
        <v>703</v>
      </c>
      <c r="D754" s="5">
        <v>1587</v>
      </c>
      <c r="E754" s="5">
        <v>1507</v>
      </c>
      <c r="F754" s="5">
        <v>0</v>
      </c>
      <c r="G754" s="5">
        <v>3094</v>
      </c>
    </row>
    <row r="755" spans="1:7" x14ac:dyDescent="0.2">
      <c r="A755">
        <v>279</v>
      </c>
      <c r="B755" t="s">
        <v>495</v>
      </c>
      <c r="C755" t="s">
        <v>704</v>
      </c>
      <c r="D755" s="5">
        <v>18770</v>
      </c>
      <c r="E755" s="5">
        <v>72447</v>
      </c>
      <c r="F755" s="5">
        <v>0</v>
      </c>
      <c r="G755" s="5">
        <v>91217</v>
      </c>
    </row>
    <row r="756" spans="1:7" x14ac:dyDescent="0.2">
      <c r="A756">
        <v>279</v>
      </c>
      <c r="B756" t="s">
        <v>495</v>
      </c>
      <c r="C756" t="s">
        <v>705</v>
      </c>
      <c r="D756" s="5">
        <v>4526</v>
      </c>
      <c r="E756" s="5">
        <v>34630</v>
      </c>
      <c r="F756" s="5">
        <v>0</v>
      </c>
      <c r="G756" s="5">
        <v>39157</v>
      </c>
    </row>
    <row r="757" spans="1:7" x14ac:dyDescent="0.2">
      <c r="A757">
        <v>279</v>
      </c>
      <c r="B757" t="s">
        <v>495</v>
      </c>
      <c r="C757" t="s">
        <v>707</v>
      </c>
      <c r="D757" s="5">
        <v>7942</v>
      </c>
      <c r="E757" s="5">
        <v>759</v>
      </c>
      <c r="F757" s="5">
        <v>0</v>
      </c>
      <c r="G757" s="5">
        <v>8701</v>
      </c>
    </row>
    <row r="758" spans="1:7" x14ac:dyDescent="0.2">
      <c r="A758">
        <v>279</v>
      </c>
      <c r="B758" t="s">
        <v>495</v>
      </c>
      <c r="C758" t="s">
        <v>708</v>
      </c>
      <c r="D758" s="5">
        <v>11</v>
      </c>
      <c r="E758" s="5">
        <v>7881</v>
      </c>
      <c r="F758" s="5">
        <v>0</v>
      </c>
      <c r="G758" s="5">
        <v>7892</v>
      </c>
    </row>
    <row r="759" spans="1:7" x14ac:dyDescent="0.2">
      <c r="A759">
        <v>279</v>
      </c>
      <c r="B759" t="s">
        <v>495</v>
      </c>
      <c r="C759" t="s">
        <v>709</v>
      </c>
      <c r="D759" s="5">
        <v>1465</v>
      </c>
      <c r="E759" s="5">
        <v>9120</v>
      </c>
      <c r="F759" s="5">
        <v>23</v>
      </c>
      <c r="G759" s="5">
        <v>10609</v>
      </c>
    </row>
    <row r="760" spans="1:7" x14ac:dyDescent="0.2">
      <c r="A760">
        <v>279</v>
      </c>
      <c r="B760" t="s">
        <v>495</v>
      </c>
      <c r="C760" t="s">
        <v>710</v>
      </c>
      <c r="D760" s="5">
        <v>65</v>
      </c>
      <c r="E760" s="5">
        <v>6507</v>
      </c>
      <c r="F760" s="5">
        <v>0</v>
      </c>
      <c r="G760" s="5">
        <v>6572</v>
      </c>
    </row>
    <row r="761" spans="1:7" x14ac:dyDescent="0.2">
      <c r="A761">
        <v>279</v>
      </c>
      <c r="B761" t="s">
        <v>495</v>
      </c>
      <c r="C761" t="s">
        <v>712</v>
      </c>
      <c r="D761" s="5">
        <v>2198</v>
      </c>
      <c r="E761" s="5">
        <v>16970</v>
      </c>
      <c r="F761" s="5">
        <v>0</v>
      </c>
      <c r="G761" s="5">
        <v>19168</v>
      </c>
    </row>
    <row r="762" spans="1:7" x14ac:dyDescent="0.2">
      <c r="A762">
        <v>281</v>
      </c>
      <c r="B762" t="s">
        <v>547</v>
      </c>
      <c r="C762" t="s">
        <v>700</v>
      </c>
      <c r="D762" s="5">
        <v>124486</v>
      </c>
      <c r="E762" s="5">
        <v>268087</v>
      </c>
      <c r="F762" s="5">
        <v>3338</v>
      </c>
      <c r="G762" s="5">
        <v>395911</v>
      </c>
    </row>
    <row r="763" spans="1:7" x14ac:dyDescent="0.2">
      <c r="A763">
        <v>281</v>
      </c>
      <c r="B763" t="s">
        <v>547</v>
      </c>
      <c r="C763" t="s">
        <v>701</v>
      </c>
      <c r="D763" s="5">
        <v>13334</v>
      </c>
      <c r="E763" s="5">
        <v>44708</v>
      </c>
      <c r="F763" s="5">
        <v>336</v>
      </c>
      <c r="G763" s="5">
        <v>58378</v>
      </c>
    </row>
    <row r="764" spans="1:7" x14ac:dyDescent="0.2">
      <c r="A764">
        <v>281</v>
      </c>
      <c r="B764" t="s">
        <v>547</v>
      </c>
      <c r="C764" t="s">
        <v>703</v>
      </c>
      <c r="D764" s="5">
        <v>5845</v>
      </c>
      <c r="E764" s="5">
        <v>29530</v>
      </c>
      <c r="F764" s="5">
        <v>75</v>
      </c>
      <c r="G764" s="5">
        <v>35450</v>
      </c>
    </row>
    <row r="765" spans="1:7" x14ac:dyDescent="0.2">
      <c r="A765">
        <v>281</v>
      </c>
      <c r="B765" t="s">
        <v>547</v>
      </c>
      <c r="C765" t="s">
        <v>704</v>
      </c>
      <c r="D765" s="5">
        <v>28244</v>
      </c>
      <c r="E765" s="5">
        <v>526838</v>
      </c>
      <c r="F765" s="5">
        <v>23002</v>
      </c>
      <c r="G765" s="5">
        <v>578083</v>
      </c>
    </row>
    <row r="766" spans="1:7" x14ac:dyDescent="0.2">
      <c r="A766">
        <v>281</v>
      </c>
      <c r="B766" t="s">
        <v>547</v>
      </c>
      <c r="C766" t="s">
        <v>705</v>
      </c>
      <c r="D766" s="5">
        <v>7919</v>
      </c>
      <c r="E766" s="5">
        <v>462775</v>
      </c>
      <c r="F766" s="5">
        <v>0</v>
      </c>
      <c r="G766" s="5">
        <v>470693</v>
      </c>
    </row>
    <row r="767" spans="1:7" x14ac:dyDescent="0.2">
      <c r="A767">
        <v>281</v>
      </c>
      <c r="B767" t="s">
        <v>547</v>
      </c>
      <c r="C767" t="s">
        <v>707</v>
      </c>
      <c r="D767" s="5">
        <v>252</v>
      </c>
      <c r="E767" s="5">
        <v>1419</v>
      </c>
      <c r="F767" s="5">
        <v>0</v>
      </c>
      <c r="G767" s="5">
        <v>1671</v>
      </c>
    </row>
    <row r="768" spans="1:7" x14ac:dyDescent="0.2">
      <c r="A768">
        <v>281</v>
      </c>
      <c r="B768" t="s">
        <v>547</v>
      </c>
      <c r="C768" t="s">
        <v>708</v>
      </c>
      <c r="D768" s="5">
        <v>3323</v>
      </c>
      <c r="E768" s="5">
        <v>52288</v>
      </c>
      <c r="F768" s="5">
        <v>0</v>
      </c>
      <c r="G768" s="5">
        <v>55611</v>
      </c>
    </row>
    <row r="769" spans="1:7" x14ac:dyDescent="0.2">
      <c r="A769">
        <v>281</v>
      </c>
      <c r="B769" t="s">
        <v>547</v>
      </c>
      <c r="C769" t="s">
        <v>709</v>
      </c>
      <c r="D769" s="5">
        <v>3466</v>
      </c>
      <c r="E769" s="5">
        <v>42988</v>
      </c>
      <c r="F769" s="5">
        <v>1070</v>
      </c>
      <c r="G769" s="5">
        <v>47524</v>
      </c>
    </row>
    <row r="770" spans="1:7" x14ac:dyDescent="0.2">
      <c r="A770">
        <v>281</v>
      </c>
      <c r="B770" t="s">
        <v>547</v>
      </c>
      <c r="C770" t="s">
        <v>710</v>
      </c>
      <c r="D770" s="5">
        <v>819</v>
      </c>
      <c r="E770" s="5">
        <v>27379</v>
      </c>
      <c r="F770" s="5">
        <v>0</v>
      </c>
      <c r="G770" s="5">
        <v>28199</v>
      </c>
    </row>
    <row r="771" spans="1:7" x14ac:dyDescent="0.2">
      <c r="A771">
        <v>281</v>
      </c>
      <c r="B771" t="s">
        <v>547</v>
      </c>
      <c r="C771" t="s">
        <v>711</v>
      </c>
      <c r="D771" s="5">
        <v>118</v>
      </c>
      <c r="E771" s="5">
        <v>0</v>
      </c>
      <c r="F771" s="5">
        <v>0</v>
      </c>
      <c r="G771" s="5">
        <v>118</v>
      </c>
    </row>
    <row r="772" spans="1:7" x14ac:dyDescent="0.2">
      <c r="A772">
        <v>281</v>
      </c>
      <c r="B772" t="s">
        <v>547</v>
      </c>
      <c r="C772" t="s">
        <v>712</v>
      </c>
      <c r="D772" s="5">
        <v>20138</v>
      </c>
      <c r="E772" s="5">
        <v>198604</v>
      </c>
      <c r="F772" s="5">
        <v>141</v>
      </c>
      <c r="G772" s="5">
        <v>218883</v>
      </c>
    </row>
    <row r="773" spans="1:7" x14ac:dyDescent="0.2">
      <c r="A773">
        <v>285</v>
      </c>
      <c r="B773" t="s">
        <v>603</v>
      </c>
      <c r="C773" t="s">
        <v>700</v>
      </c>
      <c r="D773" s="5">
        <v>736802</v>
      </c>
      <c r="E773" s="5">
        <v>533194</v>
      </c>
      <c r="F773" s="5">
        <v>13241</v>
      </c>
      <c r="G773" s="5">
        <v>1283237</v>
      </c>
    </row>
    <row r="774" spans="1:7" x14ac:dyDescent="0.2">
      <c r="A774">
        <v>285</v>
      </c>
      <c r="B774" t="s">
        <v>603</v>
      </c>
      <c r="C774" t="s">
        <v>701</v>
      </c>
      <c r="D774" s="5">
        <v>10515</v>
      </c>
      <c r="E774" s="5">
        <v>18897</v>
      </c>
      <c r="F774" s="5">
        <v>0</v>
      </c>
      <c r="G774" s="5">
        <v>29413</v>
      </c>
    </row>
    <row r="775" spans="1:7" x14ac:dyDescent="0.2">
      <c r="A775">
        <v>285</v>
      </c>
      <c r="B775" t="s">
        <v>603</v>
      </c>
      <c r="C775" t="s">
        <v>703</v>
      </c>
      <c r="D775" s="5">
        <v>4301</v>
      </c>
      <c r="E775" s="5">
        <v>10397</v>
      </c>
      <c r="F775" s="5">
        <v>48</v>
      </c>
      <c r="G775" s="5">
        <v>14746</v>
      </c>
    </row>
    <row r="776" spans="1:7" x14ac:dyDescent="0.2">
      <c r="A776">
        <v>285</v>
      </c>
      <c r="B776" t="s">
        <v>603</v>
      </c>
      <c r="C776" t="s">
        <v>704</v>
      </c>
      <c r="D776" s="5">
        <v>38876</v>
      </c>
      <c r="E776" s="5">
        <v>177590</v>
      </c>
      <c r="F776" s="5">
        <v>0</v>
      </c>
      <c r="G776" s="5">
        <v>216467</v>
      </c>
    </row>
    <row r="777" spans="1:7" x14ac:dyDescent="0.2">
      <c r="A777">
        <v>285</v>
      </c>
      <c r="B777" t="s">
        <v>603</v>
      </c>
      <c r="C777" t="s">
        <v>705</v>
      </c>
      <c r="D777" s="5">
        <v>7435</v>
      </c>
      <c r="E777" s="5">
        <v>24022</v>
      </c>
      <c r="F777" s="5">
        <v>0</v>
      </c>
      <c r="G777" s="5">
        <v>31456</v>
      </c>
    </row>
    <row r="778" spans="1:7" x14ac:dyDescent="0.2">
      <c r="A778">
        <v>285</v>
      </c>
      <c r="B778" t="s">
        <v>603</v>
      </c>
      <c r="C778" t="s">
        <v>707</v>
      </c>
      <c r="D778" s="5">
        <v>2242</v>
      </c>
      <c r="E778" s="5">
        <v>53</v>
      </c>
      <c r="F778" s="5">
        <v>0</v>
      </c>
      <c r="G778" s="5">
        <v>2295</v>
      </c>
    </row>
    <row r="779" spans="1:7" x14ac:dyDescent="0.2">
      <c r="A779">
        <v>285</v>
      </c>
      <c r="B779" t="s">
        <v>603</v>
      </c>
      <c r="C779" t="s">
        <v>708</v>
      </c>
      <c r="D779" s="5">
        <v>2489</v>
      </c>
      <c r="E779" s="5">
        <v>22721</v>
      </c>
      <c r="F779" s="5">
        <v>0</v>
      </c>
      <c r="G779" s="5">
        <v>25210</v>
      </c>
    </row>
    <row r="780" spans="1:7" x14ac:dyDescent="0.2">
      <c r="A780">
        <v>285</v>
      </c>
      <c r="B780" t="s">
        <v>603</v>
      </c>
      <c r="C780" t="s">
        <v>709</v>
      </c>
      <c r="D780" s="5">
        <v>67320</v>
      </c>
      <c r="E780" s="5">
        <v>88057</v>
      </c>
      <c r="F780" s="5">
        <v>904</v>
      </c>
      <c r="G780" s="5">
        <v>156280</v>
      </c>
    </row>
    <row r="781" spans="1:7" x14ac:dyDescent="0.2">
      <c r="A781">
        <v>285</v>
      </c>
      <c r="B781" t="s">
        <v>603</v>
      </c>
      <c r="C781" t="s">
        <v>710</v>
      </c>
      <c r="D781" s="5">
        <v>2623</v>
      </c>
      <c r="E781" s="5">
        <v>13665</v>
      </c>
      <c r="F781" s="5">
        <v>0</v>
      </c>
      <c r="G781" s="5">
        <v>16288</v>
      </c>
    </row>
    <row r="782" spans="1:7" x14ac:dyDescent="0.2">
      <c r="A782">
        <v>285</v>
      </c>
      <c r="B782" t="s">
        <v>603</v>
      </c>
      <c r="C782" t="s">
        <v>712</v>
      </c>
      <c r="D782" s="5">
        <v>14770</v>
      </c>
      <c r="E782" s="5">
        <v>53573</v>
      </c>
      <c r="F782" s="5">
        <v>103</v>
      </c>
      <c r="G782" s="5">
        <v>68446</v>
      </c>
    </row>
    <row r="783" spans="1:7" x14ac:dyDescent="0.2">
      <c r="A783">
        <v>289</v>
      </c>
      <c r="B783" t="s">
        <v>615</v>
      </c>
      <c r="C783" t="s">
        <v>700</v>
      </c>
      <c r="D783" s="5">
        <v>139680</v>
      </c>
      <c r="E783" s="5">
        <v>138686</v>
      </c>
      <c r="F783" s="5">
        <v>32422</v>
      </c>
      <c r="G783" s="5">
        <v>310788</v>
      </c>
    </row>
    <row r="784" spans="1:7" x14ac:dyDescent="0.2">
      <c r="A784">
        <v>289</v>
      </c>
      <c r="B784" t="s">
        <v>615</v>
      </c>
      <c r="C784" t="s">
        <v>701</v>
      </c>
      <c r="D784" s="5">
        <v>11686</v>
      </c>
      <c r="E784" s="5">
        <v>21793</v>
      </c>
      <c r="F784" s="5">
        <v>133</v>
      </c>
      <c r="G784" s="5">
        <v>33611</v>
      </c>
    </row>
    <row r="785" spans="1:7" x14ac:dyDescent="0.2">
      <c r="A785">
        <v>289</v>
      </c>
      <c r="B785" t="s">
        <v>615</v>
      </c>
      <c r="C785" t="s">
        <v>703</v>
      </c>
      <c r="D785" s="5">
        <v>463</v>
      </c>
      <c r="E785" s="5">
        <v>4588</v>
      </c>
      <c r="F785" s="5">
        <v>0</v>
      </c>
      <c r="G785" s="5">
        <v>5052</v>
      </c>
    </row>
    <row r="786" spans="1:7" x14ac:dyDescent="0.2">
      <c r="A786">
        <v>289</v>
      </c>
      <c r="B786" t="s">
        <v>615</v>
      </c>
      <c r="C786" t="s">
        <v>704</v>
      </c>
      <c r="D786" s="5">
        <v>12270</v>
      </c>
      <c r="E786" s="5">
        <v>30390</v>
      </c>
      <c r="F786" s="5">
        <v>1607</v>
      </c>
      <c r="G786" s="5">
        <v>44267</v>
      </c>
    </row>
    <row r="787" spans="1:7" x14ac:dyDescent="0.2">
      <c r="A787">
        <v>289</v>
      </c>
      <c r="B787" t="s">
        <v>615</v>
      </c>
      <c r="C787" t="s">
        <v>705</v>
      </c>
      <c r="D787" s="5">
        <v>9359</v>
      </c>
      <c r="E787" s="5">
        <v>71358</v>
      </c>
      <c r="F787" s="5">
        <v>392</v>
      </c>
      <c r="G787" s="5">
        <v>81109</v>
      </c>
    </row>
    <row r="788" spans="1:7" x14ac:dyDescent="0.2">
      <c r="A788">
        <v>289</v>
      </c>
      <c r="B788" t="s">
        <v>615</v>
      </c>
      <c r="C788" t="s">
        <v>707</v>
      </c>
      <c r="D788" s="5">
        <v>175</v>
      </c>
      <c r="E788" s="5">
        <v>4688</v>
      </c>
      <c r="F788" s="5">
        <v>0</v>
      </c>
      <c r="G788" s="5">
        <v>4863</v>
      </c>
    </row>
    <row r="789" spans="1:7" x14ac:dyDescent="0.2">
      <c r="A789">
        <v>289</v>
      </c>
      <c r="B789" t="s">
        <v>615</v>
      </c>
      <c r="C789" t="s">
        <v>708</v>
      </c>
      <c r="D789" s="5">
        <v>3403</v>
      </c>
      <c r="E789" s="5">
        <v>84539</v>
      </c>
      <c r="F789" s="5">
        <v>829</v>
      </c>
      <c r="G789" s="5">
        <v>88771</v>
      </c>
    </row>
    <row r="790" spans="1:7" x14ac:dyDescent="0.2">
      <c r="A790">
        <v>289</v>
      </c>
      <c r="B790" t="s">
        <v>615</v>
      </c>
      <c r="C790" t="s">
        <v>709</v>
      </c>
      <c r="D790" s="5">
        <v>9936</v>
      </c>
      <c r="E790" s="5">
        <v>87632</v>
      </c>
      <c r="F790" s="5">
        <v>135</v>
      </c>
      <c r="G790" s="5">
        <v>97703</v>
      </c>
    </row>
    <row r="791" spans="1:7" x14ac:dyDescent="0.2">
      <c r="A791">
        <v>289</v>
      </c>
      <c r="B791" t="s">
        <v>615</v>
      </c>
      <c r="C791" t="s">
        <v>710</v>
      </c>
      <c r="D791" s="5">
        <v>1298</v>
      </c>
      <c r="E791" s="5">
        <v>33616</v>
      </c>
      <c r="F791" s="5">
        <v>0</v>
      </c>
      <c r="G791" s="5">
        <v>34914</v>
      </c>
    </row>
    <row r="792" spans="1:7" x14ac:dyDescent="0.2">
      <c r="A792">
        <v>289</v>
      </c>
      <c r="B792" t="s">
        <v>615</v>
      </c>
      <c r="C792" t="s">
        <v>712</v>
      </c>
      <c r="D792" s="5">
        <v>13268</v>
      </c>
      <c r="E792" s="5">
        <v>44651</v>
      </c>
      <c r="F792" s="5">
        <v>0</v>
      </c>
      <c r="G792" s="5">
        <v>57919</v>
      </c>
    </row>
    <row r="793" spans="1:7" x14ac:dyDescent="0.2">
      <c r="A793">
        <v>293</v>
      </c>
      <c r="B793" t="s">
        <v>631</v>
      </c>
      <c r="C793" t="s">
        <v>700</v>
      </c>
      <c r="D793" s="5">
        <v>23913</v>
      </c>
      <c r="E793" s="5">
        <v>54417</v>
      </c>
      <c r="F793" s="5">
        <v>1232</v>
      </c>
      <c r="G793" s="5">
        <v>79563</v>
      </c>
    </row>
    <row r="794" spans="1:7" x14ac:dyDescent="0.2">
      <c r="A794">
        <v>293</v>
      </c>
      <c r="B794" t="s">
        <v>631</v>
      </c>
      <c r="C794" t="s">
        <v>701</v>
      </c>
      <c r="D794" s="5">
        <v>3691</v>
      </c>
      <c r="E794" s="5">
        <v>10074</v>
      </c>
      <c r="F794" s="5">
        <v>0</v>
      </c>
      <c r="G794" s="5">
        <v>13765</v>
      </c>
    </row>
    <row r="795" spans="1:7" x14ac:dyDescent="0.2">
      <c r="A795">
        <v>293</v>
      </c>
      <c r="B795" t="s">
        <v>631</v>
      </c>
      <c r="C795" t="s">
        <v>703</v>
      </c>
      <c r="D795" s="5">
        <v>1145</v>
      </c>
      <c r="E795" s="5">
        <v>5395</v>
      </c>
      <c r="F795" s="5">
        <v>0</v>
      </c>
      <c r="G795" s="5">
        <v>6540</v>
      </c>
    </row>
    <row r="796" spans="1:7" x14ac:dyDescent="0.2">
      <c r="A796">
        <v>293</v>
      </c>
      <c r="B796" t="s">
        <v>631</v>
      </c>
      <c r="C796" t="s">
        <v>704</v>
      </c>
      <c r="D796" s="5">
        <v>338</v>
      </c>
      <c r="E796" s="5">
        <v>42211</v>
      </c>
      <c r="F796" s="5">
        <v>0</v>
      </c>
      <c r="G796" s="5">
        <v>42549</v>
      </c>
    </row>
    <row r="797" spans="1:7" x14ac:dyDescent="0.2">
      <c r="A797">
        <v>293</v>
      </c>
      <c r="B797" t="s">
        <v>631</v>
      </c>
      <c r="C797" t="s">
        <v>705</v>
      </c>
      <c r="D797" s="5">
        <v>748</v>
      </c>
      <c r="E797" s="5">
        <v>7048</v>
      </c>
      <c r="F797" s="5">
        <v>0</v>
      </c>
      <c r="G797" s="5">
        <v>7796</v>
      </c>
    </row>
    <row r="798" spans="1:7" x14ac:dyDescent="0.2">
      <c r="A798">
        <v>293</v>
      </c>
      <c r="B798" t="s">
        <v>631</v>
      </c>
      <c r="C798" t="s">
        <v>708</v>
      </c>
      <c r="D798" s="5">
        <v>0</v>
      </c>
      <c r="E798" s="5">
        <v>9099</v>
      </c>
      <c r="F798" s="5">
        <v>0</v>
      </c>
      <c r="G798" s="5">
        <v>9099</v>
      </c>
    </row>
    <row r="799" spans="1:7" x14ac:dyDescent="0.2">
      <c r="A799">
        <v>293</v>
      </c>
      <c r="B799" t="s">
        <v>631</v>
      </c>
      <c r="C799" t="s">
        <v>709</v>
      </c>
      <c r="D799" s="5">
        <v>663</v>
      </c>
      <c r="E799" s="5">
        <v>6442</v>
      </c>
      <c r="F799" s="5">
        <v>25</v>
      </c>
      <c r="G799" s="5">
        <v>7131</v>
      </c>
    </row>
    <row r="800" spans="1:7" x14ac:dyDescent="0.2">
      <c r="A800">
        <v>293</v>
      </c>
      <c r="B800" t="s">
        <v>631</v>
      </c>
      <c r="C800" t="s">
        <v>710</v>
      </c>
      <c r="D800" s="5">
        <v>220</v>
      </c>
      <c r="E800" s="5">
        <v>5572</v>
      </c>
      <c r="F800" s="5">
        <v>0</v>
      </c>
      <c r="G800" s="5">
        <v>5791</v>
      </c>
    </row>
    <row r="801" spans="1:7" x14ac:dyDescent="0.2">
      <c r="A801">
        <v>293</v>
      </c>
      <c r="B801" t="s">
        <v>631</v>
      </c>
      <c r="C801" t="s">
        <v>712</v>
      </c>
      <c r="D801" s="5">
        <v>1835</v>
      </c>
      <c r="E801" s="5">
        <v>5511</v>
      </c>
      <c r="F801" s="5">
        <v>0</v>
      </c>
      <c r="G801" s="5">
        <v>7346</v>
      </c>
    </row>
    <row r="802" spans="1:7" x14ac:dyDescent="0.2">
      <c r="A802">
        <v>294</v>
      </c>
      <c r="B802" t="s">
        <v>647</v>
      </c>
      <c r="C802" t="s">
        <v>700</v>
      </c>
      <c r="D802" s="5">
        <v>655215</v>
      </c>
      <c r="E802" s="5">
        <v>375699</v>
      </c>
      <c r="F802" s="5">
        <v>5296</v>
      </c>
      <c r="G802" s="5">
        <v>1036209</v>
      </c>
    </row>
    <row r="803" spans="1:7" x14ac:dyDescent="0.2">
      <c r="A803">
        <v>294</v>
      </c>
      <c r="B803" t="s">
        <v>647</v>
      </c>
      <c r="C803" t="s">
        <v>701</v>
      </c>
      <c r="D803" s="5">
        <v>11352</v>
      </c>
      <c r="E803" s="5">
        <v>16940</v>
      </c>
      <c r="F803" s="5">
        <v>0</v>
      </c>
      <c r="G803" s="5">
        <v>28293</v>
      </c>
    </row>
    <row r="804" spans="1:7" x14ac:dyDescent="0.2">
      <c r="A804">
        <v>294</v>
      </c>
      <c r="B804" t="s">
        <v>647</v>
      </c>
      <c r="C804" t="s">
        <v>702</v>
      </c>
      <c r="D804" s="5">
        <v>201</v>
      </c>
      <c r="E804" s="5">
        <v>0</v>
      </c>
      <c r="F804" s="5">
        <v>0</v>
      </c>
      <c r="G804" s="5">
        <v>201</v>
      </c>
    </row>
    <row r="805" spans="1:7" x14ac:dyDescent="0.2">
      <c r="A805">
        <v>294</v>
      </c>
      <c r="B805" t="s">
        <v>647</v>
      </c>
      <c r="C805" t="s">
        <v>703</v>
      </c>
      <c r="D805" s="5">
        <v>928</v>
      </c>
      <c r="E805" s="5">
        <v>31668</v>
      </c>
      <c r="F805" s="5">
        <v>0</v>
      </c>
      <c r="G805" s="5">
        <v>32596</v>
      </c>
    </row>
    <row r="806" spans="1:7" x14ac:dyDescent="0.2">
      <c r="A806">
        <v>294</v>
      </c>
      <c r="B806" t="s">
        <v>647</v>
      </c>
      <c r="C806" t="s">
        <v>704</v>
      </c>
      <c r="D806" s="5">
        <v>21993</v>
      </c>
      <c r="E806" s="5">
        <v>286644</v>
      </c>
      <c r="F806" s="5">
        <v>0</v>
      </c>
      <c r="G806" s="5">
        <v>308637</v>
      </c>
    </row>
    <row r="807" spans="1:7" x14ac:dyDescent="0.2">
      <c r="A807">
        <v>294</v>
      </c>
      <c r="B807" t="s">
        <v>647</v>
      </c>
      <c r="C807" t="s">
        <v>705</v>
      </c>
      <c r="D807" s="5">
        <v>4613</v>
      </c>
      <c r="E807" s="5">
        <v>22426</v>
      </c>
      <c r="F807" s="5">
        <v>0</v>
      </c>
      <c r="G807" s="5">
        <v>27039</v>
      </c>
    </row>
    <row r="808" spans="1:7" x14ac:dyDescent="0.2">
      <c r="A808">
        <v>294</v>
      </c>
      <c r="B808" t="s">
        <v>647</v>
      </c>
      <c r="C808" t="s">
        <v>707</v>
      </c>
      <c r="D808" s="5">
        <v>18689</v>
      </c>
      <c r="E808" s="5">
        <v>7224</v>
      </c>
      <c r="F808" s="5">
        <v>251</v>
      </c>
      <c r="G808" s="5">
        <v>26164</v>
      </c>
    </row>
    <row r="809" spans="1:7" x14ac:dyDescent="0.2">
      <c r="A809">
        <v>294</v>
      </c>
      <c r="B809" t="s">
        <v>647</v>
      </c>
      <c r="C809" t="s">
        <v>708</v>
      </c>
      <c r="D809" s="5">
        <v>4392</v>
      </c>
      <c r="E809" s="5">
        <v>21574</v>
      </c>
      <c r="F809" s="5">
        <v>0</v>
      </c>
      <c r="G809" s="5">
        <v>25966</v>
      </c>
    </row>
    <row r="810" spans="1:7" x14ac:dyDescent="0.2">
      <c r="A810">
        <v>294</v>
      </c>
      <c r="B810" t="s">
        <v>647</v>
      </c>
      <c r="C810" t="s">
        <v>709</v>
      </c>
      <c r="D810" s="5">
        <v>9125</v>
      </c>
      <c r="E810" s="5">
        <v>29640</v>
      </c>
      <c r="F810" s="5">
        <v>32</v>
      </c>
      <c r="G810" s="5">
        <v>38798</v>
      </c>
    </row>
    <row r="811" spans="1:7" x14ac:dyDescent="0.2">
      <c r="A811">
        <v>294</v>
      </c>
      <c r="B811" t="s">
        <v>647</v>
      </c>
      <c r="C811" t="s">
        <v>710</v>
      </c>
      <c r="D811" s="5">
        <v>3305</v>
      </c>
      <c r="E811" s="5">
        <v>30894</v>
      </c>
      <c r="F811" s="5">
        <v>0</v>
      </c>
      <c r="G811" s="5">
        <v>34199</v>
      </c>
    </row>
    <row r="812" spans="1:7" x14ac:dyDescent="0.2">
      <c r="A812">
        <v>294</v>
      </c>
      <c r="B812" t="s">
        <v>647</v>
      </c>
      <c r="C812" t="s">
        <v>711</v>
      </c>
      <c r="D812" s="5">
        <v>168</v>
      </c>
      <c r="E812" s="5">
        <v>0</v>
      </c>
      <c r="F812" s="5">
        <v>0</v>
      </c>
      <c r="G812" s="5">
        <v>168</v>
      </c>
    </row>
    <row r="813" spans="1:7" x14ac:dyDescent="0.2">
      <c r="A813">
        <v>294</v>
      </c>
      <c r="B813" t="s">
        <v>647</v>
      </c>
      <c r="C813" t="s">
        <v>712</v>
      </c>
      <c r="D813" s="5">
        <v>10972</v>
      </c>
      <c r="E813" s="5">
        <v>148687</v>
      </c>
      <c r="F813" s="5">
        <v>49</v>
      </c>
      <c r="G813" s="5">
        <v>159708</v>
      </c>
    </row>
    <row r="814" spans="1:7" x14ac:dyDescent="0.2">
      <c r="A814">
        <v>296</v>
      </c>
      <c r="B814" t="s">
        <v>641</v>
      </c>
      <c r="C814" t="s">
        <v>700</v>
      </c>
      <c r="D814" s="5">
        <v>331632</v>
      </c>
      <c r="E814" s="5">
        <v>336884</v>
      </c>
      <c r="F814" s="5">
        <v>11538</v>
      </c>
      <c r="G814" s="5">
        <v>680053</v>
      </c>
    </row>
    <row r="815" spans="1:7" x14ac:dyDescent="0.2">
      <c r="A815">
        <v>296</v>
      </c>
      <c r="B815" t="s">
        <v>641</v>
      </c>
      <c r="C815" t="s">
        <v>701</v>
      </c>
      <c r="D815" s="5">
        <v>15298</v>
      </c>
      <c r="E815" s="5">
        <v>26091</v>
      </c>
      <c r="F815" s="5">
        <v>0</v>
      </c>
      <c r="G815" s="5">
        <v>41389</v>
      </c>
    </row>
    <row r="816" spans="1:7" x14ac:dyDescent="0.2">
      <c r="A816">
        <v>296</v>
      </c>
      <c r="B816" t="s">
        <v>641</v>
      </c>
      <c r="C816" t="s">
        <v>703</v>
      </c>
      <c r="D816" s="5">
        <v>934</v>
      </c>
      <c r="E816" s="5">
        <v>3330</v>
      </c>
      <c r="F816" s="5">
        <v>329</v>
      </c>
      <c r="G816" s="5">
        <v>4592</v>
      </c>
    </row>
    <row r="817" spans="1:7" x14ac:dyDescent="0.2">
      <c r="A817">
        <v>296</v>
      </c>
      <c r="B817" t="s">
        <v>641</v>
      </c>
      <c r="C817" t="s">
        <v>704</v>
      </c>
      <c r="D817" s="5">
        <v>41265</v>
      </c>
      <c r="E817" s="5">
        <v>360224</v>
      </c>
      <c r="F817" s="5">
        <v>1733</v>
      </c>
      <c r="G817" s="5">
        <v>403222</v>
      </c>
    </row>
    <row r="818" spans="1:7" x14ac:dyDescent="0.2">
      <c r="A818">
        <v>296</v>
      </c>
      <c r="B818" t="s">
        <v>641</v>
      </c>
      <c r="C818" t="s">
        <v>705</v>
      </c>
      <c r="D818" s="5">
        <v>8990</v>
      </c>
      <c r="E818" s="5">
        <v>411829</v>
      </c>
      <c r="F818" s="5">
        <v>33156</v>
      </c>
      <c r="G818" s="5">
        <v>453975</v>
      </c>
    </row>
    <row r="819" spans="1:7" x14ac:dyDescent="0.2">
      <c r="A819">
        <v>296</v>
      </c>
      <c r="B819" t="s">
        <v>641</v>
      </c>
      <c r="C819" t="s">
        <v>707</v>
      </c>
      <c r="D819" s="5">
        <v>1368</v>
      </c>
      <c r="E819" s="5">
        <v>9078</v>
      </c>
      <c r="F819" s="5">
        <v>177</v>
      </c>
      <c r="G819" s="5">
        <v>10623</v>
      </c>
    </row>
    <row r="820" spans="1:7" x14ac:dyDescent="0.2">
      <c r="A820">
        <v>296</v>
      </c>
      <c r="B820" t="s">
        <v>641</v>
      </c>
      <c r="C820" t="s">
        <v>708</v>
      </c>
      <c r="D820" s="5">
        <v>5839</v>
      </c>
      <c r="E820" s="5">
        <v>31790</v>
      </c>
      <c r="F820" s="5">
        <v>0</v>
      </c>
      <c r="G820" s="5">
        <v>37629</v>
      </c>
    </row>
    <row r="821" spans="1:7" x14ac:dyDescent="0.2">
      <c r="A821">
        <v>296</v>
      </c>
      <c r="B821" t="s">
        <v>641</v>
      </c>
      <c r="C821" t="s">
        <v>709</v>
      </c>
      <c r="D821" s="5">
        <v>5804</v>
      </c>
      <c r="E821" s="5">
        <v>28847</v>
      </c>
      <c r="F821" s="5">
        <v>27</v>
      </c>
      <c r="G821" s="5">
        <v>34678</v>
      </c>
    </row>
    <row r="822" spans="1:7" x14ac:dyDescent="0.2">
      <c r="A822">
        <v>296</v>
      </c>
      <c r="B822" t="s">
        <v>641</v>
      </c>
      <c r="C822" t="s">
        <v>710</v>
      </c>
      <c r="D822" s="5">
        <v>1398</v>
      </c>
      <c r="E822" s="5">
        <v>30991</v>
      </c>
      <c r="F822" s="5">
        <v>0</v>
      </c>
      <c r="G822" s="5">
        <v>32389</v>
      </c>
    </row>
    <row r="823" spans="1:7" x14ac:dyDescent="0.2">
      <c r="A823">
        <v>296</v>
      </c>
      <c r="B823" t="s">
        <v>641</v>
      </c>
      <c r="C823" t="s">
        <v>711</v>
      </c>
      <c r="D823" s="5">
        <v>83</v>
      </c>
      <c r="E823" s="5">
        <v>44</v>
      </c>
      <c r="F823" s="5">
        <v>0</v>
      </c>
      <c r="G823" s="5">
        <v>127</v>
      </c>
    </row>
    <row r="824" spans="1:7" x14ac:dyDescent="0.2">
      <c r="A824">
        <v>296</v>
      </c>
      <c r="B824" t="s">
        <v>641</v>
      </c>
      <c r="C824" t="s">
        <v>712</v>
      </c>
      <c r="D824" s="5">
        <v>15941</v>
      </c>
      <c r="E824" s="5">
        <v>103129</v>
      </c>
      <c r="F824" s="5">
        <v>230</v>
      </c>
      <c r="G824" s="5">
        <v>119300</v>
      </c>
    </row>
    <row r="825" spans="1:7" x14ac:dyDescent="0.2">
      <c r="A825">
        <v>297</v>
      </c>
      <c r="B825" t="s">
        <v>661</v>
      </c>
      <c r="C825" t="s">
        <v>700</v>
      </c>
      <c r="D825" s="5">
        <v>1426262</v>
      </c>
      <c r="E825" s="5">
        <v>857618</v>
      </c>
      <c r="F825" s="5">
        <v>16421</v>
      </c>
      <c r="G825" s="5">
        <v>2300301</v>
      </c>
    </row>
    <row r="826" spans="1:7" x14ac:dyDescent="0.2">
      <c r="A826">
        <v>297</v>
      </c>
      <c r="B826" t="s">
        <v>661</v>
      </c>
      <c r="C826" t="s">
        <v>701</v>
      </c>
      <c r="D826" s="5">
        <v>13941</v>
      </c>
      <c r="E826" s="5">
        <v>18327</v>
      </c>
      <c r="F826" s="5">
        <v>0</v>
      </c>
      <c r="G826" s="5">
        <v>32268</v>
      </c>
    </row>
    <row r="827" spans="1:7" x14ac:dyDescent="0.2">
      <c r="A827">
        <v>297</v>
      </c>
      <c r="B827" t="s">
        <v>661</v>
      </c>
      <c r="C827" t="s">
        <v>703</v>
      </c>
      <c r="D827" s="5">
        <v>778</v>
      </c>
      <c r="E827" s="5">
        <v>516</v>
      </c>
      <c r="F827" s="5">
        <v>0</v>
      </c>
      <c r="G827" s="5">
        <v>1294</v>
      </c>
    </row>
    <row r="828" spans="1:7" x14ac:dyDescent="0.2">
      <c r="A828">
        <v>297</v>
      </c>
      <c r="B828" t="s">
        <v>661</v>
      </c>
      <c r="C828" t="s">
        <v>704</v>
      </c>
      <c r="D828" s="5">
        <v>444232</v>
      </c>
      <c r="E828" s="5">
        <v>665642</v>
      </c>
      <c r="F828" s="5">
        <v>67882</v>
      </c>
      <c r="G828" s="5">
        <v>1177756</v>
      </c>
    </row>
    <row r="829" spans="1:7" x14ac:dyDescent="0.2">
      <c r="A829">
        <v>297</v>
      </c>
      <c r="B829" t="s">
        <v>661</v>
      </c>
      <c r="C829" t="s">
        <v>705</v>
      </c>
      <c r="D829" s="5">
        <v>115156</v>
      </c>
      <c r="E829" s="5">
        <v>188541</v>
      </c>
      <c r="F829" s="5">
        <v>7231</v>
      </c>
      <c r="G829" s="5">
        <v>310928</v>
      </c>
    </row>
    <row r="830" spans="1:7" x14ac:dyDescent="0.2">
      <c r="A830">
        <v>297</v>
      </c>
      <c r="B830" t="s">
        <v>661</v>
      </c>
      <c r="C830" t="s">
        <v>707</v>
      </c>
      <c r="D830" s="5">
        <v>273</v>
      </c>
      <c r="E830" s="5">
        <v>365</v>
      </c>
      <c r="F830" s="5">
        <v>613</v>
      </c>
      <c r="G830" s="5">
        <v>1250</v>
      </c>
    </row>
    <row r="831" spans="1:7" x14ac:dyDescent="0.2">
      <c r="A831">
        <v>297</v>
      </c>
      <c r="B831" t="s">
        <v>661</v>
      </c>
      <c r="C831" t="s">
        <v>708</v>
      </c>
      <c r="D831" s="5">
        <v>1348</v>
      </c>
      <c r="E831" s="5">
        <v>24560</v>
      </c>
      <c r="F831" s="5">
        <v>0</v>
      </c>
      <c r="G831" s="5">
        <v>25909</v>
      </c>
    </row>
    <row r="832" spans="1:7" x14ac:dyDescent="0.2">
      <c r="A832">
        <v>297</v>
      </c>
      <c r="B832" t="s">
        <v>661</v>
      </c>
      <c r="C832" t="s">
        <v>709</v>
      </c>
      <c r="D832" s="5">
        <v>410591</v>
      </c>
      <c r="E832" s="5">
        <v>219236</v>
      </c>
      <c r="F832" s="5">
        <v>2120</v>
      </c>
      <c r="G832" s="5">
        <v>631947</v>
      </c>
    </row>
    <row r="833" spans="1:7" x14ac:dyDescent="0.2">
      <c r="A833">
        <v>297</v>
      </c>
      <c r="B833" t="s">
        <v>661</v>
      </c>
      <c r="C833" t="s">
        <v>710</v>
      </c>
      <c r="D833" s="5">
        <v>292</v>
      </c>
      <c r="E833" s="5">
        <v>7474</v>
      </c>
      <c r="F833" s="5">
        <v>1479</v>
      </c>
      <c r="G833" s="5">
        <v>9245</v>
      </c>
    </row>
    <row r="834" spans="1:7" x14ac:dyDescent="0.2">
      <c r="A834">
        <v>297</v>
      </c>
      <c r="B834" t="s">
        <v>661</v>
      </c>
      <c r="C834" t="s">
        <v>712</v>
      </c>
      <c r="D834" s="5">
        <v>9933</v>
      </c>
      <c r="E834" s="5">
        <v>42254</v>
      </c>
      <c r="F834" s="5">
        <v>0</v>
      </c>
      <c r="G834" s="5">
        <v>52186</v>
      </c>
    </row>
    <row r="835" spans="1:7" x14ac:dyDescent="0.2">
      <c r="A835">
        <v>299</v>
      </c>
      <c r="B835" t="s">
        <v>669</v>
      </c>
      <c r="C835" t="s">
        <v>700</v>
      </c>
      <c r="D835" s="5">
        <v>320298</v>
      </c>
      <c r="E835" s="5">
        <v>561551</v>
      </c>
      <c r="F835" s="5">
        <v>25050</v>
      </c>
      <c r="G835" s="5">
        <v>906899</v>
      </c>
    </row>
    <row r="836" spans="1:7" x14ac:dyDescent="0.2">
      <c r="A836">
        <v>299</v>
      </c>
      <c r="B836" t="s">
        <v>669</v>
      </c>
      <c r="C836" t="s">
        <v>701</v>
      </c>
      <c r="D836" s="5">
        <v>20532</v>
      </c>
      <c r="E836" s="5">
        <v>26679</v>
      </c>
      <c r="F836" s="5">
        <v>0</v>
      </c>
      <c r="G836" s="5">
        <v>47211</v>
      </c>
    </row>
    <row r="837" spans="1:7" x14ac:dyDescent="0.2">
      <c r="A837">
        <v>299</v>
      </c>
      <c r="B837" t="s">
        <v>669</v>
      </c>
      <c r="C837" t="s">
        <v>703</v>
      </c>
      <c r="D837" s="5">
        <v>2548</v>
      </c>
      <c r="E837" s="5">
        <v>25920</v>
      </c>
      <c r="F837" s="5">
        <v>72</v>
      </c>
      <c r="G837" s="5">
        <v>28540</v>
      </c>
    </row>
    <row r="838" spans="1:7" x14ac:dyDescent="0.2">
      <c r="A838">
        <v>299</v>
      </c>
      <c r="B838" t="s">
        <v>669</v>
      </c>
      <c r="C838" t="s">
        <v>704</v>
      </c>
      <c r="D838" s="5">
        <v>13173</v>
      </c>
      <c r="E838" s="5">
        <v>422046</v>
      </c>
      <c r="F838" s="5">
        <v>3012</v>
      </c>
      <c r="G838" s="5">
        <v>438232</v>
      </c>
    </row>
    <row r="839" spans="1:7" x14ac:dyDescent="0.2">
      <c r="A839">
        <v>299</v>
      </c>
      <c r="B839" t="s">
        <v>669</v>
      </c>
      <c r="C839" t="s">
        <v>705</v>
      </c>
      <c r="D839" s="5">
        <v>5676</v>
      </c>
      <c r="E839" s="5">
        <v>114825</v>
      </c>
      <c r="F839" s="5">
        <v>465</v>
      </c>
      <c r="G839" s="5">
        <v>120966</v>
      </c>
    </row>
    <row r="840" spans="1:7" x14ac:dyDescent="0.2">
      <c r="A840">
        <v>299</v>
      </c>
      <c r="B840" t="s">
        <v>669</v>
      </c>
      <c r="C840" t="s">
        <v>707</v>
      </c>
      <c r="D840" s="5">
        <v>5458</v>
      </c>
      <c r="E840" s="5">
        <v>5831</v>
      </c>
      <c r="F840" s="5">
        <v>0</v>
      </c>
      <c r="G840" s="5">
        <v>11289</v>
      </c>
    </row>
    <row r="841" spans="1:7" x14ac:dyDescent="0.2">
      <c r="A841">
        <v>299</v>
      </c>
      <c r="B841" t="s">
        <v>669</v>
      </c>
      <c r="C841" t="s">
        <v>708</v>
      </c>
      <c r="D841" s="5">
        <v>2771</v>
      </c>
      <c r="E841" s="5">
        <v>28611</v>
      </c>
      <c r="F841" s="5">
        <v>0</v>
      </c>
      <c r="G841" s="5">
        <v>31383</v>
      </c>
    </row>
    <row r="842" spans="1:7" x14ac:dyDescent="0.2">
      <c r="A842">
        <v>299</v>
      </c>
      <c r="B842" t="s">
        <v>669</v>
      </c>
      <c r="C842" t="s">
        <v>709</v>
      </c>
      <c r="D842" s="5">
        <v>6512</v>
      </c>
      <c r="E842" s="5">
        <v>29278</v>
      </c>
      <c r="F842" s="5">
        <v>68</v>
      </c>
      <c r="G842" s="5">
        <v>35857</v>
      </c>
    </row>
    <row r="843" spans="1:7" x14ac:dyDescent="0.2">
      <c r="A843">
        <v>299</v>
      </c>
      <c r="B843" t="s">
        <v>669</v>
      </c>
      <c r="C843" t="s">
        <v>710</v>
      </c>
      <c r="D843" s="5">
        <v>3145</v>
      </c>
      <c r="E843" s="5">
        <v>35825</v>
      </c>
      <c r="F843" s="5">
        <v>0</v>
      </c>
      <c r="G843" s="5">
        <v>38970</v>
      </c>
    </row>
    <row r="844" spans="1:7" x14ac:dyDescent="0.2">
      <c r="A844">
        <v>299</v>
      </c>
      <c r="B844" t="s">
        <v>669</v>
      </c>
      <c r="C844" t="s">
        <v>712</v>
      </c>
      <c r="D844" s="5">
        <v>8347</v>
      </c>
      <c r="E844" s="5">
        <v>97007</v>
      </c>
      <c r="F844" s="5">
        <v>480</v>
      </c>
      <c r="G844" s="5">
        <v>105834</v>
      </c>
    </row>
    <row r="845" spans="1:7" x14ac:dyDescent="0.2">
      <c r="A845">
        <v>301</v>
      </c>
      <c r="B845" t="s">
        <v>679</v>
      </c>
      <c r="C845" t="s">
        <v>700</v>
      </c>
      <c r="D845" s="5">
        <v>204324</v>
      </c>
      <c r="E845" s="5">
        <v>390778</v>
      </c>
      <c r="F845" s="5">
        <v>3176</v>
      </c>
      <c r="G845" s="5">
        <v>598277</v>
      </c>
    </row>
    <row r="846" spans="1:7" x14ac:dyDescent="0.2">
      <c r="A846">
        <v>301</v>
      </c>
      <c r="B846" t="s">
        <v>679</v>
      </c>
      <c r="C846" t="s">
        <v>701</v>
      </c>
      <c r="D846" s="5">
        <v>16777</v>
      </c>
      <c r="E846" s="5">
        <v>29447</v>
      </c>
      <c r="F846" s="5">
        <v>0</v>
      </c>
      <c r="G846" s="5">
        <v>46224</v>
      </c>
    </row>
    <row r="847" spans="1:7" x14ac:dyDescent="0.2">
      <c r="A847">
        <v>301</v>
      </c>
      <c r="B847" t="s">
        <v>679</v>
      </c>
      <c r="C847" t="s">
        <v>703</v>
      </c>
      <c r="D847" s="5">
        <v>1838</v>
      </c>
      <c r="E847" s="5">
        <v>36324</v>
      </c>
      <c r="F847" s="5">
        <v>0</v>
      </c>
      <c r="G847" s="5">
        <v>38162</v>
      </c>
    </row>
    <row r="848" spans="1:7" x14ac:dyDescent="0.2">
      <c r="A848">
        <v>301</v>
      </c>
      <c r="B848" t="s">
        <v>679</v>
      </c>
      <c r="C848" t="s">
        <v>704</v>
      </c>
      <c r="D848" s="5">
        <v>10088</v>
      </c>
      <c r="E848" s="5">
        <v>348740</v>
      </c>
      <c r="F848" s="5">
        <v>1209</v>
      </c>
      <c r="G848" s="5">
        <v>360038</v>
      </c>
    </row>
    <row r="849" spans="1:7" x14ac:dyDescent="0.2">
      <c r="A849">
        <v>301</v>
      </c>
      <c r="B849" t="s">
        <v>679</v>
      </c>
      <c r="C849" t="s">
        <v>705</v>
      </c>
      <c r="D849" s="5">
        <v>10650</v>
      </c>
      <c r="E849" s="5">
        <v>63869</v>
      </c>
      <c r="F849" s="5">
        <v>136</v>
      </c>
      <c r="G849" s="5">
        <v>74656</v>
      </c>
    </row>
    <row r="850" spans="1:7" x14ac:dyDescent="0.2">
      <c r="A850">
        <v>301</v>
      </c>
      <c r="B850" t="s">
        <v>679</v>
      </c>
      <c r="C850" t="s">
        <v>707</v>
      </c>
      <c r="D850" s="5">
        <v>16374</v>
      </c>
      <c r="E850" s="5">
        <v>5030</v>
      </c>
      <c r="F850" s="5">
        <v>0</v>
      </c>
      <c r="G850" s="5">
        <v>21404</v>
      </c>
    </row>
    <row r="851" spans="1:7" x14ac:dyDescent="0.2">
      <c r="A851">
        <v>301</v>
      </c>
      <c r="B851" t="s">
        <v>679</v>
      </c>
      <c r="C851" t="s">
        <v>708</v>
      </c>
      <c r="D851" s="5">
        <v>7100</v>
      </c>
      <c r="E851" s="5">
        <v>57224</v>
      </c>
      <c r="F851" s="5">
        <v>0</v>
      </c>
      <c r="G851" s="5">
        <v>64324</v>
      </c>
    </row>
    <row r="852" spans="1:7" x14ac:dyDescent="0.2">
      <c r="A852">
        <v>301</v>
      </c>
      <c r="B852" t="s">
        <v>679</v>
      </c>
      <c r="C852" t="s">
        <v>709</v>
      </c>
      <c r="D852" s="5">
        <v>7120</v>
      </c>
      <c r="E852" s="5">
        <v>42965</v>
      </c>
      <c r="F852" s="5">
        <v>276</v>
      </c>
      <c r="G852" s="5">
        <v>50361</v>
      </c>
    </row>
    <row r="853" spans="1:7" x14ac:dyDescent="0.2">
      <c r="A853">
        <v>301</v>
      </c>
      <c r="B853" t="s">
        <v>679</v>
      </c>
      <c r="C853" t="s">
        <v>710</v>
      </c>
      <c r="D853" s="5">
        <v>1143</v>
      </c>
      <c r="E853" s="5">
        <v>23818</v>
      </c>
      <c r="F853" s="5">
        <v>0</v>
      </c>
      <c r="G853" s="5">
        <v>24961</v>
      </c>
    </row>
    <row r="854" spans="1:7" x14ac:dyDescent="0.2">
      <c r="A854">
        <v>301</v>
      </c>
      <c r="B854" t="s">
        <v>679</v>
      </c>
      <c r="C854" t="s">
        <v>712</v>
      </c>
      <c r="D854" s="5">
        <v>19969</v>
      </c>
      <c r="E854" s="5">
        <v>132943</v>
      </c>
      <c r="F854" s="5">
        <v>399</v>
      </c>
      <c r="G854" s="5">
        <v>153311</v>
      </c>
    </row>
    <row r="855" spans="1:7" x14ac:dyDescent="0.2">
      <c r="A855">
        <v>302</v>
      </c>
      <c r="B855" t="s">
        <v>407</v>
      </c>
      <c r="C855" t="s">
        <v>700</v>
      </c>
      <c r="D855" s="5">
        <v>389565</v>
      </c>
      <c r="E855" s="5">
        <v>236826</v>
      </c>
      <c r="F855" s="5">
        <v>8135</v>
      </c>
      <c r="G855" s="5">
        <v>634526</v>
      </c>
    </row>
    <row r="856" spans="1:7" x14ac:dyDescent="0.2">
      <c r="A856">
        <v>302</v>
      </c>
      <c r="B856" t="s">
        <v>407</v>
      </c>
      <c r="C856" t="s">
        <v>701</v>
      </c>
      <c r="D856" s="5">
        <v>14055</v>
      </c>
      <c r="E856" s="5">
        <v>38024</v>
      </c>
      <c r="F856" s="5">
        <v>90</v>
      </c>
      <c r="G856" s="5">
        <v>52169</v>
      </c>
    </row>
    <row r="857" spans="1:7" x14ac:dyDescent="0.2">
      <c r="A857">
        <v>302</v>
      </c>
      <c r="B857" t="s">
        <v>407</v>
      </c>
      <c r="C857" t="s">
        <v>703</v>
      </c>
      <c r="D857" s="5">
        <v>5284</v>
      </c>
      <c r="E857" s="5">
        <v>17253</v>
      </c>
      <c r="F857" s="5">
        <v>0</v>
      </c>
      <c r="G857" s="5">
        <v>22537</v>
      </c>
    </row>
    <row r="858" spans="1:7" x14ac:dyDescent="0.2">
      <c r="A858">
        <v>302</v>
      </c>
      <c r="B858" t="s">
        <v>407</v>
      </c>
      <c r="C858" t="s">
        <v>704</v>
      </c>
      <c r="D858" s="5">
        <v>33096</v>
      </c>
      <c r="E858" s="5">
        <v>157120</v>
      </c>
      <c r="F858" s="5">
        <v>0</v>
      </c>
      <c r="G858" s="5">
        <v>190217</v>
      </c>
    </row>
    <row r="859" spans="1:7" x14ac:dyDescent="0.2">
      <c r="A859">
        <v>302</v>
      </c>
      <c r="B859" t="s">
        <v>407</v>
      </c>
      <c r="C859" t="s">
        <v>705</v>
      </c>
      <c r="D859" s="5">
        <v>6185</v>
      </c>
      <c r="E859" s="5">
        <v>35091</v>
      </c>
      <c r="F859" s="5">
        <v>2375</v>
      </c>
      <c r="G859" s="5">
        <v>43650</v>
      </c>
    </row>
    <row r="860" spans="1:7" x14ac:dyDescent="0.2">
      <c r="A860">
        <v>302</v>
      </c>
      <c r="B860" t="s">
        <v>407</v>
      </c>
      <c r="C860" t="s">
        <v>707</v>
      </c>
      <c r="D860" s="5">
        <v>42502</v>
      </c>
      <c r="E860" s="5">
        <v>47763</v>
      </c>
      <c r="F860" s="5">
        <v>1044</v>
      </c>
      <c r="G860" s="5">
        <v>91309</v>
      </c>
    </row>
    <row r="861" spans="1:7" x14ac:dyDescent="0.2">
      <c r="A861">
        <v>302</v>
      </c>
      <c r="B861" t="s">
        <v>407</v>
      </c>
      <c r="C861" t="s">
        <v>708</v>
      </c>
      <c r="D861" s="5">
        <v>4647</v>
      </c>
      <c r="E861" s="5">
        <v>37923</v>
      </c>
      <c r="F861" s="5">
        <v>0</v>
      </c>
      <c r="G861" s="5">
        <v>42570</v>
      </c>
    </row>
    <row r="862" spans="1:7" x14ac:dyDescent="0.2">
      <c r="A862">
        <v>302</v>
      </c>
      <c r="B862" t="s">
        <v>407</v>
      </c>
      <c r="C862" t="s">
        <v>709</v>
      </c>
      <c r="D862" s="5">
        <v>5921</v>
      </c>
      <c r="E862" s="5">
        <v>12033</v>
      </c>
      <c r="F862" s="5">
        <v>67</v>
      </c>
      <c r="G862" s="5">
        <v>18020</v>
      </c>
    </row>
    <row r="863" spans="1:7" x14ac:dyDescent="0.2">
      <c r="A863">
        <v>302</v>
      </c>
      <c r="B863" t="s">
        <v>407</v>
      </c>
      <c r="C863" t="s">
        <v>710</v>
      </c>
      <c r="D863" s="5">
        <v>493</v>
      </c>
      <c r="E863" s="5">
        <v>12612</v>
      </c>
      <c r="F863" s="5">
        <v>0</v>
      </c>
      <c r="G863" s="5">
        <v>13105</v>
      </c>
    </row>
    <row r="864" spans="1:7" x14ac:dyDescent="0.2">
      <c r="A864">
        <v>302</v>
      </c>
      <c r="B864" t="s">
        <v>407</v>
      </c>
      <c r="C864" t="s">
        <v>711</v>
      </c>
      <c r="D864" s="5">
        <v>730</v>
      </c>
      <c r="E864" s="5">
        <v>1387</v>
      </c>
      <c r="F864" s="5">
        <v>0</v>
      </c>
      <c r="G864" s="5">
        <v>2116</v>
      </c>
    </row>
    <row r="865" spans="1:7" x14ac:dyDescent="0.2">
      <c r="A865">
        <v>302</v>
      </c>
      <c r="B865" t="s">
        <v>407</v>
      </c>
      <c r="C865" t="s">
        <v>712</v>
      </c>
      <c r="D865" s="5">
        <v>20050</v>
      </c>
      <c r="E865" s="5">
        <v>61157</v>
      </c>
      <c r="F865" s="5">
        <v>0</v>
      </c>
      <c r="G865" s="5">
        <v>81207</v>
      </c>
    </row>
    <row r="866" spans="1:7" x14ac:dyDescent="0.2">
      <c r="A866">
        <v>303</v>
      </c>
      <c r="B866" t="s">
        <v>149</v>
      </c>
      <c r="C866" t="s">
        <v>700</v>
      </c>
      <c r="D866" s="5">
        <v>887807</v>
      </c>
      <c r="E866" s="5">
        <v>617025</v>
      </c>
      <c r="F866" s="5">
        <v>8471</v>
      </c>
      <c r="G866" s="5">
        <v>1513302</v>
      </c>
    </row>
    <row r="867" spans="1:7" x14ac:dyDescent="0.2">
      <c r="A867">
        <v>303</v>
      </c>
      <c r="B867" t="s">
        <v>149</v>
      </c>
      <c r="C867" t="s">
        <v>701</v>
      </c>
      <c r="D867" s="5">
        <v>3624</v>
      </c>
      <c r="E867" s="5">
        <v>43670</v>
      </c>
      <c r="F867" s="5">
        <v>45</v>
      </c>
      <c r="G867" s="5">
        <v>47339</v>
      </c>
    </row>
    <row r="868" spans="1:7" x14ac:dyDescent="0.2">
      <c r="A868">
        <v>303</v>
      </c>
      <c r="B868" t="s">
        <v>149</v>
      </c>
      <c r="C868" t="s">
        <v>703</v>
      </c>
      <c r="D868" s="5">
        <v>884</v>
      </c>
      <c r="E868" s="5">
        <v>3851</v>
      </c>
      <c r="F868" s="5">
        <v>0</v>
      </c>
      <c r="G868" s="5">
        <v>4735</v>
      </c>
    </row>
    <row r="869" spans="1:7" x14ac:dyDescent="0.2">
      <c r="A869">
        <v>303</v>
      </c>
      <c r="B869" t="s">
        <v>149</v>
      </c>
      <c r="C869" t="s">
        <v>704</v>
      </c>
      <c r="D869" s="5">
        <v>89036</v>
      </c>
      <c r="E869" s="5">
        <v>475783</v>
      </c>
      <c r="F869" s="5">
        <v>62970</v>
      </c>
      <c r="G869" s="5">
        <v>627789</v>
      </c>
    </row>
    <row r="870" spans="1:7" x14ac:dyDescent="0.2">
      <c r="A870">
        <v>303</v>
      </c>
      <c r="B870" t="s">
        <v>149</v>
      </c>
      <c r="C870" t="s">
        <v>705</v>
      </c>
      <c r="D870" s="5">
        <v>4604</v>
      </c>
      <c r="E870" s="5">
        <v>69906</v>
      </c>
      <c r="F870" s="5">
        <v>571</v>
      </c>
      <c r="G870" s="5">
        <v>75081</v>
      </c>
    </row>
    <row r="871" spans="1:7" x14ac:dyDescent="0.2">
      <c r="A871">
        <v>303</v>
      </c>
      <c r="B871" t="s">
        <v>149</v>
      </c>
      <c r="C871" t="s">
        <v>707</v>
      </c>
      <c r="D871" s="5">
        <v>8537</v>
      </c>
      <c r="E871" s="5">
        <v>13754</v>
      </c>
      <c r="F871" s="5">
        <v>5810</v>
      </c>
      <c r="G871" s="5">
        <v>28101</v>
      </c>
    </row>
    <row r="872" spans="1:7" x14ac:dyDescent="0.2">
      <c r="A872">
        <v>303</v>
      </c>
      <c r="B872" t="s">
        <v>149</v>
      </c>
      <c r="C872" t="s">
        <v>708</v>
      </c>
      <c r="D872" s="5">
        <v>468</v>
      </c>
      <c r="E872" s="5">
        <v>49168</v>
      </c>
      <c r="F872" s="5">
        <v>0</v>
      </c>
      <c r="G872" s="5">
        <v>49636</v>
      </c>
    </row>
    <row r="873" spans="1:7" x14ac:dyDescent="0.2">
      <c r="A873">
        <v>303</v>
      </c>
      <c r="B873" t="s">
        <v>149</v>
      </c>
      <c r="C873" t="s">
        <v>709</v>
      </c>
      <c r="D873" s="5">
        <v>7302</v>
      </c>
      <c r="E873" s="5">
        <v>30174</v>
      </c>
      <c r="F873" s="5">
        <v>598</v>
      </c>
      <c r="G873" s="5">
        <v>38074</v>
      </c>
    </row>
    <row r="874" spans="1:7" x14ac:dyDescent="0.2">
      <c r="A874">
        <v>303</v>
      </c>
      <c r="B874" t="s">
        <v>149</v>
      </c>
      <c r="C874" t="s">
        <v>710</v>
      </c>
      <c r="D874" s="5">
        <v>534</v>
      </c>
      <c r="E874" s="5">
        <v>40386</v>
      </c>
      <c r="F874" s="5">
        <v>0</v>
      </c>
      <c r="G874" s="5">
        <v>40920</v>
      </c>
    </row>
    <row r="875" spans="1:7" x14ac:dyDescent="0.2">
      <c r="A875">
        <v>303</v>
      </c>
      <c r="B875" t="s">
        <v>149</v>
      </c>
      <c r="C875" t="s">
        <v>712</v>
      </c>
      <c r="D875" s="5">
        <v>2968</v>
      </c>
      <c r="E875" s="5">
        <v>103429</v>
      </c>
      <c r="F875" s="5">
        <v>0</v>
      </c>
      <c r="G875" s="5">
        <v>106396</v>
      </c>
    </row>
    <row r="876" spans="1:7" x14ac:dyDescent="0.2">
      <c r="A876">
        <v>307</v>
      </c>
      <c r="B876" t="s">
        <v>29</v>
      </c>
      <c r="C876" t="s">
        <v>700</v>
      </c>
      <c r="D876" s="5">
        <v>258713</v>
      </c>
      <c r="E876" s="5">
        <v>447177</v>
      </c>
      <c r="F876" s="5">
        <v>9258</v>
      </c>
      <c r="G876" s="5">
        <v>715148</v>
      </c>
    </row>
    <row r="877" spans="1:7" x14ac:dyDescent="0.2">
      <c r="A877">
        <v>307</v>
      </c>
      <c r="B877" t="s">
        <v>29</v>
      </c>
      <c r="C877" t="s">
        <v>701</v>
      </c>
      <c r="D877" s="5">
        <v>40585</v>
      </c>
      <c r="E877" s="5">
        <v>132634</v>
      </c>
      <c r="F877" s="5">
        <v>0</v>
      </c>
      <c r="G877" s="5">
        <v>173218</v>
      </c>
    </row>
    <row r="878" spans="1:7" x14ac:dyDescent="0.2">
      <c r="A878">
        <v>307</v>
      </c>
      <c r="B878" t="s">
        <v>29</v>
      </c>
      <c r="C878" t="s">
        <v>703</v>
      </c>
      <c r="D878" s="5">
        <v>4986</v>
      </c>
      <c r="E878" s="5">
        <v>33056</v>
      </c>
      <c r="F878" s="5">
        <v>536</v>
      </c>
      <c r="G878" s="5">
        <v>38578</v>
      </c>
    </row>
    <row r="879" spans="1:7" x14ac:dyDescent="0.2">
      <c r="A879">
        <v>307</v>
      </c>
      <c r="B879" t="s">
        <v>29</v>
      </c>
      <c r="C879" t="s">
        <v>704</v>
      </c>
      <c r="D879" s="5">
        <v>20873</v>
      </c>
      <c r="E879" s="5">
        <v>511125</v>
      </c>
      <c r="F879" s="5">
        <v>1205</v>
      </c>
      <c r="G879" s="5">
        <v>533203</v>
      </c>
    </row>
    <row r="880" spans="1:7" x14ac:dyDescent="0.2">
      <c r="A880">
        <v>307</v>
      </c>
      <c r="B880" t="s">
        <v>29</v>
      </c>
      <c r="C880" t="s">
        <v>705</v>
      </c>
      <c r="D880" s="5">
        <v>51838</v>
      </c>
      <c r="E880" s="5">
        <v>476000</v>
      </c>
      <c r="F880" s="5">
        <v>728</v>
      </c>
      <c r="G880" s="5">
        <v>528566</v>
      </c>
    </row>
    <row r="881" spans="1:7" x14ac:dyDescent="0.2">
      <c r="A881">
        <v>307</v>
      </c>
      <c r="B881" t="s">
        <v>29</v>
      </c>
      <c r="C881" t="s">
        <v>707</v>
      </c>
      <c r="D881" s="5">
        <v>330</v>
      </c>
      <c r="E881" s="5">
        <v>8117</v>
      </c>
      <c r="F881" s="5">
        <v>0</v>
      </c>
      <c r="G881" s="5">
        <v>8447</v>
      </c>
    </row>
    <row r="882" spans="1:7" x14ac:dyDescent="0.2">
      <c r="A882">
        <v>307</v>
      </c>
      <c r="B882" t="s">
        <v>29</v>
      </c>
      <c r="C882" t="s">
        <v>708</v>
      </c>
      <c r="D882" s="5">
        <v>20682</v>
      </c>
      <c r="E882" s="5">
        <v>182568</v>
      </c>
      <c r="F882" s="5">
        <v>0</v>
      </c>
      <c r="G882" s="5">
        <v>203250</v>
      </c>
    </row>
    <row r="883" spans="1:7" x14ac:dyDescent="0.2">
      <c r="A883">
        <v>307</v>
      </c>
      <c r="B883" t="s">
        <v>29</v>
      </c>
      <c r="C883" t="s">
        <v>709</v>
      </c>
      <c r="D883" s="5">
        <v>39514</v>
      </c>
      <c r="E883" s="5">
        <v>210945</v>
      </c>
      <c r="F883" s="5">
        <v>575</v>
      </c>
      <c r="G883" s="5">
        <v>251034</v>
      </c>
    </row>
    <row r="884" spans="1:7" x14ac:dyDescent="0.2">
      <c r="A884">
        <v>307</v>
      </c>
      <c r="B884" t="s">
        <v>29</v>
      </c>
      <c r="C884" t="s">
        <v>710</v>
      </c>
      <c r="D884" s="5">
        <v>2034</v>
      </c>
      <c r="E884" s="5">
        <v>70343</v>
      </c>
      <c r="F884" s="5">
        <v>0</v>
      </c>
      <c r="G884" s="5">
        <v>72377</v>
      </c>
    </row>
    <row r="885" spans="1:7" x14ac:dyDescent="0.2">
      <c r="A885">
        <v>307</v>
      </c>
      <c r="B885" t="s">
        <v>29</v>
      </c>
      <c r="C885" t="s">
        <v>712</v>
      </c>
      <c r="D885" s="5">
        <v>45556</v>
      </c>
      <c r="E885" s="5">
        <v>483060</v>
      </c>
      <c r="F885" s="5">
        <v>559</v>
      </c>
      <c r="G885" s="5">
        <v>529175</v>
      </c>
    </row>
    <row r="886" spans="1:7" x14ac:dyDescent="0.2">
      <c r="A886">
        <v>308</v>
      </c>
      <c r="B886" t="s">
        <v>45</v>
      </c>
      <c r="C886" t="s">
        <v>700</v>
      </c>
      <c r="D886" s="5">
        <v>94458</v>
      </c>
      <c r="E886" s="5">
        <v>94350</v>
      </c>
      <c r="F886" s="5">
        <v>1144</v>
      </c>
      <c r="G886" s="5">
        <v>189952</v>
      </c>
    </row>
    <row r="887" spans="1:7" x14ac:dyDescent="0.2">
      <c r="A887">
        <v>308</v>
      </c>
      <c r="B887" t="s">
        <v>45</v>
      </c>
      <c r="C887" t="s">
        <v>701</v>
      </c>
      <c r="D887" s="5">
        <v>18756</v>
      </c>
      <c r="E887" s="5">
        <v>18748</v>
      </c>
      <c r="F887" s="5">
        <v>0</v>
      </c>
      <c r="G887" s="5">
        <v>37504</v>
      </c>
    </row>
    <row r="888" spans="1:7" x14ac:dyDescent="0.2">
      <c r="A888">
        <v>308</v>
      </c>
      <c r="B888" t="s">
        <v>45</v>
      </c>
      <c r="C888" t="s">
        <v>703</v>
      </c>
      <c r="D888" s="5">
        <v>1981</v>
      </c>
      <c r="E888" s="5">
        <v>14631</v>
      </c>
      <c r="F888" s="5">
        <v>0</v>
      </c>
      <c r="G888" s="5">
        <v>16612</v>
      </c>
    </row>
    <row r="889" spans="1:7" x14ac:dyDescent="0.2">
      <c r="A889">
        <v>308</v>
      </c>
      <c r="B889" t="s">
        <v>45</v>
      </c>
      <c r="C889" t="s">
        <v>704</v>
      </c>
      <c r="D889" s="5">
        <v>9242</v>
      </c>
      <c r="E889" s="5">
        <v>66169</v>
      </c>
      <c r="F889" s="5">
        <v>0</v>
      </c>
      <c r="G889" s="5">
        <v>75411</v>
      </c>
    </row>
    <row r="890" spans="1:7" x14ac:dyDescent="0.2">
      <c r="A890">
        <v>308</v>
      </c>
      <c r="B890" t="s">
        <v>45</v>
      </c>
      <c r="C890" t="s">
        <v>705</v>
      </c>
      <c r="D890" s="5">
        <v>14576</v>
      </c>
      <c r="E890" s="5">
        <v>44833</v>
      </c>
      <c r="F890" s="5">
        <v>0</v>
      </c>
      <c r="G890" s="5">
        <v>59409</v>
      </c>
    </row>
    <row r="891" spans="1:7" x14ac:dyDescent="0.2">
      <c r="A891">
        <v>308</v>
      </c>
      <c r="B891" t="s">
        <v>45</v>
      </c>
      <c r="C891" t="s">
        <v>707</v>
      </c>
      <c r="D891" s="5">
        <v>3457</v>
      </c>
      <c r="E891" s="5">
        <v>2955</v>
      </c>
      <c r="F891" s="5">
        <v>0</v>
      </c>
      <c r="G891" s="5">
        <v>6412</v>
      </c>
    </row>
    <row r="892" spans="1:7" x14ac:dyDescent="0.2">
      <c r="A892">
        <v>308</v>
      </c>
      <c r="B892" t="s">
        <v>45</v>
      </c>
      <c r="C892" t="s">
        <v>708</v>
      </c>
      <c r="D892" s="5">
        <v>3371</v>
      </c>
      <c r="E892" s="5">
        <v>13542</v>
      </c>
      <c r="F892" s="5">
        <v>0</v>
      </c>
      <c r="G892" s="5">
        <v>16913</v>
      </c>
    </row>
    <row r="893" spans="1:7" x14ac:dyDescent="0.2">
      <c r="A893">
        <v>308</v>
      </c>
      <c r="B893" t="s">
        <v>45</v>
      </c>
      <c r="C893" t="s">
        <v>709</v>
      </c>
      <c r="D893" s="5">
        <v>6384</v>
      </c>
      <c r="E893" s="5">
        <v>18541</v>
      </c>
      <c r="F893" s="5">
        <v>125</v>
      </c>
      <c r="G893" s="5">
        <v>25051</v>
      </c>
    </row>
    <row r="894" spans="1:7" x14ac:dyDescent="0.2">
      <c r="A894">
        <v>308</v>
      </c>
      <c r="B894" t="s">
        <v>45</v>
      </c>
      <c r="C894" t="s">
        <v>710</v>
      </c>
      <c r="D894" s="5">
        <v>403</v>
      </c>
      <c r="E894" s="5">
        <v>15425</v>
      </c>
      <c r="F894" s="5">
        <v>0</v>
      </c>
      <c r="G894" s="5">
        <v>15828</v>
      </c>
    </row>
    <row r="895" spans="1:7" x14ac:dyDescent="0.2">
      <c r="A895">
        <v>308</v>
      </c>
      <c r="B895" t="s">
        <v>45</v>
      </c>
      <c r="C895" t="s">
        <v>712</v>
      </c>
      <c r="D895" s="5">
        <v>6900</v>
      </c>
      <c r="E895" s="5">
        <v>49238</v>
      </c>
      <c r="F895" s="5">
        <v>0</v>
      </c>
      <c r="G895" s="5">
        <v>56138</v>
      </c>
    </row>
    <row r="896" spans="1:7" x14ac:dyDescent="0.2">
      <c r="A896">
        <v>310</v>
      </c>
      <c r="B896" t="s">
        <v>77</v>
      </c>
      <c r="C896" t="s">
        <v>700</v>
      </c>
      <c r="D896" s="5">
        <v>334937</v>
      </c>
      <c r="E896" s="5">
        <v>204702</v>
      </c>
      <c r="F896" s="5">
        <v>4145</v>
      </c>
      <c r="G896" s="5">
        <v>543784</v>
      </c>
    </row>
    <row r="897" spans="1:7" x14ac:dyDescent="0.2">
      <c r="A897">
        <v>310</v>
      </c>
      <c r="B897" t="s">
        <v>77</v>
      </c>
      <c r="C897" t="s">
        <v>701</v>
      </c>
      <c r="D897" s="5">
        <v>13336</v>
      </c>
      <c r="E897" s="5">
        <v>20536</v>
      </c>
      <c r="F897" s="5">
        <v>0</v>
      </c>
      <c r="G897" s="5">
        <v>33872</v>
      </c>
    </row>
    <row r="898" spans="1:7" x14ac:dyDescent="0.2">
      <c r="A898">
        <v>310</v>
      </c>
      <c r="B898" t="s">
        <v>77</v>
      </c>
      <c r="C898" t="s">
        <v>703</v>
      </c>
      <c r="D898" s="5">
        <v>11968</v>
      </c>
      <c r="E898" s="5">
        <v>20356</v>
      </c>
      <c r="F898" s="5">
        <v>44</v>
      </c>
      <c r="G898" s="5">
        <v>32367</v>
      </c>
    </row>
    <row r="899" spans="1:7" x14ac:dyDescent="0.2">
      <c r="A899">
        <v>310</v>
      </c>
      <c r="B899" t="s">
        <v>77</v>
      </c>
      <c r="C899" t="s">
        <v>704</v>
      </c>
      <c r="D899" s="5">
        <v>33566</v>
      </c>
      <c r="E899" s="5">
        <v>99596</v>
      </c>
      <c r="F899" s="5">
        <v>1118</v>
      </c>
      <c r="G899" s="5">
        <v>134280</v>
      </c>
    </row>
    <row r="900" spans="1:7" x14ac:dyDescent="0.2">
      <c r="A900">
        <v>310</v>
      </c>
      <c r="B900" t="s">
        <v>77</v>
      </c>
      <c r="C900" t="s">
        <v>705</v>
      </c>
      <c r="D900" s="5">
        <v>19206</v>
      </c>
      <c r="E900" s="5">
        <v>70733</v>
      </c>
      <c r="F900" s="5">
        <v>0</v>
      </c>
      <c r="G900" s="5">
        <v>89940</v>
      </c>
    </row>
    <row r="901" spans="1:7" x14ac:dyDescent="0.2">
      <c r="A901">
        <v>310</v>
      </c>
      <c r="B901" t="s">
        <v>77</v>
      </c>
      <c r="C901" t="s">
        <v>707</v>
      </c>
      <c r="D901" s="5">
        <v>5293</v>
      </c>
      <c r="E901" s="5">
        <v>3806</v>
      </c>
      <c r="F901" s="5">
        <v>328</v>
      </c>
      <c r="G901" s="5">
        <v>9427</v>
      </c>
    </row>
    <row r="902" spans="1:7" x14ac:dyDescent="0.2">
      <c r="A902">
        <v>310</v>
      </c>
      <c r="B902" t="s">
        <v>77</v>
      </c>
      <c r="C902" t="s">
        <v>708</v>
      </c>
      <c r="D902" s="5">
        <v>5710</v>
      </c>
      <c r="E902" s="5">
        <v>21628</v>
      </c>
      <c r="F902" s="5">
        <v>0</v>
      </c>
      <c r="G902" s="5">
        <v>27339</v>
      </c>
    </row>
    <row r="903" spans="1:7" x14ac:dyDescent="0.2">
      <c r="A903">
        <v>310</v>
      </c>
      <c r="B903" t="s">
        <v>77</v>
      </c>
      <c r="C903" t="s">
        <v>709</v>
      </c>
      <c r="D903" s="5">
        <v>20830</v>
      </c>
      <c r="E903" s="5">
        <v>53753</v>
      </c>
      <c r="F903" s="5">
        <v>91</v>
      </c>
      <c r="G903" s="5">
        <v>74675</v>
      </c>
    </row>
    <row r="904" spans="1:7" x14ac:dyDescent="0.2">
      <c r="A904">
        <v>310</v>
      </c>
      <c r="B904" t="s">
        <v>77</v>
      </c>
      <c r="C904" t="s">
        <v>710</v>
      </c>
      <c r="D904" s="5">
        <v>3987</v>
      </c>
      <c r="E904" s="5">
        <v>23777</v>
      </c>
      <c r="F904" s="5">
        <v>0</v>
      </c>
      <c r="G904" s="5">
        <v>27764</v>
      </c>
    </row>
    <row r="905" spans="1:7" x14ac:dyDescent="0.2">
      <c r="A905">
        <v>310</v>
      </c>
      <c r="B905" t="s">
        <v>77</v>
      </c>
      <c r="C905" t="s">
        <v>712</v>
      </c>
      <c r="D905" s="5">
        <v>9510</v>
      </c>
      <c r="E905" s="5">
        <v>51605</v>
      </c>
      <c r="F905" s="5">
        <v>533</v>
      </c>
      <c r="G905" s="5">
        <v>61648</v>
      </c>
    </row>
    <row r="906" spans="1:7" x14ac:dyDescent="0.2">
      <c r="A906">
        <v>312</v>
      </c>
      <c r="B906" t="s">
        <v>105</v>
      </c>
      <c r="C906" t="s">
        <v>700</v>
      </c>
      <c r="D906" s="5">
        <v>161021</v>
      </c>
      <c r="E906" s="5">
        <v>206581</v>
      </c>
      <c r="F906" s="5">
        <v>3556</v>
      </c>
      <c r="G906" s="5">
        <v>371158</v>
      </c>
    </row>
    <row r="907" spans="1:7" x14ac:dyDescent="0.2">
      <c r="A907">
        <v>312</v>
      </c>
      <c r="B907" t="s">
        <v>105</v>
      </c>
      <c r="C907" t="s">
        <v>701</v>
      </c>
      <c r="D907" s="5">
        <v>20541</v>
      </c>
      <c r="E907" s="5">
        <v>14637</v>
      </c>
      <c r="F907" s="5">
        <v>0</v>
      </c>
      <c r="G907" s="5">
        <v>35178</v>
      </c>
    </row>
    <row r="908" spans="1:7" x14ac:dyDescent="0.2">
      <c r="A908">
        <v>312</v>
      </c>
      <c r="B908" t="s">
        <v>105</v>
      </c>
      <c r="C908" t="s">
        <v>703</v>
      </c>
      <c r="D908" s="5">
        <v>1483</v>
      </c>
      <c r="E908" s="5">
        <v>4383</v>
      </c>
      <c r="F908" s="5">
        <v>0</v>
      </c>
      <c r="G908" s="5">
        <v>5865</v>
      </c>
    </row>
    <row r="909" spans="1:7" x14ac:dyDescent="0.2">
      <c r="A909">
        <v>312</v>
      </c>
      <c r="B909" t="s">
        <v>105</v>
      </c>
      <c r="C909" t="s">
        <v>704</v>
      </c>
      <c r="D909" s="5">
        <v>11411</v>
      </c>
      <c r="E909" s="5">
        <v>71254</v>
      </c>
      <c r="F909" s="5">
        <v>1224</v>
      </c>
      <c r="G909" s="5">
        <v>83889</v>
      </c>
    </row>
    <row r="910" spans="1:7" x14ac:dyDescent="0.2">
      <c r="A910">
        <v>312</v>
      </c>
      <c r="B910" t="s">
        <v>105</v>
      </c>
      <c r="C910" t="s">
        <v>705</v>
      </c>
      <c r="D910" s="5">
        <v>7470</v>
      </c>
      <c r="E910" s="5">
        <v>55336</v>
      </c>
      <c r="F910" s="5">
        <v>219</v>
      </c>
      <c r="G910" s="5">
        <v>63025</v>
      </c>
    </row>
    <row r="911" spans="1:7" x14ac:dyDescent="0.2">
      <c r="A911">
        <v>312</v>
      </c>
      <c r="B911" t="s">
        <v>105</v>
      </c>
      <c r="C911" t="s">
        <v>707</v>
      </c>
      <c r="D911" s="5">
        <v>1812</v>
      </c>
      <c r="E911" s="5">
        <v>5755</v>
      </c>
      <c r="F911" s="5">
        <v>180</v>
      </c>
      <c r="G911" s="5">
        <v>7747</v>
      </c>
    </row>
    <row r="912" spans="1:7" x14ac:dyDescent="0.2">
      <c r="A912">
        <v>312</v>
      </c>
      <c r="B912" t="s">
        <v>105</v>
      </c>
      <c r="C912" t="s">
        <v>708</v>
      </c>
      <c r="D912" s="5">
        <v>3176</v>
      </c>
      <c r="E912" s="5">
        <v>4414</v>
      </c>
      <c r="F912" s="5">
        <v>0</v>
      </c>
      <c r="G912" s="5">
        <v>7591</v>
      </c>
    </row>
    <row r="913" spans="1:7" x14ac:dyDescent="0.2">
      <c r="A913">
        <v>312</v>
      </c>
      <c r="B913" t="s">
        <v>105</v>
      </c>
      <c r="C913" t="s">
        <v>709</v>
      </c>
      <c r="D913" s="5">
        <v>3721</v>
      </c>
      <c r="E913" s="5">
        <v>4811</v>
      </c>
      <c r="F913" s="5">
        <v>2</v>
      </c>
      <c r="G913" s="5">
        <v>8534</v>
      </c>
    </row>
    <row r="914" spans="1:7" x14ac:dyDescent="0.2">
      <c r="A914">
        <v>312</v>
      </c>
      <c r="B914" t="s">
        <v>105</v>
      </c>
      <c r="C914" t="s">
        <v>710</v>
      </c>
      <c r="D914" s="5">
        <v>150</v>
      </c>
      <c r="E914" s="5">
        <v>5244</v>
      </c>
      <c r="F914" s="5">
        <v>0</v>
      </c>
      <c r="G914" s="5">
        <v>5394</v>
      </c>
    </row>
    <row r="915" spans="1:7" x14ac:dyDescent="0.2">
      <c r="A915">
        <v>312</v>
      </c>
      <c r="B915" t="s">
        <v>105</v>
      </c>
      <c r="C915" t="s">
        <v>712</v>
      </c>
      <c r="D915" s="5">
        <v>5844</v>
      </c>
      <c r="E915" s="5">
        <v>15266</v>
      </c>
      <c r="F915" s="5">
        <v>0</v>
      </c>
      <c r="G915" s="5">
        <v>21111</v>
      </c>
    </row>
    <row r="916" spans="1:7" x14ac:dyDescent="0.2">
      <c r="A916">
        <v>313</v>
      </c>
      <c r="B916" t="s">
        <v>107</v>
      </c>
      <c r="C916" t="s">
        <v>700</v>
      </c>
      <c r="D916" s="5">
        <v>113277</v>
      </c>
      <c r="E916" s="5">
        <v>130325</v>
      </c>
      <c r="F916" s="5">
        <v>1260</v>
      </c>
      <c r="G916" s="5">
        <v>244862</v>
      </c>
    </row>
    <row r="917" spans="1:7" x14ac:dyDescent="0.2">
      <c r="A917">
        <v>313</v>
      </c>
      <c r="B917" t="s">
        <v>107</v>
      </c>
      <c r="C917" t="s">
        <v>701</v>
      </c>
      <c r="D917" s="5">
        <v>9227</v>
      </c>
      <c r="E917" s="5">
        <v>14954</v>
      </c>
      <c r="F917" s="5">
        <v>0</v>
      </c>
      <c r="G917" s="5">
        <v>24181</v>
      </c>
    </row>
    <row r="918" spans="1:7" x14ac:dyDescent="0.2">
      <c r="A918">
        <v>313</v>
      </c>
      <c r="B918" t="s">
        <v>107</v>
      </c>
      <c r="C918" t="s">
        <v>703</v>
      </c>
      <c r="D918" s="5">
        <v>1962</v>
      </c>
      <c r="E918" s="5">
        <v>2819</v>
      </c>
      <c r="F918" s="5">
        <v>0</v>
      </c>
      <c r="G918" s="5">
        <v>4781</v>
      </c>
    </row>
    <row r="919" spans="1:7" x14ac:dyDescent="0.2">
      <c r="A919">
        <v>313</v>
      </c>
      <c r="B919" t="s">
        <v>107</v>
      </c>
      <c r="C919" t="s">
        <v>704</v>
      </c>
      <c r="D919" s="5">
        <v>9108</v>
      </c>
      <c r="E919" s="5">
        <v>207425</v>
      </c>
      <c r="F919" s="5">
        <v>7</v>
      </c>
      <c r="G919" s="5">
        <v>216540</v>
      </c>
    </row>
    <row r="920" spans="1:7" x14ac:dyDescent="0.2">
      <c r="A920">
        <v>313</v>
      </c>
      <c r="B920" t="s">
        <v>107</v>
      </c>
      <c r="C920" t="s">
        <v>705</v>
      </c>
      <c r="D920" s="5">
        <v>3246</v>
      </c>
      <c r="E920" s="5">
        <v>202900</v>
      </c>
      <c r="F920" s="5">
        <v>0</v>
      </c>
      <c r="G920" s="5">
        <v>206146</v>
      </c>
    </row>
    <row r="921" spans="1:7" x14ac:dyDescent="0.2">
      <c r="A921">
        <v>313</v>
      </c>
      <c r="B921" t="s">
        <v>107</v>
      </c>
      <c r="C921" t="s">
        <v>707</v>
      </c>
      <c r="D921" s="5">
        <v>100</v>
      </c>
      <c r="E921" s="5">
        <v>429</v>
      </c>
      <c r="F921" s="5">
        <v>0</v>
      </c>
      <c r="G921" s="5">
        <v>529</v>
      </c>
    </row>
    <row r="922" spans="1:7" x14ac:dyDescent="0.2">
      <c r="A922">
        <v>313</v>
      </c>
      <c r="B922" t="s">
        <v>107</v>
      </c>
      <c r="C922" t="s">
        <v>708</v>
      </c>
      <c r="D922" s="5">
        <v>1776</v>
      </c>
      <c r="E922" s="5">
        <v>52500</v>
      </c>
      <c r="F922" s="5">
        <v>0</v>
      </c>
      <c r="G922" s="5">
        <v>54276</v>
      </c>
    </row>
    <row r="923" spans="1:7" x14ac:dyDescent="0.2">
      <c r="A923">
        <v>313</v>
      </c>
      <c r="B923" t="s">
        <v>107</v>
      </c>
      <c r="C923" t="s">
        <v>709</v>
      </c>
      <c r="D923" s="5">
        <v>3454</v>
      </c>
      <c r="E923" s="5">
        <v>16548</v>
      </c>
      <c r="F923" s="5">
        <v>0</v>
      </c>
      <c r="G923" s="5">
        <v>20002</v>
      </c>
    </row>
    <row r="924" spans="1:7" x14ac:dyDescent="0.2">
      <c r="A924">
        <v>313</v>
      </c>
      <c r="B924" t="s">
        <v>107</v>
      </c>
      <c r="C924" t="s">
        <v>710</v>
      </c>
      <c r="D924" s="5">
        <v>1000</v>
      </c>
      <c r="E924" s="5">
        <v>21097</v>
      </c>
      <c r="F924" s="5">
        <v>0</v>
      </c>
      <c r="G924" s="5">
        <v>22097</v>
      </c>
    </row>
    <row r="925" spans="1:7" x14ac:dyDescent="0.2">
      <c r="A925">
        <v>313</v>
      </c>
      <c r="B925" t="s">
        <v>107</v>
      </c>
      <c r="C925" t="s">
        <v>712</v>
      </c>
      <c r="D925" s="5">
        <v>10177</v>
      </c>
      <c r="E925" s="5">
        <v>41604</v>
      </c>
      <c r="F925" s="5">
        <v>0</v>
      </c>
      <c r="G925" s="5">
        <v>51780</v>
      </c>
    </row>
    <row r="926" spans="1:7" x14ac:dyDescent="0.2">
      <c r="A926">
        <v>317</v>
      </c>
      <c r="B926" t="s">
        <v>161</v>
      </c>
      <c r="C926" t="s">
        <v>700</v>
      </c>
      <c r="D926" s="5">
        <v>77270</v>
      </c>
      <c r="E926" s="5">
        <v>77099</v>
      </c>
      <c r="F926" s="5">
        <v>916</v>
      </c>
      <c r="G926" s="5">
        <v>155284</v>
      </c>
    </row>
    <row r="927" spans="1:7" x14ac:dyDescent="0.2">
      <c r="A927">
        <v>317</v>
      </c>
      <c r="B927" t="s">
        <v>161</v>
      </c>
      <c r="C927" t="s">
        <v>701</v>
      </c>
      <c r="D927" s="5">
        <v>1276</v>
      </c>
      <c r="E927" s="5">
        <v>2335</v>
      </c>
      <c r="F927" s="5">
        <v>0</v>
      </c>
      <c r="G927" s="5">
        <v>3611</v>
      </c>
    </row>
    <row r="928" spans="1:7" x14ac:dyDescent="0.2">
      <c r="A928">
        <v>317</v>
      </c>
      <c r="B928" t="s">
        <v>161</v>
      </c>
      <c r="C928" t="s">
        <v>703</v>
      </c>
      <c r="D928" s="5">
        <v>1236</v>
      </c>
      <c r="E928" s="5">
        <v>465</v>
      </c>
      <c r="F928" s="5">
        <v>0</v>
      </c>
      <c r="G928" s="5">
        <v>1701</v>
      </c>
    </row>
    <row r="929" spans="1:7" x14ac:dyDescent="0.2">
      <c r="A929">
        <v>317</v>
      </c>
      <c r="B929" t="s">
        <v>161</v>
      </c>
      <c r="C929" t="s">
        <v>704</v>
      </c>
      <c r="D929" s="5">
        <v>6250</v>
      </c>
      <c r="E929" s="5">
        <v>30495</v>
      </c>
      <c r="F929" s="5">
        <v>0</v>
      </c>
      <c r="G929" s="5">
        <v>36745</v>
      </c>
    </row>
    <row r="930" spans="1:7" x14ac:dyDescent="0.2">
      <c r="A930">
        <v>317</v>
      </c>
      <c r="B930" t="s">
        <v>161</v>
      </c>
      <c r="C930" t="s">
        <v>705</v>
      </c>
      <c r="D930" s="5">
        <v>2148</v>
      </c>
      <c r="E930" s="5">
        <v>16957</v>
      </c>
      <c r="F930" s="5">
        <v>0</v>
      </c>
      <c r="G930" s="5">
        <v>19105</v>
      </c>
    </row>
    <row r="931" spans="1:7" x14ac:dyDescent="0.2">
      <c r="A931">
        <v>317</v>
      </c>
      <c r="B931" t="s">
        <v>161</v>
      </c>
      <c r="C931" t="s">
        <v>706</v>
      </c>
      <c r="D931" s="5">
        <v>147</v>
      </c>
      <c r="E931" s="5">
        <v>0</v>
      </c>
      <c r="F931" s="5">
        <v>0</v>
      </c>
      <c r="G931" s="5">
        <v>147</v>
      </c>
    </row>
    <row r="932" spans="1:7" x14ac:dyDescent="0.2">
      <c r="A932">
        <v>317</v>
      </c>
      <c r="B932" t="s">
        <v>161</v>
      </c>
      <c r="C932" t="s">
        <v>707</v>
      </c>
      <c r="D932" s="5">
        <v>530</v>
      </c>
      <c r="E932" s="5">
        <v>157</v>
      </c>
      <c r="F932" s="5">
        <v>0</v>
      </c>
      <c r="G932" s="5">
        <v>687</v>
      </c>
    </row>
    <row r="933" spans="1:7" x14ac:dyDescent="0.2">
      <c r="A933">
        <v>317</v>
      </c>
      <c r="B933" t="s">
        <v>161</v>
      </c>
      <c r="C933" t="s">
        <v>708</v>
      </c>
      <c r="D933" s="5">
        <v>1123</v>
      </c>
      <c r="E933" s="5">
        <v>4258</v>
      </c>
      <c r="F933" s="5">
        <v>0</v>
      </c>
      <c r="G933" s="5">
        <v>5381</v>
      </c>
    </row>
    <row r="934" spans="1:7" x14ac:dyDescent="0.2">
      <c r="A934">
        <v>317</v>
      </c>
      <c r="B934" t="s">
        <v>161</v>
      </c>
      <c r="C934" t="s">
        <v>709</v>
      </c>
      <c r="D934" s="5">
        <v>5174</v>
      </c>
      <c r="E934" s="5">
        <v>15004</v>
      </c>
      <c r="F934" s="5">
        <v>62</v>
      </c>
      <c r="G934" s="5">
        <v>20240</v>
      </c>
    </row>
    <row r="935" spans="1:7" x14ac:dyDescent="0.2">
      <c r="A935">
        <v>317</v>
      </c>
      <c r="B935" t="s">
        <v>161</v>
      </c>
      <c r="C935" t="s">
        <v>710</v>
      </c>
      <c r="D935" s="5">
        <v>0</v>
      </c>
      <c r="E935" s="5">
        <v>3997</v>
      </c>
      <c r="F935" s="5">
        <v>0</v>
      </c>
      <c r="G935" s="5">
        <v>3997</v>
      </c>
    </row>
    <row r="936" spans="1:7" x14ac:dyDescent="0.2">
      <c r="A936">
        <v>317</v>
      </c>
      <c r="B936" t="s">
        <v>161</v>
      </c>
      <c r="C936" t="s">
        <v>712</v>
      </c>
      <c r="D936" s="5">
        <v>1254</v>
      </c>
      <c r="E936" s="5">
        <v>6715</v>
      </c>
      <c r="F936" s="5">
        <v>0</v>
      </c>
      <c r="G936" s="5">
        <v>7968</v>
      </c>
    </row>
    <row r="937" spans="1:7" x14ac:dyDescent="0.2">
      <c r="A937">
        <v>321</v>
      </c>
      <c r="B937" t="s">
        <v>283</v>
      </c>
      <c r="C937" t="s">
        <v>700</v>
      </c>
      <c r="D937" s="5">
        <v>290519</v>
      </c>
      <c r="E937" s="5">
        <v>205965</v>
      </c>
      <c r="F937" s="5">
        <v>11972</v>
      </c>
      <c r="G937" s="5">
        <v>508456</v>
      </c>
    </row>
    <row r="938" spans="1:7" x14ac:dyDescent="0.2">
      <c r="A938">
        <v>321</v>
      </c>
      <c r="B938" t="s">
        <v>283</v>
      </c>
      <c r="C938" t="s">
        <v>701</v>
      </c>
      <c r="D938" s="5">
        <v>9182</v>
      </c>
      <c r="E938" s="5">
        <v>36086</v>
      </c>
      <c r="F938" s="5">
        <v>0</v>
      </c>
      <c r="G938" s="5">
        <v>45268</v>
      </c>
    </row>
    <row r="939" spans="1:7" x14ac:dyDescent="0.2">
      <c r="A939">
        <v>321</v>
      </c>
      <c r="B939" t="s">
        <v>283</v>
      </c>
      <c r="C939" t="s">
        <v>703</v>
      </c>
      <c r="D939" s="5">
        <v>678</v>
      </c>
      <c r="E939" s="5">
        <v>7203</v>
      </c>
      <c r="F939" s="5">
        <v>0</v>
      </c>
      <c r="G939" s="5">
        <v>7881</v>
      </c>
    </row>
    <row r="940" spans="1:7" x14ac:dyDescent="0.2">
      <c r="A940">
        <v>321</v>
      </c>
      <c r="B940" t="s">
        <v>283</v>
      </c>
      <c r="C940" t="s">
        <v>704</v>
      </c>
      <c r="D940" s="5">
        <v>223775</v>
      </c>
      <c r="E940" s="5">
        <v>166994</v>
      </c>
      <c r="F940" s="5">
        <v>2472</v>
      </c>
      <c r="G940" s="5">
        <v>393241</v>
      </c>
    </row>
    <row r="941" spans="1:7" x14ac:dyDescent="0.2">
      <c r="A941">
        <v>321</v>
      </c>
      <c r="B941" t="s">
        <v>283</v>
      </c>
      <c r="C941" t="s">
        <v>705</v>
      </c>
      <c r="D941" s="5">
        <v>12978</v>
      </c>
      <c r="E941" s="5">
        <v>187142</v>
      </c>
      <c r="F941" s="5">
        <v>5532</v>
      </c>
      <c r="G941" s="5">
        <v>205653</v>
      </c>
    </row>
    <row r="942" spans="1:7" x14ac:dyDescent="0.2">
      <c r="A942">
        <v>321</v>
      </c>
      <c r="B942" t="s">
        <v>283</v>
      </c>
      <c r="C942" t="s">
        <v>707</v>
      </c>
      <c r="D942" s="5">
        <v>5432</v>
      </c>
      <c r="E942" s="5">
        <v>11383</v>
      </c>
      <c r="F942" s="5">
        <v>0</v>
      </c>
      <c r="G942" s="5">
        <v>16815</v>
      </c>
    </row>
    <row r="943" spans="1:7" x14ac:dyDescent="0.2">
      <c r="A943">
        <v>321</v>
      </c>
      <c r="B943" t="s">
        <v>283</v>
      </c>
      <c r="C943" t="s">
        <v>708</v>
      </c>
      <c r="D943" s="5">
        <v>2045</v>
      </c>
      <c r="E943" s="5">
        <v>36220</v>
      </c>
      <c r="F943" s="5">
        <v>0</v>
      </c>
      <c r="G943" s="5">
        <v>38265</v>
      </c>
    </row>
    <row r="944" spans="1:7" x14ac:dyDescent="0.2">
      <c r="A944">
        <v>321</v>
      </c>
      <c r="B944" t="s">
        <v>283</v>
      </c>
      <c r="C944" t="s">
        <v>709</v>
      </c>
      <c r="D944" s="5">
        <v>32559</v>
      </c>
      <c r="E944" s="5">
        <v>59993</v>
      </c>
      <c r="F944" s="5">
        <v>1825</v>
      </c>
      <c r="G944" s="5">
        <v>94377</v>
      </c>
    </row>
    <row r="945" spans="1:7" x14ac:dyDescent="0.2">
      <c r="A945">
        <v>321</v>
      </c>
      <c r="B945" t="s">
        <v>283</v>
      </c>
      <c r="C945" t="s">
        <v>710</v>
      </c>
      <c r="D945" s="5">
        <v>1802</v>
      </c>
      <c r="E945" s="5">
        <v>24729</v>
      </c>
      <c r="F945" s="5">
        <v>0</v>
      </c>
      <c r="G945" s="5">
        <v>26531</v>
      </c>
    </row>
    <row r="946" spans="1:7" x14ac:dyDescent="0.2">
      <c r="A946">
        <v>321</v>
      </c>
      <c r="B946" t="s">
        <v>283</v>
      </c>
      <c r="C946" t="s">
        <v>712</v>
      </c>
      <c r="D946" s="5">
        <v>6990</v>
      </c>
      <c r="E946" s="5">
        <v>99318</v>
      </c>
      <c r="F946" s="5">
        <v>6260</v>
      </c>
      <c r="G946" s="5">
        <v>112568</v>
      </c>
    </row>
    <row r="947" spans="1:7" x14ac:dyDescent="0.2">
      <c r="A947">
        <v>327</v>
      </c>
      <c r="B947" t="s">
        <v>331</v>
      </c>
      <c r="C947" t="s">
        <v>700</v>
      </c>
      <c r="D947" s="5">
        <v>218986</v>
      </c>
      <c r="E947" s="5">
        <v>228238</v>
      </c>
      <c r="F947" s="5">
        <v>3350</v>
      </c>
      <c r="G947" s="5">
        <v>450575</v>
      </c>
    </row>
    <row r="948" spans="1:7" x14ac:dyDescent="0.2">
      <c r="A948">
        <v>327</v>
      </c>
      <c r="B948" t="s">
        <v>331</v>
      </c>
      <c r="C948" t="s">
        <v>701</v>
      </c>
      <c r="D948" s="5">
        <v>10944</v>
      </c>
      <c r="E948" s="5">
        <v>10853</v>
      </c>
      <c r="F948" s="5">
        <v>0</v>
      </c>
      <c r="G948" s="5">
        <v>21797</v>
      </c>
    </row>
    <row r="949" spans="1:7" x14ac:dyDescent="0.2">
      <c r="A949">
        <v>327</v>
      </c>
      <c r="B949" t="s">
        <v>331</v>
      </c>
      <c r="C949" t="s">
        <v>703</v>
      </c>
      <c r="D949" s="5">
        <v>551</v>
      </c>
      <c r="E949" s="5">
        <v>14415</v>
      </c>
      <c r="F949" s="5">
        <v>0</v>
      </c>
      <c r="G949" s="5">
        <v>14966</v>
      </c>
    </row>
    <row r="950" spans="1:7" x14ac:dyDescent="0.2">
      <c r="A950">
        <v>327</v>
      </c>
      <c r="B950" t="s">
        <v>331</v>
      </c>
      <c r="C950" t="s">
        <v>704</v>
      </c>
      <c r="D950" s="5">
        <v>2393</v>
      </c>
      <c r="E950" s="5">
        <v>78299</v>
      </c>
      <c r="F950" s="5">
        <v>265</v>
      </c>
      <c r="G950" s="5">
        <v>80956</v>
      </c>
    </row>
    <row r="951" spans="1:7" x14ac:dyDescent="0.2">
      <c r="A951">
        <v>327</v>
      </c>
      <c r="B951" t="s">
        <v>331</v>
      </c>
      <c r="C951" t="s">
        <v>705</v>
      </c>
      <c r="D951" s="5">
        <v>3499</v>
      </c>
      <c r="E951" s="5">
        <v>56246</v>
      </c>
      <c r="F951" s="5">
        <v>217</v>
      </c>
      <c r="G951" s="5">
        <v>59962</v>
      </c>
    </row>
    <row r="952" spans="1:7" x14ac:dyDescent="0.2">
      <c r="A952">
        <v>327</v>
      </c>
      <c r="B952" t="s">
        <v>331</v>
      </c>
      <c r="C952" t="s">
        <v>707</v>
      </c>
      <c r="D952" s="5">
        <v>428</v>
      </c>
      <c r="E952" s="5">
        <v>4509</v>
      </c>
      <c r="F952" s="5">
        <v>0</v>
      </c>
      <c r="G952" s="5">
        <v>4937</v>
      </c>
    </row>
    <row r="953" spans="1:7" x14ac:dyDescent="0.2">
      <c r="A953">
        <v>327</v>
      </c>
      <c r="B953" t="s">
        <v>331</v>
      </c>
      <c r="C953" t="s">
        <v>708</v>
      </c>
      <c r="D953" s="5">
        <v>1029</v>
      </c>
      <c r="E953" s="5">
        <v>14550</v>
      </c>
      <c r="F953" s="5">
        <v>0</v>
      </c>
      <c r="G953" s="5">
        <v>15579</v>
      </c>
    </row>
    <row r="954" spans="1:7" x14ac:dyDescent="0.2">
      <c r="A954">
        <v>327</v>
      </c>
      <c r="B954" t="s">
        <v>331</v>
      </c>
      <c r="C954" t="s">
        <v>709</v>
      </c>
      <c r="D954" s="5">
        <v>9931</v>
      </c>
      <c r="E954" s="5">
        <v>55488</v>
      </c>
      <c r="F954" s="5">
        <v>413</v>
      </c>
      <c r="G954" s="5">
        <v>65831</v>
      </c>
    </row>
    <row r="955" spans="1:7" x14ac:dyDescent="0.2">
      <c r="A955">
        <v>327</v>
      </c>
      <c r="B955" t="s">
        <v>331</v>
      </c>
      <c r="C955" t="s">
        <v>710</v>
      </c>
      <c r="D955" s="5">
        <v>752</v>
      </c>
      <c r="E955" s="5">
        <v>43812</v>
      </c>
      <c r="F955" s="5">
        <v>0</v>
      </c>
      <c r="G955" s="5">
        <v>44564</v>
      </c>
    </row>
    <row r="956" spans="1:7" x14ac:dyDescent="0.2">
      <c r="A956">
        <v>327</v>
      </c>
      <c r="B956" t="s">
        <v>331</v>
      </c>
      <c r="C956" t="s">
        <v>712</v>
      </c>
      <c r="D956" s="5">
        <v>2225</v>
      </c>
      <c r="E956" s="5">
        <v>38758</v>
      </c>
      <c r="F956" s="5">
        <v>0</v>
      </c>
      <c r="G956" s="5">
        <v>40984</v>
      </c>
    </row>
    <row r="957" spans="1:7" x14ac:dyDescent="0.2">
      <c r="A957">
        <v>331</v>
      </c>
      <c r="B957" t="s">
        <v>341</v>
      </c>
      <c r="C957" t="s">
        <v>700</v>
      </c>
      <c r="D957" s="5">
        <v>363490</v>
      </c>
      <c r="E957" s="5">
        <v>216624</v>
      </c>
      <c r="F957" s="5">
        <v>6782</v>
      </c>
      <c r="G957" s="5">
        <v>586897</v>
      </c>
    </row>
    <row r="958" spans="1:7" x14ac:dyDescent="0.2">
      <c r="A958">
        <v>331</v>
      </c>
      <c r="B958" t="s">
        <v>341</v>
      </c>
      <c r="C958" t="s">
        <v>701</v>
      </c>
      <c r="D958" s="5">
        <v>7509</v>
      </c>
      <c r="E958" s="5">
        <v>5982</v>
      </c>
      <c r="F958" s="5">
        <v>0</v>
      </c>
      <c r="G958" s="5">
        <v>13491</v>
      </c>
    </row>
    <row r="959" spans="1:7" x14ac:dyDescent="0.2">
      <c r="A959">
        <v>331</v>
      </c>
      <c r="B959" t="s">
        <v>341</v>
      </c>
      <c r="C959" t="s">
        <v>703</v>
      </c>
      <c r="D959" s="5">
        <v>0</v>
      </c>
      <c r="E959" s="5">
        <v>1051</v>
      </c>
      <c r="F959" s="5">
        <v>0</v>
      </c>
      <c r="G959" s="5">
        <v>1051</v>
      </c>
    </row>
    <row r="960" spans="1:7" x14ac:dyDescent="0.2">
      <c r="A960">
        <v>331</v>
      </c>
      <c r="B960" t="s">
        <v>341</v>
      </c>
      <c r="C960" t="s">
        <v>704</v>
      </c>
      <c r="D960" s="5">
        <v>34440</v>
      </c>
      <c r="E960" s="5">
        <v>97266</v>
      </c>
      <c r="F960" s="5">
        <v>2553</v>
      </c>
      <c r="G960" s="5">
        <v>134260</v>
      </c>
    </row>
    <row r="961" spans="1:7" x14ac:dyDescent="0.2">
      <c r="A961">
        <v>331</v>
      </c>
      <c r="B961" t="s">
        <v>341</v>
      </c>
      <c r="C961" t="s">
        <v>705</v>
      </c>
      <c r="D961" s="5">
        <v>4535</v>
      </c>
      <c r="E961" s="5">
        <v>103558</v>
      </c>
      <c r="F961" s="5">
        <v>726</v>
      </c>
      <c r="G961" s="5">
        <v>108819</v>
      </c>
    </row>
    <row r="962" spans="1:7" x14ac:dyDescent="0.2">
      <c r="A962">
        <v>331</v>
      </c>
      <c r="B962" t="s">
        <v>341</v>
      </c>
      <c r="C962" t="s">
        <v>707</v>
      </c>
      <c r="D962" s="5">
        <v>3351</v>
      </c>
      <c r="E962" s="5">
        <v>5353</v>
      </c>
      <c r="F962" s="5">
        <v>2098</v>
      </c>
      <c r="G962" s="5">
        <v>10802</v>
      </c>
    </row>
    <row r="963" spans="1:7" x14ac:dyDescent="0.2">
      <c r="A963">
        <v>331</v>
      </c>
      <c r="B963" t="s">
        <v>341</v>
      </c>
      <c r="C963" t="s">
        <v>708</v>
      </c>
      <c r="D963" s="5">
        <v>1276</v>
      </c>
      <c r="E963" s="5">
        <v>7108</v>
      </c>
      <c r="F963" s="5">
        <v>0</v>
      </c>
      <c r="G963" s="5">
        <v>8384</v>
      </c>
    </row>
    <row r="964" spans="1:7" x14ac:dyDescent="0.2">
      <c r="A964">
        <v>331</v>
      </c>
      <c r="B964" t="s">
        <v>341</v>
      </c>
      <c r="C964" t="s">
        <v>709</v>
      </c>
      <c r="D964" s="5">
        <v>6116</v>
      </c>
      <c r="E964" s="5">
        <v>10802</v>
      </c>
      <c r="F964" s="5">
        <v>22</v>
      </c>
      <c r="G964" s="5">
        <v>16941</v>
      </c>
    </row>
    <row r="965" spans="1:7" x14ac:dyDescent="0.2">
      <c r="A965">
        <v>331</v>
      </c>
      <c r="B965" t="s">
        <v>341</v>
      </c>
      <c r="C965" t="s">
        <v>710</v>
      </c>
      <c r="D965" s="5">
        <v>839</v>
      </c>
      <c r="E965" s="5">
        <v>6393</v>
      </c>
      <c r="F965" s="5">
        <v>0</v>
      </c>
      <c r="G965" s="5">
        <v>7232</v>
      </c>
    </row>
    <row r="966" spans="1:7" x14ac:dyDescent="0.2">
      <c r="A966">
        <v>331</v>
      </c>
      <c r="B966" t="s">
        <v>341</v>
      </c>
      <c r="C966" t="s">
        <v>712</v>
      </c>
      <c r="D966" s="5">
        <v>8826</v>
      </c>
      <c r="E966" s="5">
        <v>3057</v>
      </c>
      <c r="F966" s="5">
        <v>0</v>
      </c>
      <c r="G966" s="5">
        <v>11883</v>
      </c>
    </row>
    <row r="967" spans="1:7" x14ac:dyDescent="0.2">
      <c r="A967">
        <v>335</v>
      </c>
      <c r="B967" t="s">
        <v>377</v>
      </c>
      <c r="C967" t="s">
        <v>700</v>
      </c>
      <c r="D967" s="5">
        <v>148830</v>
      </c>
      <c r="E967" s="5">
        <v>139019</v>
      </c>
      <c r="F967" s="5">
        <v>9444</v>
      </c>
      <c r="G967" s="5">
        <v>297292</v>
      </c>
    </row>
    <row r="968" spans="1:7" x14ac:dyDescent="0.2">
      <c r="A968">
        <v>335</v>
      </c>
      <c r="B968" t="s">
        <v>377</v>
      </c>
      <c r="C968" t="s">
        <v>701</v>
      </c>
      <c r="D968" s="5">
        <v>4687</v>
      </c>
      <c r="E968" s="5">
        <v>4715</v>
      </c>
      <c r="F968" s="5">
        <v>0</v>
      </c>
      <c r="G968" s="5">
        <v>9402</v>
      </c>
    </row>
    <row r="969" spans="1:7" x14ac:dyDescent="0.2">
      <c r="A969">
        <v>335</v>
      </c>
      <c r="B969" t="s">
        <v>377</v>
      </c>
      <c r="C969" t="s">
        <v>703</v>
      </c>
      <c r="D969" s="5">
        <v>1326</v>
      </c>
      <c r="E969" s="5">
        <v>102</v>
      </c>
      <c r="F969" s="5">
        <v>0</v>
      </c>
      <c r="G969" s="5">
        <v>1428</v>
      </c>
    </row>
    <row r="970" spans="1:7" x14ac:dyDescent="0.2">
      <c r="A970">
        <v>335</v>
      </c>
      <c r="B970" t="s">
        <v>377</v>
      </c>
      <c r="C970" t="s">
        <v>704</v>
      </c>
      <c r="D970" s="5">
        <v>24294</v>
      </c>
      <c r="E970" s="5">
        <v>164653</v>
      </c>
      <c r="F970" s="5">
        <v>639</v>
      </c>
      <c r="G970" s="5">
        <v>189586</v>
      </c>
    </row>
    <row r="971" spans="1:7" x14ac:dyDescent="0.2">
      <c r="A971">
        <v>335</v>
      </c>
      <c r="B971" t="s">
        <v>377</v>
      </c>
      <c r="C971" t="s">
        <v>705</v>
      </c>
      <c r="D971" s="5">
        <v>11398</v>
      </c>
      <c r="E971" s="5">
        <v>54711</v>
      </c>
      <c r="F971" s="5">
        <v>578</v>
      </c>
      <c r="G971" s="5">
        <v>66687</v>
      </c>
    </row>
    <row r="972" spans="1:7" x14ac:dyDescent="0.2">
      <c r="A972">
        <v>335</v>
      </c>
      <c r="B972" t="s">
        <v>377</v>
      </c>
      <c r="C972" t="s">
        <v>707</v>
      </c>
      <c r="D972" s="5">
        <v>236</v>
      </c>
      <c r="E972" s="5">
        <v>0</v>
      </c>
      <c r="F972" s="5">
        <v>0</v>
      </c>
      <c r="G972" s="5">
        <v>236</v>
      </c>
    </row>
    <row r="973" spans="1:7" x14ac:dyDescent="0.2">
      <c r="A973">
        <v>335</v>
      </c>
      <c r="B973" t="s">
        <v>377</v>
      </c>
      <c r="C973" t="s">
        <v>708</v>
      </c>
      <c r="D973" s="5">
        <v>0</v>
      </c>
      <c r="E973" s="5">
        <v>13222</v>
      </c>
      <c r="F973" s="5">
        <v>595</v>
      </c>
      <c r="G973" s="5">
        <v>13817</v>
      </c>
    </row>
    <row r="974" spans="1:7" x14ac:dyDescent="0.2">
      <c r="A974">
        <v>335</v>
      </c>
      <c r="B974" t="s">
        <v>377</v>
      </c>
      <c r="C974" t="s">
        <v>709</v>
      </c>
      <c r="D974" s="5">
        <v>6451</v>
      </c>
      <c r="E974" s="5">
        <v>28786</v>
      </c>
      <c r="F974" s="5">
        <v>96</v>
      </c>
      <c r="G974" s="5">
        <v>35333</v>
      </c>
    </row>
    <row r="975" spans="1:7" x14ac:dyDescent="0.2">
      <c r="A975">
        <v>335</v>
      </c>
      <c r="B975" t="s">
        <v>377</v>
      </c>
      <c r="C975" t="s">
        <v>710</v>
      </c>
      <c r="D975" s="5">
        <v>525</v>
      </c>
      <c r="E975" s="5">
        <v>4412</v>
      </c>
      <c r="F975" s="5">
        <v>0</v>
      </c>
      <c r="G975" s="5">
        <v>4937</v>
      </c>
    </row>
    <row r="976" spans="1:7" x14ac:dyDescent="0.2">
      <c r="A976">
        <v>335</v>
      </c>
      <c r="B976" t="s">
        <v>377</v>
      </c>
      <c r="C976" t="s">
        <v>711</v>
      </c>
      <c r="D976" s="5">
        <v>223</v>
      </c>
      <c r="E976" s="5">
        <v>0</v>
      </c>
      <c r="F976" s="5">
        <v>0</v>
      </c>
      <c r="G976" s="5">
        <v>223</v>
      </c>
    </row>
    <row r="977" spans="1:7" x14ac:dyDescent="0.2">
      <c r="A977">
        <v>335</v>
      </c>
      <c r="B977" t="s">
        <v>377</v>
      </c>
      <c r="C977" t="s">
        <v>712</v>
      </c>
      <c r="D977" s="5">
        <v>12962</v>
      </c>
      <c r="E977" s="5">
        <v>14534</v>
      </c>
      <c r="F977" s="5">
        <v>0</v>
      </c>
      <c r="G977" s="5">
        <v>27496</v>
      </c>
    </row>
    <row r="978" spans="1:7" x14ac:dyDescent="0.2">
      <c r="A978">
        <v>339</v>
      </c>
      <c r="B978" t="s">
        <v>465</v>
      </c>
      <c r="C978" t="s">
        <v>700</v>
      </c>
      <c r="D978" s="5">
        <v>189644</v>
      </c>
      <c r="E978" s="5">
        <v>118668</v>
      </c>
      <c r="F978" s="5">
        <v>2861</v>
      </c>
      <c r="G978" s="5">
        <v>311173</v>
      </c>
    </row>
    <row r="979" spans="1:7" x14ac:dyDescent="0.2">
      <c r="A979">
        <v>339</v>
      </c>
      <c r="B979" t="s">
        <v>465</v>
      </c>
      <c r="C979" t="s">
        <v>701</v>
      </c>
      <c r="D979" s="5">
        <v>3357</v>
      </c>
      <c r="E979" s="5">
        <v>1953</v>
      </c>
      <c r="F979" s="5">
        <v>0</v>
      </c>
      <c r="G979" s="5">
        <v>5311</v>
      </c>
    </row>
    <row r="980" spans="1:7" x14ac:dyDescent="0.2">
      <c r="A980">
        <v>339</v>
      </c>
      <c r="B980" t="s">
        <v>465</v>
      </c>
      <c r="C980" t="s">
        <v>703</v>
      </c>
      <c r="D980" s="5">
        <v>204</v>
      </c>
      <c r="E980" s="5">
        <v>0</v>
      </c>
      <c r="F980" s="5">
        <v>0</v>
      </c>
      <c r="G980" s="5">
        <v>204</v>
      </c>
    </row>
    <row r="981" spans="1:7" x14ac:dyDescent="0.2">
      <c r="A981">
        <v>339</v>
      </c>
      <c r="B981" t="s">
        <v>465</v>
      </c>
      <c r="C981" t="s">
        <v>704</v>
      </c>
      <c r="D981" s="5">
        <v>3200</v>
      </c>
      <c r="E981" s="5">
        <v>65744</v>
      </c>
      <c r="F981" s="5">
        <v>0</v>
      </c>
      <c r="G981" s="5">
        <v>68945</v>
      </c>
    </row>
    <row r="982" spans="1:7" x14ac:dyDescent="0.2">
      <c r="A982">
        <v>339</v>
      </c>
      <c r="B982" t="s">
        <v>465</v>
      </c>
      <c r="C982" t="s">
        <v>705</v>
      </c>
      <c r="D982" s="5">
        <v>914</v>
      </c>
      <c r="E982" s="5">
        <v>22216</v>
      </c>
      <c r="F982" s="5">
        <v>0</v>
      </c>
      <c r="G982" s="5">
        <v>23129</v>
      </c>
    </row>
    <row r="983" spans="1:7" x14ac:dyDescent="0.2">
      <c r="A983">
        <v>339</v>
      </c>
      <c r="B983" t="s">
        <v>465</v>
      </c>
      <c r="C983" t="s">
        <v>708</v>
      </c>
      <c r="D983" s="5">
        <v>0</v>
      </c>
      <c r="E983" s="5">
        <v>2828</v>
      </c>
      <c r="F983" s="5">
        <v>0</v>
      </c>
      <c r="G983" s="5">
        <v>2828</v>
      </c>
    </row>
    <row r="984" spans="1:7" x14ac:dyDescent="0.2">
      <c r="A984">
        <v>339</v>
      </c>
      <c r="B984" t="s">
        <v>465</v>
      </c>
      <c r="C984" t="s">
        <v>709</v>
      </c>
      <c r="D984" s="5">
        <v>447</v>
      </c>
      <c r="E984" s="5">
        <v>10343</v>
      </c>
      <c r="F984" s="5">
        <v>2</v>
      </c>
      <c r="G984" s="5">
        <v>10792</v>
      </c>
    </row>
    <row r="985" spans="1:7" x14ac:dyDescent="0.2">
      <c r="A985">
        <v>339</v>
      </c>
      <c r="B985" t="s">
        <v>465</v>
      </c>
      <c r="C985" t="s">
        <v>712</v>
      </c>
      <c r="D985" s="5">
        <v>514</v>
      </c>
      <c r="E985" s="5">
        <v>7086</v>
      </c>
      <c r="F985" s="5">
        <v>0</v>
      </c>
      <c r="G985" s="5">
        <v>7600</v>
      </c>
    </row>
    <row r="986" spans="1:7" x14ac:dyDescent="0.2">
      <c r="A986">
        <v>340</v>
      </c>
      <c r="B986" t="s">
        <v>471</v>
      </c>
      <c r="C986" t="s">
        <v>700</v>
      </c>
      <c r="D986" s="5">
        <v>253974</v>
      </c>
      <c r="E986" s="5">
        <v>194750</v>
      </c>
      <c r="F986" s="5">
        <v>3690</v>
      </c>
      <c r="G986" s="5">
        <v>452413</v>
      </c>
    </row>
    <row r="987" spans="1:7" x14ac:dyDescent="0.2">
      <c r="A987">
        <v>340</v>
      </c>
      <c r="B987" t="s">
        <v>471</v>
      </c>
      <c r="C987" t="s">
        <v>701</v>
      </c>
      <c r="D987" s="5">
        <v>7480</v>
      </c>
      <c r="E987" s="5">
        <v>6492</v>
      </c>
      <c r="F987" s="5">
        <v>0</v>
      </c>
      <c r="G987" s="5">
        <v>13972</v>
      </c>
    </row>
    <row r="988" spans="1:7" x14ac:dyDescent="0.2">
      <c r="A988">
        <v>340</v>
      </c>
      <c r="B988" t="s">
        <v>471</v>
      </c>
      <c r="C988" t="s">
        <v>703</v>
      </c>
      <c r="D988" s="5">
        <v>121</v>
      </c>
      <c r="E988" s="5">
        <v>368</v>
      </c>
      <c r="F988" s="5">
        <v>0</v>
      </c>
      <c r="G988" s="5">
        <v>489</v>
      </c>
    </row>
    <row r="989" spans="1:7" x14ac:dyDescent="0.2">
      <c r="A989">
        <v>340</v>
      </c>
      <c r="B989" t="s">
        <v>471</v>
      </c>
      <c r="C989" t="s">
        <v>704</v>
      </c>
      <c r="D989" s="5">
        <v>11535</v>
      </c>
      <c r="E989" s="5">
        <v>94247</v>
      </c>
      <c r="F989" s="5">
        <v>0</v>
      </c>
      <c r="G989" s="5">
        <v>105782</v>
      </c>
    </row>
    <row r="990" spans="1:7" x14ac:dyDescent="0.2">
      <c r="A990">
        <v>340</v>
      </c>
      <c r="B990" t="s">
        <v>471</v>
      </c>
      <c r="C990" t="s">
        <v>705</v>
      </c>
      <c r="D990" s="5">
        <v>1581</v>
      </c>
      <c r="E990" s="5">
        <v>6485</v>
      </c>
      <c r="F990" s="5">
        <v>308</v>
      </c>
      <c r="G990" s="5">
        <v>8374</v>
      </c>
    </row>
    <row r="991" spans="1:7" x14ac:dyDescent="0.2">
      <c r="A991">
        <v>340</v>
      </c>
      <c r="B991" t="s">
        <v>471</v>
      </c>
      <c r="C991" t="s">
        <v>707</v>
      </c>
      <c r="D991" s="5">
        <v>1195</v>
      </c>
      <c r="E991" s="5">
        <v>0</v>
      </c>
      <c r="F991" s="5">
        <v>0</v>
      </c>
      <c r="G991" s="5">
        <v>1195</v>
      </c>
    </row>
    <row r="992" spans="1:7" x14ac:dyDescent="0.2">
      <c r="A992">
        <v>340</v>
      </c>
      <c r="B992" t="s">
        <v>471</v>
      </c>
      <c r="C992" t="s">
        <v>708</v>
      </c>
      <c r="D992" s="5">
        <v>2469</v>
      </c>
      <c r="E992" s="5">
        <v>13061</v>
      </c>
      <c r="F992" s="5">
        <v>0</v>
      </c>
      <c r="G992" s="5">
        <v>15530</v>
      </c>
    </row>
    <row r="993" spans="1:7" x14ac:dyDescent="0.2">
      <c r="A993">
        <v>340</v>
      </c>
      <c r="B993" t="s">
        <v>471</v>
      </c>
      <c r="C993" t="s">
        <v>709</v>
      </c>
      <c r="D993" s="5">
        <v>8337</v>
      </c>
      <c r="E993" s="5">
        <v>28784</v>
      </c>
      <c r="F993" s="5">
        <v>1112</v>
      </c>
      <c r="G993" s="5">
        <v>38234</v>
      </c>
    </row>
    <row r="994" spans="1:7" x14ac:dyDescent="0.2">
      <c r="A994">
        <v>340</v>
      </c>
      <c r="B994" t="s">
        <v>471</v>
      </c>
      <c r="C994" t="s">
        <v>710</v>
      </c>
      <c r="D994" s="5">
        <v>0</v>
      </c>
      <c r="E994" s="5">
        <v>5971</v>
      </c>
      <c r="F994" s="5">
        <v>0</v>
      </c>
      <c r="G994" s="5">
        <v>5971</v>
      </c>
    </row>
    <row r="995" spans="1:7" x14ac:dyDescent="0.2">
      <c r="A995">
        <v>340</v>
      </c>
      <c r="B995" t="s">
        <v>471</v>
      </c>
      <c r="C995" t="s">
        <v>712</v>
      </c>
      <c r="D995" s="5">
        <v>7325</v>
      </c>
      <c r="E995" s="5">
        <v>18697</v>
      </c>
      <c r="F995" s="5">
        <v>0</v>
      </c>
      <c r="G995" s="5">
        <v>26022</v>
      </c>
    </row>
    <row r="996" spans="1:7" x14ac:dyDescent="0.2">
      <c r="A996">
        <v>342</v>
      </c>
      <c r="B996" t="s">
        <v>515</v>
      </c>
      <c r="C996" t="s">
        <v>700</v>
      </c>
      <c r="D996" s="5">
        <v>164691</v>
      </c>
      <c r="E996" s="5">
        <v>172952</v>
      </c>
      <c r="F996" s="5">
        <v>1984</v>
      </c>
      <c r="G996" s="5">
        <v>339627</v>
      </c>
    </row>
    <row r="997" spans="1:7" x14ac:dyDescent="0.2">
      <c r="A997">
        <v>342</v>
      </c>
      <c r="B997" t="s">
        <v>515</v>
      </c>
      <c r="C997" t="s">
        <v>701</v>
      </c>
      <c r="D997" s="5">
        <v>14870</v>
      </c>
      <c r="E997" s="5">
        <v>27544</v>
      </c>
      <c r="F997" s="5">
        <v>0</v>
      </c>
      <c r="G997" s="5">
        <v>42413</v>
      </c>
    </row>
    <row r="998" spans="1:7" x14ac:dyDescent="0.2">
      <c r="A998">
        <v>342</v>
      </c>
      <c r="B998" t="s">
        <v>515</v>
      </c>
      <c r="C998" t="s">
        <v>703</v>
      </c>
      <c r="D998" s="5">
        <v>2523</v>
      </c>
      <c r="E998" s="5">
        <v>5386</v>
      </c>
      <c r="F998" s="5">
        <v>0</v>
      </c>
      <c r="G998" s="5">
        <v>7908</v>
      </c>
    </row>
    <row r="999" spans="1:7" x14ac:dyDescent="0.2">
      <c r="A999">
        <v>342</v>
      </c>
      <c r="B999" t="s">
        <v>515</v>
      </c>
      <c r="C999" t="s">
        <v>704</v>
      </c>
      <c r="D999" s="5">
        <v>22501</v>
      </c>
      <c r="E999" s="5">
        <v>427720</v>
      </c>
      <c r="F999" s="5">
        <v>647</v>
      </c>
      <c r="G999" s="5">
        <v>450868</v>
      </c>
    </row>
    <row r="1000" spans="1:7" x14ac:dyDescent="0.2">
      <c r="A1000">
        <v>342</v>
      </c>
      <c r="B1000" t="s">
        <v>515</v>
      </c>
      <c r="C1000" t="s">
        <v>705</v>
      </c>
      <c r="D1000" s="5">
        <v>13711</v>
      </c>
      <c r="E1000" s="5">
        <v>125244</v>
      </c>
      <c r="F1000" s="5">
        <v>295</v>
      </c>
      <c r="G1000" s="5">
        <v>139250</v>
      </c>
    </row>
    <row r="1001" spans="1:7" x14ac:dyDescent="0.2">
      <c r="A1001">
        <v>342</v>
      </c>
      <c r="B1001" t="s">
        <v>515</v>
      </c>
      <c r="C1001" t="s">
        <v>707</v>
      </c>
      <c r="D1001" s="5">
        <v>16290</v>
      </c>
      <c r="E1001" s="5">
        <v>9386</v>
      </c>
      <c r="F1001" s="5">
        <v>25</v>
      </c>
      <c r="G1001" s="5">
        <v>25701</v>
      </c>
    </row>
    <row r="1002" spans="1:7" x14ac:dyDescent="0.2">
      <c r="A1002">
        <v>342</v>
      </c>
      <c r="B1002" t="s">
        <v>515</v>
      </c>
      <c r="C1002" t="s">
        <v>708</v>
      </c>
      <c r="D1002" s="5">
        <v>1273</v>
      </c>
      <c r="E1002" s="5">
        <v>56833</v>
      </c>
      <c r="F1002" s="5">
        <v>0</v>
      </c>
      <c r="G1002" s="5">
        <v>58106</v>
      </c>
    </row>
    <row r="1003" spans="1:7" x14ac:dyDescent="0.2">
      <c r="A1003">
        <v>342</v>
      </c>
      <c r="B1003" t="s">
        <v>515</v>
      </c>
      <c r="C1003" t="s">
        <v>709</v>
      </c>
      <c r="D1003" s="5">
        <v>6987</v>
      </c>
      <c r="E1003" s="5">
        <v>68360</v>
      </c>
      <c r="F1003" s="5">
        <v>180</v>
      </c>
      <c r="G1003" s="5">
        <v>75527</v>
      </c>
    </row>
    <row r="1004" spans="1:7" x14ac:dyDescent="0.2">
      <c r="A1004">
        <v>342</v>
      </c>
      <c r="B1004" t="s">
        <v>515</v>
      </c>
      <c r="C1004" t="s">
        <v>710</v>
      </c>
      <c r="D1004" s="5">
        <v>3704</v>
      </c>
      <c r="E1004" s="5">
        <v>29724</v>
      </c>
      <c r="F1004" s="5">
        <v>46</v>
      </c>
      <c r="G1004" s="5">
        <v>33475</v>
      </c>
    </row>
    <row r="1005" spans="1:7" x14ac:dyDescent="0.2">
      <c r="A1005">
        <v>342</v>
      </c>
      <c r="B1005" t="s">
        <v>515</v>
      </c>
      <c r="C1005" t="s">
        <v>712</v>
      </c>
      <c r="D1005" s="5">
        <v>9935</v>
      </c>
      <c r="E1005" s="5">
        <v>93527</v>
      </c>
      <c r="F1005" s="5">
        <v>44</v>
      </c>
      <c r="G1005" s="5">
        <v>103505</v>
      </c>
    </row>
    <row r="1006" spans="1:7" x14ac:dyDescent="0.2">
      <c r="A1006">
        <v>344</v>
      </c>
      <c r="B1006" t="s">
        <v>565</v>
      </c>
      <c r="C1006" t="s">
        <v>700</v>
      </c>
      <c r="D1006" s="5">
        <v>390755</v>
      </c>
      <c r="E1006" s="5">
        <v>921434</v>
      </c>
      <c r="F1006" s="5">
        <v>34140</v>
      </c>
      <c r="G1006" s="5">
        <v>1346330</v>
      </c>
    </row>
    <row r="1007" spans="1:7" x14ac:dyDescent="0.2">
      <c r="A1007">
        <v>344</v>
      </c>
      <c r="B1007" t="s">
        <v>565</v>
      </c>
      <c r="C1007" t="s">
        <v>701</v>
      </c>
      <c r="D1007" s="5">
        <v>54787</v>
      </c>
      <c r="E1007" s="5">
        <v>228627</v>
      </c>
      <c r="F1007" s="5">
        <v>5496</v>
      </c>
      <c r="G1007" s="5">
        <v>288911</v>
      </c>
    </row>
    <row r="1008" spans="1:7" x14ac:dyDescent="0.2">
      <c r="A1008">
        <v>344</v>
      </c>
      <c r="B1008" t="s">
        <v>565</v>
      </c>
      <c r="C1008" t="s">
        <v>703</v>
      </c>
      <c r="D1008" s="5">
        <v>2267</v>
      </c>
      <c r="E1008" s="5">
        <v>46677</v>
      </c>
      <c r="F1008" s="5">
        <v>21</v>
      </c>
      <c r="G1008" s="5">
        <v>48965</v>
      </c>
    </row>
    <row r="1009" spans="1:7" x14ac:dyDescent="0.2">
      <c r="A1009">
        <v>344</v>
      </c>
      <c r="B1009" t="s">
        <v>565</v>
      </c>
      <c r="C1009" t="s">
        <v>704</v>
      </c>
      <c r="D1009" s="5">
        <v>79243</v>
      </c>
      <c r="E1009" s="5">
        <v>1478544</v>
      </c>
      <c r="F1009" s="5">
        <v>21136</v>
      </c>
      <c r="G1009" s="5">
        <v>1578923</v>
      </c>
    </row>
    <row r="1010" spans="1:7" x14ac:dyDescent="0.2">
      <c r="A1010">
        <v>344</v>
      </c>
      <c r="B1010" t="s">
        <v>565</v>
      </c>
      <c r="C1010" t="s">
        <v>705</v>
      </c>
      <c r="D1010" s="5">
        <v>80729</v>
      </c>
      <c r="E1010" s="5">
        <v>1008856</v>
      </c>
      <c r="F1010" s="5">
        <v>10685</v>
      </c>
      <c r="G1010" s="5">
        <v>1100270</v>
      </c>
    </row>
    <row r="1011" spans="1:7" x14ac:dyDescent="0.2">
      <c r="A1011">
        <v>344</v>
      </c>
      <c r="B1011" t="s">
        <v>565</v>
      </c>
      <c r="C1011" t="s">
        <v>707</v>
      </c>
      <c r="D1011" s="5">
        <v>9611</v>
      </c>
      <c r="E1011" s="5">
        <v>27352</v>
      </c>
      <c r="F1011" s="5">
        <v>37</v>
      </c>
      <c r="G1011" s="5">
        <v>37001</v>
      </c>
    </row>
    <row r="1012" spans="1:7" x14ac:dyDescent="0.2">
      <c r="A1012">
        <v>344</v>
      </c>
      <c r="B1012" t="s">
        <v>565</v>
      </c>
      <c r="C1012" t="s">
        <v>708</v>
      </c>
      <c r="D1012" s="5">
        <v>45374</v>
      </c>
      <c r="E1012" s="5">
        <v>478045</v>
      </c>
      <c r="F1012" s="5">
        <v>641</v>
      </c>
      <c r="G1012" s="5">
        <v>524060</v>
      </c>
    </row>
    <row r="1013" spans="1:7" x14ac:dyDescent="0.2">
      <c r="A1013">
        <v>344</v>
      </c>
      <c r="B1013" t="s">
        <v>565</v>
      </c>
      <c r="C1013" t="s">
        <v>709</v>
      </c>
      <c r="D1013" s="5">
        <v>45112</v>
      </c>
      <c r="E1013" s="5">
        <v>482203</v>
      </c>
      <c r="F1013" s="5">
        <v>9766</v>
      </c>
      <c r="G1013" s="5">
        <v>537081</v>
      </c>
    </row>
    <row r="1014" spans="1:7" x14ac:dyDescent="0.2">
      <c r="A1014">
        <v>344</v>
      </c>
      <c r="B1014" t="s">
        <v>565</v>
      </c>
      <c r="C1014" t="s">
        <v>710</v>
      </c>
      <c r="D1014" s="5">
        <v>7097</v>
      </c>
      <c r="E1014" s="5">
        <v>144975</v>
      </c>
      <c r="F1014" s="5">
        <v>6</v>
      </c>
      <c r="G1014" s="5">
        <v>152077</v>
      </c>
    </row>
    <row r="1015" spans="1:7" x14ac:dyDescent="0.2">
      <c r="A1015">
        <v>344</v>
      </c>
      <c r="B1015" t="s">
        <v>565</v>
      </c>
      <c r="C1015" t="s">
        <v>712</v>
      </c>
      <c r="D1015" s="5">
        <v>56143</v>
      </c>
      <c r="E1015" s="5">
        <v>511412</v>
      </c>
      <c r="F1015" s="5">
        <v>7803</v>
      </c>
      <c r="G1015" s="5">
        <v>575358</v>
      </c>
    </row>
    <row r="1016" spans="1:7" x14ac:dyDescent="0.2">
      <c r="A1016">
        <v>345</v>
      </c>
      <c r="B1016" t="s">
        <v>577</v>
      </c>
      <c r="C1016" t="s">
        <v>700</v>
      </c>
      <c r="D1016" s="5">
        <v>156497</v>
      </c>
      <c r="E1016" s="5">
        <v>324471</v>
      </c>
      <c r="F1016" s="5">
        <v>3451</v>
      </c>
      <c r="G1016" s="5">
        <v>484419</v>
      </c>
    </row>
    <row r="1017" spans="1:7" x14ac:dyDescent="0.2">
      <c r="A1017">
        <v>345</v>
      </c>
      <c r="B1017" t="s">
        <v>577</v>
      </c>
      <c r="C1017" t="s">
        <v>701</v>
      </c>
      <c r="D1017" s="5">
        <v>12074</v>
      </c>
      <c r="E1017" s="5">
        <v>56818</v>
      </c>
      <c r="F1017" s="5">
        <v>0</v>
      </c>
      <c r="G1017" s="5">
        <v>68892</v>
      </c>
    </row>
    <row r="1018" spans="1:7" x14ac:dyDescent="0.2">
      <c r="A1018">
        <v>345</v>
      </c>
      <c r="B1018" t="s">
        <v>577</v>
      </c>
      <c r="C1018" t="s">
        <v>703</v>
      </c>
      <c r="D1018" s="5">
        <v>2102</v>
      </c>
      <c r="E1018" s="5">
        <v>19068</v>
      </c>
      <c r="F1018" s="5">
        <v>0</v>
      </c>
      <c r="G1018" s="5">
        <v>21170</v>
      </c>
    </row>
    <row r="1019" spans="1:7" x14ac:dyDescent="0.2">
      <c r="A1019">
        <v>345</v>
      </c>
      <c r="B1019" t="s">
        <v>577</v>
      </c>
      <c r="C1019" t="s">
        <v>704</v>
      </c>
      <c r="D1019" s="5">
        <v>23260</v>
      </c>
      <c r="E1019" s="5">
        <v>748427</v>
      </c>
      <c r="F1019" s="5">
        <v>1671</v>
      </c>
      <c r="G1019" s="5">
        <v>773357</v>
      </c>
    </row>
    <row r="1020" spans="1:7" x14ac:dyDescent="0.2">
      <c r="A1020">
        <v>345</v>
      </c>
      <c r="B1020" t="s">
        <v>577</v>
      </c>
      <c r="C1020" t="s">
        <v>705</v>
      </c>
      <c r="D1020" s="5">
        <v>10420</v>
      </c>
      <c r="E1020" s="5">
        <v>229544</v>
      </c>
      <c r="F1020" s="5">
        <v>351</v>
      </c>
      <c r="G1020" s="5">
        <v>240316</v>
      </c>
    </row>
    <row r="1021" spans="1:7" x14ac:dyDescent="0.2">
      <c r="A1021">
        <v>345</v>
      </c>
      <c r="B1021" t="s">
        <v>577</v>
      </c>
      <c r="C1021" t="s">
        <v>707</v>
      </c>
      <c r="D1021" s="5">
        <v>0</v>
      </c>
      <c r="E1021" s="5">
        <v>7108</v>
      </c>
      <c r="F1021" s="5">
        <v>0</v>
      </c>
      <c r="G1021" s="5">
        <v>7108</v>
      </c>
    </row>
    <row r="1022" spans="1:7" x14ac:dyDescent="0.2">
      <c r="A1022">
        <v>345</v>
      </c>
      <c r="B1022" t="s">
        <v>577</v>
      </c>
      <c r="C1022" t="s">
        <v>708</v>
      </c>
      <c r="D1022" s="5">
        <v>3230</v>
      </c>
      <c r="E1022" s="5">
        <v>68653</v>
      </c>
      <c r="F1022" s="5">
        <v>2632</v>
      </c>
      <c r="G1022" s="5">
        <v>74515</v>
      </c>
    </row>
    <row r="1023" spans="1:7" x14ac:dyDescent="0.2">
      <c r="A1023">
        <v>345</v>
      </c>
      <c r="B1023" t="s">
        <v>577</v>
      </c>
      <c r="C1023" t="s">
        <v>709</v>
      </c>
      <c r="D1023" s="5">
        <v>4941</v>
      </c>
      <c r="E1023" s="5">
        <v>31668</v>
      </c>
      <c r="F1023" s="5">
        <v>40</v>
      </c>
      <c r="G1023" s="5">
        <v>36648</v>
      </c>
    </row>
    <row r="1024" spans="1:7" x14ac:dyDescent="0.2">
      <c r="A1024">
        <v>345</v>
      </c>
      <c r="B1024" t="s">
        <v>577</v>
      </c>
      <c r="C1024" t="s">
        <v>710</v>
      </c>
      <c r="D1024" s="5">
        <v>331</v>
      </c>
      <c r="E1024" s="5">
        <v>29176</v>
      </c>
      <c r="F1024" s="5">
        <v>0</v>
      </c>
      <c r="G1024" s="5">
        <v>29507</v>
      </c>
    </row>
    <row r="1025" spans="1:7" x14ac:dyDescent="0.2">
      <c r="A1025">
        <v>345</v>
      </c>
      <c r="B1025" t="s">
        <v>577</v>
      </c>
      <c r="C1025" t="s">
        <v>712</v>
      </c>
      <c r="D1025" s="5">
        <v>10018</v>
      </c>
      <c r="E1025" s="5">
        <v>195332</v>
      </c>
      <c r="F1025" s="5">
        <v>0</v>
      </c>
      <c r="G1025" s="5">
        <v>205349</v>
      </c>
    </row>
    <row r="1026" spans="1:7" x14ac:dyDescent="0.2">
      <c r="A1026">
        <v>351</v>
      </c>
      <c r="B1026" t="s">
        <v>657</v>
      </c>
      <c r="C1026" t="s">
        <v>700</v>
      </c>
      <c r="D1026" s="5">
        <v>215751</v>
      </c>
      <c r="E1026" s="5">
        <v>184936</v>
      </c>
      <c r="F1026" s="5">
        <v>7667</v>
      </c>
      <c r="G1026" s="5">
        <v>408353</v>
      </c>
    </row>
    <row r="1027" spans="1:7" x14ac:dyDescent="0.2">
      <c r="A1027">
        <v>351</v>
      </c>
      <c r="B1027" t="s">
        <v>657</v>
      </c>
      <c r="C1027" t="s">
        <v>701</v>
      </c>
      <c r="D1027" s="5">
        <v>1800</v>
      </c>
      <c r="E1027" s="5">
        <v>9044</v>
      </c>
      <c r="F1027" s="5">
        <v>0</v>
      </c>
      <c r="G1027" s="5">
        <v>10844</v>
      </c>
    </row>
    <row r="1028" spans="1:7" x14ac:dyDescent="0.2">
      <c r="A1028">
        <v>351</v>
      </c>
      <c r="B1028" t="s">
        <v>657</v>
      </c>
      <c r="C1028" t="s">
        <v>703</v>
      </c>
      <c r="D1028" s="5">
        <v>1213</v>
      </c>
      <c r="E1028" s="5">
        <v>3237</v>
      </c>
      <c r="F1028" s="5">
        <v>0</v>
      </c>
      <c r="G1028" s="5">
        <v>4450</v>
      </c>
    </row>
    <row r="1029" spans="1:7" x14ac:dyDescent="0.2">
      <c r="A1029">
        <v>351</v>
      </c>
      <c r="B1029" t="s">
        <v>657</v>
      </c>
      <c r="C1029" t="s">
        <v>704</v>
      </c>
      <c r="D1029" s="5">
        <v>9054</v>
      </c>
      <c r="E1029" s="5">
        <v>48284</v>
      </c>
      <c r="F1029" s="5">
        <v>0</v>
      </c>
      <c r="G1029" s="5">
        <v>57338</v>
      </c>
    </row>
    <row r="1030" spans="1:7" x14ac:dyDescent="0.2">
      <c r="A1030">
        <v>351</v>
      </c>
      <c r="B1030" t="s">
        <v>657</v>
      </c>
      <c r="C1030" t="s">
        <v>705</v>
      </c>
      <c r="D1030" s="5">
        <v>3562</v>
      </c>
      <c r="E1030" s="5">
        <v>45184</v>
      </c>
      <c r="F1030" s="5">
        <v>0</v>
      </c>
      <c r="G1030" s="5">
        <v>48746</v>
      </c>
    </row>
    <row r="1031" spans="1:7" x14ac:dyDescent="0.2">
      <c r="A1031">
        <v>351</v>
      </c>
      <c r="B1031" t="s">
        <v>657</v>
      </c>
      <c r="C1031" t="s">
        <v>707</v>
      </c>
      <c r="D1031" s="5">
        <v>737</v>
      </c>
      <c r="E1031" s="5">
        <v>1800</v>
      </c>
      <c r="F1031" s="5">
        <v>0</v>
      </c>
      <c r="G1031" s="5">
        <v>2537</v>
      </c>
    </row>
    <row r="1032" spans="1:7" x14ac:dyDescent="0.2">
      <c r="A1032">
        <v>351</v>
      </c>
      <c r="B1032" t="s">
        <v>657</v>
      </c>
      <c r="C1032" t="s">
        <v>708</v>
      </c>
      <c r="D1032" s="5">
        <v>0</v>
      </c>
      <c r="E1032" s="5">
        <v>9745</v>
      </c>
      <c r="F1032" s="5">
        <v>0</v>
      </c>
      <c r="G1032" s="5">
        <v>9745</v>
      </c>
    </row>
    <row r="1033" spans="1:7" x14ac:dyDescent="0.2">
      <c r="A1033">
        <v>351</v>
      </c>
      <c r="B1033" t="s">
        <v>657</v>
      </c>
      <c r="C1033" t="s">
        <v>709</v>
      </c>
      <c r="D1033" s="5">
        <v>3010</v>
      </c>
      <c r="E1033" s="5">
        <v>18377</v>
      </c>
      <c r="F1033" s="5">
        <v>47</v>
      </c>
      <c r="G1033" s="5">
        <v>21435</v>
      </c>
    </row>
    <row r="1034" spans="1:7" x14ac:dyDescent="0.2">
      <c r="A1034">
        <v>351</v>
      </c>
      <c r="B1034" t="s">
        <v>657</v>
      </c>
      <c r="C1034" t="s">
        <v>710</v>
      </c>
      <c r="D1034" s="5">
        <v>46</v>
      </c>
      <c r="E1034" s="5">
        <v>10349</v>
      </c>
      <c r="F1034" s="5">
        <v>0</v>
      </c>
      <c r="G1034" s="5">
        <v>10395</v>
      </c>
    </row>
    <row r="1035" spans="1:7" x14ac:dyDescent="0.2">
      <c r="A1035">
        <v>351</v>
      </c>
      <c r="B1035" t="s">
        <v>657</v>
      </c>
      <c r="C1035" t="s">
        <v>712</v>
      </c>
      <c r="D1035" s="5">
        <v>3610</v>
      </c>
      <c r="E1035" s="5">
        <v>19364</v>
      </c>
      <c r="F1035" s="5">
        <v>0</v>
      </c>
      <c r="G1035" s="5">
        <v>22974</v>
      </c>
    </row>
    <row r="1036" spans="1:7" x14ac:dyDescent="0.2">
      <c r="A1036">
        <v>352</v>
      </c>
      <c r="B1036" t="s">
        <v>645</v>
      </c>
      <c r="C1036" t="s">
        <v>700</v>
      </c>
      <c r="D1036" s="5">
        <v>182083</v>
      </c>
      <c r="E1036" s="5">
        <v>148335</v>
      </c>
      <c r="F1036" s="5">
        <v>4697</v>
      </c>
      <c r="G1036" s="5">
        <v>335115</v>
      </c>
    </row>
    <row r="1037" spans="1:7" x14ac:dyDescent="0.2">
      <c r="A1037">
        <v>352</v>
      </c>
      <c r="B1037" t="s">
        <v>645</v>
      </c>
      <c r="C1037" t="s">
        <v>701</v>
      </c>
      <c r="D1037" s="5">
        <v>1430</v>
      </c>
      <c r="E1037" s="5">
        <v>660</v>
      </c>
      <c r="F1037" s="5">
        <v>0</v>
      </c>
      <c r="G1037" s="5">
        <v>2090</v>
      </c>
    </row>
    <row r="1038" spans="1:7" x14ac:dyDescent="0.2">
      <c r="A1038">
        <v>352</v>
      </c>
      <c r="B1038" t="s">
        <v>645</v>
      </c>
      <c r="C1038" t="s">
        <v>703</v>
      </c>
      <c r="D1038" s="5">
        <v>715</v>
      </c>
      <c r="E1038" s="5">
        <v>0</v>
      </c>
      <c r="F1038" s="5">
        <v>0</v>
      </c>
      <c r="G1038" s="5">
        <v>715</v>
      </c>
    </row>
    <row r="1039" spans="1:7" x14ac:dyDescent="0.2">
      <c r="A1039">
        <v>352</v>
      </c>
      <c r="B1039" t="s">
        <v>645</v>
      </c>
      <c r="C1039" t="s">
        <v>704</v>
      </c>
      <c r="D1039" s="5">
        <v>13184</v>
      </c>
      <c r="E1039" s="5">
        <v>48532</v>
      </c>
      <c r="F1039" s="5">
        <v>293</v>
      </c>
      <c r="G1039" s="5">
        <v>62010</v>
      </c>
    </row>
    <row r="1040" spans="1:7" x14ac:dyDescent="0.2">
      <c r="A1040">
        <v>352</v>
      </c>
      <c r="B1040" t="s">
        <v>645</v>
      </c>
      <c r="C1040" t="s">
        <v>705</v>
      </c>
      <c r="D1040" s="5">
        <v>11972</v>
      </c>
      <c r="E1040" s="5">
        <v>91795</v>
      </c>
      <c r="F1040" s="5">
        <v>3474</v>
      </c>
      <c r="G1040" s="5">
        <v>107241</v>
      </c>
    </row>
    <row r="1041" spans="1:7" x14ac:dyDescent="0.2">
      <c r="A1041">
        <v>352</v>
      </c>
      <c r="B1041" t="s">
        <v>645</v>
      </c>
      <c r="C1041" t="s">
        <v>707</v>
      </c>
      <c r="D1041" s="5">
        <v>2946</v>
      </c>
      <c r="E1041" s="5">
        <v>4669</v>
      </c>
      <c r="F1041" s="5">
        <v>52</v>
      </c>
      <c r="G1041" s="5">
        <v>7667</v>
      </c>
    </row>
    <row r="1042" spans="1:7" x14ac:dyDescent="0.2">
      <c r="A1042">
        <v>352</v>
      </c>
      <c r="B1042" t="s">
        <v>645</v>
      </c>
      <c r="C1042" t="s">
        <v>708</v>
      </c>
      <c r="D1042" s="5">
        <v>941</v>
      </c>
      <c r="E1042" s="5">
        <v>11615</v>
      </c>
      <c r="F1042" s="5">
        <v>0</v>
      </c>
      <c r="G1042" s="5">
        <v>12555</v>
      </c>
    </row>
    <row r="1043" spans="1:7" x14ac:dyDescent="0.2">
      <c r="A1043">
        <v>352</v>
      </c>
      <c r="B1043" t="s">
        <v>645</v>
      </c>
      <c r="C1043" t="s">
        <v>709</v>
      </c>
      <c r="D1043" s="5">
        <v>9398</v>
      </c>
      <c r="E1043" s="5">
        <v>22253</v>
      </c>
      <c r="F1043" s="5">
        <v>22</v>
      </c>
      <c r="G1043" s="5">
        <v>31672</v>
      </c>
    </row>
    <row r="1044" spans="1:7" x14ac:dyDescent="0.2">
      <c r="A1044">
        <v>352</v>
      </c>
      <c r="B1044" t="s">
        <v>645</v>
      </c>
      <c r="C1044" t="s">
        <v>710</v>
      </c>
      <c r="D1044" s="5">
        <v>1929</v>
      </c>
      <c r="E1044" s="5">
        <v>18621</v>
      </c>
      <c r="F1044" s="5">
        <v>0</v>
      </c>
      <c r="G1044" s="5">
        <v>20550</v>
      </c>
    </row>
    <row r="1045" spans="1:7" x14ac:dyDescent="0.2">
      <c r="A1045">
        <v>352</v>
      </c>
      <c r="B1045" t="s">
        <v>645</v>
      </c>
      <c r="C1045" t="s">
        <v>712</v>
      </c>
      <c r="D1045" s="5">
        <v>11649</v>
      </c>
      <c r="E1045" s="5">
        <v>16914</v>
      </c>
      <c r="F1045" s="5">
        <v>0</v>
      </c>
      <c r="G1045" s="5">
        <v>28563</v>
      </c>
    </row>
    <row r="1046" spans="1:7" x14ac:dyDescent="0.2">
      <c r="A1046">
        <v>353</v>
      </c>
      <c r="B1046" t="s">
        <v>289</v>
      </c>
      <c r="C1046" t="s">
        <v>700</v>
      </c>
      <c r="D1046" s="5">
        <v>91778</v>
      </c>
      <c r="E1046" s="5">
        <v>104550</v>
      </c>
      <c r="F1046" s="5">
        <v>2370</v>
      </c>
      <c r="G1046" s="5">
        <v>198699</v>
      </c>
    </row>
    <row r="1047" spans="1:7" x14ac:dyDescent="0.2">
      <c r="A1047">
        <v>353</v>
      </c>
      <c r="B1047" t="s">
        <v>289</v>
      </c>
      <c r="C1047" t="s">
        <v>701</v>
      </c>
      <c r="D1047" s="5">
        <v>5552</v>
      </c>
      <c r="E1047" s="5">
        <v>10067</v>
      </c>
      <c r="F1047" s="5">
        <v>0</v>
      </c>
      <c r="G1047" s="5">
        <v>15619</v>
      </c>
    </row>
    <row r="1048" spans="1:7" x14ac:dyDescent="0.2">
      <c r="A1048">
        <v>353</v>
      </c>
      <c r="B1048" t="s">
        <v>289</v>
      </c>
      <c r="C1048" t="s">
        <v>703</v>
      </c>
      <c r="D1048" s="5">
        <v>248</v>
      </c>
      <c r="E1048" s="5">
        <v>2709</v>
      </c>
      <c r="F1048" s="5">
        <v>0</v>
      </c>
      <c r="G1048" s="5">
        <v>2958</v>
      </c>
    </row>
    <row r="1049" spans="1:7" x14ac:dyDescent="0.2">
      <c r="A1049">
        <v>353</v>
      </c>
      <c r="B1049" t="s">
        <v>289</v>
      </c>
      <c r="C1049" t="s">
        <v>704</v>
      </c>
      <c r="D1049" s="5">
        <v>10744</v>
      </c>
      <c r="E1049" s="5">
        <v>220392</v>
      </c>
      <c r="F1049" s="5">
        <v>0</v>
      </c>
      <c r="G1049" s="5">
        <v>231136</v>
      </c>
    </row>
    <row r="1050" spans="1:7" x14ac:dyDescent="0.2">
      <c r="A1050">
        <v>353</v>
      </c>
      <c r="B1050" t="s">
        <v>289</v>
      </c>
      <c r="C1050" t="s">
        <v>705</v>
      </c>
      <c r="D1050" s="5">
        <v>4097</v>
      </c>
      <c r="E1050" s="5">
        <v>57538</v>
      </c>
      <c r="F1050" s="5">
        <v>833</v>
      </c>
      <c r="G1050" s="5">
        <v>62468</v>
      </c>
    </row>
    <row r="1051" spans="1:7" x14ac:dyDescent="0.2">
      <c r="A1051">
        <v>353</v>
      </c>
      <c r="B1051" t="s">
        <v>289</v>
      </c>
      <c r="C1051" t="s">
        <v>707</v>
      </c>
      <c r="D1051" s="5">
        <v>219</v>
      </c>
      <c r="E1051" s="5">
        <v>277</v>
      </c>
      <c r="F1051" s="5">
        <v>0</v>
      </c>
      <c r="G1051" s="5">
        <v>497</v>
      </c>
    </row>
    <row r="1052" spans="1:7" x14ac:dyDescent="0.2">
      <c r="A1052">
        <v>353</v>
      </c>
      <c r="B1052" t="s">
        <v>289</v>
      </c>
      <c r="C1052" t="s">
        <v>708</v>
      </c>
      <c r="D1052" s="5">
        <v>660</v>
      </c>
      <c r="E1052" s="5">
        <v>34329</v>
      </c>
      <c r="F1052" s="5">
        <v>0</v>
      </c>
      <c r="G1052" s="5">
        <v>34990</v>
      </c>
    </row>
    <row r="1053" spans="1:7" x14ac:dyDescent="0.2">
      <c r="A1053">
        <v>353</v>
      </c>
      <c r="B1053" t="s">
        <v>289</v>
      </c>
      <c r="C1053" t="s">
        <v>709</v>
      </c>
      <c r="D1053" s="5">
        <v>6160</v>
      </c>
      <c r="E1053" s="5">
        <v>20687</v>
      </c>
      <c r="F1053" s="5">
        <v>48</v>
      </c>
      <c r="G1053" s="5">
        <v>26895</v>
      </c>
    </row>
    <row r="1054" spans="1:7" x14ac:dyDescent="0.2">
      <c r="A1054">
        <v>353</v>
      </c>
      <c r="B1054" t="s">
        <v>289</v>
      </c>
      <c r="C1054" t="s">
        <v>710</v>
      </c>
      <c r="D1054" s="5">
        <v>2624</v>
      </c>
      <c r="E1054" s="5">
        <v>22234</v>
      </c>
      <c r="F1054" s="5">
        <v>0</v>
      </c>
      <c r="G1054" s="5">
        <v>24858</v>
      </c>
    </row>
    <row r="1055" spans="1:7" x14ac:dyDescent="0.2">
      <c r="A1055">
        <v>353</v>
      </c>
      <c r="B1055" t="s">
        <v>289</v>
      </c>
      <c r="C1055" t="s">
        <v>712</v>
      </c>
      <c r="D1055" s="5">
        <v>5422</v>
      </c>
      <c r="E1055" s="5">
        <v>19234</v>
      </c>
      <c r="F1055" s="5">
        <v>0</v>
      </c>
      <c r="G1055" s="5">
        <v>24656</v>
      </c>
    </row>
    <row r="1056" spans="1:7" x14ac:dyDescent="0.2">
      <c r="A1056">
        <v>355</v>
      </c>
      <c r="B1056" t="s">
        <v>667</v>
      </c>
      <c r="C1056" t="s">
        <v>700</v>
      </c>
      <c r="D1056" s="5">
        <v>185935</v>
      </c>
      <c r="E1056" s="5">
        <v>215865</v>
      </c>
      <c r="F1056" s="5">
        <v>5228</v>
      </c>
      <c r="G1056" s="5">
        <v>407028</v>
      </c>
    </row>
    <row r="1057" spans="1:7" x14ac:dyDescent="0.2">
      <c r="A1057">
        <v>355</v>
      </c>
      <c r="B1057" t="s">
        <v>667</v>
      </c>
      <c r="C1057" t="s">
        <v>701</v>
      </c>
      <c r="D1057" s="5">
        <v>17451</v>
      </c>
      <c r="E1057" s="5">
        <v>47104</v>
      </c>
      <c r="F1057" s="5">
        <v>0</v>
      </c>
      <c r="G1057" s="5">
        <v>64555</v>
      </c>
    </row>
    <row r="1058" spans="1:7" x14ac:dyDescent="0.2">
      <c r="A1058">
        <v>355</v>
      </c>
      <c r="B1058" t="s">
        <v>667</v>
      </c>
      <c r="C1058" t="s">
        <v>702</v>
      </c>
      <c r="D1058" s="5">
        <v>0</v>
      </c>
      <c r="E1058" s="5">
        <v>10029</v>
      </c>
      <c r="F1058" s="5">
        <v>0</v>
      </c>
      <c r="G1058" s="5">
        <v>10029</v>
      </c>
    </row>
    <row r="1059" spans="1:7" x14ac:dyDescent="0.2">
      <c r="A1059">
        <v>355</v>
      </c>
      <c r="B1059" t="s">
        <v>667</v>
      </c>
      <c r="C1059" t="s">
        <v>703</v>
      </c>
      <c r="D1059" s="5">
        <v>2038</v>
      </c>
      <c r="E1059" s="5">
        <v>33224</v>
      </c>
      <c r="F1059" s="5">
        <v>0</v>
      </c>
      <c r="G1059" s="5">
        <v>35262</v>
      </c>
    </row>
    <row r="1060" spans="1:7" x14ac:dyDescent="0.2">
      <c r="A1060">
        <v>355</v>
      </c>
      <c r="B1060" t="s">
        <v>667</v>
      </c>
      <c r="C1060" t="s">
        <v>704</v>
      </c>
      <c r="D1060" s="5">
        <v>6586</v>
      </c>
      <c r="E1060" s="5">
        <v>158901</v>
      </c>
      <c r="F1060" s="5">
        <v>129</v>
      </c>
      <c r="G1060" s="5">
        <v>165615</v>
      </c>
    </row>
    <row r="1061" spans="1:7" x14ac:dyDescent="0.2">
      <c r="A1061">
        <v>355</v>
      </c>
      <c r="B1061" t="s">
        <v>667</v>
      </c>
      <c r="C1061" t="s">
        <v>705</v>
      </c>
      <c r="D1061" s="5">
        <v>33013</v>
      </c>
      <c r="E1061" s="5">
        <v>169514</v>
      </c>
      <c r="F1061" s="5">
        <v>0</v>
      </c>
      <c r="G1061" s="5">
        <v>202527</v>
      </c>
    </row>
    <row r="1062" spans="1:7" x14ac:dyDescent="0.2">
      <c r="A1062">
        <v>355</v>
      </c>
      <c r="B1062" t="s">
        <v>667</v>
      </c>
      <c r="C1062" t="s">
        <v>707</v>
      </c>
      <c r="D1062" s="5">
        <v>10969</v>
      </c>
      <c r="E1062" s="5">
        <v>8088</v>
      </c>
      <c r="F1062" s="5">
        <v>0</v>
      </c>
      <c r="G1062" s="5">
        <v>19057</v>
      </c>
    </row>
    <row r="1063" spans="1:7" x14ac:dyDescent="0.2">
      <c r="A1063">
        <v>355</v>
      </c>
      <c r="B1063" t="s">
        <v>667</v>
      </c>
      <c r="C1063" t="s">
        <v>708</v>
      </c>
      <c r="D1063" s="5">
        <v>9557</v>
      </c>
      <c r="E1063" s="5">
        <v>72277</v>
      </c>
      <c r="F1063" s="5">
        <v>0</v>
      </c>
      <c r="G1063" s="5">
        <v>81834</v>
      </c>
    </row>
    <row r="1064" spans="1:7" x14ac:dyDescent="0.2">
      <c r="A1064">
        <v>355</v>
      </c>
      <c r="B1064" t="s">
        <v>667</v>
      </c>
      <c r="C1064" t="s">
        <v>709</v>
      </c>
      <c r="D1064" s="5">
        <v>16269</v>
      </c>
      <c r="E1064" s="5">
        <v>131106</v>
      </c>
      <c r="F1064" s="5">
        <v>304</v>
      </c>
      <c r="G1064" s="5">
        <v>147678</v>
      </c>
    </row>
    <row r="1065" spans="1:7" x14ac:dyDescent="0.2">
      <c r="A1065">
        <v>355</v>
      </c>
      <c r="B1065" t="s">
        <v>667</v>
      </c>
      <c r="C1065" t="s">
        <v>710</v>
      </c>
      <c r="D1065" s="5">
        <v>1973</v>
      </c>
      <c r="E1065" s="5">
        <v>23004</v>
      </c>
      <c r="F1065" s="5">
        <v>0</v>
      </c>
      <c r="G1065" s="5">
        <v>24977</v>
      </c>
    </row>
    <row r="1066" spans="1:7" x14ac:dyDescent="0.2">
      <c r="A1066">
        <v>355</v>
      </c>
      <c r="B1066" t="s">
        <v>667</v>
      </c>
      <c r="C1066" t="s">
        <v>712</v>
      </c>
      <c r="D1066" s="5">
        <v>7539</v>
      </c>
      <c r="E1066" s="5">
        <v>74645</v>
      </c>
      <c r="F1066" s="5">
        <v>0</v>
      </c>
      <c r="G1066" s="5">
        <v>82184</v>
      </c>
    </row>
    <row r="1067" spans="1:7" x14ac:dyDescent="0.2">
      <c r="A1067">
        <v>356</v>
      </c>
      <c r="B1067" t="s">
        <v>385</v>
      </c>
      <c r="C1067" t="s">
        <v>700</v>
      </c>
      <c r="D1067" s="5">
        <v>55406</v>
      </c>
      <c r="E1067" s="5">
        <v>189211</v>
      </c>
      <c r="F1067" s="5">
        <v>4846</v>
      </c>
      <c r="G1067" s="5">
        <v>249463</v>
      </c>
    </row>
    <row r="1068" spans="1:7" x14ac:dyDescent="0.2">
      <c r="A1068">
        <v>356</v>
      </c>
      <c r="B1068" t="s">
        <v>385</v>
      </c>
      <c r="C1068" t="s">
        <v>701</v>
      </c>
      <c r="D1068" s="5">
        <v>7721</v>
      </c>
      <c r="E1068" s="5">
        <v>21754</v>
      </c>
      <c r="F1068" s="5">
        <v>19</v>
      </c>
      <c r="G1068" s="5">
        <v>29493</v>
      </c>
    </row>
    <row r="1069" spans="1:7" x14ac:dyDescent="0.2">
      <c r="A1069">
        <v>356</v>
      </c>
      <c r="B1069" t="s">
        <v>385</v>
      </c>
      <c r="C1069" t="s">
        <v>702</v>
      </c>
      <c r="D1069" s="5">
        <v>0</v>
      </c>
      <c r="E1069" s="5">
        <v>7306</v>
      </c>
      <c r="F1069" s="5">
        <v>0</v>
      </c>
      <c r="G1069" s="5">
        <v>7306</v>
      </c>
    </row>
    <row r="1070" spans="1:7" x14ac:dyDescent="0.2">
      <c r="A1070">
        <v>356</v>
      </c>
      <c r="B1070" t="s">
        <v>385</v>
      </c>
      <c r="C1070" t="s">
        <v>703</v>
      </c>
      <c r="D1070" s="5">
        <v>287</v>
      </c>
      <c r="E1070" s="5">
        <v>49053</v>
      </c>
      <c r="F1070" s="5">
        <v>0</v>
      </c>
      <c r="G1070" s="5">
        <v>49339</v>
      </c>
    </row>
    <row r="1071" spans="1:7" x14ac:dyDescent="0.2">
      <c r="A1071">
        <v>356</v>
      </c>
      <c r="B1071" t="s">
        <v>385</v>
      </c>
      <c r="C1071" t="s">
        <v>704</v>
      </c>
      <c r="D1071" s="5">
        <v>3215</v>
      </c>
      <c r="E1071" s="5">
        <v>613280</v>
      </c>
      <c r="F1071" s="5">
        <v>22318</v>
      </c>
      <c r="G1071" s="5">
        <v>638813</v>
      </c>
    </row>
    <row r="1072" spans="1:7" x14ac:dyDescent="0.2">
      <c r="A1072">
        <v>356</v>
      </c>
      <c r="B1072" t="s">
        <v>385</v>
      </c>
      <c r="C1072" t="s">
        <v>705</v>
      </c>
      <c r="D1072" s="5">
        <v>9188</v>
      </c>
      <c r="E1072" s="5">
        <v>290009</v>
      </c>
      <c r="F1072" s="5">
        <v>39684</v>
      </c>
      <c r="G1072" s="5">
        <v>338881</v>
      </c>
    </row>
    <row r="1073" spans="1:7" x14ac:dyDescent="0.2">
      <c r="A1073">
        <v>356</v>
      </c>
      <c r="B1073" t="s">
        <v>385</v>
      </c>
      <c r="C1073" t="s">
        <v>708</v>
      </c>
      <c r="D1073" s="5">
        <v>2605</v>
      </c>
      <c r="E1073" s="5">
        <v>95999</v>
      </c>
      <c r="F1073" s="5">
        <v>0</v>
      </c>
      <c r="G1073" s="5">
        <v>98605</v>
      </c>
    </row>
    <row r="1074" spans="1:7" x14ac:dyDescent="0.2">
      <c r="A1074">
        <v>356</v>
      </c>
      <c r="B1074" t="s">
        <v>385</v>
      </c>
      <c r="C1074" t="s">
        <v>709</v>
      </c>
      <c r="D1074" s="5">
        <v>15418</v>
      </c>
      <c r="E1074" s="5">
        <v>85179</v>
      </c>
      <c r="F1074" s="5">
        <v>11056</v>
      </c>
      <c r="G1074" s="5">
        <v>111653</v>
      </c>
    </row>
    <row r="1075" spans="1:7" x14ac:dyDescent="0.2">
      <c r="A1075">
        <v>356</v>
      </c>
      <c r="B1075" t="s">
        <v>385</v>
      </c>
      <c r="C1075" t="s">
        <v>710</v>
      </c>
      <c r="D1075" s="5">
        <v>3239</v>
      </c>
      <c r="E1075" s="5">
        <v>51867</v>
      </c>
      <c r="F1075" s="5">
        <v>0</v>
      </c>
      <c r="G1075" s="5">
        <v>55106</v>
      </c>
    </row>
    <row r="1076" spans="1:7" x14ac:dyDescent="0.2">
      <c r="A1076">
        <v>356</v>
      </c>
      <c r="B1076" t="s">
        <v>385</v>
      </c>
      <c r="C1076" t="s">
        <v>712</v>
      </c>
      <c r="D1076" s="5">
        <v>7348</v>
      </c>
      <c r="E1076" s="5">
        <v>137649</v>
      </c>
      <c r="F1076" s="5">
        <v>0</v>
      </c>
      <c r="G1076" s="5">
        <v>144997</v>
      </c>
    </row>
    <row r="1077" spans="1:7" x14ac:dyDescent="0.2">
      <c r="A1077">
        <v>358</v>
      </c>
      <c r="B1077" t="s">
        <v>5</v>
      </c>
      <c r="C1077" t="s">
        <v>700</v>
      </c>
      <c r="D1077" s="5">
        <v>541416</v>
      </c>
      <c r="E1077" s="5">
        <v>969169</v>
      </c>
      <c r="F1077" s="5">
        <v>3022</v>
      </c>
      <c r="G1077" s="5">
        <v>1513607</v>
      </c>
    </row>
    <row r="1078" spans="1:7" x14ac:dyDescent="0.2">
      <c r="A1078">
        <v>358</v>
      </c>
      <c r="B1078" t="s">
        <v>5</v>
      </c>
      <c r="C1078" t="s">
        <v>701</v>
      </c>
      <c r="D1078" s="5">
        <v>5840</v>
      </c>
      <c r="E1078" s="5">
        <v>11274</v>
      </c>
      <c r="F1078" s="5">
        <v>0</v>
      </c>
      <c r="G1078" s="5">
        <v>17114</v>
      </c>
    </row>
    <row r="1079" spans="1:7" x14ac:dyDescent="0.2">
      <c r="A1079">
        <v>358</v>
      </c>
      <c r="B1079" t="s">
        <v>5</v>
      </c>
      <c r="C1079" t="s">
        <v>703</v>
      </c>
      <c r="D1079" s="5">
        <v>412</v>
      </c>
      <c r="E1079" s="5">
        <v>4849</v>
      </c>
      <c r="F1079" s="5">
        <v>0</v>
      </c>
      <c r="G1079" s="5">
        <v>5261</v>
      </c>
    </row>
    <row r="1080" spans="1:7" x14ac:dyDescent="0.2">
      <c r="A1080">
        <v>358</v>
      </c>
      <c r="B1080" t="s">
        <v>5</v>
      </c>
      <c r="C1080" t="s">
        <v>704</v>
      </c>
      <c r="D1080" s="5">
        <v>298133</v>
      </c>
      <c r="E1080" s="5">
        <v>370540</v>
      </c>
      <c r="F1080" s="5">
        <v>3304</v>
      </c>
      <c r="G1080" s="5">
        <v>671978</v>
      </c>
    </row>
    <row r="1081" spans="1:7" x14ac:dyDescent="0.2">
      <c r="A1081">
        <v>358</v>
      </c>
      <c r="B1081" t="s">
        <v>5</v>
      </c>
      <c r="C1081" t="s">
        <v>705</v>
      </c>
      <c r="D1081" s="5">
        <v>34292</v>
      </c>
      <c r="E1081" s="5">
        <v>90962</v>
      </c>
      <c r="F1081" s="5">
        <v>12104</v>
      </c>
      <c r="G1081" s="5">
        <v>137358</v>
      </c>
    </row>
    <row r="1082" spans="1:7" x14ac:dyDescent="0.2">
      <c r="A1082">
        <v>358</v>
      </c>
      <c r="B1082" t="s">
        <v>5</v>
      </c>
      <c r="C1082" t="s">
        <v>707</v>
      </c>
      <c r="D1082" s="5">
        <v>3544</v>
      </c>
      <c r="E1082" s="5">
        <v>1459</v>
      </c>
      <c r="F1082" s="5">
        <v>0</v>
      </c>
      <c r="G1082" s="5">
        <v>5003</v>
      </c>
    </row>
    <row r="1083" spans="1:7" x14ac:dyDescent="0.2">
      <c r="A1083">
        <v>358</v>
      </c>
      <c r="B1083" t="s">
        <v>5</v>
      </c>
      <c r="C1083" t="s">
        <v>708</v>
      </c>
      <c r="D1083" s="5">
        <v>0</v>
      </c>
      <c r="E1083" s="5">
        <v>15501</v>
      </c>
      <c r="F1083" s="5">
        <v>0</v>
      </c>
      <c r="G1083" s="5">
        <v>15501</v>
      </c>
    </row>
    <row r="1084" spans="1:7" x14ac:dyDescent="0.2">
      <c r="A1084">
        <v>358</v>
      </c>
      <c r="B1084" t="s">
        <v>5</v>
      </c>
      <c r="C1084" t="s">
        <v>709</v>
      </c>
      <c r="D1084" s="5">
        <v>24658</v>
      </c>
      <c r="E1084" s="5">
        <v>78967</v>
      </c>
      <c r="F1084" s="5">
        <v>816</v>
      </c>
      <c r="G1084" s="5">
        <v>104442</v>
      </c>
    </row>
    <row r="1085" spans="1:7" x14ac:dyDescent="0.2">
      <c r="A1085">
        <v>358</v>
      </c>
      <c r="B1085" t="s">
        <v>5</v>
      </c>
      <c r="C1085" t="s">
        <v>710</v>
      </c>
      <c r="D1085" s="5">
        <v>0</v>
      </c>
      <c r="E1085" s="5">
        <v>42400</v>
      </c>
      <c r="F1085" s="5">
        <v>0</v>
      </c>
      <c r="G1085" s="5">
        <v>42400</v>
      </c>
    </row>
    <row r="1086" spans="1:7" x14ac:dyDescent="0.2">
      <c r="A1086">
        <v>358</v>
      </c>
      <c r="B1086" t="s">
        <v>5</v>
      </c>
      <c r="C1086" t="s">
        <v>712</v>
      </c>
      <c r="D1086" s="5">
        <v>14159</v>
      </c>
      <c r="E1086" s="5">
        <v>58722</v>
      </c>
      <c r="F1086" s="5">
        <v>0</v>
      </c>
      <c r="G1086" s="5">
        <v>72881</v>
      </c>
    </row>
    <row r="1087" spans="1:7" x14ac:dyDescent="0.2">
      <c r="A1087">
        <v>361</v>
      </c>
      <c r="B1087" t="s">
        <v>15</v>
      </c>
      <c r="C1087" t="s">
        <v>700</v>
      </c>
      <c r="D1087" s="5">
        <v>277228</v>
      </c>
      <c r="E1087" s="5">
        <v>419894</v>
      </c>
      <c r="F1087" s="5">
        <v>13364</v>
      </c>
      <c r="G1087" s="5">
        <v>710486</v>
      </c>
    </row>
    <row r="1088" spans="1:7" x14ac:dyDescent="0.2">
      <c r="A1088">
        <v>361</v>
      </c>
      <c r="B1088" t="s">
        <v>15</v>
      </c>
      <c r="C1088" t="s">
        <v>701</v>
      </c>
      <c r="D1088" s="5">
        <v>36684</v>
      </c>
      <c r="E1088" s="5">
        <v>76730</v>
      </c>
      <c r="F1088" s="5">
        <v>0</v>
      </c>
      <c r="G1088" s="5">
        <v>113414</v>
      </c>
    </row>
    <row r="1089" spans="1:7" x14ac:dyDescent="0.2">
      <c r="A1089">
        <v>361</v>
      </c>
      <c r="B1089" t="s">
        <v>15</v>
      </c>
      <c r="C1089" t="s">
        <v>703</v>
      </c>
      <c r="D1089" s="5">
        <v>6441</v>
      </c>
      <c r="E1089" s="5">
        <v>60365</v>
      </c>
      <c r="F1089" s="5">
        <v>0</v>
      </c>
      <c r="G1089" s="5">
        <v>66805</v>
      </c>
    </row>
    <row r="1090" spans="1:7" x14ac:dyDescent="0.2">
      <c r="A1090">
        <v>361</v>
      </c>
      <c r="B1090" t="s">
        <v>15</v>
      </c>
      <c r="C1090" t="s">
        <v>704</v>
      </c>
      <c r="D1090" s="5">
        <v>69917</v>
      </c>
      <c r="E1090" s="5">
        <v>780972</v>
      </c>
      <c r="F1090" s="5">
        <v>11607</v>
      </c>
      <c r="G1090" s="5">
        <v>862496</v>
      </c>
    </row>
    <row r="1091" spans="1:7" x14ac:dyDescent="0.2">
      <c r="A1091">
        <v>361</v>
      </c>
      <c r="B1091" t="s">
        <v>15</v>
      </c>
      <c r="C1091" t="s">
        <v>705</v>
      </c>
      <c r="D1091" s="5">
        <v>26183</v>
      </c>
      <c r="E1091" s="5">
        <v>235037</v>
      </c>
      <c r="F1091" s="5">
        <v>7301</v>
      </c>
      <c r="G1091" s="5">
        <v>268522</v>
      </c>
    </row>
    <row r="1092" spans="1:7" x14ac:dyDescent="0.2">
      <c r="A1092">
        <v>361</v>
      </c>
      <c r="B1092" t="s">
        <v>15</v>
      </c>
      <c r="C1092" t="s">
        <v>707</v>
      </c>
      <c r="D1092" s="5">
        <v>11205</v>
      </c>
      <c r="E1092" s="5">
        <v>20952</v>
      </c>
      <c r="F1092" s="5">
        <v>3688</v>
      </c>
      <c r="G1092" s="5">
        <v>35845</v>
      </c>
    </row>
    <row r="1093" spans="1:7" x14ac:dyDescent="0.2">
      <c r="A1093">
        <v>361</v>
      </c>
      <c r="B1093" t="s">
        <v>15</v>
      </c>
      <c r="C1093" t="s">
        <v>708</v>
      </c>
      <c r="D1093" s="5">
        <v>8141</v>
      </c>
      <c r="E1093" s="5">
        <v>123723</v>
      </c>
      <c r="F1093" s="5">
        <v>0</v>
      </c>
      <c r="G1093" s="5">
        <v>131865</v>
      </c>
    </row>
    <row r="1094" spans="1:7" x14ac:dyDescent="0.2">
      <c r="A1094">
        <v>361</v>
      </c>
      <c r="B1094" t="s">
        <v>15</v>
      </c>
      <c r="C1094" t="s">
        <v>709</v>
      </c>
      <c r="D1094" s="5">
        <v>19335</v>
      </c>
      <c r="E1094" s="5">
        <v>140923</v>
      </c>
      <c r="F1094" s="5">
        <v>1807</v>
      </c>
      <c r="G1094" s="5">
        <v>162065</v>
      </c>
    </row>
    <row r="1095" spans="1:7" x14ac:dyDescent="0.2">
      <c r="A1095">
        <v>361</v>
      </c>
      <c r="B1095" t="s">
        <v>15</v>
      </c>
      <c r="C1095" t="s">
        <v>710</v>
      </c>
      <c r="D1095" s="5">
        <v>3096</v>
      </c>
      <c r="E1095" s="5">
        <v>77393</v>
      </c>
      <c r="F1095" s="5">
        <v>0</v>
      </c>
      <c r="G1095" s="5">
        <v>80489</v>
      </c>
    </row>
    <row r="1096" spans="1:7" x14ac:dyDescent="0.2">
      <c r="A1096">
        <v>361</v>
      </c>
      <c r="B1096" t="s">
        <v>15</v>
      </c>
      <c r="C1096" t="s">
        <v>712</v>
      </c>
      <c r="D1096" s="5">
        <v>48114</v>
      </c>
      <c r="E1096" s="5">
        <v>248818</v>
      </c>
      <c r="F1096" s="5">
        <v>490</v>
      </c>
      <c r="G1096" s="5">
        <v>297422</v>
      </c>
    </row>
    <row r="1097" spans="1:7" x14ac:dyDescent="0.2">
      <c r="A1097">
        <v>362</v>
      </c>
      <c r="B1097" t="s">
        <v>31</v>
      </c>
      <c r="C1097" t="s">
        <v>700</v>
      </c>
      <c r="D1097" s="5">
        <v>440581</v>
      </c>
      <c r="E1097" s="5">
        <v>382759</v>
      </c>
      <c r="F1097" s="5">
        <v>3031</v>
      </c>
      <c r="G1097" s="5">
        <v>826371</v>
      </c>
    </row>
    <row r="1098" spans="1:7" x14ac:dyDescent="0.2">
      <c r="A1098">
        <v>362</v>
      </c>
      <c r="B1098" t="s">
        <v>31</v>
      </c>
      <c r="C1098" t="s">
        <v>701</v>
      </c>
      <c r="D1098" s="5">
        <v>10571</v>
      </c>
      <c r="E1098" s="5">
        <v>77658</v>
      </c>
      <c r="F1098" s="5">
        <v>660</v>
      </c>
      <c r="G1098" s="5">
        <v>88889</v>
      </c>
    </row>
    <row r="1099" spans="1:7" x14ac:dyDescent="0.2">
      <c r="A1099">
        <v>362</v>
      </c>
      <c r="B1099" t="s">
        <v>31</v>
      </c>
      <c r="C1099" t="s">
        <v>703</v>
      </c>
      <c r="D1099" s="5">
        <v>1695</v>
      </c>
      <c r="E1099" s="5">
        <v>36726</v>
      </c>
      <c r="F1099" s="5">
        <v>680</v>
      </c>
      <c r="G1099" s="5">
        <v>39101</v>
      </c>
    </row>
    <row r="1100" spans="1:7" x14ac:dyDescent="0.2">
      <c r="A1100">
        <v>362</v>
      </c>
      <c r="B1100" t="s">
        <v>31</v>
      </c>
      <c r="C1100" t="s">
        <v>704</v>
      </c>
      <c r="D1100" s="5">
        <v>238334</v>
      </c>
      <c r="E1100" s="5">
        <v>298704</v>
      </c>
      <c r="F1100" s="5">
        <v>7019</v>
      </c>
      <c r="G1100" s="5">
        <v>544057</v>
      </c>
    </row>
    <row r="1101" spans="1:7" x14ac:dyDescent="0.2">
      <c r="A1101">
        <v>362</v>
      </c>
      <c r="B1101" t="s">
        <v>31</v>
      </c>
      <c r="C1101" t="s">
        <v>705</v>
      </c>
      <c r="D1101" s="5">
        <v>8690</v>
      </c>
      <c r="E1101" s="5">
        <v>298313</v>
      </c>
      <c r="F1101" s="5">
        <v>12363</v>
      </c>
      <c r="G1101" s="5">
        <v>319366</v>
      </c>
    </row>
    <row r="1102" spans="1:7" x14ac:dyDescent="0.2">
      <c r="A1102">
        <v>362</v>
      </c>
      <c r="B1102" t="s">
        <v>31</v>
      </c>
      <c r="C1102" t="s">
        <v>707</v>
      </c>
      <c r="D1102" s="5">
        <v>815</v>
      </c>
      <c r="E1102" s="5">
        <v>15384</v>
      </c>
      <c r="F1102" s="5">
        <v>0</v>
      </c>
      <c r="G1102" s="5">
        <v>16198</v>
      </c>
    </row>
    <row r="1103" spans="1:7" x14ac:dyDescent="0.2">
      <c r="A1103">
        <v>362</v>
      </c>
      <c r="B1103" t="s">
        <v>31</v>
      </c>
      <c r="C1103" t="s">
        <v>708</v>
      </c>
      <c r="D1103" s="5">
        <v>5887</v>
      </c>
      <c r="E1103" s="5">
        <v>66709</v>
      </c>
      <c r="F1103" s="5">
        <v>0</v>
      </c>
      <c r="G1103" s="5">
        <v>72596</v>
      </c>
    </row>
    <row r="1104" spans="1:7" x14ac:dyDescent="0.2">
      <c r="A1104">
        <v>362</v>
      </c>
      <c r="B1104" t="s">
        <v>31</v>
      </c>
      <c r="C1104" t="s">
        <v>709</v>
      </c>
      <c r="D1104" s="5">
        <v>14454</v>
      </c>
      <c r="E1104" s="5">
        <v>227232</v>
      </c>
      <c r="F1104" s="5">
        <v>567</v>
      </c>
      <c r="G1104" s="5">
        <v>242254</v>
      </c>
    </row>
    <row r="1105" spans="1:7" x14ac:dyDescent="0.2">
      <c r="A1105">
        <v>362</v>
      </c>
      <c r="B1105" t="s">
        <v>31</v>
      </c>
      <c r="C1105" t="s">
        <v>710</v>
      </c>
      <c r="D1105" s="5">
        <v>242</v>
      </c>
      <c r="E1105" s="5">
        <v>42246</v>
      </c>
      <c r="F1105" s="5">
        <v>1997</v>
      </c>
      <c r="G1105" s="5">
        <v>44485</v>
      </c>
    </row>
    <row r="1106" spans="1:7" x14ac:dyDescent="0.2">
      <c r="A1106">
        <v>362</v>
      </c>
      <c r="B1106" t="s">
        <v>31</v>
      </c>
      <c r="C1106" t="s">
        <v>712</v>
      </c>
      <c r="D1106" s="5">
        <v>7738</v>
      </c>
      <c r="E1106" s="5">
        <v>104153</v>
      </c>
      <c r="F1106" s="5">
        <v>0</v>
      </c>
      <c r="G1106" s="5">
        <v>111891</v>
      </c>
    </row>
    <row r="1107" spans="1:7" x14ac:dyDescent="0.2">
      <c r="A1107">
        <v>363</v>
      </c>
      <c r="B1107" t="s">
        <v>33</v>
      </c>
      <c r="C1107" t="s">
        <v>700</v>
      </c>
      <c r="D1107" s="5">
        <v>444248</v>
      </c>
      <c r="E1107" s="5">
        <v>2347244</v>
      </c>
      <c r="F1107" s="5">
        <v>46922</v>
      </c>
      <c r="G1107" s="5">
        <v>2838415</v>
      </c>
    </row>
    <row r="1108" spans="1:7" x14ac:dyDescent="0.2">
      <c r="A1108">
        <v>363</v>
      </c>
      <c r="B1108" t="s">
        <v>33</v>
      </c>
      <c r="C1108" t="s">
        <v>701</v>
      </c>
      <c r="D1108" s="5">
        <v>223200</v>
      </c>
      <c r="E1108" s="5">
        <v>820998</v>
      </c>
      <c r="F1108" s="5">
        <v>12152</v>
      </c>
      <c r="G1108" s="5">
        <v>1056350</v>
      </c>
    </row>
    <row r="1109" spans="1:7" x14ac:dyDescent="0.2">
      <c r="A1109">
        <v>363</v>
      </c>
      <c r="B1109" t="s">
        <v>33</v>
      </c>
      <c r="C1109" t="s">
        <v>702</v>
      </c>
      <c r="D1109" s="5">
        <v>0</v>
      </c>
      <c r="E1109" s="5">
        <v>5348</v>
      </c>
      <c r="F1109" s="5">
        <v>0</v>
      </c>
      <c r="G1109" s="5">
        <v>5348</v>
      </c>
    </row>
    <row r="1110" spans="1:7" x14ac:dyDescent="0.2">
      <c r="A1110">
        <v>363</v>
      </c>
      <c r="B1110" t="s">
        <v>33</v>
      </c>
      <c r="C1110" t="s">
        <v>703</v>
      </c>
      <c r="D1110" s="5">
        <v>10560</v>
      </c>
      <c r="E1110" s="5">
        <v>252305</v>
      </c>
      <c r="F1110" s="5">
        <v>1511</v>
      </c>
      <c r="G1110" s="5">
        <v>264377</v>
      </c>
    </row>
    <row r="1111" spans="1:7" x14ac:dyDescent="0.2">
      <c r="A1111">
        <v>363</v>
      </c>
      <c r="B1111" t="s">
        <v>33</v>
      </c>
      <c r="C1111" t="s">
        <v>704</v>
      </c>
      <c r="D1111" s="5">
        <v>188838</v>
      </c>
      <c r="E1111" s="5">
        <v>2927759</v>
      </c>
      <c r="F1111" s="5">
        <v>42136</v>
      </c>
      <c r="G1111" s="5">
        <v>3158733</v>
      </c>
    </row>
    <row r="1112" spans="1:7" x14ac:dyDescent="0.2">
      <c r="A1112">
        <v>363</v>
      </c>
      <c r="B1112" t="s">
        <v>33</v>
      </c>
      <c r="C1112" t="s">
        <v>705</v>
      </c>
      <c r="D1112" s="5">
        <v>263106</v>
      </c>
      <c r="E1112" s="5">
        <v>1624776</v>
      </c>
      <c r="F1112" s="5">
        <v>102624</v>
      </c>
      <c r="G1112" s="5">
        <v>1990506</v>
      </c>
    </row>
    <row r="1113" spans="1:7" x14ac:dyDescent="0.2">
      <c r="A1113">
        <v>363</v>
      </c>
      <c r="B1113" t="s">
        <v>33</v>
      </c>
      <c r="C1113" t="s">
        <v>707</v>
      </c>
      <c r="D1113" s="5">
        <v>41586</v>
      </c>
      <c r="E1113" s="5">
        <v>185296</v>
      </c>
      <c r="F1113" s="5">
        <v>6204</v>
      </c>
      <c r="G1113" s="5">
        <v>233086</v>
      </c>
    </row>
    <row r="1114" spans="1:7" x14ac:dyDescent="0.2">
      <c r="A1114">
        <v>363</v>
      </c>
      <c r="B1114" t="s">
        <v>33</v>
      </c>
      <c r="C1114" t="s">
        <v>708</v>
      </c>
      <c r="D1114" s="5">
        <v>100388</v>
      </c>
      <c r="E1114" s="5">
        <v>681100</v>
      </c>
      <c r="F1114" s="5">
        <v>8226</v>
      </c>
      <c r="G1114" s="5">
        <v>789714</v>
      </c>
    </row>
    <row r="1115" spans="1:7" x14ac:dyDescent="0.2">
      <c r="A1115">
        <v>363</v>
      </c>
      <c r="B1115" t="s">
        <v>33</v>
      </c>
      <c r="C1115" t="s">
        <v>709</v>
      </c>
      <c r="D1115" s="5">
        <v>213586</v>
      </c>
      <c r="E1115" s="5">
        <v>1390995</v>
      </c>
      <c r="F1115" s="5">
        <v>42355</v>
      </c>
      <c r="G1115" s="5">
        <v>1646936</v>
      </c>
    </row>
    <row r="1116" spans="1:7" x14ac:dyDescent="0.2">
      <c r="A1116">
        <v>363</v>
      </c>
      <c r="B1116" t="s">
        <v>33</v>
      </c>
      <c r="C1116" t="s">
        <v>710</v>
      </c>
      <c r="D1116" s="5">
        <v>26354</v>
      </c>
      <c r="E1116" s="5">
        <v>263546</v>
      </c>
      <c r="F1116" s="5">
        <v>1230</v>
      </c>
      <c r="G1116" s="5">
        <v>291130</v>
      </c>
    </row>
    <row r="1117" spans="1:7" x14ac:dyDescent="0.2">
      <c r="A1117">
        <v>363</v>
      </c>
      <c r="B1117" t="s">
        <v>33</v>
      </c>
      <c r="C1117" t="s">
        <v>711</v>
      </c>
      <c r="D1117" s="5">
        <v>31</v>
      </c>
      <c r="E1117" s="5">
        <v>327</v>
      </c>
      <c r="F1117" s="5">
        <v>0</v>
      </c>
      <c r="G1117" s="5">
        <v>359</v>
      </c>
    </row>
    <row r="1118" spans="1:7" x14ac:dyDescent="0.2">
      <c r="A1118">
        <v>363</v>
      </c>
      <c r="B1118" t="s">
        <v>33</v>
      </c>
      <c r="C1118" t="s">
        <v>712</v>
      </c>
      <c r="D1118" s="5">
        <v>186059</v>
      </c>
      <c r="E1118" s="5">
        <v>959252</v>
      </c>
      <c r="F1118" s="5">
        <v>9230</v>
      </c>
      <c r="G1118" s="5">
        <v>1154541</v>
      </c>
    </row>
    <row r="1119" spans="1:7" x14ac:dyDescent="0.2">
      <c r="A1119">
        <v>370</v>
      </c>
      <c r="B1119" t="s">
        <v>696</v>
      </c>
      <c r="C1119" t="s">
        <v>700</v>
      </c>
      <c r="D1119" s="5">
        <v>313913</v>
      </c>
      <c r="E1119" s="5">
        <v>246618</v>
      </c>
      <c r="F1119" s="5">
        <v>6174</v>
      </c>
      <c r="G1119" s="5">
        <v>566704</v>
      </c>
    </row>
    <row r="1120" spans="1:7" x14ac:dyDescent="0.2">
      <c r="A1120">
        <v>370</v>
      </c>
      <c r="B1120" t="s">
        <v>696</v>
      </c>
      <c r="C1120" t="s">
        <v>701</v>
      </c>
      <c r="D1120" s="5">
        <v>5195</v>
      </c>
      <c r="E1120" s="5">
        <v>1277</v>
      </c>
      <c r="F1120" s="5">
        <v>0</v>
      </c>
      <c r="G1120" s="5">
        <v>6471</v>
      </c>
    </row>
    <row r="1121" spans="1:7" x14ac:dyDescent="0.2">
      <c r="A1121">
        <v>370</v>
      </c>
      <c r="B1121" t="s">
        <v>696</v>
      </c>
      <c r="C1121" t="s">
        <v>703</v>
      </c>
      <c r="D1121" s="5">
        <v>3306</v>
      </c>
      <c r="E1121" s="5">
        <v>4132</v>
      </c>
      <c r="F1121" s="5">
        <v>0</v>
      </c>
      <c r="G1121" s="5">
        <v>7438</v>
      </c>
    </row>
    <row r="1122" spans="1:7" x14ac:dyDescent="0.2">
      <c r="A1122">
        <v>370</v>
      </c>
      <c r="B1122" t="s">
        <v>696</v>
      </c>
      <c r="C1122" t="s">
        <v>704</v>
      </c>
      <c r="D1122" s="5">
        <v>15038</v>
      </c>
      <c r="E1122" s="5">
        <v>44645</v>
      </c>
      <c r="F1122" s="5">
        <v>1194</v>
      </c>
      <c r="G1122" s="5">
        <v>60877</v>
      </c>
    </row>
    <row r="1123" spans="1:7" x14ac:dyDescent="0.2">
      <c r="A1123">
        <v>370</v>
      </c>
      <c r="B1123" t="s">
        <v>696</v>
      </c>
      <c r="C1123" t="s">
        <v>705</v>
      </c>
      <c r="D1123" s="5">
        <v>1904</v>
      </c>
      <c r="E1123" s="5">
        <v>18187</v>
      </c>
      <c r="F1123" s="5">
        <v>0</v>
      </c>
      <c r="G1123" s="5">
        <v>20090</v>
      </c>
    </row>
    <row r="1124" spans="1:7" x14ac:dyDescent="0.2">
      <c r="A1124">
        <v>370</v>
      </c>
      <c r="B1124" t="s">
        <v>696</v>
      </c>
      <c r="C1124" t="s">
        <v>707</v>
      </c>
      <c r="D1124" s="5">
        <v>1410</v>
      </c>
      <c r="E1124" s="5">
        <v>1638</v>
      </c>
      <c r="F1124" s="5">
        <v>0</v>
      </c>
      <c r="G1124" s="5">
        <v>3048</v>
      </c>
    </row>
    <row r="1125" spans="1:7" x14ac:dyDescent="0.2">
      <c r="A1125">
        <v>370</v>
      </c>
      <c r="B1125" t="s">
        <v>696</v>
      </c>
      <c r="C1125" t="s">
        <v>708</v>
      </c>
      <c r="D1125" s="5">
        <v>0</v>
      </c>
      <c r="E1125" s="5">
        <v>3790</v>
      </c>
      <c r="F1125" s="5">
        <v>0</v>
      </c>
      <c r="G1125" s="5">
        <v>3790</v>
      </c>
    </row>
    <row r="1126" spans="1:7" x14ac:dyDescent="0.2">
      <c r="A1126">
        <v>370</v>
      </c>
      <c r="B1126" t="s">
        <v>696</v>
      </c>
      <c r="C1126" t="s">
        <v>709</v>
      </c>
      <c r="D1126" s="5">
        <v>4907</v>
      </c>
      <c r="E1126" s="5">
        <v>17150</v>
      </c>
      <c r="F1126" s="5">
        <v>0</v>
      </c>
      <c r="G1126" s="5">
        <v>22057</v>
      </c>
    </row>
    <row r="1127" spans="1:7" x14ac:dyDescent="0.2">
      <c r="A1127">
        <v>370</v>
      </c>
      <c r="B1127" t="s">
        <v>696</v>
      </c>
      <c r="C1127" t="s">
        <v>710</v>
      </c>
      <c r="D1127" s="5">
        <v>0</v>
      </c>
      <c r="E1127" s="5">
        <v>9490</v>
      </c>
      <c r="F1127" s="5">
        <v>0</v>
      </c>
      <c r="G1127" s="5">
        <v>9490</v>
      </c>
    </row>
    <row r="1128" spans="1:7" x14ac:dyDescent="0.2">
      <c r="A1128">
        <v>370</v>
      </c>
      <c r="B1128" t="s">
        <v>696</v>
      </c>
      <c r="C1128" t="s">
        <v>712</v>
      </c>
      <c r="D1128" s="5">
        <v>14660</v>
      </c>
      <c r="E1128" s="5">
        <v>4468</v>
      </c>
      <c r="F1128" s="5">
        <v>0</v>
      </c>
      <c r="G1128" s="5">
        <v>19128</v>
      </c>
    </row>
    <row r="1129" spans="1:7" x14ac:dyDescent="0.2">
      <c r="A1129">
        <v>373</v>
      </c>
      <c r="B1129" s="9" t="s">
        <v>63</v>
      </c>
      <c r="C1129" t="s">
        <v>700</v>
      </c>
      <c r="D1129" s="5">
        <v>203391</v>
      </c>
      <c r="E1129" s="5">
        <v>236670</v>
      </c>
      <c r="F1129" s="5">
        <v>4683</v>
      </c>
      <c r="G1129" s="5">
        <v>444744</v>
      </c>
    </row>
    <row r="1130" spans="1:7" x14ac:dyDescent="0.2">
      <c r="A1130">
        <v>373</v>
      </c>
      <c r="B1130" s="9" t="s">
        <v>63</v>
      </c>
      <c r="C1130" t="s">
        <v>701</v>
      </c>
      <c r="D1130" s="5">
        <v>10979</v>
      </c>
      <c r="E1130" s="5">
        <v>10015</v>
      </c>
      <c r="F1130" s="5">
        <v>0</v>
      </c>
      <c r="G1130" s="5">
        <v>20994</v>
      </c>
    </row>
    <row r="1131" spans="1:7" x14ac:dyDescent="0.2">
      <c r="A1131">
        <v>373</v>
      </c>
      <c r="B1131" s="9" t="s">
        <v>63</v>
      </c>
      <c r="C1131" t="s">
        <v>703</v>
      </c>
      <c r="D1131" s="5">
        <v>1881</v>
      </c>
      <c r="E1131" s="5">
        <v>1880</v>
      </c>
      <c r="F1131" s="5">
        <v>0</v>
      </c>
      <c r="G1131" s="5">
        <v>3760</v>
      </c>
    </row>
    <row r="1132" spans="1:7" x14ac:dyDescent="0.2">
      <c r="A1132">
        <v>373</v>
      </c>
      <c r="B1132" s="9" t="s">
        <v>63</v>
      </c>
      <c r="C1132" t="s">
        <v>704</v>
      </c>
      <c r="D1132" s="5">
        <v>7537</v>
      </c>
      <c r="E1132" s="5">
        <v>34275</v>
      </c>
      <c r="F1132" s="5">
        <v>2828</v>
      </c>
      <c r="G1132" s="5">
        <v>44640</v>
      </c>
    </row>
    <row r="1133" spans="1:7" x14ac:dyDescent="0.2">
      <c r="A1133">
        <v>373</v>
      </c>
      <c r="B1133" s="9" t="s">
        <v>63</v>
      </c>
      <c r="C1133" t="s">
        <v>705</v>
      </c>
      <c r="D1133" s="5">
        <v>8242</v>
      </c>
      <c r="E1133" s="5">
        <v>27558</v>
      </c>
      <c r="F1133" s="5">
        <v>17</v>
      </c>
      <c r="G1133" s="5">
        <v>35817</v>
      </c>
    </row>
    <row r="1134" spans="1:7" x14ac:dyDescent="0.2">
      <c r="A1134">
        <v>373</v>
      </c>
      <c r="B1134" s="9" t="s">
        <v>63</v>
      </c>
      <c r="C1134" t="s">
        <v>707</v>
      </c>
      <c r="D1134" s="5">
        <v>103219</v>
      </c>
      <c r="E1134" s="5">
        <v>50738</v>
      </c>
      <c r="F1134" s="5">
        <v>782</v>
      </c>
      <c r="G1134" s="5">
        <v>154740</v>
      </c>
    </row>
    <row r="1135" spans="1:7" x14ac:dyDescent="0.2">
      <c r="A1135">
        <v>373</v>
      </c>
      <c r="B1135" s="9" t="s">
        <v>63</v>
      </c>
      <c r="C1135" t="s">
        <v>708</v>
      </c>
      <c r="D1135" s="5">
        <v>3741</v>
      </c>
      <c r="E1135" s="5">
        <v>19443</v>
      </c>
      <c r="F1135" s="5">
        <v>155</v>
      </c>
      <c r="G1135" s="5">
        <v>23339</v>
      </c>
    </row>
    <row r="1136" spans="1:7" x14ac:dyDescent="0.2">
      <c r="A1136">
        <v>373</v>
      </c>
      <c r="B1136" s="9" t="s">
        <v>63</v>
      </c>
      <c r="C1136" t="s">
        <v>709</v>
      </c>
      <c r="D1136" s="5">
        <v>20508</v>
      </c>
      <c r="E1136" s="5">
        <v>81864</v>
      </c>
      <c r="F1136" s="5">
        <v>429</v>
      </c>
      <c r="G1136" s="5">
        <v>102800</v>
      </c>
    </row>
    <row r="1137" spans="1:7" x14ac:dyDescent="0.2">
      <c r="A1137">
        <v>373</v>
      </c>
      <c r="B1137" s="9" t="s">
        <v>63</v>
      </c>
      <c r="C1137" t="s">
        <v>710</v>
      </c>
      <c r="D1137" s="5">
        <v>2543</v>
      </c>
      <c r="E1137" s="5">
        <v>17600</v>
      </c>
      <c r="F1137" s="5">
        <v>0</v>
      </c>
      <c r="G1137" s="5">
        <v>20143</v>
      </c>
    </row>
    <row r="1138" spans="1:7" x14ac:dyDescent="0.2">
      <c r="A1138">
        <v>373</v>
      </c>
      <c r="B1138" s="9" t="s">
        <v>63</v>
      </c>
      <c r="C1138" t="s">
        <v>711</v>
      </c>
      <c r="D1138" s="5">
        <v>55</v>
      </c>
      <c r="E1138" s="5">
        <v>2819</v>
      </c>
      <c r="F1138" s="5">
        <v>0</v>
      </c>
      <c r="G1138" s="5">
        <v>2875</v>
      </c>
    </row>
    <row r="1139" spans="1:7" x14ac:dyDescent="0.2">
      <c r="A1139">
        <v>373</v>
      </c>
      <c r="B1139" s="9" t="s">
        <v>63</v>
      </c>
      <c r="C1139" t="s">
        <v>712</v>
      </c>
      <c r="D1139" s="5">
        <v>11290</v>
      </c>
      <c r="E1139" s="5">
        <v>20344</v>
      </c>
      <c r="F1139" s="5">
        <v>0</v>
      </c>
      <c r="G1139" s="5">
        <v>31634</v>
      </c>
    </row>
    <row r="1140" spans="1:7" x14ac:dyDescent="0.2">
      <c r="A1140">
        <v>375</v>
      </c>
      <c r="B1140" t="s">
        <v>75</v>
      </c>
      <c r="C1140" t="s">
        <v>700</v>
      </c>
      <c r="D1140" s="5">
        <v>46351</v>
      </c>
      <c r="E1140" s="5">
        <v>256153</v>
      </c>
      <c r="F1140" s="5">
        <v>9373</v>
      </c>
      <c r="G1140" s="5">
        <v>311877</v>
      </c>
    </row>
    <row r="1141" spans="1:7" x14ac:dyDescent="0.2">
      <c r="A1141">
        <v>375</v>
      </c>
      <c r="B1141" t="s">
        <v>75</v>
      </c>
      <c r="C1141" t="s">
        <v>701</v>
      </c>
      <c r="D1141" s="5">
        <v>16724</v>
      </c>
      <c r="E1141" s="5">
        <v>44933</v>
      </c>
      <c r="F1141" s="5">
        <v>149</v>
      </c>
      <c r="G1141" s="5">
        <v>61806</v>
      </c>
    </row>
    <row r="1142" spans="1:7" x14ac:dyDescent="0.2">
      <c r="A1142">
        <v>375</v>
      </c>
      <c r="B1142" t="s">
        <v>75</v>
      </c>
      <c r="C1142" t="s">
        <v>703</v>
      </c>
      <c r="D1142" s="5">
        <v>3131</v>
      </c>
      <c r="E1142" s="5">
        <v>12130</v>
      </c>
      <c r="F1142" s="5">
        <v>0</v>
      </c>
      <c r="G1142" s="5">
        <v>15261</v>
      </c>
    </row>
    <row r="1143" spans="1:7" x14ac:dyDescent="0.2">
      <c r="A1143">
        <v>375</v>
      </c>
      <c r="B1143" t="s">
        <v>75</v>
      </c>
      <c r="C1143" t="s">
        <v>704</v>
      </c>
      <c r="D1143" s="5">
        <v>39430</v>
      </c>
      <c r="E1143" s="5">
        <v>725681</v>
      </c>
      <c r="F1143" s="5">
        <v>75</v>
      </c>
      <c r="G1143" s="5">
        <v>765186</v>
      </c>
    </row>
    <row r="1144" spans="1:7" x14ac:dyDescent="0.2">
      <c r="A1144">
        <v>375</v>
      </c>
      <c r="B1144" t="s">
        <v>75</v>
      </c>
      <c r="C1144" t="s">
        <v>705</v>
      </c>
      <c r="D1144" s="5">
        <v>5183</v>
      </c>
      <c r="E1144" s="5">
        <v>77646</v>
      </c>
      <c r="F1144" s="5">
        <v>0</v>
      </c>
      <c r="G1144" s="5">
        <v>82829</v>
      </c>
    </row>
    <row r="1145" spans="1:7" x14ac:dyDescent="0.2">
      <c r="A1145">
        <v>375</v>
      </c>
      <c r="B1145" t="s">
        <v>75</v>
      </c>
      <c r="C1145" t="s">
        <v>707</v>
      </c>
      <c r="D1145" s="5">
        <v>211</v>
      </c>
      <c r="E1145" s="5">
        <v>386</v>
      </c>
      <c r="F1145" s="5">
        <v>0</v>
      </c>
      <c r="G1145" s="5">
        <v>597</v>
      </c>
    </row>
    <row r="1146" spans="1:7" x14ac:dyDescent="0.2">
      <c r="A1146">
        <v>375</v>
      </c>
      <c r="B1146" t="s">
        <v>75</v>
      </c>
      <c r="C1146" t="s">
        <v>708</v>
      </c>
      <c r="D1146" s="5">
        <v>310</v>
      </c>
      <c r="E1146" s="5">
        <v>28155</v>
      </c>
      <c r="F1146" s="5">
        <v>0</v>
      </c>
      <c r="G1146" s="5">
        <v>28465</v>
      </c>
    </row>
    <row r="1147" spans="1:7" x14ac:dyDescent="0.2">
      <c r="A1147">
        <v>375</v>
      </c>
      <c r="B1147" t="s">
        <v>75</v>
      </c>
      <c r="C1147" t="s">
        <v>709</v>
      </c>
      <c r="D1147" s="5">
        <v>5123</v>
      </c>
      <c r="E1147" s="5">
        <v>41477</v>
      </c>
      <c r="F1147" s="5">
        <v>32</v>
      </c>
      <c r="G1147" s="5">
        <v>46632</v>
      </c>
    </row>
    <row r="1148" spans="1:7" x14ac:dyDescent="0.2">
      <c r="A1148">
        <v>375</v>
      </c>
      <c r="B1148" t="s">
        <v>75</v>
      </c>
      <c r="C1148" t="s">
        <v>710</v>
      </c>
      <c r="D1148" s="5">
        <v>1489</v>
      </c>
      <c r="E1148" s="5">
        <v>30375</v>
      </c>
      <c r="F1148" s="5">
        <v>0</v>
      </c>
      <c r="G1148" s="5">
        <v>31865</v>
      </c>
    </row>
    <row r="1149" spans="1:7" x14ac:dyDescent="0.2">
      <c r="A1149">
        <v>375</v>
      </c>
      <c r="B1149" t="s">
        <v>75</v>
      </c>
      <c r="C1149" t="s">
        <v>712</v>
      </c>
      <c r="D1149" s="5">
        <v>8674</v>
      </c>
      <c r="E1149" s="5">
        <v>106226</v>
      </c>
      <c r="F1149" s="5">
        <v>0</v>
      </c>
      <c r="G1149" s="5">
        <v>114899</v>
      </c>
    </row>
    <row r="1150" spans="1:7" x14ac:dyDescent="0.2">
      <c r="A1150">
        <v>376</v>
      </c>
      <c r="B1150" t="s">
        <v>81</v>
      </c>
      <c r="C1150" t="s">
        <v>700</v>
      </c>
      <c r="D1150" s="5">
        <v>51004</v>
      </c>
      <c r="E1150" s="5">
        <v>16764</v>
      </c>
      <c r="F1150" s="5">
        <v>4902</v>
      </c>
      <c r="G1150" s="5">
        <v>72671</v>
      </c>
    </row>
    <row r="1151" spans="1:7" x14ac:dyDescent="0.2">
      <c r="A1151">
        <v>376</v>
      </c>
      <c r="B1151" t="s">
        <v>81</v>
      </c>
      <c r="C1151" t="s">
        <v>701</v>
      </c>
      <c r="D1151" s="5">
        <v>5063</v>
      </c>
      <c r="E1151" s="5">
        <v>898</v>
      </c>
      <c r="F1151" s="5">
        <v>0</v>
      </c>
      <c r="G1151" s="5">
        <v>5962</v>
      </c>
    </row>
    <row r="1152" spans="1:7" x14ac:dyDescent="0.2">
      <c r="A1152">
        <v>376</v>
      </c>
      <c r="B1152" t="s">
        <v>81</v>
      </c>
      <c r="C1152" t="s">
        <v>703</v>
      </c>
      <c r="D1152" s="5">
        <v>321</v>
      </c>
      <c r="E1152" s="5">
        <v>12341</v>
      </c>
      <c r="F1152" s="5">
        <v>0</v>
      </c>
      <c r="G1152" s="5">
        <v>12663</v>
      </c>
    </row>
    <row r="1153" spans="1:7" x14ac:dyDescent="0.2">
      <c r="A1153">
        <v>376</v>
      </c>
      <c r="B1153" t="s">
        <v>81</v>
      </c>
      <c r="C1153" t="s">
        <v>704</v>
      </c>
      <c r="D1153" s="5">
        <v>1251</v>
      </c>
      <c r="E1153" s="5">
        <v>3050</v>
      </c>
      <c r="F1153" s="5">
        <v>2497</v>
      </c>
      <c r="G1153" s="5">
        <v>6799</v>
      </c>
    </row>
    <row r="1154" spans="1:7" x14ac:dyDescent="0.2">
      <c r="A1154">
        <v>376</v>
      </c>
      <c r="B1154" t="s">
        <v>81</v>
      </c>
      <c r="C1154" t="s">
        <v>705</v>
      </c>
      <c r="D1154" s="5">
        <v>2040</v>
      </c>
      <c r="E1154" s="5">
        <v>4650</v>
      </c>
      <c r="F1154" s="5">
        <v>2264</v>
      </c>
      <c r="G1154" s="5">
        <v>8955</v>
      </c>
    </row>
    <row r="1155" spans="1:7" x14ac:dyDescent="0.2">
      <c r="A1155">
        <v>376</v>
      </c>
      <c r="B1155" t="s">
        <v>81</v>
      </c>
      <c r="C1155" t="s">
        <v>707</v>
      </c>
      <c r="D1155" s="5">
        <v>40</v>
      </c>
      <c r="E1155" s="5">
        <v>0</v>
      </c>
      <c r="F1155" s="5">
        <v>0</v>
      </c>
      <c r="G1155" s="5">
        <v>40</v>
      </c>
    </row>
    <row r="1156" spans="1:7" x14ac:dyDescent="0.2">
      <c r="A1156">
        <v>376</v>
      </c>
      <c r="B1156" t="s">
        <v>81</v>
      </c>
      <c r="C1156" t="s">
        <v>708</v>
      </c>
      <c r="D1156" s="5">
        <v>325</v>
      </c>
      <c r="E1156" s="5">
        <v>5243</v>
      </c>
      <c r="F1156" s="5">
        <v>0</v>
      </c>
      <c r="G1156" s="5">
        <v>5569</v>
      </c>
    </row>
    <row r="1157" spans="1:7" x14ac:dyDescent="0.2">
      <c r="A1157">
        <v>376</v>
      </c>
      <c r="B1157" t="s">
        <v>81</v>
      </c>
      <c r="C1157" t="s">
        <v>709</v>
      </c>
      <c r="D1157" s="5">
        <v>6360</v>
      </c>
      <c r="E1157" s="5">
        <v>1364</v>
      </c>
      <c r="F1157" s="5">
        <v>543</v>
      </c>
      <c r="G1157" s="5">
        <v>8267</v>
      </c>
    </row>
    <row r="1158" spans="1:7" x14ac:dyDescent="0.2">
      <c r="A1158">
        <v>376</v>
      </c>
      <c r="B1158" t="s">
        <v>81</v>
      </c>
      <c r="C1158" t="s">
        <v>710</v>
      </c>
      <c r="D1158" s="5">
        <v>3970</v>
      </c>
      <c r="E1158" s="5">
        <v>1553</v>
      </c>
      <c r="F1158" s="5">
        <v>0</v>
      </c>
      <c r="G1158" s="5">
        <v>5523</v>
      </c>
    </row>
    <row r="1159" spans="1:7" x14ac:dyDescent="0.2">
      <c r="A1159">
        <v>376</v>
      </c>
      <c r="B1159" t="s">
        <v>81</v>
      </c>
      <c r="C1159" t="s">
        <v>712</v>
      </c>
      <c r="D1159" s="5">
        <v>4346</v>
      </c>
      <c r="E1159" s="5">
        <v>7715</v>
      </c>
      <c r="F1159" s="5">
        <v>0</v>
      </c>
      <c r="G1159" s="5">
        <v>12061</v>
      </c>
    </row>
    <row r="1160" spans="1:7" x14ac:dyDescent="0.2">
      <c r="A1160">
        <v>377</v>
      </c>
      <c r="B1160" t="s">
        <v>83</v>
      </c>
      <c r="C1160" t="s">
        <v>700</v>
      </c>
      <c r="D1160" s="5">
        <v>79463</v>
      </c>
      <c r="E1160" s="5">
        <v>77613</v>
      </c>
      <c r="F1160" s="5">
        <v>794</v>
      </c>
      <c r="G1160" s="5">
        <v>157870</v>
      </c>
    </row>
    <row r="1161" spans="1:7" x14ac:dyDescent="0.2">
      <c r="A1161">
        <v>377</v>
      </c>
      <c r="B1161" t="s">
        <v>83</v>
      </c>
      <c r="C1161" t="s">
        <v>701</v>
      </c>
      <c r="D1161" s="5">
        <v>14029</v>
      </c>
      <c r="E1161" s="5">
        <v>15510</v>
      </c>
      <c r="F1161" s="5">
        <v>0</v>
      </c>
      <c r="G1161" s="5">
        <v>29540</v>
      </c>
    </row>
    <row r="1162" spans="1:7" x14ac:dyDescent="0.2">
      <c r="A1162">
        <v>377</v>
      </c>
      <c r="B1162" t="s">
        <v>83</v>
      </c>
      <c r="C1162" t="s">
        <v>703</v>
      </c>
      <c r="D1162" s="5">
        <v>3969</v>
      </c>
      <c r="E1162" s="5">
        <v>24762</v>
      </c>
      <c r="F1162" s="5">
        <v>0</v>
      </c>
      <c r="G1162" s="5">
        <v>28731</v>
      </c>
    </row>
    <row r="1163" spans="1:7" x14ac:dyDescent="0.2">
      <c r="A1163">
        <v>377</v>
      </c>
      <c r="B1163" t="s">
        <v>83</v>
      </c>
      <c r="C1163" t="s">
        <v>704</v>
      </c>
      <c r="D1163" s="5">
        <v>4284</v>
      </c>
      <c r="E1163" s="5">
        <v>15483</v>
      </c>
      <c r="F1163" s="5">
        <v>0</v>
      </c>
      <c r="G1163" s="5">
        <v>19767</v>
      </c>
    </row>
    <row r="1164" spans="1:7" x14ac:dyDescent="0.2">
      <c r="A1164">
        <v>377</v>
      </c>
      <c r="B1164" t="s">
        <v>83</v>
      </c>
      <c r="C1164" t="s">
        <v>705</v>
      </c>
      <c r="D1164" s="5">
        <v>6265</v>
      </c>
      <c r="E1164" s="5">
        <v>6055</v>
      </c>
      <c r="F1164" s="5">
        <v>0</v>
      </c>
      <c r="G1164" s="5">
        <v>12320</v>
      </c>
    </row>
    <row r="1165" spans="1:7" x14ac:dyDescent="0.2">
      <c r="A1165">
        <v>377</v>
      </c>
      <c r="B1165" t="s">
        <v>83</v>
      </c>
      <c r="C1165" t="s">
        <v>707</v>
      </c>
      <c r="D1165" s="5">
        <v>325</v>
      </c>
      <c r="E1165" s="5">
        <v>2452</v>
      </c>
      <c r="F1165" s="5">
        <v>2811</v>
      </c>
      <c r="G1165" s="5">
        <v>5588</v>
      </c>
    </row>
    <row r="1166" spans="1:7" x14ac:dyDescent="0.2">
      <c r="A1166">
        <v>377</v>
      </c>
      <c r="B1166" t="s">
        <v>83</v>
      </c>
      <c r="C1166" t="s">
        <v>708</v>
      </c>
      <c r="D1166" s="5">
        <v>8399</v>
      </c>
      <c r="E1166" s="5">
        <v>16559</v>
      </c>
      <c r="F1166" s="5">
        <v>0</v>
      </c>
      <c r="G1166" s="5">
        <v>24958</v>
      </c>
    </row>
    <row r="1167" spans="1:7" x14ac:dyDescent="0.2">
      <c r="A1167">
        <v>377</v>
      </c>
      <c r="B1167" t="s">
        <v>83</v>
      </c>
      <c r="C1167" t="s">
        <v>709</v>
      </c>
      <c r="D1167" s="5">
        <v>4727</v>
      </c>
      <c r="E1167" s="5">
        <v>8615</v>
      </c>
      <c r="F1167" s="5">
        <v>32</v>
      </c>
      <c r="G1167" s="5">
        <v>13373</v>
      </c>
    </row>
    <row r="1168" spans="1:7" x14ac:dyDescent="0.2">
      <c r="A1168">
        <v>377</v>
      </c>
      <c r="B1168" t="s">
        <v>83</v>
      </c>
      <c r="C1168" t="s">
        <v>710</v>
      </c>
      <c r="D1168" s="5">
        <v>2061</v>
      </c>
      <c r="E1168" s="5">
        <v>11299</v>
      </c>
      <c r="F1168" s="5">
        <v>0</v>
      </c>
      <c r="G1168" s="5">
        <v>13360</v>
      </c>
    </row>
    <row r="1169" spans="1:7" x14ac:dyDescent="0.2">
      <c r="A1169">
        <v>377</v>
      </c>
      <c r="B1169" t="s">
        <v>83</v>
      </c>
      <c r="C1169" t="s">
        <v>712</v>
      </c>
      <c r="D1169" s="5">
        <v>6544</v>
      </c>
      <c r="E1169" s="5">
        <v>4516</v>
      </c>
      <c r="F1169" s="5">
        <v>0</v>
      </c>
      <c r="G1169" s="5">
        <v>11060</v>
      </c>
    </row>
    <row r="1170" spans="1:7" x14ac:dyDescent="0.2">
      <c r="A1170">
        <v>383</v>
      </c>
      <c r="B1170" t="s">
        <v>113</v>
      </c>
      <c r="C1170" t="s">
        <v>700</v>
      </c>
      <c r="D1170" s="5">
        <v>140159</v>
      </c>
      <c r="E1170" s="5">
        <v>182712</v>
      </c>
      <c r="F1170" s="5">
        <v>2454</v>
      </c>
      <c r="G1170" s="5">
        <v>325325</v>
      </c>
    </row>
    <row r="1171" spans="1:7" x14ac:dyDescent="0.2">
      <c r="A1171">
        <v>383</v>
      </c>
      <c r="B1171" t="s">
        <v>113</v>
      </c>
      <c r="C1171" t="s">
        <v>701</v>
      </c>
      <c r="D1171" s="5">
        <v>9970</v>
      </c>
      <c r="E1171" s="5">
        <v>26257</v>
      </c>
      <c r="F1171" s="5">
        <v>526</v>
      </c>
      <c r="G1171" s="5">
        <v>36752</v>
      </c>
    </row>
    <row r="1172" spans="1:7" x14ac:dyDescent="0.2">
      <c r="A1172">
        <v>383</v>
      </c>
      <c r="B1172" t="s">
        <v>113</v>
      </c>
      <c r="C1172" t="s">
        <v>703</v>
      </c>
      <c r="D1172" s="5">
        <v>8397</v>
      </c>
      <c r="E1172" s="5">
        <v>7073</v>
      </c>
      <c r="F1172" s="5">
        <v>0</v>
      </c>
      <c r="G1172" s="5">
        <v>15470</v>
      </c>
    </row>
    <row r="1173" spans="1:7" x14ac:dyDescent="0.2">
      <c r="A1173">
        <v>383</v>
      </c>
      <c r="B1173" t="s">
        <v>113</v>
      </c>
      <c r="C1173" t="s">
        <v>704</v>
      </c>
      <c r="D1173" s="5">
        <v>23085</v>
      </c>
      <c r="E1173" s="5">
        <v>81717</v>
      </c>
      <c r="F1173" s="5">
        <v>594</v>
      </c>
      <c r="G1173" s="5">
        <v>105397</v>
      </c>
    </row>
    <row r="1174" spans="1:7" x14ac:dyDescent="0.2">
      <c r="A1174">
        <v>383</v>
      </c>
      <c r="B1174" t="s">
        <v>113</v>
      </c>
      <c r="C1174" t="s">
        <v>705</v>
      </c>
      <c r="D1174" s="5">
        <v>5219</v>
      </c>
      <c r="E1174" s="5">
        <v>21427</v>
      </c>
      <c r="F1174" s="5">
        <v>0</v>
      </c>
      <c r="G1174" s="5">
        <v>26646</v>
      </c>
    </row>
    <row r="1175" spans="1:7" x14ac:dyDescent="0.2">
      <c r="A1175">
        <v>383</v>
      </c>
      <c r="B1175" t="s">
        <v>113</v>
      </c>
      <c r="C1175" t="s">
        <v>707</v>
      </c>
      <c r="D1175" s="5">
        <v>1715</v>
      </c>
      <c r="E1175" s="5">
        <v>7589</v>
      </c>
      <c r="F1175" s="5">
        <v>50</v>
      </c>
      <c r="G1175" s="5">
        <v>9354</v>
      </c>
    </row>
    <row r="1176" spans="1:7" x14ac:dyDescent="0.2">
      <c r="A1176">
        <v>383</v>
      </c>
      <c r="B1176" t="s">
        <v>113</v>
      </c>
      <c r="C1176" t="s">
        <v>708</v>
      </c>
      <c r="D1176" s="5">
        <v>125</v>
      </c>
      <c r="E1176" s="5">
        <v>35522</v>
      </c>
      <c r="F1176" s="5">
        <v>0</v>
      </c>
      <c r="G1176" s="5">
        <v>35647</v>
      </c>
    </row>
    <row r="1177" spans="1:7" x14ac:dyDescent="0.2">
      <c r="A1177">
        <v>383</v>
      </c>
      <c r="B1177" t="s">
        <v>113</v>
      </c>
      <c r="C1177" t="s">
        <v>709</v>
      </c>
      <c r="D1177" s="5">
        <v>13320</v>
      </c>
      <c r="E1177" s="5">
        <v>28155</v>
      </c>
      <c r="F1177" s="5">
        <v>187</v>
      </c>
      <c r="G1177" s="5">
        <v>41663</v>
      </c>
    </row>
    <row r="1178" spans="1:7" x14ac:dyDescent="0.2">
      <c r="A1178">
        <v>383</v>
      </c>
      <c r="B1178" t="s">
        <v>113</v>
      </c>
      <c r="C1178" t="s">
        <v>710</v>
      </c>
      <c r="D1178" s="5">
        <v>1587</v>
      </c>
      <c r="E1178" s="5">
        <v>6900</v>
      </c>
      <c r="F1178" s="5">
        <v>182</v>
      </c>
      <c r="G1178" s="5">
        <v>8670</v>
      </c>
    </row>
    <row r="1179" spans="1:7" x14ac:dyDescent="0.2">
      <c r="A1179">
        <v>383</v>
      </c>
      <c r="B1179" t="s">
        <v>113</v>
      </c>
      <c r="C1179" t="s">
        <v>712</v>
      </c>
      <c r="D1179" s="5">
        <v>5304</v>
      </c>
      <c r="E1179" s="5">
        <v>73389</v>
      </c>
      <c r="F1179" s="5">
        <v>0</v>
      </c>
      <c r="G1179" s="5">
        <v>78693</v>
      </c>
    </row>
    <row r="1180" spans="1:7" x14ac:dyDescent="0.2">
      <c r="A1180">
        <v>384</v>
      </c>
      <c r="B1180" t="s">
        <v>131</v>
      </c>
      <c r="C1180" t="s">
        <v>700</v>
      </c>
      <c r="D1180" s="5">
        <v>22529</v>
      </c>
      <c r="E1180" s="5">
        <v>84788</v>
      </c>
      <c r="F1180" s="5">
        <v>3287</v>
      </c>
      <c r="G1180" s="5">
        <v>110605</v>
      </c>
    </row>
    <row r="1181" spans="1:7" x14ac:dyDescent="0.2">
      <c r="A1181">
        <v>384</v>
      </c>
      <c r="B1181" t="s">
        <v>131</v>
      </c>
      <c r="C1181" t="s">
        <v>701</v>
      </c>
      <c r="D1181" s="5">
        <v>1834</v>
      </c>
      <c r="E1181" s="5">
        <v>18133</v>
      </c>
      <c r="F1181" s="5">
        <v>170</v>
      </c>
      <c r="G1181" s="5">
        <v>20137</v>
      </c>
    </row>
    <row r="1182" spans="1:7" x14ac:dyDescent="0.2">
      <c r="A1182">
        <v>384</v>
      </c>
      <c r="B1182" t="s">
        <v>131</v>
      </c>
      <c r="C1182" t="s">
        <v>703</v>
      </c>
      <c r="D1182" s="5">
        <v>1385</v>
      </c>
      <c r="E1182" s="5">
        <v>6263</v>
      </c>
      <c r="F1182" s="5">
        <v>0</v>
      </c>
      <c r="G1182" s="5">
        <v>7648</v>
      </c>
    </row>
    <row r="1183" spans="1:7" x14ac:dyDescent="0.2">
      <c r="A1183">
        <v>384</v>
      </c>
      <c r="B1183" t="s">
        <v>131</v>
      </c>
      <c r="C1183" t="s">
        <v>704</v>
      </c>
      <c r="D1183" s="5">
        <v>1937</v>
      </c>
      <c r="E1183" s="5">
        <v>66629</v>
      </c>
      <c r="F1183" s="5">
        <v>323</v>
      </c>
      <c r="G1183" s="5">
        <v>68889</v>
      </c>
    </row>
    <row r="1184" spans="1:7" x14ac:dyDescent="0.2">
      <c r="A1184">
        <v>384</v>
      </c>
      <c r="B1184" t="s">
        <v>131</v>
      </c>
      <c r="C1184" t="s">
        <v>705</v>
      </c>
      <c r="D1184" s="5">
        <v>4869</v>
      </c>
      <c r="E1184" s="5">
        <v>80436</v>
      </c>
      <c r="F1184" s="5">
        <v>0</v>
      </c>
      <c r="G1184" s="5">
        <v>85306</v>
      </c>
    </row>
    <row r="1185" spans="1:7" x14ac:dyDescent="0.2">
      <c r="A1185">
        <v>384</v>
      </c>
      <c r="B1185" t="s">
        <v>131</v>
      </c>
      <c r="C1185" t="s">
        <v>706</v>
      </c>
      <c r="D1185" s="5">
        <v>42</v>
      </c>
      <c r="E1185" s="5">
        <v>0</v>
      </c>
      <c r="F1185" s="5">
        <v>0</v>
      </c>
      <c r="G1185" s="5">
        <v>42</v>
      </c>
    </row>
    <row r="1186" spans="1:7" x14ac:dyDescent="0.2">
      <c r="A1186">
        <v>384</v>
      </c>
      <c r="B1186" t="s">
        <v>131</v>
      </c>
      <c r="C1186" t="s">
        <v>707</v>
      </c>
      <c r="D1186" s="5">
        <v>0</v>
      </c>
      <c r="E1186" s="5">
        <v>1718</v>
      </c>
      <c r="F1186" s="5">
        <v>0</v>
      </c>
      <c r="G1186" s="5">
        <v>1718</v>
      </c>
    </row>
    <row r="1187" spans="1:7" x14ac:dyDescent="0.2">
      <c r="A1187">
        <v>384</v>
      </c>
      <c r="B1187" t="s">
        <v>131</v>
      </c>
      <c r="C1187" t="s">
        <v>708</v>
      </c>
      <c r="D1187" s="5">
        <v>2759</v>
      </c>
      <c r="E1187" s="5">
        <v>21714</v>
      </c>
      <c r="F1187" s="5">
        <v>0</v>
      </c>
      <c r="G1187" s="5">
        <v>24473</v>
      </c>
    </row>
    <row r="1188" spans="1:7" x14ac:dyDescent="0.2">
      <c r="A1188">
        <v>384</v>
      </c>
      <c r="B1188" t="s">
        <v>131</v>
      </c>
      <c r="C1188" t="s">
        <v>709</v>
      </c>
      <c r="D1188" s="5">
        <v>6703</v>
      </c>
      <c r="E1188" s="5">
        <v>97965</v>
      </c>
      <c r="F1188" s="5">
        <v>1472</v>
      </c>
      <c r="G1188" s="5">
        <v>106140</v>
      </c>
    </row>
    <row r="1189" spans="1:7" x14ac:dyDescent="0.2">
      <c r="A1189">
        <v>384</v>
      </c>
      <c r="B1189" t="s">
        <v>131</v>
      </c>
      <c r="C1189" t="s">
        <v>710</v>
      </c>
      <c r="D1189" s="5">
        <v>507</v>
      </c>
      <c r="E1189" s="5">
        <v>10526</v>
      </c>
      <c r="F1189" s="5">
        <v>0</v>
      </c>
      <c r="G1189" s="5">
        <v>11034</v>
      </c>
    </row>
    <row r="1190" spans="1:7" x14ac:dyDescent="0.2">
      <c r="A1190">
        <v>384</v>
      </c>
      <c r="B1190" t="s">
        <v>131</v>
      </c>
      <c r="C1190" t="s">
        <v>712</v>
      </c>
      <c r="D1190" s="5">
        <v>1751</v>
      </c>
      <c r="E1190" s="5">
        <v>19693</v>
      </c>
      <c r="F1190" s="5">
        <v>0</v>
      </c>
      <c r="G1190" s="5">
        <v>21444</v>
      </c>
    </row>
    <row r="1191" spans="1:7" x14ac:dyDescent="0.2">
      <c r="A1191">
        <v>385</v>
      </c>
      <c r="B1191" t="s">
        <v>157</v>
      </c>
      <c r="C1191" t="s">
        <v>700</v>
      </c>
      <c r="D1191" s="5">
        <v>120226</v>
      </c>
      <c r="E1191" s="5">
        <v>181550</v>
      </c>
      <c r="F1191" s="5">
        <v>3389</v>
      </c>
      <c r="G1191" s="5">
        <v>305164</v>
      </c>
    </row>
    <row r="1192" spans="1:7" x14ac:dyDescent="0.2">
      <c r="A1192">
        <v>385</v>
      </c>
      <c r="B1192" t="s">
        <v>157</v>
      </c>
      <c r="C1192" t="s">
        <v>701</v>
      </c>
      <c r="D1192" s="5">
        <v>18546</v>
      </c>
      <c r="E1192" s="5">
        <v>16974</v>
      </c>
      <c r="F1192" s="5">
        <v>0</v>
      </c>
      <c r="G1192" s="5">
        <v>35519</v>
      </c>
    </row>
    <row r="1193" spans="1:7" x14ac:dyDescent="0.2">
      <c r="A1193">
        <v>385</v>
      </c>
      <c r="B1193" t="s">
        <v>157</v>
      </c>
      <c r="C1193" t="s">
        <v>703</v>
      </c>
      <c r="D1193" s="5">
        <v>2007</v>
      </c>
      <c r="E1193" s="5">
        <v>4674</v>
      </c>
      <c r="F1193" s="5">
        <v>0</v>
      </c>
      <c r="G1193" s="5">
        <v>6681</v>
      </c>
    </row>
    <row r="1194" spans="1:7" x14ac:dyDescent="0.2">
      <c r="A1194">
        <v>385</v>
      </c>
      <c r="B1194" t="s">
        <v>157</v>
      </c>
      <c r="C1194" t="s">
        <v>704</v>
      </c>
      <c r="D1194" s="5">
        <v>28428</v>
      </c>
      <c r="E1194" s="5">
        <v>262548</v>
      </c>
      <c r="F1194" s="5">
        <v>1617</v>
      </c>
      <c r="G1194" s="5">
        <v>292593</v>
      </c>
    </row>
    <row r="1195" spans="1:7" x14ac:dyDescent="0.2">
      <c r="A1195">
        <v>385</v>
      </c>
      <c r="B1195" t="s">
        <v>157</v>
      </c>
      <c r="C1195" t="s">
        <v>705</v>
      </c>
      <c r="D1195" s="5">
        <v>6437</v>
      </c>
      <c r="E1195" s="5">
        <v>29537</v>
      </c>
      <c r="F1195" s="5">
        <v>0</v>
      </c>
      <c r="G1195" s="5">
        <v>35974</v>
      </c>
    </row>
    <row r="1196" spans="1:7" x14ac:dyDescent="0.2">
      <c r="A1196">
        <v>385</v>
      </c>
      <c r="B1196" t="s">
        <v>157</v>
      </c>
      <c r="C1196" t="s">
        <v>707</v>
      </c>
      <c r="D1196" s="5">
        <v>2798</v>
      </c>
      <c r="E1196" s="5">
        <v>4054</v>
      </c>
      <c r="F1196" s="5">
        <v>0</v>
      </c>
      <c r="G1196" s="5">
        <v>6852</v>
      </c>
    </row>
    <row r="1197" spans="1:7" x14ac:dyDescent="0.2">
      <c r="A1197">
        <v>385</v>
      </c>
      <c r="B1197" t="s">
        <v>157</v>
      </c>
      <c r="C1197" t="s">
        <v>708</v>
      </c>
      <c r="D1197" s="5">
        <v>2235</v>
      </c>
      <c r="E1197" s="5">
        <v>32057</v>
      </c>
      <c r="F1197" s="5">
        <v>0</v>
      </c>
      <c r="G1197" s="5">
        <v>34292</v>
      </c>
    </row>
    <row r="1198" spans="1:7" x14ac:dyDescent="0.2">
      <c r="A1198">
        <v>385</v>
      </c>
      <c r="B1198" t="s">
        <v>157</v>
      </c>
      <c r="C1198" t="s">
        <v>709</v>
      </c>
      <c r="D1198" s="5">
        <v>7571</v>
      </c>
      <c r="E1198" s="5">
        <v>15520</v>
      </c>
      <c r="F1198" s="5">
        <v>21</v>
      </c>
      <c r="G1198" s="5">
        <v>23112</v>
      </c>
    </row>
    <row r="1199" spans="1:7" x14ac:dyDescent="0.2">
      <c r="A1199">
        <v>385</v>
      </c>
      <c r="B1199" t="s">
        <v>157</v>
      </c>
      <c r="C1199" t="s">
        <v>710</v>
      </c>
      <c r="D1199" s="5">
        <v>2158</v>
      </c>
      <c r="E1199" s="5">
        <v>23455</v>
      </c>
      <c r="F1199" s="5">
        <v>0</v>
      </c>
      <c r="G1199" s="5">
        <v>25613</v>
      </c>
    </row>
    <row r="1200" spans="1:7" x14ac:dyDescent="0.2">
      <c r="A1200">
        <v>385</v>
      </c>
      <c r="B1200" t="s">
        <v>157</v>
      </c>
      <c r="C1200" t="s">
        <v>712</v>
      </c>
      <c r="D1200" s="5">
        <v>15665</v>
      </c>
      <c r="E1200" s="5">
        <v>52810</v>
      </c>
      <c r="F1200" s="5">
        <v>44</v>
      </c>
      <c r="G1200" s="5">
        <v>68520</v>
      </c>
    </row>
    <row r="1201" spans="1:7" x14ac:dyDescent="0.2">
      <c r="A1201">
        <v>388</v>
      </c>
      <c r="B1201" t="s">
        <v>175</v>
      </c>
      <c r="C1201" t="s">
        <v>700</v>
      </c>
      <c r="D1201" s="5">
        <v>183940</v>
      </c>
      <c r="E1201" s="5">
        <v>152742</v>
      </c>
      <c r="F1201" s="5">
        <v>15294</v>
      </c>
      <c r="G1201" s="5">
        <v>351976</v>
      </c>
    </row>
    <row r="1202" spans="1:7" x14ac:dyDescent="0.2">
      <c r="A1202">
        <v>388</v>
      </c>
      <c r="B1202" t="s">
        <v>175</v>
      </c>
      <c r="C1202" t="s">
        <v>701</v>
      </c>
      <c r="D1202" s="5">
        <v>17030</v>
      </c>
      <c r="E1202" s="5">
        <v>10904</v>
      </c>
      <c r="F1202" s="5">
        <v>59</v>
      </c>
      <c r="G1202" s="5">
        <v>27993</v>
      </c>
    </row>
    <row r="1203" spans="1:7" x14ac:dyDescent="0.2">
      <c r="A1203">
        <v>388</v>
      </c>
      <c r="B1203" t="s">
        <v>175</v>
      </c>
      <c r="C1203" t="s">
        <v>703</v>
      </c>
      <c r="D1203" s="5">
        <v>1224</v>
      </c>
      <c r="E1203" s="5">
        <v>5662</v>
      </c>
      <c r="F1203" s="5">
        <v>0</v>
      </c>
      <c r="G1203" s="5">
        <v>6886</v>
      </c>
    </row>
    <row r="1204" spans="1:7" x14ac:dyDescent="0.2">
      <c r="A1204">
        <v>388</v>
      </c>
      <c r="B1204" t="s">
        <v>175</v>
      </c>
      <c r="C1204" t="s">
        <v>704</v>
      </c>
      <c r="D1204" s="5">
        <v>13703</v>
      </c>
      <c r="E1204" s="5">
        <v>220654</v>
      </c>
      <c r="F1204" s="5">
        <v>3294</v>
      </c>
      <c r="G1204" s="5">
        <v>237652</v>
      </c>
    </row>
    <row r="1205" spans="1:7" x14ac:dyDescent="0.2">
      <c r="A1205">
        <v>388</v>
      </c>
      <c r="B1205" t="s">
        <v>175</v>
      </c>
      <c r="C1205" t="s">
        <v>705</v>
      </c>
      <c r="D1205" s="5">
        <v>3310</v>
      </c>
      <c r="E1205" s="5">
        <v>29793</v>
      </c>
      <c r="F1205" s="5">
        <v>166</v>
      </c>
      <c r="G1205" s="5">
        <v>33270</v>
      </c>
    </row>
    <row r="1206" spans="1:7" x14ac:dyDescent="0.2">
      <c r="A1206">
        <v>388</v>
      </c>
      <c r="B1206" t="s">
        <v>175</v>
      </c>
      <c r="C1206" t="s">
        <v>707</v>
      </c>
      <c r="D1206" s="5">
        <v>2217</v>
      </c>
      <c r="E1206" s="5">
        <v>1819</v>
      </c>
      <c r="F1206" s="5">
        <v>484</v>
      </c>
      <c r="G1206" s="5">
        <v>4520</v>
      </c>
    </row>
    <row r="1207" spans="1:7" x14ac:dyDescent="0.2">
      <c r="A1207">
        <v>388</v>
      </c>
      <c r="B1207" t="s">
        <v>175</v>
      </c>
      <c r="C1207" t="s">
        <v>708</v>
      </c>
      <c r="D1207" s="5">
        <v>565</v>
      </c>
      <c r="E1207" s="5">
        <v>14537</v>
      </c>
      <c r="F1207" s="5">
        <v>1371</v>
      </c>
      <c r="G1207" s="5">
        <v>16472</v>
      </c>
    </row>
    <row r="1208" spans="1:7" x14ac:dyDescent="0.2">
      <c r="A1208">
        <v>388</v>
      </c>
      <c r="B1208" t="s">
        <v>175</v>
      </c>
      <c r="C1208" t="s">
        <v>709</v>
      </c>
      <c r="D1208" s="5">
        <v>2422</v>
      </c>
      <c r="E1208" s="5">
        <v>8625</v>
      </c>
      <c r="F1208" s="5">
        <v>44</v>
      </c>
      <c r="G1208" s="5">
        <v>11091</v>
      </c>
    </row>
    <row r="1209" spans="1:7" x14ac:dyDescent="0.2">
      <c r="A1209">
        <v>388</v>
      </c>
      <c r="B1209" t="s">
        <v>175</v>
      </c>
      <c r="C1209" t="s">
        <v>710</v>
      </c>
      <c r="D1209" s="5">
        <v>134</v>
      </c>
      <c r="E1209" s="5">
        <v>12175</v>
      </c>
      <c r="F1209" s="5">
        <v>0</v>
      </c>
      <c r="G1209" s="5">
        <v>12309</v>
      </c>
    </row>
    <row r="1210" spans="1:7" x14ac:dyDescent="0.2">
      <c r="A1210">
        <v>388</v>
      </c>
      <c r="B1210" t="s">
        <v>175</v>
      </c>
      <c r="C1210" t="s">
        <v>712</v>
      </c>
      <c r="D1210" s="5">
        <v>17265</v>
      </c>
      <c r="E1210" s="5">
        <v>74926</v>
      </c>
      <c r="F1210" s="5">
        <v>843</v>
      </c>
      <c r="G1210" s="5">
        <v>93034</v>
      </c>
    </row>
    <row r="1211" spans="1:7" x14ac:dyDescent="0.2">
      <c r="A1211">
        <v>392</v>
      </c>
      <c r="B1211" t="s">
        <v>217</v>
      </c>
      <c r="C1211" t="s">
        <v>700</v>
      </c>
      <c r="D1211" s="5">
        <v>179640</v>
      </c>
      <c r="E1211" s="5">
        <v>653177</v>
      </c>
      <c r="F1211" s="5">
        <v>7866</v>
      </c>
      <c r="G1211" s="5">
        <v>840683</v>
      </c>
    </row>
    <row r="1212" spans="1:7" x14ac:dyDescent="0.2">
      <c r="A1212">
        <v>392</v>
      </c>
      <c r="B1212" t="s">
        <v>217</v>
      </c>
      <c r="C1212" t="s">
        <v>701</v>
      </c>
      <c r="D1212" s="5">
        <v>40667</v>
      </c>
      <c r="E1212" s="5">
        <v>76824</v>
      </c>
      <c r="F1212" s="5">
        <v>625</v>
      </c>
      <c r="G1212" s="5">
        <v>118116</v>
      </c>
    </row>
    <row r="1213" spans="1:7" x14ac:dyDescent="0.2">
      <c r="A1213">
        <v>392</v>
      </c>
      <c r="B1213" t="s">
        <v>217</v>
      </c>
      <c r="C1213" t="s">
        <v>703</v>
      </c>
      <c r="D1213" s="5">
        <v>3172</v>
      </c>
      <c r="E1213" s="5">
        <v>27436</v>
      </c>
      <c r="F1213" s="5">
        <v>138</v>
      </c>
      <c r="G1213" s="5">
        <v>30746</v>
      </c>
    </row>
    <row r="1214" spans="1:7" x14ac:dyDescent="0.2">
      <c r="A1214">
        <v>392</v>
      </c>
      <c r="B1214" t="s">
        <v>217</v>
      </c>
      <c r="C1214" t="s">
        <v>704</v>
      </c>
      <c r="D1214" s="5">
        <v>43846</v>
      </c>
      <c r="E1214" s="5">
        <v>486756</v>
      </c>
      <c r="F1214" s="5">
        <v>2792</v>
      </c>
      <c r="G1214" s="5">
        <v>533394</v>
      </c>
    </row>
    <row r="1215" spans="1:7" x14ac:dyDescent="0.2">
      <c r="A1215">
        <v>392</v>
      </c>
      <c r="B1215" t="s">
        <v>217</v>
      </c>
      <c r="C1215" t="s">
        <v>705</v>
      </c>
      <c r="D1215" s="5">
        <v>40788</v>
      </c>
      <c r="E1215" s="5">
        <v>184662</v>
      </c>
      <c r="F1215" s="5">
        <v>0</v>
      </c>
      <c r="G1215" s="5">
        <v>225450</v>
      </c>
    </row>
    <row r="1216" spans="1:7" x14ac:dyDescent="0.2">
      <c r="A1216">
        <v>392</v>
      </c>
      <c r="B1216" t="s">
        <v>217</v>
      </c>
      <c r="C1216" t="s">
        <v>706</v>
      </c>
      <c r="D1216" s="5">
        <v>18</v>
      </c>
      <c r="E1216" s="5">
        <v>7</v>
      </c>
      <c r="F1216" s="5">
        <v>0</v>
      </c>
      <c r="G1216" s="5">
        <v>25</v>
      </c>
    </row>
    <row r="1217" spans="1:7" x14ac:dyDescent="0.2">
      <c r="A1217">
        <v>392</v>
      </c>
      <c r="B1217" t="s">
        <v>217</v>
      </c>
      <c r="C1217" t="s">
        <v>707</v>
      </c>
      <c r="D1217" s="5">
        <v>1500</v>
      </c>
      <c r="E1217" s="5">
        <v>16640</v>
      </c>
      <c r="F1217" s="5">
        <v>0</v>
      </c>
      <c r="G1217" s="5">
        <v>18141</v>
      </c>
    </row>
    <row r="1218" spans="1:7" x14ac:dyDescent="0.2">
      <c r="A1218">
        <v>392</v>
      </c>
      <c r="B1218" t="s">
        <v>217</v>
      </c>
      <c r="C1218" t="s">
        <v>708</v>
      </c>
      <c r="D1218" s="5">
        <v>25039</v>
      </c>
      <c r="E1218" s="5">
        <v>145798</v>
      </c>
      <c r="F1218" s="5">
        <v>0</v>
      </c>
      <c r="G1218" s="5">
        <v>170837</v>
      </c>
    </row>
    <row r="1219" spans="1:7" x14ac:dyDescent="0.2">
      <c r="A1219">
        <v>392</v>
      </c>
      <c r="B1219" t="s">
        <v>217</v>
      </c>
      <c r="C1219" t="s">
        <v>709</v>
      </c>
      <c r="D1219" s="5">
        <v>32333</v>
      </c>
      <c r="E1219" s="5">
        <v>170030</v>
      </c>
      <c r="F1219" s="5">
        <v>3606</v>
      </c>
      <c r="G1219" s="5">
        <v>205969</v>
      </c>
    </row>
    <row r="1220" spans="1:7" x14ac:dyDescent="0.2">
      <c r="A1220">
        <v>392</v>
      </c>
      <c r="B1220" t="s">
        <v>217</v>
      </c>
      <c r="C1220" t="s">
        <v>710</v>
      </c>
      <c r="D1220" s="5">
        <v>4888</v>
      </c>
      <c r="E1220" s="5">
        <v>55139</v>
      </c>
      <c r="F1220" s="5">
        <v>0</v>
      </c>
      <c r="G1220" s="5">
        <v>60027</v>
      </c>
    </row>
    <row r="1221" spans="1:7" x14ac:dyDescent="0.2">
      <c r="A1221">
        <v>392</v>
      </c>
      <c r="B1221" t="s">
        <v>217</v>
      </c>
      <c r="C1221" t="s">
        <v>711</v>
      </c>
      <c r="D1221" s="5">
        <v>103</v>
      </c>
      <c r="E1221" s="5">
        <v>4190</v>
      </c>
      <c r="F1221" s="5">
        <v>0</v>
      </c>
      <c r="G1221" s="5">
        <v>4294</v>
      </c>
    </row>
    <row r="1222" spans="1:7" x14ac:dyDescent="0.2">
      <c r="A1222">
        <v>392</v>
      </c>
      <c r="B1222" t="s">
        <v>217</v>
      </c>
      <c r="C1222" t="s">
        <v>712</v>
      </c>
      <c r="D1222" s="5">
        <v>39232</v>
      </c>
      <c r="E1222" s="5">
        <v>151445</v>
      </c>
      <c r="F1222" s="5">
        <v>168</v>
      </c>
      <c r="G1222" s="5">
        <v>190846</v>
      </c>
    </row>
    <row r="1223" spans="1:7" x14ac:dyDescent="0.2">
      <c r="A1223">
        <v>394</v>
      </c>
      <c r="B1223" t="s">
        <v>219</v>
      </c>
      <c r="C1223" t="s">
        <v>700</v>
      </c>
      <c r="D1223" s="5">
        <v>694225</v>
      </c>
      <c r="E1223" s="5">
        <v>1682101</v>
      </c>
      <c r="F1223" s="5">
        <v>29496</v>
      </c>
      <c r="G1223" s="5">
        <v>2405823</v>
      </c>
    </row>
    <row r="1224" spans="1:7" x14ac:dyDescent="0.2">
      <c r="A1224">
        <v>394</v>
      </c>
      <c r="B1224" t="s">
        <v>219</v>
      </c>
      <c r="C1224" t="s">
        <v>701</v>
      </c>
      <c r="D1224" s="5">
        <v>17750</v>
      </c>
      <c r="E1224" s="5">
        <v>55765</v>
      </c>
      <c r="F1224" s="5">
        <v>1374</v>
      </c>
      <c r="G1224" s="5">
        <v>74890</v>
      </c>
    </row>
    <row r="1225" spans="1:7" x14ac:dyDescent="0.2">
      <c r="A1225">
        <v>394</v>
      </c>
      <c r="B1225" t="s">
        <v>219</v>
      </c>
      <c r="C1225" t="s">
        <v>702</v>
      </c>
      <c r="D1225" s="5">
        <v>0</v>
      </c>
      <c r="E1225" s="5">
        <v>35041</v>
      </c>
      <c r="F1225" s="5">
        <v>0</v>
      </c>
      <c r="G1225" s="5">
        <v>35041</v>
      </c>
    </row>
    <row r="1226" spans="1:7" x14ac:dyDescent="0.2">
      <c r="A1226">
        <v>394</v>
      </c>
      <c r="B1226" t="s">
        <v>219</v>
      </c>
      <c r="C1226" t="s">
        <v>703</v>
      </c>
      <c r="D1226" s="5">
        <v>5010</v>
      </c>
      <c r="E1226" s="5">
        <v>56239</v>
      </c>
      <c r="F1226" s="5">
        <v>0</v>
      </c>
      <c r="G1226" s="5">
        <v>61249</v>
      </c>
    </row>
    <row r="1227" spans="1:7" x14ac:dyDescent="0.2">
      <c r="A1227">
        <v>394</v>
      </c>
      <c r="B1227" t="s">
        <v>219</v>
      </c>
      <c r="C1227" t="s">
        <v>704</v>
      </c>
      <c r="D1227" s="5">
        <v>423553</v>
      </c>
      <c r="E1227" s="5">
        <v>2389360</v>
      </c>
      <c r="F1227" s="5">
        <v>458079</v>
      </c>
      <c r="G1227" s="5">
        <v>3270992</v>
      </c>
    </row>
    <row r="1228" spans="1:7" x14ac:dyDescent="0.2">
      <c r="A1228">
        <v>394</v>
      </c>
      <c r="B1228" t="s">
        <v>219</v>
      </c>
      <c r="C1228" t="s">
        <v>705</v>
      </c>
      <c r="D1228" s="5">
        <v>40899</v>
      </c>
      <c r="E1228" s="5">
        <v>719089</v>
      </c>
      <c r="F1228" s="5">
        <v>4088</v>
      </c>
      <c r="G1228" s="5">
        <v>764076</v>
      </c>
    </row>
    <row r="1229" spans="1:7" x14ac:dyDescent="0.2">
      <c r="A1229">
        <v>394</v>
      </c>
      <c r="B1229" t="s">
        <v>219</v>
      </c>
      <c r="C1229" t="s">
        <v>707</v>
      </c>
      <c r="D1229" s="5">
        <v>10847</v>
      </c>
      <c r="E1229" s="5">
        <v>103145</v>
      </c>
      <c r="F1229" s="5">
        <v>2677</v>
      </c>
      <c r="G1229" s="5">
        <v>116669</v>
      </c>
    </row>
    <row r="1230" spans="1:7" x14ac:dyDescent="0.2">
      <c r="A1230">
        <v>394</v>
      </c>
      <c r="B1230" t="s">
        <v>219</v>
      </c>
      <c r="C1230" t="s">
        <v>708</v>
      </c>
      <c r="D1230" s="5">
        <v>10979</v>
      </c>
      <c r="E1230" s="5">
        <v>160718</v>
      </c>
      <c r="F1230" s="5">
        <v>0</v>
      </c>
      <c r="G1230" s="5">
        <v>171697</v>
      </c>
    </row>
    <row r="1231" spans="1:7" x14ac:dyDescent="0.2">
      <c r="A1231">
        <v>394</v>
      </c>
      <c r="B1231" t="s">
        <v>219</v>
      </c>
      <c r="C1231" t="s">
        <v>709</v>
      </c>
      <c r="D1231" s="5">
        <v>97479</v>
      </c>
      <c r="E1231" s="5">
        <v>532587</v>
      </c>
      <c r="F1231" s="5">
        <v>8923</v>
      </c>
      <c r="G1231" s="5">
        <v>638989</v>
      </c>
    </row>
    <row r="1232" spans="1:7" x14ac:dyDescent="0.2">
      <c r="A1232">
        <v>394</v>
      </c>
      <c r="B1232" t="s">
        <v>219</v>
      </c>
      <c r="C1232" t="s">
        <v>710</v>
      </c>
      <c r="D1232" s="5">
        <v>4452</v>
      </c>
      <c r="E1232" s="5">
        <v>98116</v>
      </c>
      <c r="F1232" s="5">
        <v>1385</v>
      </c>
      <c r="G1232" s="5">
        <v>103953</v>
      </c>
    </row>
    <row r="1233" spans="1:7" x14ac:dyDescent="0.2">
      <c r="A1233">
        <v>394</v>
      </c>
      <c r="B1233" t="s">
        <v>219</v>
      </c>
      <c r="C1233" t="s">
        <v>711</v>
      </c>
      <c r="D1233" s="5">
        <v>47</v>
      </c>
      <c r="E1233" s="5">
        <v>0</v>
      </c>
      <c r="F1233" s="5">
        <v>0</v>
      </c>
      <c r="G1233" s="5">
        <v>47</v>
      </c>
    </row>
    <row r="1234" spans="1:7" x14ac:dyDescent="0.2">
      <c r="A1234">
        <v>394</v>
      </c>
      <c r="B1234" t="s">
        <v>219</v>
      </c>
      <c r="C1234" t="s">
        <v>712</v>
      </c>
      <c r="D1234" s="5">
        <v>19567</v>
      </c>
      <c r="E1234" s="5">
        <v>458596</v>
      </c>
      <c r="F1234" s="5">
        <v>744</v>
      </c>
      <c r="G1234" s="5">
        <v>478907</v>
      </c>
    </row>
    <row r="1235" spans="1:7" x14ac:dyDescent="0.2">
      <c r="A1235">
        <v>396</v>
      </c>
      <c r="B1235" t="s">
        <v>233</v>
      </c>
      <c r="C1235" t="s">
        <v>700</v>
      </c>
      <c r="D1235" s="5">
        <v>94898</v>
      </c>
      <c r="E1235" s="5">
        <v>197944</v>
      </c>
      <c r="F1235" s="5">
        <v>6768</v>
      </c>
      <c r="G1235" s="5">
        <v>299609</v>
      </c>
    </row>
    <row r="1236" spans="1:7" x14ac:dyDescent="0.2">
      <c r="A1236">
        <v>396</v>
      </c>
      <c r="B1236" t="s">
        <v>233</v>
      </c>
      <c r="C1236" t="s">
        <v>701</v>
      </c>
      <c r="D1236" s="5">
        <v>8295</v>
      </c>
      <c r="E1236" s="5">
        <v>16660</v>
      </c>
      <c r="F1236" s="5">
        <v>0</v>
      </c>
      <c r="G1236" s="5">
        <v>24954</v>
      </c>
    </row>
    <row r="1237" spans="1:7" x14ac:dyDescent="0.2">
      <c r="A1237">
        <v>396</v>
      </c>
      <c r="B1237" t="s">
        <v>233</v>
      </c>
      <c r="C1237" t="s">
        <v>703</v>
      </c>
      <c r="D1237" s="5">
        <v>982</v>
      </c>
      <c r="E1237" s="5">
        <v>22526</v>
      </c>
      <c r="F1237" s="5">
        <v>0</v>
      </c>
      <c r="G1237" s="5">
        <v>23508</v>
      </c>
    </row>
    <row r="1238" spans="1:7" x14ac:dyDescent="0.2">
      <c r="A1238">
        <v>396</v>
      </c>
      <c r="B1238" t="s">
        <v>233</v>
      </c>
      <c r="C1238" t="s">
        <v>704</v>
      </c>
      <c r="D1238" s="5">
        <v>152623</v>
      </c>
      <c r="E1238" s="5">
        <v>116034</v>
      </c>
      <c r="F1238" s="5">
        <v>275</v>
      </c>
      <c r="G1238" s="5">
        <v>268932</v>
      </c>
    </row>
    <row r="1239" spans="1:7" x14ac:dyDescent="0.2">
      <c r="A1239">
        <v>396</v>
      </c>
      <c r="B1239" t="s">
        <v>233</v>
      </c>
      <c r="C1239" t="s">
        <v>705</v>
      </c>
      <c r="D1239" s="5">
        <v>2097</v>
      </c>
      <c r="E1239" s="5">
        <v>41695</v>
      </c>
      <c r="F1239" s="5">
        <v>0</v>
      </c>
      <c r="G1239" s="5">
        <v>43792</v>
      </c>
    </row>
    <row r="1240" spans="1:7" x14ac:dyDescent="0.2">
      <c r="A1240">
        <v>396</v>
      </c>
      <c r="B1240" t="s">
        <v>233</v>
      </c>
      <c r="C1240" t="s">
        <v>707</v>
      </c>
      <c r="D1240" s="5">
        <v>2275</v>
      </c>
      <c r="E1240" s="5">
        <v>162</v>
      </c>
      <c r="F1240" s="5">
        <v>0</v>
      </c>
      <c r="G1240" s="5">
        <v>2438</v>
      </c>
    </row>
    <row r="1241" spans="1:7" x14ac:dyDescent="0.2">
      <c r="A1241">
        <v>396</v>
      </c>
      <c r="B1241" t="s">
        <v>233</v>
      </c>
      <c r="C1241" t="s">
        <v>708</v>
      </c>
      <c r="D1241" s="5">
        <v>0</v>
      </c>
      <c r="E1241" s="5">
        <v>20241</v>
      </c>
      <c r="F1241" s="5">
        <v>5910</v>
      </c>
      <c r="G1241" s="5">
        <v>26151</v>
      </c>
    </row>
    <row r="1242" spans="1:7" x14ac:dyDescent="0.2">
      <c r="A1242">
        <v>396</v>
      </c>
      <c r="B1242" t="s">
        <v>233</v>
      </c>
      <c r="C1242" t="s">
        <v>709</v>
      </c>
      <c r="D1242" s="5">
        <v>10503</v>
      </c>
      <c r="E1242" s="5">
        <v>55638</v>
      </c>
      <c r="F1242" s="5">
        <v>1484</v>
      </c>
      <c r="G1242" s="5">
        <v>67624</v>
      </c>
    </row>
    <row r="1243" spans="1:7" x14ac:dyDescent="0.2">
      <c r="A1243">
        <v>396</v>
      </c>
      <c r="B1243" t="s">
        <v>233</v>
      </c>
      <c r="C1243" t="s">
        <v>710</v>
      </c>
      <c r="D1243" s="5">
        <v>249</v>
      </c>
      <c r="E1243" s="5">
        <v>17216</v>
      </c>
      <c r="F1243" s="5">
        <v>7652</v>
      </c>
      <c r="G1243" s="5">
        <v>25116</v>
      </c>
    </row>
    <row r="1244" spans="1:7" x14ac:dyDescent="0.2">
      <c r="A1244">
        <v>396</v>
      </c>
      <c r="B1244" t="s">
        <v>233</v>
      </c>
      <c r="C1244" t="s">
        <v>712</v>
      </c>
      <c r="D1244" s="5">
        <v>8376</v>
      </c>
      <c r="E1244" s="5">
        <v>74356</v>
      </c>
      <c r="F1244" s="5">
        <v>197</v>
      </c>
      <c r="G1244" s="5">
        <v>82929</v>
      </c>
    </row>
    <row r="1245" spans="1:7" x14ac:dyDescent="0.2">
      <c r="A1245">
        <v>397</v>
      </c>
      <c r="B1245" t="s">
        <v>235</v>
      </c>
      <c r="C1245" t="s">
        <v>700</v>
      </c>
      <c r="D1245" s="5">
        <v>40785</v>
      </c>
      <c r="E1245" s="5">
        <v>106597</v>
      </c>
      <c r="F1245" s="5">
        <v>643</v>
      </c>
      <c r="G1245" s="5">
        <v>148024</v>
      </c>
    </row>
    <row r="1246" spans="1:7" x14ac:dyDescent="0.2">
      <c r="A1246">
        <v>397</v>
      </c>
      <c r="B1246" t="s">
        <v>235</v>
      </c>
      <c r="C1246" t="s">
        <v>701</v>
      </c>
      <c r="D1246" s="5">
        <v>6765</v>
      </c>
      <c r="E1246" s="5">
        <v>19052</v>
      </c>
      <c r="F1246" s="5">
        <v>0</v>
      </c>
      <c r="G1246" s="5">
        <v>25817</v>
      </c>
    </row>
    <row r="1247" spans="1:7" x14ac:dyDescent="0.2">
      <c r="A1247">
        <v>397</v>
      </c>
      <c r="B1247" t="s">
        <v>235</v>
      </c>
      <c r="C1247" t="s">
        <v>703</v>
      </c>
      <c r="D1247" s="5">
        <v>2911</v>
      </c>
      <c r="E1247" s="5">
        <v>11853</v>
      </c>
      <c r="F1247" s="5">
        <v>0</v>
      </c>
      <c r="G1247" s="5">
        <v>14764</v>
      </c>
    </row>
    <row r="1248" spans="1:7" x14ac:dyDescent="0.2">
      <c r="A1248">
        <v>397</v>
      </c>
      <c r="B1248" t="s">
        <v>235</v>
      </c>
      <c r="C1248" t="s">
        <v>704</v>
      </c>
      <c r="D1248" s="5">
        <v>1542</v>
      </c>
      <c r="E1248" s="5">
        <v>30422</v>
      </c>
      <c r="F1248" s="5">
        <v>0</v>
      </c>
      <c r="G1248" s="5">
        <v>31964</v>
      </c>
    </row>
    <row r="1249" spans="1:7" x14ac:dyDescent="0.2">
      <c r="A1249">
        <v>397</v>
      </c>
      <c r="B1249" t="s">
        <v>235</v>
      </c>
      <c r="C1249" t="s">
        <v>705</v>
      </c>
      <c r="D1249" s="5">
        <v>6214</v>
      </c>
      <c r="E1249" s="5">
        <v>24164</v>
      </c>
      <c r="F1249" s="5">
        <v>0</v>
      </c>
      <c r="G1249" s="5">
        <v>30378</v>
      </c>
    </row>
    <row r="1250" spans="1:7" x14ac:dyDescent="0.2">
      <c r="A1250">
        <v>397</v>
      </c>
      <c r="B1250" t="s">
        <v>235</v>
      </c>
      <c r="C1250" t="s">
        <v>708</v>
      </c>
      <c r="D1250" s="5">
        <v>5904</v>
      </c>
      <c r="E1250" s="5">
        <v>12940</v>
      </c>
      <c r="F1250" s="5">
        <v>0</v>
      </c>
      <c r="G1250" s="5">
        <v>18844</v>
      </c>
    </row>
    <row r="1251" spans="1:7" x14ac:dyDescent="0.2">
      <c r="A1251">
        <v>397</v>
      </c>
      <c r="B1251" t="s">
        <v>235</v>
      </c>
      <c r="C1251" t="s">
        <v>709</v>
      </c>
      <c r="D1251" s="5">
        <v>8290</v>
      </c>
      <c r="E1251" s="5">
        <v>62391</v>
      </c>
      <c r="F1251" s="5">
        <v>529</v>
      </c>
      <c r="G1251" s="5">
        <v>71210</v>
      </c>
    </row>
    <row r="1252" spans="1:7" x14ac:dyDescent="0.2">
      <c r="A1252">
        <v>397</v>
      </c>
      <c r="B1252" t="s">
        <v>235</v>
      </c>
      <c r="C1252" t="s">
        <v>710</v>
      </c>
      <c r="D1252" s="5">
        <v>110</v>
      </c>
      <c r="E1252" s="5">
        <v>15402</v>
      </c>
      <c r="F1252" s="5">
        <v>0</v>
      </c>
      <c r="G1252" s="5">
        <v>15512</v>
      </c>
    </row>
    <row r="1253" spans="1:7" x14ac:dyDescent="0.2">
      <c r="A1253">
        <v>397</v>
      </c>
      <c r="B1253" t="s">
        <v>235</v>
      </c>
      <c r="C1253" t="s">
        <v>712</v>
      </c>
      <c r="D1253" s="5">
        <v>8982</v>
      </c>
      <c r="E1253" s="5">
        <v>36899</v>
      </c>
      <c r="F1253" s="5">
        <v>0</v>
      </c>
      <c r="G1253" s="5">
        <v>45881</v>
      </c>
    </row>
    <row r="1254" spans="1:7" x14ac:dyDescent="0.2">
      <c r="A1254">
        <v>398</v>
      </c>
      <c r="B1254" s="9" t="s">
        <v>133</v>
      </c>
      <c r="C1254" t="s">
        <v>700</v>
      </c>
      <c r="D1254" s="5">
        <v>678771</v>
      </c>
      <c r="E1254" s="5">
        <v>732599</v>
      </c>
      <c r="F1254" s="5">
        <v>8789</v>
      </c>
      <c r="G1254" s="5">
        <v>1420159</v>
      </c>
    </row>
    <row r="1255" spans="1:7" x14ac:dyDescent="0.2">
      <c r="A1255">
        <v>398</v>
      </c>
      <c r="B1255" s="9" t="s">
        <v>133</v>
      </c>
      <c r="C1255" t="s">
        <v>701</v>
      </c>
      <c r="D1255" s="5">
        <v>4098</v>
      </c>
      <c r="E1255" s="5">
        <v>46431</v>
      </c>
      <c r="F1255" s="5">
        <v>105</v>
      </c>
      <c r="G1255" s="5">
        <v>50634</v>
      </c>
    </row>
    <row r="1256" spans="1:7" x14ac:dyDescent="0.2">
      <c r="A1256">
        <v>398</v>
      </c>
      <c r="B1256" s="9" t="s">
        <v>133</v>
      </c>
      <c r="C1256" t="s">
        <v>703</v>
      </c>
      <c r="D1256" s="5">
        <v>16533</v>
      </c>
      <c r="E1256" s="5">
        <v>10147</v>
      </c>
      <c r="F1256" s="5">
        <v>0</v>
      </c>
      <c r="G1256" s="5">
        <v>26680</v>
      </c>
    </row>
    <row r="1257" spans="1:7" x14ac:dyDescent="0.2">
      <c r="A1257">
        <v>398</v>
      </c>
      <c r="B1257" s="9" t="s">
        <v>133</v>
      </c>
      <c r="C1257" t="s">
        <v>704</v>
      </c>
      <c r="D1257" s="5">
        <v>439184</v>
      </c>
      <c r="E1257" s="5">
        <v>616403</v>
      </c>
      <c r="F1257" s="5">
        <v>545</v>
      </c>
      <c r="G1257" s="5">
        <v>1056132</v>
      </c>
    </row>
    <row r="1258" spans="1:7" x14ac:dyDescent="0.2">
      <c r="A1258">
        <v>398</v>
      </c>
      <c r="B1258" s="9" t="s">
        <v>133</v>
      </c>
      <c r="C1258" t="s">
        <v>705</v>
      </c>
      <c r="D1258" s="5">
        <v>22368</v>
      </c>
      <c r="E1258" s="5">
        <v>99051</v>
      </c>
      <c r="F1258" s="5">
        <v>13678</v>
      </c>
      <c r="G1258" s="5">
        <v>135098</v>
      </c>
    </row>
    <row r="1259" spans="1:7" x14ac:dyDescent="0.2">
      <c r="A1259">
        <v>398</v>
      </c>
      <c r="B1259" s="9" t="s">
        <v>133</v>
      </c>
      <c r="C1259" t="s">
        <v>707</v>
      </c>
      <c r="D1259" s="5">
        <v>322</v>
      </c>
      <c r="E1259" s="5">
        <v>4667</v>
      </c>
      <c r="F1259" s="5">
        <v>0</v>
      </c>
      <c r="G1259" s="5">
        <v>4989</v>
      </c>
    </row>
    <row r="1260" spans="1:7" x14ac:dyDescent="0.2">
      <c r="A1260">
        <v>398</v>
      </c>
      <c r="B1260" s="9" t="s">
        <v>133</v>
      </c>
      <c r="C1260" t="s">
        <v>708</v>
      </c>
      <c r="D1260" s="5">
        <v>2979</v>
      </c>
      <c r="E1260" s="5">
        <v>52687</v>
      </c>
      <c r="F1260" s="5">
        <v>0</v>
      </c>
      <c r="G1260" s="5">
        <v>55666</v>
      </c>
    </row>
    <row r="1261" spans="1:7" x14ac:dyDescent="0.2">
      <c r="A1261">
        <v>398</v>
      </c>
      <c r="B1261" s="9" t="s">
        <v>133</v>
      </c>
      <c r="C1261" t="s">
        <v>709</v>
      </c>
      <c r="D1261" s="5">
        <v>4178</v>
      </c>
      <c r="E1261" s="5">
        <v>51193</v>
      </c>
      <c r="F1261" s="5">
        <v>4</v>
      </c>
      <c r="G1261" s="5">
        <v>55375</v>
      </c>
    </row>
    <row r="1262" spans="1:7" x14ac:dyDescent="0.2">
      <c r="A1262">
        <v>398</v>
      </c>
      <c r="B1262" s="9" t="s">
        <v>133</v>
      </c>
      <c r="C1262" t="s">
        <v>710</v>
      </c>
      <c r="D1262" s="5">
        <v>0</v>
      </c>
      <c r="E1262" s="5">
        <v>28580</v>
      </c>
      <c r="F1262" s="5">
        <v>0</v>
      </c>
      <c r="G1262" s="5">
        <v>28580</v>
      </c>
    </row>
    <row r="1263" spans="1:7" x14ac:dyDescent="0.2">
      <c r="A1263">
        <v>398</v>
      </c>
      <c r="B1263" s="9" t="s">
        <v>133</v>
      </c>
      <c r="C1263" t="s">
        <v>712</v>
      </c>
      <c r="D1263" s="5">
        <v>8526</v>
      </c>
      <c r="E1263" s="5">
        <v>188577</v>
      </c>
      <c r="F1263" s="5">
        <v>3450</v>
      </c>
      <c r="G1263" s="5">
        <v>200552</v>
      </c>
    </row>
    <row r="1264" spans="1:7" x14ac:dyDescent="0.2">
      <c r="A1264">
        <v>399</v>
      </c>
      <c r="B1264" t="s">
        <v>245</v>
      </c>
      <c r="C1264" t="s">
        <v>700</v>
      </c>
      <c r="D1264" s="5">
        <v>118693</v>
      </c>
      <c r="E1264" s="5">
        <v>91238</v>
      </c>
      <c r="F1264" s="5">
        <v>3068</v>
      </c>
      <c r="G1264" s="5">
        <v>212999</v>
      </c>
    </row>
    <row r="1265" spans="1:7" x14ac:dyDescent="0.2">
      <c r="A1265">
        <v>399</v>
      </c>
      <c r="B1265" t="s">
        <v>245</v>
      </c>
      <c r="C1265" t="s">
        <v>701</v>
      </c>
      <c r="D1265" s="5">
        <v>6250</v>
      </c>
      <c r="E1265" s="5">
        <v>24549</v>
      </c>
      <c r="F1265" s="5">
        <v>0</v>
      </c>
      <c r="G1265" s="5">
        <v>30799</v>
      </c>
    </row>
    <row r="1266" spans="1:7" x14ac:dyDescent="0.2">
      <c r="A1266">
        <v>399</v>
      </c>
      <c r="B1266" t="s">
        <v>245</v>
      </c>
      <c r="C1266" t="s">
        <v>703</v>
      </c>
      <c r="D1266" s="5">
        <v>5559</v>
      </c>
      <c r="E1266" s="5">
        <v>24013</v>
      </c>
      <c r="F1266" s="5">
        <v>0</v>
      </c>
      <c r="G1266" s="5">
        <v>29571</v>
      </c>
    </row>
    <row r="1267" spans="1:7" x14ac:dyDescent="0.2">
      <c r="A1267">
        <v>399</v>
      </c>
      <c r="B1267" t="s">
        <v>245</v>
      </c>
      <c r="C1267" t="s">
        <v>704</v>
      </c>
      <c r="D1267" s="5">
        <v>14678</v>
      </c>
      <c r="E1267" s="5">
        <v>76437</v>
      </c>
      <c r="F1267" s="5">
        <v>155</v>
      </c>
      <c r="G1267" s="5">
        <v>91270</v>
      </c>
    </row>
    <row r="1268" spans="1:7" x14ac:dyDescent="0.2">
      <c r="A1268">
        <v>399</v>
      </c>
      <c r="B1268" t="s">
        <v>245</v>
      </c>
      <c r="C1268" t="s">
        <v>705</v>
      </c>
      <c r="D1268" s="5">
        <v>2511</v>
      </c>
      <c r="E1268" s="5">
        <v>11221</v>
      </c>
      <c r="F1268" s="5">
        <v>1962</v>
      </c>
      <c r="G1268" s="5">
        <v>15693</v>
      </c>
    </row>
    <row r="1269" spans="1:7" x14ac:dyDescent="0.2">
      <c r="A1269">
        <v>399</v>
      </c>
      <c r="B1269" t="s">
        <v>245</v>
      </c>
      <c r="C1269" t="s">
        <v>707</v>
      </c>
      <c r="D1269" s="5">
        <v>480</v>
      </c>
      <c r="E1269" s="5">
        <v>6003</v>
      </c>
      <c r="F1269" s="5">
        <v>0</v>
      </c>
      <c r="G1269" s="5">
        <v>6483</v>
      </c>
    </row>
    <row r="1270" spans="1:7" x14ac:dyDescent="0.2">
      <c r="A1270">
        <v>399</v>
      </c>
      <c r="B1270" t="s">
        <v>245</v>
      </c>
      <c r="C1270" t="s">
        <v>708</v>
      </c>
      <c r="D1270" s="5">
        <v>131</v>
      </c>
      <c r="E1270" s="5">
        <v>14050</v>
      </c>
      <c r="F1270" s="5">
        <v>0</v>
      </c>
      <c r="G1270" s="5">
        <v>14181</v>
      </c>
    </row>
    <row r="1271" spans="1:7" x14ac:dyDescent="0.2">
      <c r="A1271">
        <v>399</v>
      </c>
      <c r="B1271" t="s">
        <v>245</v>
      </c>
      <c r="C1271" t="s">
        <v>709</v>
      </c>
      <c r="D1271" s="5">
        <v>4592</v>
      </c>
      <c r="E1271" s="5">
        <v>19054</v>
      </c>
      <c r="F1271" s="5">
        <v>154</v>
      </c>
      <c r="G1271" s="5">
        <v>23800</v>
      </c>
    </row>
    <row r="1272" spans="1:7" x14ac:dyDescent="0.2">
      <c r="A1272">
        <v>399</v>
      </c>
      <c r="B1272" t="s">
        <v>245</v>
      </c>
      <c r="C1272" t="s">
        <v>710</v>
      </c>
      <c r="D1272" s="5">
        <v>559</v>
      </c>
      <c r="E1272" s="5">
        <v>6194</v>
      </c>
      <c r="F1272" s="5">
        <v>0</v>
      </c>
      <c r="G1272" s="5">
        <v>6753</v>
      </c>
    </row>
    <row r="1273" spans="1:7" x14ac:dyDescent="0.2">
      <c r="A1273">
        <v>399</v>
      </c>
      <c r="B1273" t="s">
        <v>245</v>
      </c>
      <c r="C1273" t="s">
        <v>712</v>
      </c>
      <c r="D1273" s="5">
        <v>6544</v>
      </c>
      <c r="E1273" s="5">
        <v>41292</v>
      </c>
      <c r="F1273" s="5">
        <v>0</v>
      </c>
      <c r="G1273" s="5">
        <v>47836</v>
      </c>
    </row>
    <row r="1274" spans="1:7" x14ac:dyDescent="0.2">
      <c r="A1274">
        <v>400</v>
      </c>
      <c r="B1274" t="s">
        <v>247</v>
      </c>
      <c r="C1274" t="s">
        <v>700</v>
      </c>
      <c r="D1274" s="5">
        <v>102508</v>
      </c>
      <c r="E1274" s="5">
        <v>297784</v>
      </c>
      <c r="F1274" s="5">
        <v>2108</v>
      </c>
      <c r="G1274" s="5">
        <v>402400</v>
      </c>
    </row>
    <row r="1275" spans="1:7" x14ac:dyDescent="0.2">
      <c r="A1275">
        <v>400</v>
      </c>
      <c r="B1275" t="s">
        <v>247</v>
      </c>
      <c r="C1275" t="s">
        <v>701</v>
      </c>
      <c r="D1275" s="5">
        <v>13333</v>
      </c>
      <c r="E1275" s="5">
        <v>98198</v>
      </c>
      <c r="F1275" s="5">
        <v>92</v>
      </c>
      <c r="G1275" s="5">
        <v>111623</v>
      </c>
    </row>
    <row r="1276" spans="1:7" x14ac:dyDescent="0.2">
      <c r="A1276">
        <v>400</v>
      </c>
      <c r="B1276" t="s">
        <v>247</v>
      </c>
      <c r="C1276" t="s">
        <v>703</v>
      </c>
      <c r="D1276" s="5">
        <v>1546</v>
      </c>
      <c r="E1276" s="5">
        <v>27457</v>
      </c>
      <c r="F1276" s="5">
        <v>0</v>
      </c>
      <c r="G1276" s="5">
        <v>29003</v>
      </c>
    </row>
    <row r="1277" spans="1:7" x14ac:dyDescent="0.2">
      <c r="A1277">
        <v>400</v>
      </c>
      <c r="B1277" t="s">
        <v>247</v>
      </c>
      <c r="C1277" t="s">
        <v>704</v>
      </c>
      <c r="D1277" s="5">
        <v>39561</v>
      </c>
      <c r="E1277" s="5">
        <v>375424</v>
      </c>
      <c r="F1277" s="5">
        <v>3190</v>
      </c>
      <c r="G1277" s="5">
        <v>418175</v>
      </c>
    </row>
    <row r="1278" spans="1:7" x14ac:dyDescent="0.2">
      <c r="A1278">
        <v>400</v>
      </c>
      <c r="B1278" t="s">
        <v>247</v>
      </c>
      <c r="C1278" t="s">
        <v>705</v>
      </c>
      <c r="D1278" s="5">
        <v>14263</v>
      </c>
      <c r="E1278" s="5">
        <v>96938</v>
      </c>
      <c r="F1278" s="5">
        <v>3710</v>
      </c>
      <c r="G1278" s="5">
        <v>114912</v>
      </c>
    </row>
    <row r="1279" spans="1:7" x14ac:dyDescent="0.2">
      <c r="A1279">
        <v>400</v>
      </c>
      <c r="B1279" t="s">
        <v>247</v>
      </c>
      <c r="C1279" t="s">
        <v>707</v>
      </c>
      <c r="D1279" s="5">
        <v>65233</v>
      </c>
      <c r="E1279" s="5">
        <v>59376</v>
      </c>
      <c r="F1279" s="5">
        <v>811</v>
      </c>
      <c r="G1279" s="5">
        <v>125420</v>
      </c>
    </row>
    <row r="1280" spans="1:7" x14ac:dyDescent="0.2">
      <c r="A1280">
        <v>400</v>
      </c>
      <c r="B1280" t="s">
        <v>247</v>
      </c>
      <c r="C1280" t="s">
        <v>708</v>
      </c>
      <c r="D1280" s="5">
        <v>8102</v>
      </c>
      <c r="E1280" s="5">
        <v>73196</v>
      </c>
      <c r="F1280" s="5">
        <v>0</v>
      </c>
      <c r="G1280" s="5">
        <v>81298</v>
      </c>
    </row>
    <row r="1281" spans="1:7" x14ac:dyDescent="0.2">
      <c r="A1281">
        <v>400</v>
      </c>
      <c r="B1281" t="s">
        <v>247</v>
      </c>
      <c r="C1281" t="s">
        <v>709</v>
      </c>
      <c r="D1281" s="5">
        <v>11728</v>
      </c>
      <c r="E1281" s="5">
        <v>112210</v>
      </c>
      <c r="F1281" s="5">
        <v>1318</v>
      </c>
      <c r="G1281" s="5">
        <v>125256</v>
      </c>
    </row>
    <row r="1282" spans="1:7" x14ac:dyDescent="0.2">
      <c r="A1282">
        <v>400</v>
      </c>
      <c r="B1282" t="s">
        <v>247</v>
      </c>
      <c r="C1282" t="s">
        <v>710</v>
      </c>
      <c r="D1282" s="5">
        <v>452</v>
      </c>
      <c r="E1282" s="5">
        <v>31274</v>
      </c>
      <c r="F1282" s="5">
        <v>119</v>
      </c>
      <c r="G1282" s="5">
        <v>31844</v>
      </c>
    </row>
    <row r="1283" spans="1:7" x14ac:dyDescent="0.2">
      <c r="A1283">
        <v>400</v>
      </c>
      <c r="B1283" t="s">
        <v>247</v>
      </c>
      <c r="C1283" t="s">
        <v>712</v>
      </c>
      <c r="D1283" s="5">
        <v>17322</v>
      </c>
      <c r="E1283" s="5">
        <v>168221</v>
      </c>
      <c r="F1283" s="5">
        <v>1597</v>
      </c>
      <c r="G1283" s="5">
        <v>187139</v>
      </c>
    </row>
    <row r="1284" spans="1:7" x14ac:dyDescent="0.2">
      <c r="A1284">
        <v>402</v>
      </c>
      <c r="B1284" t="s">
        <v>267</v>
      </c>
      <c r="C1284" t="s">
        <v>700</v>
      </c>
      <c r="D1284" s="5">
        <v>162871</v>
      </c>
      <c r="E1284" s="5">
        <v>269449</v>
      </c>
      <c r="F1284" s="5">
        <v>6650</v>
      </c>
      <c r="G1284" s="5">
        <v>438970</v>
      </c>
    </row>
    <row r="1285" spans="1:7" x14ac:dyDescent="0.2">
      <c r="A1285">
        <v>402</v>
      </c>
      <c r="B1285" t="s">
        <v>267</v>
      </c>
      <c r="C1285" t="s">
        <v>701</v>
      </c>
      <c r="D1285" s="5">
        <v>21121</v>
      </c>
      <c r="E1285" s="5">
        <v>62006</v>
      </c>
      <c r="F1285" s="5">
        <v>112</v>
      </c>
      <c r="G1285" s="5">
        <v>83239</v>
      </c>
    </row>
    <row r="1286" spans="1:7" x14ac:dyDescent="0.2">
      <c r="A1286">
        <v>402</v>
      </c>
      <c r="B1286" t="s">
        <v>267</v>
      </c>
      <c r="C1286" t="s">
        <v>703</v>
      </c>
      <c r="D1286" s="5">
        <v>6257</v>
      </c>
      <c r="E1286" s="5">
        <v>47858</v>
      </c>
      <c r="F1286" s="5">
        <v>0</v>
      </c>
      <c r="G1286" s="5">
        <v>54114</v>
      </c>
    </row>
    <row r="1287" spans="1:7" x14ac:dyDescent="0.2">
      <c r="A1287">
        <v>402</v>
      </c>
      <c r="B1287" t="s">
        <v>267</v>
      </c>
      <c r="C1287" t="s">
        <v>704</v>
      </c>
      <c r="D1287" s="5">
        <v>14996</v>
      </c>
      <c r="E1287" s="5">
        <v>155913</v>
      </c>
      <c r="F1287" s="5">
        <v>2286</v>
      </c>
      <c r="G1287" s="5">
        <v>173195</v>
      </c>
    </row>
    <row r="1288" spans="1:7" x14ac:dyDescent="0.2">
      <c r="A1288">
        <v>402</v>
      </c>
      <c r="B1288" t="s">
        <v>267</v>
      </c>
      <c r="C1288" t="s">
        <v>705</v>
      </c>
      <c r="D1288" s="5">
        <v>36938</v>
      </c>
      <c r="E1288" s="5">
        <v>273905</v>
      </c>
      <c r="F1288" s="5">
        <v>5736</v>
      </c>
      <c r="G1288" s="5">
        <v>316579</v>
      </c>
    </row>
    <row r="1289" spans="1:7" x14ac:dyDescent="0.2">
      <c r="A1289">
        <v>402</v>
      </c>
      <c r="B1289" t="s">
        <v>267</v>
      </c>
      <c r="C1289" t="s">
        <v>707</v>
      </c>
      <c r="D1289" s="5">
        <v>2302</v>
      </c>
      <c r="E1289" s="5">
        <v>13823</v>
      </c>
      <c r="F1289" s="5">
        <v>0</v>
      </c>
      <c r="G1289" s="5">
        <v>16126</v>
      </c>
    </row>
    <row r="1290" spans="1:7" x14ac:dyDescent="0.2">
      <c r="A1290">
        <v>402</v>
      </c>
      <c r="B1290" t="s">
        <v>267</v>
      </c>
      <c r="C1290" t="s">
        <v>708</v>
      </c>
      <c r="D1290" s="5">
        <v>9178</v>
      </c>
      <c r="E1290" s="5">
        <v>88605</v>
      </c>
      <c r="F1290" s="5">
        <v>0</v>
      </c>
      <c r="G1290" s="5">
        <v>97783</v>
      </c>
    </row>
    <row r="1291" spans="1:7" x14ac:dyDescent="0.2">
      <c r="A1291">
        <v>402</v>
      </c>
      <c r="B1291" t="s">
        <v>267</v>
      </c>
      <c r="C1291" t="s">
        <v>709</v>
      </c>
      <c r="D1291" s="5">
        <v>28875</v>
      </c>
      <c r="E1291" s="5">
        <v>234786</v>
      </c>
      <c r="F1291" s="5">
        <v>2069</v>
      </c>
      <c r="G1291" s="5">
        <v>265729</v>
      </c>
    </row>
    <row r="1292" spans="1:7" x14ac:dyDescent="0.2">
      <c r="A1292">
        <v>402</v>
      </c>
      <c r="B1292" t="s">
        <v>267</v>
      </c>
      <c r="C1292" t="s">
        <v>710</v>
      </c>
      <c r="D1292" s="5">
        <v>4450</v>
      </c>
      <c r="E1292" s="5">
        <v>36339</v>
      </c>
      <c r="F1292" s="5">
        <v>0</v>
      </c>
      <c r="G1292" s="5">
        <v>40789</v>
      </c>
    </row>
    <row r="1293" spans="1:7" x14ac:dyDescent="0.2">
      <c r="A1293">
        <v>402</v>
      </c>
      <c r="B1293" t="s">
        <v>267</v>
      </c>
      <c r="C1293" t="s">
        <v>711</v>
      </c>
      <c r="D1293" s="5">
        <v>323</v>
      </c>
      <c r="E1293" s="5">
        <v>0</v>
      </c>
      <c r="F1293" s="5">
        <v>0</v>
      </c>
      <c r="G1293" s="5">
        <v>323</v>
      </c>
    </row>
    <row r="1294" spans="1:7" x14ac:dyDescent="0.2">
      <c r="A1294">
        <v>402</v>
      </c>
      <c r="B1294" t="s">
        <v>267</v>
      </c>
      <c r="C1294" t="s">
        <v>712</v>
      </c>
      <c r="D1294" s="5">
        <v>37161</v>
      </c>
      <c r="E1294" s="5">
        <v>172794</v>
      </c>
      <c r="F1294" s="5">
        <v>1485</v>
      </c>
      <c r="G1294" s="5">
        <v>211440</v>
      </c>
    </row>
    <row r="1295" spans="1:7" x14ac:dyDescent="0.2">
      <c r="A1295">
        <v>405</v>
      </c>
      <c r="B1295" t="s">
        <v>279</v>
      </c>
      <c r="C1295" t="s">
        <v>700</v>
      </c>
      <c r="D1295" s="5">
        <v>67696</v>
      </c>
      <c r="E1295" s="5">
        <v>170764</v>
      </c>
      <c r="F1295" s="5">
        <v>3145</v>
      </c>
      <c r="G1295" s="5">
        <v>241606</v>
      </c>
    </row>
    <row r="1296" spans="1:7" x14ac:dyDescent="0.2">
      <c r="A1296">
        <v>405</v>
      </c>
      <c r="B1296" t="s">
        <v>279</v>
      </c>
      <c r="C1296" t="s">
        <v>701</v>
      </c>
      <c r="D1296" s="5">
        <v>20981</v>
      </c>
      <c r="E1296" s="5">
        <v>40346</v>
      </c>
      <c r="F1296" s="5">
        <v>0</v>
      </c>
      <c r="G1296" s="5">
        <v>61327</v>
      </c>
    </row>
    <row r="1297" spans="1:7" x14ac:dyDescent="0.2">
      <c r="A1297">
        <v>405</v>
      </c>
      <c r="B1297" t="s">
        <v>279</v>
      </c>
      <c r="C1297" t="s">
        <v>702</v>
      </c>
      <c r="D1297" s="5">
        <v>0</v>
      </c>
      <c r="E1297" s="5">
        <v>5955</v>
      </c>
      <c r="F1297" s="5">
        <v>0</v>
      </c>
      <c r="G1297" s="5">
        <v>5955</v>
      </c>
    </row>
    <row r="1298" spans="1:7" x14ac:dyDescent="0.2">
      <c r="A1298">
        <v>405</v>
      </c>
      <c r="B1298" t="s">
        <v>279</v>
      </c>
      <c r="C1298" t="s">
        <v>703</v>
      </c>
      <c r="D1298" s="5">
        <v>2300</v>
      </c>
      <c r="E1298" s="5">
        <v>37371</v>
      </c>
      <c r="F1298" s="5">
        <v>0</v>
      </c>
      <c r="G1298" s="5">
        <v>39670</v>
      </c>
    </row>
    <row r="1299" spans="1:7" x14ac:dyDescent="0.2">
      <c r="A1299">
        <v>405</v>
      </c>
      <c r="B1299" t="s">
        <v>279</v>
      </c>
      <c r="C1299" t="s">
        <v>704</v>
      </c>
      <c r="D1299" s="5">
        <v>15698</v>
      </c>
      <c r="E1299" s="5">
        <v>478486</v>
      </c>
      <c r="F1299" s="5">
        <v>4804</v>
      </c>
      <c r="G1299" s="5">
        <v>498989</v>
      </c>
    </row>
    <row r="1300" spans="1:7" x14ac:dyDescent="0.2">
      <c r="A1300">
        <v>405</v>
      </c>
      <c r="B1300" t="s">
        <v>279</v>
      </c>
      <c r="C1300" t="s">
        <v>705</v>
      </c>
      <c r="D1300" s="5">
        <v>13491</v>
      </c>
      <c r="E1300" s="5">
        <v>88903</v>
      </c>
      <c r="F1300" s="5">
        <v>737</v>
      </c>
      <c r="G1300" s="5">
        <v>103130</v>
      </c>
    </row>
    <row r="1301" spans="1:7" x14ac:dyDescent="0.2">
      <c r="A1301">
        <v>405</v>
      </c>
      <c r="B1301" t="s">
        <v>279</v>
      </c>
      <c r="C1301" t="s">
        <v>707</v>
      </c>
      <c r="D1301" s="5">
        <v>1739</v>
      </c>
      <c r="E1301" s="5">
        <v>1715</v>
      </c>
      <c r="F1301" s="5">
        <v>0</v>
      </c>
      <c r="G1301" s="5">
        <v>3454</v>
      </c>
    </row>
    <row r="1302" spans="1:7" x14ac:dyDescent="0.2">
      <c r="A1302">
        <v>405</v>
      </c>
      <c r="B1302" t="s">
        <v>279</v>
      </c>
      <c r="C1302" t="s">
        <v>708</v>
      </c>
      <c r="D1302" s="5">
        <v>6885</v>
      </c>
      <c r="E1302" s="5">
        <v>92901</v>
      </c>
      <c r="F1302" s="5">
        <v>0</v>
      </c>
      <c r="G1302" s="5">
        <v>99786</v>
      </c>
    </row>
    <row r="1303" spans="1:7" x14ac:dyDescent="0.2">
      <c r="A1303">
        <v>405</v>
      </c>
      <c r="B1303" t="s">
        <v>279</v>
      </c>
      <c r="C1303" t="s">
        <v>709</v>
      </c>
      <c r="D1303" s="5">
        <v>5641</v>
      </c>
      <c r="E1303" s="5">
        <v>26759</v>
      </c>
      <c r="F1303" s="5">
        <v>70</v>
      </c>
      <c r="G1303" s="5">
        <v>32470</v>
      </c>
    </row>
    <row r="1304" spans="1:7" x14ac:dyDescent="0.2">
      <c r="A1304">
        <v>405</v>
      </c>
      <c r="B1304" t="s">
        <v>279</v>
      </c>
      <c r="C1304" t="s">
        <v>710</v>
      </c>
      <c r="D1304" s="5">
        <v>2227</v>
      </c>
      <c r="E1304" s="5">
        <v>58356</v>
      </c>
      <c r="F1304" s="5">
        <v>0</v>
      </c>
      <c r="G1304" s="5">
        <v>60583</v>
      </c>
    </row>
    <row r="1305" spans="1:7" x14ac:dyDescent="0.2">
      <c r="A1305">
        <v>405</v>
      </c>
      <c r="B1305" t="s">
        <v>279</v>
      </c>
      <c r="C1305" t="s">
        <v>712</v>
      </c>
      <c r="D1305" s="5">
        <v>34141</v>
      </c>
      <c r="E1305" s="5">
        <v>308383</v>
      </c>
      <c r="F1305" s="5">
        <v>2307</v>
      </c>
      <c r="G1305" s="5">
        <v>344831</v>
      </c>
    </row>
    <row r="1306" spans="1:7" x14ac:dyDescent="0.2">
      <c r="A1306">
        <v>406</v>
      </c>
      <c r="B1306" t="s">
        <v>285</v>
      </c>
      <c r="C1306" t="s">
        <v>700</v>
      </c>
      <c r="D1306" s="5">
        <v>64285</v>
      </c>
      <c r="E1306" s="5">
        <v>106363</v>
      </c>
      <c r="F1306" s="5">
        <v>1499</v>
      </c>
      <c r="G1306" s="5">
        <v>172147</v>
      </c>
    </row>
    <row r="1307" spans="1:7" x14ac:dyDescent="0.2">
      <c r="A1307">
        <v>406</v>
      </c>
      <c r="B1307" t="s">
        <v>285</v>
      </c>
      <c r="C1307" t="s">
        <v>701</v>
      </c>
      <c r="D1307" s="5">
        <v>13021</v>
      </c>
      <c r="E1307" s="5">
        <v>23868</v>
      </c>
      <c r="F1307" s="5">
        <v>163</v>
      </c>
      <c r="G1307" s="5">
        <v>37052</v>
      </c>
    </row>
    <row r="1308" spans="1:7" x14ac:dyDescent="0.2">
      <c r="A1308">
        <v>406</v>
      </c>
      <c r="B1308" t="s">
        <v>285</v>
      </c>
      <c r="C1308" t="s">
        <v>703</v>
      </c>
      <c r="D1308" s="5">
        <v>1053</v>
      </c>
      <c r="E1308" s="5">
        <v>5933</v>
      </c>
      <c r="F1308" s="5">
        <v>210</v>
      </c>
      <c r="G1308" s="5">
        <v>7196</v>
      </c>
    </row>
    <row r="1309" spans="1:7" x14ac:dyDescent="0.2">
      <c r="A1309">
        <v>406</v>
      </c>
      <c r="B1309" t="s">
        <v>285</v>
      </c>
      <c r="C1309" t="s">
        <v>704</v>
      </c>
      <c r="D1309" s="5">
        <v>7617</v>
      </c>
      <c r="E1309" s="5">
        <v>92411</v>
      </c>
      <c r="F1309" s="5">
        <v>1196</v>
      </c>
      <c r="G1309" s="5">
        <v>101224</v>
      </c>
    </row>
    <row r="1310" spans="1:7" x14ac:dyDescent="0.2">
      <c r="A1310">
        <v>406</v>
      </c>
      <c r="B1310" t="s">
        <v>285</v>
      </c>
      <c r="C1310" t="s">
        <v>705</v>
      </c>
      <c r="D1310" s="5">
        <v>5890</v>
      </c>
      <c r="E1310" s="5">
        <v>37318</v>
      </c>
      <c r="F1310" s="5">
        <v>0</v>
      </c>
      <c r="G1310" s="5">
        <v>43208</v>
      </c>
    </row>
    <row r="1311" spans="1:7" x14ac:dyDescent="0.2">
      <c r="A1311">
        <v>406</v>
      </c>
      <c r="B1311" t="s">
        <v>285</v>
      </c>
      <c r="C1311" t="s">
        <v>707</v>
      </c>
      <c r="D1311" s="5">
        <v>1626</v>
      </c>
      <c r="E1311" s="5">
        <v>30</v>
      </c>
      <c r="F1311" s="5">
        <v>0</v>
      </c>
      <c r="G1311" s="5">
        <v>1656</v>
      </c>
    </row>
    <row r="1312" spans="1:7" x14ac:dyDescent="0.2">
      <c r="A1312">
        <v>406</v>
      </c>
      <c r="B1312" t="s">
        <v>285</v>
      </c>
      <c r="C1312" t="s">
        <v>708</v>
      </c>
      <c r="D1312" s="5">
        <v>3729</v>
      </c>
      <c r="E1312" s="5">
        <v>48718</v>
      </c>
      <c r="F1312" s="5">
        <v>0</v>
      </c>
      <c r="G1312" s="5">
        <v>52447</v>
      </c>
    </row>
    <row r="1313" spans="1:7" x14ac:dyDescent="0.2">
      <c r="A1313">
        <v>406</v>
      </c>
      <c r="B1313" t="s">
        <v>285</v>
      </c>
      <c r="C1313" t="s">
        <v>709</v>
      </c>
      <c r="D1313" s="5">
        <v>4917</v>
      </c>
      <c r="E1313" s="5">
        <v>29199</v>
      </c>
      <c r="F1313" s="5">
        <v>15</v>
      </c>
      <c r="G1313" s="5">
        <v>34132</v>
      </c>
    </row>
    <row r="1314" spans="1:7" x14ac:dyDescent="0.2">
      <c r="A1314">
        <v>406</v>
      </c>
      <c r="B1314" t="s">
        <v>285</v>
      </c>
      <c r="C1314" t="s">
        <v>710</v>
      </c>
      <c r="D1314" s="5">
        <v>17</v>
      </c>
      <c r="E1314" s="5">
        <v>19029</v>
      </c>
      <c r="F1314" s="5">
        <v>0</v>
      </c>
      <c r="G1314" s="5">
        <v>19046</v>
      </c>
    </row>
    <row r="1315" spans="1:7" x14ac:dyDescent="0.2">
      <c r="A1315">
        <v>406</v>
      </c>
      <c r="B1315" t="s">
        <v>285</v>
      </c>
      <c r="C1315" t="s">
        <v>712</v>
      </c>
      <c r="D1315" s="5">
        <v>7267</v>
      </c>
      <c r="E1315" s="5">
        <v>50961</v>
      </c>
      <c r="F1315" s="5">
        <v>0</v>
      </c>
      <c r="G1315" s="5">
        <v>58227</v>
      </c>
    </row>
    <row r="1316" spans="1:7" x14ac:dyDescent="0.2">
      <c r="A1316">
        <v>415</v>
      </c>
      <c r="B1316" t="s">
        <v>313</v>
      </c>
      <c r="C1316" t="s">
        <v>700</v>
      </c>
      <c r="D1316" s="5">
        <v>59903</v>
      </c>
      <c r="E1316" s="5">
        <v>63196</v>
      </c>
      <c r="F1316" s="5">
        <v>1112</v>
      </c>
      <c r="G1316" s="5">
        <v>124212</v>
      </c>
    </row>
    <row r="1317" spans="1:7" x14ac:dyDescent="0.2">
      <c r="A1317">
        <v>415</v>
      </c>
      <c r="B1317" t="s">
        <v>313</v>
      </c>
      <c r="C1317" t="s">
        <v>701</v>
      </c>
      <c r="D1317" s="5">
        <v>3655</v>
      </c>
      <c r="E1317" s="5">
        <v>6186</v>
      </c>
      <c r="F1317" s="5">
        <v>0</v>
      </c>
      <c r="G1317" s="5">
        <v>9840</v>
      </c>
    </row>
    <row r="1318" spans="1:7" x14ac:dyDescent="0.2">
      <c r="A1318">
        <v>415</v>
      </c>
      <c r="B1318" t="s">
        <v>313</v>
      </c>
      <c r="C1318" t="s">
        <v>703</v>
      </c>
      <c r="D1318" s="5">
        <v>1136</v>
      </c>
      <c r="E1318" s="5">
        <v>1750</v>
      </c>
      <c r="F1318" s="5">
        <v>0</v>
      </c>
      <c r="G1318" s="5">
        <v>2886</v>
      </c>
    </row>
    <row r="1319" spans="1:7" x14ac:dyDescent="0.2">
      <c r="A1319">
        <v>415</v>
      </c>
      <c r="B1319" t="s">
        <v>313</v>
      </c>
      <c r="C1319" t="s">
        <v>704</v>
      </c>
      <c r="D1319" s="5">
        <v>9521</v>
      </c>
      <c r="E1319" s="5">
        <v>18002</v>
      </c>
      <c r="F1319" s="5">
        <v>0</v>
      </c>
      <c r="G1319" s="5">
        <v>27523</v>
      </c>
    </row>
    <row r="1320" spans="1:7" x14ac:dyDescent="0.2">
      <c r="A1320">
        <v>415</v>
      </c>
      <c r="B1320" t="s">
        <v>313</v>
      </c>
      <c r="C1320" t="s">
        <v>705</v>
      </c>
      <c r="D1320" s="5">
        <v>4369</v>
      </c>
      <c r="E1320" s="5">
        <v>10586</v>
      </c>
      <c r="F1320" s="5">
        <v>0</v>
      </c>
      <c r="G1320" s="5">
        <v>14955</v>
      </c>
    </row>
    <row r="1321" spans="1:7" x14ac:dyDescent="0.2">
      <c r="A1321">
        <v>415</v>
      </c>
      <c r="B1321" t="s">
        <v>313</v>
      </c>
      <c r="C1321" t="s">
        <v>707</v>
      </c>
      <c r="D1321" s="5">
        <v>101</v>
      </c>
      <c r="E1321" s="5">
        <v>0</v>
      </c>
      <c r="F1321" s="5">
        <v>0</v>
      </c>
      <c r="G1321" s="5">
        <v>101</v>
      </c>
    </row>
    <row r="1322" spans="1:7" x14ac:dyDescent="0.2">
      <c r="A1322">
        <v>415</v>
      </c>
      <c r="B1322" t="s">
        <v>313</v>
      </c>
      <c r="C1322" t="s">
        <v>708</v>
      </c>
      <c r="D1322" s="5">
        <v>742</v>
      </c>
      <c r="E1322" s="5">
        <v>4952</v>
      </c>
      <c r="F1322" s="5">
        <v>0</v>
      </c>
      <c r="G1322" s="5">
        <v>5694</v>
      </c>
    </row>
    <row r="1323" spans="1:7" x14ac:dyDescent="0.2">
      <c r="A1323">
        <v>415</v>
      </c>
      <c r="B1323" t="s">
        <v>313</v>
      </c>
      <c r="C1323" t="s">
        <v>709</v>
      </c>
      <c r="D1323" s="5">
        <v>2611</v>
      </c>
      <c r="E1323" s="5">
        <v>8176</v>
      </c>
      <c r="F1323" s="5">
        <v>63</v>
      </c>
      <c r="G1323" s="5">
        <v>10850</v>
      </c>
    </row>
    <row r="1324" spans="1:7" x14ac:dyDescent="0.2">
      <c r="A1324">
        <v>415</v>
      </c>
      <c r="B1324" t="s">
        <v>313</v>
      </c>
      <c r="C1324" t="s">
        <v>710</v>
      </c>
      <c r="D1324" s="5">
        <v>120</v>
      </c>
      <c r="E1324" s="5">
        <v>6193</v>
      </c>
      <c r="F1324" s="5">
        <v>0</v>
      </c>
      <c r="G1324" s="5">
        <v>6314</v>
      </c>
    </row>
    <row r="1325" spans="1:7" x14ac:dyDescent="0.2">
      <c r="A1325">
        <v>415</v>
      </c>
      <c r="B1325" t="s">
        <v>313</v>
      </c>
      <c r="C1325" t="s">
        <v>712</v>
      </c>
      <c r="D1325" s="5">
        <v>3267</v>
      </c>
      <c r="E1325" s="5">
        <v>9867</v>
      </c>
      <c r="F1325" s="5">
        <v>0</v>
      </c>
      <c r="G1325" s="5">
        <v>13134</v>
      </c>
    </row>
    <row r="1326" spans="1:7" x14ac:dyDescent="0.2">
      <c r="A1326">
        <v>416</v>
      </c>
      <c r="B1326" s="9" t="s">
        <v>133</v>
      </c>
      <c r="C1326" t="s">
        <v>700</v>
      </c>
      <c r="D1326" s="5">
        <v>87573</v>
      </c>
      <c r="E1326" s="5">
        <v>145721</v>
      </c>
      <c r="F1326" s="5">
        <v>1327</v>
      </c>
      <c r="G1326" s="5">
        <v>234622</v>
      </c>
    </row>
    <row r="1327" spans="1:7" x14ac:dyDescent="0.2">
      <c r="A1327">
        <v>416</v>
      </c>
      <c r="B1327" s="9" t="s">
        <v>133</v>
      </c>
      <c r="C1327" t="s">
        <v>701</v>
      </c>
      <c r="D1327" s="5">
        <v>7867</v>
      </c>
      <c r="E1327" s="5">
        <v>8031</v>
      </c>
      <c r="F1327" s="5">
        <v>0</v>
      </c>
      <c r="G1327" s="5">
        <v>15899</v>
      </c>
    </row>
    <row r="1328" spans="1:7" x14ac:dyDescent="0.2">
      <c r="A1328">
        <v>416</v>
      </c>
      <c r="B1328" s="9" t="s">
        <v>133</v>
      </c>
      <c r="C1328" t="s">
        <v>703</v>
      </c>
      <c r="D1328" s="5">
        <v>688</v>
      </c>
      <c r="E1328" s="5">
        <v>8289</v>
      </c>
      <c r="F1328" s="5">
        <v>0</v>
      </c>
      <c r="G1328" s="5">
        <v>8977</v>
      </c>
    </row>
    <row r="1329" spans="1:7" x14ac:dyDescent="0.2">
      <c r="A1329">
        <v>416</v>
      </c>
      <c r="B1329" s="9" t="s">
        <v>133</v>
      </c>
      <c r="C1329" t="s">
        <v>704</v>
      </c>
      <c r="D1329" s="5">
        <v>48896</v>
      </c>
      <c r="E1329" s="5">
        <v>263876</v>
      </c>
      <c r="F1329" s="5">
        <v>942</v>
      </c>
      <c r="G1329" s="5">
        <v>313714</v>
      </c>
    </row>
    <row r="1330" spans="1:7" x14ac:dyDescent="0.2">
      <c r="A1330">
        <v>416</v>
      </c>
      <c r="B1330" s="9" t="s">
        <v>133</v>
      </c>
      <c r="C1330" t="s">
        <v>705</v>
      </c>
      <c r="D1330" s="5">
        <v>5325</v>
      </c>
      <c r="E1330" s="5">
        <v>59620</v>
      </c>
      <c r="F1330" s="5">
        <v>1055</v>
      </c>
      <c r="G1330" s="5">
        <v>66000</v>
      </c>
    </row>
    <row r="1331" spans="1:7" x14ac:dyDescent="0.2">
      <c r="A1331">
        <v>416</v>
      </c>
      <c r="B1331" s="9" t="s">
        <v>133</v>
      </c>
      <c r="C1331" t="s">
        <v>707</v>
      </c>
      <c r="D1331" s="5">
        <v>614</v>
      </c>
      <c r="E1331" s="5">
        <v>7230</v>
      </c>
      <c r="F1331" s="5">
        <v>0</v>
      </c>
      <c r="G1331" s="5">
        <v>7844</v>
      </c>
    </row>
    <row r="1332" spans="1:7" x14ac:dyDescent="0.2">
      <c r="A1332">
        <v>416</v>
      </c>
      <c r="B1332" s="9" t="s">
        <v>133</v>
      </c>
      <c r="C1332" t="s">
        <v>708</v>
      </c>
      <c r="D1332" s="5">
        <v>934</v>
      </c>
      <c r="E1332" s="5">
        <v>19742</v>
      </c>
      <c r="F1332" s="5">
        <v>0</v>
      </c>
      <c r="G1332" s="5">
        <v>20676</v>
      </c>
    </row>
    <row r="1333" spans="1:7" x14ac:dyDescent="0.2">
      <c r="A1333">
        <v>416</v>
      </c>
      <c r="B1333" s="9" t="s">
        <v>133</v>
      </c>
      <c r="C1333" t="s">
        <v>709</v>
      </c>
      <c r="D1333" s="5">
        <v>2077</v>
      </c>
      <c r="E1333" s="5">
        <v>8027</v>
      </c>
      <c r="F1333" s="5">
        <v>7</v>
      </c>
      <c r="G1333" s="5">
        <v>10110</v>
      </c>
    </row>
    <row r="1334" spans="1:7" x14ac:dyDescent="0.2">
      <c r="A1334">
        <v>416</v>
      </c>
      <c r="B1334" s="9" t="s">
        <v>133</v>
      </c>
      <c r="C1334" t="s">
        <v>710</v>
      </c>
      <c r="D1334" s="5">
        <v>668</v>
      </c>
      <c r="E1334" s="5">
        <v>19558</v>
      </c>
      <c r="F1334" s="5">
        <v>0</v>
      </c>
      <c r="G1334" s="5">
        <v>20226</v>
      </c>
    </row>
    <row r="1335" spans="1:7" x14ac:dyDescent="0.2">
      <c r="A1335">
        <v>416</v>
      </c>
      <c r="B1335" s="9" t="s">
        <v>133</v>
      </c>
      <c r="C1335" t="s">
        <v>712</v>
      </c>
      <c r="D1335" s="5">
        <v>4967</v>
      </c>
      <c r="E1335" s="5">
        <v>53970</v>
      </c>
      <c r="F1335" s="5">
        <v>0</v>
      </c>
      <c r="G1335" s="5">
        <v>58937</v>
      </c>
    </row>
    <row r="1336" spans="1:7" x14ac:dyDescent="0.2">
      <c r="A1336">
        <v>417</v>
      </c>
      <c r="B1336" t="s">
        <v>317</v>
      </c>
      <c r="C1336" t="s">
        <v>700</v>
      </c>
      <c r="D1336" s="5">
        <v>62749</v>
      </c>
      <c r="E1336" s="5">
        <v>45488</v>
      </c>
      <c r="F1336" s="5">
        <v>2597</v>
      </c>
      <c r="G1336" s="5">
        <v>110834</v>
      </c>
    </row>
    <row r="1337" spans="1:7" x14ac:dyDescent="0.2">
      <c r="A1337">
        <v>417</v>
      </c>
      <c r="B1337" t="s">
        <v>317</v>
      </c>
      <c r="C1337" t="s">
        <v>701</v>
      </c>
      <c r="D1337" s="5">
        <v>6844</v>
      </c>
      <c r="E1337" s="5">
        <v>8469</v>
      </c>
      <c r="F1337" s="5">
        <v>259</v>
      </c>
      <c r="G1337" s="5">
        <v>15572</v>
      </c>
    </row>
    <row r="1338" spans="1:7" x14ac:dyDescent="0.2">
      <c r="A1338">
        <v>417</v>
      </c>
      <c r="B1338" t="s">
        <v>317</v>
      </c>
      <c r="C1338" t="s">
        <v>703</v>
      </c>
      <c r="D1338" s="5">
        <v>2304</v>
      </c>
      <c r="E1338" s="5">
        <v>8628</v>
      </c>
      <c r="F1338" s="5">
        <v>0</v>
      </c>
      <c r="G1338" s="5">
        <v>10932</v>
      </c>
    </row>
    <row r="1339" spans="1:7" x14ac:dyDescent="0.2">
      <c r="A1339">
        <v>417</v>
      </c>
      <c r="B1339" t="s">
        <v>317</v>
      </c>
      <c r="C1339" t="s">
        <v>704</v>
      </c>
      <c r="D1339" s="5">
        <v>1674</v>
      </c>
      <c r="E1339" s="5">
        <v>4026</v>
      </c>
      <c r="F1339" s="5">
        <v>0</v>
      </c>
      <c r="G1339" s="5">
        <v>5699</v>
      </c>
    </row>
    <row r="1340" spans="1:7" x14ac:dyDescent="0.2">
      <c r="A1340">
        <v>417</v>
      </c>
      <c r="B1340" t="s">
        <v>317</v>
      </c>
      <c r="C1340" t="s">
        <v>705</v>
      </c>
      <c r="D1340" s="5">
        <v>12168</v>
      </c>
      <c r="E1340" s="5">
        <v>10011</v>
      </c>
      <c r="F1340" s="5">
        <v>0</v>
      </c>
      <c r="G1340" s="5">
        <v>22179</v>
      </c>
    </row>
    <row r="1341" spans="1:7" x14ac:dyDescent="0.2">
      <c r="A1341">
        <v>417</v>
      </c>
      <c r="B1341" t="s">
        <v>317</v>
      </c>
      <c r="C1341" t="s">
        <v>707</v>
      </c>
      <c r="D1341" s="5">
        <v>65</v>
      </c>
      <c r="E1341" s="5">
        <v>157</v>
      </c>
      <c r="F1341" s="5">
        <v>0</v>
      </c>
      <c r="G1341" s="5">
        <v>222</v>
      </c>
    </row>
    <row r="1342" spans="1:7" x14ac:dyDescent="0.2">
      <c r="A1342">
        <v>417</v>
      </c>
      <c r="B1342" t="s">
        <v>317</v>
      </c>
      <c r="C1342" t="s">
        <v>708</v>
      </c>
      <c r="D1342" s="5">
        <v>4854</v>
      </c>
      <c r="E1342" s="5">
        <v>7859</v>
      </c>
      <c r="F1342" s="5">
        <v>0</v>
      </c>
      <c r="G1342" s="5">
        <v>12712</v>
      </c>
    </row>
    <row r="1343" spans="1:7" x14ac:dyDescent="0.2">
      <c r="A1343">
        <v>417</v>
      </c>
      <c r="B1343" t="s">
        <v>317</v>
      </c>
      <c r="C1343" t="s">
        <v>709</v>
      </c>
      <c r="D1343" s="5">
        <v>5519</v>
      </c>
      <c r="E1343" s="5">
        <v>6044</v>
      </c>
      <c r="F1343" s="5">
        <v>165</v>
      </c>
      <c r="G1343" s="5">
        <v>11728</v>
      </c>
    </row>
    <row r="1344" spans="1:7" x14ac:dyDescent="0.2">
      <c r="A1344">
        <v>417</v>
      </c>
      <c r="B1344" t="s">
        <v>317</v>
      </c>
      <c r="C1344" t="s">
        <v>710</v>
      </c>
      <c r="D1344" s="5">
        <v>755</v>
      </c>
      <c r="E1344" s="5">
        <v>9436</v>
      </c>
      <c r="F1344" s="5">
        <v>0</v>
      </c>
      <c r="G1344" s="5">
        <v>10191</v>
      </c>
    </row>
    <row r="1345" spans="1:7" x14ac:dyDescent="0.2">
      <c r="A1345">
        <v>417</v>
      </c>
      <c r="B1345" t="s">
        <v>317</v>
      </c>
      <c r="C1345" t="s">
        <v>712</v>
      </c>
      <c r="D1345" s="5">
        <v>14868</v>
      </c>
      <c r="E1345" s="5">
        <v>7002</v>
      </c>
      <c r="F1345" s="5">
        <v>0</v>
      </c>
      <c r="G1345" s="5">
        <v>21870</v>
      </c>
    </row>
    <row r="1346" spans="1:7" x14ac:dyDescent="0.2">
      <c r="A1346">
        <v>420</v>
      </c>
      <c r="B1346" t="s">
        <v>355</v>
      </c>
      <c r="C1346" t="s">
        <v>700</v>
      </c>
      <c r="D1346" s="5">
        <v>2095459</v>
      </c>
      <c r="E1346" s="5">
        <v>1005490</v>
      </c>
      <c r="F1346" s="5">
        <v>46733</v>
      </c>
      <c r="G1346" s="5">
        <v>3147683</v>
      </c>
    </row>
    <row r="1347" spans="1:7" x14ac:dyDescent="0.2">
      <c r="A1347">
        <v>420</v>
      </c>
      <c r="B1347" t="s">
        <v>355</v>
      </c>
      <c r="C1347" t="s">
        <v>701</v>
      </c>
      <c r="D1347" s="5">
        <v>18258</v>
      </c>
      <c r="E1347" s="5">
        <v>31016</v>
      </c>
      <c r="F1347" s="5">
        <v>995</v>
      </c>
      <c r="G1347" s="5">
        <v>50268</v>
      </c>
    </row>
    <row r="1348" spans="1:7" x14ac:dyDescent="0.2">
      <c r="A1348">
        <v>420</v>
      </c>
      <c r="B1348" t="s">
        <v>355</v>
      </c>
      <c r="C1348" t="s">
        <v>703</v>
      </c>
      <c r="D1348" s="5">
        <v>1475</v>
      </c>
      <c r="E1348" s="5">
        <v>6627</v>
      </c>
      <c r="F1348" s="5">
        <v>69</v>
      </c>
      <c r="G1348" s="5">
        <v>8171</v>
      </c>
    </row>
    <row r="1349" spans="1:7" x14ac:dyDescent="0.2">
      <c r="A1349">
        <v>420</v>
      </c>
      <c r="B1349" t="s">
        <v>355</v>
      </c>
      <c r="C1349" t="s">
        <v>704</v>
      </c>
      <c r="D1349" s="5">
        <v>296217</v>
      </c>
      <c r="E1349" s="5">
        <v>680927</v>
      </c>
      <c r="F1349" s="5">
        <v>6835</v>
      </c>
      <c r="G1349" s="5">
        <v>983978</v>
      </c>
    </row>
    <row r="1350" spans="1:7" x14ac:dyDescent="0.2">
      <c r="A1350">
        <v>420</v>
      </c>
      <c r="B1350" t="s">
        <v>355</v>
      </c>
      <c r="C1350" t="s">
        <v>705</v>
      </c>
      <c r="D1350" s="5">
        <v>11389</v>
      </c>
      <c r="E1350" s="5">
        <v>157232</v>
      </c>
      <c r="F1350" s="5">
        <v>480</v>
      </c>
      <c r="G1350" s="5">
        <v>169101</v>
      </c>
    </row>
    <row r="1351" spans="1:7" x14ac:dyDescent="0.2">
      <c r="A1351">
        <v>420</v>
      </c>
      <c r="B1351" t="s">
        <v>355</v>
      </c>
      <c r="C1351" t="s">
        <v>707</v>
      </c>
      <c r="D1351" s="5">
        <v>28865</v>
      </c>
      <c r="E1351" s="5">
        <v>41422</v>
      </c>
      <c r="F1351" s="5">
        <v>132</v>
      </c>
      <c r="G1351" s="5">
        <v>70419</v>
      </c>
    </row>
    <row r="1352" spans="1:7" x14ac:dyDescent="0.2">
      <c r="A1352">
        <v>420</v>
      </c>
      <c r="B1352" t="s">
        <v>355</v>
      </c>
      <c r="C1352" t="s">
        <v>708</v>
      </c>
      <c r="D1352" s="5">
        <v>4150</v>
      </c>
      <c r="E1352" s="5">
        <v>25563</v>
      </c>
      <c r="F1352" s="5">
        <v>0</v>
      </c>
      <c r="G1352" s="5">
        <v>29713</v>
      </c>
    </row>
    <row r="1353" spans="1:7" x14ac:dyDescent="0.2">
      <c r="A1353">
        <v>420</v>
      </c>
      <c r="B1353" t="s">
        <v>355</v>
      </c>
      <c r="C1353" t="s">
        <v>709</v>
      </c>
      <c r="D1353" s="5">
        <v>3504</v>
      </c>
      <c r="E1353" s="5">
        <v>14085</v>
      </c>
      <c r="F1353" s="5">
        <v>112</v>
      </c>
      <c r="G1353" s="5">
        <v>17701</v>
      </c>
    </row>
    <row r="1354" spans="1:7" x14ac:dyDescent="0.2">
      <c r="A1354">
        <v>420</v>
      </c>
      <c r="B1354" t="s">
        <v>355</v>
      </c>
      <c r="C1354" t="s">
        <v>710</v>
      </c>
      <c r="D1354" s="5">
        <v>1298</v>
      </c>
      <c r="E1354" s="5">
        <v>29924</v>
      </c>
      <c r="F1354" s="5">
        <v>0</v>
      </c>
      <c r="G1354" s="5">
        <v>31223</v>
      </c>
    </row>
    <row r="1355" spans="1:7" x14ac:dyDescent="0.2">
      <c r="A1355">
        <v>420</v>
      </c>
      <c r="B1355" t="s">
        <v>355</v>
      </c>
      <c r="C1355" t="s">
        <v>712</v>
      </c>
      <c r="D1355" s="5">
        <v>17239</v>
      </c>
      <c r="E1355" s="5">
        <v>120672</v>
      </c>
      <c r="F1355" s="5">
        <v>0</v>
      </c>
      <c r="G1355" s="5">
        <v>137911</v>
      </c>
    </row>
    <row r="1356" spans="1:7" x14ac:dyDescent="0.2">
      <c r="A1356">
        <v>431</v>
      </c>
      <c r="B1356" t="s">
        <v>431</v>
      </c>
      <c r="C1356" t="s">
        <v>700</v>
      </c>
      <c r="D1356" s="5">
        <v>37123</v>
      </c>
      <c r="E1356" s="5">
        <v>44140</v>
      </c>
      <c r="F1356" s="5">
        <v>642</v>
      </c>
      <c r="G1356" s="5">
        <v>81905</v>
      </c>
    </row>
    <row r="1357" spans="1:7" x14ac:dyDescent="0.2">
      <c r="A1357">
        <v>431</v>
      </c>
      <c r="B1357" t="s">
        <v>431</v>
      </c>
      <c r="C1357" t="s">
        <v>701</v>
      </c>
      <c r="D1357" s="5">
        <v>2691</v>
      </c>
      <c r="E1357" s="5">
        <v>7073</v>
      </c>
      <c r="F1357" s="5">
        <v>0</v>
      </c>
      <c r="G1357" s="5">
        <v>9764</v>
      </c>
    </row>
    <row r="1358" spans="1:7" x14ac:dyDescent="0.2">
      <c r="A1358">
        <v>431</v>
      </c>
      <c r="B1358" t="s">
        <v>431</v>
      </c>
      <c r="C1358" t="s">
        <v>703</v>
      </c>
      <c r="D1358" s="5">
        <v>121</v>
      </c>
      <c r="E1358" s="5">
        <v>926</v>
      </c>
      <c r="F1358" s="5">
        <v>0</v>
      </c>
      <c r="G1358" s="5">
        <v>1047</v>
      </c>
    </row>
    <row r="1359" spans="1:7" x14ac:dyDescent="0.2">
      <c r="A1359">
        <v>431</v>
      </c>
      <c r="B1359" t="s">
        <v>431</v>
      </c>
      <c r="C1359" t="s">
        <v>704</v>
      </c>
      <c r="D1359" s="5">
        <v>7076</v>
      </c>
      <c r="E1359" s="5">
        <v>53378</v>
      </c>
      <c r="F1359" s="5">
        <v>0</v>
      </c>
      <c r="G1359" s="5">
        <v>60454</v>
      </c>
    </row>
    <row r="1360" spans="1:7" x14ac:dyDescent="0.2">
      <c r="A1360">
        <v>431</v>
      </c>
      <c r="B1360" t="s">
        <v>431</v>
      </c>
      <c r="C1360" t="s">
        <v>705</v>
      </c>
      <c r="D1360" s="5">
        <v>279</v>
      </c>
      <c r="E1360" s="5">
        <v>20353</v>
      </c>
      <c r="F1360" s="5">
        <v>0</v>
      </c>
      <c r="G1360" s="5">
        <v>20632</v>
      </c>
    </row>
    <row r="1361" spans="1:7" x14ac:dyDescent="0.2">
      <c r="A1361">
        <v>431</v>
      </c>
      <c r="B1361" t="s">
        <v>431</v>
      </c>
      <c r="C1361" t="s">
        <v>707</v>
      </c>
      <c r="D1361" s="5">
        <v>0</v>
      </c>
      <c r="E1361" s="5">
        <v>4089</v>
      </c>
      <c r="F1361" s="5">
        <v>0</v>
      </c>
      <c r="G1361" s="5">
        <v>4089</v>
      </c>
    </row>
    <row r="1362" spans="1:7" x14ac:dyDescent="0.2">
      <c r="A1362">
        <v>431</v>
      </c>
      <c r="B1362" t="s">
        <v>431</v>
      </c>
      <c r="C1362" t="s">
        <v>708</v>
      </c>
      <c r="D1362" s="5">
        <v>584</v>
      </c>
      <c r="E1362" s="5">
        <v>3388</v>
      </c>
      <c r="F1362" s="5">
        <v>0</v>
      </c>
      <c r="G1362" s="5">
        <v>3972</v>
      </c>
    </row>
    <row r="1363" spans="1:7" x14ac:dyDescent="0.2">
      <c r="A1363">
        <v>431</v>
      </c>
      <c r="B1363" t="s">
        <v>431</v>
      </c>
      <c r="C1363" t="s">
        <v>709</v>
      </c>
      <c r="D1363" s="5">
        <v>2632</v>
      </c>
      <c r="E1363" s="5">
        <v>9542</v>
      </c>
      <c r="F1363" s="5">
        <v>3287</v>
      </c>
      <c r="G1363" s="5">
        <v>15461</v>
      </c>
    </row>
    <row r="1364" spans="1:7" x14ac:dyDescent="0.2">
      <c r="A1364">
        <v>431</v>
      </c>
      <c r="B1364" t="s">
        <v>431</v>
      </c>
      <c r="C1364" t="s">
        <v>710</v>
      </c>
      <c r="D1364" s="5">
        <v>506</v>
      </c>
      <c r="E1364" s="5">
        <v>3710</v>
      </c>
      <c r="F1364" s="5">
        <v>0</v>
      </c>
      <c r="G1364" s="5">
        <v>4216</v>
      </c>
    </row>
    <row r="1365" spans="1:7" x14ac:dyDescent="0.2">
      <c r="A1365">
        <v>431</v>
      </c>
      <c r="B1365" t="s">
        <v>431</v>
      </c>
      <c r="C1365" t="s">
        <v>712</v>
      </c>
      <c r="D1365" s="5">
        <v>1266</v>
      </c>
      <c r="E1365" s="5">
        <v>7549</v>
      </c>
      <c r="F1365" s="5">
        <v>0</v>
      </c>
      <c r="G1365" s="5">
        <v>8815</v>
      </c>
    </row>
    <row r="1366" spans="1:7" x14ac:dyDescent="0.2">
      <c r="A1366">
        <v>432</v>
      </c>
      <c r="B1366" t="s">
        <v>433</v>
      </c>
      <c r="C1366" t="s">
        <v>700</v>
      </c>
      <c r="D1366" s="5">
        <v>241942</v>
      </c>
      <c r="E1366" s="5">
        <v>177991</v>
      </c>
      <c r="F1366" s="5">
        <v>837</v>
      </c>
      <c r="G1366" s="5">
        <v>420770</v>
      </c>
    </row>
    <row r="1367" spans="1:7" x14ac:dyDescent="0.2">
      <c r="A1367">
        <v>432</v>
      </c>
      <c r="B1367" t="s">
        <v>433</v>
      </c>
      <c r="C1367" t="s">
        <v>701</v>
      </c>
      <c r="D1367" s="5">
        <v>6467</v>
      </c>
      <c r="E1367" s="5">
        <v>19865</v>
      </c>
      <c r="F1367" s="5">
        <v>173</v>
      </c>
      <c r="G1367" s="5">
        <v>26505</v>
      </c>
    </row>
    <row r="1368" spans="1:7" x14ac:dyDescent="0.2">
      <c r="A1368">
        <v>432</v>
      </c>
      <c r="B1368" t="s">
        <v>433</v>
      </c>
      <c r="C1368" t="s">
        <v>703</v>
      </c>
      <c r="D1368" s="5">
        <v>968</v>
      </c>
      <c r="E1368" s="5">
        <v>355</v>
      </c>
      <c r="F1368" s="5">
        <v>0</v>
      </c>
      <c r="G1368" s="5">
        <v>1323</v>
      </c>
    </row>
    <row r="1369" spans="1:7" x14ac:dyDescent="0.2">
      <c r="A1369">
        <v>432</v>
      </c>
      <c r="B1369" t="s">
        <v>433</v>
      </c>
      <c r="C1369" t="s">
        <v>704</v>
      </c>
      <c r="D1369" s="5">
        <v>27016</v>
      </c>
      <c r="E1369" s="5">
        <v>188219</v>
      </c>
      <c r="F1369" s="5">
        <v>11171</v>
      </c>
      <c r="G1369" s="5">
        <v>226406</v>
      </c>
    </row>
    <row r="1370" spans="1:7" x14ac:dyDescent="0.2">
      <c r="A1370">
        <v>432</v>
      </c>
      <c r="B1370" t="s">
        <v>433</v>
      </c>
      <c r="C1370" t="s">
        <v>705</v>
      </c>
      <c r="D1370" s="5">
        <v>1797</v>
      </c>
      <c r="E1370" s="5">
        <v>17925</v>
      </c>
      <c r="F1370" s="5">
        <v>0</v>
      </c>
      <c r="G1370" s="5">
        <v>19721</v>
      </c>
    </row>
    <row r="1371" spans="1:7" x14ac:dyDescent="0.2">
      <c r="A1371">
        <v>432</v>
      </c>
      <c r="B1371" t="s">
        <v>433</v>
      </c>
      <c r="C1371" t="s">
        <v>707</v>
      </c>
      <c r="D1371" s="5">
        <v>6675</v>
      </c>
      <c r="E1371" s="5">
        <v>2936</v>
      </c>
      <c r="F1371" s="5">
        <v>0</v>
      </c>
      <c r="G1371" s="5">
        <v>9611</v>
      </c>
    </row>
    <row r="1372" spans="1:7" x14ac:dyDescent="0.2">
      <c r="A1372">
        <v>432</v>
      </c>
      <c r="B1372" t="s">
        <v>433</v>
      </c>
      <c r="C1372" t="s">
        <v>708</v>
      </c>
      <c r="D1372" s="5">
        <v>0</v>
      </c>
      <c r="E1372" s="5">
        <v>5669</v>
      </c>
      <c r="F1372" s="5">
        <v>0</v>
      </c>
      <c r="G1372" s="5">
        <v>5669</v>
      </c>
    </row>
    <row r="1373" spans="1:7" x14ac:dyDescent="0.2">
      <c r="A1373">
        <v>432</v>
      </c>
      <c r="B1373" t="s">
        <v>433</v>
      </c>
      <c r="C1373" t="s">
        <v>709</v>
      </c>
      <c r="D1373" s="5">
        <v>1715</v>
      </c>
      <c r="E1373" s="5">
        <v>5200</v>
      </c>
      <c r="F1373" s="5">
        <v>3728</v>
      </c>
      <c r="G1373" s="5">
        <v>10643</v>
      </c>
    </row>
    <row r="1374" spans="1:7" x14ac:dyDescent="0.2">
      <c r="A1374">
        <v>432</v>
      </c>
      <c r="B1374" t="s">
        <v>433</v>
      </c>
      <c r="C1374" t="s">
        <v>710</v>
      </c>
      <c r="D1374" s="5">
        <v>451</v>
      </c>
      <c r="E1374" s="5">
        <v>12770</v>
      </c>
      <c r="F1374" s="5">
        <v>0</v>
      </c>
      <c r="G1374" s="5">
        <v>13221</v>
      </c>
    </row>
    <row r="1375" spans="1:7" x14ac:dyDescent="0.2">
      <c r="A1375">
        <v>432</v>
      </c>
      <c r="B1375" t="s">
        <v>433</v>
      </c>
      <c r="C1375" t="s">
        <v>712</v>
      </c>
      <c r="D1375" s="5">
        <v>5894</v>
      </c>
      <c r="E1375" s="5">
        <v>22874</v>
      </c>
      <c r="F1375" s="5">
        <v>0</v>
      </c>
      <c r="G1375" s="5">
        <v>28768</v>
      </c>
    </row>
    <row r="1376" spans="1:7" x14ac:dyDescent="0.2">
      <c r="A1376">
        <v>437</v>
      </c>
      <c r="B1376" t="s">
        <v>441</v>
      </c>
      <c r="C1376" t="s">
        <v>700</v>
      </c>
      <c r="D1376" s="5">
        <v>78218</v>
      </c>
      <c r="E1376" s="5">
        <v>60572</v>
      </c>
      <c r="F1376" s="5">
        <v>2433</v>
      </c>
      <c r="G1376" s="5">
        <v>141223</v>
      </c>
    </row>
    <row r="1377" spans="1:7" x14ac:dyDescent="0.2">
      <c r="A1377">
        <v>437</v>
      </c>
      <c r="B1377" t="s">
        <v>441</v>
      </c>
      <c r="C1377" t="s">
        <v>701</v>
      </c>
      <c r="D1377" s="5">
        <v>6468</v>
      </c>
      <c r="E1377" s="5">
        <v>9923</v>
      </c>
      <c r="F1377" s="5">
        <v>0</v>
      </c>
      <c r="G1377" s="5">
        <v>16390</v>
      </c>
    </row>
    <row r="1378" spans="1:7" x14ac:dyDescent="0.2">
      <c r="A1378">
        <v>437</v>
      </c>
      <c r="B1378" t="s">
        <v>441</v>
      </c>
      <c r="C1378" t="s">
        <v>703</v>
      </c>
      <c r="D1378" s="5">
        <v>702</v>
      </c>
      <c r="E1378" s="5">
        <v>3308</v>
      </c>
      <c r="F1378" s="5">
        <v>0</v>
      </c>
      <c r="G1378" s="5">
        <v>4011</v>
      </c>
    </row>
    <row r="1379" spans="1:7" x14ac:dyDescent="0.2">
      <c r="A1379">
        <v>437</v>
      </c>
      <c r="B1379" t="s">
        <v>441</v>
      </c>
      <c r="C1379" t="s">
        <v>704</v>
      </c>
      <c r="D1379" s="5">
        <v>7890</v>
      </c>
      <c r="E1379" s="5">
        <v>137122</v>
      </c>
      <c r="F1379" s="5">
        <v>1683</v>
      </c>
      <c r="G1379" s="5">
        <v>146695</v>
      </c>
    </row>
    <row r="1380" spans="1:7" x14ac:dyDescent="0.2">
      <c r="A1380">
        <v>437</v>
      </c>
      <c r="B1380" t="s">
        <v>441</v>
      </c>
      <c r="C1380" t="s">
        <v>705</v>
      </c>
      <c r="D1380" s="5">
        <v>3851</v>
      </c>
      <c r="E1380" s="5">
        <v>139731</v>
      </c>
      <c r="F1380" s="5">
        <v>395</v>
      </c>
      <c r="G1380" s="5">
        <v>143978</v>
      </c>
    </row>
    <row r="1381" spans="1:7" x14ac:dyDescent="0.2">
      <c r="A1381">
        <v>437</v>
      </c>
      <c r="B1381" t="s">
        <v>441</v>
      </c>
      <c r="C1381" t="s">
        <v>707</v>
      </c>
      <c r="D1381" s="5">
        <v>0</v>
      </c>
      <c r="E1381" s="5">
        <v>2909</v>
      </c>
      <c r="F1381" s="5">
        <v>0</v>
      </c>
      <c r="G1381" s="5">
        <v>2909</v>
      </c>
    </row>
    <row r="1382" spans="1:7" x14ac:dyDescent="0.2">
      <c r="A1382">
        <v>437</v>
      </c>
      <c r="B1382" t="s">
        <v>441</v>
      </c>
      <c r="C1382" t="s">
        <v>708</v>
      </c>
      <c r="D1382" s="5">
        <v>1514</v>
      </c>
      <c r="E1382" s="5">
        <v>12002</v>
      </c>
      <c r="F1382" s="5">
        <v>0</v>
      </c>
      <c r="G1382" s="5">
        <v>13516</v>
      </c>
    </row>
    <row r="1383" spans="1:7" x14ac:dyDescent="0.2">
      <c r="A1383">
        <v>437</v>
      </c>
      <c r="B1383" t="s">
        <v>441</v>
      </c>
      <c r="C1383" t="s">
        <v>709</v>
      </c>
      <c r="D1383" s="5">
        <v>13421</v>
      </c>
      <c r="E1383" s="5">
        <v>27153</v>
      </c>
      <c r="F1383" s="5">
        <v>987</v>
      </c>
      <c r="G1383" s="5">
        <v>41560</v>
      </c>
    </row>
    <row r="1384" spans="1:7" x14ac:dyDescent="0.2">
      <c r="A1384">
        <v>437</v>
      </c>
      <c r="B1384" t="s">
        <v>441</v>
      </c>
      <c r="C1384" t="s">
        <v>710</v>
      </c>
      <c r="D1384" s="5">
        <v>1697</v>
      </c>
      <c r="E1384" s="5">
        <v>26173</v>
      </c>
      <c r="F1384" s="5">
        <v>0</v>
      </c>
      <c r="G1384" s="5">
        <v>27870</v>
      </c>
    </row>
    <row r="1385" spans="1:7" x14ac:dyDescent="0.2">
      <c r="A1385">
        <v>437</v>
      </c>
      <c r="B1385" t="s">
        <v>441</v>
      </c>
      <c r="C1385" t="s">
        <v>712</v>
      </c>
      <c r="D1385" s="5">
        <v>2743</v>
      </c>
      <c r="E1385" s="5">
        <v>73719</v>
      </c>
      <c r="F1385" s="5">
        <v>0</v>
      </c>
      <c r="G1385" s="5">
        <v>76462</v>
      </c>
    </row>
    <row r="1386" spans="1:7" x14ac:dyDescent="0.2">
      <c r="A1386">
        <v>439</v>
      </c>
      <c r="B1386" t="s">
        <v>455</v>
      </c>
      <c r="C1386" t="s">
        <v>700</v>
      </c>
      <c r="D1386" s="5">
        <v>50700</v>
      </c>
      <c r="E1386" s="5">
        <v>180396</v>
      </c>
      <c r="F1386" s="5">
        <v>5096</v>
      </c>
      <c r="G1386" s="5">
        <v>236192</v>
      </c>
    </row>
    <row r="1387" spans="1:7" x14ac:dyDescent="0.2">
      <c r="A1387">
        <v>439</v>
      </c>
      <c r="B1387" t="s">
        <v>455</v>
      </c>
      <c r="C1387" t="s">
        <v>701</v>
      </c>
      <c r="D1387" s="5">
        <v>8296</v>
      </c>
      <c r="E1387" s="5">
        <v>59711</v>
      </c>
      <c r="F1387" s="5">
        <v>0</v>
      </c>
      <c r="G1387" s="5">
        <v>68007</v>
      </c>
    </row>
    <row r="1388" spans="1:7" x14ac:dyDescent="0.2">
      <c r="A1388">
        <v>439</v>
      </c>
      <c r="B1388" t="s">
        <v>455</v>
      </c>
      <c r="C1388" t="s">
        <v>703</v>
      </c>
      <c r="D1388" s="5">
        <v>2209</v>
      </c>
      <c r="E1388" s="5">
        <v>28605</v>
      </c>
      <c r="F1388" s="5">
        <v>0</v>
      </c>
      <c r="G1388" s="5">
        <v>30814</v>
      </c>
    </row>
    <row r="1389" spans="1:7" x14ac:dyDescent="0.2">
      <c r="A1389">
        <v>439</v>
      </c>
      <c r="B1389" t="s">
        <v>455</v>
      </c>
      <c r="C1389" t="s">
        <v>704</v>
      </c>
      <c r="D1389" s="5">
        <v>9971</v>
      </c>
      <c r="E1389" s="5">
        <v>318260</v>
      </c>
      <c r="F1389" s="5">
        <v>7360</v>
      </c>
      <c r="G1389" s="5">
        <v>335590</v>
      </c>
    </row>
    <row r="1390" spans="1:7" x14ac:dyDescent="0.2">
      <c r="A1390">
        <v>439</v>
      </c>
      <c r="B1390" t="s">
        <v>455</v>
      </c>
      <c r="C1390" t="s">
        <v>705</v>
      </c>
      <c r="D1390" s="5">
        <v>2448</v>
      </c>
      <c r="E1390" s="5">
        <v>94069</v>
      </c>
      <c r="F1390" s="5">
        <v>404</v>
      </c>
      <c r="G1390" s="5">
        <v>96921</v>
      </c>
    </row>
    <row r="1391" spans="1:7" x14ac:dyDescent="0.2">
      <c r="A1391">
        <v>439</v>
      </c>
      <c r="B1391" t="s">
        <v>455</v>
      </c>
      <c r="C1391" t="s">
        <v>707</v>
      </c>
      <c r="D1391" s="5">
        <v>101</v>
      </c>
      <c r="E1391" s="5">
        <v>624</v>
      </c>
      <c r="F1391" s="5">
        <v>135</v>
      </c>
      <c r="G1391" s="5">
        <v>860</v>
      </c>
    </row>
    <row r="1392" spans="1:7" x14ac:dyDescent="0.2">
      <c r="A1392">
        <v>439</v>
      </c>
      <c r="B1392" t="s">
        <v>455</v>
      </c>
      <c r="C1392" t="s">
        <v>708</v>
      </c>
      <c r="D1392" s="5">
        <v>4694</v>
      </c>
      <c r="E1392" s="5">
        <v>70219</v>
      </c>
      <c r="F1392" s="5">
        <v>0</v>
      </c>
      <c r="G1392" s="5">
        <v>74913</v>
      </c>
    </row>
    <row r="1393" spans="1:7" x14ac:dyDescent="0.2">
      <c r="A1393">
        <v>439</v>
      </c>
      <c r="B1393" t="s">
        <v>455</v>
      </c>
      <c r="C1393" t="s">
        <v>709</v>
      </c>
      <c r="D1393" s="5">
        <v>5398</v>
      </c>
      <c r="E1393" s="5">
        <v>57641</v>
      </c>
      <c r="F1393" s="5">
        <v>860</v>
      </c>
      <c r="G1393" s="5">
        <v>63899</v>
      </c>
    </row>
    <row r="1394" spans="1:7" x14ac:dyDescent="0.2">
      <c r="A1394">
        <v>439</v>
      </c>
      <c r="B1394" t="s">
        <v>455</v>
      </c>
      <c r="C1394" t="s">
        <v>710</v>
      </c>
      <c r="D1394" s="5">
        <v>1800</v>
      </c>
      <c r="E1394" s="5">
        <v>45467</v>
      </c>
      <c r="F1394" s="5">
        <v>0</v>
      </c>
      <c r="G1394" s="5">
        <v>47267</v>
      </c>
    </row>
    <row r="1395" spans="1:7" x14ac:dyDescent="0.2">
      <c r="A1395">
        <v>439</v>
      </c>
      <c r="B1395" t="s">
        <v>455</v>
      </c>
      <c r="C1395" t="s">
        <v>711</v>
      </c>
      <c r="D1395" s="5">
        <v>0</v>
      </c>
      <c r="E1395" s="5">
        <v>599</v>
      </c>
      <c r="F1395" s="5">
        <v>0</v>
      </c>
      <c r="G1395" s="5">
        <v>599</v>
      </c>
    </row>
    <row r="1396" spans="1:7" x14ac:dyDescent="0.2">
      <c r="A1396">
        <v>439</v>
      </c>
      <c r="B1396" t="s">
        <v>455</v>
      </c>
      <c r="C1396" t="s">
        <v>712</v>
      </c>
      <c r="D1396" s="5">
        <v>13738</v>
      </c>
      <c r="E1396" s="5">
        <v>106706</v>
      </c>
      <c r="F1396" s="5">
        <v>5598</v>
      </c>
      <c r="G1396" s="5">
        <v>126042</v>
      </c>
    </row>
    <row r="1397" spans="1:7" x14ac:dyDescent="0.2">
      <c r="A1397">
        <v>441</v>
      </c>
      <c r="B1397" t="s">
        <v>493</v>
      </c>
      <c r="C1397" t="s">
        <v>700</v>
      </c>
      <c r="D1397" s="5">
        <v>520493</v>
      </c>
      <c r="E1397" s="5">
        <v>756615</v>
      </c>
      <c r="F1397" s="5">
        <v>39935</v>
      </c>
      <c r="G1397" s="5">
        <v>1317042</v>
      </c>
    </row>
    <row r="1398" spans="1:7" x14ac:dyDescent="0.2">
      <c r="A1398">
        <v>441</v>
      </c>
      <c r="B1398" t="s">
        <v>493</v>
      </c>
      <c r="C1398" t="s">
        <v>701</v>
      </c>
      <c r="D1398" s="5">
        <v>15439</v>
      </c>
      <c r="E1398" s="5">
        <v>28535</v>
      </c>
      <c r="F1398" s="5">
        <v>0</v>
      </c>
      <c r="G1398" s="5">
        <v>43974</v>
      </c>
    </row>
    <row r="1399" spans="1:7" x14ac:dyDescent="0.2">
      <c r="A1399">
        <v>441</v>
      </c>
      <c r="B1399" t="s">
        <v>493</v>
      </c>
      <c r="C1399" t="s">
        <v>703</v>
      </c>
      <c r="D1399" s="5">
        <v>1598</v>
      </c>
      <c r="E1399" s="5">
        <v>5399</v>
      </c>
      <c r="F1399" s="5">
        <v>0</v>
      </c>
      <c r="G1399" s="5">
        <v>6997</v>
      </c>
    </row>
    <row r="1400" spans="1:7" x14ac:dyDescent="0.2">
      <c r="A1400">
        <v>441</v>
      </c>
      <c r="B1400" t="s">
        <v>493</v>
      </c>
      <c r="C1400" t="s">
        <v>704</v>
      </c>
      <c r="D1400" s="5">
        <v>156491</v>
      </c>
      <c r="E1400" s="5">
        <v>504376</v>
      </c>
      <c r="F1400" s="5">
        <v>7145</v>
      </c>
      <c r="G1400" s="5">
        <v>668012</v>
      </c>
    </row>
    <row r="1401" spans="1:7" x14ac:dyDescent="0.2">
      <c r="A1401">
        <v>441</v>
      </c>
      <c r="B1401" t="s">
        <v>493</v>
      </c>
      <c r="C1401" t="s">
        <v>705</v>
      </c>
      <c r="D1401" s="5">
        <v>8584</v>
      </c>
      <c r="E1401" s="5">
        <v>72643</v>
      </c>
      <c r="F1401" s="5">
        <v>0</v>
      </c>
      <c r="G1401" s="5">
        <v>81227</v>
      </c>
    </row>
    <row r="1402" spans="1:7" x14ac:dyDescent="0.2">
      <c r="A1402">
        <v>441</v>
      </c>
      <c r="B1402" t="s">
        <v>493</v>
      </c>
      <c r="C1402" t="s">
        <v>707</v>
      </c>
      <c r="D1402" s="5">
        <v>35812</v>
      </c>
      <c r="E1402" s="5">
        <v>44209</v>
      </c>
      <c r="F1402" s="5">
        <v>2519</v>
      </c>
      <c r="G1402" s="5">
        <v>82541</v>
      </c>
    </row>
    <row r="1403" spans="1:7" x14ac:dyDescent="0.2">
      <c r="A1403">
        <v>441</v>
      </c>
      <c r="B1403" t="s">
        <v>493</v>
      </c>
      <c r="C1403" t="s">
        <v>708</v>
      </c>
      <c r="D1403" s="5">
        <v>928</v>
      </c>
      <c r="E1403" s="5">
        <v>54882</v>
      </c>
      <c r="F1403" s="5">
        <v>0</v>
      </c>
      <c r="G1403" s="5">
        <v>55810</v>
      </c>
    </row>
    <row r="1404" spans="1:7" x14ac:dyDescent="0.2">
      <c r="A1404">
        <v>441</v>
      </c>
      <c r="B1404" t="s">
        <v>493</v>
      </c>
      <c r="C1404" t="s">
        <v>709</v>
      </c>
      <c r="D1404" s="5">
        <v>7260</v>
      </c>
      <c r="E1404" s="5">
        <v>50559</v>
      </c>
      <c r="F1404" s="5">
        <v>55</v>
      </c>
      <c r="G1404" s="5">
        <v>57875</v>
      </c>
    </row>
    <row r="1405" spans="1:7" x14ac:dyDescent="0.2">
      <c r="A1405">
        <v>441</v>
      </c>
      <c r="B1405" t="s">
        <v>493</v>
      </c>
      <c r="C1405" t="s">
        <v>710</v>
      </c>
      <c r="D1405" s="5">
        <v>6962</v>
      </c>
      <c r="E1405" s="5">
        <v>34562</v>
      </c>
      <c r="F1405" s="5">
        <v>0</v>
      </c>
      <c r="G1405" s="5">
        <v>41524</v>
      </c>
    </row>
    <row r="1406" spans="1:7" x14ac:dyDescent="0.2">
      <c r="A1406">
        <v>441</v>
      </c>
      <c r="B1406" t="s">
        <v>493</v>
      </c>
      <c r="C1406" t="s">
        <v>711</v>
      </c>
      <c r="D1406" s="5">
        <v>0</v>
      </c>
      <c r="E1406" s="5">
        <v>35</v>
      </c>
      <c r="F1406" s="5">
        <v>39</v>
      </c>
      <c r="G1406" s="5">
        <v>75</v>
      </c>
    </row>
    <row r="1407" spans="1:7" x14ac:dyDescent="0.2">
      <c r="A1407">
        <v>441</v>
      </c>
      <c r="B1407" t="s">
        <v>493</v>
      </c>
      <c r="C1407" t="s">
        <v>712</v>
      </c>
      <c r="D1407" s="5">
        <v>22311</v>
      </c>
      <c r="E1407" s="5">
        <v>89863</v>
      </c>
      <c r="F1407" s="5">
        <v>803</v>
      </c>
      <c r="G1407" s="5">
        <v>112976</v>
      </c>
    </row>
    <row r="1408" spans="1:7" x14ac:dyDescent="0.2">
      <c r="A1408">
        <v>448</v>
      </c>
      <c r="B1408" t="s">
        <v>541</v>
      </c>
      <c r="C1408" t="s">
        <v>700</v>
      </c>
      <c r="D1408" s="5">
        <v>215544</v>
      </c>
      <c r="E1408" s="5">
        <v>134017</v>
      </c>
      <c r="F1408" s="5">
        <v>2947</v>
      </c>
      <c r="G1408" s="5">
        <v>352508</v>
      </c>
    </row>
    <row r="1409" spans="1:7" x14ac:dyDescent="0.2">
      <c r="A1409">
        <v>448</v>
      </c>
      <c r="B1409" t="s">
        <v>541</v>
      </c>
      <c r="C1409" t="s">
        <v>701</v>
      </c>
      <c r="D1409" s="5">
        <v>17095</v>
      </c>
      <c r="E1409" s="5">
        <v>25564</v>
      </c>
      <c r="F1409" s="5">
        <v>0</v>
      </c>
      <c r="G1409" s="5">
        <v>42658</v>
      </c>
    </row>
    <row r="1410" spans="1:7" x14ac:dyDescent="0.2">
      <c r="A1410">
        <v>448</v>
      </c>
      <c r="B1410" t="s">
        <v>541</v>
      </c>
      <c r="C1410" t="s">
        <v>703</v>
      </c>
      <c r="D1410" s="5">
        <v>326</v>
      </c>
      <c r="E1410" s="5">
        <v>1874</v>
      </c>
      <c r="F1410" s="5">
        <v>281</v>
      </c>
      <c r="G1410" s="5">
        <v>2481</v>
      </c>
    </row>
    <row r="1411" spans="1:7" x14ac:dyDescent="0.2">
      <c r="A1411">
        <v>448</v>
      </c>
      <c r="B1411" t="s">
        <v>541</v>
      </c>
      <c r="C1411" t="s">
        <v>704</v>
      </c>
      <c r="D1411" s="5">
        <v>159435</v>
      </c>
      <c r="E1411" s="5">
        <v>102721</v>
      </c>
      <c r="F1411" s="5">
        <v>1259</v>
      </c>
      <c r="G1411" s="5">
        <v>263415</v>
      </c>
    </row>
    <row r="1412" spans="1:7" x14ac:dyDescent="0.2">
      <c r="A1412">
        <v>448</v>
      </c>
      <c r="B1412" t="s">
        <v>541</v>
      </c>
      <c r="C1412" t="s">
        <v>705</v>
      </c>
      <c r="D1412" s="5">
        <v>18162</v>
      </c>
      <c r="E1412" s="5">
        <v>62453</v>
      </c>
      <c r="F1412" s="5">
        <v>0</v>
      </c>
      <c r="G1412" s="5">
        <v>80615</v>
      </c>
    </row>
    <row r="1413" spans="1:7" x14ac:dyDescent="0.2">
      <c r="A1413">
        <v>448</v>
      </c>
      <c r="B1413" t="s">
        <v>541</v>
      </c>
      <c r="C1413" t="s">
        <v>707</v>
      </c>
      <c r="D1413" s="5">
        <v>42945</v>
      </c>
      <c r="E1413" s="5">
        <v>23586</v>
      </c>
      <c r="F1413" s="5">
        <v>2098</v>
      </c>
      <c r="G1413" s="5">
        <v>68630</v>
      </c>
    </row>
    <row r="1414" spans="1:7" x14ac:dyDescent="0.2">
      <c r="A1414">
        <v>448</v>
      </c>
      <c r="B1414" t="s">
        <v>541</v>
      </c>
      <c r="C1414" t="s">
        <v>708</v>
      </c>
      <c r="D1414" s="5">
        <v>4987</v>
      </c>
      <c r="E1414" s="5">
        <v>9098</v>
      </c>
      <c r="F1414" s="5">
        <v>0</v>
      </c>
      <c r="G1414" s="5">
        <v>14086</v>
      </c>
    </row>
    <row r="1415" spans="1:7" x14ac:dyDescent="0.2">
      <c r="A1415">
        <v>448</v>
      </c>
      <c r="B1415" t="s">
        <v>541</v>
      </c>
      <c r="C1415" t="s">
        <v>709</v>
      </c>
      <c r="D1415" s="5">
        <v>19639</v>
      </c>
      <c r="E1415" s="5">
        <v>16971</v>
      </c>
      <c r="F1415" s="5">
        <v>472</v>
      </c>
      <c r="G1415" s="5">
        <v>37082</v>
      </c>
    </row>
    <row r="1416" spans="1:7" x14ac:dyDescent="0.2">
      <c r="A1416">
        <v>448</v>
      </c>
      <c r="B1416" t="s">
        <v>541</v>
      </c>
      <c r="C1416" t="s">
        <v>710</v>
      </c>
      <c r="D1416" s="5">
        <v>5254</v>
      </c>
      <c r="E1416" s="5">
        <v>11826</v>
      </c>
      <c r="F1416" s="5">
        <v>0</v>
      </c>
      <c r="G1416" s="5">
        <v>17080</v>
      </c>
    </row>
    <row r="1417" spans="1:7" x14ac:dyDescent="0.2">
      <c r="A1417">
        <v>448</v>
      </c>
      <c r="B1417" t="s">
        <v>541</v>
      </c>
      <c r="C1417" t="s">
        <v>711</v>
      </c>
      <c r="D1417" s="5">
        <v>0</v>
      </c>
      <c r="E1417" s="5">
        <v>444</v>
      </c>
      <c r="F1417" s="5">
        <v>0</v>
      </c>
      <c r="G1417" s="5">
        <v>444</v>
      </c>
    </row>
    <row r="1418" spans="1:7" x14ac:dyDescent="0.2">
      <c r="A1418">
        <v>448</v>
      </c>
      <c r="B1418" t="s">
        <v>541</v>
      </c>
      <c r="C1418" t="s">
        <v>712</v>
      </c>
      <c r="D1418" s="5">
        <v>42297</v>
      </c>
      <c r="E1418" s="5">
        <v>59211</v>
      </c>
      <c r="F1418" s="5">
        <v>0</v>
      </c>
      <c r="G1418" s="5">
        <v>101508</v>
      </c>
    </row>
    <row r="1419" spans="1:7" x14ac:dyDescent="0.2">
      <c r="A1419">
        <v>450</v>
      </c>
      <c r="B1419" t="s">
        <v>559</v>
      </c>
      <c r="C1419" t="s">
        <v>700</v>
      </c>
      <c r="D1419" s="5">
        <v>72681</v>
      </c>
      <c r="E1419" s="5">
        <v>71993</v>
      </c>
      <c r="F1419" s="5">
        <v>1233</v>
      </c>
      <c r="G1419" s="5">
        <v>145907</v>
      </c>
    </row>
    <row r="1420" spans="1:7" x14ac:dyDescent="0.2">
      <c r="A1420">
        <v>450</v>
      </c>
      <c r="B1420" t="s">
        <v>559</v>
      </c>
      <c r="C1420" t="s">
        <v>701</v>
      </c>
      <c r="D1420" s="5">
        <v>3457</v>
      </c>
      <c r="E1420" s="5">
        <v>9711</v>
      </c>
      <c r="F1420" s="5">
        <v>0</v>
      </c>
      <c r="G1420" s="5">
        <v>13169</v>
      </c>
    </row>
    <row r="1421" spans="1:7" x14ac:dyDescent="0.2">
      <c r="A1421">
        <v>450</v>
      </c>
      <c r="B1421" t="s">
        <v>559</v>
      </c>
      <c r="C1421" t="s">
        <v>703</v>
      </c>
      <c r="D1421" s="5">
        <v>0</v>
      </c>
      <c r="E1421" s="5">
        <v>430</v>
      </c>
      <c r="F1421" s="5">
        <v>0</v>
      </c>
      <c r="G1421" s="5">
        <v>430</v>
      </c>
    </row>
    <row r="1422" spans="1:7" x14ac:dyDescent="0.2">
      <c r="A1422">
        <v>450</v>
      </c>
      <c r="B1422" t="s">
        <v>559</v>
      </c>
      <c r="C1422" t="s">
        <v>704</v>
      </c>
      <c r="D1422" s="5">
        <v>11398</v>
      </c>
      <c r="E1422" s="5">
        <v>72798</v>
      </c>
      <c r="F1422" s="5">
        <v>81</v>
      </c>
      <c r="G1422" s="5">
        <v>84277</v>
      </c>
    </row>
    <row r="1423" spans="1:7" x14ac:dyDescent="0.2">
      <c r="A1423">
        <v>450</v>
      </c>
      <c r="B1423" t="s">
        <v>559</v>
      </c>
      <c r="C1423" t="s">
        <v>705</v>
      </c>
      <c r="D1423" s="5">
        <v>915</v>
      </c>
      <c r="E1423" s="5">
        <v>13055</v>
      </c>
      <c r="F1423" s="5">
        <v>748</v>
      </c>
      <c r="G1423" s="5">
        <v>14718</v>
      </c>
    </row>
    <row r="1424" spans="1:7" x14ac:dyDescent="0.2">
      <c r="A1424">
        <v>450</v>
      </c>
      <c r="B1424" t="s">
        <v>559</v>
      </c>
      <c r="C1424" t="s">
        <v>707</v>
      </c>
      <c r="D1424" s="5">
        <v>6324</v>
      </c>
      <c r="E1424" s="5">
        <v>127</v>
      </c>
      <c r="F1424" s="5">
        <v>0</v>
      </c>
      <c r="G1424" s="5">
        <v>6451</v>
      </c>
    </row>
    <row r="1425" spans="1:7" x14ac:dyDescent="0.2">
      <c r="A1425">
        <v>450</v>
      </c>
      <c r="B1425" t="s">
        <v>559</v>
      </c>
      <c r="C1425" t="s">
        <v>708</v>
      </c>
      <c r="D1425" s="5">
        <v>1393</v>
      </c>
      <c r="E1425" s="5">
        <v>5402</v>
      </c>
      <c r="F1425" s="5">
        <v>0</v>
      </c>
      <c r="G1425" s="5">
        <v>6795</v>
      </c>
    </row>
    <row r="1426" spans="1:7" x14ac:dyDescent="0.2">
      <c r="A1426">
        <v>450</v>
      </c>
      <c r="B1426" t="s">
        <v>559</v>
      </c>
      <c r="C1426" t="s">
        <v>709</v>
      </c>
      <c r="D1426" s="5">
        <v>4788</v>
      </c>
      <c r="E1426" s="5">
        <v>25797</v>
      </c>
      <c r="F1426" s="5">
        <v>35</v>
      </c>
      <c r="G1426" s="5">
        <v>30620</v>
      </c>
    </row>
    <row r="1427" spans="1:7" x14ac:dyDescent="0.2">
      <c r="A1427">
        <v>450</v>
      </c>
      <c r="B1427" t="s">
        <v>559</v>
      </c>
      <c r="C1427" t="s">
        <v>710</v>
      </c>
      <c r="D1427" s="5">
        <v>383</v>
      </c>
      <c r="E1427" s="5">
        <v>4292</v>
      </c>
      <c r="F1427" s="5">
        <v>0</v>
      </c>
      <c r="G1427" s="5">
        <v>4675</v>
      </c>
    </row>
    <row r="1428" spans="1:7" x14ac:dyDescent="0.2">
      <c r="A1428">
        <v>450</v>
      </c>
      <c r="B1428" t="s">
        <v>559</v>
      </c>
      <c r="C1428" t="s">
        <v>712</v>
      </c>
      <c r="D1428" s="5">
        <v>2451</v>
      </c>
      <c r="E1428" s="5">
        <v>16922</v>
      </c>
      <c r="F1428" s="5">
        <v>0</v>
      </c>
      <c r="G1428" s="5">
        <v>19373</v>
      </c>
    </row>
    <row r="1429" spans="1:7" x14ac:dyDescent="0.2">
      <c r="A1429">
        <v>451</v>
      </c>
      <c r="B1429" t="s">
        <v>561</v>
      </c>
      <c r="C1429" t="s">
        <v>700</v>
      </c>
      <c r="D1429" s="5">
        <v>986733</v>
      </c>
      <c r="E1429" s="5">
        <v>1286240</v>
      </c>
      <c r="F1429" s="5">
        <v>28629</v>
      </c>
      <c r="G1429" s="5">
        <v>2301601</v>
      </c>
    </row>
    <row r="1430" spans="1:7" x14ac:dyDescent="0.2">
      <c r="A1430">
        <v>451</v>
      </c>
      <c r="B1430" t="s">
        <v>561</v>
      </c>
      <c r="C1430" t="s">
        <v>701</v>
      </c>
      <c r="D1430" s="5">
        <v>5545</v>
      </c>
      <c r="E1430" s="5">
        <v>20926</v>
      </c>
      <c r="F1430" s="5">
        <v>0</v>
      </c>
      <c r="G1430" s="5">
        <v>26471</v>
      </c>
    </row>
    <row r="1431" spans="1:7" x14ac:dyDescent="0.2">
      <c r="A1431">
        <v>451</v>
      </c>
      <c r="B1431" t="s">
        <v>561</v>
      </c>
      <c r="C1431" t="s">
        <v>703</v>
      </c>
      <c r="D1431" s="5">
        <v>0</v>
      </c>
      <c r="E1431" s="5">
        <v>3282</v>
      </c>
      <c r="F1431" s="5">
        <v>0</v>
      </c>
      <c r="G1431" s="5">
        <v>3282</v>
      </c>
    </row>
    <row r="1432" spans="1:7" x14ac:dyDescent="0.2">
      <c r="A1432">
        <v>451</v>
      </c>
      <c r="B1432" t="s">
        <v>561</v>
      </c>
      <c r="C1432" t="s">
        <v>704</v>
      </c>
      <c r="D1432" s="5">
        <v>127564</v>
      </c>
      <c r="E1432" s="5">
        <v>518788</v>
      </c>
      <c r="F1432" s="5">
        <v>2919</v>
      </c>
      <c r="G1432" s="5">
        <v>649272</v>
      </c>
    </row>
    <row r="1433" spans="1:7" x14ac:dyDescent="0.2">
      <c r="A1433">
        <v>451</v>
      </c>
      <c r="B1433" t="s">
        <v>561</v>
      </c>
      <c r="C1433" t="s">
        <v>705</v>
      </c>
      <c r="D1433" s="5">
        <v>3437</v>
      </c>
      <c r="E1433" s="5">
        <v>36873</v>
      </c>
      <c r="F1433" s="5">
        <v>0</v>
      </c>
      <c r="G1433" s="5">
        <v>40310</v>
      </c>
    </row>
    <row r="1434" spans="1:7" x14ac:dyDescent="0.2">
      <c r="A1434">
        <v>451</v>
      </c>
      <c r="B1434" t="s">
        <v>561</v>
      </c>
      <c r="C1434" t="s">
        <v>707</v>
      </c>
      <c r="D1434" s="5">
        <v>742</v>
      </c>
      <c r="E1434" s="5">
        <v>480</v>
      </c>
      <c r="F1434" s="5">
        <v>526</v>
      </c>
      <c r="G1434" s="5">
        <v>1748</v>
      </c>
    </row>
    <row r="1435" spans="1:7" x14ac:dyDescent="0.2">
      <c r="A1435">
        <v>451</v>
      </c>
      <c r="B1435" t="s">
        <v>561</v>
      </c>
      <c r="C1435" t="s">
        <v>708</v>
      </c>
      <c r="D1435" s="5">
        <v>2376</v>
      </c>
      <c r="E1435" s="5">
        <v>26678</v>
      </c>
      <c r="F1435" s="5">
        <v>0</v>
      </c>
      <c r="G1435" s="5">
        <v>29054</v>
      </c>
    </row>
    <row r="1436" spans="1:7" x14ac:dyDescent="0.2">
      <c r="A1436">
        <v>451</v>
      </c>
      <c r="B1436" t="s">
        <v>561</v>
      </c>
      <c r="C1436" t="s">
        <v>709</v>
      </c>
      <c r="D1436" s="5">
        <v>4307</v>
      </c>
      <c r="E1436" s="5">
        <v>18658</v>
      </c>
      <c r="F1436" s="5">
        <v>119</v>
      </c>
      <c r="G1436" s="5">
        <v>23084</v>
      </c>
    </row>
    <row r="1437" spans="1:7" x14ac:dyDescent="0.2">
      <c r="A1437">
        <v>451</v>
      </c>
      <c r="B1437" t="s">
        <v>561</v>
      </c>
      <c r="C1437" t="s">
        <v>710</v>
      </c>
      <c r="D1437" s="5">
        <v>2717</v>
      </c>
      <c r="E1437" s="5">
        <v>17429</v>
      </c>
      <c r="F1437" s="5">
        <v>0</v>
      </c>
      <c r="G1437" s="5">
        <v>20145</v>
      </c>
    </row>
    <row r="1438" spans="1:7" x14ac:dyDescent="0.2">
      <c r="A1438">
        <v>451</v>
      </c>
      <c r="B1438" t="s">
        <v>561</v>
      </c>
      <c r="C1438" t="s">
        <v>712</v>
      </c>
      <c r="D1438" s="5">
        <v>4521</v>
      </c>
      <c r="E1438" s="5">
        <v>39119</v>
      </c>
      <c r="F1438" s="5">
        <v>0</v>
      </c>
      <c r="G1438" s="5">
        <v>43640</v>
      </c>
    </row>
    <row r="1439" spans="1:7" x14ac:dyDescent="0.2">
      <c r="A1439">
        <v>453</v>
      </c>
      <c r="B1439" t="s">
        <v>583</v>
      </c>
      <c r="C1439" t="s">
        <v>700</v>
      </c>
      <c r="D1439" s="5">
        <v>102752</v>
      </c>
      <c r="E1439" s="5">
        <v>323965</v>
      </c>
      <c r="F1439" s="5">
        <v>5881</v>
      </c>
      <c r="G1439" s="5">
        <v>432598</v>
      </c>
    </row>
    <row r="1440" spans="1:7" x14ac:dyDescent="0.2">
      <c r="A1440">
        <v>453</v>
      </c>
      <c r="B1440" t="s">
        <v>583</v>
      </c>
      <c r="C1440" t="s">
        <v>701</v>
      </c>
      <c r="D1440" s="5">
        <v>17890</v>
      </c>
      <c r="E1440" s="5">
        <v>37571</v>
      </c>
      <c r="F1440" s="5">
        <v>467</v>
      </c>
      <c r="G1440" s="5">
        <v>55928</v>
      </c>
    </row>
    <row r="1441" spans="1:7" x14ac:dyDescent="0.2">
      <c r="A1441">
        <v>453</v>
      </c>
      <c r="B1441" t="s">
        <v>583</v>
      </c>
      <c r="C1441" t="s">
        <v>702</v>
      </c>
      <c r="D1441" s="5">
        <v>0</v>
      </c>
      <c r="E1441" s="5">
        <v>1987</v>
      </c>
      <c r="F1441" s="5">
        <v>0</v>
      </c>
      <c r="G1441" s="5">
        <v>1987</v>
      </c>
    </row>
    <row r="1442" spans="1:7" x14ac:dyDescent="0.2">
      <c r="A1442">
        <v>453</v>
      </c>
      <c r="B1442" t="s">
        <v>583</v>
      </c>
      <c r="C1442" t="s">
        <v>703</v>
      </c>
      <c r="D1442" s="5">
        <v>490</v>
      </c>
      <c r="E1442" s="5">
        <v>738</v>
      </c>
      <c r="F1442" s="5">
        <v>0</v>
      </c>
      <c r="G1442" s="5">
        <v>1228</v>
      </c>
    </row>
    <row r="1443" spans="1:7" x14ac:dyDescent="0.2">
      <c r="A1443">
        <v>453</v>
      </c>
      <c r="B1443" t="s">
        <v>583</v>
      </c>
      <c r="C1443" t="s">
        <v>704</v>
      </c>
      <c r="D1443" s="5">
        <v>52931</v>
      </c>
      <c r="E1443" s="5">
        <v>1263676</v>
      </c>
      <c r="F1443" s="5">
        <v>3829</v>
      </c>
      <c r="G1443" s="5">
        <v>1320436</v>
      </c>
    </row>
    <row r="1444" spans="1:7" x14ac:dyDescent="0.2">
      <c r="A1444">
        <v>453</v>
      </c>
      <c r="B1444" t="s">
        <v>583</v>
      </c>
      <c r="C1444" t="s">
        <v>705</v>
      </c>
      <c r="D1444" s="5">
        <v>17321</v>
      </c>
      <c r="E1444" s="5">
        <v>164520</v>
      </c>
      <c r="F1444" s="5">
        <v>338</v>
      </c>
      <c r="G1444" s="5">
        <v>182179</v>
      </c>
    </row>
    <row r="1445" spans="1:7" x14ac:dyDescent="0.2">
      <c r="A1445">
        <v>453</v>
      </c>
      <c r="B1445" t="s">
        <v>583</v>
      </c>
      <c r="C1445" t="s">
        <v>707</v>
      </c>
      <c r="D1445" s="5">
        <v>3543</v>
      </c>
      <c r="E1445" s="5">
        <v>12829</v>
      </c>
      <c r="F1445" s="5">
        <v>295</v>
      </c>
      <c r="G1445" s="5">
        <v>16667</v>
      </c>
    </row>
    <row r="1446" spans="1:7" x14ac:dyDescent="0.2">
      <c r="A1446">
        <v>453</v>
      </c>
      <c r="B1446" t="s">
        <v>583</v>
      </c>
      <c r="C1446" t="s">
        <v>708</v>
      </c>
      <c r="D1446" s="5">
        <v>5347</v>
      </c>
      <c r="E1446" s="5">
        <v>68023</v>
      </c>
      <c r="F1446" s="5">
        <v>0</v>
      </c>
      <c r="G1446" s="5">
        <v>73370</v>
      </c>
    </row>
    <row r="1447" spans="1:7" x14ac:dyDescent="0.2">
      <c r="A1447">
        <v>453</v>
      </c>
      <c r="B1447" t="s">
        <v>583</v>
      </c>
      <c r="C1447" t="s">
        <v>709</v>
      </c>
      <c r="D1447" s="5">
        <v>23925</v>
      </c>
      <c r="E1447" s="5">
        <v>130781</v>
      </c>
      <c r="F1447" s="5">
        <v>6096</v>
      </c>
      <c r="G1447" s="5">
        <v>160802</v>
      </c>
    </row>
    <row r="1448" spans="1:7" x14ac:dyDescent="0.2">
      <c r="A1448">
        <v>453</v>
      </c>
      <c r="B1448" t="s">
        <v>583</v>
      </c>
      <c r="C1448" t="s">
        <v>710</v>
      </c>
      <c r="D1448" s="5">
        <v>4366</v>
      </c>
      <c r="E1448" s="5">
        <v>38738</v>
      </c>
      <c r="F1448" s="5">
        <v>0</v>
      </c>
      <c r="G1448" s="5">
        <v>43104</v>
      </c>
    </row>
    <row r="1449" spans="1:7" x14ac:dyDescent="0.2">
      <c r="A1449">
        <v>453</v>
      </c>
      <c r="B1449" t="s">
        <v>583</v>
      </c>
      <c r="C1449" t="s">
        <v>712</v>
      </c>
      <c r="D1449" s="5">
        <v>18158</v>
      </c>
      <c r="E1449" s="5">
        <v>68753</v>
      </c>
      <c r="F1449" s="5">
        <v>737</v>
      </c>
      <c r="G1449" s="5">
        <v>87648</v>
      </c>
    </row>
    <row r="1450" spans="1:7" x14ac:dyDescent="0.2">
      <c r="A1450">
        <v>457</v>
      </c>
      <c r="B1450" t="s">
        <v>697</v>
      </c>
      <c r="C1450" t="s">
        <v>700</v>
      </c>
      <c r="D1450" s="5">
        <v>48982</v>
      </c>
      <c r="E1450" s="5">
        <v>67836</v>
      </c>
      <c r="F1450" s="5">
        <v>3423</v>
      </c>
      <c r="G1450" s="5">
        <v>120241</v>
      </c>
    </row>
    <row r="1451" spans="1:7" x14ac:dyDescent="0.2">
      <c r="A1451">
        <v>457</v>
      </c>
      <c r="B1451" t="s">
        <v>697</v>
      </c>
      <c r="C1451" t="s">
        <v>701</v>
      </c>
      <c r="D1451" s="5">
        <v>8966</v>
      </c>
      <c r="E1451" s="5">
        <v>15674</v>
      </c>
      <c r="F1451" s="5">
        <v>0</v>
      </c>
      <c r="G1451" s="5">
        <v>24640</v>
      </c>
    </row>
    <row r="1452" spans="1:7" x14ac:dyDescent="0.2">
      <c r="A1452">
        <v>457</v>
      </c>
      <c r="B1452" t="s">
        <v>697</v>
      </c>
      <c r="C1452" t="s">
        <v>703</v>
      </c>
      <c r="D1452" s="5">
        <v>987</v>
      </c>
      <c r="E1452" s="5">
        <v>2910</v>
      </c>
      <c r="F1452" s="5">
        <v>0</v>
      </c>
      <c r="G1452" s="5">
        <v>3897</v>
      </c>
    </row>
    <row r="1453" spans="1:7" x14ac:dyDescent="0.2">
      <c r="A1453">
        <v>457</v>
      </c>
      <c r="B1453" t="s">
        <v>697</v>
      </c>
      <c r="C1453" t="s">
        <v>704</v>
      </c>
      <c r="D1453" s="5">
        <v>6568</v>
      </c>
      <c r="E1453" s="5">
        <v>70787</v>
      </c>
      <c r="F1453" s="5">
        <v>0</v>
      </c>
      <c r="G1453" s="5">
        <v>77355</v>
      </c>
    </row>
    <row r="1454" spans="1:7" x14ac:dyDescent="0.2">
      <c r="A1454">
        <v>457</v>
      </c>
      <c r="B1454" t="s">
        <v>697</v>
      </c>
      <c r="C1454" t="s">
        <v>705</v>
      </c>
      <c r="D1454" s="5">
        <v>5396</v>
      </c>
      <c r="E1454" s="5">
        <v>305097</v>
      </c>
      <c r="F1454" s="5">
        <v>0</v>
      </c>
      <c r="G1454" s="5">
        <v>310493</v>
      </c>
    </row>
    <row r="1455" spans="1:7" x14ac:dyDescent="0.2">
      <c r="A1455">
        <v>457</v>
      </c>
      <c r="B1455" t="s">
        <v>697</v>
      </c>
      <c r="C1455" t="s">
        <v>707</v>
      </c>
      <c r="D1455" s="5">
        <v>1549</v>
      </c>
      <c r="E1455" s="5">
        <v>1238</v>
      </c>
      <c r="F1455" s="5">
        <v>0</v>
      </c>
      <c r="G1455" s="5">
        <v>2787</v>
      </c>
    </row>
    <row r="1456" spans="1:7" x14ac:dyDescent="0.2">
      <c r="A1456">
        <v>457</v>
      </c>
      <c r="B1456" t="s">
        <v>697</v>
      </c>
      <c r="C1456" t="s">
        <v>708</v>
      </c>
      <c r="D1456" s="5">
        <v>538</v>
      </c>
      <c r="E1456" s="5">
        <v>5926</v>
      </c>
      <c r="F1456" s="5">
        <v>133</v>
      </c>
      <c r="G1456" s="5">
        <v>6597</v>
      </c>
    </row>
    <row r="1457" spans="1:7" x14ac:dyDescent="0.2">
      <c r="A1457">
        <v>457</v>
      </c>
      <c r="B1457" t="s">
        <v>697</v>
      </c>
      <c r="C1457" t="s">
        <v>709</v>
      </c>
      <c r="D1457" s="5">
        <v>1845</v>
      </c>
      <c r="E1457" s="5">
        <v>14309</v>
      </c>
      <c r="F1457" s="5">
        <v>40</v>
      </c>
      <c r="G1457" s="5">
        <v>16195</v>
      </c>
    </row>
    <row r="1458" spans="1:7" x14ac:dyDescent="0.2">
      <c r="A1458">
        <v>457</v>
      </c>
      <c r="B1458" t="s">
        <v>697</v>
      </c>
      <c r="C1458" t="s">
        <v>710</v>
      </c>
      <c r="D1458" s="5">
        <v>983</v>
      </c>
      <c r="E1458" s="5">
        <v>14893</v>
      </c>
      <c r="F1458" s="5">
        <v>0</v>
      </c>
      <c r="G1458" s="5">
        <v>15876</v>
      </c>
    </row>
    <row r="1459" spans="1:7" x14ac:dyDescent="0.2">
      <c r="A1459">
        <v>457</v>
      </c>
      <c r="B1459" t="s">
        <v>697</v>
      </c>
      <c r="C1459" t="s">
        <v>712</v>
      </c>
      <c r="D1459" s="5">
        <v>4124</v>
      </c>
      <c r="E1459" s="5">
        <v>26515</v>
      </c>
      <c r="F1459" s="5">
        <v>0</v>
      </c>
      <c r="G1459" s="5">
        <v>30639</v>
      </c>
    </row>
    <row r="1460" spans="1:7" x14ac:dyDescent="0.2">
      <c r="A1460">
        <v>473</v>
      </c>
      <c r="B1460" t="s">
        <v>663</v>
      </c>
      <c r="C1460" t="s">
        <v>700</v>
      </c>
      <c r="D1460" s="5">
        <v>22939</v>
      </c>
      <c r="E1460" s="5">
        <v>41402</v>
      </c>
      <c r="F1460" s="5">
        <v>669</v>
      </c>
      <c r="G1460" s="5">
        <v>65010</v>
      </c>
    </row>
    <row r="1461" spans="1:7" x14ac:dyDescent="0.2">
      <c r="A1461">
        <v>473</v>
      </c>
      <c r="B1461" t="s">
        <v>663</v>
      </c>
      <c r="C1461" t="s">
        <v>701</v>
      </c>
      <c r="D1461" s="5">
        <v>8678</v>
      </c>
      <c r="E1461" s="5">
        <v>15326</v>
      </c>
      <c r="F1461" s="5">
        <v>0</v>
      </c>
      <c r="G1461" s="5">
        <v>24004</v>
      </c>
    </row>
    <row r="1462" spans="1:7" x14ac:dyDescent="0.2">
      <c r="A1462">
        <v>473</v>
      </c>
      <c r="B1462" t="s">
        <v>663</v>
      </c>
      <c r="C1462" t="s">
        <v>703</v>
      </c>
      <c r="D1462" s="5">
        <v>443</v>
      </c>
      <c r="E1462" s="5">
        <v>231</v>
      </c>
      <c r="F1462" s="5">
        <v>0</v>
      </c>
      <c r="G1462" s="5">
        <v>674</v>
      </c>
    </row>
    <row r="1463" spans="1:7" x14ac:dyDescent="0.2">
      <c r="A1463">
        <v>473</v>
      </c>
      <c r="B1463" t="s">
        <v>663</v>
      </c>
      <c r="C1463" t="s">
        <v>704</v>
      </c>
      <c r="D1463" s="5">
        <v>9034</v>
      </c>
      <c r="E1463" s="5">
        <v>26779</v>
      </c>
      <c r="F1463" s="5">
        <v>46</v>
      </c>
      <c r="G1463" s="5">
        <v>35860</v>
      </c>
    </row>
    <row r="1464" spans="1:7" x14ac:dyDescent="0.2">
      <c r="A1464">
        <v>473</v>
      </c>
      <c r="B1464" t="s">
        <v>663</v>
      </c>
      <c r="C1464" t="s">
        <v>705</v>
      </c>
      <c r="D1464" s="5">
        <v>2092</v>
      </c>
      <c r="E1464" s="5">
        <v>5209</v>
      </c>
      <c r="F1464" s="5">
        <v>0</v>
      </c>
      <c r="G1464" s="5">
        <v>7301</v>
      </c>
    </row>
    <row r="1465" spans="1:7" x14ac:dyDescent="0.2">
      <c r="A1465">
        <v>473</v>
      </c>
      <c r="B1465" t="s">
        <v>663</v>
      </c>
      <c r="C1465" t="s">
        <v>707</v>
      </c>
      <c r="D1465" s="5">
        <v>1814</v>
      </c>
      <c r="E1465" s="5">
        <v>11488</v>
      </c>
      <c r="F1465" s="5">
        <v>0</v>
      </c>
      <c r="G1465" s="5">
        <v>13302</v>
      </c>
    </row>
    <row r="1466" spans="1:7" x14ac:dyDescent="0.2">
      <c r="A1466">
        <v>473</v>
      </c>
      <c r="B1466" t="s">
        <v>663</v>
      </c>
      <c r="C1466" t="s">
        <v>708</v>
      </c>
      <c r="D1466" s="5">
        <v>1842</v>
      </c>
      <c r="E1466" s="5">
        <v>4248</v>
      </c>
      <c r="F1466" s="5">
        <v>0</v>
      </c>
      <c r="G1466" s="5">
        <v>6090</v>
      </c>
    </row>
    <row r="1467" spans="1:7" x14ac:dyDescent="0.2">
      <c r="A1467">
        <v>473</v>
      </c>
      <c r="B1467" t="s">
        <v>663</v>
      </c>
      <c r="C1467" t="s">
        <v>709</v>
      </c>
      <c r="D1467" s="5">
        <v>3485</v>
      </c>
      <c r="E1467" s="5">
        <v>34584</v>
      </c>
      <c r="F1467" s="5">
        <v>1149</v>
      </c>
      <c r="G1467" s="5">
        <v>39219</v>
      </c>
    </row>
    <row r="1468" spans="1:7" x14ac:dyDescent="0.2">
      <c r="A1468">
        <v>473</v>
      </c>
      <c r="B1468" t="s">
        <v>663</v>
      </c>
      <c r="C1468" t="s">
        <v>710</v>
      </c>
      <c r="D1468" s="5">
        <v>0</v>
      </c>
      <c r="E1468" s="5">
        <v>5983</v>
      </c>
      <c r="F1468" s="5">
        <v>0</v>
      </c>
      <c r="G1468" s="5">
        <v>5983</v>
      </c>
    </row>
    <row r="1469" spans="1:7" x14ac:dyDescent="0.2">
      <c r="A1469">
        <v>473</v>
      </c>
      <c r="B1469" t="s">
        <v>663</v>
      </c>
      <c r="C1469" t="s">
        <v>711</v>
      </c>
      <c r="D1469" s="5">
        <v>0</v>
      </c>
      <c r="E1469" s="5">
        <v>1875</v>
      </c>
      <c r="F1469" s="5">
        <v>0</v>
      </c>
      <c r="G1469" s="5">
        <v>1875</v>
      </c>
    </row>
    <row r="1470" spans="1:7" x14ac:dyDescent="0.2">
      <c r="A1470">
        <v>473</v>
      </c>
      <c r="B1470" t="s">
        <v>663</v>
      </c>
      <c r="C1470" t="s">
        <v>712</v>
      </c>
      <c r="D1470" s="5">
        <v>3669</v>
      </c>
      <c r="E1470" s="5">
        <v>12476</v>
      </c>
      <c r="F1470" s="5">
        <v>17</v>
      </c>
      <c r="G1470" s="5">
        <v>16161</v>
      </c>
    </row>
    <row r="1471" spans="1:7" x14ac:dyDescent="0.2">
      <c r="A1471">
        <v>479</v>
      </c>
      <c r="B1471" t="s">
        <v>659</v>
      </c>
      <c r="C1471" t="s">
        <v>700</v>
      </c>
      <c r="D1471" s="5">
        <v>286050</v>
      </c>
      <c r="E1471" s="5">
        <v>732411</v>
      </c>
      <c r="F1471" s="5">
        <v>6992</v>
      </c>
      <c r="G1471" s="5">
        <v>1025454</v>
      </c>
    </row>
    <row r="1472" spans="1:7" x14ac:dyDescent="0.2">
      <c r="A1472">
        <v>479</v>
      </c>
      <c r="B1472" t="s">
        <v>659</v>
      </c>
      <c r="C1472" t="s">
        <v>701</v>
      </c>
      <c r="D1472" s="5">
        <v>39706</v>
      </c>
      <c r="E1472" s="5">
        <v>97993</v>
      </c>
      <c r="F1472" s="5">
        <v>156</v>
      </c>
      <c r="G1472" s="5">
        <v>137855</v>
      </c>
    </row>
    <row r="1473" spans="1:7" x14ac:dyDescent="0.2">
      <c r="A1473">
        <v>479</v>
      </c>
      <c r="B1473" t="s">
        <v>659</v>
      </c>
      <c r="C1473" t="s">
        <v>702</v>
      </c>
      <c r="D1473" s="5">
        <v>0</v>
      </c>
      <c r="E1473" s="5">
        <v>28422</v>
      </c>
      <c r="F1473" s="5">
        <v>0</v>
      </c>
      <c r="G1473" s="5">
        <v>28422</v>
      </c>
    </row>
    <row r="1474" spans="1:7" x14ac:dyDescent="0.2">
      <c r="A1474">
        <v>479</v>
      </c>
      <c r="B1474" t="s">
        <v>659</v>
      </c>
      <c r="C1474" t="s">
        <v>703</v>
      </c>
      <c r="D1474" s="5">
        <v>5255</v>
      </c>
      <c r="E1474" s="5">
        <v>59257</v>
      </c>
      <c r="F1474" s="5">
        <v>0</v>
      </c>
      <c r="G1474" s="5">
        <v>64512</v>
      </c>
    </row>
    <row r="1475" spans="1:7" x14ac:dyDescent="0.2">
      <c r="A1475">
        <v>479</v>
      </c>
      <c r="B1475" t="s">
        <v>659</v>
      </c>
      <c r="C1475" t="s">
        <v>704</v>
      </c>
      <c r="D1475" s="5">
        <v>95629</v>
      </c>
      <c r="E1475" s="5">
        <v>1159380</v>
      </c>
      <c r="F1475" s="5">
        <v>21922</v>
      </c>
      <c r="G1475" s="5">
        <v>1276931</v>
      </c>
    </row>
    <row r="1476" spans="1:7" x14ac:dyDescent="0.2">
      <c r="A1476">
        <v>479</v>
      </c>
      <c r="B1476" t="s">
        <v>659</v>
      </c>
      <c r="C1476" t="s">
        <v>705</v>
      </c>
      <c r="D1476" s="5">
        <v>21850</v>
      </c>
      <c r="E1476" s="5">
        <v>252916</v>
      </c>
      <c r="F1476" s="5">
        <v>813</v>
      </c>
      <c r="G1476" s="5">
        <v>275580</v>
      </c>
    </row>
    <row r="1477" spans="1:7" x14ac:dyDescent="0.2">
      <c r="A1477">
        <v>479</v>
      </c>
      <c r="B1477" t="s">
        <v>659</v>
      </c>
      <c r="C1477" t="s">
        <v>706</v>
      </c>
      <c r="D1477" s="5">
        <v>0</v>
      </c>
      <c r="E1477" s="5">
        <v>16</v>
      </c>
      <c r="F1477" s="5">
        <v>0</v>
      </c>
      <c r="G1477" s="5">
        <v>16</v>
      </c>
    </row>
    <row r="1478" spans="1:7" x14ac:dyDescent="0.2">
      <c r="A1478">
        <v>479</v>
      </c>
      <c r="B1478" t="s">
        <v>659</v>
      </c>
      <c r="C1478" t="s">
        <v>707</v>
      </c>
      <c r="D1478" s="5">
        <v>3074</v>
      </c>
      <c r="E1478" s="5">
        <v>3896</v>
      </c>
      <c r="F1478" s="5">
        <v>0</v>
      </c>
      <c r="G1478" s="5">
        <v>6970</v>
      </c>
    </row>
    <row r="1479" spans="1:7" x14ac:dyDescent="0.2">
      <c r="A1479">
        <v>479</v>
      </c>
      <c r="B1479" t="s">
        <v>659</v>
      </c>
      <c r="C1479" t="s">
        <v>708</v>
      </c>
      <c r="D1479" s="5">
        <v>9999</v>
      </c>
      <c r="E1479" s="5">
        <v>131867</v>
      </c>
      <c r="F1479" s="5">
        <v>0</v>
      </c>
      <c r="G1479" s="5">
        <v>141866</v>
      </c>
    </row>
    <row r="1480" spans="1:7" x14ac:dyDescent="0.2">
      <c r="A1480">
        <v>479</v>
      </c>
      <c r="B1480" t="s">
        <v>659</v>
      </c>
      <c r="C1480" t="s">
        <v>709</v>
      </c>
      <c r="D1480" s="5">
        <v>15812</v>
      </c>
      <c r="E1480" s="5">
        <v>115616</v>
      </c>
      <c r="F1480" s="5">
        <v>1572</v>
      </c>
      <c r="G1480" s="5">
        <v>133001</v>
      </c>
    </row>
    <row r="1481" spans="1:7" x14ac:dyDescent="0.2">
      <c r="A1481">
        <v>479</v>
      </c>
      <c r="B1481" t="s">
        <v>659</v>
      </c>
      <c r="C1481" t="s">
        <v>710</v>
      </c>
      <c r="D1481" s="5">
        <v>8599</v>
      </c>
      <c r="E1481" s="5">
        <v>65055</v>
      </c>
      <c r="F1481" s="5">
        <v>103</v>
      </c>
      <c r="G1481" s="5">
        <v>73758</v>
      </c>
    </row>
    <row r="1482" spans="1:7" x14ac:dyDescent="0.2">
      <c r="A1482">
        <v>479</v>
      </c>
      <c r="B1482" t="s">
        <v>659</v>
      </c>
      <c r="C1482" t="s">
        <v>711</v>
      </c>
      <c r="D1482" s="5">
        <v>0</v>
      </c>
      <c r="E1482" s="5">
        <v>900</v>
      </c>
      <c r="F1482" s="5">
        <v>250</v>
      </c>
      <c r="G1482" s="5">
        <v>1150</v>
      </c>
    </row>
    <row r="1483" spans="1:7" x14ac:dyDescent="0.2">
      <c r="A1483">
        <v>479</v>
      </c>
      <c r="B1483" t="s">
        <v>659</v>
      </c>
      <c r="C1483" t="s">
        <v>712</v>
      </c>
      <c r="D1483" s="5">
        <v>53562</v>
      </c>
      <c r="E1483" s="5">
        <v>476532</v>
      </c>
      <c r="F1483" s="5">
        <v>156</v>
      </c>
      <c r="G1483" s="5">
        <v>530251</v>
      </c>
    </row>
    <row r="1484" spans="1:7" x14ac:dyDescent="0.2">
      <c r="A1484">
        <v>482</v>
      </c>
      <c r="B1484" t="s">
        <v>11</v>
      </c>
      <c r="C1484" t="s">
        <v>700</v>
      </c>
      <c r="D1484" s="5">
        <v>40880</v>
      </c>
      <c r="E1484" s="5">
        <v>110899</v>
      </c>
      <c r="F1484" s="5">
        <v>6804</v>
      </c>
      <c r="G1484" s="5">
        <v>158583</v>
      </c>
    </row>
    <row r="1485" spans="1:7" x14ac:dyDescent="0.2">
      <c r="A1485">
        <v>482</v>
      </c>
      <c r="B1485" t="s">
        <v>11</v>
      </c>
      <c r="C1485" t="s">
        <v>701</v>
      </c>
      <c r="D1485" s="5">
        <v>4103</v>
      </c>
      <c r="E1485" s="5">
        <v>13049</v>
      </c>
      <c r="F1485" s="5">
        <v>0</v>
      </c>
      <c r="G1485" s="5">
        <v>17152</v>
      </c>
    </row>
    <row r="1486" spans="1:7" x14ac:dyDescent="0.2">
      <c r="A1486">
        <v>482</v>
      </c>
      <c r="B1486" t="s">
        <v>11</v>
      </c>
      <c r="C1486" t="s">
        <v>703</v>
      </c>
      <c r="D1486" s="5">
        <v>174</v>
      </c>
      <c r="E1486" s="5">
        <v>5090</v>
      </c>
      <c r="F1486" s="5">
        <v>0</v>
      </c>
      <c r="G1486" s="5">
        <v>5264</v>
      </c>
    </row>
    <row r="1487" spans="1:7" x14ac:dyDescent="0.2">
      <c r="A1487">
        <v>482</v>
      </c>
      <c r="B1487" t="s">
        <v>11</v>
      </c>
      <c r="C1487" t="s">
        <v>704</v>
      </c>
      <c r="D1487" s="5">
        <v>15968</v>
      </c>
      <c r="E1487" s="5">
        <v>293572</v>
      </c>
      <c r="F1487" s="5">
        <v>0</v>
      </c>
      <c r="G1487" s="5">
        <v>309540</v>
      </c>
    </row>
    <row r="1488" spans="1:7" x14ac:dyDescent="0.2">
      <c r="A1488">
        <v>482</v>
      </c>
      <c r="B1488" t="s">
        <v>11</v>
      </c>
      <c r="C1488" t="s">
        <v>705</v>
      </c>
      <c r="D1488" s="5">
        <v>1854</v>
      </c>
      <c r="E1488" s="5">
        <v>56277</v>
      </c>
      <c r="F1488" s="5">
        <v>181</v>
      </c>
      <c r="G1488" s="5">
        <v>58312</v>
      </c>
    </row>
    <row r="1489" spans="1:7" x14ac:dyDescent="0.2">
      <c r="A1489">
        <v>482</v>
      </c>
      <c r="B1489" t="s">
        <v>11</v>
      </c>
      <c r="C1489" t="s">
        <v>707</v>
      </c>
      <c r="D1489" s="5">
        <v>459</v>
      </c>
      <c r="E1489" s="5">
        <v>0</v>
      </c>
      <c r="F1489" s="5">
        <v>0</v>
      </c>
      <c r="G1489" s="5">
        <v>459</v>
      </c>
    </row>
    <row r="1490" spans="1:7" x14ac:dyDescent="0.2">
      <c r="A1490">
        <v>482</v>
      </c>
      <c r="B1490" t="s">
        <v>11</v>
      </c>
      <c r="C1490" t="s">
        <v>708</v>
      </c>
      <c r="D1490" s="5">
        <v>2764</v>
      </c>
      <c r="E1490" s="5">
        <v>8288</v>
      </c>
      <c r="F1490" s="5">
        <v>0</v>
      </c>
      <c r="G1490" s="5">
        <v>11052</v>
      </c>
    </row>
    <row r="1491" spans="1:7" x14ac:dyDescent="0.2">
      <c r="A1491">
        <v>482</v>
      </c>
      <c r="B1491" t="s">
        <v>11</v>
      </c>
      <c r="C1491" t="s">
        <v>709</v>
      </c>
      <c r="D1491" s="5">
        <v>1969</v>
      </c>
      <c r="E1491" s="5">
        <v>26716</v>
      </c>
      <c r="F1491" s="5">
        <v>43</v>
      </c>
      <c r="G1491" s="5">
        <v>28729</v>
      </c>
    </row>
    <row r="1492" spans="1:7" x14ac:dyDescent="0.2">
      <c r="A1492">
        <v>482</v>
      </c>
      <c r="B1492" t="s">
        <v>11</v>
      </c>
      <c r="C1492" t="s">
        <v>710</v>
      </c>
      <c r="D1492" s="5">
        <v>2476</v>
      </c>
      <c r="E1492" s="5">
        <v>4246</v>
      </c>
      <c r="F1492" s="5">
        <v>0</v>
      </c>
      <c r="G1492" s="5">
        <v>6722</v>
      </c>
    </row>
    <row r="1493" spans="1:7" x14ac:dyDescent="0.2">
      <c r="A1493">
        <v>482</v>
      </c>
      <c r="B1493" t="s">
        <v>11</v>
      </c>
      <c r="C1493" t="s">
        <v>712</v>
      </c>
      <c r="D1493" s="5">
        <v>3727</v>
      </c>
      <c r="E1493" s="5">
        <v>33801</v>
      </c>
      <c r="F1493" s="5">
        <v>0</v>
      </c>
      <c r="G1493" s="5">
        <v>37528</v>
      </c>
    </row>
    <row r="1494" spans="1:7" x14ac:dyDescent="0.2">
      <c r="A1494">
        <v>484</v>
      </c>
      <c r="B1494" t="s">
        <v>21</v>
      </c>
      <c r="C1494" t="s">
        <v>700</v>
      </c>
      <c r="D1494" s="5">
        <v>1217822</v>
      </c>
      <c r="E1494" s="5">
        <v>812101</v>
      </c>
      <c r="F1494" s="5">
        <v>14090</v>
      </c>
      <c r="G1494" s="5">
        <v>2044013</v>
      </c>
    </row>
    <row r="1495" spans="1:7" x14ac:dyDescent="0.2">
      <c r="A1495">
        <v>484</v>
      </c>
      <c r="B1495" t="s">
        <v>21</v>
      </c>
      <c r="C1495" t="s">
        <v>701</v>
      </c>
      <c r="D1495" s="5">
        <v>26077</v>
      </c>
      <c r="E1495" s="5">
        <v>53130</v>
      </c>
      <c r="F1495" s="5">
        <v>59</v>
      </c>
      <c r="G1495" s="5">
        <v>79266</v>
      </c>
    </row>
    <row r="1496" spans="1:7" x14ac:dyDescent="0.2">
      <c r="A1496">
        <v>484</v>
      </c>
      <c r="B1496" t="s">
        <v>21</v>
      </c>
      <c r="C1496" t="s">
        <v>702</v>
      </c>
      <c r="D1496" s="5">
        <v>0</v>
      </c>
      <c r="E1496" s="5">
        <v>1673</v>
      </c>
      <c r="F1496" s="5">
        <v>0</v>
      </c>
      <c r="G1496" s="5">
        <v>1673</v>
      </c>
    </row>
    <row r="1497" spans="1:7" x14ac:dyDescent="0.2">
      <c r="A1497">
        <v>484</v>
      </c>
      <c r="B1497" t="s">
        <v>21</v>
      </c>
      <c r="C1497" t="s">
        <v>703</v>
      </c>
      <c r="D1497" s="5">
        <v>4132</v>
      </c>
      <c r="E1497" s="5">
        <v>12665</v>
      </c>
      <c r="F1497" s="5">
        <v>0</v>
      </c>
      <c r="G1497" s="5">
        <v>16797</v>
      </c>
    </row>
    <row r="1498" spans="1:7" x14ac:dyDescent="0.2">
      <c r="A1498">
        <v>484</v>
      </c>
      <c r="B1498" t="s">
        <v>21</v>
      </c>
      <c r="C1498" t="s">
        <v>704</v>
      </c>
      <c r="D1498" s="5">
        <v>257432</v>
      </c>
      <c r="E1498" s="5">
        <v>938034</v>
      </c>
      <c r="F1498" s="5">
        <v>5427</v>
      </c>
      <c r="G1498" s="5">
        <v>1200893</v>
      </c>
    </row>
    <row r="1499" spans="1:7" x14ac:dyDescent="0.2">
      <c r="A1499">
        <v>484</v>
      </c>
      <c r="B1499" t="s">
        <v>21</v>
      </c>
      <c r="C1499" t="s">
        <v>705</v>
      </c>
      <c r="D1499" s="5">
        <v>18135</v>
      </c>
      <c r="E1499" s="5">
        <v>144111</v>
      </c>
      <c r="F1499" s="5">
        <v>0</v>
      </c>
      <c r="G1499" s="5">
        <v>162246</v>
      </c>
    </row>
    <row r="1500" spans="1:7" x14ac:dyDescent="0.2">
      <c r="A1500">
        <v>484</v>
      </c>
      <c r="B1500" t="s">
        <v>21</v>
      </c>
      <c r="C1500" t="s">
        <v>707</v>
      </c>
      <c r="D1500" s="5">
        <v>3134</v>
      </c>
      <c r="E1500" s="5">
        <v>67</v>
      </c>
      <c r="F1500" s="5">
        <v>0</v>
      </c>
      <c r="G1500" s="5">
        <v>3201</v>
      </c>
    </row>
    <row r="1501" spans="1:7" x14ac:dyDescent="0.2">
      <c r="A1501">
        <v>484</v>
      </c>
      <c r="B1501" t="s">
        <v>21</v>
      </c>
      <c r="C1501" t="s">
        <v>708</v>
      </c>
      <c r="D1501" s="5">
        <v>6418</v>
      </c>
      <c r="E1501" s="5">
        <v>104077</v>
      </c>
      <c r="F1501" s="5">
        <v>0</v>
      </c>
      <c r="G1501" s="5">
        <v>110495</v>
      </c>
    </row>
    <row r="1502" spans="1:7" x14ac:dyDescent="0.2">
      <c r="A1502">
        <v>484</v>
      </c>
      <c r="B1502" t="s">
        <v>21</v>
      </c>
      <c r="C1502" t="s">
        <v>709</v>
      </c>
      <c r="D1502" s="5">
        <v>40934</v>
      </c>
      <c r="E1502" s="5">
        <v>178920</v>
      </c>
      <c r="F1502" s="5">
        <v>6193</v>
      </c>
      <c r="G1502" s="5">
        <v>226048</v>
      </c>
    </row>
    <row r="1503" spans="1:7" x14ac:dyDescent="0.2">
      <c r="A1503">
        <v>484</v>
      </c>
      <c r="B1503" t="s">
        <v>21</v>
      </c>
      <c r="C1503" t="s">
        <v>710</v>
      </c>
      <c r="D1503" s="5">
        <v>1732</v>
      </c>
      <c r="E1503" s="5">
        <v>49041</v>
      </c>
      <c r="F1503" s="5">
        <v>371</v>
      </c>
      <c r="G1503" s="5">
        <v>51144</v>
      </c>
    </row>
    <row r="1504" spans="1:7" x14ac:dyDescent="0.2">
      <c r="A1504">
        <v>484</v>
      </c>
      <c r="B1504" t="s">
        <v>21</v>
      </c>
      <c r="C1504" t="s">
        <v>711</v>
      </c>
      <c r="D1504" s="5">
        <v>60</v>
      </c>
      <c r="E1504" s="5">
        <v>0</v>
      </c>
      <c r="F1504" s="5">
        <v>0</v>
      </c>
      <c r="G1504" s="5">
        <v>60</v>
      </c>
    </row>
    <row r="1505" spans="1:7" x14ac:dyDescent="0.2">
      <c r="A1505">
        <v>484</v>
      </c>
      <c r="B1505" t="s">
        <v>21</v>
      </c>
      <c r="C1505" t="s">
        <v>712</v>
      </c>
      <c r="D1505" s="5">
        <v>32762</v>
      </c>
      <c r="E1505" s="5">
        <v>209091</v>
      </c>
      <c r="F1505" s="5">
        <v>0</v>
      </c>
      <c r="G1505" s="5">
        <v>241854</v>
      </c>
    </row>
    <row r="1506" spans="1:7" x14ac:dyDescent="0.2">
      <c r="A1506">
        <v>489</v>
      </c>
      <c r="B1506" t="s">
        <v>47</v>
      </c>
      <c r="C1506" t="s">
        <v>700</v>
      </c>
      <c r="D1506" s="5">
        <v>97760</v>
      </c>
      <c r="E1506" s="5">
        <v>331756</v>
      </c>
      <c r="F1506" s="5">
        <v>4856</v>
      </c>
      <c r="G1506" s="5">
        <v>434372</v>
      </c>
    </row>
    <row r="1507" spans="1:7" x14ac:dyDescent="0.2">
      <c r="A1507">
        <v>489</v>
      </c>
      <c r="B1507" t="s">
        <v>47</v>
      </c>
      <c r="C1507" t="s">
        <v>701</v>
      </c>
      <c r="D1507" s="5">
        <v>8382</v>
      </c>
      <c r="E1507" s="5">
        <v>31367</v>
      </c>
      <c r="F1507" s="5">
        <v>0</v>
      </c>
      <c r="G1507" s="5">
        <v>39749</v>
      </c>
    </row>
    <row r="1508" spans="1:7" x14ac:dyDescent="0.2">
      <c r="A1508">
        <v>489</v>
      </c>
      <c r="B1508" t="s">
        <v>47</v>
      </c>
      <c r="C1508" t="s">
        <v>703</v>
      </c>
      <c r="D1508" s="5">
        <v>889</v>
      </c>
      <c r="E1508" s="5">
        <v>1478</v>
      </c>
      <c r="F1508" s="5">
        <v>0</v>
      </c>
      <c r="G1508" s="5">
        <v>2368</v>
      </c>
    </row>
    <row r="1509" spans="1:7" x14ac:dyDescent="0.2">
      <c r="A1509">
        <v>489</v>
      </c>
      <c r="B1509" t="s">
        <v>47</v>
      </c>
      <c r="C1509" t="s">
        <v>704</v>
      </c>
      <c r="D1509" s="5">
        <v>11965</v>
      </c>
      <c r="E1509" s="5">
        <v>365719</v>
      </c>
      <c r="F1509" s="5">
        <v>852</v>
      </c>
      <c r="G1509" s="5">
        <v>378536</v>
      </c>
    </row>
    <row r="1510" spans="1:7" x14ac:dyDescent="0.2">
      <c r="A1510">
        <v>489</v>
      </c>
      <c r="B1510" t="s">
        <v>47</v>
      </c>
      <c r="C1510" t="s">
        <v>705</v>
      </c>
      <c r="D1510" s="5">
        <v>6866</v>
      </c>
      <c r="E1510" s="5">
        <v>106062</v>
      </c>
      <c r="F1510" s="5">
        <v>235</v>
      </c>
      <c r="G1510" s="5">
        <v>113162</v>
      </c>
    </row>
    <row r="1511" spans="1:7" x14ac:dyDescent="0.2">
      <c r="A1511">
        <v>489</v>
      </c>
      <c r="B1511" t="s">
        <v>47</v>
      </c>
      <c r="C1511" t="s">
        <v>707</v>
      </c>
      <c r="D1511" s="5">
        <v>0</v>
      </c>
      <c r="E1511" s="5">
        <v>949</v>
      </c>
      <c r="F1511" s="5">
        <v>0</v>
      </c>
      <c r="G1511" s="5">
        <v>949</v>
      </c>
    </row>
    <row r="1512" spans="1:7" x14ac:dyDescent="0.2">
      <c r="A1512">
        <v>489</v>
      </c>
      <c r="B1512" t="s">
        <v>47</v>
      </c>
      <c r="C1512" t="s">
        <v>708</v>
      </c>
      <c r="D1512" s="5">
        <v>606</v>
      </c>
      <c r="E1512" s="5">
        <v>32107</v>
      </c>
      <c r="F1512" s="5">
        <v>0</v>
      </c>
      <c r="G1512" s="5">
        <v>32712</v>
      </c>
    </row>
    <row r="1513" spans="1:7" x14ac:dyDescent="0.2">
      <c r="A1513">
        <v>489</v>
      </c>
      <c r="B1513" t="s">
        <v>47</v>
      </c>
      <c r="C1513" t="s">
        <v>709</v>
      </c>
      <c r="D1513" s="5">
        <v>8616</v>
      </c>
      <c r="E1513" s="5">
        <v>52327</v>
      </c>
      <c r="F1513" s="5">
        <v>111</v>
      </c>
      <c r="G1513" s="5">
        <v>61054</v>
      </c>
    </row>
    <row r="1514" spans="1:7" x14ac:dyDescent="0.2">
      <c r="A1514">
        <v>489</v>
      </c>
      <c r="B1514" t="s">
        <v>47</v>
      </c>
      <c r="C1514" t="s">
        <v>710</v>
      </c>
      <c r="D1514" s="5">
        <v>0</v>
      </c>
      <c r="E1514" s="5">
        <v>22121</v>
      </c>
      <c r="F1514" s="5">
        <v>0</v>
      </c>
      <c r="G1514" s="5">
        <v>22121</v>
      </c>
    </row>
    <row r="1515" spans="1:7" x14ac:dyDescent="0.2">
      <c r="A1515">
        <v>489</v>
      </c>
      <c r="B1515" t="s">
        <v>47</v>
      </c>
      <c r="C1515" t="s">
        <v>712</v>
      </c>
      <c r="D1515" s="5">
        <v>6819</v>
      </c>
      <c r="E1515" s="5">
        <v>170083</v>
      </c>
      <c r="F1515" s="5">
        <v>3186</v>
      </c>
      <c r="G1515" s="5">
        <v>180088</v>
      </c>
    </row>
    <row r="1516" spans="1:7" x14ac:dyDescent="0.2">
      <c r="A1516">
        <v>498</v>
      </c>
      <c r="B1516" t="s">
        <v>145</v>
      </c>
      <c r="C1516" t="s">
        <v>700</v>
      </c>
      <c r="D1516" s="5">
        <v>407942</v>
      </c>
      <c r="E1516" s="5">
        <v>453577</v>
      </c>
      <c r="F1516" s="5">
        <v>20744</v>
      </c>
      <c r="G1516" s="5">
        <v>882263</v>
      </c>
    </row>
    <row r="1517" spans="1:7" x14ac:dyDescent="0.2">
      <c r="A1517">
        <v>498</v>
      </c>
      <c r="B1517" t="s">
        <v>145</v>
      </c>
      <c r="C1517" t="s">
        <v>701</v>
      </c>
      <c r="D1517" s="5">
        <v>8833</v>
      </c>
      <c r="E1517" s="5">
        <v>9334</v>
      </c>
      <c r="F1517" s="5">
        <v>0</v>
      </c>
      <c r="G1517" s="5">
        <v>18167</v>
      </c>
    </row>
    <row r="1518" spans="1:7" x14ac:dyDescent="0.2">
      <c r="A1518">
        <v>498</v>
      </c>
      <c r="B1518" t="s">
        <v>145</v>
      </c>
      <c r="C1518" t="s">
        <v>703</v>
      </c>
      <c r="D1518" s="5">
        <v>720</v>
      </c>
      <c r="E1518" s="5">
        <v>2835</v>
      </c>
      <c r="F1518" s="5">
        <v>0</v>
      </c>
      <c r="G1518" s="5">
        <v>3555</v>
      </c>
    </row>
    <row r="1519" spans="1:7" x14ac:dyDescent="0.2">
      <c r="A1519">
        <v>498</v>
      </c>
      <c r="B1519" t="s">
        <v>145</v>
      </c>
      <c r="C1519" t="s">
        <v>704</v>
      </c>
      <c r="D1519" s="5">
        <v>102860</v>
      </c>
      <c r="E1519" s="5">
        <v>295131</v>
      </c>
      <c r="F1519" s="5">
        <v>3169</v>
      </c>
      <c r="G1519" s="5">
        <v>401160</v>
      </c>
    </row>
    <row r="1520" spans="1:7" x14ac:dyDescent="0.2">
      <c r="A1520">
        <v>498</v>
      </c>
      <c r="B1520" t="s">
        <v>145</v>
      </c>
      <c r="C1520" t="s">
        <v>705</v>
      </c>
      <c r="D1520" s="5">
        <v>20847</v>
      </c>
      <c r="E1520" s="5">
        <v>23586</v>
      </c>
      <c r="F1520" s="5">
        <v>2450</v>
      </c>
      <c r="G1520" s="5">
        <v>46882</v>
      </c>
    </row>
    <row r="1521" spans="1:7" x14ac:dyDescent="0.2">
      <c r="A1521">
        <v>498</v>
      </c>
      <c r="B1521" t="s">
        <v>145</v>
      </c>
      <c r="C1521" t="s">
        <v>707</v>
      </c>
      <c r="D1521" s="5">
        <v>10285</v>
      </c>
      <c r="E1521" s="5">
        <v>28523</v>
      </c>
      <c r="F1521" s="5">
        <v>905</v>
      </c>
      <c r="G1521" s="5">
        <v>39714</v>
      </c>
    </row>
    <row r="1522" spans="1:7" x14ac:dyDescent="0.2">
      <c r="A1522">
        <v>498</v>
      </c>
      <c r="B1522" t="s">
        <v>145</v>
      </c>
      <c r="C1522" t="s">
        <v>708</v>
      </c>
      <c r="D1522" s="5">
        <v>0</v>
      </c>
      <c r="E1522" s="5">
        <v>13175</v>
      </c>
      <c r="F1522" s="5">
        <v>0</v>
      </c>
      <c r="G1522" s="5">
        <v>13175</v>
      </c>
    </row>
    <row r="1523" spans="1:7" x14ac:dyDescent="0.2">
      <c r="A1523">
        <v>498</v>
      </c>
      <c r="B1523" t="s">
        <v>145</v>
      </c>
      <c r="C1523" t="s">
        <v>709</v>
      </c>
      <c r="D1523" s="5">
        <v>4810</v>
      </c>
      <c r="E1523" s="5">
        <v>10936</v>
      </c>
      <c r="F1523" s="5">
        <v>48</v>
      </c>
      <c r="G1523" s="5">
        <v>15794</v>
      </c>
    </row>
    <row r="1524" spans="1:7" x14ac:dyDescent="0.2">
      <c r="A1524">
        <v>498</v>
      </c>
      <c r="B1524" t="s">
        <v>145</v>
      </c>
      <c r="C1524" t="s">
        <v>710</v>
      </c>
      <c r="D1524" s="5">
        <v>3946</v>
      </c>
      <c r="E1524" s="5">
        <v>13146</v>
      </c>
      <c r="F1524" s="5">
        <v>0</v>
      </c>
      <c r="G1524" s="5">
        <v>17092</v>
      </c>
    </row>
    <row r="1525" spans="1:7" x14ac:dyDescent="0.2">
      <c r="A1525">
        <v>498</v>
      </c>
      <c r="B1525" t="s">
        <v>145</v>
      </c>
      <c r="C1525" t="s">
        <v>712</v>
      </c>
      <c r="D1525" s="5">
        <v>12304</v>
      </c>
      <c r="E1525" s="5">
        <v>45909</v>
      </c>
      <c r="F1525" s="5">
        <v>176</v>
      </c>
      <c r="G1525" s="5">
        <v>58388</v>
      </c>
    </row>
    <row r="1526" spans="1:7" x14ac:dyDescent="0.2">
      <c r="A1526">
        <v>501</v>
      </c>
      <c r="B1526" s="9" t="s">
        <v>599</v>
      </c>
      <c r="C1526" t="s">
        <v>700</v>
      </c>
      <c r="D1526" s="5">
        <v>365286</v>
      </c>
      <c r="E1526" s="5">
        <v>338294</v>
      </c>
      <c r="F1526" s="5">
        <v>1717</v>
      </c>
      <c r="G1526" s="5">
        <v>705296</v>
      </c>
    </row>
    <row r="1527" spans="1:7" x14ac:dyDescent="0.2">
      <c r="A1527">
        <v>501</v>
      </c>
      <c r="B1527" s="9" t="s">
        <v>599</v>
      </c>
      <c r="C1527" t="s">
        <v>701</v>
      </c>
      <c r="D1527" s="5">
        <v>11610</v>
      </c>
      <c r="E1527" s="5">
        <v>5222</v>
      </c>
      <c r="F1527" s="5">
        <v>42</v>
      </c>
      <c r="G1527" s="5">
        <v>16873</v>
      </c>
    </row>
    <row r="1528" spans="1:7" x14ac:dyDescent="0.2">
      <c r="A1528">
        <v>501</v>
      </c>
      <c r="B1528" s="9" t="s">
        <v>599</v>
      </c>
      <c r="C1528" t="s">
        <v>703</v>
      </c>
      <c r="D1528" s="5">
        <v>889</v>
      </c>
      <c r="E1528" s="5">
        <v>12154</v>
      </c>
      <c r="F1528" s="5">
        <v>0</v>
      </c>
      <c r="G1528" s="5">
        <v>13044</v>
      </c>
    </row>
    <row r="1529" spans="1:7" x14ac:dyDescent="0.2">
      <c r="A1529">
        <v>501</v>
      </c>
      <c r="B1529" s="9" t="s">
        <v>599</v>
      </c>
      <c r="C1529" t="s">
        <v>704</v>
      </c>
      <c r="D1529" s="5">
        <v>313576</v>
      </c>
      <c r="E1529" s="5">
        <v>420929</v>
      </c>
      <c r="F1529" s="5">
        <v>22</v>
      </c>
      <c r="G1529" s="5">
        <v>734527</v>
      </c>
    </row>
    <row r="1530" spans="1:7" x14ac:dyDescent="0.2">
      <c r="A1530">
        <v>501</v>
      </c>
      <c r="B1530" s="9" t="s">
        <v>599</v>
      </c>
      <c r="C1530" t="s">
        <v>705</v>
      </c>
      <c r="D1530" s="5">
        <v>7766</v>
      </c>
      <c r="E1530" s="5">
        <v>12604</v>
      </c>
      <c r="F1530" s="5">
        <v>2663</v>
      </c>
      <c r="G1530" s="5">
        <v>23033</v>
      </c>
    </row>
    <row r="1531" spans="1:7" x14ac:dyDescent="0.2">
      <c r="A1531">
        <v>501</v>
      </c>
      <c r="B1531" s="9" t="s">
        <v>599</v>
      </c>
      <c r="C1531" t="s">
        <v>707</v>
      </c>
      <c r="D1531" s="5">
        <v>1693</v>
      </c>
      <c r="E1531" s="5">
        <v>6614</v>
      </c>
      <c r="F1531" s="5">
        <v>183</v>
      </c>
      <c r="G1531" s="5">
        <v>8489</v>
      </c>
    </row>
    <row r="1532" spans="1:7" x14ac:dyDescent="0.2">
      <c r="A1532">
        <v>501</v>
      </c>
      <c r="B1532" s="9" t="s">
        <v>599</v>
      </c>
      <c r="C1532" t="s">
        <v>708</v>
      </c>
      <c r="D1532" s="5">
        <v>2154</v>
      </c>
      <c r="E1532" s="5">
        <v>21196</v>
      </c>
      <c r="F1532" s="5">
        <v>0</v>
      </c>
      <c r="G1532" s="5">
        <v>23350</v>
      </c>
    </row>
    <row r="1533" spans="1:7" x14ac:dyDescent="0.2">
      <c r="A1533">
        <v>501</v>
      </c>
      <c r="B1533" s="9" t="s">
        <v>599</v>
      </c>
      <c r="C1533" t="s">
        <v>709</v>
      </c>
      <c r="D1533" s="5">
        <v>2276</v>
      </c>
      <c r="E1533" s="5">
        <v>11442</v>
      </c>
      <c r="F1533" s="5">
        <v>59</v>
      </c>
      <c r="G1533" s="5">
        <v>13777</v>
      </c>
    </row>
    <row r="1534" spans="1:7" x14ac:dyDescent="0.2">
      <c r="A1534">
        <v>501</v>
      </c>
      <c r="B1534" s="9" t="s">
        <v>599</v>
      </c>
      <c r="C1534" t="s">
        <v>710</v>
      </c>
      <c r="D1534" s="5">
        <v>2249</v>
      </c>
      <c r="E1534" s="5">
        <v>6838</v>
      </c>
      <c r="F1534" s="5">
        <v>0</v>
      </c>
      <c r="G1534" s="5">
        <v>9087</v>
      </c>
    </row>
    <row r="1535" spans="1:7" x14ac:dyDescent="0.2">
      <c r="A1535">
        <v>501</v>
      </c>
      <c r="B1535" s="9" t="s">
        <v>599</v>
      </c>
      <c r="C1535" t="s">
        <v>712</v>
      </c>
      <c r="D1535" s="5">
        <v>7722</v>
      </c>
      <c r="E1535" s="5">
        <v>22611</v>
      </c>
      <c r="F1535" s="5">
        <v>0</v>
      </c>
      <c r="G1535" s="5">
        <v>30333</v>
      </c>
    </row>
    <row r="1536" spans="1:7" x14ac:dyDescent="0.2">
      <c r="A1536">
        <v>502</v>
      </c>
      <c r="B1536" t="s">
        <v>111</v>
      </c>
      <c r="C1536" t="s">
        <v>700</v>
      </c>
      <c r="D1536" s="5">
        <v>35942</v>
      </c>
      <c r="E1536" s="5">
        <v>174629</v>
      </c>
      <c r="F1536" s="5">
        <v>1809</v>
      </c>
      <c r="G1536" s="5">
        <v>212380</v>
      </c>
    </row>
    <row r="1537" spans="1:7" x14ac:dyDescent="0.2">
      <c r="A1537">
        <v>502</v>
      </c>
      <c r="B1537" t="s">
        <v>111</v>
      </c>
      <c r="C1537" t="s">
        <v>701</v>
      </c>
      <c r="D1537" s="5">
        <v>4394</v>
      </c>
      <c r="E1537" s="5">
        <v>22268</v>
      </c>
      <c r="F1537" s="5">
        <v>0</v>
      </c>
      <c r="G1537" s="5">
        <v>26662</v>
      </c>
    </row>
    <row r="1538" spans="1:7" x14ac:dyDescent="0.2">
      <c r="A1538">
        <v>502</v>
      </c>
      <c r="B1538" t="s">
        <v>111</v>
      </c>
      <c r="C1538" t="s">
        <v>702</v>
      </c>
      <c r="D1538" s="5">
        <v>20</v>
      </c>
      <c r="E1538" s="5">
        <v>0</v>
      </c>
      <c r="F1538" s="5">
        <v>0</v>
      </c>
      <c r="G1538" s="5">
        <v>20</v>
      </c>
    </row>
    <row r="1539" spans="1:7" x14ac:dyDescent="0.2">
      <c r="A1539">
        <v>502</v>
      </c>
      <c r="B1539" t="s">
        <v>111</v>
      </c>
      <c r="C1539" t="s">
        <v>703</v>
      </c>
      <c r="D1539" s="5">
        <v>306</v>
      </c>
      <c r="E1539" s="5">
        <v>25513</v>
      </c>
      <c r="F1539" s="5">
        <v>0</v>
      </c>
      <c r="G1539" s="5">
        <v>25820</v>
      </c>
    </row>
    <row r="1540" spans="1:7" x14ac:dyDescent="0.2">
      <c r="A1540">
        <v>502</v>
      </c>
      <c r="B1540" t="s">
        <v>111</v>
      </c>
      <c r="C1540" t="s">
        <v>704</v>
      </c>
      <c r="D1540" s="5">
        <v>7628</v>
      </c>
      <c r="E1540" s="5">
        <v>139650</v>
      </c>
      <c r="F1540" s="5">
        <v>0</v>
      </c>
      <c r="G1540" s="5">
        <v>147278</v>
      </c>
    </row>
    <row r="1541" spans="1:7" x14ac:dyDescent="0.2">
      <c r="A1541">
        <v>502</v>
      </c>
      <c r="B1541" t="s">
        <v>111</v>
      </c>
      <c r="C1541" t="s">
        <v>705</v>
      </c>
      <c r="D1541" s="5">
        <v>15801</v>
      </c>
      <c r="E1541" s="5">
        <v>196565</v>
      </c>
      <c r="F1541" s="5">
        <v>2683</v>
      </c>
      <c r="G1541" s="5">
        <v>215048</v>
      </c>
    </row>
    <row r="1542" spans="1:7" x14ac:dyDescent="0.2">
      <c r="A1542">
        <v>502</v>
      </c>
      <c r="B1542" t="s">
        <v>111</v>
      </c>
      <c r="C1542" t="s">
        <v>707</v>
      </c>
      <c r="D1542" s="5">
        <v>0</v>
      </c>
      <c r="E1542" s="5">
        <v>3836</v>
      </c>
      <c r="F1542" s="5">
        <v>0</v>
      </c>
      <c r="G1542" s="5">
        <v>3836</v>
      </c>
    </row>
    <row r="1543" spans="1:7" x14ac:dyDescent="0.2">
      <c r="A1543">
        <v>502</v>
      </c>
      <c r="B1543" t="s">
        <v>111</v>
      </c>
      <c r="C1543" t="s">
        <v>708</v>
      </c>
      <c r="D1543" s="5">
        <v>979</v>
      </c>
      <c r="E1543" s="5">
        <v>49667</v>
      </c>
      <c r="F1543" s="5">
        <v>0</v>
      </c>
      <c r="G1543" s="5">
        <v>50647</v>
      </c>
    </row>
    <row r="1544" spans="1:7" x14ac:dyDescent="0.2">
      <c r="A1544">
        <v>502</v>
      </c>
      <c r="B1544" t="s">
        <v>111</v>
      </c>
      <c r="C1544" t="s">
        <v>709</v>
      </c>
      <c r="D1544" s="5">
        <v>9030</v>
      </c>
      <c r="E1544" s="5">
        <v>132359</v>
      </c>
      <c r="F1544" s="5">
        <v>253</v>
      </c>
      <c r="G1544" s="5">
        <v>141642</v>
      </c>
    </row>
    <row r="1545" spans="1:7" x14ac:dyDescent="0.2">
      <c r="A1545">
        <v>502</v>
      </c>
      <c r="B1545" t="s">
        <v>111</v>
      </c>
      <c r="C1545" t="s">
        <v>710</v>
      </c>
      <c r="D1545" s="5">
        <v>1948</v>
      </c>
      <c r="E1545" s="5">
        <v>23961</v>
      </c>
      <c r="F1545" s="5">
        <v>0</v>
      </c>
      <c r="G1545" s="5">
        <v>25909</v>
      </c>
    </row>
    <row r="1546" spans="1:7" x14ac:dyDescent="0.2">
      <c r="A1546">
        <v>502</v>
      </c>
      <c r="B1546" t="s">
        <v>111</v>
      </c>
      <c r="C1546" t="s">
        <v>712</v>
      </c>
      <c r="D1546" s="5">
        <v>5443</v>
      </c>
      <c r="E1546" s="5">
        <v>117688</v>
      </c>
      <c r="F1546" s="5">
        <v>0</v>
      </c>
      <c r="G1546" s="5">
        <v>123131</v>
      </c>
    </row>
    <row r="1547" spans="1:7" x14ac:dyDescent="0.2">
      <c r="A1547">
        <v>503</v>
      </c>
      <c r="B1547" t="s">
        <v>125</v>
      </c>
      <c r="C1547" t="s">
        <v>700</v>
      </c>
      <c r="D1547" s="5">
        <v>79015</v>
      </c>
      <c r="E1547" s="5">
        <v>182107</v>
      </c>
      <c r="F1547" s="5">
        <v>8677</v>
      </c>
      <c r="G1547" s="5">
        <v>269799</v>
      </c>
    </row>
    <row r="1548" spans="1:7" x14ac:dyDescent="0.2">
      <c r="A1548">
        <v>503</v>
      </c>
      <c r="B1548" t="s">
        <v>125</v>
      </c>
      <c r="C1548" t="s">
        <v>701</v>
      </c>
      <c r="D1548" s="5">
        <v>40516</v>
      </c>
      <c r="E1548" s="5">
        <v>90005</v>
      </c>
      <c r="F1548" s="5">
        <v>242</v>
      </c>
      <c r="G1548" s="5">
        <v>130763</v>
      </c>
    </row>
    <row r="1549" spans="1:7" x14ac:dyDescent="0.2">
      <c r="A1549">
        <v>503</v>
      </c>
      <c r="B1549" t="s">
        <v>125</v>
      </c>
      <c r="C1549" t="s">
        <v>703</v>
      </c>
      <c r="D1549" s="5">
        <v>1776</v>
      </c>
      <c r="E1549" s="5">
        <v>47801</v>
      </c>
      <c r="F1549" s="5">
        <v>119</v>
      </c>
      <c r="G1549" s="5">
        <v>49696</v>
      </c>
    </row>
    <row r="1550" spans="1:7" x14ac:dyDescent="0.2">
      <c r="A1550">
        <v>503</v>
      </c>
      <c r="B1550" t="s">
        <v>125</v>
      </c>
      <c r="C1550" t="s">
        <v>704</v>
      </c>
      <c r="D1550" s="5">
        <v>7160</v>
      </c>
      <c r="E1550" s="5">
        <v>123113</v>
      </c>
      <c r="F1550" s="5">
        <v>2817</v>
      </c>
      <c r="G1550" s="5">
        <v>133091</v>
      </c>
    </row>
    <row r="1551" spans="1:7" x14ac:dyDescent="0.2">
      <c r="A1551">
        <v>503</v>
      </c>
      <c r="B1551" t="s">
        <v>125</v>
      </c>
      <c r="C1551" t="s">
        <v>705</v>
      </c>
      <c r="D1551" s="5">
        <v>21011</v>
      </c>
      <c r="E1551" s="5">
        <v>272228</v>
      </c>
      <c r="F1551" s="5">
        <v>1290</v>
      </c>
      <c r="G1551" s="5">
        <v>294529</v>
      </c>
    </row>
    <row r="1552" spans="1:7" x14ac:dyDescent="0.2">
      <c r="A1552">
        <v>503</v>
      </c>
      <c r="B1552" t="s">
        <v>125</v>
      </c>
      <c r="C1552" t="s">
        <v>707</v>
      </c>
      <c r="D1552" s="5">
        <v>6195</v>
      </c>
      <c r="E1552" s="5">
        <v>4799</v>
      </c>
      <c r="F1552" s="5">
        <v>0</v>
      </c>
      <c r="G1552" s="5">
        <v>10994</v>
      </c>
    </row>
    <row r="1553" spans="1:7" x14ac:dyDescent="0.2">
      <c r="A1553">
        <v>503</v>
      </c>
      <c r="B1553" t="s">
        <v>125</v>
      </c>
      <c r="C1553" t="s">
        <v>708</v>
      </c>
      <c r="D1553" s="5">
        <v>12489</v>
      </c>
      <c r="E1553" s="5">
        <v>222890</v>
      </c>
      <c r="F1553" s="5">
        <v>10226</v>
      </c>
      <c r="G1553" s="5">
        <v>245605</v>
      </c>
    </row>
    <row r="1554" spans="1:7" x14ac:dyDescent="0.2">
      <c r="A1554">
        <v>503</v>
      </c>
      <c r="B1554" t="s">
        <v>125</v>
      </c>
      <c r="C1554" t="s">
        <v>709</v>
      </c>
      <c r="D1554" s="5">
        <v>19290</v>
      </c>
      <c r="E1554" s="5">
        <v>254872</v>
      </c>
      <c r="F1554" s="5">
        <v>809</v>
      </c>
      <c r="G1554" s="5">
        <v>274970</v>
      </c>
    </row>
    <row r="1555" spans="1:7" x14ac:dyDescent="0.2">
      <c r="A1555">
        <v>503</v>
      </c>
      <c r="B1555" t="s">
        <v>125</v>
      </c>
      <c r="C1555" t="s">
        <v>710</v>
      </c>
      <c r="D1555" s="5">
        <v>2435</v>
      </c>
      <c r="E1555" s="5">
        <v>44305</v>
      </c>
      <c r="F1555" s="5">
        <v>0</v>
      </c>
      <c r="G1555" s="5">
        <v>46740</v>
      </c>
    </row>
    <row r="1556" spans="1:7" x14ac:dyDescent="0.2">
      <c r="A1556">
        <v>503</v>
      </c>
      <c r="B1556" t="s">
        <v>125</v>
      </c>
      <c r="C1556" t="s">
        <v>712</v>
      </c>
      <c r="D1556" s="5">
        <v>57373</v>
      </c>
      <c r="E1556" s="5">
        <v>232106</v>
      </c>
      <c r="F1556" s="5">
        <v>237</v>
      </c>
      <c r="G1556" s="5">
        <v>289716</v>
      </c>
    </row>
    <row r="1557" spans="1:7" x14ac:dyDescent="0.2">
      <c r="A1557">
        <v>505</v>
      </c>
      <c r="B1557" t="s">
        <v>143</v>
      </c>
      <c r="C1557" t="s">
        <v>700</v>
      </c>
      <c r="D1557" s="5">
        <v>212733</v>
      </c>
      <c r="E1557" s="5">
        <v>697597</v>
      </c>
      <c r="F1557" s="5">
        <v>7607</v>
      </c>
      <c r="G1557" s="5">
        <v>917937</v>
      </c>
    </row>
    <row r="1558" spans="1:7" x14ac:dyDescent="0.2">
      <c r="A1558">
        <v>505</v>
      </c>
      <c r="B1558" t="s">
        <v>143</v>
      </c>
      <c r="C1558" t="s">
        <v>701</v>
      </c>
      <c r="D1558" s="5">
        <v>26067</v>
      </c>
      <c r="E1558" s="5">
        <v>87370</v>
      </c>
      <c r="F1558" s="5">
        <v>432</v>
      </c>
      <c r="G1558" s="5">
        <v>113868</v>
      </c>
    </row>
    <row r="1559" spans="1:7" x14ac:dyDescent="0.2">
      <c r="A1559">
        <v>505</v>
      </c>
      <c r="B1559" t="s">
        <v>143</v>
      </c>
      <c r="C1559" t="s">
        <v>703</v>
      </c>
      <c r="D1559" s="5">
        <v>3510</v>
      </c>
      <c r="E1559" s="5">
        <v>80037</v>
      </c>
      <c r="F1559" s="5">
        <v>0</v>
      </c>
      <c r="G1559" s="5">
        <v>83547</v>
      </c>
    </row>
    <row r="1560" spans="1:7" x14ac:dyDescent="0.2">
      <c r="A1560">
        <v>505</v>
      </c>
      <c r="B1560" t="s">
        <v>143</v>
      </c>
      <c r="C1560" t="s">
        <v>704</v>
      </c>
      <c r="D1560" s="5">
        <v>53037</v>
      </c>
      <c r="E1560" s="5">
        <v>654779</v>
      </c>
      <c r="F1560" s="5">
        <v>4331</v>
      </c>
      <c r="G1560" s="5">
        <v>712147</v>
      </c>
    </row>
    <row r="1561" spans="1:7" x14ac:dyDescent="0.2">
      <c r="A1561">
        <v>505</v>
      </c>
      <c r="B1561" t="s">
        <v>143</v>
      </c>
      <c r="C1561" t="s">
        <v>705</v>
      </c>
      <c r="D1561" s="5">
        <v>29849</v>
      </c>
      <c r="E1561" s="5">
        <v>390005</v>
      </c>
      <c r="F1561" s="5">
        <v>4694</v>
      </c>
      <c r="G1561" s="5">
        <v>424548</v>
      </c>
    </row>
    <row r="1562" spans="1:7" x14ac:dyDescent="0.2">
      <c r="A1562">
        <v>505</v>
      </c>
      <c r="B1562" t="s">
        <v>143</v>
      </c>
      <c r="C1562" t="s">
        <v>707</v>
      </c>
      <c r="D1562" s="5">
        <v>3107</v>
      </c>
      <c r="E1562" s="5">
        <v>13926</v>
      </c>
      <c r="F1562" s="5">
        <v>0</v>
      </c>
      <c r="G1562" s="5">
        <v>17034</v>
      </c>
    </row>
    <row r="1563" spans="1:7" x14ac:dyDescent="0.2">
      <c r="A1563">
        <v>505</v>
      </c>
      <c r="B1563" t="s">
        <v>143</v>
      </c>
      <c r="C1563" t="s">
        <v>708</v>
      </c>
      <c r="D1563" s="5">
        <v>8108</v>
      </c>
      <c r="E1563" s="5">
        <v>107611</v>
      </c>
      <c r="F1563" s="5">
        <v>525</v>
      </c>
      <c r="G1563" s="5">
        <v>116244</v>
      </c>
    </row>
    <row r="1564" spans="1:7" x14ac:dyDescent="0.2">
      <c r="A1564">
        <v>505</v>
      </c>
      <c r="B1564" t="s">
        <v>143</v>
      </c>
      <c r="C1564" t="s">
        <v>709</v>
      </c>
      <c r="D1564" s="5">
        <v>15724</v>
      </c>
      <c r="E1564" s="5">
        <v>154846</v>
      </c>
      <c r="F1564" s="5">
        <v>336</v>
      </c>
      <c r="G1564" s="5">
        <v>170906</v>
      </c>
    </row>
    <row r="1565" spans="1:7" x14ac:dyDescent="0.2">
      <c r="A1565">
        <v>505</v>
      </c>
      <c r="B1565" t="s">
        <v>143</v>
      </c>
      <c r="C1565" t="s">
        <v>710</v>
      </c>
      <c r="D1565" s="5">
        <v>1638</v>
      </c>
      <c r="E1565" s="5">
        <v>61411</v>
      </c>
      <c r="F1565" s="5">
        <v>0</v>
      </c>
      <c r="G1565" s="5">
        <v>63049</v>
      </c>
    </row>
    <row r="1566" spans="1:7" x14ac:dyDescent="0.2">
      <c r="A1566">
        <v>505</v>
      </c>
      <c r="B1566" t="s">
        <v>143</v>
      </c>
      <c r="C1566" t="s">
        <v>711</v>
      </c>
      <c r="D1566" s="5">
        <v>1320</v>
      </c>
      <c r="E1566" s="5">
        <v>2163</v>
      </c>
      <c r="F1566" s="5">
        <v>0</v>
      </c>
      <c r="G1566" s="5">
        <v>3484</v>
      </c>
    </row>
    <row r="1567" spans="1:7" x14ac:dyDescent="0.2">
      <c r="A1567">
        <v>505</v>
      </c>
      <c r="B1567" t="s">
        <v>143</v>
      </c>
      <c r="C1567" t="s">
        <v>712</v>
      </c>
      <c r="D1567" s="5">
        <v>32955</v>
      </c>
      <c r="E1567" s="5">
        <v>159998</v>
      </c>
      <c r="F1567" s="5">
        <v>1961</v>
      </c>
      <c r="G1567" s="5">
        <v>194913</v>
      </c>
    </row>
    <row r="1568" spans="1:7" x14ac:dyDescent="0.2">
      <c r="A1568">
        <v>512</v>
      </c>
      <c r="B1568" t="s">
        <v>205</v>
      </c>
      <c r="C1568" t="s">
        <v>700</v>
      </c>
      <c r="D1568" s="5">
        <v>45990</v>
      </c>
      <c r="E1568" s="5">
        <v>203247</v>
      </c>
      <c r="F1568" s="5">
        <v>5120</v>
      </c>
      <c r="G1568" s="5">
        <v>254357</v>
      </c>
    </row>
    <row r="1569" spans="1:7" x14ac:dyDescent="0.2">
      <c r="A1569">
        <v>512</v>
      </c>
      <c r="B1569" t="s">
        <v>205</v>
      </c>
      <c r="C1569" t="s">
        <v>701</v>
      </c>
      <c r="D1569" s="5">
        <v>8397</v>
      </c>
      <c r="E1569" s="5">
        <v>44267</v>
      </c>
      <c r="F1569" s="5">
        <v>129</v>
      </c>
      <c r="G1569" s="5">
        <v>52793</v>
      </c>
    </row>
    <row r="1570" spans="1:7" x14ac:dyDescent="0.2">
      <c r="A1570">
        <v>512</v>
      </c>
      <c r="B1570" t="s">
        <v>205</v>
      </c>
      <c r="C1570" t="s">
        <v>703</v>
      </c>
      <c r="D1570" s="5">
        <v>1388</v>
      </c>
      <c r="E1570" s="5">
        <v>27280</v>
      </c>
      <c r="F1570" s="5">
        <v>0</v>
      </c>
      <c r="G1570" s="5">
        <v>28668</v>
      </c>
    </row>
    <row r="1571" spans="1:7" x14ac:dyDescent="0.2">
      <c r="A1571">
        <v>512</v>
      </c>
      <c r="B1571" t="s">
        <v>205</v>
      </c>
      <c r="C1571" t="s">
        <v>704</v>
      </c>
      <c r="D1571" s="5">
        <v>7118</v>
      </c>
      <c r="E1571" s="5">
        <v>391285</v>
      </c>
      <c r="F1571" s="5">
        <v>982</v>
      </c>
      <c r="G1571" s="5">
        <v>399385</v>
      </c>
    </row>
    <row r="1572" spans="1:7" x14ac:dyDescent="0.2">
      <c r="A1572">
        <v>512</v>
      </c>
      <c r="B1572" t="s">
        <v>205</v>
      </c>
      <c r="C1572" t="s">
        <v>705</v>
      </c>
      <c r="D1572" s="5">
        <v>7158</v>
      </c>
      <c r="E1572" s="5">
        <v>141757</v>
      </c>
      <c r="F1572" s="5">
        <v>16777</v>
      </c>
      <c r="G1572" s="5">
        <v>165691</v>
      </c>
    </row>
    <row r="1573" spans="1:7" x14ac:dyDescent="0.2">
      <c r="A1573">
        <v>512</v>
      </c>
      <c r="B1573" t="s">
        <v>205</v>
      </c>
      <c r="C1573" t="s">
        <v>707</v>
      </c>
      <c r="D1573" s="5">
        <v>294</v>
      </c>
      <c r="E1573" s="5">
        <v>755</v>
      </c>
      <c r="F1573" s="5">
        <v>0</v>
      </c>
      <c r="G1573" s="5">
        <v>1048</v>
      </c>
    </row>
    <row r="1574" spans="1:7" x14ac:dyDescent="0.2">
      <c r="A1574">
        <v>512</v>
      </c>
      <c r="B1574" t="s">
        <v>205</v>
      </c>
      <c r="C1574" t="s">
        <v>708</v>
      </c>
      <c r="D1574" s="5">
        <v>3972</v>
      </c>
      <c r="E1574" s="5">
        <v>57860</v>
      </c>
      <c r="F1574" s="5">
        <v>0</v>
      </c>
      <c r="G1574" s="5">
        <v>61832</v>
      </c>
    </row>
    <row r="1575" spans="1:7" x14ac:dyDescent="0.2">
      <c r="A1575">
        <v>512</v>
      </c>
      <c r="B1575" t="s">
        <v>205</v>
      </c>
      <c r="C1575" t="s">
        <v>709</v>
      </c>
      <c r="D1575" s="5">
        <v>10089</v>
      </c>
      <c r="E1575" s="5">
        <v>49164</v>
      </c>
      <c r="F1575" s="5">
        <v>4068</v>
      </c>
      <c r="G1575" s="5">
        <v>63321</v>
      </c>
    </row>
    <row r="1576" spans="1:7" x14ac:dyDescent="0.2">
      <c r="A1576">
        <v>512</v>
      </c>
      <c r="B1576" t="s">
        <v>205</v>
      </c>
      <c r="C1576" t="s">
        <v>710</v>
      </c>
      <c r="D1576" s="5">
        <v>995</v>
      </c>
      <c r="E1576" s="5">
        <v>23926</v>
      </c>
      <c r="F1576" s="5">
        <v>0</v>
      </c>
      <c r="G1576" s="5">
        <v>24921</v>
      </c>
    </row>
    <row r="1577" spans="1:7" x14ac:dyDescent="0.2">
      <c r="A1577">
        <v>512</v>
      </c>
      <c r="B1577" t="s">
        <v>205</v>
      </c>
      <c r="C1577" t="s">
        <v>712</v>
      </c>
      <c r="D1577" s="5">
        <v>14667</v>
      </c>
      <c r="E1577" s="5">
        <v>72759</v>
      </c>
      <c r="F1577" s="5">
        <v>13708</v>
      </c>
      <c r="G1577" s="5">
        <v>101135</v>
      </c>
    </row>
    <row r="1578" spans="1:7" x14ac:dyDescent="0.2">
      <c r="A1578">
        <v>513</v>
      </c>
      <c r="B1578" t="s">
        <v>207</v>
      </c>
      <c r="C1578" t="s">
        <v>700</v>
      </c>
      <c r="D1578" s="5">
        <v>60768</v>
      </c>
      <c r="E1578" s="5">
        <v>176166</v>
      </c>
      <c r="F1578" s="5">
        <v>4645</v>
      </c>
      <c r="G1578" s="5">
        <v>241580</v>
      </c>
    </row>
    <row r="1579" spans="1:7" x14ac:dyDescent="0.2">
      <c r="A1579">
        <v>513</v>
      </c>
      <c r="B1579" t="s">
        <v>207</v>
      </c>
      <c r="C1579" t="s">
        <v>701</v>
      </c>
      <c r="D1579" s="5">
        <v>21162</v>
      </c>
      <c r="E1579" s="5">
        <v>25075</v>
      </c>
      <c r="F1579" s="5">
        <v>37</v>
      </c>
      <c r="G1579" s="5">
        <v>46275</v>
      </c>
    </row>
    <row r="1580" spans="1:7" x14ac:dyDescent="0.2">
      <c r="A1580">
        <v>513</v>
      </c>
      <c r="B1580" t="s">
        <v>207</v>
      </c>
      <c r="C1580" t="s">
        <v>703</v>
      </c>
      <c r="D1580" s="5">
        <v>1801</v>
      </c>
      <c r="E1580" s="5">
        <v>6134</v>
      </c>
      <c r="F1580" s="5">
        <v>0</v>
      </c>
      <c r="G1580" s="5">
        <v>7936</v>
      </c>
    </row>
    <row r="1581" spans="1:7" x14ac:dyDescent="0.2">
      <c r="A1581">
        <v>513</v>
      </c>
      <c r="B1581" t="s">
        <v>207</v>
      </c>
      <c r="C1581" t="s">
        <v>704</v>
      </c>
      <c r="D1581" s="5">
        <v>18888</v>
      </c>
      <c r="E1581" s="5">
        <v>172034</v>
      </c>
      <c r="F1581" s="5">
        <v>673</v>
      </c>
      <c r="G1581" s="5">
        <v>191596</v>
      </c>
    </row>
    <row r="1582" spans="1:7" x14ac:dyDescent="0.2">
      <c r="A1582">
        <v>513</v>
      </c>
      <c r="B1582" t="s">
        <v>207</v>
      </c>
      <c r="C1582" t="s">
        <v>705</v>
      </c>
      <c r="D1582" s="5">
        <v>13250</v>
      </c>
      <c r="E1582" s="5">
        <v>206344</v>
      </c>
      <c r="F1582" s="5">
        <v>42</v>
      </c>
      <c r="G1582" s="5">
        <v>219635</v>
      </c>
    </row>
    <row r="1583" spans="1:7" x14ac:dyDescent="0.2">
      <c r="A1583">
        <v>513</v>
      </c>
      <c r="B1583" t="s">
        <v>207</v>
      </c>
      <c r="C1583" t="s">
        <v>707</v>
      </c>
      <c r="D1583" s="5">
        <v>46</v>
      </c>
      <c r="E1583" s="5">
        <v>1107</v>
      </c>
      <c r="F1583" s="5">
        <v>0</v>
      </c>
      <c r="G1583" s="5">
        <v>1154</v>
      </c>
    </row>
    <row r="1584" spans="1:7" x14ac:dyDescent="0.2">
      <c r="A1584">
        <v>513</v>
      </c>
      <c r="B1584" t="s">
        <v>207</v>
      </c>
      <c r="C1584" t="s">
        <v>708</v>
      </c>
      <c r="D1584" s="5">
        <v>9756</v>
      </c>
      <c r="E1584" s="5">
        <v>106319</v>
      </c>
      <c r="F1584" s="5">
        <v>0</v>
      </c>
      <c r="G1584" s="5">
        <v>116076</v>
      </c>
    </row>
    <row r="1585" spans="1:7" x14ac:dyDescent="0.2">
      <c r="A1585">
        <v>513</v>
      </c>
      <c r="B1585" t="s">
        <v>207</v>
      </c>
      <c r="C1585" t="s">
        <v>709</v>
      </c>
      <c r="D1585" s="5">
        <v>19863</v>
      </c>
      <c r="E1585" s="5">
        <v>114807</v>
      </c>
      <c r="F1585" s="5">
        <v>676</v>
      </c>
      <c r="G1585" s="5">
        <v>135346</v>
      </c>
    </row>
    <row r="1586" spans="1:7" x14ac:dyDescent="0.2">
      <c r="A1586">
        <v>513</v>
      </c>
      <c r="B1586" t="s">
        <v>207</v>
      </c>
      <c r="C1586" t="s">
        <v>710</v>
      </c>
      <c r="D1586" s="5">
        <v>5950</v>
      </c>
      <c r="E1586" s="5">
        <v>46338</v>
      </c>
      <c r="F1586" s="5">
        <v>1036</v>
      </c>
      <c r="G1586" s="5">
        <v>53324</v>
      </c>
    </row>
    <row r="1587" spans="1:7" x14ac:dyDescent="0.2">
      <c r="A1587">
        <v>513</v>
      </c>
      <c r="B1587" t="s">
        <v>207</v>
      </c>
      <c r="C1587" t="s">
        <v>712</v>
      </c>
      <c r="D1587" s="5">
        <v>25356</v>
      </c>
      <c r="E1587" s="5">
        <v>142197</v>
      </c>
      <c r="F1587" s="5">
        <v>39</v>
      </c>
      <c r="G1587" s="5">
        <v>167592</v>
      </c>
    </row>
    <row r="1588" spans="1:7" x14ac:dyDescent="0.2">
      <c r="A1588">
        <v>518</v>
      </c>
      <c r="B1588" t="s">
        <v>209</v>
      </c>
      <c r="C1588" t="s">
        <v>700</v>
      </c>
      <c r="D1588" s="5">
        <v>262985</v>
      </c>
      <c r="E1588" s="5">
        <v>700125</v>
      </c>
      <c r="F1588" s="5">
        <v>14400</v>
      </c>
      <c r="G1588" s="5">
        <v>977510</v>
      </c>
    </row>
    <row r="1589" spans="1:7" x14ac:dyDescent="0.2">
      <c r="A1589">
        <v>518</v>
      </c>
      <c r="B1589" t="s">
        <v>209</v>
      </c>
      <c r="C1589" t="s">
        <v>701</v>
      </c>
      <c r="D1589" s="5">
        <v>100496</v>
      </c>
      <c r="E1589" s="5">
        <v>303225</v>
      </c>
      <c r="F1589" s="5">
        <v>4416</v>
      </c>
      <c r="G1589" s="5">
        <v>408137</v>
      </c>
    </row>
    <row r="1590" spans="1:7" x14ac:dyDescent="0.2">
      <c r="A1590">
        <v>518</v>
      </c>
      <c r="B1590" t="s">
        <v>209</v>
      </c>
      <c r="C1590" t="s">
        <v>702</v>
      </c>
      <c r="D1590" s="5">
        <v>0</v>
      </c>
      <c r="E1590" s="5">
        <v>495</v>
      </c>
      <c r="F1590" s="5">
        <v>0</v>
      </c>
      <c r="G1590" s="5">
        <v>495</v>
      </c>
    </row>
    <row r="1591" spans="1:7" x14ac:dyDescent="0.2">
      <c r="A1591">
        <v>518</v>
      </c>
      <c r="B1591" t="s">
        <v>209</v>
      </c>
      <c r="C1591" t="s">
        <v>703</v>
      </c>
      <c r="D1591" s="5">
        <v>3551</v>
      </c>
      <c r="E1591" s="5">
        <v>107381</v>
      </c>
      <c r="F1591" s="5">
        <v>0</v>
      </c>
      <c r="G1591" s="5">
        <v>110932</v>
      </c>
    </row>
    <row r="1592" spans="1:7" x14ac:dyDescent="0.2">
      <c r="A1592">
        <v>518</v>
      </c>
      <c r="B1592" t="s">
        <v>209</v>
      </c>
      <c r="C1592" t="s">
        <v>704</v>
      </c>
      <c r="D1592" s="5">
        <v>116532</v>
      </c>
      <c r="E1592" s="5">
        <v>1232912</v>
      </c>
      <c r="F1592" s="5">
        <v>3416</v>
      </c>
      <c r="G1592" s="5">
        <v>1352860</v>
      </c>
    </row>
    <row r="1593" spans="1:7" x14ac:dyDescent="0.2">
      <c r="A1593">
        <v>518</v>
      </c>
      <c r="B1593" t="s">
        <v>209</v>
      </c>
      <c r="C1593" t="s">
        <v>705</v>
      </c>
      <c r="D1593" s="5">
        <v>124907</v>
      </c>
      <c r="E1593" s="5">
        <v>704315</v>
      </c>
      <c r="F1593" s="5">
        <v>312</v>
      </c>
      <c r="G1593" s="5">
        <v>829535</v>
      </c>
    </row>
    <row r="1594" spans="1:7" x14ac:dyDescent="0.2">
      <c r="A1594">
        <v>518</v>
      </c>
      <c r="B1594" t="s">
        <v>209</v>
      </c>
      <c r="C1594" t="s">
        <v>707</v>
      </c>
      <c r="D1594" s="5">
        <v>23263</v>
      </c>
      <c r="E1594" s="5">
        <v>74761</v>
      </c>
      <c r="F1594" s="5">
        <v>38</v>
      </c>
      <c r="G1594" s="5">
        <v>98062</v>
      </c>
    </row>
    <row r="1595" spans="1:7" x14ac:dyDescent="0.2">
      <c r="A1595">
        <v>518</v>
      </c>
      <c r="B1595" t="s">
        <v>209</v>
      </c>
      <c r="C1595" t="s">
        <v>708</v>
      </c>
      <c r="D1595" s="5">
        <v>35971</v>
      </c>
      <c r="E1595" s="5">
        <v>366488</v>
      </c>
      <c r="F1595" s="5">
        <v>0</v>
      </c>
      <c r="G1595" s="5">
        <v>402459</v>
      </c>
    </row>
    <row r="1596" spans="1:7" x14ac:dyDescent="0.2">
      <c r="A1596">
        <v>518</v>
      </c>
      <c r="B1596" t="s">
        <v>209</v>
      </c>
      <c r="C1596" t="s">
        <v>709</v>
      </c>
      <c r="D1596" s="5">
        <v>167228</v>
      </c>
      <c r="E1596" s="5">
        <v>938560</v>
      </c>
      <c r="F1596" s="5">
        <v>3637</v>
      </c>
      <c r="G1596" s="5">
        <v>1109426</v>
      </c>
    </row>
    <row r="1597" spans="1:7" x14ac:dyDescent="0.2">
      <c r="A1597">
        <v>518</v>
      </c>
      <c r="B1597" t="s">
        <v>209</v>
      </c>
      <c r="C1597" t="s">
        <v>710</v>
      </c>
      <c r="D1597" s="5">
        <v>4456</v>
      </c>
      <c r="E1597" s="5">
        <v>149577</v>
      </c>
      <c r="F1597" s="5">
        <v>146</v>
      </c>
      <c r="G1597" s="5">
        <v>154179</v>
      </c>
    </row>
    <row r="1598" spans="1:7" x14ac:dyDescent="0.2">
      <c r="A1598">
        <v>518</v>
      </c>
      <c r="B1598" t="s">
        <v>209</v>
      </c>
      <c r="C1598" t="s">
        <v>711</v>
      </c>
      <c r="D1598" s="5">
        <v>0</v>
      </c>
      <c r="E1598" s="5">
        <v>16</v>
      </c>
      <c r="F1598" s="5">
        <v>0</v>
      </c>
      <c r="G1598" s="5">
        <v>16</v>
      </c>
    </row>
    <row r="1599" spans="1:7" x14ac:dyDescent="0.2">
      <c r="A1599">
        <v>518</v>
      </c>
      <c r="B1599" t="s">
        <v>209</v>
      </c>
      <c r="C1599" t="s">
        <v>712</v>
      </c>
      <c r="D1599" s="5">
        <v>89672</v>
      </c>
      <c r="E1599" s="5">
        <v>402732</v>
      </c>
      <c r="F1599" s="5">
        <v>346</v>
      </c>
      <c r="G1599" s="5">
        <v>492751</v>
      </c>
    </row>
    <row r="1600" spans="1:7" x14ac:dyDescent="0.2">
      <c r="A1600">
        <v>523</v>
      </c>
      <c r="B1600" t="s">
        <v>227</v>
      </c>
      <c r="C1600" t="s">
        <v>700</v>
      </c>
      <c r="D1600" s="5">
        <v>75886</v>
      </c>
      <c r="E1600" s="5">
        <v>114702</v>
      </c>
      <c r="F1600" s="5">
        <v>3896</v>
      </c>
      <c r="G1600" s="5">
        <v>194484</v>
      </c>
    </row>
    <row r="1601" spans="1:7" x14ac:dyDescent="0.2">
      <c r="A1601">
        <v>523</v>
      </c>
      <c r="B1601" t="s">
        <v>227</v>
      </c>
      <c r="C1601" t="s">
        <v>701</v>
      </c>
      <c r="D1601" s="5">
        <v>1968</v>
      </c>
      <c r="E1601" s="5">
        <v>8398</v>
      </c>
      <c r="F1601" s="5">
        <v>0</v>
      </c>
      <c r="G1601" s="5">
        <v>10366</v>
      </c>
    </row>
    <row r="1602" spans="1:7" x14ac:dyDescent="0.2">
      <c r="A1602">
        <v>523</v>
      </c>
      <c r="B1602" t="s">
        <v>227</v>
      </c>
      <c r="C1602" t="s">
        <v>703</v>
      </c>
      <c r="D1602" s="5">
        <v>41</v>
      </c>
      <c r="E1602" s="5">
        <v>2026</v>
      </c>
      <c r="F1602" s="5">
        <v>0</v>
      </c>
      <c r="G1602" s="5">
        <v>2067</v>
      </c>
    </row>
    <row r="1603" spans="1:7" x14ac:dyDescent="0.2">
      <c r="A1603">
        <v>523</v>
      </c>
      <c r="B1603" t="s">
        <v>227</v>
      </c>
      <c r="C1603" t="s">
        <v>704</v>
      </c>
      <c r="D1603" s="5">
        <v>3267</v>
      </c>
      <c r="E1603" s="5">
        <v>70622</v>
      </c>
      <c r="F1603" s="5">
        <v>555</v>
      </c>
      <c r="G1603" s="5">
        <v>74443</v>
      </c>
    </row>
    <row r="1604" spans="1:7" x14ac:dyDescent="0.2">
      <c r="A1604">
        <v>523</v>
      </c>
      <c r="B1604" t="s">
        <v>227</v>
      </c>
      <c r="C1604" t="s">
        <v>705</v>
      </c>
      <c r="D1604" s="5">
        <v>14951</v>
      </c>
      <c r="E1604" s="5">
        <v>246505</v>
      </c>
      <c r="F1604" s="5">
        <v>5708</v>
      </c>
      <c r="G1604" s="5">
        <v>267164</v>
      </c>
    </row>
    <row r="1605" spans="1:7" x14ac:dyDescent="0.2">
      <c r="A1605">
        <v>523</v>
      </c>
      <c r="B1605" t="s">
        <v>227</v>
      </c>
      <c r="C1605" t="s">
        <v>707</v>
      </c>
      <c r="D1605" s="5">
        <v>148</v>
      </c>
      <c r="E1605" s="5">
        <v>2059</v>
      </c>
      <c r="F1605" s="5">
        <v>72</v>
      </c>
      <c r="G1605" s="5">
        <v>2279</v>
      </c>
    </row>
    <row r="1606" spans="1:7" x14ac:dyDescent="0.2">
      <c r="A1606">
        <v>523</v>
      </c>
      <c r="B1606" t="s">
        <v>227</v>
      </c>
      <c r="C1606" t="s">
        <v>708</v>
      </c>
      <c r="D1606" s="5">
        <v>802</v>
      </c>
      <c r="E1606" s="5">
        <v>12665</v>
      </c>
      <c r="F1606" s="5">
        <v>0</v>
      </c>
      <c r="G1606" s="5">
        <v>13466</v>
      </c>
    </row>
    <row r="1607" spans="1:7" x14ac:dyDescent="0.2">
      <c r="A1607">
        <v>523</v>
      </c>
      <c r="B1607" t="s">
        <v>227</v>
      </c>
      <c r="C1607" t="s">
        <v>709</v>
      </c>
      <c r="D1607" s="5">
        <v>4484</v>
      </c>
      <c r="E1607" s="5">
        <v>12324</v>
      </c>
      <c r="F1607" s="5">
        <v>20</v>
      </c>
      <c r="G1607" s="5">
        <v>16828</v>
      </c>
    </row>
    <row r="1608" spans="1:7" x14ac:dyDescent="0.2">
      <c r="A1608">
        <v>523</v>
      </c>
      <c r="B1608" t="s">
        <v>227</v>
      </c>
      <c r="C1608" t="s">
        <v>710</v>
      </c>
      <c r="D1608" s="5">
        <v>420</v>
      </c>
      <c r="E1608" s="5">
        <v>6467</v>
      </c>
      <c r="F1608" s="5">
        <v>0</v>
      </c>
      <c r="G1608" s="5">
        <v>6887</v>
      </c>
    </row>
    <row r="1609" spans="1:7" x14ac:dyDescent="0.2">
      <c r="A1609">
        <v>523</v>
      </c>
      <c r="B1609" t="s">
        <v>227</v>
      </c>
      <c r="C1609" t="s">
        <v>712</v>
      </c>
      <c r="D1609" s="5">
        <v>2705</v>
      </c>
      <c r="E1609" s="5">
        <v>12777</v>
      </c>
      <c r="F1609" s="5">
        <v>36</v>
      </c>
      <c r="G1609" s="5">
        <v>15518</v>
      </c>
    </row>
    <row r="1610" spans="1:7" x14ac:dyDescent="0.2">
      <c r="A1610">
        <v>530</v>
      </c>
      <c r="B1610" s="9" t="s">
        <v>599</v>
      </c>
      <c r="C1610" t="s">
        <v>700</v>
      </c>
      <c r="D1610" s="5">
        <v>110089</v>
      </c>
      <c r="E1610" s="5">
        <v>167698</v>
      </c>
      <c r="F1610" s="5">
        <v>2718</v>
      </c>
      <c r="G1610" s="5">
        <v>280506</v>
      </c>
    </row>
    <row r="1611" spans="1:7" x14ac:dyDescent="0.2">
      <c r="A1611">
        <v>530</v>
      </c>
      <c r="B1611" s="9" t="s">
        <v>599</v>
      </c>
      <c r="C1611" t="s">
        <v>701</v>
      </c>
      <c r="D1611" s="5">
        <v>9127</v>
      </c>
      <c r="E1611" s="5">
        <v>14982</v>
      </c>
      <c r="F1611" s="5">
        <v>705</v>
      </c>
      <c r="G1611" s="5">
        <v>24813</v>
      </c>
    </row>
    <row r="1612" spans="1:7" x14ac:dyDescent="0.2">
      <c r="A1612">
        <v>530</v>
      </c>
      <c r="B1612" s="9" t="s">
        <v>599</v>
      </c>
      <c r="C1612" t="s">
        <v>703</v>
      </c>
      <c r="D1612" s="5">
        <v>3156</v>
      </c>
      <c r="E1612" s="5">
        <v>7398</v>
      </c>
      <c r="F1612" s="5">
        <v>0</v>
      </c>
      <c r="G1612" s="5">
        <v>10554</v>
      </c>
    </row>
    <row r="1613" spans="1:7" x14ac:dyDescent="0.2">
      <c r="A1613">
        <v>530</v>
      </c>
      <c r="B1613" s="9" t="s">
        <v>599</v>
      </c>
      <c r="C1613" t="s">
        <v>704</v>
      </c>
      <c r="D1613" s="5">
        <v>9414</v>
      </c>
      <c r="E1613" s="5">
        <v>121356</v>
      </c>
      <c r="F1613" s="5">
        <v>36</v>
      </c>
      <c r="G1613" s="5">
        <v>130805</v>
      </c>
    </row>
    <row r="1614" spans="1:7" x14ac:dyDescent="0.2">
      <c r="A1614">
        <v>530</v>
      </c>
      <c r="B1614" s="9" t="s">
        <v>599</v>
      </c>
      <c r="C1614" t="s">
        <v>705</v>
      </c>
      <c r="D1614" s="5">
        <v>3872</v>
      </c>
      <c r="E1614" s="5">
        <v>28900</v>
      </c>
      <c r="F1614" s="5">
        <v>0</v>
      </c>
      <c r="G1614" s="5">
        <v>32772</v>
      </c>
    </row>
    <row r="1615" spans="1:7" x14ac:dyDescent="0.2">
      <c r="A1615">
        <v>530</v>
      </c>
      <c r="B1615" s="9" t="s">
        <v>599</v>
      </c>
      <c r="C1615" t="s">
        <v>707</v>
      </c>
      <c r="D1615" s="5">
        <v>23957</v>
      </c>
      <c r="E1615" s="5">
        <v>11729</v>
      </c>
      <c r="F1615" s="5">
        <v>74</v>
      </c>
      <c r="G1615" s="5">
        <v>35761</v>
      </c>
    </row>
    <row r="1616" spans="1:7" x14ac:dyDescent="0.2">
      <c r="A1616">
        <v>530</v>
      </c>
      <c r="B1616" s="9" t="s">
        <v>599</v>
      </c>
      <c r="C1616" t="s">
        <v>708</v>
      </c>
      <c r="D1616" s="5">
        <v>0</v>
      </c>
      <c r="E1616" s="5">
        <v>37296</v>
      </c>
      <c r="F1616" s="5">
        <v>0</v>
      </c>
      <c r="G1616" s="5">
        <v>37296</v>
      </c>
    </row>
    <row r="1617" spans="1:7" x14ac:dyDescent="0.2">
      <c r="A1617">
        <v>530</v>
      </c>
      <c r="B1617" s="9" t="s">
        <v>599</v>
      </c>
      <c r="C1617" t="s">
        <v>709</v>
      </c>
      <c r="D1617" s="5">
        <v>51360</v>
      </c>
      <c r="E1617" s="5">
        <v>36130</v>
      </c>
      <c r="F1617" s="5">
        <v>266</v>
      </c>
      <c r="G1617" s="5">
        <v>87757</v>
      </c>
    </row>
    <row r="1618" spans="1:7" x14ac:dyDescent="0.2">
      <c r="A1618">
        <v>530</v>
      </c>
      <c r="B1618" s="9" t="s">
        <v>599</v>
      </c>
      <c r="C1618" t="s">
        <v>710</v>
      </c>
      <c r="D1618" s="5">
        <v>1585</v>
      </c>
      <c r="E1618" s="5">
        <v>21778</v>
      </c>
      <c r="F1618" s="5">
        <v>0</v>
      </c>
      <c r="G1618" s="5">
        <v>23363</v>
      </c>
    </row>
    <row r="1619" spans="1:7" x14ac:dyDescent="0.2">
      <c r="A1619">
        <v>530</v>
      </c>
      <c r="B1619" s="9" t="s">
        <v>599</v>
      </c>
      <c r="C1619" t="s">
        <v>711</v>
      </c>
      <c r="D1619" s="5">
        <v>68</v>
      </c>
      <c r="E1619" s="5">
        <v>897</v>
      </c>
      <c r="F1619" s="5">
        <v>0</v>
      </c>
      <c r="G1619" s="5">
        <v>965</v>
      </c>
    </row>
    <row r="1620" spans="1:7" x14ac:dyDescent="0.2">
      <c r="A1620">
        <v>530</v>
      </c>
      <c r="B1620" s="9" t="s">
        <v>599</v>
      </c>
      <c r="C1620" t="s">
        <v>712</v>
      </c>
      <c r="D1620" s="5">
        <v>5746</v>
      </c>
      <c r="E1620" s="5">
        <v>106503</v>
      </c>
      <c r="F1620" s="5">
        <v>0</v>
      </c>
      <c r="G1620" s="5">
        <v>112249</v>
      </c>
    </row>
    <row r="1621" spans="1:7" x14ac:dyDescent="0.2">
      <c r="A1621">
        <v>531</v>
      </c>
      <c r="B1621" t="s">
        <v>253</v>
      </c>
      <c r="C1621" t="s">
        <v>700</v>
      </c>
      <c r="D1621" s="5">
        <v>34472</v>
      </c>
      <c r="E1621" s="5">
        <v>127913</v>
      </c>
      <c r="F1621" s="5">
        <v>3111</v>
      </c>
      <c r="G1621" s="5">
        <v>165496</v>
      </c>
    </row>
    <row r="1622" spans="1:7" x14ac:dyDescent="0.2">
      <c r="A1622">
        <v>531</v>
      </c>
      <c r="B1622" t="s">
        <v>253</v>
      </c>
      <c r="C1622" t="s">
        <v>701</v>
      </c>
      <c r="D1622" s="5">
        <v>3226</v>
      </c>
      <c r="E1622" s="5">
        <v>11664</v>
      </c>
      <c r="F1622" s="5">
        <v>330</v>
      </c>
      <c r="G1622" s="5">
        <v>15219</v>
      </c>
    </row>
    <row r="1623" spans="1:7" x14ac:dyDescent="0.2">
      <c r="A1623">
        <v>531</v>
      </c>
      <c r="B1623" t="s">
        <v>253</v>
      </c>
      <c r="C1623" t="s">
        <v>703</v>
      </c>
      <c r="D1623" s="5">
        <v>464</v>
      </c>
      <c r="E1623" s="5">
        <v>12945</v>
      </c>
      <c r="F1623" s="5">
        <v>335</v>
      </c>
      <c r="G1623" s="5">
        <v>13743</v>
      </c>
    </row>
    <row r="1624" spans="1:7" x14ac:dyDescent="0.2">
      <c r="A1624">
        <v>531</v>
      </c>
      <c r="B1624" t="s">
        <v>253</v>
      </c>
      <c r="C1624" t="s">
        <v>704</v>
      </c>
      <c r="D1624" s="5">
        <v>115211</v>
      </c>
      <c r="E1624" s="5">
        <v>195340</v>
      </c>
      <c r="F1624" s="5">
        <v>0</v>
      </c>
      <c r="G1624" s="5">
        <v>310550</v>
      </c>
    </row>
    <row r="1625" spans="1:7" x14ac:dyDescent="0.2">
      <c r="A1625">
        <v>531</v>
      </c>
      <c r="B1625" t="s">
        <v>253</v>
      </c>
      <c r="C1625" t="s">
        <v>705</v>
      </c>
      <c r="D1625" s="5">
        <v>2898</v>
      </c>
      <c r="E1625" s="5">
        <v>54901</v>
      </c>
      <c r="F1625" s="5">
        <v>7692</v>
      </c>
      <c r="G1625" s="5">
        <v>65492</v>
      </c>
    </row>
    <row r="1626" spans="1:7" x14ac:dyDescent="0.2">
      <c r="A1626">
        <v>531</v>
      </c>
      <c r="B1626" t="s">
        <v>253</v>
      </c>
      <c r="C1626" t="s">
        <v>708</v>
      </c>
      <c r="D1626" s="5">
        <v>447</v>
      </c>
      <c r="E1626" s="5">
        <v>15406</v>
      </c>
      <c r="F1626" s="5">
        <v>0</v>
      </c>
      <c r="G1626" s="5">
        <v>15852</v>
      </c>
    </row>
    <row r="1627" spans="1:7" x14ac:dyDescent="0.2">
      <c r="A1627">
        <v>531</v>
      </c>
      <c r="B1627" t="s">
        <v>253</v>
      </c>
      <c r="C1627" t="s">
        <v>709</v>
      </c>
      <c r="D1627" s="5">
        <v>3705</v>
      </c>
      <c r="E1627" s="5">
        <v>18574</v>
      </c>
      <c r="F1627" s="5">
        <v>159</v>
      </c>
      <c r="G1627" s="5">
        <v>22438</v>
      </c>
    </row>
    <row r="1628" spans="1:7" x14ac:dyDescent="0.2">
      <c r="A1628">
        <v>531</v>
      </c>
      <c r="B1628" t="s">
        <v>253</v>
      </c>
      <c r="C1628" t="s">
        <v>710</v>
      </c>
      <c r="D1628" s="5">
        <v>0</v>
      </c>
      <c r="E1628" s="5">
        <v>5318</v>
      </c>
      <c r="F1628" s="5">
        <v>0</v>
      </c>
      <c r="G1628" s="5">
        <v>5318</v>
      </c>
    </row>
    <row r="1629" spans="1:7" x14ac:dyDescent="0.2">
      <c r="A1629">
        <v>531</v>
      </c>
      <c r="B1629" t="s">
        <v>253</v>
      </c>
      <c r="C1629" t="s">
        <v>712</v>
      </c>
      <c r="D1629" s="5">
        <v>4382</v>
      </c>
      <c r="E1629" s="5">
        <v>34013</v>
      </c>
      <c r="F1629" s="5">
        <v>0</v>
      </c>
      <c r="G1629" s="5">
        <v>38396</v>
      </c>
    </row>
    <row r="1630" spans="1:7" x14ac:dyDescent="0.2">
      <c r="A1630">
        <v>532</v>
      </c>
      <c r="B1630" t="s">
        <v>525</v>
      </c>
      <c r="C1630" t="s">
        <v>700</v>
      </c>
      <c r="D1630" s="5">
        <v>269639</v>
      </c>
      <c r="E1630" s="5">
        <v>281959</v>
      </c>
      <c r="F1630" s="5">
        <v>745</v>
      </c>
      <c r="G1630" s="5">
        <v>552343</v>
      </c>
    </row>
    <row r="1631" spans="1:7" x14ac:dyDescent="0.2">
      <c r="A1631">
        <v>532</v>
      </c>
      <c r="B1631" t="s">
        <v>525</v>
      </c>
      <c r="C1631" t="s">
        <v>701</v>
      </c>
      <c r="D1631" s="5">
        <v>3692</v>
      </c>
      <c r="E1631" s="5">
        <v>9931</v>
      </c>
      <c r="F1631" s="5">
        <v>0</v>
      </c>
      <c r="G1631" s="5">
        <v>13623</v>
      </c>
    </row>
    <row r="1632" spans="1:7" x14ac:dyDescent="0.2">
      <c r="A1632">
        <v>532</v>
      </c>
      <c r="B1632" t="s">
        <v>525</v>
      </c>
      <c r="C1632" t="s">
        <v>703</v>
      </c>
      <c r="D1632" s="5">
        <v>1032</v>
      </c>
      <c r="E1632" s="5">
        <v>2838</v>
      </c>
      <c r="F1632" s="5">
        <v>0</v>
      </c>
      <c r="G1632" s="5">
        <v>3870</v>
      </c>
    </row>
    <row r="1633" spans="1:7" x14ac:dyDescent="0.2">
      <c r="A1633">
        <v>532</v>
      </c>
      <c r="B1633" t="s">
        <v>525</v>
      </c>
      <c r="C1633" t="s">
        <v>704</v>
      </c>
      <c r="D1633" s="5">
        <v>10429</v>
      </c>
      <c r="E1633" s="5">
        <v>85586</v>
      </c>
      <c r="F1633" s="5">
        <v>0</v>
      </c>
      <c r="G1633" s="5">
        <v>96015</v>
      </c>
    </row>
    <row r="1634" spans="1:7" x14ac:dyDescent="0.2">
      <c r="A1634">
        <v>532</v>
      </c>
      <c r="B1634" t="s">
        <v>525</v>
      </c>
      <c r="C1634" t="s">
        <v>705</v>
      </c>
      <c r="D1634" s="5">
        <v>2145</v>
      </c>
      <c r="E1634" s="5">
        <v>18871</v>
      </c>
      <c r="F1634" s="5">
        <v>0</v>
      </c>
      <c r="G1634" s="5">
        <v>21016</v>
      </c>
    </row>
    <row r="1635" spans="1:7" x14ac:dyDescent="0.2">
      <c r="A1635">
        <v>532</v>
      </c>
      <c r="B1635" t="s">
        <v>525</v>
      </c>
      <c r="C1635" t="s">
        <v>707</v>
      </c>
      <c r="D1635" s="5">
        <v>408</v>
      </c>
      <c r="E1635" s="5">
        <v>6994</v>
      </c>
      <c r="F1635" s="5">
        <v>162</v>
      </c>
      <c r="G1635" s="5">
        <v>7564</v>
      </c>
    </row>
    <row r="1636" spans="1:7" x14ac:dyDescent="0.2">
      <c r="A1636">
        <v>532</v>
      </c>
      <c r="B1636" t="s">
        <v>525</v>
      </c>
      <c r="C1636" t="s">
        <v>708</v>
      </c>
      <c r="D1636" s="5">
        <v>1097</v>
      </c>
      <c r="E1636" s="5">
        <v>29808</v>
      </c>
      <c r="F1636" s="5">
        <v>0</v>
      </c>
      <c r="G1636" s="5">
        <v>30905</v>
      </c>
    </row>
    <row r="1637" spans="1:7" x14ac:dyDescent="0.2">
      <c r="A1637">
        <v>532</v>
      </c>
      <c r="B1637" t="s">
        <v>525</v>
      </c>
      <c r="C1637" t="s">
        <v>709</v>
      </c>
      <c r="D1637" s="5">
        <v>1860</v>
      </c>
      <c r="E1637" s="5">
        <v>17145</v>
      </c>
      <c r="F1637" s="5">
        <v>111</v>
      </c>
      <c r="G1637" s="5">
        <v>19116</v>
      </c>
    </row>
    <row r="1638" spans="1:7" x14ac:dyDescent="0.2">
      <c r="A1638">
        <v>532</v>
      </c>
      <c r="B1638" t="s">
        <v>525</v>
      </c>
      <c r="C1638" t="s">
        <v>710</v>
      </c>
      <c r="D1638" s="5">
        <v>777</v>
      </c>
      <c r="E1638" s="5">
        <v>21141</v>
      </c>
      <c r="F1638" s="5">
        <v>0</v>
      </c>
      <c r="G1638" s="5">
        <v>21917</v>
      </c>
    </row>
    <row r="1639" spans="1:7" x14ac:dyDescent="0.2">
      <c r="A1639">
        <v>532</v>
      </c>
      <c r="B1639" t="s">
        <v>525</v>
      </c>
      <c r="C1639" t="s">
        <v>712</v>
      </c>
      <c r="D1639" s="5">
        <v>1721</v>
      </c>
      <c r="E1639" s="5">
        <v>72853</v>
      </c>
      <c r="F1639" s="5">
        <v>0</v>
      </c>
      <c r="G1639" s="5">
        <v>74573</v>
      </c>
    </row>
    <row r="1640" spans="1:7" x14ac:dyDescent="0.2">
      <c r="A1640">
        <v>534</v>
      </c>
      <c r="B1640" t="s">
        <v>263</v>
      </c>
      <c r="C1640" t="s">
        <v>700</v>
      </c>
      <c r="D1640" s="5">
        <v>108661</v>
      </c>
      <c r="E1640" s="5">
        <v>206882</v>
      </c>
      <c r="F1640" s="5">
        <v>2412</v>
      </c>
      <c r="G1640" s="5">
        <v>317954</v>
      </c>
    </row>
    <row r="1641" spans="1:7" x14ac:dyDescent="0.2">
      <c r="A1641">
        <v>534</v>
      </c>
      <c r="B1641" t="s">
        <v>263</v>
      </c>
      <c r="C1641" t="s">
        <v>701</v>
      </c>
      <c r="D1641" s="5">
        <v>2874</v>
      </c>
      <c r="E1641" s="5">
        <v>8091</v>
      </c>
      <c r="F1641" s="5">
        <v>0</v>
      </c>
      <c r="G1641" s="5">
        <v>10964</v>
      </c>
    </row>
    <row r="1642" spans="1:7" x14ac:dyDescent="0.2">
      <c r="A1642">
        <v>534</v>
      </c>
      <c r="B1642" t="s">
        <v>263</v>
      </c>
      <c r="C1642" t="s">
        <v>703</v>
      </c>
      <c r="D1642" s="5">
        <v>1091</v>
      </c>
      <c r="E1642" s="5">
        <v>2087</v>
      </c>
      <c r="F1642" s="5">
        <v>0</v>
      </c>
      <c r="G1642" s="5">
        <v>3178</v>
      </c>
    </row>
    <row r="1643" spans="1:7" x14ac:dyDescent="0.2">
      <c r="A1643">
        <v>534</v>
      </c>
      <c r="B1643" t="s">
        <v>263</v>
      </c>
      <c r="C1643" t="s">
        <v>704</v>
      </c>
      <c r="D1643" s="5">
        <v>19201</v>
      </c>
      <c r="E1643" s="5">
        <v>295864</v>
      </c>
      <c r="F1643" s="5">
        <v>124</v>
      </c>
      <c r="G1643" s="5">
        <v>315189</v>
      </c>
    </row>
    <row r="1644" spans="1:7" x14ac:dyDescent="0.2">
      <c r="A1644">
        <v>534</v>
      </c>
      <c r="B1644" t="s">
        <v>263</v>
      </c>
      <c r="C1644" t="s">
        <v>705</v>
      </c>
      <c r="D1644" s="5">
        <v>1977</v>
      </c>
      <c r="E1644" s="5">
        <v>58909</v>
      </c>
      <c r="F1644" s="5">
        <v>0</v>
      </c>
      <c r="G1644" s="5">
        <v>60885</v>
      </c>
    </row>
    <row r="1645" spans="1:7" x14ac:dyDescent="0.2">
      <c r="A1645">
        <v>534</v>
      </c>
      <c r="B1645" t="s">
        <v>263</v>
      </c>
      <c r="C1645" t="s">
        <v>707</v>
      </c>
      <c r="D1645" s="5">
        <v>2832</v>
      </c>
      <c r="E1645" s="5">
        <v>4345</v>
      </c>
      <c r="F1645" s="5">
        <v>0</v>
      </c>
      <c r="G1645" s="5">
        <v>7177</v>
      </c>
    </row>
    <row r="1646" spans="1:7" x14ac:dyDescent="0.2">
      <c r="A1646">
        <v>534</v>
      </c>
      <c r="B1646" t="s">
        <v>263</v>
      </c>
      <c r="C1646" t="s">
        <v>708</v>
      </c>
      <c r="D1646" s="5">
        <v>3515</v>
      </c>
      <c r="E1646" s="5">
        <v>15123</v>
      </c>
      <c r="F1646" s="5">
        <v>0</v>
      </c>
      <c r="G1646" s="5">
        <v>18638</v>
      </c>
    </row>
    <row r="1647" spans="1:7" x14ac:dyDescent="0.2">
      <c r="A1647">
        <v>534</v>
      </c>
      <c r="B1647" t="s">
        <v>263</v>
      </c>
      <c r="C1647" t="s">
        <v>709</v>
      </c>
      <c r="D1647" s="5">
        <v>3866</v>
      </c>
      <c r="E1647" s="5">
        <v>12958</v>
      </c>
      <c r="F1647" s="5">
        <v>143</v>
      </c>
      <c r="G1647" s="5">
        <v>16968</v>
      </c>
    </row>
    <row r="1648" spans="1:7" x14ac:dyDescent="0.2">
      <c r="A1648">
        <v>534</v>
      </c>
      <c r="B1648" t="s">
        <v>263</v>
      </c>
      <c r="C1648" t="s">
        <v>710</v>
      </c>
      <c r="D1648" s="5">
        <v>1399</v>
      </c>
      <c r="E1648" s="5">
        <v>19093</v>
      </c>
      <c r="F1648" s="5">
        <v>4208</v>
      </c>
      <c r="G1648" s="5">
        <v>24700</v>
      </c>
    </row>
    <row r="1649" spans="1:7" x14ac:dyDescent="0.2">
      <c r="A1649">
        <v>534</v>
      </c>
      <c r="B1649" t="s">
        <v>263</v>
      </c>
      <c r="C1649" t="s">
        <v>712</v>
      </c>
      <c r="D1649" s="5">
        <v>18794</v>
      </c>
      <c r="E1649" s="5">
        <v>50388</v>
      </c>
      <c r="F1649" s="5">
        <v>0</v>
      </c>
      <c r="G1649" s="5">
        <v>69181</v>
      </c>
    </row>
    <row r="1650" spans="1:7" x14ac:dyDescent="0.2">
      <c r="A1650">
        <v>537</v>
      </c>
      <c r="B1650" t="s">
        <v>297</v>
      </c>
      <c r="C1650" t="s">
        <v>700</v>
      </c>
      <c r="D1650" s="5">
        <v>255045</v>
      </c>
      <c r="E1650" s="5">
        <v>396649</v>
      </c>
      <c r="F1650" s="5">
        <v>7675</v>
      </c>
      <c r="G1650" s="5">
        <v>659369</v>
      </c>
    </row>
    <row r="1651" spans="1:7" x14ac:dyDescent="0.2">
      <c r="A1651">
        <v>537</v>
      </c>
      <c r="B1651" t="s">
        <v>297</v>
      </c>
      <c r="C1651" t="s">
        <v>701</v>
      </c>
      <c r="D1651" s="5">
        <v>18190</v>
      </c>
      <c r="E1651" s="5">
        <v>52517</v>
      </c>
      <c r="F1651" s="5">
        <v>1679</v>
      </c>
      <c r="G1651" s="5">
        <v>72386</v>
      </c>
    </row>
    <row r="1652" spans="1:7" x14ac:dyDescent="0.2">
      <c r="A1652">
        <v>537</v>
      </c>
      <c r="B1652" t="s">
        <v>297</v>
      </c>
      <c r="C1652" t="s">
        <v>703</v>
      </c>
      <c r="D1652" s="5">
        <v>2219</v>
      </c>
      <c r="E1652" s="5">
        <v>32618</v>
      </c>
      <c r="F1652" s="5">
        <v>419</v>
      </c>
      <c r="G1652" s="5">
        <v>35256</v>
      </c>
    </row>
    <row r="1653" spans="1:7" x14ac:dyDescent="0.2">
      <c r="A1653">
        <v>537</v>
      </c>
      <c r="B1653" t="s">
        <v>297</v>
      </c>
      <c r="C1653" t="s">
        <v>704</v>
      </c>
      <c r="D1653" s="5">
        <v>302456</v>
      </c>
      <c r="E1653" s="5">
        <v>795580</v>
      </c>
      <c r="F1653" s="5">
        <v>24003</v>
      </c>
      <c r="G1653" s="5">
        <v>1122039</v>
      </c>
    </row>
    <row r="1654" spans="1:7" x14ac:dyDescent="0.2">
      <c r="A1654">
        <v>537</v>
      </c>
      <c r="B1654" t="s">
        <v>297</v>
      </c>
      <c r="C1654" t="s">
        <v>705</v>
      </c>
      <c r="D1654" s="5">
        <v>8895</v>
      </c>
      <c r="E1654" s="5">
        <v>147870</v>
      </c>
      <c r="F1654" s="5">
        <v>592</v>
      </c>
      <c r="G1654" s="5">
        <v>157357</v>
      </c>
    </row>
    <row r="1655" spans="1:7" x14ac:dyDescent="0.2">
      <c r="A1655">
        <v>537</v>
      </c>
      <c r="B1655" t="s">
        <v>297</v>
      </c>
      <c r="C1655" t="s">
        <v>706</v>
      </c>
      <c r="D1655" s="5">
        <v>146</v>
      </c>
      <c r="E1655" s="5">
        <v>0</v>
      </c>
      <c r="F1655" s="5">
        <v>0</v>
      </c>
      <c r="G1655" s="5">
        <v>146</v>
      </c>
    </row>
    <row r="1656" spans="1:7" x14ac:dyDescent="0.2">
      <c r="A1656">
        <v>537</v>
      </c>
      <c r="B1656" t="s">
        <v>297</v>
      </c>
      <c r="C1656" t="s">
        <v>707</v>
      </c>
      <c r="D1656" s="5">
        <v>2526</v>
      </c>
      <c r="E1656" s="5">
        <v>5327</v>
      </c>
      <c r="F1656" s="5">
        <v>1626</v>
      </c>
      <c r="G1656" s="5">
        <v>9480</v>
      </c>
    </row>
    <row r="1657" spans="1:7" x14ac:dyDescent="0.2">
      <c r="A1657">
        <v>537</v>
      </c>
      <c r="B1657" t="s">
        <v>297</v>
      </c>
      <c r="C1657" t="s">
        <v>708</v>
      </c>
      <c r="D1657" s="5">
        <v>4407</v>
      </c>
      <c r="E1657" s="5">
        <v>58485</v>
      </c>
      <c r="F1657" s="5">
        <v>305</v>
      </c>
      <c r="G1657" s="5">
        <v>63197</v>
      </c>
    </row>
    <row r="1658" spans="1:7" x14ac:dyDescent="0.2">
      <c r="A1658">
        <v>537</v>
      </c>
      <c r="B1658" t="s">
        <v>297</v>
      </c>
      <c r="C1658" t="s">
        <v>709</v>
      </c>
      <c r="D1658" s="5">
        <v>17260</v>
      </c>
      <c r="E1658" s="5">
        <v>77310</v>
      </c>
      <c r="F1658" s="5">
        <v>1135</v>
      </c>
      <c r="G1658" s="5">
        <v>95704</v>
      </c>
    </row>
    <row r="1659" spans="1:7" x14ac:dyDescent="0.2">
      <c r="A1659">
        <v>537</v>
      </c>
      <c r="B1659" t="s">
        <v>297</v>
      </c>
      <c r="C1659" t="s">
        <v>710</v>
      </c>
      <c r="D1659" s="5">
        <v>1276</v>
      </c>
      <c r="E1659" s="5">
        <v>28160</v>
      </c>
      <c r="F1659" s="5">
        <v>74</v>
      </c>
      <c r="G1659" s="5">
        <v>29510</v>
      </c>
    </row>
    <row r="1660" spans="1:7" x14ac:dyDescent="0.2">
      <c r="A1660">
        <v>537</v>
      </c>
      <c r="B1660" t="s">
        <v>297</v>
      </c>
      <c r="C1660" t="s">
        <v>711</v>
      </c>
      <c r="D1660" s="5">
        <v>0</v>
      </c>
      <c r="E1660" s="5">
        <v>0</v>
      </c>
      <c r="F1660" s="5">
        <v>1032</v>
      </c>
      <c r="G1660" s="5">
        <v>1032</v>
      </c>
    </row>
    <row r="1661" spans="1:7" x14ac:dyDescent="0.2">
      <c r="A1661">
        <v>537</v>
      </c>
      <c r="B1661" t="s">
        <v>297</v>
      </c>
      <c r="C1661" t="s">
        <v>712</v>
      </c>
      <c r="D1661" s="5">
        <v>22732</v>
      </c>
      <c r="E1661" s="5">
        <v>106598</v>
      </c>
      <c r="F1661" s="5">
        <v>0</v>
      </c>
      <c r="G1661" s="5">
        <v>129330</v>
      </c>
    </row>
    <row r="1662" spans="1:7" x14ac:dyDescent="0.2">
      <c r="A1662">
        <v>542</v>
      </c>
      <c r="B1662" t="s">
        <v>303</v>
      </c>
      <c r="C1662" t="s">
        <v>700</v>
      </c>
      <c r="D1662" s="5">
        <v>30301</v>
      </c>
      <c r="E1662" s="5">
        <v>91317</v>
      </c>
      <c r="F1662" s="5">
        <v>1395</v>
      </c>
      <c r="G1662" s="5">
        <v>123014</v>
      </c>
    </row>
    <row r="1663" spans="1:7" x14ac:dyDescent="0.2">
      <c r="A1663">
        <v>542</v>
      </c>
      <c r="B1663" t="s">
        <v>303</v>
      </c>
      <c r="C1663" t="s">
        <v>701</v>
      </c>
      <c r="D1663" s="5">
        <v>8829</v>
      </c>
      <c r="E1663" s="5">
        <v>26939</v>
      </c>
      <c r="F1663" s="5">
        <v>0</v>
      </c>
      <c r="G1663" s="5">
        <v>35768</v>
      </c>
    </row>
    <row r="1664" spans="1:7" x14ac:dyDescent="0.2">
      <c r="A1664">
        <v>542</v>
      </c>
      <c r="B1664" t="s">
        <v>303</v>
      </c>
      <c r="C1664" t="s">
        <v>703</v>
      </c>
      <c r="D1664" s="5">
        <v>201</v>
      </c>
      <c r="E1664" s="5">
        <v>588</v>
      </c>
      <c r="F1664" s="5">
        <v>0</v>
      </c>
      <c r="G1664" s="5">
        <v>788</v>
      </c>
    </row>
    <row r="1665" spans="1:7" x14ac:dyDescent="0.2">
      <c r="A1665">
        <v>542</v>
      </c>
      <c r="B1665" t="s">
        <v>303</v>
      </c>
      <c r="C1665" t="s">
        <v>704</v>
      </c>
      <c r="D1665" s="5">
        <v>8281</v>
      </c>
      <c r="E1665" s="5">
        <v>140267</v>
      </c>
      <c r="F1665" s="5">
        <v>0</v>
      </c>
      <c r="G1665" s="5">
        <v>148547</v>
      </c>
    </row>
    <row r="1666" spans="1:7" x14ac:dyDescent="0.2">
      <c r="A1666">
        <v>542</v>
      </c>
      <c r="B1666" t="s">
        <v>303</v>
      </c>
      <c r="C1666" t="s">
        <v>705</v>
      </c>
      <c r="D1666" s="5">
        <v>4163</v>
      </c>
      <c r="E1666" s="5">
        <v>101495</v>
      </c>
      <c r="F1666" s="5">
        <v>0</v>
      </c>
      <c r="G1666" s="5">
        <v>105658</v>
      </c>
    </row>
    <row r="1667" spans="1:7" x14ac:dyDescent="0.2">
      <c r="A1667">
        <v>542</v>
      </c>
      <c r="B1667" t="s">
        <v>303</v>
      </c>
      <c r="C1667" t="s">
        <v>707</v>
      </c>
      <c r="D1667" s="5">
        <v>0</v>
      </c>
      <c r="E1667" s="5">
        <v>260</v>
      </c>
      <c r="F1667" s="5">
        <v>0</v>
      </c>
      <c r="G1667" s="5">
        <v>260</v>
      </c>
    </row>
    <row r="1668" spans="1:7" x14ac:dyDescent="0.2">
      <c r="A1668">
        <v>542</v>
      </c>
      <c r="B1668" t="s">
        <v>303</v>
      </c>
      <c r="C1668" t="s">
        <v>708</v>
      </c>
      <c r="D1668" s="5">
        <v>991</v>
      </c>
      <c r="E1668" s="5">
        <v>14255</v>
      </c>
      <c r="F1668" s="5">
        <v>0</v>
      </c>
      <c r="G1668" s="5">
        <v>15246</v>
      </c>
    </row>
    <row r="1669" spans="1:7" x14ac:dyDescent="0.2">
      <c r="A1669">
        <v>542</v>
      </c>
      <c r="B1669" t="s">
        <v>303</v>
      </c>
      <c r="C1669" t="s">
        <v>709</v>
      </c>
      <c r="D1669" s="5">
        <v>2550</v>
      </c>
      <c r="E1669" s="5">
        <v>32901</v>
      </c>
      <c r="F1669" s="5">
        <v>131</v>
      </c>
      <c r="G1669" s="5">
        <v>35582</v>
      </c>
    </row>
    <row r="1670" spans="1:7" x14ac:dyDescent="0.2">
      <c r="A1670">
        <v>542</v>
      </c>
      <c r="B1670" t="s">
        <v>303</v>
      </c>
      <c r="C1670" t="s">
        <v>710</v>
      </c>
      <c r="D1670" s="5">
        <v>161</v>
      </c>
      <c r="E1670" s="5">
        <v>16251</v>
      </c>
      <c r="F1670" s="5">
        <v>0</v>
      </c>
      <c r="G1670" s="5">
        <v>16411</v>
      </c>
    </row>
    <row r="1671" spans="1:7" x14ac:dyDescent="0.2">
      <c r="A1671">
        <v>542</v>
      </c>
      <c r="B1671" t="s">
        <v>303</v>
      </c>
      <c r="C1671" t="s">
        <v>712</v>
      </c>
      <c r="D1671" s="5">
        <v>4128</v>
      </c>
      <c r="E1671" s="5">
        <v>48253</v>
      </c>
      <c r="F1671" s="5">
        <v>858</v>
      </c>
      <c r="G1671" s="5">
        <v>53239</v>
      </c>
    </row>
    <row r="1672" spans="1:7" x14ac:dyDescent="0.2">
      <c r="A1672">
        <v>546</v>
      </c>
      <c r="B1672" t="s">
        <v>321</v>
      </c>
      <c r="C1672" t="s">
        <v>700</v>
      </c>
      <c r="D1672" s="5">
        <v>112879</v>
      </c>
      <c r="E1672" s="5">
        <v>222733</v>
      </c>
      <c r="F1672" s="5">
        <v>7006</v>
      </c>
      <c r="G1672" s="5">
        <v>342618</v>
      </c>
    </row>
    <row r="1673" spans="1:7" x14ac:dyDescent="0.2">
      <c r="A1673">
        <v>546</v>
      </c>
      <c r="B1673" t="s">
        <v>321</v>
      </c>
      <c r="C1673" t="s">
        <v>701</v>
      </c>
      <c r="D1673" s="5">
        <v>40415</v>
      </c>
      <c r="E1673" s="5">
        <v>76827</v>
      </c>
      <c r="F1673" s="5">
        <v>121</v>
      </c>
      <c r="G1673" s="5">
        <v>117364</v>
      </c>
    </row>
    <row r="1674" spans="1:7" x14ac:dyDescent="0.2">
      <c r="A1674">
        <v>546</v>
      </c>
      <c r="B1674" t="s">
        <v>321</v>
      </c>
      <c r="C1674" t="s">
        <v>703</v>
      </c>
      <c r="D1674" s="5">
        <v>3995</v>
      </c>
      <c r="E1674" s="5">
        <v>36220</v>
      </c>
      <c r="F1674" s="5">
        <v>153</v>
      </c>
      <c r="G1674" s="5">
        <v>40368</v>
      </c>
    </row>
    <row r="1675" spans="1:7" x14ac:dyDescent="0.2">
      <c r="A1675">
        <v>546</v>
      </c>
      <c r="B1675" t="s">
        <v>321</v>
      </c>
      <c r="C1675" t="s">
        <v>704</v>
      </c>
      <c r="D1675" s="5">
        <v>14533</v>
      </c>
      <c r="E1675" s="5">
        <v>260664</v>
      </c>
      <c r="F1675" s="5">
        <v>1053</v>
      </c>
      <c r="G1675" s="5">
        <v>276250</v>
      </c>
    </row>
    <row r="1676" spans="1:7" x14ac:dyDescent="0.2">
      <c r="A1676">
        <v>546</v>
      </c>
      <c r="B1676" t="s">
        <v>321</v>
      </c>
      <c r="C1676" t="s">
        <v>705</v>
      </c>
      <c r="D1676" s="5">
        <v>37061</v>
      </c>
      <c r="E1676" s="5">
        <v>170950</v>
      </c>
      <c r="F1676" s="5">
        <v>247</v>
      </c>
      <c r="G1676" s="5">
        <v>208258</v>
      </c>
    </row>
    <row r="1677" spans="1:7" x14ac:dyDescent="0.2">
      <c r="A1677">
        <v>546</v>
      </c>
      <c r="B1677" t="s">
        <v>321</v>
      </c>
      <c r="C1677" t="s">
        <v>707</v>
      </c>
      <c r="D1677" s="5">
        <v>940</v>
      </c>
      <c r="E1677" s="5">
        <v>22207</v>
      </c>
      <c r="F1677" s="5">
        <v>0</v>
      </c>
      <c r="G1677" s="5">
        <v>23146</v>
      </c>
    </row>
    <row r="1678" spans="1:7" x14ac:dyDescent="0.2">
      <c r="A1678">
        <v>546</v>
      </c>
      <c r="B1678" t="s">
        <v>321</v>
      </c>
      <c r="C1678" t="s">
        <v>708</v>
      </c>
      <c r="D1678" s="5">
        <v>15592</v>
      </c>
      <c r="E1678" s="5">
        <v>181382</v>
      </c>
      <c r="F1678" s="5">
        <v>0</v>
      </c>
      <c r="G1678" s="5">
        <v>196974</v>
      </c>
    </row>
    <row r="1679" spans="1:7" x14ac:dyDescent="0.2">
      <c r="A1679">
        <v>546</v>
      </c>
      <c r="B1679" t="s">
        <v>321</v>
      </c>
      <c r="C1679" t="s">
        <v>709</v>
      </c>
      <c r="D1679" s="5">
        <v>74016</v>
      </c>
      <c r="E1679" s="5">
        <v>227775</v>
      </c>
      <c r="F1679" s="5">
        <v>2952</v>
      </c>
      <c r="G1679" s="5">
        <v>304744</v>
      </c>
    </row>
    <row r="1680" spans="1:7" x14ac:dyDescent="0.2">
      <c r="A1680">
        <v>546</v>
      </c>
      <c r="B1680" t="s">
        <v>321</v>
      </c>
      <c r="C1680" t="s">
        <v>710</v>
      </c>
      <c r="D1680" s="5">
        <v>4140</v>
      </c>
      <c r="E1680" s="5">
        <v>58969</v>
      </c>
      <c r="F1680" s="5">
        <v>0</v>
      </c>
      <c r="G1680" s="5">
        <v>63108</v>
      </c>
    </row>
    <row r="1681" spans="1:7" x14ac:dyDescent="0.2">
      <c r="A1681">
        <v>546</v>
      </c>
      <c r="B1681" t="s">
        <v>321</v>
      </c>
      <c r="C1681" t="s">
        <v>712</v>
      </c>
      <c r="D1681" s="5">
        <v>38073</v>
      </c>
      <c r="E1681" s="5">
        <v>158331</v>
      </c>
      <c r="F1681" s="5">
        <v>1238</v>
      </c>
      <c r="G1681" s="5">
        <v>197642</v>
      </c>
    </row>
    <row r="1682" spans="1:7" x14ac:dyDescent="0.2">
      <c r="A1682">
        <v>547</v>
      </c>
      <c r="B1682" t="s">
        <v>323</v>
      </c>
      <c r="C1682" t="s">
        <v>700</v>
      </c>
      <c r="D1682" s="5">
        <v>37945</v>
      </c>
      <c r="E1682" s="5">
        <v>68933</v>
      </c>
      <c r="F1682" s="5">
        <v>665</v>
      </c>
      <c r="G1682" s="5">
        <v>107544</v>
      </c>
    </row>
    <row r="1683" spans="1:7" x14ac:dyDescent="0.2">
      <c r="A1683">
        <v>547</v>
      </c>
      <c r="B1683" t="s">
        <v>323</v>
      </c>
      <c r="C1683" t="s">
        <v>701</v>
      </c>
      <c r="D1683" s="5">
        <v>3839</v>
      </c>
      <c r="E1683" s="5">
        <v>21443</v>
      </c>
      <c r="F1683" s="5">
        <v>0</v>
      </c>
      <c r="G1683" s="5">
        <v>25282</v>
      </c>
    </row>
    <row r="1684" spans="1:7" x14ac:dyDescent="0.2">
      <c r="A1684">
        <v>547</v>
      </c>
      <c r="B1684" t="s">
        <v>323</v>
      </c>
      <c r="C1684" t="s">
        <v>703</v>
      </c>
      <c r="D1684" s="5">
        <v>289</v>
      </c>
      <c r="E1684" s="5">
        <v>19759</v>
      </c>
      <c r="F1684" s="5">
        <v>0</v>
      </c>
      <c r="G1684" s="5">
        <v>20048</v>
      </c>
    </row>
    <row r="1685" spans="1:7" x14ac:dyDescent="0.2">
      <c r="A1685">
        <v>547</v>
      </c>
      <c r="B1685" t="s">
        <v>323</v>
      </c>
      <c r="C1685" t="s">
        <v>704</v>
      </c>
      <c r="D1685" s="5">
        <v>1906</v>
      </c>
      <c r="E1685" s="5">
        <v>55525</v>
      </c>
      <c r="F1685" s="5">
        <v>0</v>
      </c>
      <c r="G1685" s="5">
        <v>57430</v>
      </c>
    </row>
    <row r="1686" spans="1:7" x14ac:dyDescent="0.2">
      <c r="A1686">
        <v>547</v>
      </c>
      <c r="B1686" t="s">
        <v>323</v>
      </c>
      <c r="C1686" t="s">
        <v>705</v>
      </c>
      <c r="D1686" s="5">
        <v>3435</v>
      </c>
      <c r="E1686" s="5">
        <v>34505</v>
      </c>
      <c r="F1686" s="5">
        <v>0</v>
      </c>
      <c r="G1686" s="5">
        <v>37940</v>
      </c>
    </row>
    <row r="1687" spans="1:7" x14ac:dyDescent="0.2">
      <c r="A1687">
        <v>547</v>
      </c>
      <c r="B1687" t="s">
        <v>323</v>
      </c>
      <c r="C1687" t="s">
        <v>707</v>
      </c>
      <c r="D1687" s="5">
        <v>186</v>
      </c>
      <c r="E1687" s="5">
        <v>751</v>
      </c>
      <c r="F1687" s="5">
        <v>0</v>
      </c>
      <c r="G1687" s="5">
        <v>937</v>
      </c>
    </row>
    <row r="1688" spans="1:7" x14ac:dyDescent="0.2">
      <c r="A1688">
        <v>547</v>
      </c>
      <c r="B1688" t="s">
        <v>323</v>
      </c>
      <c r="C1688" t="s">
        <v>708</v>
      </c>
      <c r="D1688" s="5">
        <v>347</v>
      </c>
      <c r="E1688" s="5">
        <v>26777</v>
      </c>
      <c r="F1688" s="5">
        <v>0</v>
      </c>
      <c r="G1688" s="5">
        <v>27124</v>
      </c>
    </row>
    <row r="1689" spans="1:7" x14ac:dyDescent="0.2">
      <c r="A1689">
        <v>547</v>
      </c>
      <c r="B1689" t="s">
        <v>323</v>
      </c>
      <c r="C1689" t="s">
        <v>709</v>
      </c>
      <c r="D1689" s="5">
        <v>4252</v>
      </c>
      <c r="E1689" s="5">
        <v>33340</v>
      </c>
      <c r="F1689" s="5">
        <v>46</v>
      </c>
      <c r="G1689" s="5">
        <v>37638</v>
      </c>
    </row>
    <row r="1690" spans="1:7" x14ac:dyDescent="0.2">
      <c r="A1690">
        <v>547</v>
      </c>
      <c r="B1690" t="s">
        <v>323</v>
      </c>
      <c r="C1690" t="s">
        <v>710</v>
      </c>
      <c r="D1690" s="5">
        <v>1883</v>
      </c>
      <c r="E1690" s="5">
        <v>20752</v>
      </c>
      <c r="F1690" s="5">
        <v>0</v>
      </c>
      <c r="G1690" s="5">
        <v>22634</v>
      </c>
    </row>
    <row r="1691" spans="1:7" x14ac:dyDescent="0.2">
      <c r="A1691">
        <v>547</v>
      </c>
      <c r="B1691" t="s">
        <v>323</v>
      </c>
      <c r="C1691" t="s">
        <v>712</v>
      </c>
      <c r="D1691" s="5">
        <v>9134</v>
      </c>
      <c r="E1691" s="5">
        <v>68104</v>
      </c>
      <c r="F1691" s="5">
        <v>0</v>
      </c>
      <c r="G1691" s="5">
        <v>77237</v>
      </c>
    </row>
    <row r="1692" spans="1:7" x14ac:dyDescent="0.2">
      <c r="A1692">
        <v>553</v>
      </c>
      <c r="B1692" t="s">
        <v>335</v>
      </c>
      <c r="C1692" t="s">
        <v>700</v>
      </c>
      <c r="D1692" s="5">
        <v>164425</v>
      </c>
      <c r="E1692" s="5">
        <v>141960</v>
      </c>
      <c r="F1692" s="5">
        <v>2218</v>
      </c>
      <c r="G1692" s="5">
        <v>308603</v>
      </c>
    </row>
    <row r="1693" spans="1:7" x14ac:dyDescent="0.2">
      <c r="A1693">
        <v>553</v>
      </c>
      <c r="B1693" t="s">
        <v>335</v>
      </c>
      <c r="C1693" t="s">
        <v>701</v>
      </c>
      <c r="D1693" s="5">
        <v>13667</v>
      </c>
      <c r="E1693" s="5">
        <v>23807</v>
      </c>
      <c r="F1693" s="5">
        <v>0</v>
      </c>
      <c r="G1693" s="5">
        <v>37474</v>
      </c>
    </row>
    <row r="1694" spans="1:7" x14ac:dyDescent="0.2">
      <c r="A1694">
        <v>553</v>
      </c>
      <c r="B1694" t="s">
        <v>335</v>
      </c>
      <c r="C1694" t="s">
        <v>703</v>
      </c>
      <c r="D1694" s="5">
        <v>504</v>
      </c>
      <c r="E1694" s="5">
        <v>2891</v>
      </c>
      <c r="F1694" s="5">
        <v>0</v>
      </c>
      <c r="G1694" s="5">
        <v>3395</v>
      </c>
    </row>
    <row r="1695" spans="1:7" x14ac:dyDescent="0.2">
      <c r="A1695">
        <v>553</v>
      </c>
      <c r="B1695" t="s">
        <v>335</v>
      </c>
      <c r="C1695" t="s">
        <v>704</v>
      </c>
      <c r="D1695" s="5">
        <v>20357</v>
      </c>
      <c r="E1695" s="5">
        <v>150529</v>
      </c>
      <c r="F1695" s="5">
        <v>2273</v>
      </c>
      <c r="G1695" s="5">
        <v>173160</v>
      </c>
    </row>
    <row r="1696" spans="1:7" x14ac:dyDescent="0.2">
      <c r="A1696">
        <v>553</v>
      </c>
      <c r="B1696" t="s">
        <v>335</v>
      </c>
      <c r="C1696" t="s">
        <v>705</v>
      </c>
      <c r="D1696" s="5">
        <v>11599</v>
      </c>
      <c r="E1696" s="5">
        <v>172104</v>
      </c>
      <c r="F1696" s="5">
        <v>0</v>
      </c>
      <c r="G1696" s="5">
        <v>183702</v>
      </c>
    </row>
    <row r="1697" spans="1:7" x14ac:dyDescent="0.2">
      <c r="A1697">
        <v>553</v>
      </c>
      <c r="B1697" t="s">
        <v>335</v>
      </c>
      <c r="C1697" t="s">
        <v>707</v>
      </c>
      <c r="D1697" s="5">
        <v>1170</v>
      </c>
      <c r="E1697" s="5">
        <v>5690</v>
      </c>
      <c r="F1697" s="5">
        <v>0</v>
      </c>
      <c r="G1697" s="5">
        <v>6861</v>
      </c>
    </row>
    <row r="1698" spans="1:7" x14ac:dyDescent="0.2">
      <c r="A1698">
        <v>553</v>
      </c>
      <c r="B1698" t="s">
        <v>335</v>
      </c>
      <c r="C1698" t="s">
        <v>708</v>
      </c>
      <c r="D1698" s="5">
        <v>2962</v>
      </c>
      <c r="E1698" s="5">
        <v>10159</v>
      </c>
      <c r="F1698" s="5">
        <v>502</v>
      </c>
      <c r="G1698" s="5">
        <v>13623</v>
      </c>
    </row>
    <row r="1699" spans="1:7" x14ac:dyDescent="0.2">
      <c r="A1699">
        <v>553</v>
      </c>
      <c r="B1699" t="s">
        <v>335</v>
      </c>
      <c r="C1699" t="s">
        <v>709</v>
      </c>
      <c r="D1699" s="5">
        <v>7286</v>
      </c>
      <c r="E1699" s="5">
        <v>39163</v>
      </c>
      <c r="F1699" s="5">
        <v>3984</v>
      </c>
      <c r="G1699" s="5">
        <v>50433</v>
      </c>
    </row>
    <row r="1700" spans="1:7" x14ac:dyDescent="0.2">
      <c r="A1700">
        <v>553</v>
      </c>
      <c r="B1700" t="s">
        <v>335</v>
      </c>
      <c r="C1700" t="s">
        <v>710</v>
      </c>
      <c r="D1700" s="5">
        <v>1998</v>
      </c>
      <c r="E1700" s="5">
        <v>9807</v>
      </c>
      <c r="F1700" s="5">
        <v>0</v>
      </c>
      <c r="G1700" s="5">
        <v>11805</v>
      </c>
    </row>
    <row r="1701" spans="1:7" x14ac:dyDescent="0.2">
      <c r="A1701">
        <v>553</v>
      </c>
      <c r="B1701" t="s">
        <v>335</v>
      </c>
      <c r="C1701" t="s">
        <v>712</v>
      </c>
      <c r="D1701" s="5">
        <v>14761</v>
      </c>
      <c r="E1701" s="5">
        <v>47313</v>
      </c>
      <c r="F1701" s="5">
        <v>6552</v>
      </c>
      <c r="G1701" s="5">
        <v>68627</v>
      </c>
    </row>
    <row r="1702" spans="1:7" x14ac:dyDescent="0.2">
      <c r="A1702">
        <v>556</v>
      </c>
      <c r="B1702" t="s">
        <v>351</v>
      </c>
      <c r="C1702" t="s">
        <v>700</v>
      </c>
      <c r="D1702" s="5">
        <v>21366</v>
      </c>
      <c r="E1702" s="5">
        <v>86265</v>
      </c>
      <c r="F1702" s="5">
        <v>3435</v>
      </c>
      <c r="G1702" s="5">
        <v>111066</v>
      </c>
    </row>
    <row r="1703" spans="1:7" x14ac:dyDescent="0.2">
      <c r="A1703">
        <v>556</v>
      </c>
      <c r="B1703" t="s">
        <v>351</v>
      </c>
      <c r="C1703" t="s">
        <v>701</v>
      </c>
      <c r="D1703" s="5">
        <v>11003</v>
      </c>
      <c r="E1703" s="5">
        <v>26786</v>
      </c>
      <c r="F1703" s="5">
        <v>568</v>
      </c>
      <c r="G1703" s="5">
        <v>38357</v>
      </c>
    </row>
    <row r="1704" spans="1:7" x14ac:dyDescent="0.2">
      <c r="A1704">
        <v>556</v>
      </c>
      <c r="B1704" t="s">
        <v>351</v>
      </c>
      <c r="C1704" t="s">
        <v>703</v>
      </c>
      <c r="D1704" s="5">
        <v>308</v>
      </c>
      <c r="E1704" s="5">
        <v>12145</v>
      </c>
      <c r="F1704" s="5">
        <v>0</v>
      </c>
      <c r="G1704" s="5">
        <v>12452</v>
      </c>
    </row>
    <row r="1705" spans="1:7" x14ac:dyDescent="0.2">
      <c r="A1705">
        <v>556</v>
      </c>
      <c r="B1705" t="s">
        <v>351</v>
      </c>
      <c r="C1705" t="s">
        <v>704</v>
      </c>
      <c r="D1705" s="5">
        <v>35864</v>
      </c>
      <c r="E1705" s="5">
        <v>120170</v>
      </c>
      <c r="F1705" s="5">
        <v>1005</v>
      </c>
      <c r="G1705" s="5">
        <v>157039</v>
      </c>
    </row>
    <row r="1706" spans="1:7" x14ac:dyDescent="0.2">
      <c r="A1706">
        <v>556</v>
      </c>
      <c r="B1706" t="s">
        <v>351</v>
      </c>
      <c r="C1706" t="s">
        <v>705</v>
      </c>
      <c r="D1706" s="5">
        <v>2023</v>
      </c>
      <c r="E1706" s="5">
        <v>51391</v>
      </c>
      <c r="F1706" s="5">
        <v>0</v>
      </c>
      <c r="G1706" s="5">
        <v>53414</v>
      </c>
    </row>
    <row r="1707" spans="1:7" x14ac:dyDescent="0.2">
      <c r="A1707">
        <v>556</v>
      </c>
      <c r="B1707" t="s">
        <v>351</v>
      </c>
      <c r="C1707" t="s">
        <v>707</v>
      </c>
      <c r="D1707" s="5">
        <v>136</v>
      </c>
      <c r="E1707" s="5">
        <v>1070</v>
      </c>
      <c r="F1707" s="5">
        <v>0</v>
      </c>
      <c r="G1707" s="5">
        <v>1205</v>
      </c>
    </row>
    <row r="1708" spans="1:7" x14ac:dyDescent="0.2">
      <c r="A1708">
        <v>556</v>
      </c>
      <c r="B1708" t="s">
        <v>351</v>
      </c>
      <c r="C1708" t="s">
        <v>708</v>
      </c>
      <c r="D1708" s="5">
        <v>433</v>
      </c>
      <c r="E1708" s="5">
        <v>18774</v>
      </c>
      <c r="F1708" s="5">
        <v>0</v>
      </c>
      <c r="G1708" s="5">
        <v>19207</v>
      </c>
    </row>
    <row r="1709" spans="1:7" x14ac:dyDescent="0.2">
      <c r="A1709">
        <v>556</v>
      </c>
      <c r="B1709" t="s">
        <v>351</v>
      </c>
      <c r="C1709" t="s">
        <v>709</v>
      </c>
      <c r="D1709" s="5">
        <v>2763</v>
      </c>
      <c r="E1709" s="5">
        <v>27060</v>
      </c>
      <c r="F1709" s="5">
        <v>710</v>
      </c>
      <c r="G1709" s="5">
        <v>30534</v>
      </c>
    </row>
    <row r="1710" spans="1:7" x14ac:dyDescent="0.2">
      <c r="A1710">
        <v>556</v>
      </c>
      <c r="B1710" t="s">
        <v>351</v>
      </c>
      <c r="C1710" t="s">
        <v>710</v>
      </c>
      <c r="D1710" s="5">
        <v>646</v>
      </c>
      <c r="E1710" s="5">
        <v>2650</v>
      </c>
      <c r="F1710" s="5">
        <v>0</v>
      </c>
      <c r="G1710" s="5">
        <v>3296</v>
      </c>
    </row>
    <row r="1711" spans="1:7" x14ac:dyDescent="0.2">
      <c r="A1711">
        <v>556</v>
      </c>
      <c r="B1711" t="s">
        <v>351</v>
      </c>
      <c r="C1711" t="s">
        <v>712</v>
      </c>
      <c r="D1711" s="5">
        <v>7055</v>
      </c>
      <c r="E1711" s="5">
        <v>73686</v>
      </c>
      <c r="F1711" s="5">
        <v>0</v>
      </c>
      <c r="G1711" s="5">
        <v>80741</v>
      </c>
    </row>
    <row r="1712" spans="1:7" x14ac:dyDescent="0.2">
      <c r="A1712">
        <v>569</v>
      </c>
      <c r="B1712" t="s">
        <v>387</v>
      </c>
      <c r="C1712" t="s">
        <v>700</v>
      </c>
      <c r="D1712" s="5">
        <v>719856</v>
      </c>
      <c r="E1712" s="5">
        <v>759527</v>
      </c>
      <c r="F1712" s="5">
        <v>49168</v>
      </c>
      <c r="G1712" s="5">
        <v>1528551</v>
      </c>
    </row>
    <row r="1713" spans="1:7" x14ac:dyDescent="0.2">
      <c r="A1713">
        <v>569</v>
      </c>
      <c r="B1713" t="s">
        <v>387</v>
      </c>
      <c r="C1713" t="s">
        <v>701</v>
      </c>
      <c r="D1713" s="5">
        <v>15560</v>
      </c>
      <c r="E1713" s="5">
        <v>26540</v>
      </c>
      <c r="F1713" s="5">
        <v>407</v>
      </c>
      <c r="G1713" s="5">
        <v>42507</v>
      </c>
    </row>
    <row r="1714" spans="1:7" x14ac:dyDescent="0.2">
      <c r="A1714">
        <v>569</v>
      </c>
      <c r="B1714" t="s">
        <v>387</v>
      </c>
      <c r="C1714" t="s">
        <v>703</v>
      </c>
      <c r="D1714" s="5">
        <v>323</v>
      </c>
      <c r="E1714" s="5">
        <v>3499</v>
      </c>
      <c r="F1714" s="5">
        <v>651</v>
      </c>
      <c r="G1714" s="5">
        <v>4473</v>
      </c>
    </row>
    <row r="1715" spans="1:7" x14ac:dyDescent="0.2">
      <c r="A1715">
        <v>569</v>
      </c>
      <c r="B1715" t="s">
        <v>387</v>
      </c>
      <c r="C1715" t="s">
        <v>704</v>
      </c>
      <c r="D1715" s="5">
        <v>157238</v>
      </c>
      <c r="E1715" s="5">
        <v>426375</v>
      </c>
      <c r="F1715" s="5">
        <v>6583</v>
      </c>
      <c r="G1715" s="5">
        <v>590197</v>
      </c>
    </row>
    <row r="1716" spans="1:7" x14ac:dyDescent="0.2">
      <c r="A1716">
        <v>569</v>
      </c>
      <c r="B1716" t="s">
        <v>387</v>
      </c>
      <c r="C1716" t="s">
        <v>705</v>
      </c>
      <c r="D1716" s="5">
        <v>8561</v>
      </c>
      <c r="E1716" s="5">
        <v>67504</v>
      </c>
      <c r="F1716" s="5">
        <v>0</v>
      </c>
      <c r="G1716" s="5">
        <v>76065</v>
      </c>
    </row>
    <row r="1717" spans="1:7" x14ac:dyDescent="0.2">
      <c r="A1717">
        <v>569</v>
      </c>
      <c r="B1717" t="s">
        <v>387</v>
      </c>
      <c r="C1717" t="s">
        <v>706</v>
      </c>
      <c r="D1717" s="5">
        <v>0</v>
      </c>
      <c r="E1717" s="5">
        <v>39</v>
      </c>
      <c r="F1717" s="5">
        <v>0</v>
      </c>
      <c r="G1717" s="5">
        <v>39</v>
      </c>
    </row>
    <row r="1718" spans="1:7" x14ac:dyDescent="0.2">
      <c r="A1718">
        <v>569</v>
      </c>
      <c r="B1718" t="s">
        <v>387</v>
      </c>
      <c r="C1718" t="s">
        <v>707</v>
      </c>
      <c r="D1718" s="5">
        <v>15409</v>
      </c>
      <c r="E1718" s="5">
        <v>15277</v>
      </c>
      <c r="F1718" s="5">
        <v>141</v>
      </c>
      <c r="G1718" s="5">
        <v>30827</v>
      </c>
    </row>
    <row r="1719" spans="1:7" x14ac:dyDescent="0.2">
      <c r="A1719">
        <v>569</v>
      </c>
      <c r="B1719" t="s">
        <v>387</v>
      </c>
      <c r="C1719" t="s">
        <v>708</v>
      </c>
      <c r="D1719" s="5">
        <v>609</v>
      </c>
      <c r="E1719" s="5">
        <v>12535</v>
      </c>
      <c r="F1719" s="5">
        <v>0</v>
      </c>
      <c r="G1719" s="5">
        <v>13144</v>
      </c>
    </row>
    <row r="1720" spans="1:7" x14ac:dyDescent="0.2">
      <c r="A1720">
        <v>569</v>
      </c>
      <c r="B1720" t="s">
        <v>387</v>
      </c>
      <c r="C1720" t="s">
        <v>709</v>
      </c>
      <c r="D1720" s="5">
        <v>4535</v>
      </c>
      <c r="E1720" s="5">
        <v>11730</v>
      </c>
      <c r="F1720" s="5">
        <v>709</v>
      </c>
      <c r="G1720" s="5">
        <v>16974</v>
      </c>
    </row>
    <row r="1721" spans="1:7" x14ac:dyDescent="0.2">
      <c r="A1721">
        <v>569</v>
      </c>
      <c r="B1721" t="s">
        <v>387</v>
      </c>
      <c r="C1721" t="s">
        <v>710</v>
      </c>
      <c r="D1721" s="5">
        <v>802</v>
      </c>
      <c r="E1721" s="5">
        <v>17062</v>
      </c>
      <c r="F1721" s="5">
        <v>0</v>
      </c>
      <c r="G1721" s="5">
        <v>17864</v>
      </c>
    </row>
    <row r="1722" spans="1:7" x14ac:dyDescent="0.2">
      <c r="A1722">
        <v>569</v>
      </c>
      <c r="B1722" t="s">
        <v>387</v>
      </c>
      <c r="C1722" t="s">
        <v>712</v>
      </c>
      <c r="D1722" s="5">
        <v>20167</v>
      </c>
      <c r="E1722" s="5">
        <v>89349</v>
      </c>
      <c r="F1722" s="5">
        <v>4630</v>
      </c>
      <c r="G1722" s="5">
        <v>114146</v>
      </c>
    </row>
    <row r="1723" spans="1:7" x14ac:dyDescent="0.2">
      <c r="A1723">
        <v>575</v>
      </c>
      <c r="B1723" t="s">
        <v>403</v>
      </c>
      <c r="C1723" t="s">
        <v>700</v>
      </c>
      <c r="D1723" s="5">
        <v>313735</v>
      </c>
      <c r="E1723" s="5">
        <v>434344</v>
      </c>
      <c r="F1723" s="5">
        <v>3987</v>
      </c>
      <c r="G1723" s="5">
        <v>752065</v>
      </c>
    </row>
    <row r="1724" spans="1:7" x14ac:dyDescent="0.2">
      <c r="A1724">
        <v>575</v>
      </c>
      <c r="B1724" t="s">
        <v>403</v>
      </c>
      <c r="C1724" t="s">
        <v>701</v>
      </c>
      <c r="D1724" s="5">
        <v>16698</v>
      </c>
      <c r="E1724" s="5">
        <v>32875</v>
      </c>
      <c r="F1724" s="5">
        <v>349</v>
      </c>
      <c r="G1724" s="5">
        <v>49921</v>
      </c>
    </row>
    <row r="1725" spans="1:7" x14ac:dyDescent="0.2">
      <c r="A1725">
        <v>575</v>
      </c>
      <c r="B1725" t="s">
        <v>403</v>
      </c>
      <c r="C1725" t="s">
        <v>703</v>
      </c>
      <c r="D1725" s="5">
        <v>4939</v>
      </c>
      <c r="E1725" s="5">
        <v>5530</v>
      </c>
      <c r="F1725" s="5">
        <v>0</v>
      </c>
      <c r="G1725" s="5">
        <v>10469</v>
      </c>
    </row>
    <row r="1726" spans="1:7" x14ac:dyDescent="0.2">
      <c r="A1726">
        <v>575</v>
      </c>
      <c r="B1726" t="s">
        <v>403</v>
      </c>
      <c r="C1726" t="s">
        <v>704</v>
      </c>
      <c r="D1726" s="5">
        <v>109012</v>
      </c>
      <c r="E1726" s="5">
        <v>415223</v>
      </c>
      <c r="F1726" s="5">
        <v>6275</v>
      </c>
      <c r="G1726" s="5">
        <v>530511</v>
      </c>
    </row>
    <row r="1727" spans="1:7" x14ac:dyDescent="0.2">
      <c r="A1727">
        <v>575</v>
      </c>
      <c r="B1727" t="s">
        <v>403</v>
      </c>
      <c r="C1727" t="s">
        <v>705</v>
      </c>
      <c r="D1727" s="5">
        <v>14399</v>
      </c>
      <c r="E1727" s="5">
        <v>72214</v>
      </c>
      <c r="F1727" s="5">
        <v>22533</v>
      </c>
      <c r="G1727" s="5">
        <v>109146</v>
      </c>
    </row>
    <row r="1728" spans="1:7" x14ac:dyDescent="0.2">
      <c r="A1728">
        <v>575</v>
      </c>
      <c r="B1728" t="s">
        <v>403</v>
      </c>
      <c r="C1728" t="s">
        <v>707</v>
      </c>
      <c r="D1728" s="5">
        <v>22432</v>
      </c>
      <c r="E1728" s="5">
        <v>68229</v>
      </c>
      <c r="F1728" s="5">
        <v>6975</v>
      </c>
      <c r="G1728" s="5">
        <v>97636</v>
      </c>
    </row>
    <row r="1729" spans="1:7" x14ac:dyDescent="0.2">
      <c r="A1729">
        <v>575</v>
      </c>
      <c r="B1729" t="s">
        <v>403</v>
      </c>
      <c r="C1729" t="s">
        <v>708</v>
      </c>
      <c r="D1729" s="5">
        <v>1587</v>
      </c>
      <c r="E1729" s="5">
        <v>23797</v>
      </c>
      <c r="F1729" s="5">
        <v>0</v>
      </c>
      <c r="G1729" s="5">
        <v>25384</v>
      </c>
    </row>
    <row r="1730" spans="1:7" x14ac:dyDescent="0.2">
      <c r="A1730">
        <v>575</v>
      </c>
      <c r="B1730" t="s">
        <v>403</v>
      </c>
      <c r="C1730" t="s">
        <v>709</v>
      </c>
      <c r="D1730" s="5">
        <v>16380</v>
      </c>
      <c r="E1730" s="5">
        <v>82291</v>
      </c>
      <c r="F1730" s="5">
        <v>1594</v>
      </c>
      <c r="G1730" s="5">
        <v>100266</v>
      </c>
    </row>
    <row r="1731" spans="1:7" x14ac:dyDescent="0.2">
      <c r="A1731">
        <v>575</v>
      </c>
      <c r="B1731" t="s">
        <v>403</v>
      </c>
      <c r="C1731" t="s">
        <v>710</v>
      </c>
      <c r="D1731" s="5">
        <v>735</v>
      </c>
      <c r="E1731" s="5">
        <v>31018</v>
      </c>
      <c r="F1731" s="5">
        <v>0</v>
      </c>
      <c r="G1731" s="5">
        <v>31753</v>
      </c>
    </row>
    <row r="1732" spans="1:7" x14ac:dyDescent="0.2">
      <c r="A1732">
        <v>575</v>
      </c>
      <c r="B1732" t="s">
        <v>403</v>
      </c>
      <c r="C1732" t="s">
        <v>712</v>
      </c>
      <c r="D1732" s="5">
        <v>20718</v>
      </c>
      <c r="E1732" s="5">
        <v>79817</v>
      </c>
      <c r="F1732" s="5">
        <v>75</v>
      </c>
      <c r="G1732" s="5">
        <v>100609</v>
      </c>
    </row>
    <row r="1733" spans="1:7" x14ac:dyDescent="0.2">
      <c r="A1733">
        <v>579</v>
      </c>
      <c r="B1733" t="s">
        <v>409</v>
      </c>
      <c r="C1733" t="s">
        <v>700</v>
      </c>
      <c r="D1733" s="5">
        <v>53672</v>
      </c>
      <c r="E1733" s="5">
        <v>58342</v>
      </c>
      <c r="F1733" s="5">
        <v>3825</v>
      </c>
      <c r="G1733" s="5">
        <v>115840</v>
      </c>
    </row>
    <row r="1734" spans="1:7" x14ac:dyDescent="0.2">
      <c r="A1734">
        <v>579</v>
      </c>
      <c r="B1734" t="s">
        <v>409</v>
      </c>
      <c r="C1734" t="s">
        <v>701</v>
      </c>
      <c r="D1734" s="5">
        <v>5066</v>
      </c>
      <c r="E1734" s="5">
        <v>12986</v>
      </c>
      <c r="F1734" s="5">
        <v>0</v>
      </c>
      <c r="G1734" s="5">
        <v>18052</v>
      </c>
    </row>
    <row r="1735" spans="1:7" x14ac:dyDescent="0.2">
      <c r="A1735">
        <v>579</v>
      </c>
      <c r="B1735" t="s">
        <v>409</v>
      </c>
      <c r="C1735" t="s">
        <v>703</v>
      </c>
      <c r="D1735" s="5">
        <v>4276</v>
      </c>
      <c r="E1735" s="5">
        <v>25591</v>
      </c>
      <c r="F1735" s="5">
        <v>0</v>
      </c>
      <c r="G1735" s="5">
        <v>29867</v>
      </c>
    </row>
    <row r="1736" spans="1:7" x14ac:dyDescent="0.2">
      <c r="A1736">
        <v>579</v>
      </c>
      <c r="B1736" t="s">
        <v>409</v>
      </c>
      <c r="C1736" t="s">
        <v>704</v>
      </c>
      <c r="D1736" s="5">
        <v>5990</v>
      </c>
      <c r="E1736" s="5">
        <v>11053</v>
      </c>
      <c r="F1736" s="5">
        <v>0</v>
      </c>
      <c r="G1736" s="5">
        <v>17043</v>
      </c>
    </row>
    <row r="1737" spans="1:7" x14ac:dyDescent="0.2">
      <c r="A1737">
        <v>579</v>
      </c>
      <c r="B1737" t="s">
        <v>409</v>
      </c>
      <c r="C1737" t="s">
        <v>705</v>
      </c>
      <c r="D1737" s="5">
        <v>2680</v>
      </c>
      <c r="E1737" s="5">
        <v>31475</v>
      </c>
      <c r="F1737" s="5">
        <v>1909</v>
      </c>
      <c r="G1737" s="5">
        <v>36065</v>
      </c>
    </row>
    <row r="1738" spans="1:7" x14ac:dyDescent="0.2">
      <c r="A1738">
        <v>579</v>
      </c>
      <c r="B1738" t="s">
        <v>409</v>
      </c>
      <c r="C1738" t="s">
        <v>707</v>
      </c>
      <c r="D1738" s="5">
        <v>1378</v>
      </c>
      <c r="E1738" s="5">
        <v>3724</v>
      </c>
      <c r="F1738" s="5">
        <v>0</v>
      </c>
      <c r="G1738" s="5">
        <v>5103</v>
      </c>
    </row>
    <row r="1739" spans="1:7" x14ac:dyDescent="0.2">
      <c r="A1739">
        <v>579</v>
      </c>
      <c r="B1739" t="s">
        <v>409</v>
      </c>
      <c r="C1739" t="s">
        <v>708</v>
      </c>
      <c r="D1739" s="5">
        <v>2749</v>
      </c>
      <c r="E1739" s="5">
        <v>33688</v>
      </c>
      <c r="F1739" s="5">
        <v>0</v>
      </c>
      <c r="G1739" s="5">
        <v>36436</v>
      </c>
    </row>
    <row r="1740" spans="1:7" x14ac:dyDescent="0.2">
      <c r="A1740">
        <v>579</v>
      </c>
      <c r="B1740" t="s">
        <v>409</v>
      </c>
      <c r="C1740" t="s">
        <v>709</v>
      </c>
      <c r="D1740" s="5">
        <v>3561</v>
      </c>
      <c r="E1740" s="5">
        <v>19965</v>
      </c>
      <c r="F1740" s="5">
        <v>57</v>
      </c>
      <c r="G1740" s="5">
        <v>23583</v>
      </c>
    </row>
    <row r="1741" spans="1:7" x14ac:dyDescent="0.2">
      <c r="A1741">
        <v>579</v>
      </c>
      <c r="B1741" t="s">
        <v>409</v>
      </c>
      <c r="C1741" t="s">
        <v>710</v>
      </c>
      <c r="D1741" s="5">
        <v>1893</v>
      </c>
      <c r="E1741" s="5">
        <v>4534</v>
      </c>
      <c r="F1741" s="5">
        <v>0</v>
      </c>
      <c r="G1741" s="5">
        <v>6427</v>
      </c>
    </row>
    <row r="1742" spans="1:7" x14ac:dyDescent="0.2">
      <c r="A1742">
        <v>579</v>
      </c>
      <c r="B1742" t="s">
        <v>409</v>
      </c>
      <c r="C1742" t="s">
        <v>712</v>
      </c>
      <c r="D1742" s="5">
        <v>3667</v>
      </c>
      <c r="E1742" s="5">
        <v>23196</v>
      </c>
      <c r="F1742" s="5">
        <v>0</v>
      </c>
      <c r="G1742" s="5">
        <v>26862</v>
      </c>
    </row>
    <row r="1743" spans="1:7" x14ac:dyDescent="0.2">
      <c r="A1743">
        <v>589</v>
      </c>
      <c r="B1743" t="s">
        <v>443</v>
      </c>
      <c r="C1743" t="s">
        <v>700</v>
      </c>
      <c r="D1743" s="5">
        <v>222428</v>
      </c>
      <c r="E1743" s="5">
        <v>102221</v>
      </c>
      <c r="F1743" s="5">
        <v>5558</v>
      </c>
      <c r="G1743" s="5">
        <v>330207</v>
      </c>
    </row>
    <row r="1744" spans="1:7" x14ac:dyDescent="0.2">
      <c r="A1744">
        <v>589</v>
      </c>
      <c r="B1744" t="s">
        <v>443</v>
      </c>
      <c r="C1744" t="s">
        <v>701</v>
      </c>
      <c r="D1744" s="5">
        <v>6707</v>
      </c>
      <c r="E1744" s="5">
        <v>1801</v>
      </c>
      <c r="F1744" s="5">
        <v>0</v>
      </c>
      <c r="G1744" s="5">
        <v>8508</v>
      </c>
    </row>
    <row r="1745" spans="1:7" x14ac:dyDescent="0.2">
      <c r="A1745">
        <v>589</v>
      </c>
      <c r="B1745" t="s">
        <v>443</v>
      </c>
      <c r="C1745" t="s">
        <v>703</v>
      </c>
      <c r="D1745" s="5">
        <v>96</v>
      </c>
      <c r="E1745" s="5">
        <v>275</v>
      </c>
      <c r="F1745" s="5">
        <v>0</v>
      </c>
      <c r="G1745" s="5">
        <v>370</v>
      </c>
    </row>
    <row r="1746" spans="1:7" x14ac:dyDescent="0.2">
      <c r="A1746">
        <v>589</v>
      </c>
      <c r="B1746" t="s">
        <v>443</v>
      </c>
      <c r="C1746" t="s">
        <v>704</v>
      </c>
      <c r="D1746" s="5">
        <v>13333</v>
      </c>
      <c r="E1746" s="5">
        <v>63876</v>
      </c>
      <c r="F1746" s="5">
        <v>0</v>
      </c>
      <c r="G1746" s="5">
        <v>77208</v>
      </c>
    </row>
    <row r="1747" spans="1:7" x14ac:dyDescent="0.2">
      <c r="A1747">
        <v>589</v>
      </c>
      <c r="B1747" t="s">
        <v>443</v>
      </c>
      <c r="C1747" t="s">
        <v>705</v>
      </c>
      <c r="D1747" s="5">
        <v>2169</v>
      </c>
      <c r="E1747" s="5">
        <v>27119</v>
      </c>
      <c r="F1747" s="5">
        <v>0</v>
      </c>
      <c r="G1747" s="5">
        <v>29288</v>
      </c>
    </row>
    <row r="1748" spans="1:7" x14ac:dyDescent="0.2">
      <c r="A1748">
        <v>589</v>
      </c>
      <c r="B1748" t="s">
        <v>443</v>
      </c>
      <c r="C1748" t="s">
        <v>707</v>
      </c>
      <c r="D1748" s="5">
        <v>238</v>
      </c>
      <c r="E1748" s="5">
        <v>908</v>
      </c>
      <c r="F1748" s="5">
        <v>0</v>
      </c>
      <c r="G1748" s="5">
        <v>1146</v>
      </c>
    </row>
    <row r="1749" spans="1:7" x14ac:dyDescent="0.2">
      <c r="A1749">
        <v>589</v>
      </c>
      <c r="B1749" t="s">
        <v>443</v>
      </c>
      <c r="C1749" t="s">
        <v>708</v>
      </c>
      <c r="D1749" s="5">
        <v>1288</v>
      </c>
      <c r="E1749" s="5">
        <v>4812</v>
      </c>
      <c r="F1749" s="5">
        <v>0</v>
      </c>
      <c r="G1749" s="5">
        <v>6100</v>
      </c>
    </row>
    <row r="1750" spans="1:7" x14ac:dyDescent="0.2">
      <c r="A1750">
        <v>589</v>
      </c>
      <c r="B1750" t="s">
        <v>443</v>
      </c>
      <c r="C1750" t="s">
        <v>709</v>
      </c>
      <c r="D1750" s="5">
        <v>13497</v>
      </c>
      <c r="E1750" s="5">
        <v>13935</v>
      </c>
      <c r="F1750" s="5">
        <v>290</v>
      </c>
      <c r="G1750" s="5">
        <v>27722</v>
      </c>
    </row>
    <row r="1751" spans="1:7" x14ac:dyDescent="0.2">
      <c r="A1751">
        <v>589</v>
      </c>
      <c r="B1751" t="s">
        <v>443</v>
      </c>
      <c r="C1751" t="s">
        <v>710</v>
      </c>
      <c r="D1751" s="5">
        <v>0</v>
      </c>
      <c r="E1751" s="5">
        <v>8265</v>
      </c>
      <c r="F1751" s="5">
        <v>0</v>
      </c>
      <c r="G1751" s="5">
        <v>8265</v>
      </c>
    </row>
    <row r="1752" spans="1:7" x14ac:dyDescent="0.2">
      <c r="A1752">
        <v>589</v>
      </c>
      <c r="B1752" t="s">
        <v>443</v>
      </c>
      <c r="C1752" t="s">
        <v>712</v>
      </c>
      <c r="D1752" s="5">
        <v>3242</v>
      </c>
      <c r="E1752" s="5">
        <v>13567</v>
      </c>
      <c r="F1752" s="5">
        <v>49</v>
      </c>
      <c r="G1752" s="5">
        <v>16858</v>
      </c>
    </row>
    <row r="1753" spans="1:7" x14ac:dyDescent="0.2">
      <c r="A1753">
        <v>590</v>
      </c>
      <c r="B1753" t="s">
        <v>447</v>
      </c>
      <c r="C1753" t="s">
        <v>700</v>
      </c>
      <c r="D1753" s="5">
        <v>35337</v>
      </c>
      <c r="E1753" s="5">
        <v>168250</v>
      </c>
      <c r="F1753" s="5">
        <v>851</v>
      </c>
      <c r="G1753" s="5">
        <v>204438</v>
      </c>
    </row>
    <row r="1754" spans="1:7" x14ac:dyDescent="0.2">
      <c r="A1754">
        <v>590</v>
      </c>
      <c r="B1754" t="s">
        <v>447</v>
      </c>
      <c r="C1754" t="s">
        <v>701</v>
      </c>
      <c r="D1754" s="5">
        <v>4079</v>
      </c>
      <c r="E1754" s="5">
        <v>17922</v>
      </c>
      <c r="F1754" s="5">
        <v>0</v>
      </c>
      <c r="G1754" s="5">
        <v>22001</v>
      </c>
    </row>
    <row r="1755" spans="1:7" x14ac:dyDescent="0.2">
      <c r="A1755">
        <v>590</v>
      </c>
      <c r="B1755" t="s">
        <v>447</v>
      </c>
      <c r="C1755" t="s">
        <v>703</v>
      </c>
      <c r="D1755" s="5">
        <v>659</v>
      </c>
      <c r="E1755" s="5">
        <v>1587</v>
      </c>
      <c r="F1755" s="5">
        <v>0</v>
      </c>
      <c r="G1755" s="5">
        <v>2246</v>
      </c>
    </row>
    <row r="1756" spans="1:7" x14ac:dyDescent="0.2">
      <c r="A1756">
        <v>590</v>
      </c>
      <c r="B1756" t="s">
        <v>447</v>
      </c>
      <c r="C1756" t="s">
        <v>704</v>
      </c>
      <c r="D1756" s="5">
        <v>2882</v>
      </c>
      <c r="E1756" s="5">
        <v>147867</v>
      </c>
      <c r="F1756" s="5">
        <v>0</v>
      </c>
      <c r="G1756" s="5">
        <v>150749</v>
      </c>
    </row>
    <row r="1757" spans="1:7" x14ac:dyDescent="0.2">
      <c r="A1757">
        <v>590</v>
      </c>
      <c r="B1757" t="s">
        <v>447</v>
      </c>
      <c r="C1757" t="s">
        <v>705</v>
      </c>
      <c r="D1757" s="5">
        <v>1989</v>
      </c>
      <c r="E1757" s="5">
        <v>62745</v>
      </c>
      <c r="F1757" s="5">
        <v>9226</v>
      </c>
      <c r="G1757" s="5">
        <v>73959</v>
      </c>
    </row>
    <row r="1758" spans="1:7" x14ac:dyDescent="0.2">
      <c r="A1758">
        <v>590</v>
      </c>
      <c r="B1758" t="s">
        <v>447</v>
      </c>
      <c r="C1758" t="s">
        <v>707</v>
      </c>
      <c r="D1758" s="5">
        <v>0</v>
      </c>
      <c r="E1758" s="5">
        <v>1489</v>
      </c>
      <c r="F1758" s="5">
        <v>0</v>
      </c>
      <c r="G1758" s="5">
        <v>1489</v>
      </c>
    </row>
    <row r="1759" spans="1:7" x14ac:dyDescent="0.2">
      <c r="A1759">
        <v>590</v>
      </c>
      <c r="B1759" t="s">
        <v>447</v>
      </c>
      <c r="C1759" t="s">
        <v>708</v>
      </c>
      <c r="D1759" s="5">
        <v>1177</v>
      </c>
      <c r="E1759" s="5">
        <v>37455</v>
      </c>
      <c r="F1759" s="5">
        <v>0</v>
      </c>
      <c r="G1759" s="5">
        <v>38631</v>
      </c>
    </row>
    <row r="1760" spans="1:7" x14ac:dyDescent="0.2">
      <c r="A1760">
        <v>590</v>
      </c>
      <c r="B1760" t="s">
        <v>447</v>
      </c>
      <c r="C1760" t="s">
        <v>709</v>
      </c>
      <c r="D1760" s="5">
        <v>2986</v>
      </c>
      <c r="E1760" s="5">
        <v>40386</v>
      </c>
      <c r="F1760" s="5">
        <v>1102</v>
      </c>
      <c r="G1760" s="5">
        <v>44474</v>
      </c>
    </row>
    <row r="1761" spans="1:7" x14ac:dyDescent="0.2">
      <c r="A1761">
        <v>590</v>
      </c>
      <c r="B1761" t="s">
        <v>447</v>
      </c>
      <c r="C1761" t="s">
        <v>710</v>
      </c>
      <c r="D1761" s="5">
        <v>1245</v>
      </c>
      <c r="E1761" s="5">
        <v>25393</v>
      </c>
      <c r="F1761" s="5">
        <v>0</v>
      </c>
      <c r="G1761" s="5">
        <v>26638</v>
      </c>
    </row>
    <row r="1762" spans="1:7" x14ac:dyDescent="0.2">
      <c r="A1762">
        <v>590</v>
      </c>
      <c r="B1762" t="s">
        <v>447</v>
      </c>
      <c r="C1762" t="s">
        <v>712</v>
      </c>
      <c r="D1762" s="5">
        <v>9169</v>
      </c>
      <c r="E1762" s="5">
        <v>34000</v>
      </c>
      <c r="F1762" s="5">
        <v>0</v>
      </c>
      <c r="G1762" s="5">
        <v>43169</v>
      </c>
    </row>
    <row r="1763" spans="1:7" x14ac:dyDescent="0.2">
      <c r="A1763">
        <v>597</v>
      </c>
      <c r="B1763" t="s">
        <v>473</v>
      </c>
      <c r="C1763" t="s">
        <v>700</v>
      </c>
      <c r="D1763" s="5">
        <v>168298</v>
      </c>
      <c r="E1763" s="5">
        <v>428065</v>
      </c>
      <c r="F1763" s="5">
        <v>6874</v>
      </c>
      <c r="G1763" s="5">
        <v>603237</v>
      </c>
    </row>
    <row r="1764" spans="1:7" x14ac:dyDescent="0.2">
      <c r="A1764">
        <v>597</v>
      </c>
      <c r="B1764" t="s">
        <v>473</v>
      </c>
      <c r="C1764" t="s">
        <v>701</v>
      </c>
      <c r="D1764" s="5">
        <v>11660</v>
      </c>
      <c r="E1764" s="5">
        <v>41580</v>
      </c>
      <c r="F1764" s="5">
        <v>0</v>
      </c>
      <c r="G1764" s="5">
        <v>53239</v>
      </c>
    </row>
    <row r="1765" spans="1:7" x14ac:dyDescent="0.2">
      <c r="A1765">
        <v>597</v>
      </c>
      <c r="B1765" t="s">
        <v>473</v>
      </c>
      <c r="C1765" t="s">
        <v>703</v>
      </c>
      <c r="D1765" s="5">
        <v>1922</v>
      </c>
      <c r="E1765" s="5">
        <v>8595</v>
      </c>
      <c r="F1765" s="5">
        <v>0</v>
      </c>
      <c r="G1765" s="5">
        <v>10517</v>
      </c>
    </row>
    <row r="1766" spans="1:7" x14ac:dyDescent="0.2">
      <c r="A1766">
        <v>597</v>
      </c>
      <c r="B1766" t="s">
        <v>473</v>
      </c>
      <c r="C1766" t="s">
        <v>704</v>
      </c>
      <c r="D1766" s="5">
        <v>91103</v>
      </c>
      <c r="E1766" s="5">
        <v>400032</v>
      </c>
      <c r="F1766" s="5">
        <v>95</v>
      </c>
      <c r="G1766" s="5">
        <v>491230</v>
      </c>
    </row>
    <row r="1767" spans="1:7" x14ac:dyDescent="0.2">
      <c r="A1767">
        <v>597</v>
      </c>
      <c r="B1767" t="s">
        <v>473</v>
      </c>
      <c r="C1767" t="s">
        <v>705</v>
      </c>
      <c r="D1767" s="5">
        <v>7565</v>
      </c>
      <c r="E1767" s="5">
        <v>109635</v>
      </c>
      <c r="F1767" s="5">
        <v>26009</v>
      </c>
      <c r="G1767" s="5">
        <v>143209</v>
      </c>
    </row>
    <row r="1768" spans="1:7" x14ac:dyDescent="0.2">
      <c r="A1768">
        <v>597</v>
      </c>
      <c r="B1768" t="s">
        <v>473</v>
      </c>
      <c r="C1768" t="s">
        <v>707</v>
      </c>
      <c r="D1768" s="5">
        <v>818</v>
      </c>
      <c r="E1768" s="5">
        <v>495</v>
      </c>
      <c r="F1768" s="5">
        <v>0</v>
      </c>
      <c r="G1768" s="5">
        <v>1313</v>
      </c>
    </row>
    <row r="1769" spans="1:7" x14ac:dyDescent="0.2">
      <c r="A1769">
        <v>597</v>
      </c>
      <c r="B1769" t="s">
        <v>473</v>
      </c>
      <c r="C1769" t="s">
        <v>708</v>
      </c>
      <c r="D1769" s="5">
        <v>2329</v>
      </c>
      <c r="E1769" s="5">
        <v>37277</v>
      </c>
      <c r="F1769" s="5">
        <v>0</v>
      </c>
      <c r="G1769" s="5">
        <v>39606</v>
      </c>
    </row>
    <row r="1770" spans="1:7" x14ac:dyDescent="0.2">
      <c r="A1770">
        <v>597</v>
      </c>
      <c r="B1770" t="s">
        <v>473</v>
      </c>
      <c r="C1770" t="s">
        <v>709</v>
      </c>
      <c r="D1770" s="5">
        <v>10132</v>
      </c>
      <c r="E1770" s="5">
        <v>189086</v>
      </c>
      <c r="F1770" s="5">
        <v>152</v>
      </c>
      <c r="G1770" s="5">
        <v>199370</v>
      </c>
    </row>
    <row r="1771" spans="1:7" x14ac:dyDescent="0.2">
      <c r="A1771">
        <v>597</v>
      </c>
      <c r="B1771" t="s">
        <v>473</v>
      </c>
      <c r="C1771" t="s">
        <v>710</v>
      </c>
      <c r="D1771" s="5">
        <v>2436</v>
      </c>
      <c r="E1771" s="5">
        <v>15275</v>
      </c>
      <c r="F1771" s="5">
        <v>0</v>
      </c>
      <c r="G1771" s="5">
        <v>17711</v>
      </c>
    </row>
    <row r="1772" spans="1:7" x14ac:dyDescent="0.2">
      <c r="A1772">
        <v>597</v>
      </c>
      <c r="B1772" t="s">
        <v>473</v>
      </c>
      <c r="C1772" t="s">
        <v>712</v>
      </c>
      <c r="D1772" s="5">
        <v>16713</v>
      </c>
      <c r="E1772" s="5">
        <v>269835</v>
      </c>
      <c r="F1772" s="5">
        <v>0</v>
      </c>
      <c r="G1772" s="5">
        <v>286548</v>
      </c>
    </row>
    <row r="1773" spans="1:7" x14ac:dyDescent="0.2">
      <c r="A1773">
        <v>599</v>
      </c>
      <c r="B1773" t="s">
        <v>487</v>
      </c>
      <c r="C1773" t="s">
        <v>700</v>
      </c>
      <c r="D1773" s="5">
        <v>930159</v>
      </c>
      <c r="E1773" s="5">
        <v>4142419</v>
      </c>
      <c r="F1773" s="5">
        <v>49165</v>
      </c>
      <c r="G1773" s="5">
        <v>5121743</v>
      </c>
    </row>
    <row r="1774" spans="1:7" x14ac:dyDescent="0.2">
      <c r="A1774">
        <v>599</v>
      </c>
      <c r="B1774" t="s">
        <v>487</v>
      </c>
      <c r="C1774" t="s">
        <v>701</v>
      </c>
      <c r="D1774" s="5">
        <v>135317</v>
      </c>
      <c r="E1774" s="5">
        <v>769886</v>
      </c>
      <c r="F1774" s="5">
        <v>6180</v>
      </c>
      <c r="G1774" s="5">
        <v>911382</v>
      </c>
    </row>
    <row r="1775" spans="1:7" x14ac:dyDescent="0.2">
      <c r="A1775">
        <v>599</v>
      </c>
      <c r="B1775" t="s">
        <v>487</v>
      </c>
      <c r="C1775" t="s">
        <v>703</v>
      </c>
      <c r="D1775" s="5">
        <v>9786</v>
      </c>
      <c r="E1775" s="5">
        <v>110614</v>
      </c>
      <c r="F1775" s="5">
        <v>58</v>
      </c>
      <c r="G1775" s="5">
        <v>120458</v>
      </c>
    </row>
    <row r="1776" spans="1:7" x14ac:dyDescent="0.2">
      <c r="A1776">
        <v>599</v>
      </c>
      <c r="B1776" t="s">
        <v>487</v>
      </c>
      <c r="C1776" t="s">
        <v>704</v>
      </c>
      <c r="D1776" s="5">
        <v>229796</v>
      </c>
      <c r="E1776" s="5">
        <v>2885611</v>
      </c>
      <c r="F1776" s="5">
        <v>18717</v>
      </c>
      <c r="G1776" s="5">
        <v>3134124</v>
      </c>
    </row>
    <row r="1777" spans="1:7" x14ac:dyDescent="0.2">
      <c r="A1777">
        <v>599</v>
      </c>
      <c r="B1777" t="s">
        <v>487</v>
      </c>
      <c r="C1777" t="s">
        <v>705</v>
      </c>
      <c r="D1777" s="5">
        <v>132370</v>
      </c>
      <c r="E1777" s="5">
        <v>1096463</v>
      </c>
      <c r="F1777" s="5">
        <v>20075</v>
      </c>
      <c r="G1777" s="5">
        <v>1248908</v>
      </c>
    </row>
    <row r="1778" spans="1:7" x14ac:dyDescent="0.2">
      <c r="A1778">
        <v>599</v>
      </c>
      <c r="B1778" t="s">
        <v>487</v>
      </c>
      <c r="C1778" t="s">
        <v>706</v>
      </c>
      <c r="D1778" s="5">
        <v>0</v>
      </c>
      <c r="E1778" s="5">
        <v>24</v>
      </c>
      <c r="F1778" s="5">
        <v>0</v>
      </c>
      <c r="G1778" s="5">
        <v>24</v>
      </c>
    </row>
    <row r="1779" spans="1:7" x14ac:dyDescent="0.2">
      <c r="A1779">
        <v>599</v>
      </c>
      <c r="B1779" t="s">
        <v>487</v>
      </c>
      <c r="C1779" t="s">
        <v>707</v>
      </c>
      <c r="D1779" s="5">
        <v>23560</v>
      </c>
      <c r="E1779" s="5">
        <v>26335</v>
      </c>
      <c r="F1779" s="5">
        <v>78</v>
      </c>
      <c r="G1779" s="5">
        <v>49973</v>
      </c>
    </row>
    <row r="1780" spans="1:7" x14ac:dyDescent="0.2">
      <c r="A1780">
        <v>599</v>
      </c>
      <c r="B1780" t="s">
        <v>487</v>
      </c>
      <c r="C1780" t="s">
        <v>708</v>
      </c>
      <c r="D1780" s="5">
        <v>59955</v>
      </c>
      <c r="E1780" s="5">
        <v>605480</v>
      </c>
      <c r="F1780" s="5">
        <v>0</v>
      </c>
      <c r="G1780" s="5">
        <v>665435</v>
      </c>
    </row>
    <row r="1781" spans="1:7" x14ac:dyDescent="0.2">
      <c r="A1781">
        <v>599</v>
      </c>
      <c r="B1781" t="s">
        <v>487</v>
      </c>
      <c r="C1781" t="s">
        <v>709</v>
      </c>
      <c r="D1781" s="5">
        <v>170939</v>
      </c>
      <c r="E1781" s="5">
        <v>2062068</v>
      </c>
      <c r="F1781" s="5">
        <v>4548</v>
      </c>
      <c r="G1781" s="5">
        <v>2237554</v>
      </c>
    </row>
    <row r="1782" spans="1:7" x14ac:dyDescent="0.2">
      <c r="A1782">
        <v>599</v>
      </c>
      <c r="B1782" t="s">
        <v>487</v>
      </c>
      <c r="C1782" t="s">
        <v>710</v>
      </c>
      <c r="D1782" s="5">
        <v>8414</v>
      </c>
      <c r="E1782" s="5">
        <v>108394</v>
      </c>
      <c r="F1782" s="5">
        <v>54</v>
      </c>
      <c r="G1782" s="5">
        <v>116862</v>
      </c>
    </row>
    <row r="1783" spans="1:7" x14ac:dyDescent="0.2">
      <c r="A1783">
        <v>599</v>
      </c>
      <c r="B1783" t="s">
        <v>487</v>
      </c>
      <c r="C1783" t="s">
        <v>711</v>
      </c>
      <c r="D1783" s="5">
        <v>485</v>
      </c>
      <c r="E1783" s="5">
        <v>127</v>
      </c>
      <c r="F1783" s="5">
        <v>0</v>
      </c>
      <c r="G1783" s="5">
        <v>613</v>
      </c>
    </row>
    <row r="1784" spans="1:7" x14ac:dyDescent="0.2">
      <c r="A1784">
        <v>599</v>
      </c>
      <c r="B1784" t="s">
        <v>487</v>
      </c>
      <c r="C1784" t="s">
        <v>712</v>
      </c>
      <c r="D1784" s="5">
        <v>112550</v>
      </c>
      <c r="E1784" s="5">
        <v>776924</v>
      </c>
      <c r="F1784" s="5">
        <v>1773</v>
      </c>
      <c r="G1784" s="5">
        <v>891248</v>
      </c>
    </row>
    <row r="1785" spans="1:7" x14ac:dyDescent="0.2">
      <c r="A1785">
        <v>603</v>
      </c>
      <c r="B1785" t="s">
        <v>477</v>
      </c>
      <c r="C1785" t="s">
        <v>700</v>
      </c>
      <c r="D1785" s="5">
        <v>65919</v>
      </c>
      <c r="E1785" s="5">
        <v>132884</v>
      </c>
      <c r="F1785" s="5">
        <v>6510</v>
      </c>
      <c r="G1785" s="5">
        <v>205314</v>
      </c>
    </row>
    <row r="1786" spans="1:7" x14ac:dyDescent="0.2">
      <c r="A1786">
        <v>603</v>
      </c>
      <c r="B1786" t="s">
        <v>477</v>
      </c>
      <c r="C1786" t="s">
        <v>701</v>
      </c>
      <c r="D1786" s="5">
        <v>16205</v>
      </c>
      <c r="E1786" s="5">
        <v>35532</v>
      </c>
      <c r="F1786" s="5">
        <v>0</v>
      </c>
      <c r="G1786" s="5">
        <v>51736</v>
      </c>
    </row>
    <row r="1787" spans="1:7" x14ac:dyDescent="0.2">
      <c r="A1787">
        <v>603</v>
      </c>
      <c r="B1787" t="s">
        <v>477</v>
      </c>
      <c r="C1787" t="s">
        <v>703</v>
      </c>
      <c r="D1787" s="5">
        <v>3249</v>
      </c>
      <c r="E1787" s="5">
        <v>14536</v>
      </c>
      <c r="F1787" s="5">
        <v>0</v>
      </c>
      <c r="G1787" s="5">
        <v>17786</v>
      </c>
    </row>
    <row r="1788" spans="1:7" x14ac:dyDescent="0.2">
      <c r="A1788">
        <v>603</v>
      </c>
      <c r="B1788" t="s">
        <v>477</v>
      </c>
      <c r="C1788" t="s">
        <v>704</v>
      </c>
      <c r="D1788" s="5">
        <v>9692</v>
      </c>
      <c r="E1788" s="5">
        <v>198574</v>
      </c>
      <c r="F1788" s="5">
        <v>3576</v>
      </c>
      <c r="G1788" s="5">
        <v>211841</v>
      </c>
    </row>
    <row r="1789" spans="1:7" x14ac:dyDescent="0.2">
      <c r="A1789">
        <v>603</v>
      </c>
      <c r="B1789" t="s">
        <v>477</v>
      </c>
      <c r="C1789" t="s">
        <v>705</v>
      </c>
      <c r="D1789" s="5">
        <v>14060</v>
      </c>
      <c r="E1789" s="5">
        <v>205492</v>
      </c>
      <c r="F1789" s="5">
        <v>1685</v>
      </c>
      <c r="G1789" s="5">
        <v>221237</v>
      </c>
    </row>
    <row r="1790" spans="1:7" x14ac:dyDescent="0.2">
      <c r="A1790">
        <v>603</v>
      </c>
      <c r="B1790" t="s">
        <v>477</v>
      </c>
      <c r="C1790" t="s">
        <v>707</v>
      </c>
      <c r="D1790" s="5">
        <v>895</v>
      </c>
      <c r="E1790" s="5">
        <v>1199</v>
      </c>
      <c r="F1790" s="5">
        <v>0</v>
      </c>
      <c r="G1790" s="5">
        <v>2094</v>
      </c>
    </row>
    <row r="1791" spans="1:7" x14ac:dyDescent="0.2">
      <c r="A1791">
        <v>603</v>
      </c>
      <c r="B1791" t="s">
        <v>477</v>
      </c>
      <c r="C1791" t="s">
        <v>708</v>
      </c>
      <c r="D1791" s="5">
        <v>11730</v>
      </c>
      <c r="E1791" s="5">
        <v>30325</v>
      </c>
      <c r="F1791" s="5">
        <v>1420</v>
      </c>
      <c r="G1791" s="5">
        <v>43475</v>
      </c>
    </row>
    <row r="1792" spans="1:7" x14ac:dyDescent="0.2">
      <c r="A1792">
        <v>603</v>
      </c>
      <c r="B1792" t="s">
        <v>477</v>
      </c>
      <c r="C1792" t="s">
        <v>709</v>
      </c>
      <c r="D1792" s="5">
        <v>8766</v>
      </c>
      <c r="E1792" s="5">
        <v>170298</v>
      </c>
      <c r="F1792" s="5">
        <v>3267</v>
      </c>
      <c r="G1792" s="5">
        <v>182331</v>
      </c>
    </row>
    <row r="1793" spans="1:7" x14ac:dyDescent="0.2">
      <c r="A1793">
        <v>603</v>
      </c>
      <c r="B1793" t="s">
        <v>477</v>
      </c>
      <c r="C1793" t="s">
        <v>710</v>
      </c>
      <c r="D1793" s="5">
        <v>3361</v>
      </c>
      <c r="E1793" s="5">
        <v>15176</v>
      </c>
      <c r="F1793" s="5">
        <v>0</v>
      </c>
      <c r="G1793" s="5">
        <v>18538</v>
      </c>
    </row>
    <row r="1794" spans="1:7" x14ac:dyDescent="0.2">
      <c r="A1794">
        <v>603</v>
      </c>
      <c r="B1794" t="s">
        <v>477</v>
      </c>
      <c r="C1794" t="s">
        <v>712</v>
      </c>
      <c r="D1794" s="5">
        <v>5112</v>
      </c>
      <c r="E1794" s="5">
        <v>95823</v>
      </c>
      <c r="F1794" s="5">
        <v>0</v>
      </c>
      <c r="G1794" s="5">
        <v>100934</v>
      </c>
    </row>
    <row r="1795" spans="1:7" x14ac:dyDescent="0.2">
      <c r="A1795">
        <v>606</v>
      </c>
      <c r="B1795" t="s">
        <v>497</v>
      </c>
      <c r="C1795" t="s">
        <v>700</v>
      </c>
      <c r="D1795" s="5">
        <v>67578</v>
      </c>
      <c r="E1795" s="5">
        <v>261613</v>
      </c>
      <c r="F1795" s="5">
        <v>3053</v>
      </c>
      <c r="G1795" s="5">
        <v>332243</v>
      </c>
    </row>
    <row r="1796" spans="1:7" x14ac:dyDescent="0.2">
      <c r="A1796">
        <v>606</v>
      </c>
      <c r="B1796" t="s">
        <v>497</v>
      </c>
      <c r="C1796" t="s">
        <v>701</v>
      </c>
      <c r="D1796" s="5">
        <v>18150</v>
      </c>
      <c r="E1796" s="5">
        <v>68500</v>
      </c>
      <c r="F1796" s="5">
        <v>0</v>
      </c>
      <c r="G1796" s="5">
        <v>86650</v>
      </c>
    </row>
    <row r="1797" spans="1:7" x14ac:dyDescent="0.2">
      <c r="A1797">
        <v>606</v>
      </c>
      <c r="B1797" t="s">
        <v>497</v>
      </c>
      <c r="C1797" t="s">
        <v>703</v>
      </c>
      <c r="D1797" s="5">
        <v>1100</v>
      </c>
      <c r="E1797" s="5">
        <v>19400</v>
      </c>
      <c r="F1797" s="5">
        <v>0</v>
      </c>
      <c r="G1797" s="5">
        <v>20500</v>
      </c>
    </row>
    <row r="1798" spans="1:7" x14ac:dyDescent="0.2">
      <c r="A1798">
        <v>606</v>
      </c>
      <c r="B1798" t="s">
        <v>497</v>
      </c>
      <c r="C1798" t="s">
        <v>704</v>
      </c>
      <c r="D1798" s="5">
        <v>23778</v>
      </c>
      <c r="E1798" s="5">
        <v>451357</v>
      </c>
      <c r="F1798" s="5">
        <v>52</v>
      </c>
      <c r="G1798" s="5">
        <v>475188</v>
      </c>
    </row>
    <row r="1799" spans="1:7" x14ac:dyDescent="0.2">
      <c r="A1799">
        <v>606</v>
      </c>
      <c r="B1799" t="s">
        <v>497</v>
      </c>
      <c r="C1799" t="s">
        <v>705</v>
      </c>
      <c r="D1799" s="5">
        <v>7256</v>
      </c>
      <c r="E1799" s="5">
        <v>141060</v>
      </c>
      <c r="F1799" s="5">
        <v>0</v>
      </c>
      <c r="G1799" s="5">
        <v>148316</v>
      </c>
    </row>
    <row r="1800" spans="1:7" x14ac:dyDescent="0.2">
      <c r="A1800">
        <v>606</v>
      </c>
      <c r="B1800" t="s">
        <v>497</v>
      </c>
      <c r="C1800" t="s">
        <v>707</v>
      </c>
      <c r="D1800" s="5">
        <v>227</v>
      </c>
      <c r="E1800" s="5">
        <v>2504</v>
      </c>
      <c r="F1800" s="5">
        <v>0</v>
      </c>
      <c r="G1800" s="5">
        <v>2731</v>
      </c>
    </row>
    <row r="1801" spans="1:7" x14ac:dyDescent="0.2">
      <c r="A1801">
        <v>606</v>
      </c>
      <c r="B1801" t="s">
        <v>497</v>
      </c>
      <c r="C1801" t="s">
        <v>708</v>
      </c>
      <c r="D1801" s="5">
        <v>3277</v>
      </c>
      <c r="E1801" s="5">
        <v>63326</v>
      </c>
      <c r="F1801" s="5">
        <v>538</v>
      </c>
      <c r="G1801" s="5">
        <v>67141</v>
      </c>
    </row>
    <row r="1802" spans="1:7" x14ac:dyDescent="0.2">
      <c r="A1802">
        <v>606</v>
      </c>
      <c r="B1802" t="s">
        <v>497</v>
      </c>
      <c r="C1802" t="s">
        <v>709</v>
      </c>
      <c r="D1802" s="5">
        <v>10017</v>
      </c>
      <c r="E1802" s="5">
        <v>85424</v>
      </c>
      <c r="F1802" s="5">
        <v>1227</v>
      </c>
      <c r="G1802" s="5">
        <v>96669</v>
      </c>
    </row>
    <row r="1803" spans="1:7" x14ac:dyDescent="0.2">
      <c r="A1803">
        <v>606</v>
      </c>
      <c r="B1803" t="s">
        <v>497</v>
      </c>
      <c r="C1803" t="s">
        <v>710</v>
      </c>
      <c r="D1803" s="5">
        <v>1585</v>
      </c>
      <c r="E1803" s="5">
        <v>35708</v>
      </c>
      <c r="F1803" s="5">
        <v>557</v>
      </c>
      <c r="G1803" s="5">
        <v>37851</v>
      </c>
    </row>
    <row r="1804" spans="1:7" x14ac:dyDescent="0.2">
      <c r="A1804">
        <v>606</v>
      </c>
      <c r="B1804" t="s">
        <v>497</v>
      </c>
      <c r="C1804" t="s">
        <v>712</v>
      </c>
      <c r="D1804" s="5">
        <v>20912</v>
      </c>
      <c r="E1804" s="5">
        <v>150678</v>
      </c>
      <c r="F1804" s="5">
        <v>0</v>
      </c>
      <c r="G1804" s="5">
        <v>171590</v>
      </c>
    </row>
    <row r="1805" spans="1:7" x14ac:dyDescent="0.2">
      <c r="A1805">
        <v>610</v>
      </c>
      <c r="B1805" t="s">
        <v>509</v>
      </c>
      <c r="C1805" t="s">
        <v>700</v>
      </c>
      <c r="D1805" s="5">
        <v>36196</v>
      </c>
      <c r="E1805" s="5">
        <v>93210</v>
      </c>
      <c r="F1805" s="5">
        <v>1794</v>
      </c>
      <c r="G1805" s="5">
        <v>131200</v>
      </c>
    </row>
    <row r="1806" spans="1:7" x14ac:dyDescent="0.2">
      <c r="A1806">
        <v>610</v>
      </c>
      <c r="B1806" t="s">
        <v>509</v>
      </c>
      <c r="C1806" t="s">
        <v>701</v>
      </c>
      <c r="D1806" s="5">
        <v>7899</v>
      </c>
      <c r="E1806" s="5">
        <v>22584</v>
      </c>
      <c r="F1806" s="5">
        <v>63</v>
      </c>
      <c r="G1806" s="5">
        <v>30546</v>
      </c>
    </row>
    <row r="1807" spans="1:7" x14ac:dyDescent="0.2">
      <c r="A1807">
        <v>610</v>
      </c>
      <c r="B1807" t="s">
        <v>509</v>
      </c>
      <c r="C1807" t="s">
        <v>703</v>
      </c>
      <c r="D1807" s="5">
        <v>622</v>
      </c>
      <c r="E1807" s="5">
        <v>27453</v>
      </c>
      <c r="F1807" s="5">
        <v>0</v>
      </c>
      <c r="G1807" s="5">
        <v>28075</v>
      </c>
    </row>
    <row r="1808" spans="1:7" x14ac:dyDescent="0.2">
      <c r="A1808">
        <v>610</v>
      </c>
      <c r="B1808" t="s">
        <v>509</v>
      </c>
      <c r="C1808" t="s">
        <v>704</v>
      </c>
      <c r="D1808" s="5">
        <v>11768</v>
      </c>
      <c r="E1808" s="5">
        <v>156585</v>
      </c>
      <c r="F1808" s="5">
        <v>144</v>
      </c>
      <c r="G1808" s="5">
        <v>168497</v>
      </c>
    </row>
    <row r="1809" spans="1:7" x14ac:dyDescent="0.2">
      <c r="A1809">
        <v>610</v>
      </c>
      <c r="B1809" t="s">
        <v>509</v>
      </c>
      <c r="C1809" t="s">
        <v>705</v>
      </c>
      <c r="D1809" s="5">
        <v>4119</v>
      </c>
      <c r="E1809" s="5">
        <v>57902</v>
      </c>
      <c r="F1809" s="5">
        <v>0</v>
      </c>
      <c r="G1809" s="5">
        <v>62021</v>
      </c>
    </row>
    <row r="1810" spans="1:7" x14ac:dyDescent="0.2">
      <c r="A1810">
        <v>610</v>
      </c>
      <c r="B1810" t="s">
        <v>509</v>
      </c>
      <c r="C1810" t="s">
        <v>707</v>
      </c>
      <c r="D1810" s="5">
        <v>88</v>
      </c>
      <c r="E1810" s="5">
        <v>0</v>
      </c>
      <c r="F1810" s="5">
        <v>0</v>
      </c>
      <c r="G1810" s="5">
        <v>88</v>
      </c>
    </row>
    <row r="1811" spans="1:7" x14ac:dyDescent="0.2">
      <c r="A1811">
        <v>610</v>
      </c>
      <c r="B1811" t="s">
        <v>509</v>
      </c>
      <c r="C1811" t="s">
        <v>708</v>
      </c>
      <c r="D1811" s="5">
        <v>839</v>
      </c>
      <c r="E1811" s="5">
        <v>14003</v>
      </c>
      <c r="F1811" s="5">
        <v>0</v>
      </c>
      <c r="G1811" s="5">
        <v>14842</v>
      </c>
    </row>
    <row r="1812" spans="1:7" x14ac:dyDescent="0.2">
      <c r="A1812">
        <v>610</v>
      </c>
      <c r="B1812" t="s">
        <v>509</v>
      </c>
      <c r="C1812" t="s">
        <v>709</v>
      </c>
      <c r="D1812" s="5">
        <v>3613</v>
      </c>
      <c r="E1812" s="5">
        <v>25141</v>
      </c>
      <c r="F1812" s="5">
        <v>477</v>
      </c>
      <c r="G1812" s="5">
        <v>29231</v>
      </c>
    </row>
    <row r="1813" spans="1:7" x14ac:dyDescent="0.2">
      <c r="A1813">
        <v>610</v>
      </c>
      <c r="B1813" t="s">
        <v>509</v>
      </c>
      <c r="C1813" t="s">
        <v>710</v>
      </c>
      <c r="D1813" s="5">
        <v>1485</v>
      </c>
      <c r="E1813" s="5">
        <v>13022</v>
      </c>
      <c r="F1813" s="5">
        <v>0</v>
      </c>
      <c r="G1813" s="5">
        <v>14508</v>
      </c>
    </row>
    <row r="1814" spans="1:7" x14ac:dyDescent="0.2">
      <c r="A1814">
        <v>610</v>
      </c>
      <c r="B1814" t="s">
        <v>509</v>
      </c>
      <c r="C1814" t="s">
        <v>712</v>
      </c>
      <c r="D1814" s="5">
        <v>8035</v>
      </c>
      <c r="E1814" s="5">
        <v>150266</v>
      </c>
      <c r="F1814" s="5">
        <v>0</v>
      </c>
      <c r="G1814" s="5">
        <v>158302</v>
      </c>
    </row>
    <row r="1815" spans="1:7" x14ac:dyDescent="0.2">
      <c r="A1815">
        <v>613</v>
      </c>
      <c r="B1815" t="s">
        <v>13</v>
      </c>
      <c r="C1815" t="s">
        <v>700</v>
      </c>
      <c r="D1815" s="5">
        <v>55900</v>
      </c>
      <c r="E1815" s="5">
        <v>183704</v>
      </c>
      <c r="F1815" s="5">
        <v>10364</v>
      </c>
      <c r="G1815" s="5">
        <v>249968</v>
      </c>
    </row>
    <row r="1816" spans="1:7" x14ac:dyDescent="0.2">
      <c r="A1816">
        <v>613</v>
      </c>
      <c r="B1816" t="s">
        <v>13</v>
      </c>
      <c r="C1816" t="s">
        <v>701</v>
      </c>
      <c r="D1816" s="5">
        <v>4041</v>
      </c>
      <c r="E1816" s="5">
        <v>5432</v>
      </c>
      <c r="F1816" s="5">
        <v>0</v>
      </c>
      <c r="G1816" s="5">
        <v>9473</v>
      </c>
    </row>
    <row r="1817" spans="1:7" x14ac:dyDescent="0.2">
      <c r="A1817">
        <v>613</v>
      </c>
      <c r="B1817" t="s">
        <v>13</v>
      </c>
      <c r="C1817" t="s">
        <v>703</v>
      </c>
      <c r="D1817" s="5">
        <v>3635</v>
      </c>
      <c r="E1817" s="5">
        <v>28934</v>
      </c>
      <c r="F1817" s="5">
        <v>0</v>
      </c>
      <c r="G1817" s="5">
        <v>32569</v>
      </c>
    </row>
    <row r="1818" spans="1:7" x14ac:dyDescent="0.2">
      <c r="A1818">
        <v>613</v>
      </c>
      <c r="B1818" t="s">
        <v>13</v>
      </c>
      <c r="C1818" t="s">
        <v>704</v>
      </c>
      <c r="D1818" s="5">
        <v>2004</v>
      </c>
      <c r="E1818" s="5">
        <v>151752</v>
      </c>
      <c r="F1818" s="5">
        <v>4574</v>
      </c>
      <c r="G1818" s="5">
        <v>158329</v>
      </c>
    </row>
    <row r="1819" spans="1:7" x14ac:dyDescent="0.2">
      <c r="A1819">
        <v>613</v>
      </c>
      <c r="B1819" t="s">
        <v>13</v>
      </c>
      <c r="C1819" t="s">
        <v>705</v>
      </c>
      <c r="D1819" s="5">
        <v>24331</v>
      </c>
      <c r="E1819" s="5">
        <v>79504</v>
      </c>
      <c r="F1819" s="5">
        <v>2066</v>
      </c>
      <c r="G1819" s="5">
        <v>105901</v>
      </c>
    </row>
    <row r="1820" spans="1:7" x14ac:dyDescent="0.2">
      <c r="A1820">
        <v>613</v>
      </c>
      <c r="B1820" t="s">
        <v>13</v>
      </c>
      <c r="C1820" t="s">
        <v>707</v>
      </c>
      <c r="D1820" s="5">
        <v>1030</v>
      </c>
      <c r="E1820" s="5">
        <v>241</v>
      </c>
      <c r="F1820" s="5">
        <v>0</v>
      </c>
      <c r="G1820" s="5">
        <v>1272</v>
      </c>
    </row>
    <row r="1821" spans="1:7" x14ac:dyDescent="0.2">
      <c r="A1821">
        <v>613</v>
      </c>
      <c r="B1821" t="s">
        <v>13</v>
      </c>
      <c r="C1821" t="s">
        <v>708</v>
      </c>
      <c r="D1821" s="5">
        <v>556</v>
      </c>
      <c r="E1821" s="5">
        <v>12039</v>
      </c>
      <c r="F1821" s="5">
        <v>0</v>
      </c>
      <c r="G1821" s="5">
        <v>12595</v>
      </c>
    </row>
    <row r="1822" spans="1:7" x14ac:dyDescent="0.2">
      <c r="A1822">
        <v>613</v>
      </c>
      <c r="B1822" t="s">
        <v>13</v>
      </c>
      <c r="C1822" t="s">
        <v>709</v>
      </c>
      <c r="D1822" s="5">
        <v>3940</v>
      </c>
      <c r="E1822" s="5">
        <v>22096</v>
      </c>
      <c r="F1822" s="5">
        <v>436</v>
      </c>
      <c r="G1822" s="5">
        <v>26471</v>
      </c>
    </row>
    <row r="1823" spans="1:7" x14ac:dyDescent="0.2">
      <c r="A1823">
        <v>613</v>
      </c>
      <c r="B1823" t="s">
        <v>13</v>
      </c>
      <c r="C1823" t="s">
        <v>710</v>
      </c>
      <c r="D1823" s="5">
        <v>593</v>
      </c>
      <c r="E1823" s="5">
        <v>9879</v>
      </c>
      <c r="F1823" s="5">
        <v>0</v>
      </c>
      <c r="G1823" s="5">
        <v>10472</v>
      </c>
    </row>
    <row r="1824" spans="1:7" x14ac:dyDescent="0.2">
      <c r="A1824">
        <v>613</v>
      </c>
      <c r="B1824" t="s">
        <v>13</v>
      </c>
      <c r="C1824" t="s">
        <v>712</v>
      </c>
      <c r="D1824" s="5">
        <v>7815</v>
      </c>
      <c r="E1824" s="5">
        <v>16151</v>
      </c>
      <c r="F1824" s="5">
        <v>0</v>
      </c>
      <c r="G1824" s="5">
        <v>23965</v>
      </c>
    </row>
    <row r="1825" spans="1:7" x14ac:dyDescent="0.2">
      <c r="A1825">
        <v>614</v>
      </c>
      <c r="B1825" s="9" t="s">
        <v>599</v>
      </c>
      <c r="C1825" t="s">
        <v>700</v>
      </c>
      <c r="D1825" s="5">
        <v>460799</v>
      </c>
      <c r="E1825" s="5">
        <v>635275</v>
      </c>
      <c r="F1825" s="5">
        <v>41893</v>
      </c>
      <c r="G1825" s="5">
        <v>1137967</v>
      </c>
    </row>
    <row r="1826" spans="1:7" x14ac:dyDescent="0.2">
      <c r="A1826">
        <v>614</v>
      </c>
      <c r="B1826" s="9" t="s">
        <v>599</v>
      </c>
      <c r="C1826" t="s">
        <v>701</v>
      </c>
      <c r="D1826" s="5">
        <v>5799</v>
      </c>
      <c r="E1826" s="5">
        <v>14327</v>
      </c>
      <c r="F1826" s="5">
        <v>0</v>
      </c>
      <c r="G1826" s="5">
        <v>20126</v>
      </c>
    </row>
    <row r="1827" spans="1:7" x14ac:dyDescent="0.2">
      <c r="A1827">
        <v>614</v>
      </c>
      <c r="B1827" s="9" t="s">
        <v>599</v>
      </c>
      <c r="C1827" t="s">
        <v>703</v>
      </c>
      <c r="D1827" s="5">
        <v>2882</v>
      </c>
      <c r="E1827" s="5">
        <v>676</v>
      </c>
      <c r="F1827" s="5">
        <v>0</v>
      </c>
      <c r="G1827" s="5">
        <v>3558</v>
      </c>
    </row>
    <row r="1828" spans="1:7" x14ac:dyDescent="0.2">
      <c r="A1828">
        <v>614</v>
      </c>
      <c r="B1828" s="9" t="s">
        <v>599</v>
      </c>
      <c r="C1828" t="s">
        <v>704</v>
      </c>
      <c r="D1828" s="5">
        <v>317949</v>
      </c>
      <c r="E1828" s="5">
        <v>53059</v>
      </c>
      <c r="F1828" s="5">
        <v>455</v>
      </c>
      <c r="G1828" s="5">
        <v>371462</v>
      </c>
    </row>
    <row r="1829" spans="1:7" x14ac:dyDescent="0.2">
      <c r="A1829">
        <v>614</v>
      </c>
      <c r="B1829" s="9" t="s">
        <v>599</v>
      </c>
      <c r="C1829" t="s">
        <v>705</v>
      </c>
      <c r="D1829" s="5">
        <v>2694</v>
      </c>
      <c r="E1829" s="5">
        <v>29203</v>
      </c>
      <c r="F1829" s="5">
        <v>0</v>
      </c>
      <c r="G1829" s="5">
        <v>31898</v>
      </c>
    </row>
    <row r="1830" spans="1:7" x14ac:dyDescent="0.2">
      <c r="A1830">
        <v>614</v>
      </c>
      <c r="B1830" s="9" t="s">
        <v>599</v>
      </c>
      <c r="C1830" t="s">
        <v>707</v>
      </c>
      <c r="D1830" s="5">
        <v>7517</v>
      </c>
      <c r="E1830" s="5">
        <v>10155</v>
      </c>
      <c r="F1830" s="5">
        <v>0</v>
      </c>
      <c r="G1830" s="5">
        <v>17672</v>
      </c>
    </row>
    <row r="1831" spans="1:7" x14ac:dyDescent="0.2">
      <c r="A1831">
        <v>614</v>
      </c>
      <c r="B1831" s="9" t="s">
        <v>599</v>
      </c>
      <c r="C1831" t="s">
        <v>708</v>
      </c>
      <c r="D1831" s="5">
        <v>1425</v>
      </c>
      <c r="E1831" s="5">
        <v>8700</v>
      </c>
      <c r="F1831" s="5">
        <v>0</v>
      </c>
      <c r="G1831" s="5">
        <v>10126</v>
      </c>
    </row>
    <row r="1832" spans="1:7" x14ac:dyDescent="0.2">
      <c r="A1832">
        <v>614</v>
      </c>
      <c r="B1832" s="9" t="s">
        <v>599</v>
      </c>
      <c r="C1832" t="s">
        <v>709</v>
      </c>
      <c r="D1832" s="5">
        <v>800</v>
      </c>
      <c r="E1832" s="5">
        <v>5173</v>
      </c>
      <c r="F1832" s="5">
        <v>1294</v>
      </c>
      <c r="G1832" s="5">
        <v>7268</v>
      </c>
    </row>
    <row r="1833" spans="1:7" x14ac:dyDescent="0.2">
      <c r="A1833">
        <v>614</v>
      </c>
      <c r="B1833" s="9" t="s">
        <v>599</v>
      </c>
      <c r="C1833" t="s">
        <v>710</v>
      </c>
      <c r="D1833" s="5">
        <v>3231</v>
      </c>
      <c r="E1833" s="5">
        <v>3715</v>
      </c>
      <c r="F1833" s="5">
        <v>0</v>
      </c>
      <c r="G1833" s="5">
        <v>6946</v>
      </c>
    </row>
    <row r="1834" spans="1:7" x14ac:dyDescent="0.2">
      <c r="A1834">
        <v>614</v>
      </c>
      <c r="B1834" s="9" t="s">
        <v>599</v>
      </c>
      <c r="C1834" t="s">
        <v>712</v>
      </c>
      <c r="D1834" s="5">
        <v>6086</v>
      </c>
      <c r="E1834" s="5">
        <v>19105</v>
      </c>
      <c r="F1834" s="5">
        <v>0</v>
      </c>
      <c r="G1834" s="5">
        <v>25191</v>
      </c>
    </row>
    <row r="1835" spans="1:7" x14ac:dyDescent="0.2">
      <c r="A1835">
        <v>622</v>
      </c>
      <c r="B1835" t="s">
        <v>591</v>
      </c>
      <c r="C1835" t="s">
        <v>700</v>
      </c>
      <c r="D1835" s="5">
        <v>43695</v>
      </c>
      <c r="E1835" s="5">
        <v>210938</v>
      </c>
      <c r="F1835" s="5">
        <v>2926</v>
      </c>
      <c r="G1835" s="5">
        <v>257559</v>
      </c>
    </row>
    <row r="1836" spans="1:7" x14ac:dyDescent="0.2">
      <c r="A1836">
        <v>622</v>
      </c>
      <c r="B1836" t="s">
        <v>591</v>
      </c>
      <c r="C1836" t="s">
        <v>701</v>
      </c>
      <c r="D1836" s="5">
        <v>11028</v>
      </c>
      <c r="E1836" s="5">
        <v>37270</v>
      </c>
      <c r="F1836" s="5">
        <v>0</v>
      </c>
      <c r="G1836" s="5">
        <v>48299</v>
      </c>
    </row>
    <row r="1837" spans="1:7" x14ac:dyDescent="0.2">
      <c r="A1837">
        <v>622</v>
      </c>
      <c r="B1837" t="s">
        <v>591</v>
      </c>
      <c r="C1837" t="s">
        <v>703</v>
      </c>
      <c r="D1837" s="5">
        <v>2064</v>
      </c>
      <c r="E1837" s="5">
        <v>18362</v>
      </c>
      <c r="F1837" s="5">
        <v>717</v>
      </c>
      <c r="G1837" s="5">
        <v>21143</v>
      </c>
    </row>
    <row r="1838" spans="1:7" x14ac:dyDescent="0.2">
      <c r="A1838">
        <v>622</v>
      </c>
      <c r="B1838" t="s">
        <v>591</v>
      </c>
      <c r="C1838" t="s">
        <v>704</v>
      </c>
      <c r="D1838" s="5">
        <v>22375</v>
      </c>
      <c r="E1838" s="5">
        <v>391764</v>
      </c>
      <c r="F1838" s="5">
        <v>1148</v>
      </c>
      <c r="G1838" s="5">
        <v>415288</v>
      </c>
    </row>
    <row r="1839" spans="1:7" x14ac:dyDescent="0.2">
      <c r="A1839">
        <v>622</v>
      </c>
      <c r="B1839" t="s">
        <v>591</v>
      </c>
      <c r="C1839" t="s">
        <v>705</v>
      </c>
      <c r="D1839" s="5">
        <v>5994</v>
      </c>
      <c r="E1839" s="5">
        <v>69940</v>
      </c>
      <c r="F1839" s="5">
        <v>0</v>
      </c>
      <c r="G1839" s="5">
        <v>75934</v>
      </c>
    </row>
    <row r="1840" spans="1:7" x14ac:dyDescent="0.2">
      <c r="A1840">
        <v>622</v>
      </c>
      <c r="B1840" t="s">
        <v>591</v>
      </c>
      <c r="C1840" t="s">
        <v>707</v>
      </c>
      <c r="D1840" s="5">
        <v>1043</v>
      </c>
      <c r="E1840" s="5">
        <v>3680</v>
      </c>
      <c r="F1840" s="5">
        <v>0</v>
      </c>
      <c r="G1840" s="5">
        <v>4723</v>
      </c>
    </row>
    <row r="1841" spans="1:7" x14ac:dyDescent="0.2">
      <c r="A1841">
        <v>622</v>
      </c>
      <c r="B1841" t="s">
        <v>591</v>
      </c>
      <c r="C1841" t="s">
        <v>708</v>
      </c>
      <c r="D1841" s="5">
        <v>740</v>
      </c>
      <c r="E1841" s="5">
        <v>60850</v>
      </c>
      <c r="F1841" s="5">
        <v>0</v>
      </c>
      <c r="G1841" s="5">
        <v>61591</v>
      </c>
    </row>
    <row r="1842" spans="1:7" x14ac:dyDescent="0.2">
      <c r="A1842">
        <v>622</v>
      </c>
      <c r="B1842" t="s">
        <v>591</v>
      </c>
      <c r="C1842" t="s">
        <v>709</v>
      </c>
      <c r="D1842" s="5">
        <v>7418</v>
      </c>
      <c r="E1842" s="5">
        <v>102158</v>
      </c>
      <c r="F1842" s="5">
        <v>508</v>
      </c>
      <c r="G1842" s="5">
        <v>110084</v>
      </c>
    </row>
    <row r="1843" spans="1:7" x14ac:dyDescent="0.2">
      <c r="A1843">
        <v>622</v>
      </c>
      <c r="B1843" t="s">
        <v>591</v>
      </c>
      <c r="C1843" t="s">
        <v>710</v>
      </c>
      <c r="D1843" s="5">
        <v>6790</v>
      </c>
      <c r="E1843" s="5">
        <v>40024</v>
      </c>
      <c r="F1843" s="5">
        <v>179</v>
      </c>
      <c r="G1843" s="5">
        <v>46994</v>
      </c>
    </row>
    <row r="1844" spans="1:7" x14ac:dyDescent="0.2">
      <c r="A1844">
        <v>622</v>
      </c>
      <c r="B1844" t="s">
        <v>591</v>
      </c>
      <c r="C1844" t="s">
        <v>712</v>
      </c>
      <c r="D1844" s="5">
        <v>9813</v>
      </c>
      <c r="E1844" s="5">
        <v>117599</v>
      </c>
      <c r="F1844" s="5">
        <v>58</v>
      </c>
      <c r="G1844" s="5">
        <v>127470</v>
      </c>
    </row>
    <row r="1845" spans="1:7" x14ac:dyDescent="0.2">
      <c r="A1845">
        <v>626</v>
      </c>
      <c r="B1845" t="s">
        <v>601</v>
      </c>
      <c r="C1845" t="s">
        <v>700</v>
      </c>
      <c r="D1845" s="5">
        <v>56379</v>
      </c>
      <c r="E1845" s="5">
        <v>72170</v>
      </c>
      <c r="F1845" s="5">
        <v>892</v>
      </c>
      <c r="G1845" s="5">
        <v>129441</v>
      </c>
    </row>
    <row r="1846" spans="1:7" x14ac:dyDescent="0.2">
      <c r="A1846">
        <v>626</v>
      </c>
      <c r="B1846" t="s">
        <v>601</v>
      </c>
      <c r="C1846" t="s">
        <v>701</v>
      </c>
      <c r="D1846" s="5">
        <v>6616</v>
      </c>
      <c r="E1846" s="5">
        <v>16517</v>
      </c>
      <c r="F1846" s="5">
        <v>0</v>
      </c>
      <c r="G1846" s="5">
        <v>23133</v>
      </c>
    </row>
    <row r="1847" spans="1:7" x14ac:dyDescent="0.2">
      <c r="A1847">
        <v>626</v>
      </c>
      <c r="B1847" t="s">
        <v>601</v>
      </c>
      <c r="C1847" t="s">
        <v>703</v>
      </c>
      <c r="D1847" s="5">
        <v>2987</v>
      </c>
      <c r="E1847" s="5">
        <v>5650</v>
      </c>
      <c r="F1847" s="5">
        <v>0</v>
      </c>
      <c r="G1847" s="5">
        <v>8637</v>
      </c>
    </row>
    <row r="1848" spans="1:7" x14ac:dyDescent="0.2">
      <c r="A1848">
        <v>626</v>
      </c>
      <c r="B1848" t="s">
        <v>601</v>
      </c>
      <c r="C1848" t="s">
        <v>704</v>
      </c>
      <c r="D1848" s="5">
        <v>24486</v>
      </c>
      <c r="E1848" s="5">
        <v>70721</v>
      </c>
      <c r="F1848" s="5">
        <v>2558</v>
      </c>
      <c r="G1848" s="5">
        <v>97765</v>
      </c>
    </row>
    <row r="1849" spans="1:7" x14ac:dyDescent="0.2">
      <c r="A1849">
        <v>626</v>
      </c>
      <c r="B1849" t="s">
        <v>601</v>
      </c>
      <c r="C1849" t="s">
        <v>705</v>
      </c>
      <c r="D1849" s="5">
        <v>9377</v>
      </c>
      <c r="E1849" s="5">
        <v>19854</v>
      </c>
      <c r="F1849" s="5">
        <v>317</v>
      </c>
      <c r="G1849" s="5">
        <v>29548</v>
      </c>
    </row>
    <row r="1850" spans="1:7" x14ac:dyDescent="0.2">
      <c r="A1850">
        <v>626</v>
      </c>
      <c r="B1850" t="s">
        <v>601</v>
      </c>
      <c r="C1850" t="s">
        <v>707</v>
      </c>
      <c r="D1850" s="5">
        <v>0</v>
      </c>
      <c r="E1850" s="5">
        <v>4015</v>
      </c>
      <c r="F1850" s="5">
        <v>0</v>
      </c>
      <c r="G1850" s="5">
        <v>4015</v>
      </c>
    </row>
    <row r="1851" spans="1:7" x14ac:dyDescent="0.2">
      <c r="A1851">
        <v>626</v>
      </c>
      <c r="B1851" t="s">
        <v>601</v>
      </c>
      <c r="C1851" t="s">
        <v>708</v>
      </c>
      <c r="D1851" s="5">
        <v>0</v>
      </c>
      <c r="E1851" s="5">
        <v>18160</v>
      </c>
      <c r="F1851" s="5">
        <v>0</v>
      </c>
      <c r="G1851" s="5">
        <v>18160</v>
      </c>
    </row>
    <row r="1852" spans="1:7" x14ac:dyDescent="0.2">
      <c r="A1852">
        <v>626</v>
      </c>
      <c r="B1852" t="s">
        <v>601</v>
      </c>
      <c r="C1852" t="s">
        <v>709</v>
      </c>
      <c r="D1852" s="5">
        <v>9598</v>
      </c>
      <c r="E1852" s="5">
        <v>38350</v>
      </c>
      <c r="F1852" s="5">
        <v>8549</v>
      </c>
      <c r="G1852" s="5">
        <v>56497</v>
      </c>
    </row>
    <row r="1853" spans="1:7" x14ac:dyDescent="0.2">
      <c r="A1853">
        <v>626</v>
      </c>
      <c r="B1853" t="s">
        <v>601</v>
      </c>
      <c r="C1853" t="s">
        <v>710</v>
      </c>
      <c r="D1853" s="5">
        <v>2628</v>
      </c>
      <c r="E1853" s="5">
        <v>3921</v>
      </c>
      <c r="F1853" s="5">
        <v>0</v>
      </c>
      <c r="G1853" s="5">
        <v>6549</v>
      </c>
    </row>
    <row r="1854" spans="1:7" x14ac:dyDescent="0.2">
      <c r="A1854">
        <v>626</v>
      </c>
      <c r="B1854" t="s">
        <v>601</v>
      </c>
      <c r="C1854" t="s">
        <v>712</v>
      </c>
      <c r="D1854" s="5">
        <v>11698</v>
      </c>
      <c r="E1854" s="5">
        <v>28630</v>
      </c>
      <c r="F1854" s="5">
        <v>850</v>
      </c>
      <c r="G1854" s="5">
        <v>41177</v>
      </c>
    </row>
    <row r="1855" spans="1:7" x14ac:dyDescent="0.2">
      <c r="A1855">
        <v>627</v>
      </c>
      <c r="B1855" t="s">
        <v>613</v>
      </c>
      <c r="C1855" t="s">
        <v>700</v>
      </c>
      <c r="D1855" s="5">
        <v>165176</v>
      </c>
      <c r="E1855" s="5">
        <v>276633</v>
      </c>
      <c r="F1855" s="5">
        <v>71152</v>
      </c>
      <c r="G1855" s="5">
        <v>512961</v>
      </c>
    </row>
    <row r="1856" spans="1:7" x14ac:dyDescent="0.2">
      <c r="A1856">
        <v>627</v>
      </c>
      <c r="B1856" t="s">
        <v>613</v>
      </c>
      <c r="C1856" t="s">
        <v>701</v>
      </c>
      <c r="D1856" s="5">
        <v>6143</v>
      </c>
      <c r="E1856" s="5">
        <v>15827</v>
      </c>
      <c r="F1856" s="5">
        <v>0</v>
      </c>
      <c r="G1856" s="5">
        <v>21970</v>
      </c>
    </row>
    <row r="1857" spans="1:7" x14ac:dyDescent="0.2">
      <c r="A1857">
        <v>627</v>
      </c>
      <c r="B1857" t="s">
        <v>613</v>
      </c>
      <c r="C1857" t="s">
        <v>703</v>
      </c>
      <c r="D1857" s="5">
        <v>346</v>
      </c>
      <c r="E1857" s="5">
        <v>4211</v>
      </c>
      <c r="F1857" s="5">
        <v>0</v>
      </c>
      <c r="G1857" s="5">
        <v>4558</v>
      </c>
    </row>
    <row r="1858" spans="1:7" x14ac:dyDescent="0.2">
      <c r="A1858">
        <v>627</v>
      </c>
      <c r="B1858" t="s">
        <v>613</v>
      </c>
      <c r="C1858" t="s">
        <v>704</v>
      </c>
      <c r="D1858" s="5">
        <v>590945</v>
      </c>
      <c r="E1858" s="5">
        <v>635929</v>
      </c>
      <c r="F1858" s="5">
        <v>3283</v>
      </c>
      <c r="G1858" s="5">
        <v>1230157</v>
      </c>
    </row>
    <row r="1859" spans="1:7" x14ac:dyDescent="0.2">
      <c r="A1859">
        <v>627</v>
      </c>
      <c r="B1859" t="s">
        <v>613</v>
      </c>
      <c r="C1859" t="s">
        <v>705</v>
      </c>
      <c r="D1859" s="5">
        <v>3104</v>
      </c>
      <c r="E1859" s="5">
        <v>120210</v>
      </c>
      <c r="F1859" s="5">
        <v>72518</v>
      </c>
      <c r="G1859" s="5">
        <v>195832</v>
      </c>
    </row>
    <row r="1860" spans="1:7" x14ac:dyDescent="0.2">
      <c r="A1860">
        <v>627</v>
      </c>
      <c r="B1860" t="s">
        <v>613</v>
      </c>
      <c r="C1860" t="s">
        <v>707</v>
      </c>
      <c r="D1860" s="5">
        <v>0</v>
      </c>
      <c r="E1860" s="5">
        <v>0</v>
      </c>
      <c r="F1860" s="5">
        <v>290</v>
      </c>
      <c r="G1860" s="5">
        <v>290</v>
      </c>
    </row>
    <row r="1861" spans="1:7" x14ac:dyDescent="0.2">
      <c r="A1861">
        <v>627</v>
      </c>
      <c r="B1861" t="s">
        <v>613</v>
      </c>
      <c r="C1861" t="s">
        <v>708</v>
      </c>
      <c r="D1861" s="5">
        <v>1694</v>
      </c>
      <c r="E1861" s="5">
        <v>23292</v>
      </c>
      <c r="F1861" s="5">
        <v>0</v>
      </c>
      <c r="G1861" s="5">
        <v>24986</v>
      </c>
    </row>
    <row r="1862" spans="1:7" x14ac:dyDescent="0.2">
      <c r="A1862">
        <v>627</v>
      </c>
      <c r="B1862" t="s">
        <v>613</v>
      </c>
      <c r="C1862" t="s">
        <v>709</v>
      </c>
      <c r="D1862" s="5">
        <v>23017</v>
      </c>
      <c r="E1862" s="5">
        <v>79701</v>
      </c>
      <c r="F1862" s="5">
        <v>346</v>
      </c>
      <c r="G1862" s="5">
        <v>103064</v>
      </c>
    </row>
    <row r="1863" spans="1:7" x14ac:dyDescent="0.2">
      <c r="A1863">
        <v>627</v>
      </c>
      <c r="B1863" t="s">
        <v>613</v>
      </c>
      <c r="C1863" t="s">
        <v>710</v>
      </c>
      <c r="D1863" s="5">
        <v>0</v>
      </c>
      <c r="E1863" s="5">
        <v>13172</v>
      </c>
      <c r="F1863" s="5">
        <v>0</v>
      </c>
      <c r="G1863" s="5">
        <v>13172</v>
      </c>
    </row>
    <row r="1864" spans="1:7" x14ac:dyDescent="0.2">
      <c r="A1864">
        <v>627</v>
      </c>
      <c r="B1864" t="s">
        <v>613</v>
      </c>
      <c r="C1864" t="s">
        <v>711</v>
      </c>
      <c r="D1864" s="5">
        <v>93</v>
      </c>
      <c r="E1864" s="5">
        <v>110</v>
      </c>
      <c r="F1864" s="5">
        <v>0</v>
      </c>
      <c r="G1864" s="5">
        <v>203</v>
      </c>
    </row>
    <row r="1865" spans="1:7" x14ac:dyDescent="0.2">
      <c r="A1865">
        <v>627</v>
      </c>
      <c r="B1865" t="s">
        <v>613</v>
      </c>
      <c r="C1865" t="s">
        <v>712</v>
      </c>
      <c r="D1865" s="5">
        <v>4751</v>
      </c>
      <c r="E1865" s="5">
        <v>56022</v>
      </c>
      <c r="F1865" s="5">
        <v>559</v>
      </c>
      <c r="G1865" s="5">
        <v>61332</v>
      </c>
    </row>
    <row r="1866" spans="1:7" x14ac:dyDescent="0.2">
      <c r="A1866">
        <v>629</v>
      </c>
      <c r="B1866" t="s">
        <v>617</v>
      </c>
      <c r="C1866" t="s">
        <v>700</v>
      </c>
      <c r="D1866" s="5">
        <v>167710</v>
      </c>
      <c r="E1866" s="5">
        <v>101153</v>
      </c>
      <c r="F1866" s="5">
        <v>3010</v>
      </c>
      <c r="G1866" s="5">
        <v>271873</v>
      </c>
    </row>
    <row r="1867" spans="1:7" x14ac:dyDescent="0.2">
      <c r="A1867">
        <v>629</v>
      </c>
      <c r="B1867" t="s">
        <v>617</v>
      </c>
      <c r="C1867" t="s">
        <v>701</v>
      </c>
      <c r="D1867" s="5">
        <v>16732</v>
      </c>
      <c r="E1867" s="5">
        <v>19993</v>
      </c>
      <c r="F1867" s="5">
        <v>0</v>
      </c>
      <c r="G1867" s="5">
        <v>36725</v>
      </c>
    </row>
    <row r="1868" spans="1:7" x14ac:dyDescent="0.2">
      <c r="A1868">
        <v>629</v>
      </c>
      <c r="B1868" t="s">
        <v>617</v>
      </c>
      <c r="C1868" t="s">
        <v>703</v>
      </c>
      <c r="D1868" s="5">
        <v>47</v>
      </c>
      <c r="E1868" s="5">
        <v>3887</v>
      </c>
      <c r="F1868" s="5">
        <v>0</v>
      </c>
      <c r="G1868" s="5">
        <v>3933</v>
      </c>
    </row>
    <row r="1869" spans="1:7" x14ac:dyDescent="0.2">
      <c r="A1869">
        <v>629</v>
      </c>
      <c r="B1869" t="s">
        <v>617</v>
      </c>
      <c r="C1869" t="s">
        <v>704</v>
      </c>
      <c r="D1869" s="5">
        <v>8438</v>
      </c>
      <c r="E1869" s="5">
        <v>62886</v>
      </c>
      <c r="F1869" s="5">
        <v>185</v>
      </c>
      <c r="G1869" s="5">
        <v>71508</v>
      </c>
    </row>
    <row r="1870" spans="1:7" x14ac:dyDescent="0.2">
      <c r="A1870">
        <v>629</v>
      </c>
      <c r="B1870" t="s">
        <v>617</v>
      </c>
      <c r="C1870" t="s">
        <v>705</v>
      </c>
      <c r="D1870" s="5">
        <v>4878</v>
      </c>
      <c r="E1870" s="5">
        <v>33859</v>
      </c>
      <c r="F1870" s="5">
        <v>0</v>
      </c>
      <c r="G1870" s="5">
        <v>38738</v>
      </c>
    </row>
    <row r="1871" spans="1:7" x14ac:dyDescent="0.2">
      <c r="A1871">
        <v>629</v>
      </c>
      <c r="B1871" t="s">
        <v>617</v>
      </c>
      <c r="C1871" t="s">
        <v>707</v>
      </c>
      <c r="D1871" s="5">
        <v>2815</v>
      </c>
      <c r="E1871" s="5">
        <v>1456</v>
      </c>
      <c r="F1871" s="5">
        <v>0</v>
      </c>
      <c r="G1871" s="5">
        <v>4270</v>
      </c>
    </row>
    <row r="1872" spans="1:7" x14ac:dyDescent="0.2">
      <c r="A1872">
        <v>629</v>
      </c>
      <c r="B1872" t="s">
        <v>617</v>
      </c>
      <c r="C1872" t="s">
        <v>708</v>
      </c>
      <c r="D1872" s="5">
        <v>2430</v>
      </c>
      <c r="E1872" s="5">
        <v>30273</v>
      </c>
      <c r="F1872" s="5">
        <v>0</v>
      </c>
      <c r="G1872" s="5">
        <v>32703</v>
      </c>
    </row>
    <row r="1873" spans="1:7" x14ac:dyDescent="0.2">
      <c r="A1873">
        <v>629</v>
      </c>
      <c r="B1873" t="s">
        <v>617</v>
      </c>
      <c r="C1873" t="s">
        <v>709</v>
      </c>
      <c r="D1873" s="5">
        <v>10342</v>
      </c>
      <c r="E1873" s="5">
        <v>26418</v>
      </c>
      <c r="F1873" s="5">
        <v>118</v>
      </c>
      <c r="G1873" s="5">
        <v>36878</v>
      </c>
    </row>
    <row r="1874" spans="1:7" x14ac:dyDescent="0.2">
      <c r="A1874">
        <v>629</v>
      </c>
      <c r="B1874" t="s">
        <v>617</v>
      </c>
      <c r="C1874" t="s">
        <v>710</v>
      </c>
      <c r="D1874" s="5">
        <v>2690</v>
      </c>
      <c r="E1874" s="5">
        <v>20270</v>
      </c>
      <c r="F1874" s="5">
        <v>0</v>
      </c>
      <c r="G1874" s="5">
        <v>22960</v>
      </c>
    </row>
    <row r="1875" spans="1:7" x14ac:dyDescent="0.2">
      <c r="A1875">
        <v>629</v>
      </c>
      <c r="B1875" t="s">
        <v>617</v>
      </c>
      <c r="C1875" t="s">
        <v>712</v>
      </c>
      <c r="D1875" s="5">
        <v>16470</v>
      </c>
      <c r="E1875" s="5">
        <v>17805</v>
      </c>
      <c r="F1875" s="5">
        <v>0</v>
      </c>
      <c r="G1875" s="5">
        <v>34275</v>
      </c>
    </row>
    <row r="1876" spans="1:7" x14ac:dyDescent="0.2">
      <c r="A1876">
        <v>632</v>
      </c>
      <c r="B1876" t="s">
        <v>651</v>
      </c>
      <c r="C1876" t="s">
        <v>700</v>
      </c>
      <c r="D1876" s="5">
        <v>683368</v>
      </c>
      <c r="E1876" s="5">
        <v>433509</v>
      </c>
      <c r="F1876" s="5">
        <v>5667</v>
      </c>
      <c r="G1876" s="5">
        <v>1122545</v>
      </c>
    </row>
    <row r="1877" spans="1:7" x14ac:dyDescent="0.2">
      <c r="A1877">
        <v>632</v>
      </c>
      <c r="B1877" t="s">
        <v>651</v>
      </c>
      <c r="C1877" t="s">
        <v>701</v>
      </c>
      <c r="D1877" s="5">
        <v>18641</v>
      </c>
      <c r="E1877" s="5">
        <v>23974</v>
      </c>
      <c r="F1877" s="5">
        <v>0</v>
      </c>
      <c r="G1877" s="5">
        <v>42615</v>
      </c>
    </row>
    <row r="1878" spans="1:7" x14ac:dyDescent="0.2">
      <c r="A1878">
        <v>632</v>
      </c>
      <c r="B1878" t="s">
        <v>651</v>
      </c>
      <c r="C1878" t="s">
        <v>703</v>
      </c>
      <c r="D1878" s="5">
        <v>1446</v>
      </c>
      <c r="E1878" s="5">
        <v>12481</v>
      </c>
      <c r="F1878" s="5">
        <v>0</v>
      </c>
      <c r="G1878" s="5">
        <v>13927</v>
      </c>
    </row>
    <row r="1879" spans="1:7" x14ac:dyDescent="0.2">
      <c r="A1879">
        <v>632</v>
      </c>
      <c r="B1879" t="s">
        <v>651</v>
      </c>
      <c r="C1879" t="s">
        <v>704</v>
      </c>
      <c r="D1879" s="5">
        <v>312321</v>
      </c>
      <c r="E1879" s="5">
        <v>525583</v>
      </c>
      <c r="F1879" s="5">
        <v>1471</v>
      </c>
      <c r="G1879" s="5">
        <v>839375</v>
      </c>
    </row>
    <row r="1880" spans="1:7" x14ac:dyDescent="0.2">
      <c r="A1880">
        <v>632</v>
      </c>
      <c r="B1880" t="s">
        <v>651</v>
      </c>
      <c r="C1880" t="s">
        <v>705</v>
      </c>
      <c r="D1880" s="5">
        <v>6940</v>
      </c>
      <c r="E1880" s="5">
        <v>147080</v>
      </c>
      <c r="F1880" s="5">
        <v>378</v>
      </c>
      <c r="G1880" s="5">
        <v>154399</v>
      </c>
    </row>
    <row r="1881" spans="1:7" x14ac:dyDescent="0.2">
      <c r="A1881">
        <v>632</v>
      </c>
      <c r="B1881" t="s">
        <v>651</v>
      </c>
      <c r="C1881" t="s">
        <v>707</v>
      </c>
      <c r="D1881" s="5">
        <v>447</v>
      </c>
      <c r="E1881" s="5">
        <v>2099</v>
      </c>
      <c r="F1881" s="5">
        <v>0</v>
      </c>
      <c r="G1881" s="5">
        <v>2545</v>
      </c>
    </row>
    <row r="1882" spans="1:7" x14ac:dyDescent="0.2">
      <c r="A1882">
        <v>632</v>
      </c>
      <c r="B1882" t="s">
        <v>651</v>
      </c>
      <c r="C1882" t="s">
        <v>708</v>
      </c>
      <c r="D1882" s="5">
        <v>4806</v>
      </c>
      <c r="E1882" s="5">
        <v>57003</v>
      </c>
      <c r="F1882" s="5">
        <v>0</v>
      </c>
      <c r="G1882" s="5">
        <v>61809</v>
      </c>
    </row>
    <row r="1883" spans="1:7" x14ac:dyDescent="0.2">
      <c r="A1883">
        <v>632</v>
      </c>
      <c r="B1883" t="s">
        <v>651</v>
      </c>
      <c r="C1883" t="s">
        <v>709</v>
      </c>
      <c r="D1883" s="5">
        <v>6722</v>
      </c>
      <c r="E1883" s="5">
        <v>26327</v>
      </c>
      <c r="F1883" s="5">
        <v>11</v>
      </c>
      <c r="G1883" s="5">
        <v>33060</v>
      </c>
    </row>
    <row r="1884" spans="1:7" x14ac:dyDescent="0.2">
      <c r="A1884">
        <v>632</v>
      </c>
      <c r="B1884" t="s">
        <v>651</v>
      </c>
      <c r="C1884" t="s">
        <v>710</v>
      </c>
      <c r="D1884" s="5">
        <v>2203</v>
      </c>
      <c r="E1884" s="5">
        <v>19175</v>
      </c>
      <c r="F1884" s="5">
        <v>0</v>
      </c>
      <c r="G1884" s="5">
        <v>21378</v>
      </c>
    </row>
    <row r="1885" spans="1:7" x14ac:dyDescent="0.2">
      <c r="A1885">
        <v>632</v>
      </c>
      <c r="B1885" t="s">
        <v>651</v>
      </c>
      <c r="C1885" t="s">
        <v>712</v>
      </c>
      <c r="D1885" s="5">
        <v>21779</v>
      </c>
      <c r="E1885" s="5">
        <v>71392</v>
      </c>
      <c r="F1885" s="5">
        <v>0</v>
      </c>
      <c r="G1885" s="5">
        <v>93170</v>
      </c>
    </row>
    <row r="1886" spans="1:7" x14ac:dyDescent="0.2">
      <c r="A1886">
        <v>637</v>
      </c>
      <c r="B1886" t="s">
        <v>671</v>
      </c>
      <c r="C1886" t="s">
        <v>700</v>
      </c>
      <c r="D1886" s="5">
        <v>77936</v>
      </c>
      <c r="E1886" s="5">
        <v>284142</v>
      </c>
      <c r="F1886" s="5">
        <v>7477</v>
      </c>
      <c r="G1886" s="5">
        <v>369555</v>
      </c>
    </row>
    <row r="1887" spans="1:7" x14ac:dyDescent="0.2">
      <c r="A1887">
        <v>637</v>
      </c>
      <c r="B1887" t="s">
        <v>671</v>
      </c>
      <c r="C1887" t="s">
        <v>701</v>
      </c>
      <c r="D1887" s="5">
        <v>21157</v>
      </c>
      <c r="E1887" s="5">
        <v>84684</v>
      </c>
      <c r="F1887" s="5">
        <v>143</v>
      </c>
      <c r="G1887" s="5">
        <v>105984</v>
      </c>
    </row>
    <row r="1888" spans="1:7" x14ac:dyDescent="0.2">
      <c r="A1888">
        <v>637</v>
      </c>
      <c r="B1888" t="s">
        <v>671</v>
      </c>
      <c r="C1888" t="s">
        <v>702</v>
      </c>
      <c r="D1888" s="5">
        <v>0</v>
      </c>
      <c r="E1888" s="5">
        <v>7330</v>
      </c>
      <c r="F1888" s="5">
        <v>0</v>
      </c>
      <c r="G1888" s="5">
        <v>7330</v>
      </c>
    </row>
    <row r="1889" spans="1:7" x14ac:dyDescent="0.2">
      <c r="A1889">
        <v>637</v>
      </c>
      <c r="B1889" t="s">
        <v>671</v>
      </c>
      <c r="C1889" t="s">
        <v>703</v>
      </c>
      <c r="D1889" s="5">
        <v>1945</v>
      </c>
      <c r="E1889" s="5">
        <v>39145</v>
      </c>
      <c r="F1889" s="5">
        <v>0</v>
      </c>
      <c r="G1889" s="5">
        <v>41089</v>
      </c>
    </row>
    <row r="1890" spans="1:7" x14ac:dyDescent="0.2">
      <c r="A1890">
        <v>637</v>
      </c>
      <c r="B1890" t="s">
        <v>671</v>
      </c>
      <c r="C1890" t="s">
        <v>704</v>
      </c>
      <c r="D1890" s="5">
        <v>11538</v>
      </c>
      <c r="E1890" s="5">
        <v>365930</v>
      </c>
      <c r="F1890" s="5">
        <v>6486</v>
      </c>
      <c r="G1890" s="5">
        <v>383953</v>
      </c>
    </row>
    <row r="1891" spans="1:7" x14ac:dyDescent="0.2">
      <c r="A1891">
        <v>637</v>
      </c>
      <c r="B1891" t="s">
        <v>671</v>
      </c>
      <c r="C1891" t="s">
        <v>705</v>
      </c>
      <c r="D1891" s="5">
        <v>10118</v>
      </c>
      <c r="E1891" s="5">
        <v>251164</v>
      </c>
      <c r="F1891" s="5">
        <v>966</v>
      </c>
      <c r="G1891" s="5">
        <v>262247</v>
      </c>
    </row>
    <row r="1892" spans="1:7" x14ac:dyDescent="0.2">
      <c r="A1892">
        <v>637</v>
      </c>
      <c r="B1892" t="s">
        <v>671</v>
      </c>
      <c r="C1892" t="s">
        <v>707</v>
      </c>
      <c r="D1892" s="5">
        <v>2240</v>
      </c>
      <c r="E1892" s="5">
        <v>3358</v>
      </c>
      <c r="F1892" s="5">
        <v>0</v>
      </c>
      <c r="G1892" s="5">
        <v>5597</v>
      </c>
    </row>
    <row r="1893" spans="1:7" x14ac:dyDescent="0.2">
      <c r="A1893">
        <v>637</v>
      </c>
      <c r="B1893" t="s">
        <v>671</v>
      </c>
      <c r="C1893" t="s">
        <v>708</v>
      </c>
      <c r="D1893" s="5">
        <v>490</v>
      </c>
      <c r="E1893" s="5">
        <v>103215</v>
      </c>
      <c r="F1893" s="5">
        <v>369</v>
      </c>
      <c r="G1893" s="5">
        <v>104074</v>
      </c>
    </row>
    <row r="1894" spans="1:7" x14ac:dyDescent="0.2">
      <c r="A1894">
        <v>637</v>
      </c>
      <c r="B1894" t="s">
        <v>671</v>
      </c>
      <c r="C1894" t="s">
        <v>709</v>
      </c>
      <c r="D1894" s="5">
        <v>15736</v>
      </c>
      <c r="E1894" s="5">
        <v>167960</v>
      </c>
      <c r="F1894" s="5">
        <v>2275</v>
      </c>
      <c r="G1894" s="5">
        <v>185971</v>
      </c>
    </row>
    <row r="1895" spans="1:7" x14ac:dyDescent="0.2">
      <c r="A1895">
        <v>637</v>
      </c>
      <c r="B1895" t="s">
        <v>671</v>
      </c>
      <c r="C1895" t="s">
        <v>710</v>
      </c>
      <c r="D1895" s="5">
        <v>3885</v>
      </c>
      <c r="E1895" s="5">
        <v>94021</v>
      </c>
      <c r="F1895" s="5">
        <v>725</v>
      </c>
      <c r="G1895" s="5">
        <v>98631</v>
      </c>
    </row>
    <row r="1896" spans="1:7" x14ac:dyDescent="0.2">
      <c r="A1896">
        <v>637</v>
      </c>
      <c r="B1896" t="s">
        <v>671</v>
      </c>
      <c r="C1896" t="s">
        <v>712</v>
      </c>
      <c r="D1896" s="5">
        <v>38926</v>
      </c>
      <c r="E1896" s="5">
        <v>278093</v>
      </c>
      <c r="F1896" s="5">
        <v>1284</v>
      </c>
      <c r="G1896" s="5">
        <v>318303</v>
      </c>
    </row>
    <row r="1897" spans="1:7" x14ac:dyDescent="0.2">
      <c r="A1897">
        <v>638</v>
      </c>
      <c r="B1897" t="s">
        <v>673</v>
      </c>
      <c r="C1897" t="s">
        <v>700</v>
      </c>
      <c r="D1897" s="5">
        <v>76522</v>
      </c>
      <c r="E1897" s="5">
        <v>71549</v>
      </c>
      <c r="F1897" s="5">
        <v>5821</v>
      </c>
      <c r="G1897" s="5">
        <v>153893</v>
      </c>
    </row>
    <row r="1898" spans="1:7" x14ac:dyDescent="0.2">
      <c r="A1898">
        <v>638</v>
      </c>
      <c r="B1898" t="s">
        <v>673</v>
      </c>
      <c r="C1898" t="s">
        <v>701</v>
      </c>
      <c r="D1898" s="5">
        <v>3291</v>
      </c>
      <c r="E1898" s="5">
        <v>7531</v>
      </c>
      <c r="F1898" s="5">
        <v>48</v>
      </c>
      <c r="G1898" s="5">
        <v>10871</v>
      </c>
    </row>
    <row r="1899" spans="1:7" x14ac:dyDescent="0.2">
      <c r="A1899">
        <v>638</v>
      </c>
      <c r="B1899" t="s">
        <v>673</v>
      </c>
      <c r="C1899" t="s">
        <v>703</v>
      </c>
      <c r="D1899" s="5">
        <v>2103</v>
      </c>
      <c r="E1899" s="5">
        <v>7262</v>
      </c>
      <c r="F1899" s="5">
        <v>0</v>
      </c>
      <c r="G1899" s="5">
        <v>9365</v>
      </c>
    </row>
    <row r="1900" spans="1:7" x14ac:dyDescent="0.2">
      <c r="A1900">
        <v>638</v>
      </c>
      <c r="B1900" t="s">
        <v>673</v>
      </c>
      <c r="C1900" t="s">
        <v>704</v>
      </c>
      <c r="D1900" s="5">
        <v>17912</v>
      </c>
      <c r="E1900" s="5">
        <v>302845</v>
      </c>
      <c r="F1900" s="5">
        <v>601</v>
      </c>
      <c r="G1900" s="5">
        <v>321358</v>
      </c>
    </row>
    <row r="1901" spans="1:7" x14ac:dyDescent="0.2">
      <c r="A1901">
        <v>638</v>
      </c>
      <c r="B1901" t="s">
        <v>673</v>
      </c>
      <c r="C1901" t="s">
        <v>705</v>
      </c>
      <c r="D1901" s="5">
        <v>1760</v>
      </c>
      <c r="E1901" s="5">
        <v>60488</v>
      </c>
      <c r="F1901" s="5">
        <v>0</v>
      </c>
      <c r="G1901" s="5">
        <v>62248</v>
      </c>
    </row>
    <row r="1902" spans="1:7" x14ac:dyDescent="0.2">
      <c r="A1902">
        <v>638</v>
      </c>
      <c r="B1902" t="s">
        <v>673</v>
      </c>
      <c r="C1902" t="s">
        <v>707</v>
      </c>
      <c r="D1902" s="5">
        <v>1403</v>
      </c>
      <c r="E1902" s="5">
        <v>0</v>
      </c>
      <c r="F1902" s="5">
        <v>0</v>
      </c>
      <c r="G1902" s="5">
        <v>1403</v>
      </c>
    </row>
    <row r="1903" spans="1:7" x14ac:dyDescent="0.2">
      <c r="A1903">
        <v>638</v>
      </c>
      <c r="B1903" t="s">
        <v>673</v>
      </c>
      <c r="C1903" t="s">
        <v>708</v>
      </c>
      <c r="D1903" s="5">
        <v>0</v>
      </c>
      <c r="E1903" s="5">
        <v>6427</v>
      </c>
      <c r="F1903" s="5">
        <v>0</v>
      </c>
      <c r="G1903" s="5">
        <v>6427</v>
      </c>
    </row>
    <row r="1904" spans="1:7" x14ac:dyDescent="0.2">
      <c r="A1904">
        <v>638</v>
      </c>
      <c r="B1904" t="s">
        <v>673</v>
      </c>
      <c r="C1904" t="s">
        <v>709</v>
      </c>
      <c r="D1904" s="5">
        <v>1118</v>
      </c>
      <c r="E1904" s="5">
        <v>12314</v>
      </c>
      <c r="F1904" s="5">
        <v>106</v>
      </c>
      <c r="G1904" s="5">
        <v>13539</v>
      </c>
    </row>
    <row r="1905" spans="1:7" x14ac:dyDescent="0.2">
      <c r="A1905">
        <v>638</v>
      </c>
      <c r="B1905" t="s">
        <v>673</v>
      </c>
      <c r="C1905" t="s">
        <v>710</v>
      </c>
      <c r="D1905" s="5">
        <v>0</v>
      </c>
      <c r="E1905" s="5">
        <v>2742</v>
      </c>
      <c r="F1905" s="5">
        <v>0</v>
      </c>
      <c r="G1905" s="5">
        <v>2742</v>
      </c>
    </row>
    <row r="1906" spans="1:7" x14ac:dyDescent="0.2">
      <c r="A1906">
        <v>638</v>
      </c>
      <c r="B1906" t="s">
        <v>673</v>
      </c>
      <c r="C1906" t="s">
        <v>712</v>
      </c>
      <c r="D1906" s="5">
        <v>3420</v>
      </c>
      <c r="E1906" s="5">
        <v>57929</v>
      </c>
      <c r="F1906" s="5">
        <v>0</v>
      </c>
      <c r="G1906" s="5">
        <v>61348</v>
      </c>
    </row>
    <row r="1907" spans="1:7" x14ac:dyDescent="0.2">
      <c r="A1907">
        <v>642</v>
      </c>
      <c r="B1907" t="s">
        <v>683</v>
      </c>
      <c r="C1907" t="s">
        <v>700</v>
      </c>
      <c r="D1907" s="5">
        <v>71334</v>
      </c>
      <c r="E1907" s="5">
        <v>485106</v>
      </c>
      <c r="F1907" s="5">
        <v>2376</v>
      </c>
      <c r="G1907" s="5">
        <v>558816</v>
      </c>
    </row>
    <row r="1908" spans="1:7" x14ac:dyDescent="0.2">
      <c r="A1908">
        <v>642</v>
      </c>
      <c r="B1908" t="s">
        <v>683</v>
      </c>
      <c r="C1908" t="s">
        <v>701</v>
      </c>
      <c r="D1908" s="5">
        <v>8438</v>
      </c>
      <c r="E1908" s="5">
        <v>45076</v>
      </c>
      <c r="F1908" s="5">
        <v>0</v>
      </c>
      <c r="G1908" s="5">
        <v>53514</v>
      </c>
    </row>
    <row r="1909" spans="1:7" x14ac:dyDescent="0.2">
      <c r="A1909">
        <v>642</v>
      </c>
      <c r="B1909" t="s">
        <v>683</v>
      </c>
      <c r="C1909" t="s">
        <v>703</v>
      </c>
      <c r="D1909" s="5">
        <v>480</v>
      </c>
      <c r="E1909" s="5">
        <v>20002</v>
      </c>
      <c r="F1909" s="5">
        <v>0</v>
      </c>
      <c r="G1909" s="5">
        <v>20482</v>
      </c>
    </row>
    <row r="1910" spans="1:7" x14ac:dyDescent="0.2">
      <c r="A1910">
        <v>642</v>
      </c>
      <c r="B1910" t="s">
        <v>683</v>
      </c>
      <c r="C1910" t="s">
        <v>704</v>
      </c>
      <c r="D1910" s="5">
        <v>13138</v>
      </c>
      <c r="E1910" s="5">
        <v>419887</v>
      </c>
      <c r="F1910" s="5">
        <v>0</v>
      </c>
      <c r="G1910" s="5">
        <v>433025</v>
      </c>
    </row>
    <row r="1911" spans="1:7" x14ac:dyDescent="0.2">
      <c r="A1911">
        <v>642</v>
      </c>
      <c r="B1911" t="s">
        <v>683</v>
      </c>
      <c r="C1911" t="s">
        <v>705</v>
      </c>
      <c r="D1911" s="5">
        <v>4984</v>
      </c>
      <c r="E1911" s="5">
        <v>103140</v>
      </c>
      <c r="F1911" s="5">
        <v>5641</v>
      </c>
      <c r="G1911" s="5">
        <v>113765</v>
      </c>
    </row>
    <row r="1912" spans="1:7" x14ac:dyDescent="0.2">
      <c r="A1912">
        <v>642</v>
      </c>
      <c r="B1912" t="s">
        <v>683</v>
      </c>
      <c r="C1912" t="s">
        <v>707</v>
      </c>
      <c r="D1912" s="5">
        <v>0</v>
      </c>
      <c r="E1912" s="5">
        <v>715</v>
      </c>
      <c r="F1912" s="5">
        <v>0</v>
      </c>
      <c r="G1912" s="5">
        <v>715</v>
      </c>
    </row>
    <row r="1913" spans="1:7" x14ac:dyDescent="0.2">
      <c r="A1913">
        <v>642</v>
      </c>
      <c r="B1913" t="s">
        <v>683</v>
      </c>
      <c r="C1913" t="s">
        <v>708</v>
      </c>
      <c r="D1913" s="5">
        <v>1727</v>
      </c>
      <c r="E1913" s="5">
        <v>35153</v>
      </c>
      <c r="F1913" s="5">
        <v>0</v>
      </c>
      <c r="G1913" s="5">
        <v>36880</v>
      </c>
    </row>
    <row r="1914" spans="1:7" x14ac:dyDescent="0.2">
      <c r="A1914">
        <v>642</v>
      </c>
      <c r="B1914" t="s">
        <v>683</v>
      </c>
      <c r="C1914" t="s">
        <v>709</v>
      </c>
      <c r="D1914" s="5">
        <v>9436</v>
      </c>
      <c r="E1914" s="5">
        <v>54619</v>
      </c>
      <c r="F1914" s="5">
        <v>70</v>
      </c>
      <c r="G1914" s="5">
        <v>64125</v>
      </c>
    </row>
    <row r="1915" spans="1:7" x14ac:dyDescent="0.2">
      <c r="A1915">
        <v>642</v>
      </c>
      <c r="B1915" t="s">
        <v>683</v>
      </c>
      <c r="C1915" t="s">
        <v>710</v>
      </c>
      <c r="D1915" s="5">
        <v>1444</v>
      </c>
      <c r="E1915" s="5">
        <v>22184</v>
      </c>
      <c r="F1915" s="5">
        <v>0</v>
      </c>
      <c r="G1915" s="5">
        <v>23629</v>
      </c>
    </row>
    <row r="1916" spans="1:7" x14ac:dyDescent="0.2">
      <c r="A1916">
        <v>642</v>
      </c>
      <c r="B1916" t="s">
        <v>683</v>
      </c>
      <c r="C1916" t="s">
        <v>711</v>
      </c>
      <c r="D1916" s="5">
        <v>177</v>
      </c>
      <c r="E1916" s="5">
        <v>113</v>
      </c>
      <c r="F1916" s="5">
        <v>0</v>
      </c>
      <c r="G1916" s="5">
        <v>289</v>
      </c>
    </row>
    <row r="1917" spans="1:7" x14ac:dyDescent="0.2">
      <c r="A1917">
        <v>642</v>
      </c>
      <c r="B1917" t="s">
        <v>683</v>
      </c>
      <c r="C1917" t="s">
        <v>712</v>
      </c>
      <c r="D1917" s="5">
        <v>4820</v>
      </c>
      <c r="E1917" s="5">
        <v>63843</v>
      </c>
      <c r="F1917" s="5">
        <v>0</v>
      </c>
      <c r="G1917" s="5">
        <v>68663</v>
      </c>
    </row>
    <row r="1918" spans="1:7" x14ac:dyDescent="0.2">
      <c r="A1918">
        <v>654</v>
      </c>
      <c r="B1918" t="s">
        <v>93</v>
      </c>
      <c r="C1918" t="s">
        <v>700</v>
      </c>
      <c r="D1918" s="5">
        <v>369702</v>
      </c>
      <c r="E1918" s="5">
        <v>927893</v>
      </c>
      <c r="F1918" s="5">
        <v>22796</v>
      </c>
      <c r="G1918" s="5">
        <v>1320392</v>
      </c>
    </row>
    <row r="1919" spans="1:7" x14ac:dyDescent="0.2">
      <c r="A1919">
        <v>654</v>
      </c>
      <c r="B1919" t="s">
        <v>93</v>
      </c>
      <c r="C1919" t="s">
        <v>701</v>
      </c>
      <c r="D1919" s="5">
        <v>19425</v>
      </c>
      <c r="E1919" s="5">
        <v>19551</v>
      </c>
      <c r="F1919" s="5">
        <v>74</v>
      </c>
      <c r="G1919" s="5">
        <v>39050</v>
      </c>
    </row>
    <row r="1920" spans="1:7" x14ac:dyDescent="0.2">
      <c r="A1920">
        <v>654</v>
      </c>
      <c r="B1920" t="s">
        <v>93</v>
      </c>
      <c r="C1920" t="s">
        <v>703</v>
      </c>
      <c r="D1920" s="5">
        <v>1416</v>
      </c>
      <c r="E1920" s="5">
        <v>1652</v>
      </c>
      <c r="F1920" s="5">
        <v>0</v>
      </c>
      <c r="G1920" s="5">
        <v>3068</v>
      </c>
    </row>
    <row r="1921" spans="1:7" x14ac:dyDescent="0.2">
      <c r="A1921">
        <v>654</v>
      </c>
      <c r="B1921" t="s">
        <v>93</v>
      </c>
      <c r="C1921" t="s">
        <v>704</v>
      </c>
      <c r="D1921" s="5">
        <v>42202</v>
      </c>
      <c r="E1921" s="5">
        <v>257976</v>
      </c>
      <c r="F1921" s="5">
        <v>3146</v>
      </c>
      <c r="G1921" s="5">
        <v>303324</v>
      </c>
    </row>
    <row r="1922" spans="1:7" x14ac:dyDescent="0.2">
      <c r="A1922">
        <v>654</v>
      </c>
      <c r="B1922" t="s">
        <v>93</v>
      </c>
      <c r="C1922" t="s">
        <v>705</v>
      </c>
      <c r="D1922" s="5">
        <v>5049</v>
      </c>
      <c r="E1922" s="5">
        <v>50462</v>
      </c>
      <c r="F1922" s="5">
        <v>696</v>
      </c>
      <c r="G1922" s="5">
        <v>56207</v>
      </c>
    </row>
    <row r="1923" spans="1:7" x14ac:dyDescent="0.2">
      <c r="A1923">
        <v>654</v>
      </c>
      <c r="B1923" t="s">
        <v>93</v>
      </c>
      <c r="C1923" t="s">
        <v>707</v>
      </c>
      <c r="D1923" s="5">
        <v>21522</v>
      </c>
      <c r="E1923" s="5">
        <v>5952</v>
      </c>
      <c r="F1923" s="5">
        <v>111</v>
      </c>
      <c r="G1923" s="5">
        <v>27584</v>
      </c>
    </row>
    <row r="1924" spans="1:7" x14ac:dyDescent="0.2">
      <c r="A1924">
        <v>654</v>
      </c>
      <c r="B1924" t="s">
        <v>93</v>
      </c>
      <c r="C1924" t="s">
        <v>708</v>
      </c>
      <c r="D1924" s="5">
        <v>1906</v>
      </c>
      <c r="E1924" s="5">
        <v>11857</v>
      </c>
      <c r="F1924" s="5">
        <v>0</v>
      </c>
      <c r="G1924" s="5">
        <v>13763</v>
      </c>
    </row>
    <row r="1925" spans="1:7" x14ac:dyDescent="0.2">
      <c r="A1925">
        <v>654</v>
      </c>
      <c r="B1925" t="s">
        <v>93</v>
      </c>
      <c r="C1925" t="s">
        <v>709</v>
      </c>
      <c r="D1925" s="5">
        <v>8665</v>
      </c>
      <c r="E1925" s="5">
        <v>12828</v>
      </c>
      <c r="F1925" s="5">
        <v>133</v>
      </c>
      <c r="G1925" s="5">
        <v>21625</v>
      </c>
    </row>
    <row r="1926" spans="1:7" x14ac:dyDescent="0.2">
      <c r="A1926">
        <v>654</v>
      </c>
      <c r="B1926" t="s">
        <v>93</v>
      </c>
      <c r="C1926" t="s">
        <v>710</v>
      </c>
      <c r="D1926" s="5">
        <v>1616</v>
      </c>
      <c r="E1926" s="5">
        <v>3291</v>
      </c>
      <c r="F1926" s="5">
        <v>0</v>
      </c>
      <c r="G1926" s="5">
        <v>4907</v>
      </c>
    </row>
    <row r="1927" spans="1:7" x14ac:dyDescent="0.2">
      <c r="A1927">
        <v>654</v>
      </c>
      <c r="B1927" t="s">
        <v>93</v>
      </c>
      <c r="C1927" t="s">
        <v>712</v>
      </c>
      <c r="D1927" s="5">
        <v>12298</v>
      </c>
      <c r="E1927" s="5">
        <v>69838</v>
      </c>
      <c r="F1927" s="5">
        <v>117</v>
      </c>
      <c r="G1927" s="5">
        <v>82253</v>
      </c>
    </row>
    <row r="1928" spans="1:7" x14ac:dyDescent="0.2">
      <c r="A1928">
        <v>664</v>
      </c>
      <c r="B1928" t="s">
        <v>199</v>
      </c>
      <c r="C1928" t="s">
        <v>700</v>
      </c>
      <c r="D1928" s="5">
        <v>156894</v>
      </c>
      <c r="E1928" s="5">
        <v>239072</v>
      </c>
      <c r="F1928" s="5">
        <v>9410</v>
      </c>
      <c r="G1928" s="5">
        <v>405376</v>
      </c>
    </row>
    <row r="1929" spans="1:7" x14ac:dyDescent="0.2">
      <c r="A1929">
        <v>664</v>
      </c>
      <c r="B1929" t="s">
        <v>199</v>
      </c>
      <c r="C1929" t="s">
        <v>701</v>
      </c>
      <c r="D1929" s="5">
        <v>13181</v>
      </c>
      <c r="E1929" s="5">
        <v>46159</v>
      </c>
      <c r="F1929" s="5">
        <v>0</v>
      </c>
      <c r="G1929" s="5">
        <v>59340</v>
      </c>
    </row>
    <row r="1930" spans="1:7" x14ac:dyDescent="0.2">
      <c r="A1930">
        <v>664</v>
      </c>
      <c r="B1930" t="s">
        <v>199</v>
      </c>
      <c r="C1930" t="s">
        <v>703</v>
      </c>
      <c r="D1930" s="5">
        <v>1814</v>
      </c>
      <c r="E1930" s="5">
        <v>47928</v>
      </c>
      <c r="F1930" s="5">
        <v>0</v>
      </c>
      <c r="G1930" s="5">
        <v>49742</v>
      </c>
    </row>
    <row r="1931" spans="1:7" x14ac:dyDescent="0.2">
      <c r="A1931">
        <v>664</v>
      </c>
      <c r="B1931" t="s">
        <v>199</v>
      </c>
      <c r="C1931" t="s">
        <v>704</v>
      </c>
      <c r="D1931" s="5">
        <v>38853</v>
      </c>
      <c r="E1931" s="5">
        <v>274096</v>
      </c>
      <c r="F1931" s="5">
        <v>3807</v>
      </c>
      <c r="G1931" s="5">
        <v>316755</v>
      </c>
    </row>
    <row r="1932" spans="1:7" x14ac:dyDescent="0.2">
      <c r="A1932">
        <v>664</v>
      </c>
      <c r="B1932" t="s">
        <v>199</v>
      </c>
      <c r="C1932" t="s">
        <v>705</v>
      </c>
      <c r="D1932" s="5">
        <v>18124</v>
      </c>
      <c r="E1932" s="5">
        <v>150857</v>
      </c>
      <c r="F1932" s="5">
        <v>8550</v>
      </c>
      <c r="G1932" s="5">
        <v>177532</v>
      </c>
    </row>
    <row r="1933" spans="1:7" x14ac:dyDescent="0.2">
      <c r="A1933">
        <v>664</v>
      </c>
      <c r="B1933" t="s">
        <v>199</v>
      </c>
      <c r="C1933" t="s">
        <v>707</v>
      </c>
      <c r="D1933" s="5">
        <v>5776</v>
      </c>
      <c r="E1933" s="5">
        <v>4951</v>
      </c>
      <c r="F1933" s="5">
        <v>62</v>
      </c>
      <c r="G1933" s="5">
        <v>10789</v>
      </c>
    </row>
    <row r="1934" spans="1:7" x14ac:dyDescent="0.2">
      <c r="A1934">
        <v>664</v>
      </c>
      <c r="B1934" t="s">
        <v>199</v>
      </c>
      <c r="C1934" t="s">
        <v>708</v>
      </c>
      <c r="D1934" s="5">
        <v>4815</v>
      </c>
      <c r="E1934" s="5">
        <v>61496</v>
      </c>
      <c r="F1934" s="5">
        <v>0</v>
      </c>
      <c r="G1934" s="5">
        <v>66312</v>
      </c>
    </row>
    <row r="1935" spans="1:7" x14ac:dyDescent="0.2">
      <c r="A1935">
        <v>664</v>
      </c>
      <c r="B1935" t="s">
        <v>199</v>
      </c>
      <c r="C1935" t="s">
        <v>709</v>
      </c>
      <c r="D1935" s="5">
        <v>10400</v>
      </c>
      <c r="E1935" s="5">
        <v>53460</v>
      </c>
      <c r="F1935" s="5">
        <v>186</v>
      </c>
      <c r="G1935" s="5">
        <v>64046</v>
      </c>
    </row>
    <row r="1936" spans="1:7" x14ac:dyDescent="0.2">
      <c r="A1936">
        <v>664</v>
      </c>
      <c r="B1936" t="s">
        <v>199</v>
      </c>
      <c r="C1936" t="s">
        <v>710</v>
      </c>
      <c r="D1936" s="5">
        <v>2661</v>
      </c>
      <c r="E1936" s="5">
        <v>23264</v>
      </c>
      <c r="F1936" s="5">
        <v>0</v>
      </c>
      <c r="G1936" s="5">
        <v>25925</v>
      </c>
    </row>
    <row r="1937" spans="1:7" x14ac:dyDescent="0.2">
      <c r="A1937">
        <v>664</v>
      </c>
      <c r="B1937" t="s">
        <v>199</v>
      </c>
      <c r="C1937" t="s">
        <v>711</v>
      </c>
      <c r="D1937" s="5">
        <v>44</v>
      </c>
      <c r="E1937" s="5">
        <v>0</v>
      </c>
      <c r="F1937" s="5">
        <v>0</v>
      </c>
      <c r="G1937" s="5">
        <v>44</v>
      </c>
    </row>
    <row r="1938" spans="1:7" x14ac:dyDescent="0.2">
      <c r="A1938">
        <v>664</v>
      </c>
      <c r="B1938" t="s">
        <v>199</v>
      </c>
      <c r="C1938" t="s">
        <v>712</v>
      </c>
      <c r="D1938" s="5">
        <v>20332</v>
      </c>
      <c r="E1938" s="5">
        <v>179153</v>
      </c>
      <c r="F1938" s="5">
        <v>5377</v>
      </c>
      <c r="G1938" s="5">
        <v>204861</v>
      </c>
    </row>
    <row r="1939" spans="1:7" x14ac:dyDescent="0.2">
      <c r="A1939">
        <v>668</v>
      </c>
      <c r="B1939" t="s">
        <v>625</v>
      </c>
      <c r="C1939" t="s">
        <v>700</v>
      </c>
      <c r="D1939" s="5">
        <v>349185</v>
      </c>
      <c r="E1939" s="5">
        <v>403420</v>
      </c>
      <c r="F1939" s="5">
        <v>8755</v>
      </c>
      <c r="G1939" s="5">
        <v>761361</v>
      </c>
    </row>
    <row r="1940" spans="1:7" x14ac:dyDescent="0.2">
      <c r="A1940">
        <v>668</v>
      </c>
      <c r="B1940" t="s">
        <v>625</v>
      </c>
      <c r="C1940" t="s">
        <v>701</v>
      </c>
      <c r="D1940" s="5">
        <v>8755</v>
      </c>
      <c r="E1940" s="5">
        <v>425</v>
      </c>
      <c r="F1940" s="5">
        <v>0</v>
      </c>
      <c r="G1940" s="5">
        <v>9180</v>
      </c>
    </row>
    <row r="1941" spans="1:7" x14ac:dyDescent="0.2">
      <c r="A1941">
        <v>668</v>
      </c>
      <c r="B1941" t="s">
        <v>625</v>
      </c>
      <c r="C1941" t="s">
        <v>703</v>
      </c>
      <c r="D1941" s="5">
        <v>1033</v>
      </c>
      <c r="E1941" s="5">
        <v>4897</v>
      </c>
      <c r="F1941" s="5">
        <v>0</v>
      </c>
      <c r="G1941" s="5">
        <v>5929</v>
      </c>
    </row>
    <row r="1942" spans="1:7" x14ac:dyDescent="0.2">
      <c r="A1942">
        <v>668</v>
      </c>
      <c r="B1942" t="s">
        <v>625</v>
      </c>
      <c r="C1942" t="s">
        <v>704</v>
      </c>
      <c r="D1942" s="5">
        <v>57780</v>
      </c>
      <c r="E1942" s="5">
        <v>231699</v>
      </c>
      <c r="F1942" s="5">
        <v>1590</v>
      </c>
      <c r="G1942" s="5">
        <v>291069</v>
      </c>
    </row>
    <row r="1943" spans="1:7" x14ac:dyDescent="0.2">
      <c r="A1943">
        <v>668</v>
      </c>
      <c r="B1943" t="s">
        <v>625</v>
      </c>
      <c r="C1943" t="s">
        <v>705</v>
      </c>
      <c r="D1943" s="5">
        <v>7606</v>
      </c>
      <c r="E1943" s="5">
        <v>34463</v>
      </c>
      <c r="F1943" s="5">
        <v>750</v>
      </c>
      <c r="G1943" s="5">
        <v>42819</v>
      </c>
    </row>
    <row r="1944" spans="1:7" x14ac:dyDescent="0.2">
      <c r="A1944">
        <v>668</v>
      </c>
      <c r="B1944" t="s">
        <v>625</v>
      </c>
      <c r="C1944" t="s">
        <v>707</v>
      </c>
      <c r="D1944" s="5">
        <v>20033</v>
      </c>
      <c r="E1944" s="5">
        <v>4138</v>
      </c>
      <c r="F1944" s="5">
        <v>428</v>
      </c>
      <c r="G1944" s="5">
        <v>24599</v>
      </c>
    </row>
    <row r="1945" spans="1:7" x14ac:dyDescent="0.2">
      <c r="A1945">
        <v>668</v>
      </c>
      <c r="B1945" t="s">
        <v>625</v>
      </c>
      <c r="C1945" t="s">
        <v>708</v>
      </c>
      <c r="D1945" s="5">
        <v>2317</v>
      </c>
      <c r="E1945" s="5">
        <v>12501</v>
      </c>
      <c r="F1945" s="5">
        <v>0</v>
      </c>
      <c r="G1945" s="5">
        <v>14818</v>
      </c>
    </row>
    <row r="1946" spans="1:7" x14ac:dyDescent="0.2">
      <c r="A1946">
        <v>668</v>
      </c>
      <c r="B1946" t="s">
        <v>625</v>
      </c>
      <c r="C1946" t="s">
        <v>709</v>
      </c>
      <c r="D1946" s="5">
        <v>2625</v>
      </c>
      <c r="E1946" s="5">
        <v>24847</v>
      </c>
      <c r="F1946" s="5">
        <v>3582</v>
      </c>
      <c r="G1946" s="5">
        <v>31053</v>
      </c>
    </row>
    <row r="1947" spans="1:7" x14ac:dyDescent="0.2">
      <c r="A1947">
        <v>668</v>
      </c>
      <c r="B1947" t="s">
        <v>625</v>
      </c>
      <c r="C1947" t="s">
        <v>710</v>
      </c>
      <c r="D1947" s="5">
        <v>3851</v>
      </c>
      <c r="E1947" s="5">
        <v>18086</v>
      </c>
      <c r="F1947" s="5">
        <v>0</v>
      </c>
      <c r="G1947" s="5">
        <v>21937</v>
      </c>
    </row>
    <row r="1948" spans="1:7" x14ac:dyDescent="0.2">
      <c r="A1948">
        <v>668</v>
      </c>
      <c r="B1948" t="s">
        <v>625</v>
      </c>
      <c r="C1948" t="s">
        <v>712</v>
      </c>
      <c r="D1948" s="5">
        <v>14709</v>
      </c>
      <c r="E1948" s="5">
        <v>60710</v>
      </c>
      <c r="F1948" s="5">
        <v>0</v>
      </c>
      <c r="G1948" s="5">
        <v>75419</v>
      </c>
    </row>
    <row r="1949" spans="1:7" x14ac:dyDescent="0.2">
      <c r="A1949">
        <v>677</v>
      </c>
      <c r="B1949" t="s">
        <v>287</v>
      </c>
      <c r="C1949" t="s">
        <v>700</v>
      </c>
      <c r="D1949" s="5">
        <v>451459</v>
      </c>
      <c r="E1949" s="5">
        <v>526523</v>
      </c>
      <c r="F1949" s="5">
        <v>7962</v>
      </c>
      <c r="G1949" s="5">
        <v>985944</v>
      </c>
    </row>
    <row r="1950" spans="1:7" x14ac:dyDescent="0.2">
      <c r="A1950">
        <v>677</v>
      </c>
      <c r="B1950" t="s">
        <v>287</v>
      </c>
      <c r="C1950" t="s">
        <v>701</v>
      </c>
      <c r="D1950" s="5">
        <v>20641</v>
      </c>
      <c r="E1950" s="5">
        <v>21662</v>
      </c>
      <c r="F1950" s="5">
        <v>366</v>
      </c>
      <c r="G1950" s="5">
        <v>42669</v>
      </c>
    </row>
    <row r="1951" spans="1:7" x14ac:dyDescent="0.2">
      <c r="A1951">
        <v>677</v>
      </c>
      <c r="B1951" t="s">
        <v>287</v>
      </c>
      <c r="C1951" t="s">
        <v>703</v>
      </c>
      <c r="D1951" s="5">
        <v>2743</v>
      </c>
      <c r="E1951" s="5">
        <v>3199</v>
      </c>
      <c r="F1951" s="5">
        <v>0</v>
      </c>
      <c r="G1951" s="5">
        <v>5942</v>
      </c>
    </row>
    <row r="1952" spans="1:7" x14ac:dyDescent="0.2">
      <c r="A1952">
        <v>677</v>
      </c>
      <c r="B1952" t="s">
        <v>287</v>
      </c>
      <c r="C1952" t="s">
        <v>704</v>
      </c>
      <c r="D1952" s="5">
        <v>57820</v>
      </c>
      <c r="E1952" s="5">
        <v>243018</v>
      </c>
      <c r="F1952" s="5">
        <v>789</v>
      </c>
      <c r="G1952" s="5">
        <v>301628</v>
      </c>
    </row>
    <row r="1953" spans="1:7" x14ac:dyDescent="0.2">
      <c r="A1953">
        <v>677</v>
      </c>
      <c r="B1953" t="s">
        <v>287</v>
      </c>
      <c r="C1953" t="s">
        <v>705</v>
      </c>
      <c r="D1953" s="5">
        <v>5209</v>
      </c>
      <c r="E1953" s="5">
        <v>41236</v>
      </c>
      <c r="F1953" s="5">
        <v>1803</v>
      </c>
      <c r="G1953" s="5">
        <v>48248</v>
      </c>
    </row>
    <row r="1954" spans="1:7" x14ac:dyDescent="0.2">
      <c r="A1954">
        <v>677</v>
      </c>
      <c r="B1954" t="s">
        <v>287</v>
      </c>
      <c r="C1954" t="s">
        <v>707</v>
      </c>
      <c r="D1954" s="5">
        <v>671</v>
      </c>
      <c r="E1954" s="5">
        <v>0</v>
      </c>
      <c r="F1954" s="5">
        <v>0</v>
      </c>
      <c r="G1954" s="5">
        <v>671</v>
      </c>
    </row>
    <row r="1955" spans="1:7" x14ac:dyDescent="0.2">
      <c r="A1955">
        <v>677</v>
      </c>
      <c r="B1955" t="s">
        <v>287</v>
      </c>
      <c r="C1955" t="s">
        <v>708</v>
      </c>
      <c r="D1955" s="5">
        <v>5291</v>
      </c>
      <c r="E1955" s="5">
        <v>24830</v>
      </c>
      <c r="F1955" s="5">
        <v>0</v>
      </c>
      <c r="G1955" s="5">
        <v>30121</v>
      </c>
    </row>
    <row r="1956" spans="1:7" x14ac:dyDescent="0.2">
      <c r="A1956">
        <v>677</v>
      </c>
      <c r="B1956" t="s">
        <v>287</v>
      </c>
      <c r="C1956" t="s">
        <v>709</v>
      </c>
      <c r="D1956" s="5">
        <v>14042</v>
      </c>
      <c r="E1956" s="5">
        <v>50963</v>
      </c>
      <c r="F1956" s="5">
        <v>6919</v>
      </c>
      <c r="G1956" s="5">
        <v>71923</v>
      </c>
    </row>
    <row r="1957" spans="1:7" x14ac:dyDescent="0.2">
      <c r="A1957">
        <v>677</v>
      </c>
      <c r="B1957" t="s">
        <v>287</v>
      </c>
      <c r="C1957" t="s">
        <v>710</v>
      </c>
      <c r="D1957" s="5">
        <v>4051</v>
      </c>
      <c r="E1957" s="5">
        <v>5561</v>
      </c>
      <c r="F1957" s="5">
        <v>0</v>
      </c>
      <c r="G1957" s="5">
        <v>9612</v>
      </c>
    </row>
    <row r="1958" spans="1:7" x14ac:dyDescent="0.2">
      <c r="A1958">
        <v>677</v>
      </c>
      <c r="B1958" t="s">
        <v>287</v>
      </c>
      <c r="C1958" t="s">
        <v>712</v>
      </c>
      <c r="D1958" s="5">
        <v>12829</v>
      </c>
      <c r="E1958" s="5">
        <v>70268</v>
      </c>
      <c r="F1958" s="5">
        <v>355</v>
      </c>
      <c r="G1958" s="5">
        <v>83452</v>
      </c>
    </row>
    <row r="1959" spans="1:7" x14ac:dyDescent="0.2">
      <c r="A1959">
        <v>678</v>
      </c>
      <c r="B1959" t="s">
        <v>295</v>
      </c>
      <c r="C1959" t="s">
        <v>700</v>
      </c>
      <c r="D1959" s="5">
        <v>632342</v>
      </c>
      <c r="E1959" s="5">
        <v>115001</v>
      </c>
      <c r="F1959" s="5">
        <v>3889</v>
      </c>
      <c r="G1959" s="5">
        <v>751232</v>
      </c>
    </row>
    <row r="1960" spans="1:7" x14ac:dyDescent="0.2">
      <c r="A1960">
        <v>678</v>
      </c>
      <c r="B1960" t="s">
        <v>295</v>
      </c>
      <c r="C1960" t="s">
        <v>701</v>
      </c>
      <c r="D1960" s="5">
        <v>7326</v>
      </c>
      <c r="E1960" s="5">
        <v>8557</v>
      </c>
      <c r="F1960" s="5">
        <v>0</v>
      </c>
      <c r="G1960" s="5">
        <v>15884</v>
      </c>
    </row>
    <row r="1961" spans="1:7" x14ac:dyDescent="0.2">
      <c r="A1961">
        <v>678</v>
      </c>
      <c r="B1961" t="s">
        <v>295</v>
      </c>
      <c r="C1961" t="s">
        <v>703</v>
      </c>
      <c r="D1961" s="5">
        <v>1163</v>
      </c>
      <c r="E1961" s="5">
        <v>370</v>
      </c>
      <c r="F1961" s="5">
        <v>0</v>
      </c>
      <c r="G1961" s="5">
        <v>1534</v>
      </c>
    </row>
    <row r="1962" spans="1:7" x14ac:dyDescent="0.2">
      <c r="A1962">
        <v>678</v>
      </c>
      <c r="B1962" t="s">
        <v>295</v>
      </c>
      <c r="C1962" t="s">
        <v>704</v>
      </c>
      <c r="D1962" s="5">
        <v>24086</v>
      </c>
      <c r="E1962" s="5">
        <v>363060</v>
      </c>
      <c r="F1962" s="5">
        <v>136509</v>
      </c>
      <c r="G1962" s="5">
        <v>523654</v>
      </c>
    </row>
    <row r="1963" spans="1:7" x14ac:dyDescent="0.2">
      <c r="A1963">
        <v>678</v>
      </c>
      <c r="B1963" t="s">
        <v>295</v>
      </c>
      <c r="C1963" t="s">
        <v>705</v>
      </c>
      <c r="D1963" s="5">
        <v>2989</v>
      </c>
      <c r="E1963" s="5">
        <v>29453</v>
      </c>
      <c r="F1963" s="5">
        <v>279</v>
      </c>
      <c r="G1963" s="5">
        <v>32721</v>
      </c>
    </row>
    <row r="1964" spans="1:7" x14ac:dyDescent="0.2">
      <c r="A1964">
        <v>678</v>
      </c>
      <c r="B1964" t="s">
        <v>295</v>
      </c>
      <c r="C1964" t="s">
        <v>707</v>
      </c>
      <c r="D1964" s="5">
        <v>37648</v>
      </c>
      <c r="E1964" s="5">
        <v>10701</v>
      </c>
      <c r="F1964" s="5">
        <v>3433</v>
      </c>
      <c r="G1964" s="5">
        <v>51782</v>
      </c>
    </row>
    <row r="1965" spans="1:7" x14ac:dyDescent="0.2">
      <c r="A1965">
        <v>678</v>
      </c>
      <c r="B1965" t="s">
        <v>295</v>
      </c>
      <c r="C1965" t="s">
        <v>708</v>
      </c>
      <c r="D1965" s="5">
        <v>0</v>
      </c>
      <c r="E1965" s="5">
        <v>11319</v>
      </c>
      <c r="F1965" s="5">
        <v>0</v>
      </c>
      <c r="G1965" s="5">
        <v>11319</v>
      </c>
    </row>
    <row r="1966" spans="1:7" x14ac:dyDescent="0.2">
      <c r="A1966">
        <v>678</v>
      </c>
      <c r="B1966" t="s">
        <v>295</v>
      </c>
      <c r="C1966" t="s">
        <v>709</v>
      </c>
      <c r="D1966" s="5">
        <v>2628</v>
      </c>
      <c r="E1966" s="5">
        <v>8754</v>
      </c>
      <c r="F1966" s="5">
        <v>103</v>
      </c>
      <c r="G1966" s="5">
        <v>11485</v>
      </c>
    </row>
    <row r="1967" spans="1:7" x14ac:dyDescent="0.2">
      <c r="A1967">
        <v>678</v>
      </c>
      <c r="B1967" t="s">
        <v>295</v>
      </c>
      <c r="C1967" t="s">
        <v>710</v>
      </c>
      <c r="D1967" s="5">
        <v>543</v>
      </c>
      <c r="E1967" s="5">
        <v>8184</v>
      </c>
      <c r="F1967" s="5">
        <v>0</v>
      </c>
      <c r="G1967" s="5">
        <v>8727</v>
      </c>
    </row>
    <row r="1968" spans="1:7" x14ac:dyDescent="0.2">
      <c r="A1968">
        <v>678</v>
      </c>
      <c r="B1968" t="s">
        <v>295</v>
      </c>
      <c r="C1968" t="s">
        <v>712</v>
      </c>
      <c r="D1968" s="5">
        <v>4460</v>
      </c>
      <c r="E1968" s="5">
        <v>17762</v>
      </c>
      <c r="F1968" s="5">
        <v>0</v>
      </c>
      <c r="G1968" s="5">
        <v>22221</v>
      </c>
    </row>
    <row r="1969" spans="1:7" x14ac:dyDescent="0.2">
      <c r="A1969">
        <v>687</v>
      </c>
      <c r="B1969" t="s">
        <v>363</v>
      </c>
      <c r="C1969" t="s">
        <v>700</v>
      </c>
      <c r="D1969" s="5">
        <v>147853</v>
      </c>
      <c r="E1969" s="5">
        <v>209084</v>
      </c>
      <c r="F1969" s="5">
        <v>7264</v>
      </c>
      <c r="G1969" s="5">
        <v>364201</v>
      </c>
    </row>
    <row r="1970" spans="1:7" x14ac:dyDescent="0.2">
      <c r="A1970">
        <v>687</v>
      </c>
      <c r="B1970" t="s">
        <v>363</v>
      </c>
      <c r="C1970" t="s">
        <v>701</v>
      </c>
      <c r="D1970" s="5">
        <v>16658</v>
      </c>
      <c r="E1970" s="5">
        <v>24538</v>
      </c>
      <c r="F1970" s="5">
        <v>0</v>
      </c>
      <c r="G1970" s="5">
        <v>41196</v>
      </c>
    </row>
    <row r="1971" spans="1:7" x14ac:dyDescent="0.2">
      <c r="A1971">
        <v>687</v>
      </c>
      <c r="B1971" t="s">
        <v>363</v>
      </c>
      <c r="C1971" t="s">
        <v>703</v>
      </c>
      <c r="D1971" s="5">
        <v>1936</v>
      </c>
      <c r="E1971" s="5">
        <v>8385</v>
      </c>
      <c r="F1971" s="5">
        <v>0</v>
      </c>
      <c r="G1971" s="5">
        <v>10321</v>
      </c>
    </row>
    <row r="1972" spans="1:7" x14ac:dyDescent="0.2">
      <c r="A1972">
        <v>687</v>
      </c>
      <c r="B1972" t="s">
        <v>363</v>
      </c>
      <c r="C1972" t="s">
        <v>704</v>
      </c>
      <c r="D1972" s="5">
        <v>33644</v>
      </c>
      <c r="E1972" s="5">
        <v>61628</v>
      </c>
      <c r="F1972" s="5">
        <v>3067</v>
      </c>
      <c r="G1972" s="5">
        <v>98340</v>
      </c>
    </row>
    <row r="1973" spans="1:7" x14ac:dyDescent="0.2">
      <c r="A1973">
        <v>687</v>
      </c>
      <c r="B1973" t="s">
        <v>363</v>
      </c>
      <c r="C1973" t="s">
        <v>705</v>
      </c>
      <c r="D1973" s="5">
        <v>14372</v>
      </c>
      <c r="E1973" s="5">
        <v>64181</v>
      </c>
      <c r="F1973" s="5">
        <v>3610</v>
      </c>
      <c r="G1973" s="5">
        <v>82163</v>
      </c>
    </row>
    <row r="1974" spans="1:7" x14ac:dyDescent="0.2">
      <c r="A1974">
        <v>687</v>
      </c>
      <c r="B1974" t="s">
        <v>363</v>
      </c>
      <c r="C1974" t="s">
        <v>707</v>
      </c>
      <c r="D1974" s="5">
        <v>8672</v>
      </c>
      <c r="E1974" s="5">
        <v>8088</v>
      </c>
      <c r="F1974" s="5">
        <v>13407</v>
      </c>
      <c r="G1974" s="5">
        <v>30168</v>
      </c>
    </row>
    <row r="1975" spans="1:7" x14ac:dyDescent="0.2">
      <c r="A1975">
        <v>687</v>
      </c>
      <c r="B1975" t="s">
        <v>363</v>
      </c>
      <c r="C1975" t="s">
        <v>708</v>
      </c>
      <c r="D1975" s="5">
        <v>4295</v>
      </c>
      <c r="E1975" s="5">
        <v>37354</v>
      </c>
      <c r="F1975" s="5">
        <v>0</v>
      </c>
      <c r="G1975" s="5">
        <v>41649</v>
      </c>
    </row>
    <row r="1976" spans="1:7" x14ac:dyDescent="0.2">
      <c r="A1976">
        <v>687</v>
      </c>
      <c r="B1976" t="s">
        <v>363</v>
      </c>
      <c r="C1976" t="s">
        <v>709</v>
      </c>
      <c r="D1976" s="5">
        <v>103153</v>
      </c>
      <c r="E1976" s="5">
        <v>194138</v>
      </c>
      <c r="F1976" s="5">
        <v>2141</v>
      </c>
      <c r="G1976" s="5">
        <v>299431</v>
      </c>
    </row>
    <row r="1977" spans="1:7" x14ac:dyDescent="0.2">
      <c r="A1977">
        <v>687</v>
      </c>
      <c r="B1977" t="s">
        <v>363</v>
      </c>
      <c r="C1977" t="s">
        <v>710</v>
      </c>
      <c r="D1977" s="5">
        <v>1583</v>
      </c>
      <c r="E1977" s="5">
        <v>53829</v>
      </c>
      <c r="F1977" s="5">
        <v>0</v>
      </c>
      <c r="G1977" s="5">
        <v>55413</v>
      </c>
    </row>
    <row r="1978" spans="1:7" x14ac:dyDescent="0.2">
      <c r="A1978">
        <v>687</v>
      </c>
      <c r="B1978" t="s">
        <v>363</v>
      </c>
      <c r="C1978" t="s">
        <v>712</v>
      </c>
      <c r="D1978" s="5">
        <v>48235</v>
      </c>
      <c r="E1978" s="5">
        <v>294315</v>
      </c>
      <c r="F1978" s="5">
        <v>98</v>
      </c>
      <c r="G1978" s="5">
        <v>342648</v>
      </c>
    </row>
    <row r="1979" spans="1:7" x14ac:dyDescent="0.2">
      <c r="A1979">
        <v>703</v>
      </c>
      <c r="B1979" t="s">
        <v>461</v>
      </c>
      <c r="C1979" t="s">
        <v>700</v>
      </c>
      <c r="D1979" s="5">
        <v>414448</v>
      </c>
      <c r="E1979" s="5">
        <v>307829</v>
      </c>
      <c r="F1979" s="5">
        <v>24904</v>
      </c>
      <c r="G1979" s="5">
        <v>747181</v>
      </c>
    </row>
    <row r="1980" spans="1:7" x14ac:dyDescent="0.2">
      <c r="A1980">
        <v>703</v>
      </c>
      <c r="B1980" t="s">
        <v>461</v>
      </c>
      <c r="C1980" t="s">
        <v>701</v>
      </c>
      <c r="D1980" s="5">
        <v>15668</v>
      </c>
      <c r="E1980" s="5">
        <v>13891</v>
      </c>
      <c r="F1980" s="5">
        <v>0</v>
      </c>
      <c r="G1980" s="5">
        <v>29559</v>
      </c>
    </row>
    <row r="1981" spans="1:7" x14ac:dyDescent="0.2">
      <c r="A1981">
        <v>703</v>
      </c>
      <c r="B1981" t="s">
        <v>461</v>
      </c>
      <c r="C1981" t="s">
        <v>703</v>
      </c>
      <c r="D1981" s="5">
        <v>1762</v>
      </c>
      <c r="E1981" s="5">
        <v>5020</v>
      </c>
      <c r="F1981" s="5">
        <v>0</v>
      </c>
      <c r="G1981" s="5">
        <v>6782</v>
      </c>
    </row>
    <row r="1982" spans="1:7" x14ac:dyDescent="0.2">
      <c r="A1982">
        <v>703</v>
      </c>
      <c r="B1982" t="s">
        <v>461</v>
      </c>
      <c r="C1982" t="s">
        <v>704</v>
      </c>
      <c r="D1982" s="5">
        <v>841942</v>
      </c>
      <c r="E1982" s="5">
        <v>370807</v>
      </c>
      <c r="F1982" s="5">
        <v>4928</v>
      </c>
      <c r="G1982" s="5">
        <v>1217677</v>
      </c>
    </row>
    <row r="1983" spans="1:7" x14ac:dyDescent="0.2">
      <c r="A1983">
        <v>703</v>
      </c>
      <c r="B1983" t="s">
        <v>461</v>
      </c>
      <c r="C1983" t="s">
        <v>705</v>
      </c>
      <c r="D1983" s="5">
        <v>2473</v>
      </c>
      <c r="E1983" s="5">
        <v>14854</v>
      </c>
      <c r="F1983" s="5">
        <v>0</v>
      </c>
      <c r="G1983" s="5">
        <v>17327</v>
      </c>
    </row>
    <row r="1984" spans="1:7" x14ac:dyDescent="0.2">
      <c r="A1984">
        <v>703</v>
      </c>
      <c r="B1984" t="s">
        <v>461</v>
      </c>
      <c r="C1984" t="s">
        <v>707</v>
      </c>
      <c r="D1984" s="5">
        <v>1063</v>
      </c>
      <c r="E1984" s="5">
        <v>5205</v>
      </c>
      <c r="F1984" s="5">
        <v>0</v>
      </c>
      <c r="G1984" s="5">
        <v>6268</v>
      </c>
    </row>
    <row r="1985" spans="1:7" x14ac:dyDescent="0.2">
      <c r="A1985">
        <v>703</v>
      </c>
      <c r="B1985" t="s">
        <v>461</v>
      </c>
      <c r="C1985" t="s">
        <v>708</v>
      </c>
      <c r="D1985" s="5">
        <v>1772</v>
      </c>
      <c r="E1985" s="5">
        <v>17265</v>
      </c>
      <c r="F1985" s="5">
        <v>0</v>
      </c>
      <c r="G1985" s="5">
        <v>19037</v>
      </c>
    </row>
    <row r="1986" spans="1:7" x14ac:dyDescent="0.2">
      <c r="A1986">
        <v>703</v>
      </c>
      <c r="B1986" t="s">
        <v>461</v>
      </c>
      <c r="C1986" t="s">
        <v>709</v>
      </c>
      <c r="D1986" s="5">
        <v>9131</v>
      </c>
      <c r="E1986" s="5">
        <v>26185</v>
      </c>
      <c r="F1986" s="5">
        <v>1353</v>
      </c>
      <c r="G1986" s="5">
        <v>36669</v>
      </c>
    </row>
    <row r="1987" spans="1:7" x14ac:dyDescent="0.2">
      <c r="A1987">
        <v>703</v>
      </c>
      <c r="B1987" t="s">
        <v>461</v>
      </c>
      <c r="C1987" t="s">
        <v>710</v>
      </c>
      <c r="D1987" s="5">
        <v>385</v>
      </c>
      <c r="E1987" s="5">
        <v>3936</v>
      </c>
      <c r="F1987" s="5">
        <v>0</v>
      </c>
      <c r="G1987" s="5">
        <v>4320</v>
      </c>
    </row>
    <row r="1988" spans="1:7" x14ac:dyDescent="0.2">
      <c r="A1988">
        <v>703</v>
      </c>
      <c r="B1988" t="s">
        <v>461</v>
      </c>
      <c r="C1988" t="s">
        <v>711</v>
      </c>
      <c r="D1988" s="5">
        <v>517</v>
      </c>
      <c r="E1988" s="5">
        <v>0</v>
      </c>
      <c r="F1988" s="5">
        <v>0</v>
      </c>
      <c r="G1988" s="5">
        <v>517</v>
      </c>
    </row>
    <row r="1989" spans="1:7" x14ac:dyDescent="0.2">
      <c r="A1989">
        <v>703</v>
      </c>
      <c r="B1989" t="s">
        <v>461</v>
      </c>
      <c r="C1989" t="s">
        <v>712</v>
      </c>
      <c r="D1989" s="5">
        <v>21093</v>
      </c>
      <c r="E1989" s="5">
        <v>43592</v>
      </c>
      <c r="F1989" s="5">
        <v>0</v>
      </c>
      <c r="G1989" s="5">
        <v>64685</v>
      </c>
    </row>
    <row r="1990" spans="1:7" x14ac:dyDescent="0.2">
      <c r="A1990">
        <v>715</v>
      </c>
      <c r="B1990" t="s">
        <v>537</v>
      </c>
      <c r="C1990" t="s">
        <v>700</v>
      </c>
      <c r="D1990" s="5">
        <v>668257</v>
      </c>
      <c r="E1990" s="5">
        <v>1654739</v>
      </c>
      <c r="F1990" s="5">
        <v>41733</v>
      </c>
      <c r="G1990" s="5">
        <v>2364729</v>
      </c>
    </row>
    <row r="1991" spans="1:7" x14ac:dyDescent="0.2">
      <c r="A1991">
        <v>715</v>
      </c>
      <c r="B1991" t="s">
        <v>537</v>
      </c>
      <c r="C1991" t="s">
        <v>701</v>
      </c>
      <c r="D1991" s="5">
        <v>18056</v>
      </c>
      <c r="E1991" s="5">
        <v>64338</v>
      </c>
      <c r="F1991" s="5">
        <v>546</v>
      </c>
      <c r="G1991" s="5">
        <v>82939</v>
      </c>
    </row>
    <row r="1992" spans="1:7" x14ac:dyDescent="0.2">
      <c r="A1992">
        <v>715</v>
      </c>
      <c r="B1992" t="s">
        <v>537</v>
      </c>
      <c r="C1992" t="s">
        <v>703</v>
      </c>
      <c r="D1992" s="5">
        <v>2296</v>
      </c>
      <c r="E1992" s="5">
        <v>34392</v>
      </c>
      <c r="F1992" s="5">
        <v>0</v>
      </c>
      <c r="G1992" s="5">
        <v>36688</v>
      </c>
    </row>
    <row r="1993" spans="1:7" x14ac:dyDescent="0.2">
      <c r="A1993">
        <v>715</v>
      </c>
      <c r="B1993" t="s">
        <v>537</v>
      </c>
      <c r="C1993" t="s">
        <v>704</v>
      </c>
      <c r="D1993" s="5">
        <v>82182</v>
      </c>
      <c r="E1993" s="5">
        <v>562156</v>
      </c>
      <c r="F1993" s="5">
        <v>10116</v>
      </c>
      <c r="G1993" s="5">
        <v>654454</v>
      </c>
    </row>
    <row r="1994" spans="1:7" x14ac:dyDescent="0.2">
      <c r="A1994">
        <v>715</v>
      </c>
      <c r="B1994" t="s">
        <v>537</v>
      </c>
      <c r="C1994" t="s">
        <v>705</v>
      </c>
      <c r="D1994" s="5">
        <v>16968</v>
      </c>
      <c r="E1994" s="5">
        <v>307399</v>
      </c>
      <c r="F1994" s="5">
        <v>28711</v>
      </c>
      <c r="G1994" s="5">
        <v>353079</v>
      </c>
    </row>
    <row r="1995" spans="1:7" x14ac:dyDescent="0.2">
      <c r="A1995">
        <v>715</v>
      </c>
      <c r="B1995" t="s">
        <v>537</v>
      </c>
      <c r="C1995" t="s">
        <v>707</v>
      </c>
      <c r="D1995" s="5">
        <v>5891</v>
      </c>
      <c r="E1995" s="5">
        <v>6363</v>
      </c>
      <c r="F1995" s="5">
        <v>314</v>
      </c>
      <c r="G1995" s="5">
        <v>12568</v>
      </c>
    </row>
    <row r="1996" spans="1:7" x14ac:dyDescent="0.2">
      <c r="A1996">
        <v>715</v>
      </c>
      <c r="B1996" t="s">
        <v>537</v>
      </c>
      <c r="C1996" t="s">
        <v>708</v>
      </c>
      <c r="D1996" s="5">
        <v>1656</v>
      </c>
      <c r="E1996" s="5">
        <v>63337</v>
      </c>
      <c r="F1996" s="5">
        <v>0</v>
      </c>
      <c r="G1996" s="5">
        <v>64993</v>
      </c>
    </row>
    <row r="1997" spans="1:7" x14ac:dyDescent="0.2">
      <c r="A1997">
        <v>715</v>
      </c>
      <c r="B1997" t="s">
        <v>537</v>
      </c>
      <c r="C1997" t="s">
        <v>709</v>
      </c>
      <c r="D1997" s="5">
        <v>218456</v>
      </c>
      <c r="E1997" s="5">
        <v>255648</v>
      </c>
      <c r="F1997" s="5">
        <v>3874</v>
      </c>
      <c r="G1997" s="5">
        <v>477978</v>
      </c>
    </row>
    <row r="1998" spans="1:7" x14ac:dyDescent="0.2">
      <c r="A1998">
        <v>715</v>
      </c>
      <c r="B1998" t="s">
        <v>537</v>
      </c>
      <c r="C1998" t="s">
        <v>710</v>
      </c>
      <c r="D1998" s="5">
        <v>6271</v>
      </c>
      <c r="E1998" s="5">
        <v>31532</v>
      </c>
      <c r="F1998" s="5">
        <v>74</v>
      </c>
      <c r="G1998" s="5">
        <v>37878</v>
      </c>
    </row>
    <row r="1999" spans="1:7" x14ac:dyDescent="0.2">
      <c r="A1999">
        <v>715</v>
      </c>
      <c r="B1999" t="s">
        <v>537</v>
      </c>
      <c r="C1999" t="s">
        <v>711</v>
      </c>
      <c r="D1999" s="5">
        <v>0</v>
      </c>
      <c r="E1999" s="5">
        <v>146</v>
      </c>
      <c r="F1999" s="5">
        <v>0</v>
      </c>
      <c r="G1999" s="5">
        <v>146</v>
      </c>
    </row>
    <row r="2000" spans="1:7" x14ac:dyDescent="0.2">
      <c r="A2000">
        <v>715</v>
      </c>
      <c r="B2000" t="s">
        <v>537</v>
      </c>
      <c r="C2000" t="s">
        <v>712</v>
      </c>
      <c r="D2000" s="5">
        <v>28200</v>
      </c>
      <c r="E2000" s="5">
        <v>197628</v>
      </c>
      <c r="F2000" s="5">
        <v>4116</v>
      </c>
      <c r="G2000" s="5">
        <v>229945</v>
      </c>
    </row>
    <row r="2001" spans="1:7" x14ac:dyDescent="0.2">
      <c r="A2001">
        <v>716</v>
      </c>
      <c r="B2001" t="s">
        <v>545</v>
      </c>
      <c r="C2001" t="s">
        <v>700</v>
      </c>
      <c r="D2001" s="5">
        <v>553816</v>
      </c>
      <c r="E2001" s="5">
        <v>449175</v>
      </c>
      <c r="F2001" s="5">
        <v>6572</v>
      </c>
      <c r="G2001" s="5">
        <v>1009563</v>
      </c>
    </row>
    <row r="2002" spans="1:7" x14ac:dyDescent="0.2">
      <c r="A2002">
        <v>716</v>
      </c>
      <c r="B2002" t="s">
        <v>545</v>
      </c>
      <c r="C2002" t="s">
        <v>701</v>
      </c>
      <c r="D2002" s="5">
        <v>17297</v>
      </c>
      <c r="E2002" s="5">
        <v>17312</v>
      </c>
      <c r="F2002" s="5">
        <v>0</v>
      </c>
      <c r="G2002" s="5">
        <v>34609</v>
      </c>
    </row>
    <row r="2003" spans="1:7" x14ac:dyDescent="0.2">
      <c r="A2003">
        <v>716</v>
      </c>
      <c r="B2003" t="s">
        <v>545</v>
      </c>
      <c r="C2003" t="s">
        <v>703</v>
      </c>
      <c r="D2003" s="5">
        <v>2097</v>
      </c>
      <c r="E2003" s="5">
        <v>1417</v>
      </c>
      <c r="F2003" s="5">
        <v>0</v>
      </c>
      <c r="G2003" s="5">
        <v>3514</v>
      </c>
    </row>
    <row r="2004" spans="1:7" x14ac:dyDescent="0.2">
      <c r="A2004">
        <v>716</v>
      </c>
      <c r="B2004" t="s">
        <v>545</v>
      </c>
      <c r="C2004" t="s">
        <v>704</v>
      </c>
      <c r="D2004" s="5">
        <v>104930</v>
      </c>
      <c r="E2004" s="5">
        <v>340870</v>
      </c>
      <c r="F2004" s="5">
        <v>17824</v>
      </c>
      <c r="G2004" s="5">
        <v>463624</v>
      </c>
    </row>
    <row r="2005" spans="1:7" x14ac:dyDescent="0.2">
      <c r="A2005">
        <v>716</v>
      </c>
      <c r="B2005" t="s">
        <v>545</v>
      </c>
      <c r="C2005" t="s">
        <v>705</v>
      </c>
      <c r="D2005" s="5">
        <v>5752</v>
      </c>
      <c r="E2005" s="5">
        <v>64705</v>
      </c>
      <c r="F2005" s="5">
        <v>13520</v>
      </c>
      <c r="G2005" s="5">
        <v>83977</v>
      </c>
    </row>
    <row r="2006" spans="1:7" x14ac:dyDescent="0.2">
      <c r="A2006">
        <v>716</v>
      </c>
      <c r="B2006" t="s">
        <v>545</v>
      </c>
      <c r="C2006" t="s">
        <v>707</v>
      </c>
      <c r="D2006" s="5">
        <v>16025</v>
      </c>
      <c r="E2006" s="5">
        <v>7130</v>
      </c>
      <c r="F2006" s="5">
        <v>5024</v>
      </c>
      <c r="G2006" s="5">
        <v>28179</v>
      </c>
    </row>
    <row r="2007" spans="1:7" x14ac:dyDescent="0.2">
      <c r="A2007">
        <v>716</v>
      </c>
      <c r="B2007" t="s">
        <v>545</v>
      </c>
      <c r="C2007" t="s">
        <v>708</v>
      </c>
      <c r="D2007" s="5">
        <v>1450</v>
      </c>
      <c r="E2007" s="5">
        <v>23496</v>
      </c>
      <c r="F2007" s="5">
        <v>0</v>
      </c>
      <c r="G2007" s="5">
        <v>24946</v>
      </c>
    </row>
    <row r="2008" spans="1:7" x14ac:dyDescent="0.2">
      <c r="A2008">
        <v>716</v>
      </c>
      <c r="B2008" t="s">
        <v>545</v>
      </c>
      <c r="C2008" t="s">
        <v>709</v>
      </c>
      <c r="D2008" s="5">
        <v>14599</v>
      </c>
      <c r="E2008" s="5">
        <v>24951</v>
      </c>
      <c r="F2008" s="5">
        <v>1707</v>
      </c>
      <c r="G2008" s="5">
        <v>41257</v>
      </c>
    </row>
    <row r="2009" spans="1:7" x14ac:dyDescent="0.2">
      <c r="A2009">
        <v>716</v>
      </c>
      <c r="B2009" t="s">
        <v>545</v>
      </c>
      <c r="C2009" t="s">
        <v>710</v>
      </c>
      <c r="D2009" s="5">
        <v>512</v>
      </c>
      <c r="E2009" s="5">
        <v>12736</v>
      </c>
      <c r="F2009" s="5">
        <v>72</v>
      </c>
      <c r="G2009" s="5">
        <v>13320</v>
      </c>
    </row>
    <row r="2010" spans="1:7" x14ac:dyDescent="0.2">
      <c r="A2010">
        <v>716</v>
      </c>
      <c r="B2010" t="s">
        <v>545</v>
      </c>
      <c r="C2010" t="s">
        <v>712</v>
      </c>
      <c r="D2010" s="5">
        <v>13871</v>
      </c>
      <c r="E2010" s="5">
        <v>79374</v>
      </c>
      <c r="F2010" s="5">
        <v>1088</v>
      </c>
      <c r="G2010" s="5">
        <v>94333</v>
      </c>
    </row>
    <row r="2011" spans="1:7" x14ac:dyDescent="0.2">
      <c r="A2011">
        <v>717</v>
      </c>
      <c r="B2011" t="s">
        <v>579</v>
      </c>
      <c r="C2011" t="s">
        <v>700</v>
      </c>
      <c r="D2011" s="5">
        <v>346985</v>
      </c>
      <c r="E2011" s="5">
        <v>282413</v>
      </c>
      <c r="F2011" s="5">
        <v>12432</v>
      </c>
      <c r="G2011" s="5">
        <v>641830</v>
      </c>
    </row>
    <row r="2012" spans="1:7" x14ac:dyDescent="0.2">
      <c r="A2012">
        <v>717</v>
      </c>
      <c r="B2012" t="s">
        <v>579</v>
      </c>
      <c r="C2012" t="s">
        <v>701</v>
      </c>
      <c r="D2012" s="5">
        <v>25174</v>
      </c>
      <c r="E2012" s="5">
        <v>37769</v>
      </c>
      <c r="F2012" s="5">
        <v>3273</v>
      </c>
      <c r="G2012" s="5">
        <v>66217</v>
      </c>
    </row>
    <row r="2013" spans="1:7" x14ac:dyDescent="0.2">
      <c r="A2013">
        <v>717</v>
      </c>
      <c r="B2013" t="s">
        <v>579</v>
      </c>
      <c r="C2013" t="s">
        <v>702</v>
      </c>
      <c r="D2013" s="5">
        <v>123</v>
      </c>
      <c r="E2013" s="5">
        <v>0</v>
      </c>
      <c r="F2013" s="5">
        <v>0</v>
      </c>
      <c r="G2013" s="5">
        <v>123</v>
      </c>
    </row>
    <row r="2014" spans="1:7" x14ac:dyDescent="0.2">
      <c r="A2014">
        <v>717</v>
      </c>
      <c r="B2014" t="s">
        <v>579</v>
      </c>
      <c r="C2014" t="s">
        <v>703</v>
      </c>
      <c r="D2014" s="5">
        <v>1472</v>
      </c>
      <c r="E2014" s="5">
        <v>773</v>
      </c>
      <c r="F2014" s="5">
        <v>336</v>
      </c>
      <c r="G2014" s="5">
        <v>2580</v>
      </c>
    </row>
    <row r="2015" spans="1:7" x14ac:dyDescent="0.2">
      <c r="A2015">
        <v>717</v>
      </c>
      <c r="B2015" t="s">
        <v>579</v>
      </c>
      <c r="C2015" t="s">
        <v>704</v>
      </c>
      <c r="D2015" s="5">
        <v>81469</v>
      </c>
      <c r="E2015" s="5">
        <v>145849</v>
      </c>
      <c r="F2015" s="5">
        <v>7038</v>
      </c>
      <c r="G2015" s="5">
        <v>234356</v>
      </c>
    </row>
    <row r="2016" spans="1:7" x14ac:dyDescent="0.2">
      <c r="A2016">
        <v>717</v>
      </c>
      <c r="B2016" t="s">
        <v>579</v>
      </c>
      <c r="C2016" t="s">
        <v>705</v>
      </c>
      <c r="D2016" s="5">
        <v>7524</v>
      </c>
      <c r="E2016" s="5">
        <v>10792</v>
      </c>
      <c r="F2016" s="5">
        <v>0</v>
      </c>
      <c r="G2016" s="5">
        <v>18315</v>
      </c>
    </row>
    <row r="2017" spans="1:7" x14ac:dyDescent="0.2">
      <c r="A2017">
        <v>717</v>
      </c>
      <c r="B2017" t="s">
        <v>579</v>
      </c>
      <c r="C2017" t="s">
        <v>707</v>
      </c>
      <c r="D2017" s="5">
        <v>179570</v>
      </c>
      <c r="E2017" s="5">
        <v>90160</v>
      </c>
      <c r="F2017" s="5">
        <v>4571</v>
      </c>
      <c r="G2017" s="5">
        <v>274301</v>
      </c>
    </row>
    <row r="2018" spans="1:7" x14ac:dyDescent="0.2">
      <c r="A2018">
        <v>717</v>
      </c>
      <c r="B2018" t="s">
        <v>579</v>
      </c>
      <c r="C2018" t="s">
        <v>708</v>
      </c>
      <c r="D2018" s="5">
        <v>543</v>
      </c>
      <c r="E2018" s="5">
        <v>11627</v>
      </c>
      <c r="F2018" s="5">
        <v>0</v>
      </c>
      <c r="G2018" s="5">
        <v>12170</v>
      </c>
    </row>
    <row r="2019" spans="1:7" x14ac:dyDescent="0.2">
      <c r="A2019">
        <v>717</v>
      </c>
      <c r="B2019" t="s">
        <v>579</v>
      </c>
      <c r="C2019" t="s">
        <v>709</v>
      </c>
      <c r="D2019" s="5">
        <v>33759</v>
      </c>
      <c r="E2019" s="5">
        <v>18958</v>
      </c>
      <c r="F2019" s="5">
        <v>555</v>
      </c>
      <c r="G2019" s="5">
        <v>53272</v>
      </c>
    </row>
    <row r="2020" spans="1:7" x14ac:dyDescent="0.2">
      <c r="A2020">
        <v>717</v>
      </c>
      <c r="B2020" t="s">
        <v>579</v>
      </c>
      <c r="C2020" t="s">
        <v>710</v>
      </c>
      <c r="D2020" s="5">
        <v>532</v>
      </c>
      <c r="E2020" s="5">
        <v>13574</v>
      </c>
      <c r="F2020" s="5">
        <v>0</v>
      </c>
      <c r="G2020" s="5">
        <v>14106</v>
      </c>
    </row>
    <row r="2021" spans="1:7" x14ac:dyDescent="0.2">
      <c r="A2021">
        <v>717</v>
      </c>
      <c r="B2021" t="s">
        <v>579</v>
      </c>
      <c r="C2021" t="s">
        <v>712</v>
      </c>
      <c r="D2021" s="5">
        <v>31228</v>
      </c>
      <c r="E2021" s="5">
        <v>37708</v>
      </c>
      <c r="F2021" s="5">
        <v>360</v>
      </c>
      <c r="G2021" s="5">
        <v>69296</v>
      </c>
    </row>
    <row r="2022" spans="1:7" x14ac:dyDescent="0.2">
      <c r="A2022">
        <v>718</v>
      </c>
      <c r="B2022" t="s">
        <v>595</v>
      </c>
      <c r="C2022" t="s">
        <v>700</v>
      </c>
      <c r="D2022" s="5">
        <v>103070</v>
      </c>
      <c r="E2022" s="5">
        <v>285568</v>
      </c>
      <c r="F2022" s="5">
        <v>4655</v>
      </c>
      <c r="G2022" s="5">
        <v>393293</v>
      </c>
    </row>
    <row r="2023" spans="1:7" x14ac:dyDescent="0.2">
      <c r="A2023">
        <v>718</v>
      </c>
      <c r="B2023" t="s">
        <v>595</v>
      </c>
      <c r="C2023" t="s">
        <v>701</v>
      </c>
      <c r="D2023" s="5">
        <v>18037</v>
      </c>
      <c r="E2023" s="5">
        <v>44116</v>
      </c>
      <c r="F2023" s="5">
        <v>65</v>
      </c>
      <c r="G2023" s="5">
        <v>62218</v>
      </c>
    </row>
    <row r="2024" spans="1:7" x14ac:dyDescent="0.2">
      <c r="A2024">
        <v>718</v>
      </c>
      <c r="B2024" t="s">
        <v>595</v>
      </c>
      <c r="C2024" t="s">
        <v>703</v>
      </c>
      <c r="D2024" s="5">
        <v>524</v>
      </c>
      <c r="E2024" s="5">
        <v>17752</v>
      </c>
      <c r="F2024" s="5">
        <v>0</v>
      </c>
      <c r="G2024" s="5">
        <v>18276</v>
      </c>
    </row>
    <row r="2025" spans="1:7" x14ac:dyDescent="0.2">
      <c r="A2025">
        <v>718</v>
      </c>
      <c r="B2025" t="s">
        <v>595</v>
      </c>
      <c r="C2025" t="s">
        <v>704</v>
      </c>
      <c r="D2025" s="5">
        <v>13516</v>
      </c>
      <c r="E2025" s="5">
        <v>895262</v>
      </c>
      <c r="F2025" s="5">
        <v>14367</v>
      </c>
      <c r="G2025" s="5">
        <v>923145</v>
      </c>
    </row>
    <row r="2026" spans="1:7" x14ac:dyDescent="0.2">
      <c r="A2026">
        <v>718</v>
      </c>
      <c r="B2026" t="s">
        <v>595</v>
      </c>
      <c r="C2026" t="s">
        <v>705</v>
      </c>
      <c r="D2026" s="5">
        <v>7334</v>
      </c>
      <c r="E2026" s="5">
        <v>92570</v>
      </c>
      <c r="F2026" s="5">
        <v>283</v>
      </c>
      <c r="G2026" s="5">
        <v>100187</v>
      </c>
    </row>
    <row r="2027" spans="1:7" x14ac:dyDescent="0.2">
      <c r="A2027">
        <v>718</v>
      </c>
      <c r="B2027" t="s">
        <v>595</v>
      </c>
      <c r="C2027" t="s">
        <v>707</v>
      </c>
      <c r="D2027" s="5">
        <v>5925</v>
      </c>
      <c r="E2027" s="5">
        <v>10395</v>
      </c>
      <c r="F2027" s="5">
        <v>389</v>
      </c>
      <c r="G2027" s="5">
        <v>16709</v>
      </c>
    </row>
    <row r="2028" spans="1:7" x14ac:dyDescent="0.2">
      <c r="A2028">
        <v>718</v>
      </c>
      <c r="B2028" t="s">
        <v>595</v>
      </c>
      <c r="C2028" t="s">
        <v>708</v>
      </c>
      <c r="D2028" s="5">
        <v>2490</v>
      </c>
      <c r="E2028" s="5">
        <v>35891</v>
      </c>
      <c r="F2028" s="5">
        <v>0</v>
      </c>
      <c r="G2028" s="5">
        <v>38381</v>
      </c>
    </row>
    <row r="2029" spans="1:7" x14ac:dyDescent="0.2">
      <c r="A2029">
        <v>718</v>
      </c>
      <c r="B2029" t="s">
        <v>595</v>
      </c>
      <c r="C2029" t="s">
        <v>709</v>
      </c>
      <c r="D2029" s="5">
        <v>8634</v>
      </c>
      <c r="E2029" s="5">
        <v>54593</v>
      </c>
      <c r="F2029" s="5">
        <v>581</v>
      </c>
      <c r="G2029" s="5">
        <v>63808</v>
      </c>
    </row>
    <row r="2030" spans="1:7" x14ac:dyDescent="0.2">
      <c r="A2030">
        <v>718</v>
      </c>
      <c r="B2030" t="s">
        <v>595</v>
      </c>
      <c r="C2030" t="s">
        <v>710</v>
      </c>
      <c r="D2030" s="5">
        <v>3058</v>
      </c>
      <c r="E2030" s="5">
        <v>28431</v>
      </c>
      <c r="F2030" s="5">
        <v>0</v>
      </c>
      <c r="G2030" s="5">
        <v>31489</v>
      </c>
    </row>
    <row r="2031" spans="1:7" x14ac:dyDescent="0.2">
      <c r="A2031">
        <v>718</v>
      </c>
      <c r="B2031" t="s">
        <v>595</v>
      </c>
      <c r="C2031" t="s">
        <v>712</v>
      </c>
      <c r="D2031" s="5">
        <v>12319</v>
      </c>
      <c r="E2031" s="5">
        <v>95854</v>
      </c>
      <c r="F2031" s="5">
        <v>0</v>
      </c>
      <c r="G2031" s="5">
        <v>108174</v>
      </c>
    </row>
    <row r="2032" spans="1:7" x14ac:dyDescent="0.2">
      <c r="A2032">
        <v>736</v>
      </c>
      <c r="B2032" t="s">
        <v>483</v>
      </c>
      <c r="C2032" t="s">
        <v>700</v>
      </c>
      <c r="D2032" s="5">
        <v>371489</v>
      </c>
      <c r="E2032" s="5">
        <v>402307</v>
      </c>
      <c r="F2032" s="5">
        <v>12550</v>
      </c>
      <c r="G2032" s="5">
        <v>786346</v>
      </c>
    </row>
    <row r="2033" spans="1:7" x14ac:dyDescent="0.2">
      <c r="A2033">
        <v>736</v>
      </c>
      <c r="B2033" t="s">
        <v>483</v>
      </c>
      <c r="C2033" t="s">
        <v>701</v>
      </c>
      <c r="D2033" s="5">
        <v>10830</v>
      </c>
      <c r="E2033" s="5">
        <v>26065</v>
      </c>
      <c r="F2033" s="5">
        <v>700</v>
      </c>
      <c r="G2033" s="5">
        <v>37594</v>
      </c>
    </row>
    <row r="2034" spans="1:7" x14ac:dyDescent="0.2">
      <c r="A2034">
        <v>736</v>
      </c>
      <c r="B2034" t="s">
        <v>483</v>
      </c>
      <c r="C2034" t="s">
        <v>703</v>
      </c>
      <c r="D2034" s="5">
        <v>636</v>
      </c>
      <c r="E2034" s="5">
        <v>11057</v>
      </c>
      <c r="F2034" s="5">
        <v>0</v>
      </c>
      <c r="G2034" s="5">
        <v>11693</v>
      </c>
    </row>
    <row r="2035" spans="1:7" x14ac:dyDescent="0.2">
      <c r="A2035">
        <v>736</v>
      </c>
      <c r="B2035" t="s">
        <v>483</v>
      </c>
      <c r="C2035" t="s">
        <v>704</v>
      </c>
      <c r="D2035" s="5">
        <v>120646</v>
      </c>
      <c r="E2035" s="5">
        <v>464043</v>
      </c>
      <c r="F2035" s="5">
        <v>1663</v>
      </c>
      <c r="G2035" s="5">
        <v>586351</v>
      </c>
    </row>
    <row r="2036" spans="1:7" x14ac:dyDescent="0.2">
      <c r="A2036">
        <v>736</v>
      </c>
      <c r="B2036" t="s">
        <v>483</v>
      </c>
      <c r="C2036" t="s">
        <v>705</v>
      </c>
      <c r="D2036" s="5">
        <v>7065</v>
      </c>
      <c r="E2036" s="5">
        <v>70318</v>
      </c>
      <c r="F2036" s="5">
        <v>0</v>
      </c>
      <c r="G2036" s="5">
        <v>77383</v>
      </c>
    </row>
    <row r="2037" spans="1:7" x14ac:dyDescent="0.2">
      <c r="A2037">
        <v>736</v>
      </c>
      <c r="B2037" t="s">
        <v>483</v>
      </c>
      <c r="C2037" t="s">
        <v>706</v>
      </c>
      <c r="D2037" s="5">
        <v>45</v>
      </c>
      <c r="E2037" s="5">
        <v>435</v>
      </c>
      <c r="F2037" s="5">
        <v>0</v>
      </c>
      <c r="G2037" s="5">
        <v>480</v>
      </c>
    </row>
    <row r="2038" spans="1:7" x14ac:dyDescent="0.2">
      <c r="A2038">
        <v>736</v>
      </c>
      <c r="B2038" t="s">
        <v>483</v>
      </c>
      <c r="C2038" t="s">
        <v>707</v>
      </c>
      <c r="D2038" s="5">
        <v>7511</v>
      </c>
      <c r="E2038" s="5">
        <v>9877</v>
      </c>
      <c r="F2038" s="5">
        <v>3214</v>
      </c>
      <c r="G2038" s="5">
        <v>20602</v>
      </c>
    </row>
    <row r="2039" spans="1:7" x14ac:dyDescent="0.2">
      <c r="A2039">
        <v>736</v>
      </c>
      <c r="B2039" t="s">
        <v>483</v>
      </c>
      <c r="C2039" t="s">
        <v>708</v>
      </c>
      <c r="D2039" s="5">
        <v>2119</v>
      </c>
      <c r="E2039" s="5">
        <v>29690</v>
      </c>
      <c r="F2039" s="5">
        <v>0</v>
      </c>
      <c r="G2039" s="5">
        <v>31809</v>
      </c>
    </row>
    <row r="2040" spans="1:7" x14ac:dyDescent="0.2">
      <c r="A2040">
        <v>736</v>
      </c>
      <c r="B2040" t="s">
        <v>483</v>
      </c>
      <c r="C2040" t="s">
        <v>709</v>
      </c>
      <c r="D2040" s="5">
        <v>41908</v>
      </c>
      <c r="E2040" s="5">
        <v>167125</v>
      </c>
      <c r="F2040" s="5">
        <v>334</v>
      </c>
      <c r="G2040" s="5">
        <v>209367</v>
      </c>
    </row>
    <row r="2041" spans="1:7" x14ac:dyDescent="0.2">
      <c r="A2041">
        <v>736</v>
      </c>
      <c r="B2041" t="s">
        <v>483</v>
      </c>
      <c r="C2041" t="s">
        <v>710</v>
      </c>
      <c r="D2041" s="5">
        <v>1332</v>
      </c>
      <c r="E2041" s="5">
        <v>31862</v>
      </c>
      <c r="F2041" s="5">
        <v>124</v>
      </c>
      <c r="G2041" s="5">
        <v>33318</v>
      </c>
    </row>
    <row r="2042" spans="1:7" x14ac:dyDescent="0.2">
      <c r="A2042">
        <v>736</v>
      </c>
      <c r="B2042" t="s">
        <v>483</v>
      </c>
      <c r="C2042" t="s">
        <v>712</v>
      </c>
      <c r="D2042" s="5">
        <v>12176</v>
      </c>
      <c r="E2042" s="5">
        <v>48893</v>
      </c>
      <c r="F2042" s="5">
        <v>0</v>
      </c>
      <c r="G2042" s="5">
        <v>61069</v>
      </c>
    </row>
    <row r="2043" spans="1:7" x14ac:dyDescent="0.2">
      <c r="A2043">
        <v>737</v>
      </c>
      <c r="B2043" t="s">
        <v>557</v>
      </c>
      <c r="C2043" t="s">
        <v>700</v>
      </c>
      <c r="D2043" s="5">
        <v>415122</v>
      </c>
      <c r="E2043" s="5">
        <v>435554</v>
      </c>
      <c r="F2043" s="5">
        <v>19584</v>
      </c>
      <c r="G2043" s="5">
        <v>870260</v>
      </c>
    </row>
    <row r="2044" spans="1:7" x14ac:dyDescent="0.2">
      <c r="A2044">
        <v>737</v>
      </c>
      <c r="B2044" t="s">
        <v>557</v>
      </c>
      <c r="C2044" t="s">
        <v>701</v>
      </c>
      <c r="D2044" s="5">
        <v>10373</v>
      </c>
      <c r="E2044" s="5">
        <v>26972</v>
      </c>
      <c r="F2044" s="5">
        <v>243</v>
      </c>
      <c r="G2044" s="5">
        <v>37587</v>
      </c>
    </row>
    <row r="2045" spans="1:7" x14ac:dyDescent="0.2">
      <c r="A2045">
        <v>737</v>
      </c>
      <c r="B2045" t="s">
        <v>557</v>
      </c>
      <c r="C2045" t="s">
        <v>703</v>
      </c>
      <c r="D2045" s="5">
        <v>208</v>
      </c>
      <c r="E2045" s="5">
        <v>6550</v>
      </c>
      <c r="F2045" s="5">
        <v>547</v>
      </c>
      <c r="G2045" s="5">
        <v>7305</v>
      </c>
    </row>
    <row r="2046" spans="1:7" x14ac:dyDescent="0.2">
      <c r="A2046">
        <v>737</v>
      </c>
      <c r="B2046" t="s">
        <v>557</v>
      </c>
      <c r="C2046" t="s">
        <v>704</v>
      </c>
      <c r="D2046" s="5">
        <v>30878</v>
      </c>
      <c r="E2046" s="5">
        <v>132554</v>
      </c>
      <c r="F2046" s="5">
        <v>2173</v>
      </c>
      <c r="G2046" s="5">
        <v>165605</v>
      </c>
    </row>
    <row r="2047" spans="1:7" x14ac:dyDescent="0.2">
      <c r="A2047">
        <v>737</v>
      </c>
      <c r="B2047" t="s">
        <v>557</v>
      </c>
      <c r="C2047" t="s">
        <v>705</v>
      </c>
      <c r="D2047" s="5">
        <v>4649</v>
      </c>
      <c r="E2047" s="5">
        <v>38454</v>
      </c>
      <c r="F2047" s="5">
        <v>0</v>
      </c>
      <c r="G2047" s="5">
        <v>43103</v>
      </c>
    </row>
    <row r="2048" spans="1:7" x14ac:dyDescent="0.2">
      <c r="A2048">
        <v>737</v>
      </c>
      <c r="B2048" t="s">
        <v>557</v>
      </c>
      <c r="C2048" t="s">
        <v>707</v>
      </c>
      <c r="D2048" s="5">
        <v>3954</v>
      </c>
      <c r="E2048" s="5">
        <v>5636</v>
      </c>
      <c r="F2048" s="5">
        <v>3000</v>
      </c>
      <c r="G2048" s="5">
        <v>12589</v>
      </c>
    </row>
    <row r="2049" spans="1:7" x14ac:dyDescent="0.2">
      <c r="A2049">
        <v>737</v>
      </c>
      <c r="B2049" t="s">
        <v>557</v>
      </c>
      <c r="C2049" t="s">
        <v>708</v>
      </c>
      <c r="D2049" s="5">
        <v>2048</v>
      </c>
      <c r="E2049" s="5">
        <v>25205</v>
      </c>
      <c r="F2049" s="5">
        <v>0</v>
      </c>
      <c r="G2049" s="5">
        <v>27253</v>
      </c>
    </row>
    <row r="2050" spans="1:7" x14ac:dyDescent="0.2">
      <c r="A2050">
        <v>737</v>
      </c>
      <c r="B2050" t="s">
        <v>557</v>
      </c>
      <c r="C2050" t="s">
        <v>709</v>
      </c>
      <c r="D2050" s="5">
        <v>6432</v>
      </c>
      <c r="E2050" s="5">
        <v>40264</v>
      </c>
      <c r="F2050" s="5">
        <v>429</v>
      </c>
      <c r="G2050" s="5">
        <v>47125</v>
      </c>
    </row>
    <row r="2051" spans="1:7" x14ac:dyDescent="0.2">
      <c r="A2051">
        <v>737</v>
      </c>
      <c r="B2051" t="s">
        <v>557</v>
      </c>
      <c r="C2051" t="s">
        <v>710</v>
      </c>
      <c r="D2051" s="5">
        <v>3409</v>
      </c>
      <c r="E2051" s="5">
        <v>20293</v>
      </c>
      <c r="F2051" s="5">
        <v>0</v>
      </c>
      <c r="G2051" s="5">
        <v>23701</v>
      </c>
    </row>
    <row r="2052" spans="1:7" x14ac:dyDescent="0.2">
      <c r="A2052">
        <v>737</v>
      </c>
      <c r="B2052" t="s">
        <v>557</v>
      </c>
      <c r="C2052" t="s">
        <v>712</v>
      </c>
      <c r="D2052" s="5">
        <v>7223</v>
      </c>
      <c r="E2052" s="5">
        <v>50776</v>
      </c>
      <c r="F2052" s="5">
        <v>0</v>
      </c>
      <c r="G2052" s="5">
        <v>57999</v>
      </c>
    </row>
    <row r="2053" spans="1:7" x14ac:dyDescent="0.2">
      <c r="A2053">
        <v>743</v>
      </c>
      <c r="B2053" t="s">
        <v>41</v>
      </c>
      <c r="C2053" t="s">
        <v>700</v>
      </c>
      <c r="D2053" s="5">
        <v>1165908</v>
      </c>
      <c r="E2053" s="5">
        <v>543557</v>
      </c>
      <c r="F2053" s="5">
        <v>10195</v>
      </c>
      <c r="G2053" s="5">
        <v>1719660</v>
      </c>
    </row>
    <row r="2054" spans="1:7" x14ac:dyDescent="0.2">
      <c r="A2054">
        <v>743</v>
      </c>
      <c r="B2054" t="s">
        <v>41</v>
      </c>
      <c r="C2054" t="s">
        <v>701</v>
      </c>
      <c r="D2054" s="5">
        <v>11036</v>
      </c>
      <c r="E2054" s="5">
        <v>13071</v>
      </c>
      <c r="F2054" s="5">
        <v>0</v>
      </c>
      <c r="G2054" s="5">
        <v>24107</v>
      </c>
    </row>
    <row r="2055" spans="1:7" x14ac:dyDescent="0.2">
      <c r="A2055">
        <v>743</v>
      </c>
      <c r="B2055" t="s">
        <v>41</v>
      </c>
      <c r="C2055" t="s">
        <v>703</v>
      </c>
      <c r="D2055" s="5">
        <v>802</v>
      </c>
      <c r="E2055" s="5">
        <v>620</v>
      </c>
      <c r="F2055" s="5">
        <v>0</v>
      </c>
      <c r="G2055" s="5">
        <v>1422</v>
      </c>
    </row>
    <row r="2056" spans="1:7" x14ac:dyDescent="0.2">
      <c r="A2056">
        <v>743</v>
      </c>
      <c r="B2056" t="s">
        <v>41</v>
      </c>
      <c r="C2056" t="s">
        <v>704</v>
      </c>
      <c r="D2056" s="5">
        <v>279334</v>
      </c>
      <c r="E2056" s="5">
        <v>390639</v>
      </c>
      <c r="F2056" s="5">
        <v>5499</v>
      </c>
      <c r="G2056" s="5">
        <v>675472</v>
      </c>
    </row>
    <row r="2057" spans="1:7" x14ac:dyDescent="0.2">
      <c r="A2057">
        <v>743</v>
      </c>
      <c r="B2057" t="s">
        <v>41</v>
      </c>
      <c r="C2057" t="s">
        <v>705</v>
      </c>
      <c r="D2057" s="5">
        <v>3340</v>
      </c>
      <c r="E2057" s="5">
        <v>28445</v>
      </c>
      <c r="F2057" s="5">
        <v>0</v>
      </c>
      <c r="G2057" s="5">
        <v>31785</v>
      </c>
    </row>
    <row r="2058" spans="1:7" x14ac:dyDescent="0.2">
      <c r="A2058">
        <v>743</v>
      </c>
      <c r="B2058" t="s">
        <v>41</v>
      </c>
      <c r="C2058" t="s">
        <v>707</v>
      </c>
      <c r="D2058" s="5">
        <v>103045</v>
      </c>
      <c r="E2058" s="5">
        <v>14904</v>
      </c>
      <c r="F2058" s="5">
        <v>458</v>
      </c>
      <c r="G2058" s="5">
        <v>118408</v>
      </c>
    </row>
    <row r="2059" spans="1:7" x14ac:dyDescent="0.2">
      <c r="A2059">
        <v>743</v>
      </c>
      <c r="B2059" t="s">
        <v>41</v>
      </c>
      <c r="C2059" t="s">
        <v>708</v>
      </c>
      <c r="D2059" s="5">
        <v>1877</v>
      </c>
      <c r="E2059" s="5">
        <v>6394</v>
      </c>
      <c r="F2059" s="5">
        <v>0</v>
      </c>
      <c r="G2059" s="5">
        <v>8271</v>
      </c>
    </row>
    <row r="2060" spans="1:7" x14ac:dyDescent="0.2">
      <c r="A2060">
        <v>743</v>
      </c>
      <c r="B2060" t="s">
        <v>41</v>
      </c>
      <c r="C2060" t="s">
        <v>709</v>
      </c>
      <c r="D2060" s="5">
        <v>4868</v>
      </c>
      <c r="E2060" s="5">
        <v>9600</v>
      </c>
      <c r="F2060" s="5">
        <v>105</v>
      </c>
      <c r="G2060" s="5">
        <v>14573</v>
      </c>
    </row>
    <row r="2061" spans="1:7" x14ac:dyDescent="0.2">
      <c r="A2061">
        <v>743</v>
      </c>
      <c r="B2061" t="s">
        <v>41</v>
      </c>
      <c r="C2061" t="s">
        <v>710</v>
      </c>
      <c r="D2061" s="5">
        <v>1850</v>
      </c>
      <c r="E2061" s="5">
        <v>23737</v>
      </c>
      <c r="F2061" s="5">
        <v>0</v>
      </c>
      <c r="G2061" s="5">
        <v>25588</v>
      </c>
    </row>
    <row r="2062" spans="1:7" x14ac:dyDescent="0.2">
      <c r="A2062">
        <v>743</v>
      </c>
      <c r="B2062" t="s">
        <v>41</v>
      </c>
      <c r="C2062" t="s">
        <v>712</v>
      </c>
      <c r="D2062" s="5">
        <v>30062</v>
      </c>
      <c r="E2062" s="5">
        <v>38196</v>
      </c>
      <c r="F2062" s="5">
        <v>0</v>
      </c>
      <c r="G2062" s="5">
        <v>68258</v>
      </c>
    </row>
    <row r="2063" spans="1:7" x14ac:dyDescent="0.2">
      <c r="A2063">
        <v>744</v>
      </c>
      <c r="B2063" t="s">
        <v>43</v>
      </c>
      <c r="C2063" t="s">
        <v>700</v>
      </c>
      <c r="D2063" s="5">
        <v>464102</v>
      </c>
      <c r="E2063" s="5">
        <v>312263</v>
      </c>
      <c r="F2063" s="5">
        <v>21594</v>
      </c>
      <c r="G2063" s="5">
        <v>797959</v>
      </c>
    </row>
    <row r="2064" spans="1:7" x14ac:dyDescent="0.2">
      <c r="A2064">
        <v>744</v>
      </c>
      <c r="B2064" t="s">
        <v>43</v>
      </c>
      <c r="C2064" t="s">
        <v>701</v>
      </c>
      <c r="D2064" s="5">
        <v>4642</v>
      </c>
      <c r="E2064" s="5">
        <v>2272</v>
      </c>
      <c r="F2064" s="5">
        <v>0</v>
      </c>
      <c r="G2064" s="5">
        <v>6914</v>
      </c>
    </row>
    <row r="2065" spans="1:7" x14ac:dyDescent="0.2">
      <c r="A2065">
        <v>744</v>
      </c>
      <c r="B2065" t="s">
        <v>43</v>
      </c>
      <c r="C2065" t="s">
        <v>703</v>
      </c>
      <c r="D2065" s="5">
        <v>517</v>
      </c>
      <c r="E2065" s="5">
        <v>1645</v>
      </c>
      <c r="F2065" s="5">
        <v>0</v>
      </c>
      <c r="G2065" s="5">
        <v>2162</v>
      </c>
    </row>
    <row r="2066" spans="1:7" x14ac:dyDescent="0.2">
      <c r="A2066">
        <v>744</v>
      </c>
      <c r="B2066" t="s">
        <v>43</v>
      </c>
      <c r="C2066" t="s">
        <v>704</v>
      </c>
      <c r="D2066" s="5">
        <v>48004</v>
      </c>
      <c r="E2066" s="5">
        <v>46314</v>
      </c>
      <c r="F2066" s="5">
        <v>1207</v>
      </c>
      <c r="G2066" s="5">
        <v>95525</v>
      </c>
    </row>
    <row r="2067" spans="1:7" x14ac:dyDescent="0.2">
      <c r="A2067">
        <v>744</v>
      </c>
      <c r="B2067" t="s">
        <v>43</v>
      </c>
      <c r="C2067" t="s">
        <v>705</v>
      </c>
      <c r="D2067" s="5">
        <v>4294</v>
      </c>
      <c r="E2067" s="5">
        <v>74034</v>
      </c>
      <c r="F2067" s="5">
        <v>1397</v>
      </c>
      <c r="G2067" s="5">
        <v>79725</v>
      </c>
    </row>
    <row r="2068" spans="1:7" x14ac:dyDescent="0.2">
      <c r="A2068">
        <v>744</v>
      </c>
      <c r="B2068" t="s">
        <v>43</v>
      </c>
      <c r="C2068" t="s">
        <v>707</v>
      </c>
      <c r="D2068" s="5">
        <v>31623</v>
      </c>
      <c r="E2068" s="5">
        <v>44029</v>
      </c>
      <c r="F2068" s="5">
        <v>246</v>
      </c>
      <c r="G2068" s="5">
        <v>75898</v>
      </c>
    </row>
    <row r="2069" spans="1:7" x14ac:dyDescent="0.2">
      <c r="A2069">
        <v>744</v>
      </c>
      <c r="B2069" t="s">
        <v>43</v>
      </c>
      <c r="C2069" t="s">
        <v>708</v>
      </c>
      <c r="D2069" s="5">
        <v>433</v>
      </c>
      <c r="E2069" s="5">
        <v>6815</v>
      </c>
      <c r="F2069" s="5">
        <v>0</v>
      </c>
      <c r="G2069" s="5">
        <v>7249</v>
      </c>
    </row>
    <row r="2070" spans="1:7" x14ac:dyDescent="0.2">
      <c r="A2070">
        <v>744</v>
      </c>
      <c r="B2070" t="s">
        <v>43</v>
      </c>
      <c r="C2070" t="s">
        <v>709</v>
      </c>
      <c r="D2070" s="5">
        <v>10930</v>
      </c>
      <c r="E2070" s="5">
        <v>10396</v>
      </c>
      <c r="F2070" s="5">
        <v>60</v>
      </c>
      <c r="G2070" s="5">
        <v>21386</v>
      </c>
    </row>
    <row r="2071" spans="1:7" x14ac:dyDescent="0.2">
      <c r="A2071">
        <v>744</v>
      </c>
      <c r="B2071" t="s">
        <v>43</v>
      </c>
      <c r="C2071" t="s">
        <v>710</v>
      </c>
      <c r="D2071" s="5">
        <v>443</v>
      </c>
      <c r="E2071" s="5">
        <v>5822</v>
      </c>
      <c r="F2071" s="5">
        <v>0</v>
      </c>
      <c r="G2071" s="5">
        <v>6265</v>
      </c>
    </row>
    <row r="2072" spans="1:7" x14ac:dyDescent="0.2">
      <c r="A2072">
        <v>744</v>
      </c>
      <c r="B2072" t="s">
        <v>43</v>
      </c>
      <c r="C2072" t="s">
        <v>712</v>
      </c>
      <c r="D2072" s="5">
        <v>6803</v>
      </c>
      <c r="E2072" s="5">
        <v>20203</v>
      </c>
      <c r="F2072" s="5">
        <v>0</v>
      </c>
      <c r="G2072" s="5">
        <v>27006</v>
      </c>
    </row>
    <row r="2073" spans="1:7" x14ac:dyDescent="0.2">
      <c r="A2073">
        <v>748</v>
      </c>
      <c r="B2073" t="s">
        <v>65</v>
      </c>
      <c r="C2073" t="s">
        <v>700</v>
      </c>
      <c r="D2073" s="5">
        <v>410159</v>
      </c>
      <c r="E2073" s="5">
        <v>650771</v>
      </c>
      <c r="F2073" s="5">
        <v>5015</v>
      </c>
      <c r="G2073" s="5">
        <v>1065946</v>
      </c>
    </row>
    <row r="2074" spans="1:7" x14ac:dyDescent="0.2">
      <c r="A2074">
        <v>748</v>
      </c>
      <c r="B2074" t="s">
        <v>65</v>
      </c>
      <c r="C2074" t="s">
        <v>701</v>
      </c>
      <c r="D2074" s="5">
        <v>23920</v>
      </c>
      <c r="E2074" s="5">
        <v>42457</v>
      </c>
      <c r="F2074" s="5">
        <v>18</v>
      </c>
      <c r="G2074" s="5">
        <v>66394</v>
      </c>
    </row>
    <row r="2075" spans="1:7" x14ac:dyDescent="0.2">
      <c r="A2075">
        <v>748</v>
      </c>
      <c r="B2075" t="s">
        <v>65</v>
      </c>
      <c r="C2075" t="s">
        <v>703</v>
      </c>
      <c r="D2075" s="5">
        <v>5548</v>
      </c>
      <c r="E2075" s="5">
        <v>22007</v>
      </c>
      <c r="F2075" s="5">
        <v>31</v>
      </c>
      <c r="G2075" s="5">
        <v>27585</v>
      </c>
    </row>
    <row r="2076" spans="1:7" x14ac:dyDescent="0.2">
      <c r="A2076">
        <v>748</v>
      </c>
      <c r="B2076" t="s">
        <v>65</v>
      </c>
      <c r="C2076" t="s">
        <v>704</v>
      </c>
      <c r="D2076" s="5">
        <v>92900</v>
      </c>
      <c r="E2076" s="5">
        <v>589678</v>
      </c>
      <c r="F2076" s="5">
        <v>17049</v>
      </c>
      <c r="G2076" s="5">
        <v>699627</v>
      </c>
    </row>
    <row r="2077" spans="1:7" x14ac:dyDescent="0.2">
      <c r="A2077">
        <v>748</v>
      </c>
      <c r="B2077" t="s">
        <v>65</v>
      </c>
      <c r="C2077" t="s">
        <v>705</v>
      </c>
      <c r="D2077" s="5">
        <v>15515</v>
      </c>
      <c r="E2077" s="5">
        <v>197689</v>
      </c>
      <c r="F2077" s="5">
        <v>25192</v>
      </c>
      <c r="G2077" s="5">
        <v>238397</v>
      </c>
    </row>
    <row r="2078" spans="1:7" x14ac:dyDescent="0.2">
      <c r="A2078">
        <v>748</v>
      </c>
      <c r="B2078" t="s">
        <v>65</v>
      </c>
      <c r="C2078" t="s">
        <v>707</v>
      </c>
      <c r="D2078" s="5">
        <v>2711</v>
      </c>
      <c r="E2078" s="5">
        <v>5005</v>
      </c>
      <c r="F2078" s="5">
        <v>0</v>
      </c>
      <c r="G2078" s="5">
        <v>7716</v>
      </c>
    </row>
    <row r="2079" spans="1:7" x14ac:dyDescent="0.2">
      <c r="A2079">
        <v>748</v>
      </c>
      <c r="B2079" t="s">
        <v>65</v>
      </c>
      <c r="C2079" t="s">
        <v>708</v>
      </c>
      <c r="D2079" s="5">
        <v>5502</v>
      </c>
      <c r="E2079" s="5">
        <v>95805</v>
      </c>
      <c r="F2079" s="5">
        <v>0</v>
      </c>
      <c r="G2079" s="5">
        <v>101307</v>
      </c>
    </row>
    <row r="2080" spans="1:7" x14ac:dyDescent="0.2">
      <c r="A2080">
        <v>748</v>
      </c>
      <c r="B2080" t="s">
        <v>65</v>
      </c>
      <c r="C2080" t="s">
        <v>709</v>
      </c>
      <c r="D2080" s="5">
        <v>21985</v>
      </c>
      <c r="E2080" s="5">
        <v>376033</v>
      </c>
      <c r="F2080" s="5">
        <v>1530</v>
      </c>
      <c r="G2080" s="5">
        <v>399547</v>
      </c>
    </row>
    <row r="2081" spans="1:7" x14ac:dyDescent="0.2">
      <c r="A2081">
        <v>748</v>
      </c>
      <c r="B2081" t="s">
        <v>65</v>
      </c>
      <c r="C2081" t="s">
        <v>710</v>
      </c>
      <c r="D2081" s="5">
        <v>1648</v>
      </c>
      <c r="E2081" s="5">
        <v>26065</v>
      </c>
      <c r="F2081" s="5">
        <v>0</v>
      </c>
      <c r="G2081" s="5">
        <v>27712</v>
      </c>
    </row>
    <row r="2082" spans="1:7" x14ac:dyDescent="0.2">
      <c r="A2082">
        <v>748</v>
      </c>
      <c r="B2082" t="s">
        <v>65</v>
      </c>
      <c r="C2082" t="s">
        <v>711</v>
      </c>
      <c r="D2082" s="5">
        <v>0</v>
      </c>
      <c r="E2082" s="5">
        <v>101</v>
      </c>
      <c r="F2082" s="5">
        <v>0</v>
      </c>
      <c r="G2082" s="5">
        <v>101</v>
      </c>
    </row>
    <row r="2083" spans="1:7" x14ac:dyDescent="0.2">
      <c r="A2083">
        <v>748</v>
      </c>
      <c r="B2083" t="s">
        <v>65</v>
      </c>
      <c r="C2083" t="s">
        <v>712</v>
      </c>
      <c r="D2083" s="5">
        <v>24832</v>
      </c>
      <c r="E2083" s="5">
        <v>216278</v>
      </c>
      <c r="F2083" s="5">
        <v>2114</v>
      </c>
      <c r="G2083" s="5">
        <v>243224</v>
      </c>
    </row>
    <row r="2084" spans="1:7" x14ac:dyDescent="0.2">
      <c r="A2084">
        <v>753</v>
      </c>
      <c r="B2084" t="s">
        <v>71</v>
      </c>
      <c r="C2084" t="s">
        <v>700</v>
      </c>
      <c r="D2084" s="5">
        <v>196195</v>
      </c>
      <c r="E2084" s="5">
        <v>426792</v>
      </c>
      <c r="F2084" s="5">
        <v>3310</v>
      </c>
      <c r="G2084" s="5">
        <v>626298</v>
      </c>
    </row>
    <row r="2085" spans="1:7" x14ac:dyDescent="0.2">
      <c r="A2085">
        <v>753</v>
      </c>
      <c r="B2085" t="s">
        <v>71</v>
      </c>
      <c r="C2085" t="s">
        <v>701</v>
      </c>
      <c r="D2085" s="5">
        <v>13855</v>
      </c>
      <c r="E2085" s="5">
        <v>15783</v>
      </c>
      <c r="F2085" s="5">
        <v>0</v>
      </c>
      <c r="G2085" s="5">
        <v>29638</v>
      </c>
    </row>
    <row r="2086" spans="1:7" x14ac:dyDescent="0.2">
      <c r="A2086">
        <v>753</v>
      </c>
      <c r="B2086" t="s">
        <v>71</v>
      </c>
      <c r="C2086" t="s">
        <v>703</v>
      </c>
      <c r="D2086" s="5">
        <v>913</v>
      </c>
      <c r="E2086" s="5">
        <v>4207</v>
      </c>
      <c r="F2086" s="5">
        <v>0</v>
      </c>
      <c r="G2086" s="5">
        <v>5120</v>
      </c>
    </row>
    <row r="2087" spans="1:7" x14ac:dyDescent="0.2">
      <c r="A2087">
        <v>753</v>
      </c>
      <c r="B2087" t="s">
        <v>71</v>
      </c>
      <c r="C2087" t="s">
        <v>704</v>
      </c>
      <c r="D2087" s="5">
        <v>13353</v>
      </c>
      <c r="E2087" s="5">
        <v>237007</v>
      </c>
      <c r="F2087" s="5">
        <v>0</v>
      </c>
      <c r="G2087" s="5">
        <v>250359</v>
      </c>
    </row>
    <row r="2088" spans="1:7" x14ac:dyDescent="0.2">
      <c r="A2088">
        <v>753</v>
      </c>
      <c r="B2088" t="s">
        <v>71</v>
      </c>
      <c r="C2088" t="s">
        <v>705</v>
      </c>
      <c r="D2088" s="5">
        <v>6027</v>
      </c>
      <c r="E2088" s="5">
        <v>96690</v>
      </c>
      <c r="F2088" s="5">
        <v>2007</v>
      </c>
      <c r="G2088" s="5">
        <v>104724</v>
      </c>
    </row>
    <row r="2089" spans="1:7" x14ac:dyDescent="0.2">
      <c r="A2089">
        <v>753</v>
      </c>
      <c r="B2089" t="s">
        <v>71</v>
      </c>
      <c r="C2089" t="s">
        <v>707</v>
      </c>
      <c r="D2089" s="5">
        <v>106</v>
      </c>
      <c r="E2089" s="5">
        <v>4448</v>
      </c>
      <c r="F2089" s="5">
        <v>0</v>
      </c>
      <c r="G2089" s="5">
        <v>4554</v>
      </c>
    </row>
    <row r="2090" spans="1:7" x14ac:dyDescent="0.2">
      <c r="A2090">
        <v>753</v>
      </c>
      <c r="B2090" t="s">
        <v>71</v>
      </c>
      <c r="C2090" t="s">
        <v>708</v>
      </c>
      <c r="D2090" s="5">
        <v>566</v>
      </c>
      <c r="E2090" s="5">
        <v>18639</v>
      </c>
      <c r="F2090" s="5">
        <v>0</v>
      </c>
      <c r="G2090" s="5">
        <v>19205</v>
      </c>
    </row>
    <row r="2091" spans="1:7" x14ac:dyDescent="0.2">
      <c r="A2091">
        <v>753</v>
      </c>
      <c r="B2091" t="s">
        <v>71</v>
      </c>
      <c r="C2091" t="s">
        <v>709</v>
      </c>
      <c r="D2091" s="5">
        <v>7684</v>
      </c>
      <c r="E2091" s="5">
        <v>133604</v>
      </c>
      <c r="F2091" s="5">
        <v>317</v>
      </c>
      <c r="G2091" s="5">
        <v>141605</v>
      </c>
    </row>
    <row r="2092" spans="1:7" x14ac:dyDescent="0.2">
      <c r="A2092">
        <v>753</v>
      </c>
      <c r="B2092" t="s">
        <v>71</v>
      </c>
      <c r="C2092" t="s">
        <v>710</v>
      </c>
      <c r="D2092" s="5">
        <v>165</v>
      </c>
      <c r="E2092" s="5">
        <v>21300</v>
      </c>
      <c r="F2092" s="5">
        <v>0</v>
      </c>
      <c r="G2092" s="5">
        <v>21465</v>
      </c>
    </row>
    <row r="2093" spans="1:7" x14ac:dyDescent="0.2">
      <c r="A2093">
        <v>753</v>
      </c>
      <c r="B2093" t="s">
        <v>71</v>
      </c>
      <c r="C2093" t="s">
        <v>712</v>
      </c>
      <c r="D2093" s="5">
        <v>3452</v>
      </c>
      <c r="E2093" s="5">
        <v>105193</v>
      </c>
      <c r="F2093" s="5">
        <v>0</v>
      </c>
      <c r="G2093" s="5">
        <v>108645</v>
      </c>
    </row>
    <row r="2094" spans="1:7" x14ac:dyDescent="0.2">
      <c r="A2094">
        <v>755</v>
      </c>
      <c r="B2094" t="s">
        <v>87</v>
      </c>
      <c r="C2094" t="s">
        <v>700</v>
      </c>
      <c r="D2094" s="5">
        <v>369434</v>
      </c>
      <c r="E2094" s="5">
        <v>407321</v>
      </c>
      <c r="F2094" s="5">
        <v>4485</v>
      </c>
      <c r="G2094" s="5">
        <v>781240</v>
      </c>
    </row>
    <row r="2095" spans="1:7" x14ac:dyDescent="0.2">
      <c r="A2095">
        <v>755</v>
      </c>
      <c r="B2095" t="s">
        <v>87</v>
      </c>
      <c r="C2095" t="s">
        <v>701</v>
      </c>
      <c r="D2095" s="5">
        <v>5322</v>
      </c>
      <c r="E2095" s="5">
        <v>6091</v>
      </c>
      <c r="F2095" s="5">
        <v>0</v>
      </c>
      <c r="G2095" s="5">
        <v>11412</v>
      </c>
    </row>
    <row r="2096" spans="1:7" x14ac:dyDescent="0.2">
      <c r="A2096">
        <v>755</v>
      </c>
      <c r="B2096" t="s">
        <v>87</v>
      </c>
      <c r="C2096" t="s">
        <v>703</v>
      </c>
      <c r="D2096" s="5">
        <v>520</v>
      </c>
      <c r="E2096" s="5">
        <v>235</v>
      </c>
      <c r="F2096" s="5">
        <v>0</v>
      </c>
      <c r="G2096" s="5">
        <v>756</v>
      </c>
    </row>
    <row r="2097" spans="1:7" x14ac:dyDescent="0.2">
      <c r="A2097">
        <v>755</v>
      </c>
      <c r="B2097" t="s">
        <v>87</v>
      </c>
      <c r="C2097" t="s">
        <v>704</v>
      </c>
      <c r="D2097" s="5">
        <v>48595</v>
      </c>
      <c r="E2097" s="5">
        <v>143862</v>
      </c>
      <c r="F2097" s="5">
        <v>158</v>
      </c>
      <c r="G2097" s="5">
        <v>192615</v>
      </c>
    </row>
    <row r="2098" spans="1:7" x14ac:dyDescent="0.2">
      <c r="A2098">
        <v>755</v>
      </c>
      <c r="B2098" t="s">
        <v>87</v>
      </c>
      <c r="C2098" t="s">
        <v>705</v>
      </c>
      <c r="D2098" s="5">
        <v>6901</v>
      </c>
      <c r="E2098" s="5">
        <v>48505</v>
      </c>
      <c r="F2098" s="5">
        <v>0</v>
      </c>
      <c r="G2098" s="5">
        <v>55405</v>
      </c>
    </row>
    <row r="2099" spans="1:7" x14ac:dyDescent="0.2">
      <c r="A2099">
        <v>755</v>
      </c>
      <c r="B2099" t="s">
        <v>87</v>
      </c>
      <c r="C2099" t="s">
        <v>707</v>
      </c>
      <c r="D2099" s="5">
        <v>1632</v>
      </c>
      <c r="E2099" s="5">
        <v>1235</v>
      </c>
      <c r="F2099" s="5">
        <v>0</v>
      </c>
      <c r="G2099" s="5">
        <v>2867</v>
      </c>
    </row>
    <row r="2100" spans="1:7" x14ac:dyDescent="0.2">
      <c r="A2100">
        <v>755</v>
      </c>
      <c r="B2100" t="s">
        <v>87</v>
      </c>
      <c r="C2100" t="s">
        <v>708</v>
      </c>
      <c r="D2100" s="5">
        <v>2082</v>
      </c>
      <c r="E2100" s="5">
        <v>3123</v>
      </c>
      <c r="F2100" s="5">
        <v>0</v>
      </c>
      <c r="G2100" s="5">
        <v>5205</v>
      </c>
    </row>
    <row r="2101" spans="1:7" x14ac:dyDescent="0.2">
      <c r="A2101">
        <v>755</v>
      </c>
      <c r="B2101" t="s">
        <v>87</v>
      </c>
      <c r="C2101" t="s">
        <v>709</v>
      </c>
      <c r="D2101" s="5">
        <v>51133</v>
      </c>
      <c r="E2101" s="5">
        <v>14815</v>
      </c>
      <c r="F2101" s="5">
        <v>0</v>
      </c>
      <c r="G2101" s="5">
        <v>65948</v>
      </c>
    </row>
    <row r="2102" spans="1:7" x14ac:dyDescent="0.2">
      <c r="A2102">
        <v>755</v>
      </c>
      <c r="B2102" t="s">
        <v>87</v>
      </c>
      <c r="C2102" t="s">
        <v>710</v>
      </c>
      <c r="D2102" s="5">
        <v>79</v>
      </c>
      <c r="E2102" s="5">
        <v>8356</v>
      </c>
      <c r="F2102" s="5">
        <v>0</v>
      </c>
      <c r="G2102" s="5">
        <v>8435</v>
      </c>
    </row>
    <row r="2103" spans="1:7" x14ac:dyDescent="0.2">
      <c r="A2103">
        <v>755</v>
      </c>
      <c r="B2103" t="s">
        <v>87</v>
      </c>
      <c r="C2103" t="s">
        <v>712</v>
      </c>
      <c r="D2103" s="5">
        <v>6889</v>
      </c>
      <c r="E2103" s="5">
        <v>22614</v>
      </c>
      <c r="F2103" s="5">
        <v>139</v>
      </c>
      <c r="G2103" s="5">
        <v>29642</v>
      </c>
    </row>
    <row r="2104" spans="1:7" x14ac:dyDescent="0.2">
      <c r="A2104">
        <v>756</v>
      </c>
      <c r="B2104" s="9" t="s">
        <v>309</v>
      </c>
      <c r="C2104" t="s">
        <v>700</v>
      </c>
      <c r="D2104" s="5">
        <v>609846</v>
      </c>
      <c r="E2104" s="5">
        <v>566477</v>
      </c>
      <c r="F2104" s="5">
        <v>9410</v>
      </c>
      <c r="G2104" s="5">
        <v>1185732</v>
      </c>
    </row>
    <row r="2105" spans="1:7" x14ac:dyDescent="0.2">
      <c r="A2105">
        <v>756</v>
      </c>
      <c r="B2105" s="9" t="s">
        <v>309</v>
      </c>
      <c r="C2105" t="s">
        <v>701</v>
      </c>
      <c r="D2105" s="5">
        <v>16233</v>
      </c>
      <c r="E2105" s="5">
        <v>37519</v>
      </c>
      <c r="F2105" s="5">
        <v>0</v>
      </c>
      <c r="G2105" s="5">
        <v>53752</v>
      </c>
    </row>
    <row r="2106" spans="1:7" x14ac:dyDescent="0.2">
      <c r="A2106">
        <v>756</v>
      </c>
      <c r="B2106" s="9" t="s">
        <v>309</v>
      </c>
      <c r="C2106" t="s">
        <v>703</v>
      </c>
      <c r="D2106" s="5">
        <v>2410</v>
      </c>
      <c r="E2106" s="5">
        <v>22192</v>
      </c>
      <c r="F2106" s="5">
        <v>0</v>
      </c>
      <c r="G2106" s="5">
        <v>24602</v>
      </c>
    </row>
    <row r="2107" spans="1:7" x14ac:dyDescent="0.2">
      <c r="A2107">
        <v>756</v>
      </c>
      <c r="B2107" s="9" t="s">
        <v>309</v>
      </c>
      <c r="C2107" t="s">
        <v>704</v>
      </c>
      <c r="D2107" s="5">
        <v>117685</v>
      </c>
      <c r="E2107" s="5">
        <v>335613</v>
      </c>
      <c r="F2107" s="5">
        <v>0</v>
      </c>
      <c r="G2107" s="5">
        <v>453298</v>
      </c>
    </row>
    <row r="2108" spans="1:7" x14ac:dyDescent="0.2">
      <c r="A2108">
        <v>756</v>
      </c>
      <c r="B2108" s="9" t="s">
        <v>309</v>
      </c>
      <c r="C2108" t="s">
        <v>705</v>
      </c>
      <c r="D2108" s="5">
        <v>22694</v>
      </c>
      <c r="E2108" s="5">
        <v>117780</v>
      </c>
      <c r="F2108" s="5">
        <v>7174</v>
      </c>
      <c r="G2108" s="5">
        <v>147648</v>
      </c>
    </row>
    <row r="2109" spans="1:7" x14ac:dyDescent="0.2">
      <c r="A2109">
        <v>756</v>
      </c>
      <c r="B2109" s="9" t="s">
        <v>309</v>
      </c>
      <c r="C2109" t="s">
        <v>707</v>
      </c>
      <c r="D2109" s="5">
        <v>8806</v>
      </c>
      <c r="E2109" s="5">
        <v>3880</v>
      </c>
      <c r="F2109" s="5">
        <v>0</v>
      </c>
      <c r="G2109" s="5">
        <v>12686</v>
      </c>
    </row>
    <row r="2110" spans="1:7" x14ac:dyDescent="0.2">
      <c r="A2110">
        <v>756</v>
      </c>
      <c r="B2110" s="9" t="s">
        <v>309</v>
      </c>
      <c r="C2110" t="s">
        <v>708</v>
      </c>
      <c r="D2110" s="5">
        <v>12544</v>
      </c>
      <c r="E2110" s="5">
        <v>31923</v>
      </c>
      <c r="F2110" s="5">
        <v>0</v>
      </c>
      <c r="G2110" s="5">
        <v>44466</v>
      </c>
    </row>
    <row r="2111" spans="1:7" x14ac:dyDescent="0.2">
      <c r="A2111">
        <v>756</v>
      </c>
      <c r="B2111" s="9" t="s">
        <v>309</v>
      </c>
      <c r="C2111" t="s">
        <v>709</v>
      </c>
      <c r="D2111" s="5">
        <v>16758</v>
      </c>
      <c r="E2111" s="5">
        <v>30643</v>
      </c>
      <c r="F2111" s="5">
        <v>153</v>
      </c>
      <c r="G2111" s="5">
        <v>47555</v>
      </c>
    </row>
    <row r="2112" spans="1:7" x14ac:dyDescent="0.2">
      <c r="A2112">
        <v>756</v>
      </c>
      <c r="B2112" s="9" t="s">
        <v>309</v>
      </c>
      <c r="C2112" t="s">
        <v>710</v>
      </c>
      <c r="D2112" s="5">
        <v>2809</v>
      </c>
      <c r="E2112" s="5">
        <v>21713</v>
      </c>
      <c r="F2112" s="5">
        <v>0</v>
      </c>
      <c r="G2112" s="5">
        <v>24522</v>
      </c>
    </row>
    <row r="2113" spans="1:7" x14ac:dyDescent="0.2">
      <c r="A2113">
        <v>756</v>
      </c>
      <c r="B2113" s="9" t="s">
        <v>309</v>
      </c>
      <c r="C2113" t="s">
        <v>712</v>
      </c>
      <c r="D2113" s="5">
        <v>3743</v>
      </c>
      <c r="E2113" s="5">
        <v>34489</v>
      </c>
      <c r="F2113" s="5">
        <v>0</v>
      </c>
      <c r="G2113" s="5">
        <v>38232</v>
      </c>
    </row>
    <row r="2114" spans="1:7" x14ac:dyDescent="0.2">
      <c r="A2114">
        <v>757</v>
      </c>
      <c r="B2114" t="s">
        <v>95</v>
      </c>
      <c r="C2114" t="s">
        <v>700</v>
      </c>
      <c r="D2114" s="5">
        <v>379835</v>
      </c>
      <c r="E2114" s="5">
        <v>429099</v>
      </c>
      <c r="F2114" s="5">
        <v>4309</v>
      </c>
      <c r="G2114" s="5">
        <v>813243</v>
      </c>
    </row>
    <row r="2115" spans="1:7" x14ac:dyDescent="0.2">
      <c r="A2115">
        <v>757</v>
      </c>
      <c r="B2115" t="s">
        <v>95</v>
      </c>
      <c r="C2115" t="s">
        <v>701</v>
      </c>
      <c r="D2115" s="5">
        <v>11024</v>
      </c>
      <c r="E2115" s="5">
        <v>14231</v>
      </c>
      <c r="F2115" s="5">
        <v>0</v>
      </c>
      <c r="G2115" s="5">
        <v>25255</v>
      </c>
    </row>
    <row r="2116" spans="1:7" x14ac:dyDescent="0.2">
      <c r="A2116">
        <v>757</v>
      </c>
      <c r="B2116" t="s">
        <v>95</v>
      </c>
      <c r="C2116" t="s">
        <v>703</v>
      </c>
      <c r="D2116" s="5">
        <v>0</v>
      </c>
      <c r="E2116" s="5">
        <v>3080</v>
      </c>
      <c r="F2116" s="5">
        <v>0</v>
      </c>
      <c r="G2116" s="5">
        <v>3080</v>
      </c>
    </row>
    <row r="2117" spans="1:7" x14ac:dyDescent="0.2">
      <c r="A2117">
        <v>757</v>
      </c>
      <c r="B2117" t="s">
        <v>95</v>
      </c>
      <c r="C2117" t="s">
        <v>704</v>
      </c>
      <c r="D2117" s="5">
        <v>22808</v>
      </c>
      <c r="E2117" s="5">
        <v>216606</v>
      </c>
      <c r="F2117" s="5">
        <v>138</v>
      </c>
      <c r="G2117" s="5">
        <v>239552</v>
      </c>
    </row>
    <row r="2118" spans="1:7" x14ac:dyDescent="0.2">
      <c r="A2118">
        <v>757</v>
      </c>
      <c r="B2118" t="s">
        <v>95</v>
      </c>
      <c r="C2118" t="s">
        <v>705</v>
      </c>
      <c r="D2118" s="5">
        <v>15228</v>
      </c>
      <c r="E2118" s="5">
        <v>114718</v>
      </c>
      <c r="F2118" s="5">
        <v>1209</v>
      </c>
      <c r="G2118" s="5">
        <v>131155</v>
      </c>
    </row>
    <row r="2119" spans="1:7" x14ac:dyDescent="0.2">
      <c r="A2119">
        <v>757</v>
      </c>
      <c r="B2119" t="s">
        <v>95</v>
      </c>
      <c r="C2119" t="s">
        <v>707</v>
      </c>
      <c r="D2119" s="5">
        <v>2117</v>
      </c>
      <c r="E2119" s="5">
        <v>7305</v>
      </c>
      <c r="F2119" s="5">
        <v>0</v>
      </c>
      <c r="G2119" s="5">
        <v>9423</v>
      </c>
    </row>
    <row r="2120" spans="1:7" x14ac:dyDescent="0.2">
      <c r="A2120">
        <v>757</v>
      </c>
      <c r="B2120" t="s">
        <v>95</v>
      </c>
      <c r="C2120" t="s">
        <v>708</v>
      </c>
      <c r="D2120" s="5">
        <v>1141</v>
      </c>
      <c r="E2120" s="5">
        <v>39817</v>
      </c>
      <c r="F2120" s="5">
        <v>0</v>
      </c>
      <c r="G2120" s="5">
        <v>40958</v>
      </c>
    </row>
    <row r="2121" spans="1:7" x14ac:dyDescent="0.2">
      <c r="A2121">
        <v>757</v>
      </c>
      <c r="B2121" t="s">
        <v>95</v>
      </c>
      <c r="C2121" t="s">
        <v>709</v>
      </c>
      <c r="D2121" s="5">
        <v>7735</v>
      </c>
      <c r="E2121" s="5">
        <v>44958</v>
      </c>
      <c r="F2121" s="5">
        <v>179</v>
      </c>
      <c r="G2121" s="5">
        <v>52872</v>
      </c>
    </row>
    <row r="2122" spans="1:7" x14ac:dyDescent="0.2">
      <c r="A2122">
        <v>757</v>
      </c>
      <c r="B2122" t="s">
        <v>95</v>
      </c>
      <c r="C2122" t="s">
        <v>710</v>
      </c>
      <c r="D2122" s="5">
        <v>653</v>
      </c>
      <c r="E2122" s="5">
        <v>14250</v>
      </c>
      <c r="F2122" s="5">
        <v>0</v>
      </c>
      <c r="G2122" s="5">
        <v>14903</v>
      </c>
    </row>
    <row r="2123" spans="1:7" x14ac:dyDescent="0.2">
      <c r="A2123">
        <v>757</v>
      </c>
      <c r="B2123" t="s">
        <v>95</v>
      </c>
      <c r="C2123" t="s">
        <v>711</v>
      </c>
      <c r="D2123" s="5">
        <v>370</v>
      </c>
      <c r="E2123" s="5">
        <v>0</v>
      </c>
      <c r="F2123" s="5">
        <v>0</v>
      </c>
      <c r="G2123" s="5">
        <v>370</v>
      </c>
    </row>
    <row r="2124" spans="1:7" x14ac:dyDescent="0.2">
      <c r="A2124">
        <v>757</v>
      </c>
      <c r="B2124" t="s">
        <v>95</v>
      </c>
      <c r="C2124" t="s">
        <v>712</v>
      </c>
      <c r="D2124" s="5">
        <v>9750</v>
      </c>
      <c r="E2124" s="5">
        <v>54851</v>
      </c>
      <c r="F2124" s="5">
        <v>0</v>
      </c>
      <c r="G2124" s="5">
        <v>64601</v>
      </c>
    </row>
    <row r="2125" spans="1:7" x14ac:dyDescent="0.2">
      <c r="A2125">
        <v>758</v>
      </c>
      <c r="B2125" t="s">
        <v>97</v>
      </c>
      <c r="C2125" t="s">
        <v>700</v>
      </c>
      <c r="D2125" s="5">
        <v>1021198</v>
      </c>
      <c r="E2125" s="5">
        <v>1172666</v>
      </c>
      <c r="F2125" s="5">
        <v>14346</v>
      </c>
      <c r="G2125" s="5">
        <v>2208210</v>
      </c>
    </row>
    <row r="2126" spans="1:7" x14ac:dyDescent="0.2">
      <c r="A2126">
        <v>758</v>
      </c>
      <c r="B2126" t="s">
        <v>97</v>
      </c>
      <c r="C2126" t="s">
        <v>701</v>
      </c>
      <c r="D2126" s="5">
        <v>78751</v>
      </c>
      <c r="E2126" s="5">
        <v>177340</v>
      </c>
      <c r="F2126" s="5">
        <v>5165</v>
      </c>
      <c r="G2126" s="5">
        <v>261256</v>
      </c>
    </row>
    <row r="2127" spans="1:7" x14ac:dyDescent="0.2">
      <c r="A2127">
        <v>758</v>
      </c>
      <c r="B2127" t="s">
        <v>97</v>
      </c>
      <c r="C2127" t="s">
        <v>702</v>
      </c>
      <c r="D2127" s="5">
        <v>0</v>
      </c>
      <c r="E2127" s="5">
        <v>6614</v>
      </c>
      <c r="F2127" s="5">
        <v>0</v>
      </c>
      <c r="G2127" s="5">
        <v>6614</v>
      </c>
    </row>
    <row r="2128" spans="1:7" x14ac:dyDescent="0.2">
      <c r="A2128">
        <v>758</v>
      </c>
      <c r="B2128" t="s">
        <v>97</v>
      </c>
      <c r="C2128" t="s">
        <v>703</v>
      </c>
      <c r="D2128" s="5">
        <v>18353</v>
      </c>
      <c r="E2128" s="5">
        <v>120587</v>
      </c>
      <c r="F2128" s="5">
        <v>650</v>
      </c>
      <c r="G2128" s="5">
        <v>139590</v>
      </c>
    </row>
    <row r="2129" spans="1:7" x14ac:dyDescent="0.2">
      <c r="A2129">
        <v>758</v>
      </c>
      <c r="B2129" t="s">
        <v>97</v>
      </c>
      <c r="C2129" t="s">
        <v>704</v>
      </c>
      <c r="D2129" s="5">
        <v>205092</v>
      </c>
      <c r="E2129" s="5">
        <v>1906680</v>
      </c>
      <c r="F2129" s="5">
        <v>1493</v>
      </c>
      <c r="G2129" s="5">
        <v>2113265</v>
      </c>
    </row>
    <row r="2130" spans="1:7" x14ac:dyDescent="0.2">
      <c r="A2130">
        <v>758</v>
      </c>
      <c r="B2130" t="s">
        <v>97</v>
      </c>
      <c r="C2130" t="s">
        <v>705</v>
      </c>
      <c r="D2130" s="5">
        <v>50121</v>
      </c>
      <c r="E2130" s="5">
        <v>424508</v>
      </c>
      <c r="F2130" s="5">
        <v>3715</v>
      </c>
      <c r="G2130" s="5">
        <v>478344</v>
      </c>
    </row>
    <row r="2131" spans="1:7" x14ac:dyDescent="0.2">
      <c r="A2131">
        <v>758</v>
      </c>
      <c r="B2131" t="s">
        <v>97</v>
      </c>
      <c r="C2131" t="s">
        <v>707</v>
      </c>
      <c r="D2131" s="5">
        <v>4817</v>
      </c>
      <c r="E2131" s="5">
        <v>23899</v>
      </c>
      <c r="F2131" s="5">
        <v>0</v>
      </c>
      <c r="G2131" s="5">
        <v>28717</v>
      </c>
    </row>
    <row r="2132" spans="1:7" x14ac:dyDescent="0.2">
      <c r="A2132">
        <v>758</v>
      </c>
      <c r="B2132" t="s">
        <v>97</v>
      </c>
      <c r="C2132" t="s">
        <v>708</v>
      </c>
      <c r="D2132" s="5">
        <v>24350</v>
      </c>
      <c r="E2132" s="5">
        <v>246378</v>
      </c>
      <c r="F2132" s="5">
        <v>0</v>
      </c>
      <c r="G2132" s="5">
        <v>270728</v>
      </c>
    </row>
    <row r="2133" spans="1:7" x14ac:dyDescent="0.2">
      <c r="A2133">
        <v>758</v>
      </c>
      <c r="B2133" t="s">
        <v>97</v>
      </c>
      <c r="C2133" t="s">
        <v>709</v>
      </c>
      <c r="D2133" s="5">
        <v>56530</v>
      </c>
      <c r="E2133" s="5">
        <v>292895</v>
      </c>
      <c r="F2133" s="5">
        <v>12540</v>
      </c>
      <c r="G2133" s="5">
        <v>361965</v>
      </c>
    </row>
    <row r="2134" spans="1:7" x14ac:dyDescent="0.2">
      <c r="A2134">
        <v>758</v>
      </c>
      <c r="B2134" t="s">
        <v>97</v>
      </c>
      <c r="C2134" t="s">
        <v>710</v>
      </c>
      <c r="D2134" s="5">
        <v>2061</v>
      </c>
      <c r="E2134" s="5">
        <v>98866</v>
      </c>
      <c r="F2134" s="5">
        <v>0</v>
      </c>
      <c r="G2134" s="5">
        <v>100928</v>
      </c>
    </row>
    <row r="2135" spans="1:7" x14ac:dyDescent="0.2">
      <c r="A2135">
        <v>758</v>
      </c>
      <c r="B2135" t="s">
        <v>97</v>
      </c>
      <c r="C2135" t="s">
        <v>711</v>
      </c>
      <c r="D2135" s="5">
        <v>389</v>
      </c>
      <c r="E2135" s="5">
        <v>0</v>
      </c>
      <c r="F2135" s="5">
        <v>0</v>
      </c>
      <c r="G2135" s="5">
        <v>389</v>
      </c>
    </row>
    <row r="2136" spans="1:7" x14ac:dyDescent="0.2">
      <c r="A2136">
        <v>758</v>
      </c>
      <c r="B2136" t="s">
        <v>97</v>
      </c>
      <c r="C2136" t="s">
        <v>712</v>
      </c>
      <c r="D2136" s="5">
        <v>58758</v>
      </c>
      <c r="E2136" s="5">
        <v>337423</v>
      </c>
      <c r="F2136" s="5">
        <v>6529</v>
      </c>
      <c r="G2136" s="5">
        <v>402711</v>
      </c>
    </row>
    <row r="2137" spans="1:7" x14ac:dyDescent="0.2">
      <c r="A2137">
        <v>762</v>
      </c>
      <c r="B2137" t="s">
        <v>127</v>
      </c>
      <c r="C2137" t="s">
        <v>700</v>
      </c>
      <c r="D2137" s="5">
        <v>951916</v>
      </c>
      <c r="E2137" s="5">
        <v>909686</v>
      </c>
      <c r="F2137" s="5">
        <v>26138</v>
      </c>
      <c r="G2137" s="5">
        <v>1887741</v>
      </c>
    </row>
    <row r="2138" spans="1:7" x14ac:dyDescent="0.2">
      <c r="A2138">
        <v>762</v>
      </c>
      <c r="B2138" t="s">
        <v>127</v>
      </c>
      <c r="C2138" t="s">
        <v>701</v>
      </c>
      <c r="D2138" s="5">
        <v>10964</v>
      </c>
      <c r="E2138" s="5">
        <v>26544</v>
      </c>
      <c r="F2138" s="5">
        <v>143</v>
      </c>
      <c r="G2138" s="5">
        <v>37651</v>
      </c>
    </row>
    <row r="2139" spans="1:7" x14ac:dyDescent="0.2">
      <c r="A2139">
        <v>762</v>
      </c>
      <c r="B2139" t="s">
        <v>127</v>
      </c>
      <c r="C2139" t="s">
        <v>703</v>
      </c>
      <c r="D2139" s="5">
        <v>1646</v>
      </c>
      <c r="E2139" s="5">
        <v>3786</v>
      </c>
      <c r="F2139" s="5">
        <v>0</v>
      </c>
      <c r="G2139" s="5">
        <v>5432</v>
      </c>
    </row>
    <row r="2140" spans="1:7" x14ac:dyDescent="0.2">
      <c r="A2140">
        <v>762</v>
      </c>
      <c r="B2140" t="s">
        <v>127</v>
      </c>
      <c r="C2140" t="s">
        <v>704</v>
      </c>
      <c r="D2140" s="5">
        <v>159145</v>
      </c>
      <c r="E2140" s="5">
        <v>360399</v>
      </c>
      <c r="F2140" s="5">
        <v>2620</v>
      </c>
      <c r="G2140" s="5">
        <v>522164</v>
      </c>
    </row>
    <row r="2141" spans="1:7" x14ac:dyDescent="0.2">
      <c r="A2141">
        <v>762</v>
      </c>
      <c r="B2141" t="s">
        <v>127</v>
      </c>
      <c r="C2141" t="s">
        <v>705</v>
      </c>
      <c r="D2141" s="5">
        <v>11776</v>
      </c>
      <c r="E2141" s="5">
        <v>336169</v>
      </c>
      <c r="F2141" s="5">
        <v>2514</v>
      </c>
      <c r="G2141" s="5">
        <v>350459</v>
      </c>
    </row>
    <row r="2142" spans="1:7" x14ac:dyDescent="0.2">
      <c r="A2142">
        <v>762</v>
      </c>
      <c r="B2142" t="s">
        <v>127</v>
      </c>
      <c r="C2142" t="s">
        <v>707</v>
      </c>
      <c r="D2142" s="5">
        <v>9396</v>
      </c>
      <c r="E2142" s="5">
        <v>2087</v>
      </c>
      <c r="F2142" s="5">
        <v>0</v>
      </c>
      <c r="G2142" s="5">
        <v>11483</v>
      </c>
    </row>
    <row r="2143" spans="1:7" x14ac:dyDescent="0.2">
      <c r="A2143">
        <v>762</v>
      </c>
      <c r="B2143" t="s">
        <v>127</v>
      </c>
      <c r="C2143" t="s">
        <v>708</v>
      </c>
      <c r="D2143" s="5">
        <v>2075</v>
      </c>
      <c r="E2143" s="5">
        <v>31831</v>
      </c>
      <c r="F2143" s="5">
        <v>0</v>
      </c>
      <c r="G2143" s="5">
        <v>33906</v>
      </c>
    </row>
    <row r="2144" spans="1:7" x14ac:dyDescent="0.2">
      <c r="A2144">
        <v>762</v>
      </c>
      <c r="B2144" t="s">
        <v>127</v>
      </c>
      <c r="C2144" t="s">
        <v>709</v>
      </c>
      <c r="D2144" s="5">
        <v>13635</v>
      </c>
      <c r="E2144" s="5">
        <v>77445</v>
      </c>
      <c r="F2144" s="5">
        <v>1462</v>
      </c>
      <c r="G2144" s="5">
        <v>92542</v>
      </c>
    </row>
    <row r="2145" spans="1:7" x14ac:dyDescent="0.2">
      <c r="A2145">
        <v>762</v>
      </c>
      <c r="B2145" t="s">
        <v>127</v>
      </c>
      <c r="C2145" t="s">
        <v>710</v>
      </c>
      <c r="D2145" s="5">
        <v>4132</v>
      </c>
      <c r="E2145" s="5">
        <v>38602</v>
      </c>
      <c r="F2145" s="5">
        <v>0</v>
      </c>
      <c r="G2145" s="5">
        <v>42734</v>
      </c>
    </row>
    <row r="2146" spans="1:7" x14ac:dyDescent="0.2">
      <c r="A2146">
        <v>762</v>
      </c>
      <c r="B2146" t="s">
        <v>127</v>
      </c>
      <c r="C2146" t="s">
        <v>712</v>
      </c>
      <c r="D2146" s="5">
        <v>19705</v>
      </c>
      <c r="E2146" s="5">
        <v>94790</v>
      </c>
      <c r="F2146" s="5">
        <v>3465</v>
      </c>
      <c r="G2146" s="5">
        <v>117960</v>
      </c>
    </row>
    <row r="2147" spans="1:7" x14ac:dyDescent="0.2">
      <c r="A2147">
        <v>765</v>
      </c>
      <c r="B2147" t="s">
        <v>451</v>
      </c>
      <c r="C2147" t="s">
        <v>700</v>
      </c>
      <c r="D2147" s="5">
        <v>175219</v>
      </c>
      <c r="E2147" s="5">
        <v>102477</v>
      </c>
      <c r="F2147" s="5">
        <v>12844</v>
      </c>
      <c r="G2147" s="5">
        <v>290541</v>
      </c>
    </row>
    <row r="2148" spans="1:7" x14ac:dyDescent="0.2">
      <c r="A2148">
        <v>765</v>
      </c>
      <c r="B2148" t="s">
        <v>451</v>
      </c>
      <c r="C2148" t="s">
        <v>701</v>
      </c>
      <c r="D2148" s="5">
        <v>3881</v>
      </c>
      <c r="E2148" s="5">
        <v>6667</v>
      </c>
      <c r="F2148" s="5">
        <v>0</v>
      </c>
      <c r="G2148" s="5">
        <v>10548</v>
      </c>
    </row>
    <row r="2149" spans="1:7" x14ac:dyDescent="0.2">
      <c r="A2149">
        <v>765</v>
      </c>
      <c r="B2149" t="s">
        <v>451</v>
      </c>
      <c r="C2149" t="s">
        <v>703</v>
      </c>
      <c r="D2149" s="5">
        <v>162</v>
      </c>
      <c r="E2149" s="5">
        <v>2574</v>
      </c>
      <c r="F2149" s="5">
        <v>0</v>
      </c>
      <c r="G2149" s="5">
        <v>2736</v>
      </c>
    </row>
    <row r="2150" spans="1:7" x14ac:dyDescent="0.2">
      <c r="A2150">
        <v>765</v>
      </c>
      <c r="B2150" t="s">
        <v>451</v>
      </c>
      <c r="C2150" t="s">
        <v>704</v>
      </c>
      <c r="D2150" s="5">
        <v>19707</v>
      </c>
      <c r="E2150" s="5">
        <v>193883</v>
      </c>
      <c r="F2150" s="5">
        <v>580</v>
      </c>
      <c r="G2150" s="5">
        <v>214170</v>
      </c>
    </row>
    <row r="2151" spans="1:7" x14ac:dyDescent="0.2">
      <c r="A2151">
        <v>765</v>
      </c>
      <c r="B2151" t="s">
        <v>451</v>
      </c>
      <c r="C2151" t="s">
        <v>705</v>
      </c>
      <c r="D2151" s="5">
        <v>1277</v>
      </c>
      <c r="E2151" s="5">
        <v>42223</v>
      </c>
      <c r="F2151" s="5">
        <v>0</v>
      </c>
      <c r="G2151" s="5">
        <v>43500</v>
      </c>
    </row>
    <row r="2152" spans="1:7" x14ac:dyDescent="0.2">
      <c r="A2152">
        <v>765</v>
      </c>
      <c r="B2152" t="s">
        <v>451</v>
      </c>
      <c r="C2152" t="s">
        <v>708</v>
      </c>
      <c r="D2152" s="5">
        <v>0</v>
      </c>
      <c r="E2152" s="5">
        <v>7047</v>
      </c>
      <c r="F2152" s="5">
        <v>0</v>
      </c>
      <c r="G2152" s="5">
        <v>7047</v>
      </c>
    </row>
    <row r="2153" spans="1:7" x14ac:dyDescent="0.2">
      <c r="A2153">
        <v>765</v>
      </c>
      <c r="B2153" t="s">
        <v>451</v>
      </c>
      <c r="C2153" t="s">
        <v>709</v>
      </c>
      <c r="D2153" s="5">
        <v>2120</v>
      </c>
      <c r="E2153" s="5">
        <v>7444</v>
      </c>
      <c r="F2153" s="5">
        <v>278</v>
      </c>
      <c r="G2153" s="5">
        <v>9842</v>
      </c>
    </row>
    <row r="2154" spans="1:7" x14ac:dyDescent="0.2">
      <c r="A2154">
        <v>765</v>
      </c>
      <c r="B2154" t="s">
        <v>451</v>
      </c>
      <c r="C2154" t="s">
        <v>710</v>
      </c>
      <c r="D2154" s="5">
        <v>493</v>
      </c>
      <c r="E2154" s="5">
        <v>5976</v>
      </c>
      <c r="F2154" s="5">
        <v>0</v>
      </c>
      <c r="G2154" s="5">
        <v>6469</v>
      </c>
    </row>
    <row r="2155" spans="1:7" x14ac:dyDescent="0.2">
      <c r="A2155">
        <v>765</v>
      </c>
      <c r="B2155" t="s">
        <v>451</v>
      </c>
      <c r="C2155" t="s">
        <v>712</v>
      </c>
      <c r="D2155" s="5">
        <v>8121</v>
      </c>
      <c r="E2155" s="5">
        <v>21949</v>
      </c>
      <c r="F2155" s="5">
        <v>0</v>
      </c>
      <c r="G2155" s="5">
        <v>30070</v>
      </c>
    </row>
    <row r="2156" spans="1:7" x14ac:dyDescent="0.2">
      <c r="A2156">
        <v>766</v>
      </c>
      <c r="B2156" t="s">
        <v>141</v>
      </c>
      <c r="C2156" t="s">
        <v>700</v>
      </c>
      <c r="D2156" s="5">
        <v>372798</v>
      </c>
      <c r="E2156" s="5">
        <v>480402</v>
      </c>
      <c r="F2156" s="5">
        <v>1560</v>
      </c>
      <c r="G2156" s="5">
        <v>854759</v>
      </c>
    </row>
    <row r="2157" spans="1:7" x14ac:dyDescent="0.2">
      <c r="A2157">
        <v>766</v>
      </c>
      <c r="B2157" t="s">
        <v>141</v>
      </c>
      <c r="C2157" t="s">
        <v>701</v>
      </c>
      <c r="D2157" s="5">
        <v>7546</v>
      </c>
      <c r="E2157" s="5">
        <v>8764</v>
      </c>
      <c r="F2157" s="5">
        <v>0</v>
      </c>
      <c r="G2157" s="5">
        <v>16310</v>
      </c>
    </row>
    <row r="2158" spans="1:7" x14ac:dyDescent="0.2">
      <c r="A2158">
        <v>766</v>
      </c>
      <c r="B2158" t="s">
        <v>141</v>
      </c>
      <c r="C2158" t="s">
        <v>703</v>
      </c>
      <c r="D2158" s="5">
        <v>146</v>
      </c>
      <c r="E2158" s="5">
        <v>3450</v>
      </c>
      <c r="F2158" s="5">
        <v>0</v>
      </c>
      <c r="G2158" s="5">
        <v>3597</v>
      </c>
    </row>
    <row r="2159" spans="1:7" x14ac:dyDescent="0.2">
      <c r="A2159">
        <v>766</v>
      </c>
      <c r="B2159" t="s">
        <v>141</v>
      </c>
      <c r="C2159" t="s">
        <v>704</v>
      </c>
      <c r="D2159" s="5">
        <v>130614</v>
      </c>
      <c r="E2159" s="5">
        <v>94962</v>
      </c>
      <c r="F2159" s="5">
        <v>9</v>
      </c>
      <c r="G2159" s="5">
        <v>225585</v>
      </c>
    </row>
    <row r="2160" spans="1:7" x14ac:dyDescent="0.2">
      <c r="A2160">
        <v>766</v>
      </c>
      <c r="B2160" t="s">
        <v>141</v>
      </c>
      <c r="C2160" t="s">
        <v>705</v>
      </c>
      <c r="D2160" s="5">
        <v>12658</v>
      </c>
      <c r="E2160" s="5">
        <v>304732</v>
      </c>
      <c r="F2160" s="5">
        <v>0</v>
      </c>
      <c r="G2160" s="5">
        <v>317390</v>
      </c>
    </row>
    <row r="2161" spans="1:7" x14ac:dyDescent="0.2">
      <c r="A2161">
        <v>766</v>
      </c>
      <c r="B2161" t="s">
        <v>141</v>
      </c>
      <c r="C2161" t="s">
        <v>707</v>
      </c>
      <c r="D2161" s="5">
        <v>1499</v>
      </c>
      <c r="E2161" s="5">
        <v>542</v>
      </c>
      <c r="F2161" s="5">
        <v>0</v>
      </c>
      <c r="G2161" s="5">
        <v>2040</v>
      </c>
    </row>
    <row r="2162" spans="1:7" x14ac:dyDescent="0.2">
      <c r="A2162">
        <v>766</v>
      </c>
      <c r="B2162" t="s">
        <v>141</v>
      </c>
      <c r="C2162" t="s">
        <v>708</v>
      </c>
      <c r="D2162" s="5">
        <v>3770</v>
      </c>
      <c r="E2162" s="5">
        <v>18131</v>
      </c>
      <c r="F2162" s="5">
        <v>0</v>
      </c>
      <c r="G2162" s="5">
        <v>21901</v>
      </c>
    </row>
    <row r="2163" spans="1:7" x14ac:dyDescent="0.2">
      <c r="A2163">
        <v>766</v>
      </c>
      <c r="B2163" t="s">
        <v>141</v>
      </c>
      <c r="C2163" t="s">
        <v>709</v>
      </c>
      <c r="D2163" s="5">
        <v>3314</v>
      </c>
      <c r="E2163" s="5">
        <v>25040</v>
      </c>
      <c r="F2163" s="5">
        <v>58</v>
      </c>
      <c r="G2163" s="5">
        <v>28412</v>
      </c>
    </row>
    <row r="2164" spans="1:7" x14ac:dyDescent="0.2">
      <c r="A2164">
        <v>766</v>
      </c>
      <c r="B2164" t="s">
        <v>141</v>
      </c>
      <c r="C2164" t="s">
        <v>710</v>
      </c>
      <c r="D2164" s="5">
        <v>642</v>
      </c>
      <c r="E2164" s="5">
        <v>14029</v>
      </c>
      <c r="F2164" s="5">
        <v>0</v>
      </c>
      <c r="G2164" s="5">
        <v>14672</v>
      </c>
    </row>
    <row r="2165" spans="1:7" x14ac:dyDescent="0.2">
      <c r="A2165">
        <v>766</v>
      </c>
      <c r="B2165" t="s">
        <v>141</v>
      </c>
      <c r="C2165" t="s">
        <v>712</v>
      </c>
      <c r="D2165" s="5">
        <v>7673</v>
      </c>
      <c r="E2165" s="5">
        <v>58177</v>
      </c>
      <c r="F2165" s="5">
        <v>0</v>
      </c>
      <c r="G2165" s="5">
        <v>65851</v>
      </c>
    </row>
    <row r="2166" spans="1:7" x14ac:dyDescent="0.2">
      <c r="A2166">
        <v>770</v>
      </c>
      <c r="B2166" t="s">
        <v>165</v>
      </c>
      <c r="C2166" t="s">
        <v>700</v>
      </c>
      <c r="D2166" s="5">
        <v>431066</v>
      </c>
      <c r="E2166" s="5">
        <v>315278</v>
      </c>
      <c r="F2166" s="5">
        <v>10640</v>
      </c>
      <c r="G2166" s="5">
        <v>756984</v>
      </c>
    </row>
    <row r="2167" spans="1:7" x14ac:dyDescent="0.2">
      <c r="A2167">
        <v>770</v>
      </c>
      <c r="B2167" t="s">
        <v>165</v>
      </c>
      <c r="C2167" t="s">
        <v>701</v>
      </c>
      <c r="D2167" s="5">
        <v>11968</v>
      </c>
      <c r="E2167" s="5">
        <v>5925</v>
      </c>
      <c r="F2167" s="5">
        <v>0</v>
      </c>
      <c r="G2167" s="5">
        <v>17893</v>
      </c>
    </row>
    <row r="2168" spans="1:7" x14ac:dyDescent="0.2">
      <c r="A2168">
        <v>770</v>
      </c>
      <c r="B2168" t="s">
        <v>165</v>
      </c>
      <c r="C2168" t="s">
        <v>703</v>
      </c>
      <c r="D2168" s="5">
        <v>1341</v>
      </c>
      <c r="E2168" s="5">
        <v>5715</v>
      </c>
      <c r="F2168" s="5">
        <v>0</v>
      </c>
      <c r="G2168" s="5">
        <v>7056</v>
      </c>
    </row>
    <row r="2169" spans="1:7" x14ac:dyDescent="0.2">
      <c r="A2169">
        <v>770</v>
      </c>
      <c r="B2169" t="s">
        <v>165</v>
      </c>
      <c r="C2169" t="s">
        <v>704</v>
      </c>
      <c r="D2169" s="5">
        <v>15015</v>
      </c>
      <c r="E2169" s="5">
        <v>173658</v>
      </c>
      <c r="F2169" s="5">
        <v>2547</v>
      </c>
      <c r="G2169" s="5">
        <v>191219</v>
      </c>
    </row>
    <row r="2170" spans="1:7" x14ac:dyDescent="0.2">
      <c r="A2170">
        <v>770</v>
      </c>
      <c r="B2170" t="s">
        <v>165</v>
      </c>
      <c r="C2170" t="s">
        <v>705</v>
      </c>
      <c r="D2170" s="5">
        <v>8959</v>
      </c>
      <c r="E2170" s="5">
        <v>118041</v>
      </c>
      <c r="F2170" s="5">
        <v>0</v>
      </c>
      <c r="G2170" s="5">
        <v>127000</v>
      </c>
    </row>
    <row r="2171" spans="1:7" x14ac:dyDescent="0.2">
      <c r="A2171">
        <v>770</v>
      </c>
      <c r="B2171" t="s">
        <v>165</v>
      </c>
      <c r="C2171" t="s">
        <v>707</v>
      </c>
      <c r="D2171" s="5">
        <v>14975</v>
      </c>
      <c r="E2171" s="5">
        <v>7654</v>
      </c>
      <c r="F2171" s="5">
        <v>36</v>
      </c>
      <c r="G2171" s="5">
        <v>22664</v>
      </c>
    </row>
    <row r="2172" spans="1:7" x14ac:dyDescent="0.2">
      <c r="A2172">
        <v>770</v>
      </c>
      <c r="B2172" t="s">
        <v>165</v>
      </c>
      <c r="C2172" t="s">
        <v>708</v>
      </c>
      <c r="D2172" s="5">
        <v>2509</v>
      </c>
      <c r="E2172" s="5">
        <v>25123</v>
      </c>
      <c r="F2172" s="5">
        <v>0</v>
      </c>
      <c r="G2172" s="5">
        <v>27632</v>
      </c>
    </row>
    <row r="2173" spans="1:7" x14ac:dyDescent="0.2">
      <c r="A2173">
        <v>770</v>
      </c>
      <c r="B2173" t="s">
        <v>165</v>
      </c>
      <c r="C2173" t="s">
        <v>709</v>
      </c>
      <c r="D2173" s="5">
        <v>26357</v>
      </c>
      <c r="E2173" s="5">
        <v>24931</v>
      </c>
      <c r="F2173" s="5">
        <v>929</v>
      </c>
      <c r="G2173" s="5">
        <v>52218</v>
      </c>
    </row>
    <row r="2174" spans="1:7" x14ac:dyDescent="0.2">
      <c r="A2174">
        <v>770</v>
      </c>
      <c r="B2174" t="s">
        <v>165</v>
      </c>
      <c r="C2174" t="s">
        <v>710</v>
      </c>
      <c r="D2174" s="5">
        <v>2039</v>
      </c>
      <c r="E2174" s="5">
        <v>12881</v>
      </c>
      <c r="F2174" s="5">
        <v>2106</v>
      </c>
      <c r="G2174" s="5">
        <v>17026</v>
      </c>
    </row>
    <row r="2175" spans="1:7" x14ac:dyDescent="0.2">
      <c r="A2175">
        <v>770</v>
      </c>
      <c r="B2175" t="s">
        <v>165</v>
      </c>
      <c r="C2175" t="s">
        <v>712</v>
      </c>
      <c r="D2175" s="5">
        <v>21991</v>
      </c>
      <c r="E2175" s="5">
        <v>34005</v>
      </c>
      <c r="F2175" s="5">
        <v>0</v>
      </c>
      <c r="G2175" s="5">
        <v>55995</v>
      </c>
    </row>
    <row r="2176" spans="1:7" x14ac:dyDescent="0.2">
      <c r="A2176">
        <v>772</v>
      </c>
      <c r="B2176" t="s">
        <v>169</v>
      </c>
      <c r="C2176" t="s">
        <v>700</v>
      </c>
      <c r="D2176" s="5">
        <v>234170</v>
      </c>
      <c r="E2176" s="5">
        <v>1401764</v>
      </c>
      <c r="F2176" s="5">
        <v>19149</v>
      </c>
      <c r="G2176" s="5">
        <v>1655084</v>
      </c>
    </row>
    <row r="2177" spans="1:7" x14ac:dyDescent="0.2">
      <c r="A2177">
        <v>772</v>
      </c>
      <c r="B2177" t="s">
        <v>169</v>
      </c>
      <c r="C2177" t="s">
        <v>701</v>
      </c>
      <c r="D2177" s="5">
        <v>75694</v>
      </c>
      <c r="E2177" s="5">
        <v>196585</v>
      </c>
      <c r="F2177" s="5">
        <v>0</v>
      </c>
      <c r="G2177" s="5">
        <v>272279</v>
      </c>
    </row>
    <row r="2178" spans="1:7" x14ac:dyDescent="0.2">
      <c r="A2178">
        <v>772</v>
      </c>
      <c r="B2178" t="s">
        <v>169</v>
      </c>
      <c r="C2178" t="s">
        <v>702</v>
      </c>
      <c r="D2178" s="5">
        <v>0</v>
      </c>
      <c r="E2178" s="5">
        <v>3276</v>
      </c>
      <c r="F2178" s="5">
        <v>0</v>
      </c>
      <c r="G2178" s="5">
        <v>3276</v>
      </c>
    </row>
    <row r="2179" spans="1:7" x14ac:dyDescent="0.2">
      <c r="A2179">
        <v>772</v>
      </c>
      <c r="B2179" t="s">
        <v>169</v>
      </c>
      <c r="C2179" t="s">
        <v>703</v>
      </c>
      <c r="D2179" s="5">
        <v>10840</v>
      </c>
      <c r="E2179" s="5">
        <v>82848</v>
      </c>
      <c r="F2179" s="5">
        <v>0</v>
      </c>
      <c r="G2179" s="5">
        <v>93688</v>
      </c>
    </row>
    <row r="2180" spans="1:7" x14ac:dyDescent="0.2">
      <c r="A2180">
        <v>772</v>
      </c>
      <c r="B2180" t="s">
        <v>169</v>
      </c>
      <c r="C2180" t="s">
        <v>704</v>
      </c>
      <c r="D2180" s="5">
        <v>30828</v>
      </c>
      <c r="E2180" s="5">
        <v>1718814</v>
      </c>
      <c r="F2180" s="5">
        <v>1093</v>
      </c>
      <c r="G2180" s="5">
        <v>1750735</v>
      </c>
    </row>
    <row r="2181" spans="1:7" x14ac:dyDescent="0.2">
      <c r="A2181">
        <v>772</v>
      </c>
      <c r="B2181" t="s">
        <v>169</v>
      </c>
      <c r="C2181" t="s">
        <v>705</v>
      </c>
      <c r="D2181" s="5">
        <v>38613</v>
      </c>
      <c r="E2181" s="5">
        <v>1080028</v>
      </c>
      <c r="F2181" s="5">
        <v>33127</v>
      </c>
      <c r="G2181" s="5">
        <v>1151768</v>
      </c>
    </row>
    <row r="2182" spans="1:7" x14ac:dyDescent="0.2">
      <c r="A2182">
        <v>772</v>
      </c>
      <c r="B2182" t="s">
        <v>169</v>
      </c>
      <c r="C2182" t="s">
        <v>707</v>
      </c>
      <c r="D2182" s="5">
        <v>2734</v>
      </c>
      <c r="E2182" s="5">
        <v>22530</v>
      </c>
      <c r="F2182" s="5">
        <v>0</v>
      </c>
      <c r="G2182" s="5">
        <v>25263</v>
      </c>
    </row>
    <row r="2183" spans="1:7" x14ac:dyDescent="0.2">
      <c r="A2183">
        <v>772</v>
      </c>
      <c r="B2183" t="s">
        <v>169</v>
      </c>
      <c r="C2183" t="s">
        <v>708</v>
      </c>
      <c r="D2183" s="5">
        <v>18998</v>
      </c>
      <c r="E2183" s="5">
        <v>421539</v>
      </c>
      <c r="F2183" s="5">
        <v>0</v>
      </c>
      <c r="G2183" s="5">
        <v>440538</v>
      </c>
    </row>
    <row r="2184" spans="1:7" x14ac:dyDescent="0.2">
      <c r="A2184">
        <v>772</v>
      </c>
      <c r="B2184" t="s">
        <v>169</v>
      </c>
      <c r="C2184" t="s">
        <v>709</v>
      </c>
      <c r="D2184" s="5">
        <v>22928</v>
      </c>
      <c r="E2184" s="5">
        <v>212091</v>
      </c>
      <c r="F2184" s="5">
        <v>575</v>
      </c>
      <c r="G2184" s="5">
        <v>235594</v>
      </c>
    </row>
    <row r="2185" spans="1:7" x14ac:dyDescent="0.2">
      <c r="A2185">
        <v>772</v>
      </c>
      <c r="B2185" t="s">
        <v>169</v>
      </c>
      <c r="C2185" t="s">
        <v>710</v>
      </c>
      <c r="D2185" s="5">
        <v>12327</v>
      </c>
      <c r="E2185" s="5">
        <v>146800</v>
      </c>
      <c r="F2185" s="5">
        <v>0</v>
      </c>
      <c r="G2185" s="5">
        <v>159128</v>
      </c>
    </row>
    <row r="2186" spans="1:7" x14ac:dyDescent="0.2">
      <c r="A2186">
        <v>772</v>
      </c>
      <c r="B2186" t="s">
        <v>169</v>
      </c>
      <c r="C2186" t="s">
        <v>711</v>
      </c>
      <c r="D2186" s="5">
        <v>951</v>
      </c>
      <c r="E2186" s="5">
        <v>917</v>
      </c>
      <c r="F2186" s="5">
        <v>0</v>
      </c>
      <c r="G2186" s="5">
        <v>1868</v>
      </c>
    </row>
    <row r="2187" spans="1:7" x14ac:dyDescent="0.2">
      <c r="A2187">
        <v>772</v>
      </c>
      <c r="B2187" t="s">
        <v>169</v>
      </c>
      <c r="C2187" t="s">
        <v>712</v>
      </c>
      <c r="D2187" s="5">
        <v>38421</v>
      </c>
      <c r="E2187" s="5">
        <v>495583</v>
      </c>
      <c r="F2187" s="5">
        <v>226</v>
      </c>
      <c r="G2187" s="5">
        <v>534231</v>
      </c>
    </row>
    <row r="2188" spans="1:7" x14ac:dyDescent="0.2">
      <c r="A2188">
        <v>777</v>
      </c>
      <c r="B2188" t="s">
        <v>183</v>
      </c>
      <c r="C2188" t="s">
        <v>700</v>
      </c>
      <c r="D2188" s="5">
        <v>727994</v>
      </c>
      <c r="E2188" s="5">
        <v>789837</v>
      </c>
      <c r="F2188" s="5">
        <v>2122</v>
      </c>
      <c r="G2188" s="5">
        <v>1519954</v>
      </c>
    </row>
    <row r="2189" spans="1:7" x14ac:dyDescent="0.2">
      <c r="A2189">
        <v>777</v>
      </c>
      <c r="B2189" t="s">
        <v>183</v>
      </c>
      <c r="C2189" t="s">
        <v>701</v>
      </c>
      <c r="D2189" s="5">
        <v>16555</v>
      </c>
      <c r="E2189" s="5">
        <v>35319</v>
      </c>
      <c r="F2189" s="5">
        <v>0</v>
      </c>
      <c r="G2189" s="5">
        <v>51874</v>
      </c>
    </row>
    <row r="2190" spans="1:7" x14ac:dyDescent="0.2">
      <c r="A2190">
        <v>777</v>
      </c>
      <c r="B2190" t="s">
        <v>183</v>
      </c>
      <c r="C2190" t="s">
        <v>703</v>
      </c>
      <c r="D2190" s="5">
        <v>5201</v>
      </c>
      <c r="E2190" s="5">
        <v>7739</v>
      </c>
      <c r="F2190" s="5">
        <v>0</v>
      </c>
      <c r="G2190" s="5">
        <v>12940</v>
      </c>
    </row>
    <row r="2191" spans="1:7" x14ac:dyDescent="0.2">
      <c r="A2191">
        <v>777</v>
      </c>
      <c r="B2191" t="s">
        <v>183</v>
      </c>
      <c r="C2191" t="s">
        <v>704</v>
      </c>
      <c r="D2191" s="5">
        <v>46987</v>
      </c>
      <c r="E2191" s="5">
        <v>961546</v>
      </c>
      <c r="F2191" s="5">
        <v>503</v>
      </c>
      <c r="G2191" s="5">
        <v>1009036</v>
      </c>
    </row>
    <row r="2192" spans="1:7" x14ac:dyDescent="0.2">
      <c r="A2192">
        <v>777</v>
      </c>
      <c r="B2192" t="s">
        <v>183</v>
      </c>
      <c r="C2192" t="s">
        <v>705</v>
      </c>
      <c r="D2192" s="5">
        <v>3574</v>
      </c>
      <c r="E2192" s="5">
        <v>146627</v>
      </c>
      <c r="F2192" s="5">
        <v>70091</v>
      </c>
      <c r="G2192" s="5">
        <v>220292</v>
      </c>
    </row>
    <row r="2193" spans="1:7" x14ac:dyDescent="0.2">
      <c r="A2193">
        <v>777</v>
      </c>
      <c r="B2193" t="s">
        <v>183</v>
      </c>
      <c r="C2193" t="s">
        <v>707</v>
      </c>
      <c r="D2193" s="5">
        <v>1752</v>
      </c>
      <c r="E2193" s="5">
        <v>4033</v>
      </c>
      <c r="F2193" s="5">
        <v>0</v>
      </c>
      <c r="G2193" s="5">
        <v>5785</v>
      </c>
    </row>
    <row r="2194" spans="1:7" x14ac:dyDescent="0.2">
      <c r="A2194">
        <v>777</v>
      </c>
      <c r="B2194" t="s">
        <v>183</v>
      </c>
      <c r="C2194" t="s">
        <v>708</v>
      </c>
      <c r="D2194" s="5">
        <v>1750</v>
      </c>
      <c r="E2194" s="5">
        <v>38370</v>
      </c>
      <c r="F2194" s="5">
        <v>221</v>
      </c>
      <c r="G2194" s="5">
        <v>40341</v>
      </c>
    </row>
    <row r="2195" spans="1:7" x14ac:dyDescent="0.2">
      <c r="A2195">
        <v>777</v>
      </c>
      <c r="B2195" t="s">
        <v>183</v>
      </c>
      <c r="C2195" t="s">
        <v>709</v>
      </c>
      <c r="D2195" s="5">
        <v>8252</v>
      </c>
      <c r="E2195" s="5">
        <v>45202</v>
      </c>
      <c r="F2195" s="5">
        <v>876</v>
      </c>
      <c r="G2195" s="5">
        <v>54330</v>
      </c>
    </row>
    <row r="2196" spans="1:7" x14ac:dyDescent="0.2">
      <c r="A2196">
        <v>777</v>
      </c>
      <c r="B2196" t="s">
        <v>183</v>
      </c>
      <c r="C2196" t="s">
        <v>710</v>
      </c>
      <c r="D2196" s="5">
        <v>3453</v>
      </c>
      <c r="E2196" s="5">
        <v>22285</v>
      </c>
      <c r="F2196" s="5">
        <v>0</v>
      </c>
      <c r="G2196" s="5">
        <v>25739</v>
      </c>
    </row>
    <row r="2197" spans="1:7" x14ac:dyDescent="0.2">
      <c r="A2197">
        <v>777</v>
      </c>
      <c r="B2197" t="s">
        <v>183</v>
      </c>
      <c r="C2197" t="s">
        <v>712</v>
      </c>
      <c r="D2197" s="5">
        <v>8706</v>
      </c>
      <c r="E2197" s="5">
        <v>72121</v>
      </c>
      <c r="F2197" s="5">
        <v>6774</v>
      </c>
      <c r="G2197" s="5">
        <v>87601</v>
      </c>
    </row>
    <row r="2198" spans="1:7" x14ac:dyDescent="0.2">
      <c r="A2198">
        <v>779</v>
      </c>
      <c r="B2198" t="s">
        <v>187</v>
      </c>
      <c r="C2198" t="s">
        <v>700</v>
      </c>
      <c r="D2198" s="5">
        <v>96800</v>
      </c>
      <c r="E2198" s="5">
        <v>305567</v>
      </c>
      <c r="F2198" s="5">
        <v>38073</v>
      </c>
      <c r="G2198" s="5">
        <v>440439</v>
      </c>
    </row>
    <row r="2199" spans="1:7" x14ac:dyDescent="0.2">
      <c r="A2199">
        <v>779</v>
      </c>
      <c r="B2199" t="s">
        <v>187</v>
      </c>
      <c r="C2199" t="s">
        <v>701</v>
      </c>
      <c r="D2199" s="5">
        <v>12605</v>
      </c>
      <c r="E2199" s="5">
        <v>17869</v>
      </c>
      <c r="F2199" s="5">
        <v>0</v>
      </c>
      <c r="G2199" s="5">
        <v>30474</v>
      </c>
    </row>
    <row r="2200" spans="1:7" x14ac:dyDescent="0.2">
      <c r="A2200">
        <v>779</v>
      </c>
      <c r="B2200" t="s">
        <v>187</v>
      </c>
      <c r="C2200" t="s">
        <v>703</v>
      </c>
      <c r="D2200" s="5">
        <v>6100</v>
      </c>
      <c r="E2200" s="5">
        <v>5247</v>
      </c>
      <c r="F2200" s="5">
        <v>0</v>
      </c>
      <c r="G2200" s="5">
        <v>11347</v>
      </c>
    </row>
    <row r="2201" spans="1:7" x14ac:dyDescent="0.2">
      <c r="A2201">
        <v>779</v>
      </c>
      <c r="B2201" t="s">
        <v>187</v>
      </c>
      <c r="C2201" t="s">
        <v>704</v>
      </c>
      <c r="D2201" s="5">
        <v>48829</v>
      </c>
      <c r="E2201" s="5">
        <v>577750</v>
      </c>
      <c r="F2201" s="5">
        <v>0</v>
      </c>
      <c r="G2201" s="5">
        <v>626579</v>
      </c>
    </row>
    <row r="2202" spans="1:7" x14ac:dyDescent="0.2">
      <c r="A2202">
        <v>779</v>
      </c>
      <c r="B2202" t="s">
        <v>187</v>
      </c>
      <c r="C2202" t="s">
        <v>705</v>
      </c>
      <c r="D2202" s="5">
        <v>7073</v>
      </c>
      <c r="E2202" s="5">
        <v>45674</v>
      </c>
      <c r="F2202" s="5">
        <v>1955</v>
      </c>
      <c r="G2202" s="5">
        <v>54702</v>
      </c>
    </row>
    <row r="2203" spans="1:7" x14ac:dyDescent="0.2">
      <c r="A2203">
        <v>779</v>
      </c>
      <c r="B2203" t="s">
        <v>187</v>
      </c>
      <c r="C2203" t="s">
        <v>707</v>
      </c>
      <c r="D2203" s="5">
        <v>435</v>
      </c>
      <c r="E2203" s="5">
        <v>923</v>
      </c>
      <c r="F2203" s="5">
        <v>406</v>
      </c>
      <c r="G2203" s="5">
        <v>1763</v>
      </c>
    </row>
    <row r="2204" spans="1:7" x14ac:dyDescent="0.2">
      <c r="A2204">
        <v>779</v>
      </c>
      <c r="B2204" t="s">
        <v>187</v>
      </c>
      <c r="C2204" t="s">
        <v>708</v>
      </c>
      <c r="D2204" s="5">
        <v>1128</v>
      </c>
      <c r="E2204" s="5">
        <v>14376</v>
      </c>
      <c r="F2204" s="5">
        <v>0</v>
      </c>
      <c r="G2204" s="5">
        <v>15504</v>
      </c>
    </row>
    <row r="2205" spans="1:7" x14ac:dyDescent="0.2">
      <c r="A2205">
        <v>779</v>
      </c>
      <c r="B2205" t="s">
        <v>187</v>
      </c>
      <c r="C2205" t="s">
        <v>709</v>
      </c>
      <c r="D2205" s="5">
        <v>2775</v>
      </c>
      <c r="E2205" s="5">
        <v>17335</v>
      </c>
      <c r="F2205" s="5">
        <v>120</v>
      </c>
      <c r="G2205" s="5">
        <v>20230</v>
      </c>
    </row>
    <row r="2206" spans="1:7" x14ac:dyDescent="0.2">
      <c r="A2206">
        <v>779</v>
      </c>
      <c r="B2206" t="s">
        <v>187</v>
      </c>
      <c r="C2206" t="s">
        <v>710</v>
      </c>
      <c r="D2206" s="5">
        <v>1509</v>
      </c>
      <c r="E2206" s="5">
        <v>8932</v>
      </c>
      <c r="F2206" s="5">
        <v>0</v>
      </c>
      <c r="G2206" s="5">
        <v>10441</v>
      </c>
    </row>
    <row r="2207" spans="1:7" x14ac:dyDescent="0.2">
      <c r="A2207">
        <v>779</v>
      </c>
      <c r="B2207" t="s">
        <v>187</v>
      </c>
      <c r="C2207" t="s">
        <v>712</v>
      </c>
      <c r="D2207" s="5">
        <v>9506</v>
      </c>
      <c r="E2207" s="5">
        <v>86508</v>
      </c>
      <c r="F2207" s="5">
        <v>196</v>
      </c>
      <c r="G2207" s="5">
        <v>96211</v>
      </c>
    </row>
    <row r="2208" spans="1:7" x14ac:dyDescent="0.2">
      <c r="A2208">
        <v>784</v>
      </c>
      <c r="B2208" t="s">
        <v>195</v>
      </c>
      <c r="C2208" t="s">
        <v>700</v>
      </c>
      <c r="D2208" s="5">
        <v>322202</v>
      </c>
      <c r="E2208" s="5">
        <v>418517</v>
      </c>
      <c r="F2208" s="5">
        <v>2046</v>
      </c>
      <c r="G2208" s="5">
        <v>742764</v>
      </c>
    </row>
    <row r="2209" spans="1:7" x14ac:dyDescent="0.2">
      <c r="A2209">
        <v>784</v>
      </c>
      <c r="B2209" t="s">
        <v>195</v>
      </c>
      <c r="C2209" t="s">
        <v>701</v>
      </c>
      <c r="D2209" s="5">
        <v>10794</v>
      </c>
      <c r="E2209" s="5">
        <v>24334</v>
      </c>
      <c r="F2209" s="5">
        <v>0</v>
      </c>
      <c r="G2209" s="5">
        <v>35127</v>
      </c>
    </row>
    <row r="2210" spans="1:7" x14ac:dyDescent="0.2">
      <c r="A2210">
        <v>784</v>
      </c>
      <c r="B2210" t="s">
        <v>195</v>
      </c>
      <c r="C2210" t="s">
        <v>703</v>
      </c>
      <c r="D2210" s="5">
        <v>172</v>
      </c>
      <c r="E2210" s="5">
        <v>9404</v>
      </c>
      <c r="F2210" s="5">
        <v>0</v>
      </c>
      <c r="G2210" s="5">
        <v>9576</v>
      </c>
    </row>
    <row r="2211" spans="1:7" x14ac:dyDescent="0.2">
      <c r="A2211">
        <v>784</v>
      </c>
      <c r="B2211" t="s">
        <v>195</v>
      </c>
      <c r="C2211" t="s">
        <v>704</v>
      </c>
      <c r="D2211" s="5">
        <v>28020</v>
      </c>
      <c r="E2211" s="5">
        <v>441587</v>
      </c>
      <c r="F2211" s="5">
        <v>100</v>
      </c>
      <c r="G2211" s="5">
        <v>469707</v>
      </c>
    </row>
    <row r="2212" spans="1:7" x14ac:dyDescent="0.2">
      <c r="A2212">
        <v>784</v>
      </c>
      <c r="B2212" t="s">
        <v>195</v>
      </c>
      <c r="C2212" t="s">
        <v>705</v>
      </c>
      <c r="D2212" s="5">
        <v>11040</v>
      </c>
      <c r="E2212" s="5">
        <v>105948</v>
      </c>
      <c r="F2212" s="5">
        <v>0</v>
      </c>
      <c r="G2212" s="5">
        <v>116988</v>
      </c>
    </row>
    <row r="2213" spans="1:7" x14ac:dyDescent="0.2">
      <c r="A2213">
        <v>784</v>
      </c>
      <c r="B2213" t="s">
        <v>195</v>
      </c>
      <c r="C2213" t="s">
        <v>707</v>
      </c>
      <c r="D2213" s="5">
        <v>7958</v>
      </c>
      <c r="E2213" s="5">
        <v>12812</v>
      </c>
      <c r="F2213" s="5">
        <v>0</v>
      </c>
      <c r="G2213" s="5">
        <v>20770</v>
      </c>
    </row>
    <row r="2214" spans="1:7" x14ac:dyDescent="0.2">
      <c r="A2214">
        <v>784</v>
      </c>
      <c r="B2214" t="s">
        <v>195</v>
      </c>
      <c r="C2214" t="s">
        <v>708</v>
      </c>
      <c r="D2214" s="5">
        <v>790</v>
      </c>
      <c r="E2214" s="5">
        <v>20904</v>
      </c>
      <c r="F2214" s="5">
        <v>0</v>
      </c>
      <c r="G2214" s="5">
        <v>21694</v>
      </c>
    </row>
    <row r="2215" spans="1:7" x14ac:dyDescent="0.2">
      <c r="A2215">
        <v>784</v>
      </c>
      <c r="B2215" t="s">
        <v>195</v>
      </c>
      <c r="C2215" t="s">
        <v>709</v>
      </c>
      <c r="D2215" s="5">
        <v>39488</v>
      </c>
      <c r="E2215" s="5">
        <v>79651</v>
      </c>
      <c r="F2215" s="5">
        <v>222</v>
      </c>
      <c r="G2215" s="5">
        <v>119362</v>
      </c>
    </row>
    <row r="2216" spans="1:7" x14ac:dyDescent="0.2">
      <c r="A2216">
        <v>784</v>
      </c>
      <c r="B2216" t="s">
        <v>195</v>
      </c>
      <c r="C2216" t="s">
        <v>710</v>
      </c>
      <c r="D2216" s="5">
        <v>4094</v>
      </c>
      <c r="E2216" s="5">
        <v>40024</v>
      </c>
      <c r="F2216" s="5">
        <v>0</v>
      </c>
      <c r="G2216" s="5">
        <v>44118</v>
      </c>
    </row>
    <row r="2217" spans="1:7" x14ac:dyDescent="0.2">
      <c r="A2217">
        <v>784</v>
      </c>
      <c r="B2217" t="s">
        <v>195</v>
      </c>
      <c r="C2217" t="s">
        <v>712</v>
      </c>
      <c r="D2217" s="5">
        <v>6776</v>
      </c>
      <c r="E2217" s="5">
        <v>43030</v>
      </c>
      <c r="F2217" s="5">
        <v>297</v>
      </c>
      <c r="G2217" s="5">
        <v>50103</v>
      </c>
    </row>
    <row r="2218" spans="1:7" x14ac:dyDescent="0.2">
      <c r="A2218">
        <v>785</v>
      </c>
      <c r="B2218" t="s">
        <v>201</v>
      </c>
      <c r="C2218" t="s">
        <v>700</v>
      </c>
      <c r="D2218" s="5">
        <v>127298</v>
      </c>
      <c r="E2218" s="5">
        <v>209702</v>
      </c>
      <c r="F2218" s="5">
        <v>2630</v>
      </c>
      <c r="G2218" s="5">
        <v>339630</v>
      </c>
    </row>
    <row r="2219" spans="1:7" x14ac:dyDescent="0.2">
      <c r="A2219">
        <v>785</v>
      </c>
      <c r="B2219" t="s">
        <v>201</v>
      </c>
      <c r="C2219" t="s">
        <v>701</v>
      </c>
      <c r="D2219" s="5">
        <v>7218</v>
      </c>
      <c r="E2219" s="5">
        <v>10000</v>
      </c>
      <c r="F2219" s="5">
        <v>0</v>
      </c>
      <c r="G2219" s="5">
        <v>17218</v>
      </c>
    </row>
    <row r="2220" spans="1:7" x14ac:dyDescent="0.2">
      <c r="A2220">
        <v>785</v>
      </c>
      <c r="B2220" t="s">
        <v>201</v>
      </c>
      <c r="C2220" t="s">
        <v>703</v>
      </c>
      <c r="D2220" s="5">
        <v>1464</v>
      </c>
      <c r="E2220" s="5">
        <v>7102</v>
      </c>
      <c r="F2220" s="5">
        <v>0</v>
      </c>
      <c r="G2220" s="5">
        <v>8567</v>
      </c>
    </row>
    <row r="2221" spans="1:7" x14ac:dyDescent="0.2">
      <c r="A2221">
        <v>785</v>
      </c>
      <c r="B2221" t="s">
        <v>201</v>
      </c>
      <c r="C2221" t="s">
        <v>704</v>
      </c>
      <c r="D2221" s="5">
        <v>20750</v>
      </c>
      <c r="E2221" s="5">
        <v>243337</v>
      </c>
      <c r="F2221" s="5">
        <v>2141</v>
      </c>
      <c r="G2221" s="5">
        <v>266228</v>
      </c>
    </row>
    <row r="2222" spans="1:7" x14ac:dyDescent="0.2">
      <c r="A2222">
        <v>785</v>
      </c>
      <c r="B2222" t="s">
        <v>201</v>
      </c>
      <c r="C2222" t="s">
        <v>705</v>
      </c>
      <c r="D2222" s="5">
        <v>2508</v>
      </c>
      <c r="E2222" s="5">
        <v>15450</v>
      </c>
      <c r="F2222" s="5">
        <v>0</v>
      </c>
      <c r="G2222" s="5">
        <v>17958</v>
      </c>
    </row>
    <row r="2223" spans="1:7" x14ac:dyDescent="0.2">
      <c r="A2223">
        <v>785</v>
      </c>
      <c r="B2223" t="s">
        <v>201</v>
      </c>
      <c r="C2223" t="s">
        <v>707</v>
      </c>
      <c r="D2223" s="5">
        <v>1068</v>
      </c>
      <c r="E2223" s="5">
        <v>1322</v>
      </c>
      <c r="F2223" s="5">
        <v>343</v>
      </c>
      <c r="G2223" s="5">
        <v>2733</v>
      </c>
    </row>
    <row r="2224" spans="1:7" x14ac:dyDescent="0.2">
      <c r="A2224">
        <v>785</v>
      </c>
      <c r="B2224" t="s">
        <v>201</v>
      </c>
      <c r="C2224" t="s">
        <v>708</v>
      </c>
      <c r="D2224" s="5">
        <v>423</v>
      </c>
      <c r="E2224" s="5">
        <v>30920</v>
      </c>
      <c r="F2224" s="5">
        <v>0</v>
      </c>
      <c r="G2224" s="5">
        <v>31343</v>
      </c>
    </row>
    <row r="2225" spans="1:7" x14ac:dyDescent="0.2">
      <c r="A2225">
        <v>785</v>
      </c>
      <c r="B2225" t="s">
        <v>201</v>
      </c>
      <c r="C2225" t="s">
        <v>709</v>
      </c>
      <c r="D2225" s="5">
        <v>4107</v>
      </c>
      <c r="E2225" s="5">
        <v>13186</v>
      </c>
      <c r="F2225" s="5">
        <v>25</v>
      </c>
      <c r="G2225" s="5">
        <v>17318</v>
      </c>
    </row>
    <row r="2226" spans="1:7" x14ac:dyDescent="0.2">
      <c r="A2226">
        <v>785</v>
      </c>
      <c r="B2226" t="s">
        <v>201</v>
      </c>
      <c r="C2226" t="s">
        <v>710</v>
      </c>
      <c r="D2226" s="5">
        <v>2000</v>
      </c>
      <c r="E2226" s="5">
        <v>20144</v>
      </c>
      <c r="F2226" s="5">
        <v>0</v>
      </c>
      <c r="G2226" s="5">
        <v>22144</v>
      </c>
    </row>
    <row r="2227" spans="1:7" x14ac:dyDescent="0.2">
      <c r="A2227">
        <v>785</v>
      </c>
      <c r="B2227" t="s">
        <v>201</v>
      </c>
      <c r="C2227" t="s">
        <v>712</v>
      </c>
      <c r="D2227" s="5">
        <v>5759</v>
      </c>
      <c r="E2227" s="5">
        <v>58203</v>
      </c>
      <c r="F2227" s="5">
        <v>0</v>
      </c>
      <c r="G2227" s="5">
        <v>63962</v>
      </c>
    </row>
    <row r="2228" spans="1:7" x14ac:dyDescent="0.2">
      <c r="A2228">
        <v>786</v>
      </c>
      <c r="B2228" s="9" t="s">
        <v>309</v>
      </c>
      <c r="C2228" t="s">
        <v>700</v>
      </c>
      <c r="D2228" s="5">
        <v>152124</v>
      </c>
      <c r="E2228" s="5">
        <v>140994</v>
      </c>
      <c r="F2228" s="5">
        <v>11422</v>
      </c>
      <c r="G2228" s="5">
        <v>304539</v>
      </c>
    </row>
    <row r="2229" spans="1:7" x14ac:dyDescent="0.2">
      <c r="A2229">
        <v>786</v>
      </c>
      <c r="B2229" s="9" t="s">
        <v>309</v>
      </c>
      <c r="C2229" t="s">
        <v>701</v>
      </c>
      <c r="D2229" s="5">
        <v>6055</v>
      </c>
      <c r="E2229" s="5">
        <v>1501</v>
      </c>
      <c r="F2229" s="5">
        <v>0</v>
      </c>
      <c r="G2229" s="5">
        <v>7556</v>
      </c>
    </row>
    <row r="2230" spans="1:7" x14ac:dyDescent="0.2">
      <c r="A2230">
        <v>786</v>
      </c>
      <c r="B2230" s="9" t="s">
        <v>309</v>
      </c>
      <c r="C2230" t="s">
        <v>702</v>
      </c>
      <c r="D2230" s="5">
        <v>0</v>
      </c>
      <c r="E2230" s="5">
        <v>3670</v>
      </c>
      <c r="F2230" s="5">
        <v>0</v>
      </c>
      <c r="G2230" s="5">
        <v>3670</v>
      </c>
    </row>
    <row r="2231" spans="1:7" x14ac:dyDescent="0.2">
      <c r="A2231">
        <v>786</v>
      </c>
      <c r="B2231" s="9" t="s">
        <v>309</v>
      </c>
      <c r="C2231" t="s">
        <v>703</v>
      </c>
      <c r="D2231" s="5">
        <v>500</v>
      </c>
      <c r="E2231" s="5">
        <v>842</v>
      </c>
      <c r="F2231" s="5">
        <v>0</v>
      </c>
      <c r="G2231" s="5">
        <v>1343</v>
      </c>
    </row>
    <row r="2232" spans="1:7" x14ac:dyDescent="0.2">
      <c r="A2232">
        <v>786</v>
      </c>
      <c r="B2232" s="9" t="s">
        <v>309</v>
      </c>
      <c r="C2232" t="s">
        <v>704</v>
      </c>
      <c r="D2232" s="5">
        <v>17423</v>
      </c>
      <c r="E2232" s="5">
        <v>23697</v>
      </c>
      <c r="F2232" s="5">
        <v>0</v>
      </c>
      <c r="G2232" s="5">
        <v>41120</v>
      </c>
    </row>
    <row r="2233" spans="1:7" x14ac:dyDescent="0.2">
      <c r="A2233">
        <v>786</v>
      </c>
      <c r="B2233" s="9" t="s">
        <v>309</v>
      </c>
      <c r="C2233" t="s">
        <v>705</v>
      </c>
      <c r="D2233" s="5">
        <v>3050</v>
      </c>
      <c r="E2233" s="5">
        <v>16470</v>
      </c>
      <c r="F2233" s="5">
        <v>0</v>
      </c>
      <c r="G2233" s="5">
        <v>19521</v>
      </c>
    </row>
    <row r="2234" spans="1:7" x14ac:dyDescent="0.2">
      <c r="A2234">
        <v>786</v>
      </c>
      <c r="B2234" s="9" t="s">
        <v>309</v>
      </c>
      <c r="C2234" t="s">
        <v>707</v>
      </c>
      <c r="D2234" s="5">
        <v>397</v>
      </c>
      <c r="E2234" s="5">
        <v>175</v>
      </c>
      <c r="F2234" s="5">
        <v>696</v>
      </c>
      <c r="G2234" s="5">
        <v>1269</v>
      </c>
    </row>
    <row r="2235" spans="1:7" x14ac:dyDescent="0.2">
      <c r="A2235">
        <v>786</v>
      </c>
      <c r="B2235" s="9" t="s">
        <v>309</v>
      </c>
      <c r="C2235" t="s">
        <v>708</v>
      </c>
      <c r="D2235" s="5">
        <v>2668</v>
      </c>
      <c r="E2235" s="5">
        <v>17314</v>
      </c>
      <c r="F2235" s="5">
        <v>0</v>
      </c>
      <c r="G2235" s="5">
        <v>19982</v>
      </c>
    </row>
    <row r="2236" spans="1:7" x14ac:dyDescent="0.2">
      <c r="A2236">
        <v>786</v>
      </c>
      <c r="B2236" s="9" t="s">
        <v>309</v>
      </c>
      <c r="C2236" t="s">
        <v>709</v>
      </c>
      <c r="D2236" s="5">
        <v>5745</v>
      </c>
      <c r="E2236" s="5">
        <v>17648</v>
      </c>
      <c r="F2236" s="5">
        <v>34</v>
      </c>
      <c r="G2236" s="5">
        <v>23427</v>
      </c>
    </row>
    <row r="2237" spans="1:7" x14ac:dyDescent="0.2">
      <c r="A2237">
        <v>786</v>
      </c>
      <c r="B2237" s="9" t="s">
        <v>309</v>
      </c>
      <c r="C2237" t="s">
        <v>710</v>
      </c>
      <c r="D2237" s="5">
        <v>1225</v>
      </c>
      <c r="E2237" s="5">
        <v>9348</v>
      </c>
      <c r="F2237" s="5">
        <v>0</v>
      </c>
      <c r="G2237" s="5">
        <v>10572</v>
      </c>
    </row>
    <row r="2238" spans="1:7" x14ac:dyDescent="0.2">
      <c r="A2238">
        <v>786</v>
      </c>
      <c r="B2238" s="9" t="s">
        <v>309</v>
      </c>
      <c r="C2238" t="s">
        <v>712</v>
      </c>
      <c r="D2238" s="5">
        <v>5904</v>
      </c>
      <c r="E2238" s="5">
        <v>15863</v>
      </c>
      <c r="F2238" s="5">
        <v>56</v>
      </c>
      <c r="G2238" s="5">
        <v>21823</v>
      </c>
    </row>
    <row r="2239" spans="1:7" x14ac:dyDescent="0.2">
      <c r="A2239">
        <v>794</v>
      </c>
      <c r="B2239" t="s">
        <v>251</v>
      </c>
      <c r="C2239" t="s">
        <v>700</v>
      </c>
      <c r="D2239" s="5">
        <v>228640</v>
      </c>
      <c r="E2239" s="5">
        <v>561005</v>
      </c>
      <c r="F2239" s="5">
        <v>7330</v>
      </c>
      <c r="G2239" s="5">
        <v>796975</v>
      </c>
    </row>
    <row r="2240" spans="1:7" x14ac:dyDescent="0.2">
      <c r="A2240">
        <v>794</v>
      </c>
      <c r="B2240" t="s">
        <v>251</v>
      </c>
      <c r="C2240" t="s">
        <v>701</v>
      </c>
      <c r="D2240" s="5">
        <v>18297</v>
      </c>
      <c r="E2240" s="5">
        <v>64937</v>
      </c>
      <c r="F2240" s="5">
        <v>0</v>
      </c>
      <c r="G2240" s="5">
        <v>83234</v>
      </c>
    </row>
    <row r="2241" spans="1:7" x14ac:dyDescent="0.2">
      <c r="A2241">
        <v>794</v>
      </c>
      <c r="B2241" t="s">
        <v>251</v>
      </c>
      <c r="C2241" t="s">
        <v>703</v>
      </c>
      <c r="D2241" s="5">
        <v>2457</v>
      </c>
      <c r="E2241" s="5">
        <v>14452</v>
      </c>
      <c r="F2241" s="5">
        <v>55</v>
      </c>
      <c r="G2241" s="5">
        <v>16964</v>
      </c>
    </row>
    <row r="2242" spans="1:7" x14ac:dyDescent="0.2">
      <c r="A2242">
        <v>794</v>
      </c>
      <c r="B2242" t="s">
        <v>251</v>
      </c>
      <c r="C2242" t="s">
        <v>704</v>
      </c>
      <c r="D2242" s="5">
        <v>54959</v>
      </c>
      <c r="E2242" s="5">
        <v>676114</v>
      </c>
      <c r="F2242" s="5">
        <v>4033</v>
      </c>
      <c r="G2242" s="5">
        <v>735106</v>
      </c>
    </row>
    <row r="2243" spans="1:7" x14ac:dyDescent="0.2">
      <c r="A2243">
        <v>794</v>
      </c>
      <c r="B2243" t="s">
        <v>251</v>
      </c>
      <c r="C2243" t="s">
        <v>705</v>
      </c>
      <c r="D2243" s="5">
        <v>16988</v>
      </c>
      <c r="E2243" s="5">
        <v>974004</v>
      </c>
      <c r="F2243" s="5">
        <v>2023</v>
      </c>
      <c r="G2243" s="5">
        <v>993015</v>
      </c>
    </row>
    <row r="2244" spans="1:7" x14ac:dyDescent="0.2">
      <c r="A2244">
        <v>794</v>
      </c>
      <c r="B2244" t="s">
        <v>251</v>
      </c>
      <c r="C2244" t="s">
        <v>707</v>
      </c>
      <c r="D2244" s="5">
        <v>0</v>
      </c>
      <c r="E2244" s="5">
        <v>10696</v>
      </c>
      <c r="F2244" s="5">
        <v>0</v>
      </c>
      <c r="G2244" s="5">
        <v>10696</v>
      </c>
    </row>
    <row r="2245" spans="1:7" x14ac:dyDescent="0.2">
      <c r="A2245">
        <v>794</v>
      </c>
      <c r="B2245" t="s">
        <v>251</v>
      </c>
      <c r="C2245" t="s">
        <v>708</v>
      </c>
      <c r="D2245" s="5">
        <v>15116</v>
      </c>
      <c r="E2245" s="5">
        <v>75425</v>
      </c>
      <c r="F2245" s="5">
        <v>0</v>
      </c>
      <c r="G2245" s="5">
        <v>90541</v>
      </c>
    </row>
    <row r="2246" spans="1:7" x14ac:dyDescent="0.2">
      <c r="A2246">
        <v>794</v>
      </c>
      <c r="B2246" t="s">
        <v>251</v>
      </c>
      <c r="C2246" t="s">
        <v>709</v>
      </c>
      <c r="D2246" s="5">
        <v>25481</v>
      </c>
      <c r="E2246" s="5">
        <v>266554</v>
      </c>
      <c r="F2246" s="5">
        <v>3116</v>
      </c>
      <c r="G2246" s="5">
        <v>295151</v>
      </c>
    </row>
    <row r="2247" spans="1:7" x14ac:dyDescent="0.2">
      <c r="A2247">
        <v>794</v>
      </c>
      <c r="B2247" t="s">
        <v>251</v>
      </c>
      <c r="C2247" t="s">
        <v>710</v>
      </c>
      <c r="D2247" s="5">
        <v>2398</v>
      </c>
      <c r="E2247" s="5">
        <v>67703</v>
      </c>
      <c r="F2247" s="5">
        <v>0</v>
      </c>
      <c r="G2247" s="5">
        <v>70101</v>
      </c>
    </row>
    <row r="2248" spans="1:7" x14ac:dyDescent="0.2">
      <c r="A2248">
        <v>794</v>
      </c>
      <c r="B2248" t="s">
        <v>251</v>
      </c>
      <c r="C2248" t="s">
        <v>712</v>
      </c>
      <c r="D2248" s="5">
        <v>26191</v>
      </c>
      <c r="E2248" s="5">
        <v>231675</v>
      </c>
      <c r="F2248" s="5">
        <v>0</v>
      </c>
      <c r="G2248" s="5">
        <v>257866</v>
      </c>
    </row>
    <row r="2249" spans="1:7" x14ac:dyDescent="0.2">
      <c r="A2249">
        <v>796</v>
      </c>
      <c r="B2249" t="s">
        <v>257</v>
      </c>
      <c r="C2249" t="s">
        <v>700</v>
      </c>
      <c r="D2249" s="5">
        <v>502869</v>
      </c>
      <c r="E2249" s="5">
        <v>710083</v>
      </c>
      <c r="F2249" s="5">
        <v>14603</v>
      </c>
      <c r="G2249" s="5">
        <v>1227554</v>
      </c>
    </row>
    <row r="2250" spans="1:7" x14ac:dyDescent="0.2">
      <c r="A2250">
        <v>796</v>
      </c>
      <c r="B2250" t="s">
        <v>257</v>
      </c>
      <c r="C2250" t="s">
        <v>701</v>
      </c>
      <c r="D2250" s="5">
        <v>43130</v>
      </c>
      <c r="E2250" s="5">
        <v>84075</v>
      </c>
      <c r="F2250" s="5">
        <v>318</v>
      </c>
      <c r="G2250" s="5">
        <v>127523</v>
      </c>
    </row>
    <row r="2251" spans="1:7" x14ac:dyDescent="0.2">
      <c r="A2251">
        <v>796</v>
      </c>
      <c r="B2251" t="s">
        <v>257</v>
      </c>
      <c r="C2251" t="s">
        <v>703</v>
      </c>
      <c r="D2251" s="5">
        <v>11132</v>
      </c>
      <c r="E2251" s="5">
        <v>44621</v>
      </c>
      <c r="F2251" s="5">
        <v>463</v>
      </c>
      <c r="G2251" s="5">
        <v>56216</v>
      </c>
    </row>
    <row r="2252" spans="1:7" x14ac:dyDescent="0.2">
      <c r="A2252">
        <v>796</v>
      </c>
      <c r="B2252" t="s">
        <v>257</v>
      </c>
      <c r="C2252" t="s">
        <v>704</v>
      </c>
      <c r="D2252" s="5">
        <v>58224</v>
      </c>
      <c r="E2252" s="5">
        <v>1208135</v>
      </c>
      <c r="F2252" s="5">
        <v>1133</v>
      </c>
      <c r="G2252" s="5">
        <v>1267492</v>
      </c>
    </row>
    <row r="2253" spans="1:7" x14ac:dyDescent="0.2">
      <c r="A2253">
        <v>796</v>
      </c>
      <c r="B2253" t="s">
        <v>257</v>
      </c>
      <c r="C2253" t="s">
        <v>705</v>
      </c>
      <c r="D2253" s="5">
        <v>37317</v>
      </c>
      <c r="E2253" s="5">
        <v>494187</v>
      </c>
      <c r="F2253" s="5">
        <v>3390</v>
      </c>
      <c r="G2253" s="5">
        <v>534895</v>
      </c>
    </row>
    <row r="2254" spans="1:7" x14ac:dyDescent="0.2">
      <c r="A2254">
        <v>796</v>
      </c>
      <c r="B2254" t="s">
        <v>257</v>
      </c>
      <c r="C2254" t="s">
        <v>707</v>
      </c>
      <c r="D2254" s="5">
        <v>7498</v>
      </c>
      <c r="E2254" s="5">
        <v>10304</v>
      </c>
      <c r="F2254" s="5">
        <v>0</v>
      </c>
      <c r="G2254" s="5">
        <v>17802</v>
      </c>
    </row>
    <row r="2255" spans="1:7" x14ac:dyDescent="0.2">
      <c r="A2255">
        <v>796</v>
      </c>
      <c r="B2255" t="s">
        <v>257</v>
      </c>
      <c r="C2255" t="s">
        <v>708</v>
      </c>
      <c r="D2255" s="5">
        <v>9496</v>
      </c>
      <c r="E2255" s="5">
        <v>191673</v>
      </c>
      <c r="F2255" s="5">
        <v>0</v>
      </c>
      <c r="G2255" s="5">
        <v>201168</v>
      </c>
    </row>
    <row r="2256" spans="1:7" x14ac:dyDescent="0.2">
      <c r="A2256">
        <v>796</v>
      </c>
      <c r="B2256" t="s">
        <v>257</v>
      </c>
      <c r="C2256" t="s">
        <v>709</v>
      </c>
      <c r="D2256" s="5">
        <v>45075</v>
      </c>
      <c r="E2256" s="5">
        <v>302536</v>
      </c>
      <c r="F2256" s="5">
        <v>4885</v>
      </c>
      <c r="G2256" s="5">
        <v>352496</v>
      </c>
    </row>
    <row r="2257" spans="1:7" x14ac:dyDescent="0.2">
      <c r="A2257">
        <v>796</v>
      </c>
      <c r="B2257" t="s">
        <v>257</v>
      </c>
      <c r="C2257" t="s">
        <v>710</v>
      </c>
      <c r="D2257" s="5">
        <v>2516</v>
      </c>
      <c r="E2257" s="5">
        <v>109295</v>
      </c>
      <c r="F2257" s="5">
        <v>0</v>
      </c>
      <c r="G2257" s="5">
        <v>111812</v>
      </c>
    </row>
    <row r="2258" spans="1:7" x14ac:dyDescent="0.2">
      <c r="A2258">
        <v>796</v>
      </c>
      <c r="B2258" t="s">
        <v>257</v>
      </c>
      <c r="C2258" t="s">
        <v>711</v>
      </c>
      <c r="D2258" s="5">
        <v>0</v>
      </c>
      <c r="E2258" s="5">
        <v>84</v>
      </c>
      <c r="F2258" s="5">
        <v>0</v>
      </c>
      <c r="G2258" s="5">
        <v>84</v>
      </c>
    </row>
    <row r="2259" spans="1:7" x14ac:dyDescent="0.2">
      <c r="A2259">
        <v>796</v>
      </c>
      <c r="B2259" t="s">
        <v>257</v>
      </c>
      <c r="C2259" t="s">
        <v>712</v>
      </c>
      <c r="D2259" s="5">
        <v>52713</v>
      </c>
      <c r="E2259" s="5">
        <v>293561</v>
      </c>
      <c r="F2259" s="5">
        <v>1287</v>
      </c>
      <c r="G2259" s="5">
        <v>347560</v>
      </c>
    </row>
    <row r="2260" spans="1:7" x14ac:dyDescent="0.2">
      <c r="A2260">
        <v>797</v>
      </c>
      <c r="B2260" t="s">
        <v>261</v>
      </c>
      <c r="C2260" t="s">
        <v>700</v>
      </c>
      <c r="D2260" s="5">
        <v>667803</v>
      </c>
      <c r="E2260" s="5">
        <v>633708</v>
      </c>
      <c r="F2260" s="5">
        <v>37613</v>
      </c>
      <c r="G2260" s="5">
        <v>1339124</v>
      </c>
    </row>
    <row r="2261" spans="1:7" x14ac:dyDescent="0.2">
      <c r="A2261">
        <v>797</v>
      </c>
      <c r="B2261" t="s">
        <v>261</v>
      </c>
      <c r="C2261" t="s">
        <v>701</v>
      </c>
      <c r="D2261" s="5">
        <v>24602</v>
      </c>
      <c r="E2261" s="5">
        <v>28381</v>
      </c>
      <c r="F2261" s="5">
        <v>0</v>
      </c>
      <c r="G2261" s="5">
        <v>52982</v>
      </c>
    </row>
    <row r="2262" spans="1:7" x14ac:dyDescent="0.2">
      <c r="A2262">
        <v>797</v>
      </c>
      <c r="B2262" t="s">
        <v>261</v>
      </c>
      <c r="C2262" t="s">
        <v>703</v>
      </c>
      <c r="D2262" s="5">
        <v>3230</v>
      </c>
      <c r="E2262" s="5">
        <v>5810</v>
      </c>
      <c r="F2262" s="5">
        <v>0</v>
      </c>
      <c r="G2262" s="5">
        <v>9040</v>
      </c>
    </row>
    <row r="2263" spans="1:7" x14ac:dyDescent="0.2">
      <c r="A2263">
        <v>797</v>
      </c>
      <c r="B2263" t="s">
        <v>261</v>
      </c>
      <c r="C2263" t="s">
        <v>704</v>
      </c>
      <c r="D2263" s="5">
        <v>140689</v>
      </c>
      <c r="E2263" s="5">
        <v>753208</v>
      </c>
      <c r="F2263" s="5">
        <v>7768</v>
      </c>
      <c r="G2263" s="5">
        <v>901665</v>
      </c>
    </row>
    <row r="2264" spans="1:7" x14ac:dyDescent="0.2">
      <c r="A2264">
        <v>797</v>
      </c>
      <c r="B2264" t="s">
        <v>261</v>
      </c>
      <c r="C2264" t="s">
        <v>705</v>
      </c>
      <c r="D2264" s="5">
        <v>78987</v>
      </c>
      <c r="E2264" s="5">
        <v>126208</v>
      </c>
      <c r="F2264" s="5">
        <v>7187</v>
      </c>
      <c r="G2264" s="5">
        <v>212381</v>
      </c>
    </row>
    <row r="2265" spans="1:7" x14ac:dyDescent="0.2">
      <c r="A2265">
        <v>797</v>
      </c>
      <c r="B2265" t="s">
        <v>261</v>
      </c>
      <c r="C2265" t="s">
        <v>707</v>
      </c>
      <c r="D2265" s="5">
        <v>1134</v>
      </c>
      <c r="E2265" s="5">
        <v>4636</v>
      </c>
      <c r="F2265" s="5">
        <v>0</v>
      </c>
      <c r="G2265" s="5">
        <v>5770</v>
      </c>
    </row>
    <row r="2266" spans="1:7" x14ac:dyDescent="0.2">
      <c r="A2266">
        <v>797</v>
      </c>
      <c r="B2266" t="s">
        <v>261</v>
      </c>
      <c r="C2266" t="s">
        <v>708</v>
      </c>
      <c r="D2266" s="5">
        <v>992</v>
      </c>
      <c r="E2266" s="5">
        <v>39461</v>
      </c>
      <c r="F2266" s="5">
        <v>0</v>
      </c>
      <c r="G2266" s="5">
        <v>40453</v>
      </c>
    </row>
    <row r="2267" spans="1:7" x14ac:dyDescent="0.2">
      <c r="A2267">
        <v>797</v>
      </c>
      <c r="B2267" t="s">
        <v>261</v>
      </c>
      <c r="C2267" t="s">
        <v>709</v>
      </c>
      <c r="D2267" s="5">
        <v>7032</v>
      </c>
      <c r="E2267" s="5">
        <v>47834</v>
      </c>
      <c r="F2267" s="5">
        <v>27674</v>
      </c>
      <c r="G2267" s="5">
        <v>82539</v>
      </c>
    </row>
    <row r="2268" spans="1:7" x14ac:dyDescent="0.2">
      <c r="A2268">
        <v>797</v>
      </c>
      <c r="B2268" t="s">
        <v>261</v>
      </c>
      <c r="C2268" t="s">
        <v>710</v>
      </c>
      <c r="D2268" s="5">
        <v>983</v>
      </c>
      <c r="E2268" s="5">
        <v>21590</v>
      </c>
      <c r="F2268" s="5">
        <v>0</v>
      </c>
      <c r="G2268" s="5">
        <v>22573</v>
      </c>
    </row>
    <row r="2269" spans="1:7" x14ac:dyDescent="0.2">
      <c r="A2269">
        <v>797</v>
      </c>
      <c r="B2269" t="s">
        <v>261</v>
      </c>
      <c r="C2269" t="s">
        <v>712</v>
      </c>
      <c r="D2269" s="5">
        <v>16058</v>
      </c>
      <c r="E2269" s="5">
        <v>63834</v>
      </c>
      <c r="F2269" s="5">
        <v>1616</v>
      </c>
      <c r="G2269" s="5">
        <v>81508</v>
      </c>
    </row>
    <row r="2270" spans="1:7" x14ac:dyDescent="0.2">
      <c r="A2270">
        <v>798</v>
      </c>
      <c r="B2270" t="s">
        <v>265</v>
      </c>
      <c r="C2270" t="s">
        <v>700</v>
      </c>
      <c r="D2270" s="5">
        <v>514167</v>
      </c>
      <c r="E2270" s="5">
        <v>478651</v>
      </c>
      <c r="F2270" s="5">
        <v>23556</v>
      </c>
      <c r="G2270" s="5">
        <v>1016374</v>
      </c>
    </row>
    <row r="2271" spans="1:7" x14ac:dyDescent="0.2">
      <c r="A2271">
        <v>798</v>
      </c>
      <c r="B2271" t="s">
        <v>265</v>
      </c>
      <c r="C2271" t="s">
        <v>701</v>
      </c>
      <c r="D2271" s="5">
        <v>10056</v>
      </c>
      <c r="E2271" s="5">
        <v>8443</v>
      </c>
      <c r="F2271" s="5">
        <v>0</v>
      </c>
      <c r="G2271" s="5">
        <v>18499</v>
      </c>
    </row>
    <row r="2272" spans="1:7" x14ac:dyDescent="0.2">
      <c r="A2272">
        <v>798</v>
      </c>
      <c r="B2272" t="s">
        <v>265</v>
      </c>
      <c r="C2272" t="s">
        <v>703</v>
      </c>
      <c r="D2272" s="5">
        <v>1925</v>
      </c>
      <c r="E2272" s="5">
        <v>939</v>
      </c>
      <c r="F2272" s="5">
        <v>0</v>
      </c>
      <c r="G2272" s="5">
        <v>2863</v>
      </c>
    </row>
    <row r="2273" spans="1:7" x14ac:dyDescent="0.2">
      <c r="A2273">
        <v>798</v>
      </c>
      <c r="B2273" t="s">
        <v>265</v>
      </c>
      <c r="C2273" t="s">
        <v>704</v>
      </c>
      <c r="D2273" s="5">
        <v>24258</v>
      </c>
      <c r="E2273" s="5">
        <v>100538</v>
      </c>
      <c r="F2273" s="5">
        <v>0</v>
      </c>
      <c r="G2273" s="5">
        <v>124796</v>
      </c>
    </row>
    <row r="2274" spans="1:7" x14ac:dyDescent="0.2">
      <c r="A2274">
        <v>798</v>
      </c>
      <c r="B2274" t="s">
        <v>265</v>
      </c>
      <c r="C2274" t="s">
        <v>705</v>
      </c>
      <c r="D2274" s="5">
        <v>4808</v>
      </c>
      <c r="E2274" s="5">
        <v>28090</v>
      </c>
      <c r="F2274" s="5">
        <v>0</v>
      </c>
      <c r="G2274" s="5">
        <v>32898</v>
      </c>
    </row>
    <row r="2275" spans="1:7" x14ac:dyDescent="0.2">
      <c r="A2275">
        <v>798</v>
      </c>
      <c r="B2275" t="s">
        <v>265</v>
      </c>
      <c r="C2275" t="s">
        <v>707</v>
      </c>
      <c r="D2275" s="5">
        <v>41272</v>
      </c>
      <c r="E2275" s="5">
        <v>2782</v>
      </c>
      <c r="F2275" s="5">
        <v>1095</v>
      </c>
      <c r="G2275" s="5">
        <v>45149</v>
      </c>
    </row>
    <row r="2276" spans="1:7" x14ac:dyDescent="0.2">
      <c r="A2276">
        <v>798</v>
      </c>
      <c r="B2276" t="s">
        <v>265</v>
      </c>
      <c r="C2276" t="s">
        <v>708</v>
      </c>
      <c r="D2276" s="5">
        <v>0</v>
      </c>
      <c r="E2276" s="5">
        <v>7018</v>
      </c>
      <c r="F2276" s="5">
        <v>0</v>
      </c>
      <c r="G2276" s="5">
        <v>7018</v>
      </c>
    </row>
    <row r="2277" spans="1:7" x14ac:dyDescent="0.2">
      <c r="A2277">
        <v>798</v>
      </c>
      <c r="B2277" t="s">
        <v>265</v>
      </c>
      <c r="C2277" t="s">
        <v>709</v>
      </c>
      <c r="D2277" s="5">
        <v>9973</v>
      </c>
      <c r="E2277" s="5">
        <v>16799</v>
      </c>
      <c r="F2277" s="5">
        <v>337</v>
      </c>
      <c r="G2277" s="5">
        <v>27109</v>
      </c>
    </row>
    <row r="2278" spans="1:7" x14ac:dyDescent="0.2">
      <c r="A2278">
        <v>798</v>
      </c>
      <c r="B2278" t="s">
        <v>265</v>
      </c>
      <c r="C2278" t="s">
        <v>710</v>
      </c>
      <c r="D2278" s="5">
        <v>3906</v>
      </c>
      <c r="E2278" s="5">
        <v>27637</v>
      </c>
      <c r="F2278" s="5">
        <v>0</v>
      </c>
      <c r="G2278" s="5">
        <v>31543</v>
      </c>
    </row>
    <row r="2279" spans="1:7" x14ac:dyDescent="0.2">
      <c r="A2279">
        <v>798</v>
      </c>
      <c r="B2279" t="s">
        <v>265</v>
      </c>
      <c r="C2279" t="s">
        <v>712</v>
      </c>
      <c r="D2279" s="5">
        <v>9889</v>
      </c>
      <c r="E2279" s="5">
        <v>15832</v>
      </c>
      <c r="F2279" s="5">
        <v>0</v>
      </c>
      <c r="G2279" s="5">
        <v>25721</v>
      </c>
    </row>
    <row r="2280" spans="1:7" x14ac:dyDescent="0.2">
      <c r="A2280">
        <v>809</v>
      </c>
      <c r="B2280" t="s">
        <v>339</v>
      </c>
      <c r="C2280" t="s">
        <v>700</v>
      </c>
      <c r="D2280" s="5">
        <v>140195</v>
      </c>
      <c r="E2280" s="5">
        <v>346887</v>
      </c>
      <c r="F2280" s="5">
        <v>3499</v>
      </c>
      <c r="G2280" s="5">
        <v>490581</v>
      </c>
    </row>
    <row r="2281" spans="1:7" x14ac:dyDescent="0.2">
      <c r="A2281">
        <v>809</v>
      </c>
      <c r="B2281" t="s">
        <v>339</v>
      </c>
      <c r="C2281" t="s">
        <v>701</v>
      </c>
      <c r="D2281" s="5">
        <v>9675</v>
      </c>
      <c r="E2281" s="5">
        <v>22412</v>
      </c>
      <c r="F2281" s="5">
        <v>299</v>
      </c>
      <c r="G2281" s="5">
        <v>32387</v>
      </c>
    </row>
    <row r="2282" spans="1:7" x14ac:dyDescent="0.2">
      <c r="A2282">
        <v>809</v>
      </c>
      <c r="B2282" t="s">
        <v>339</v>
      </c>
      <c r="C2282" t="s">
        <v>703</v>
      </c>
      <c r="D2282" s="5">
        <v>2910</v>
      </c>
      <c r="E2282" s="5">
        <v>5036</v>
      </c>
      <c r="F2282" s="5">
        <v>0</v>
      </c>
      <c r="G2282" s="5">
        <v>7946</v>
      </c>
    </row>
    <row r="2283" spans="1:7" x14ac:dyDescent="0.2">
      <c r="A2283">
        <v>809</v>
      </c>
      <c r="B2283" t="s">
        <v>339</v>
      </c>
      <c r="C2283" t="s">
        <v>704</v>
      </c>
      <c r="D2283" s="5">
        <v>57037</v>
      </c>
      <c r="E2283" s="5">
        <v>208859</v>
      </c>
      <c r="F2283" s="5">
        <v>67</v>
      </c>
      <c r="G2283" s="5">
        <v>265964</v>
      </c>
    </row>
    <row r="2284" spans="1:7" x14ac:dyDescent="0.2">
      <c r="A2284">
        <v>809</v>
      </c>
      <c r="B2284" t="s">
        <v>339</v>
      </c>
      <c r="C2284" t="s">
        <v>705</v>
      </c>
      <c r="D2284" s="5">
        <v>5801</v>
      </c>
      <c r="E2284" s="5">
        <v>45291</v>
      </c>
      <c r="F2284" s="5">
        <v>0</v>
      </c>
      <c r="G2284" s="5">
        <v>51093</v>
      </c>
    </row>
    <row r="2285" spans="1:7" x14ac:dyDescent="0.2">
      <c r="A2285">
        <v>809</v>
      </c>
      <c r="B2285" t="s">
        <v>339</v>
      </c>
      <c r="C2285" t="s">
        <v>707</v>
      </c>
      <c r="D2285" s="5">
        <v>21125</v>
      </c>
      <c r="E2285" s="5">
        <v>8255</v>
      </c>
      <c r="F2285" s="5">
        <v>269</v>
      </c>
      <c r="G2285" s="5">
        <v>29649</v>
      </c>
    </row>
    <row r="2286" spans="1:7" x14ac:dyDescent="0.2">
      <c r="A2286">
        <v>809</v>
      </c>
      <c r="B2286" t="s">
        <v>339</v>
      </c>
      <c r="C2286" t="s">
        <v>708</v>
      </c>
      <c r="D2286" s="5">
        <v>944</v>
      </c>
      <c r="E2286" s="5">
        <v>8998</v>
      </c>
      <c r="F2286" s="5">
        <v>0</v>
      </c>
      <c r="G2286" s="5">
        <v>9942</v>
      </c>
    </row>
    <row r="2287" spans="1:7" x14ac:dyDescent="0.2">
      <c r="A2287">
        <v>809</v>
      </c>
      <c r="B2287" t="s">
        <v>339</v>
      </c>
      <c r="C2287" t="s">
        <v>709</v>
      </c>
      <c r="D2287" s="5">
        <v>2553</v>
      </c>
      <c r="E2287" s="5">
        <v>12351</v>
      </c>
      <c r="F2287" s="5">
        <v>38</v>
      </c>
      <c r="G2287" s="5">
        <v>14942</v>
      </c>
    </row>
    <row r="2288" spans="1:7" x14ac:dyDescent="0.2">
      <c r="A2288">
        <v>809</v>
      </c>
      <c r="B2288" t="s">
        <v>339</v>
      </c>
      <c r="C2288" t="s">
        <v>710</v>
      </c>
      <c r="D2288" s="5">
        <v>661</v>
      </c>
      <c r="E2288" s="5">
        <v>21151</v>
      </c>
      <c r="F2288" s="5">
        <v>0</v>
      </c>
      <c r="G2288" s="5">
        <v>21812</v>
      </c>
    </row>
    <row r="2289" spans="1:7" x14ac:dyDescent="0.2">
      <c r="A2289">
        <v>809</v>
      </c>
      <c r="B2289" t="s">
        <v>339</v>
      </c>
      <c r="C2289" t="s">
        <v>712</v>
      </c>
      <c r="D2289" s="5">
        <v>7077</v>
      </c>
      <c r="E2289" s="5">
        <v>50225</v>
      </c>
      <c r="F2289" s="5">
        <v>0</v>
      </c>
      <c r="G2289" s="5">
        <v>57302</v>
      </c>
    </row>
    <row r="2290" spans="1:7" x14ac:dyDescent="0.2">
      <c r="A2290">
        <v>815</v>
      </c>
      <c r="B2290" s="9" t="s">
        <v>309</v>
      </c>
      <c r="C2290" t="s">
        <v>700</v>
      </c>
      <c r="D2290" s="5">
        <v>408953</v>
      </c>
      <c r="E2290" s="5">
        <v>283711</v>
      </c>
      <c r="F2290" s="5">
        <v>5489</v>
      </c>
      <c r="G2290" s="5">
        <v>698153</v>
      </c>
    </row>
    <row r="2291" spans="1:7" x14ac:dyDescent="0.2">
      <c r="A2291">
        <v>815</v>
      </c>
      <c r="B2291" s="9" t="s">
        <v>309</v>
      </c>
      <c r="C2291" t="s">
        <v>701</v>
      </c>
      <c r="D2291" s="5">
        <v>6924</v>
      </c>
      <c r="E2291" s="5">
        <v>6659</v>
      </c>
      <c r="F2291" s="5">
        <v>0</v>
      </c>
      <c r="G2291" s="5">
        <v>13582</v>
      </c>
    </row>
    <row r="2292" spans="1:7" x14ac:dyDescent="0.2">
      <c r="A2292">
        <v>815</v>
      </c>
      <c r="B2292" s="9" t="s">
        <v>309</v>
      </c>
      <c r="C2292" t="s">
        <v>703</v>
      </c>
      <c r="D2292" s="5">
        <v>868</v>
      </c>
      <c r="E2292" s="5">
        <v>3103</v>
      </c>
      <c r="F2292" s="5">
        <v>0</v>
      </c>
      <c r="G2292" s="5">
        <v>3971</v>
      </c>
    </row>
    <row r="2293" spans="1:7" x14ac:dyDescent="0.2">
      <c r="A2293">
        <v>815</v>
      </c>
      <c r="B2293" s="9" t="s">
        <v>309</v>
      </c>
      <c r="C2293" t="s">
        <v>704</v>
      </c>
      <c r="D2293" s="5">
        <v>53156</v>
      </c>
      <c r="E2293" s="5">
        <v>150535</v>
      </c>
      <c r="F2293" s="5">
        <v>0</v>
      </c>
      <c r="G2293" s="5">
        <v>203691</v>
      </c>
    </row>
    <row r="2294" spans="1:7" x14ac:dyDescent="0.2">
      <c r="A2294">
        <v>815</v>
      </c>
      <c r="B2294" s="9" t="s">
        <v>309</v>
      </c>
      <c r="C2294" t="s">
        <v>705</v>
      </c>
      <c r="D2294" s="5">
        <v>2248</v>
      </c>
      <c r="E2294" s="5">
        <v>20715</v>
      </c>
      <c r="F2294" s="5">
        <v>0</v>
      </c>
      <c r="G2294" s="5">
        <v>22964</v>
      </c>
    </row>
    <row r="2295" spans="1:7" x14ac:dyDescent="0.2">
      <c r="A2295">
        <v>815</v>
      </c>
      <c r="B2295" s="9" t="s">
        <v>309</v>
      </c>
      <c r="C2295" t="s">
        <v>707</v>
      </c>
      <c r="D2295" s="5">
        <v>1713</v>
      </c>
      <c r="E2295" s="5">
        <v>296</v>
      </c>
      <c r="F2295" s="5">
        <v>378</v>
      </c>
      <c r="G2295" s="5">
        <v>2387</v>
      </c>
    </row>
    <row r="2296" spans="1:7" x14ac:dyDescent="0.2">
      <c r="A2296">
        <v>815</v>
      </c>
      <c r="B2296" s="9" t="s">
        <v>309</v>
      </c>
      <c r="C2296" t="s">
        <v>708</v>
      </c>
      <c r="D2296" s="5">
        <v>0</v>
      </c>
      <c r="E2296" s="5">
        <v>12847</v>
      </c>
      <c r="F2296" s="5">
        <v>0</v>
      </c>
      <c r="G2296" s="5">
        <v>12847</v>
      </c>
    </row>
    <row r="2297" spans="1:7" x14ac:dyDescent="0.2">
      <c r="A2297">
        <v>815</v>
      </c>
      <c r="B2297" s="9" t="s">
        <v>309</v>
      </c>
      <c r="C2297" t="s">
        <v>709</v>
      </c>
      <c r="D2297" s="5">
        <v>4029</v>
      </c>
      <c r="E2297" s="5">
        <v>7134</v>
      </c>
      <c r="F2297" s="5">
        <v>0</v>
      </c>
      <c r="G2297" s="5">
        <v>11163</v>
      </c>
    </row>
    <row r="2298" spans="1:7" x14ac:dyDescent="0.2">
      <c r="A2298">
        <v>815</v>
      </c>
      <c r="B2298" s="9" t="s">
        <v>309</v>
      </c>
      <c r="C2298" t="s">
        <v>710</v>
      </c>
      <c r="D2298" s="5">
        <v>2890</v>
      </c>
      <c r="E2298" s="5">
        <v>20085</v>
      </c>
      <c r="F2298" s="5">
        <v>0</v>
      </c>
      <c r="G2298" s="5">
        <v>22975</v>
      </c>
    </row>
    <row r="2299" spans="1:7" x14ac:dyDescent="0.2">
      <c r="A2299">
        <v>815</v>
      </c>
      <c r="B2299" s="9" t="s">
        <v>309</v>
      </c>
      <c r="C2299" t="s">
        <v>712</v>
      </c>
      <c r="D2299" s="5">
        <v>5691</v>
      </c>
      <c r="E2299" s="5">
        <v>18173</v>
      </c>
      <c r="F2299" s="5">
        <v>0</v>
      </c>
      <c r="G2299" s="5">
        <v>23863</v>
      </c>
    </row>
    <row r="2300" spans="1:7" x14ac:dyDescent="0.2">
      <c r="A2300">
        <v>820</v>
      </c>
      <c r="B2300" s="9" t="s">
        <v>405</v>
      </c>
      <c r="C2300" t="s">
        <v>700</v>
      </c>
      <c r="D2300" s="5">
        <v>201445</v>
      </c>
      <c r="E2300" s="5">
        <v>180174</v>
      </c>
      <c r="F2300" s="5">
        <v>4075</v>
      </c>
      <c r="G2300" s="5">
        <v>385694</v>
      </c>
    </row>
    <row r="2301" spans="1:7" x14ac:dyDescent="0.2">
      <c r="A2301">
        <v>820</v>
      </c>
      <c r="B2301" s="9" t="s">
        <v>405</v>
      </c>
      <c r="C2301" t="s">
        <v>701</v>
      </c>
      <c r="D2301" s="5">
        <v>5296</v>
      </c>
      <c r="E2301" s="5">
        <v>10752</v>
      </c>
      <c r="F2301" s="5">
        <v>80</v>
      </c>
      <c r="G2301" s="5">
        <v>16127</v>
      </c>
    </row>
    <row r="2302" spans="1:7" x14ac:dyDescent="0.2">
      <c r="A2302">
        <v>820</v>
      </c>
      <c r="B2302" s="9" t="s">
        <v>405</v>
      </c>
      <c r="C2302" t="s">
        <v>703</v>
      </c>
      <c r="D2302" s="5">
        <v>590</v>
      </c>
      <c r="E2302" s="5">
        <v>2075</v>
      </c>
      <c r="F2302" s="5">
        <v>0</v>
      </c>
      <c r="G2302" s="5">
        <v>2665</v>
      </c>
    </row>
    <row r="2303" spans="1:7" x14ac:dyDescent="0.2">
      <c r="A2303">
        <v>820</v>
      </c>
      <c r="B2303" s="9" t="s">
        <v>405</v>
      </c>
      <c r="C2303" t="s">
        <v>704</v>
      </c>
      <c r="D2303" s="5">
        <v>6504</v>
      </c>
      <c r="E2303" s="5">
        <v>173966</v>
      </c>
      <c r="F2303" s="5">
        <v>737</v>
      </c>
      <c r="G2303" s="5">
        <v>181207</v>
      </c>
    </row>
    <row r="2304" spans="1:7" x14ac:dyDescent="0.2">
      <c r="A2304">
        <v>820</v>
      </c>
      <c r="B2304" s="9" t="s">
        <v>405</v>
      </c>
      <c r="C2304" t="s">
        <v>705</v>
      </c>
      <c r="D2304" s="5">
        <v>2331</v>
      </c>
      <c r="E2304" s="5">
        <v>42506</v>
      </c>
      <c r="F2304" s="5">
        <v>129</v>
      </c>
      <c r="G2304" s="5">
        <v>44966</v>
      </c>
    </row>
    <row r="2305" spans="1:7" x14ac:dyDescent="0.2">
      <c r="A2305">
        <v>820</v>
      </c>
      <c r="B2305" s="9" t="s">
        <v>405</v>
      </c>
      <c r="C2305" t="s">
        <v>707</v>
      </c>
      <c r="D2305" s="5">
        <v>4341</v>
      </c>
      <c r="E2305" s="5">
        <v>227</v>
      </c>
      <c r="F2305" s="5">
        <v>0</v>
      </c>
      <c r="G2305" s="5">
        <v>4567</v>
      </c>
    </row>
    <row r="2306" spans="1:7" x14ac:dyDescent="0.2">
      <c r="A2306">
        <v>820</v>
      </c>
      <c r="B2306" s="9" t="s">
        <v>405</v>
      </c>
      <c r="C2306" t="s">
        <v>708</v>
      </c>
      <c r="D2306" s="5">
        <v>373</v>
      </c>
      <c r="E2306" s="5">
        <v>19255</v>
      </c>
      <c r="F2306" s="5">
        <v>0</v>
      </c>
      <c r="G2306" s="5">
        <v>19628</v>
      </c>
    </row>
    <row r="2307" spans="1:7" x14ac:dyDescent="0.2">
      <c r="A2307">
        <v>820</v>
      </c>
      <c r="B2307" s="9" t="s">
        <v>405</v>
      </c>
      <c r="C2307" t="s">
        <v>709</v>
      </c>
      <c r="D2307" s="5">
        <v>1777</v>
      </c>
      <c r="E2307" s="5">
        <v>6472</v>
      </c>
      <c r="F2307" s="5">
        <v>83</v>
      </c>
      <c r="G2307" s="5">
        <v>8333</v>
      </c>
    </row>
    <row r="2308" spans="1:7" x14ac:dyDescent="0.2">
      <c r="A2308">
        <v>820</v>
      </c>
      <c r="B2308" s="9" t="s">
        <v>405</v>
      </c>
      <c r="C2308" t="s">
        <v>710</v>
      </c>
      <c r="D2308" s="5">
        <v>42</v>
      </c>
      <c r="E2308" s="5">
        <v>14566</v>
      </c>
      <c r="F2308" s="5">
        <v>0</v>
      </c>
      <c r="G2308" s="5">
        <v>14608</v>
      </c>
    </row>
    <row r="2309" spans="1:7" x14ac:dyDescent="0.2">
      <c r="A2309">
        <v>820</v>
      </c>
      <c r="B2309" s="9" t="s">
        <v>405</v>
      </c>
      <c r="C2309" t="s">
        <v>712</v>
      </c>
      <c r="D2309" s="5">
        <v>8498</v>
      </c>
      <c r="E2309" s="5">
        <v>99484</v>
      </c>
      <c r="F2309" s="5">
        <v>0</v>
      </c>
      <c r="G2309" s="5">
        <v>107981</v>
      </c>
    </row>
    <row r="2310" spans="1:7" x14ac:dyDescent="0.2">
      <c r="A2310">
        <v>823</v>
      </c>
      <c r="B2310" t="s">
        <v>411</v>
      </c>
      <c r="C2310" t="s">
        <v>700</v>
      </c>
      <c r="D2310" s="5">
        <v>567582</v>
      </c>
      <c r="E2310" s="5">
        <v>456941</v>
      </c>
      <c r="F2310" s="5">
        <v>12038</v>
      </c>
      <c r="G2310" s="5">
        <v>1036561</v>
      </c>
    </row>
    <row r="2311" spans="1:7" x14ac:dyDescent="0.2">
      <c r="A2311">
        <v>823</v>
      </c>
      <c r="B2311" t="s">
        <v>411</v>
      </c>
      <c r="C2311" t="s">
        <v>701</v>
      </c>
      <c r="D2311" s="5">
        <v>14083</v>
      </c>
      <c r="E2311" s="5">
        <v>13868</v>
      </c>
      <c r="F2311" s="5">
        <v>179</v>
      </c>
      <c r="G2311" s="5">
        <v>28130</v>
      </c>
    </row>
    <row r="2312" spans="1:7" x14ac:dyDescent="0.2">
      <c r="A2312">
        <v>823</v>
      </c>
      <c r="B2312" t="s">
        <v>411</v>
      </c>
      <c r="C2312" t="s">
        <v>703</v>
      </c>
      <c r="D2312" s="5">
        <v>500</v>
      </c>
      <c r="E2312" s="5">
        <v>2255</v>
      </c>
      <c r="F2312" s="5">
        <v>0</v>
      </c>
      <c r="G2312" s="5">
        <v>2755</v>
      </c>
    </row>
    <row r="2313" spans="1:7" x14ac:dyDescent="0.2">
      <c r="A2313">
        <v>823</v>
      </c>
      <c r="B2313" t="s">
        <v>411</v>
      </c>
      <c r="C2313" t="s">
        <v>704</v>
      </c>
      <c r="D2313" s="5">
        <v>57903</v>
      </c>
      <c r="E2313" s="5">
        <v>150710</v>
      </c>
      <c r="F2313" s="5">
        <v>3843</v>
      </c>
      <c r="G2313" s="5">
        <v>212456</v>
      </c>
    </row>
    <row r="2314" spans="1:7" x14ac:dyDescent="0.2">
      <c r="A2314">
        <v>823</v>
      </c>
      <c r="B2314" t="s">
        <v>411</v>
      </c>
      <c r="C2314" t="s">
        <v>705</v>
      </c>
      <c r="D2314" s="5">
        <v>16702</v>
      </c>
      <c r="E2314" s="5">
        <v>173969</v>
      </c>
      <c r="F2314" s="5">
        <v>17924</v>
      </c>
      <c r="G2314" s="5">
        <v>208595</v>
      </c>
    </row>
    <row r="2315" spans="1:7" x14ac:dyDescent="0.2">
      <c r="A2315">
        <v>823</v>
      </c>
      <c r="B2315" t="s">
        <v>411</v>
      </c>
      <c r="C2315" t="s">
        <v>707</v>
      </c>
      <c r="D2315" s="5">
        <v>10922</v>
      </c>
      <c r="E2315" s="5">
        <v>34590</v>
      </c>
      <c r="F2315" s="5">
        <v>453</v>
      </c>
      <c r="G2315" s="5">
        <v>45965</v>
      </c>
    </row>
    <row r="2316" spans="1:7" x14ac:dyDescent="0.2">
      <c r="A2316">
        <v>823</v>
      </c>
      <c r="B2316" t="s">
        <v>411</v>
      </c>
      <c r="C2316" t="s">
        <v>708</v>
      </c>
      <c r="D2316" s="5">
        <v>6954</v>
      </c>
      <c r="E2316" s="5">
        <v>20443</v>
      </c>
      <c r="F2316" s="5">
        <v>0</v>
      </c>
      <c r="G2316" s="5">
        <v>27397</v>
      </c>
    </row>
    <row r="2317" spans="1:7" x14ac:dyDescent="0.2">
      <c r="A2317">
        <v>823</v>
      </c>
      <c r="B2317" t="s">
        <v>411</v>
      </c>
      <c r="C2317" t="s">
        <v>709</v>
      </c>
      <c r="D2317" s="5">
        <v>3637</v>
      </c>
      <c r="E2317" s="5">
        <v>18244</v>
      </c>
      <c r="F2317" s="5">
        <v>151</v>
      </c>
      <c r="G2317" s="5">
        <v>22032</v>
      </c>
    </row>
    <row r="2318" spans="1:7" x14ac:dyDescent="0.2">
      <c r="A2318">
        <v>823</v>
      </c>
      <c r="B2318" t="s">
        <v>411</v>
      </c>
      <c r="C2318" t="s">
        <v>710</v>
      </c>
      <c r="D2318" s="5">
        <v>676</v>
      </c>
      <c r="E2318" s="5">
        <v>21229</v>
      </c>
      <c r="F2318" s="5">
        <v>0</v>
      </c>
      <c r="G2318" s="5">
        <v>21906</v>
      </c>
    </row>
    <row r="2319" spans="1:7" x14ac:dyDescent="0.2">
      <c r="A2319">
        <v>823</v>
      </c>
      <c r="B2319" t="s">
        <v>411</v>
      </c>
      <c r="C2319" t="s">
        <v>712</v>
      </c>
      <c r="D2319" s="5">
        <v>8839</v>
      </c>
      <c r="E2319" s="5">
        <v>59393</v>
      </c>
      <c r="F2319" s="5">
        <v>0</v>
      </c>
      <c r="G2319" s="5">
        <v>68232</v>
      </c>
    </row>
    <row r="2320" spans="1:7" x14ac:dyDescent="0.2">
      <c r="A2320">
        <v>824</v>
      </c>
      <c r="B2320" t="s">
        <v>413</v>
      </c>
      <c r="C2320" t="s">
        <v>700</v>
      </c>
      <c r="D2320" s="5">
        <v>670199</v>
      </c>
      <c r="E2320" s="5">
        <v>476917</v>
      </c>
      <c r="F2320" s="5">
        <v>13718</v>
      </c>
      <c r="G2320" s="5">
        <v>1160834</v>
      </c>
    </row>
    <row r="2321" spans="1:7" x14ac:dyDescent="0.2">
      <c r="A2321">
        <v>824</v>
      </c>
      <c r="B2321" t="s">
        <v>413</v>
      </c>
      <c r="C2321" t="s">
        <v>701</v>
      </c>
      <c r="D2321" s="5">
        <v>18905</v>
      </c>
      <c r="E2321" s="5">
        <v>10400</v>
      </c>
      <c r="F2321" s="5">
        <v>0</v>
      </c>
      <c r="G2321" s="5">
        <v>29305</v>
      </c>
    </row>
    <row r="2322" spans="1:7" x14ac:dyDescent="0.2">
      <c r="A2322">
        <v>824</v>
      </c>
      <c r="B2322" t="s">
        <v>413</v>
      </c>
      <c r="C2322" t="s">
        <v>703</v>
      </c>
      <c r="D2322" s="5">
        <v>1366</v>
      </c>
      <c r="E2322" s="5">
        <v>1838</v>
      </c>
      <c r="F2322" s="5">
        <v>0</v>
      </c>
      <c r="G2322" s="5">
        <v>3204</v>
      </c>
    </row>
    <row r="2323" spans="1:7" x14ac:dyDescent="0.2">
      <c r="A2323">
        <v>824</v>
      </c>
      <c r="B2323" t="s">
        <v>413</v>
      </c>
      <c r="C2323" t="s">
        <v>704</v>
      </c>
      <c r="D2323" s="5">
        <v>27736</v>
      </c>
      <c r="E2323" s="5">
        <v>243173</v>
      </c>
      <c r="F2323" s="5">
        <v>1499</v>
      </c>
      <c r="G2323" s="5">
        <v>272408</v>
      </c>
    </row>
    <row r="2324" spans="1:7" x14ac:dyDescent="0.2">
      <c r="A2324">
        <v>824</v>
      </c>
      <c r="B2324" t="s">
        <v>413</v>
      </c>
      <c r="C2324" t="s">
        <v>705</v>
      </c>
      <c r="D2324" s="5">
        <v>9603</v>
      </c>
      <c r="E2324" s="5">
        <v>56769</v>
      </c>
      <c r="F2324" s="5">
        <v>0</v>
      </c>
      <c r="G2324" s="5">
        <v>66373</v>
      </c>
    </row>
    <row r="2325" spans="1:7" x14ac:dyDescent="0.2">
      <c r="A2325">
        <v>824</v>
      </c>
      <c r="B2325" t="s">
        <v>413</v>
      </c>
      <c r="C2325" t="s">
        <v>707</v>
      </c>
      <c r="D2325" s="5">
        <v>40719</v>
      </c>
      <c r="E2325" s="5">
        <v>15836</v>
      </c>
      <c r="F2325" s="5">
        <v>0</v>
      </c>
      <c r="G2325" s="5">
        <v>56554</v>
      </c>
    </row>
    <row r="2326" spans="1:7" x14ac:dyDescent="0.2">
      <c r="A2326">
        <v>824</v>
      </c>
      <c r="B2326" t="s">
        <v>413</v>
      </c>
      <c r="C2326" t="s">
        <v>708</v>
      </c>
      <c r="D2326" s="5">
        <v>82</v>
      </c>
      <c r="E2326" s="5">
        <v>25170</v>
      </c>
      <c r="F2326" s="5">
        <v>0</v>
      </c>
      <c r="G2326" s="5">
        <v>25252</v>
      </c>
    </row>
    <row r="2327" spans="1:7" x14ac:dyDescent="0.2">
      <c r="A2327">
        <v>824</v>
      </c>
      <c r="B2327" t="s">
        <v>413</v>
      </c>
      <c r="C2327" t="s">
        <v>709</v>
      </c>
      <c r="D2327" s="5">
        <v>12321</v>
      </c>
      <c r="E2327" s="5">
        <v>30497</v>
      </c>
      <c r="F2327" s="5">
        <v>8</v>
      </c>
      <c r="G2327" s="5">
        <v>42826</v>
      </c>
    </row>
    <row r="2328" spans="1:7" x14ac:dyDescent="0.2">
      <c r="A2328">
        <v>824</v>
      </c>
      <c r="B2328" t="s">
        <v>413</v>
      </c>
      <c r="C2328" t="s">
        <v>710</v>
      </c>
      <c r="D2328" s="5">
        <v>665</v>
      </c>
      <c r="E2328" s="5">
        <v>31397</v>
      </c>
      <c r="F2328" s="5">
        <v>0</v>
      </c>
      <c r="G2328" s="5">
        <v>32062</v>
      </c>
    </row>
    <row r="2329" spans="1:7" x14ac:dyDescent="0.2">
      <c r="A2329">
        <v>824</v>
      </c>
      <c r="B2329" t="s">
        <v>413</v>
      </c>
      <c r="C2329" t="s">
        <v>711</v>
      </c>
      <c r="D2329" s="5">
        <v>32</v>
      </c>
      <c r="E2329" s="5">
        <v>1080</v>
      </c>
      <c r="F2329" s="5">
        <v>0</v>
      </c>
      <c r="G2329" s="5">
        <v>1112</v>
      </c>
    </row>
    <row r="2330" spans="1:7" x14ac:dyDescent="0.2">
      <c r="A2330">
        <v>824</v>
      </c>
      <c r="B2330" t="s">
        <v>413</v>
      </c>
      <c r="C2330" t="s">
        <v>712</v>
      </c>
      <c r="D2330" s="5">
        <v>11705</v>
      </c>
      <c r="E2330" s="5">
        <v>71591</v>
      </c>
      <c r="F2330" s="5">
        <v>0</v>
      </c>
      <c r="G2330" s="5">
        <v>83296</v>
      </c>
    </row>
    <row r="2331" spans="1:7" x14ac:dyDescent="0.2">
      <c r="A2331">
        <v>826</v>
      </c>
      <c r="B2331" t="s">
        <v>427</v>
      </c>
      <c r="C2331" t="s">
        <v>700</v>
      </c>
      <c r="D2331" s="5">
        <v>362944</v>
      </c>
      <c r="E2331" s="5">
        <v>1393449</v>
      </c>
      <c r="F2331" s="5">
        <v>15934</v>
      </c>
      <c r="G2331" s="5">
        <v>1772327</v>
      </c>
    </row>
    <row r="2332" spans="1:7" x14ac:dyDescent="0.2">
      <c r="A2332">
        <v>826</v>
      </c>
      <c r="B2332" t="s">
        <v>427</v>
      </c>
      <c r="C2332" t="s">
        <v>701</v>
      </c>
      <c r="D2332" s="5">
        <v>16429</v>
      </c>
      <c r="E2332" s="5">
        <v>39939</v>
      </c>
      <c r="F2332" s="5">
        <v>0</v>
      </c>
      <c r="G2332" s="5">
        <v>56368</v>
      </c>
    </row>
    <row r="2333" spans="1:7" x14ac:dyDescent="0.2">
      <c r="A2333">
        <v>826</v>
      </c>
      <c r="B2333" t="s">
        <v>427</v>
      </c>
      <c r="C2333" t="s">
        <v>703</v>
      </c>
      <c r="D2333" s="5">
        <v>394</v>
      </c>
      <c r="E2333" s="5">
        <v>23019</v>
      </c>
      <c r="F2333" s="5">
        <v>0</v>
      </c>
      <c r="G2333" s="5">
        <v>23413</v>
      </c>
    </row>
    <row r="2334" spans="1:7" x14ac:dyDescent="0.2">
      <c r="A2334">
        <v>826</v>
      </c>
      <c r="B2334" t="s">
        <v>427</v>
      </c>
      <c r="C2334" t="s">
        <v>704</v>
      </c>
      <c r="D2334" s="5">
        <v>70103</v>
      </c>
      <c r="E2334" s="5">
        <v>759110</v>
      </c>
      <c r="F2334" s="5">
        <v>2645</v>
      </c>
      <c r="G2334" s="5">
        <v>831858</v>
      </c>
    </row>
    <row r="2335" spans="1:7" x14ac:dyDescent="0.2">
      <c r="A2335">
        <v>826</v>
      </c>
      <c r="B2335" t="s">
        <v>427</v>
      </c>
      <c r="C2335" t="s">
        <v>705</v>
      </c>
      <c r="D2335" s="5">
        <v>10578</v>
      </c>
      <c r="E2335" s="5">
        <v>96252</v>
      </c>
      <c r="F2335" s="5">
        <v>2247</v>
      </c>
      <c r="G2335" s="5">
        <v>109077</v>
      </c>
    </row>
    <row r="2336" spans="1:7" x14ac:dyDescent="0.2">
      <c r="A2336">
        <v>826</v>
      </c>
      <c r="B2336" t="s">
        <v>427</v>
      </c>
      <c r="C2336" t="s">
        <v>707</v>
      </c>
      <c r="D2336" s="5">
        <v>38199</v>
      </c>
      <c r="E2336" s="5">
        <v>14695</v>
      </c>
      <c r="F2336" s="5">
        <v>0</v>
      </c>
      <c r="G2336" s="5">
        <v>52893</v>
      </c>
    </row>
    <row r="2337" spans="1:7" x14ac:dyDescent="0.2">
      <c r="A2337">
        <v>826</v>
      </c>
      <c r="B2337" t="s">
        <v>427</v>
      </c>
      <c r="C2337" t="s">
        <v>708</v>
      </c>
      <c r="D2337" s="5">
        <v>5035</v>
      </c>
      <c r="E2337" s="5">
        <v>47659</v>
      </c>
      <c r="F2337" s="5">
        <v>0</v>
      </c>
      <c r="G2337" s="5">
        <v>52694</v>
      </c>
    </row>
    <row r="2338" spans="1:7" x14ac:dyDescent="0.2">
      <c r="A2338">
        <v>826</v>
      </c>
      <c r="B2338" t="s">
        <v>427</v>
      </c>
      <c r="C2338" t="s">
        <v>709</v>
      </c>
      <c r="D2338" s="5">
        <v>12356</v>
      </c>
      <c r="E2338" s="5">
        <v>65250</v>
      </c>
      <c r="F2338" s="5">
        <v>128</v>
      </c>
      <c r="G2338" s="5">
        <v>77734</v>
      </c>
    </row>
    <row r="2339" spans="1:7" x14ac:dyDescent="0.2">
      <c r="A2339">
        <v>826</v>
      </c>
      <c r="B2339" t="s">
        <v>427</v>
      </c>
      <c r="C2339" t="s">
        <v>710</v>
      </c>
      <c r="D2339" s="5">
        <v>5753</v>
      </c>
      <c r="E2339" s="5">
        <v>31223</v>
      </c>
      <c r="F2339" s="5">
        <v>0</v>
      </c>
      <c r="G2339" s="5">
        <v>36975</v>
      </c>
    </row>
    <row r="2340" spans="1:7" x14ac:dyDescent="0.2">
      <c r="A2340">
        <v>826</v>
      </c>
      <c r="B2340" t="s">
        <v>427</v>
      </c>
      <c r="C2340" t="s">
        <v>712</v>
      </c>
      <c r="D2340" s="5">
        <v>8849</v>
      </c>
      <c r="E2340" s="5">
        <v>122838</v>
      </c>
      <c r="F2340" s="5">
        <v>213</v>
      </c>
      <c r="G2340" s="5">
        <v>131900</v>
      </c>
    </row>
    <row r="2341" spans="1:7" x14ac:dyDescent="0.2">
      <c r="A2341">
        <v>828</v>
      </c>
      <c r="B2341" t="s">
        <v>437</v>
      </c>
      <c r="C2341" t="s">
        <v>700</v>
      </c>
      <c r="D2341" s="5">
        <v>883098</v>
      </c>
      <c r="E2341" s="5">
        <v>1117936</v>
      </c>
      <c r="F2341" s="5">
        <v>17623</v>
      </c>
      <c r="G2341" s="5">
        <v>2018657</v>
      </c>
    </row>
    <row r="2342" spans="1:7" x14ac:dyDescent="0.2">
      <c r="A2342">
        <v>828</v>
      </c>
      <c r="B2342" t="s">
        <v>437</v>
      </c>
      <c r="C2342" t="s">
        <v>701</v>
      </c>
      <c r="D2342" s="5">
        <v>34376</v>
      </c>
      <c r="E2342" s="5">
        <v>72724</v>
      </c>
      <c r="F2342" s="5">
        <v>0</v>
      </c>
      <c r="G2342" s="5">
        <v>107099</v>
      </c>
    </row>
    <row r="2343" spans="1:7" x14ac:dyDescent="0.2">
      <c r="A2343">
        <v>828</v>
      </c>
      <c r="B2343" t="s">
        <v>437</v>
      </c>
      <c r="C2343" t="s">
        <v>703</v>
      </c>
      <c r="D2343" s="5">
        <v>3737</v>
      </c>
      <c r="E2343" s="5">
        <v>20781</v>
      </c>
      <c r="F2343" s="5">
        <v>0</v>
      </c>
      <c r="G2343" s="5">
        <v>24518</v>
      </c>
    </row>
    <row r="2344" spans="1:7" x14ac:dyDescent="0.2">
      <c r="A2344">
        <v>828</v>
      </c>
      <c r="B2344" t="s">
        <v>437</v>
      </c>
      <c r="C2344" t="s">
        <v>704</v>
      </c>
      <c r="D2344" s="5">
        <v>56305</v>
      </c>
      <c r="E2344" s="5">
        <v>1215998</v>
      </c>
      <c r="F2344" s="5">
        <v>2671</v>
      </c>
      <c r="G2344" s="5">
        <v>1274974</v>
      </c>
    </row>
    <row r="2345" spans="1:7" x14ac:dyDescent="0.2">
      <c r="A2345">
        <v>828</v>
      </c>
      <c r="B2345" t="s">
        <v>437</v>
      </c>
      <c r="C2345" t="s">
        <v>705</v>
      </c>
      <c r="D2345" s="5">
        <v>15398</v>
      </c>
      <c r="E2345" s="5">
        <v>329981</v>
      </c>
      <c r="F2345" s="5">
        <v>17838</v>
      </c>
      <c r="G2345" s="5">
        <v>363218</v>
      </c>
    </row>
    <row r="2346" spans="1:7" x14ac:dyDescent="0.2">
      <c r="A2346">
        <v>828</v>
      </c>
      <c r="B2346" t="s">
        <v>437</v>
      </c>
      <c r="C2346" t="s">
        <v>707</v>
      </c>
      <c r="D2346" s="5">
        <v>11337</v>
      </c>
      <c r="E2346" s="5">
        <v>8519</v>
      </c>
      <c r="F2346" s="5">
        <v>428</v>
      </c>
      <c r="G2346" s="5">
        <v>20284</v>
      </c>
    </row>
    <row r="2347" spans="1:7" x14ac:dyDescent="0.2">
      <c r="A2347">
        <v>828</v>
      </c>
      <c r="B2347" t="s">
        <v>437</v>
      </c>
      <c r="C2347" t="s">
        <v>708</v>
      </c>
      <c r="D2347" s="5">
        <v>4138</v>
      </c>
      <c r="E2347" s="5">
        <v>83962</v>
      </c>
      <c r="F2347" s="5">
        <v>0</v>
      </c>
      <c r="G2347" s="5">
        <v>88100</v>
      </c>
    </row>
    <row r="2348" spans="1:7" x14ac:dyDescent="0.2">
      <c r="A2348">
        <v>828</v>
      </c>
      <c r="B2348" t="s">
        <v>437</v>
      </c>
      <c r="C2348" t="s">
        <v>709</v>
      </c>
      <c r="D2348" s="5">
        <v>8121</v>
      </c>
      <c r="E2348" s="5">
        <v>89623</v>
      </c>
      <c r="F2348" s="5">
        <v>4098</v>
      </c>
      <c r="G2348" s="5">
        <v>101843</v>
      </c>
    </row>
    <row r="2349" spans="1:7" x14ac:dyDescent="0.2">
      <c r="A2349">
        <v>828</v>
      </c>
      <c r="B2349" t="s">
        <v>437</v>
      </c>
      <c r="C2349" t="s">
        <v>710</v>
      </c>
      <c r="D2349" s="5">
        <v>2693</v>
      </c>
      <c r="E2349" s="5">
        <v>46658</v>
      </c>
      <c r="F2349" s="5">
        <v>702</v>
      </c>
      <c r="G2349" s="5">
        <v>50053</v>
      </c>
    </row>
    <row r="2350" spans="1:7" x14ac:dyDescent="0.2">
      <c r="A2350">
        <v>828</v>
      </c>
      <c r="B2350" t="s">
        <v>437</v>
      </c>
      <c r="C2350" t="s">
        <v>711</v>
      </c>
      <c r="D2350" s="5">
        <v>2746</v>
      </c>
      <c r="E2350" s="5">
        <v>1590</v>
      </c>
      <c r="F2350" s="5">
        <v>0</v>
      </c>
      <c r="G2350" s="5">
        <v>4336</v>
      </c>
    </row>
    <row r="2351" spans="1:7" x14ac:dyDescent="0.2">
      <c r="A2351">
        <v>828</v>
      </c>
      <c r="B2351" t="s">
        <v>437</v>
      </c>
      <c r="C2351" t="s">
        <v>712</v>
      </c>
      <c r="D2351" s="5">
        <v>16926</v>
      </c>
      <c r="E2351" s="5">
        <v>276742</v>
      </c>
      <c r="F2351" s="5">
        <v>279</v>
      </c>
      <c r="G2351" s="5">
        <v>293947</v>
      </c>
    </row>
    <row r="2352" spans="1:7" x14ac:dyDescent="0.2">
      <c r="A2352">
        <v>840</v>
      </c>
      <c r="B2352" t="s">
        <v>491</v>
      </c>
      <c r="C2352" t="s">
        <v>700</v>
      </c>
      <c r="D2352" s="5">
        <v>433204</v>
      </c>
      <c r="E2352" s="5">
        <v>433586</v>
      </c>
      <c r="F2352" s="5">
        <v>7669</v>
      </c>
      <c r="G2352" s="5">
        <v>874459</v>
      </c>
    </row>
    <row r="2353" spans="1:7" x14ac:dyDescent="0.2">
      <c r="A2353">
        <v>840</v>
      </c>
      <c r="B2353" t="s">
        <v>491</v>
      </c>
      <c r="C2353" t="s">
        <v>701</v>
      </c>
      <c r="D2353" s="5">
        <v>7068</v>
      </c>
      <c r="E2353" s="5">
        <v>8482</v>
      </c>
      <c r="F2353" s="5">
        <v>0</v>
      </c>
      <c r="G2353" s="5">
        <v>15550</v>
      </c>
    </row>
    <row r="2354" spans="1:7" x14ac:dyDescent="0.2">
      <c r="A2354">
        <v>840</v>
      </c>
      <c r="B2354" t="s">
        <v>491</v>
      </c>
      <c r="C2354" t="s">
        <v>703</v>
      </c>
      <c r="D2354" s="5">
        <v>807</v>
      </c>
      <c r="E2354" s="5">
        <v>5317</v>
      </c>
      <c r="F2354" s="5">
        <v>0</v>
      </c>
      <c r="G2354" s="5">
        <v>6125</v>
      </c>
    </row>
    <row r="2355" spans="1:7" x14ac:dyDescent="0.2">
      <c r="A2355">
        <v>840</v>
      </c>
      <c r="B2355" t="s">
        <v>491</v>
      </c>
      <c r="C2355" t="s">
        <v>704</v>
      </c>
      <c r="D2355" s="5">
        <v>36762</v>
      </c>
      <c r="E2355" s="5">
        <v>106382</v>
      </c>
      <c r="F2355" s="5">
        <v>329</v>
      </c>
      <c r="G2355" s="5">
        <v>143473</v>
      </c>
    </row>
    <row r="2356" spans="1:7" x14ac:dyDescent="0.2">
      <c r="A2356">
        <v>840</v>
      </c>
      <c r="B2356" t="s">
        <v>491</v>
      </c>
      <c r="C2356" t="s">
        <v>705</v>
      </c>
      <c r="D2356" s="5">
        <v>3835</v>
      </c>
      <c r="E2356" s="5">
        <v>34706</v>
      </c>
      <c r="F2356" s="5">
        <v>460</v>
      </c>
      <c r="G2356" s="5">
        <v>39000</v>
      </c>
    </row>
    <row r="2357" spans="1:7" x14ac:dyDescent="0.2">
      <c r="A2357">
        <v>840</v>
      </c>
      <c r="B2357" t="s">
        <v>491</v>
      </c>
      <c r="C2357" t="s">
        <v>707</v>
      </c>
      <c r="D2357" s="5">
        <v>5214</v>
      </c>
      <c r="E2357" s="5">
        <v>7835</v>
      </c>
      <c r="F2357" s="5">
        <v>0</v>
      </c>
      <c r="G2357" s="5">
        <v>13049</v>
      </c>
    </row>
    <row r="2358" spans="1:7" x14ac:dyDescent="0.2">
      <c r="A2358">
        <v>840</v>
      </c>
      <c r="B2358" t="s">
        <v>491</v>
      </c>
      <c r="C2358" t="s">
        <v>708</v>
      </c>
      <c r="D2358" s="5">
        <v>505</v>
      </c>
      <c r="E2358" s="5">
        <v>10181</v>
      </c>
      <c r="F2358" s="5">
        <v>0</v>
      </c>
      <c r="G2358" s="5">
        <v>10686</v>
      </c>
    </row>
    <row r="2359" spans="1:7" x14ac:dyDescent="0.2">
      <c r="A2359">
        <v>840</v>
      </c>
      <c r="B2359" t="s">
        <v>491</v>
      </c>
      <c r="C2359" t="s">
        <v>709</v>
      </c>
      <c r="D2359" s="5">
        <v>10089</v>
      </c>
      <c r="E2359" s="5">
        <v>25010</v>
      </c>
      <c r="F2359" s="5">
        <v>244</v>
      </c>
      <c r="G2359" s="5">
        <v>35344</v>
      </c>
    </row>
    <row r="2360" spans="1:7" x14ac:dyDescent="0.2">
      <c r="A2360">
        <v>840</v>
      </c>
      <c r="B2360" t="s">
        <v>491</v>
      </c>
      <c r="C2360" t="s">
        <v>710</v>
      </c>
      <c r="D2360" s="5">
        <v>447</v>
      </c>
      <c r="E2360" s="5">
        <v>15871</v>
      </c>
      <c r="F2360" s="5">
        <v>0</v>
      </c>
      <c r="G2360" s="5">
        <v>16318</v>
      </c>
    </row>
    <row r="2361" spans="1:7" x14ac:dyDescent="0.2">
      <c r="A2361">
        <v>840</v>
      </c>
      <c r="B2361" t="s">
        <v>491</v>
      </c>
      <c r="C2361" t="s">
        <v>712</v>
      </c>
      <c r="D2361" s="5">
        <v>3409</v>
      </c>
      <c r="E2361" s="5">
        <v>48501</v>
      </c>
      <c r="F2361" s="5">
        <v>0</v>
      </c>
      <c r="G2361" s="5">
        <v>51910</v>
      </c>
    </row>
    <row r="2362" spans="1:7" x14ac:dyDescent="0.2">
      <c r="A2362">
        <v>845</v>
      </c>
      <c r="B2362" t="s">
        <v>505</v>
      </c>
      <c r="C2362" t="s">
        <v>700</v>
      </c>
      <c r="D2362" s="5">
        <v>453278</v>
      </c>
      <c r="E2362" s="5">
        <v>332412</v>
      </c>
      <c r="F2362" s="5">
        <v>3809</v>
      </c>
      <c r="G2362" s="5">
        <v>789499</v>
      </c>
    </row>
    <row r="2363" spans="1:7" x14ac:dyDescent="0.2">
      <c r="A2363">
        <v>845</v>
      </c>
      <c r="B2363" t="s">
        <v>505</v>
      </c>
      <c r="C2363" t="s">
        <v>701</v>
      </c>
      <c r="D2363" s="5">
        <v>10846</v>
      </c>
      <c r="E2363" s="5">
        <v>9531</v>
      </c>
      <c r="F2363" s="5">
        <v>84</v>
      </c>
      <c r="G2363" s="5">
        <v>20461</v>
      </c>
    </row>
    <row r="2364" spans="1:7" x14ac:dyDescent="0.2">
      <c r="A2364">
        <v>845</v>
      </c>
      <c r="B2364" t="s">
        <v>505</v>
      </c>
      <c r="C2364" t="s">
        <v>703</v>
      </c>
      <c r="D2364" s="5">
        <v>2705</v>
      </c>
      <c r="E2364" s="5">
        <v>1352</v>
      </c>
      <c r="F2364" s="5">
        <v>0</v>
      </c>
      <c r="G2364" s="5">
        <v>4057</v>
      </c>
    </row>
    <row r="2365" spans="1:7" x14ac:dyDescent="0.2">
      <c r="A2365">
        <v>845</v>
      </c>
      <c r="B2365" t="s">
        <v>505</v>
      </c>
      <c r="C2365" t="s">
        <v>704</v>
      </c>
      <c r="D2365" s="5">
        <v>21885</v>
      </c>
      <c r="E2365" s="5">
        <v>47219</v>
      </c>
      <c r="F2365" s="5">
        <v>157</v>
      </c>
      <c r="G2365" s="5">
        <v>69261</v>
      </c>
    </row>
    <row r="2366" spans="1:7" x14ac:dyDescent="0.2">
      <c r="A2366">
        <v>845</v>
      </c>
      <c r="B2366" t="s">
        <v>505</v>
      </c>
      <c r="C2366" t="s">
        <v>705</v>
      </c>
      <c r="D2366" s="5">
        <v>9355</v>
      </c>
      <c r="E2366" s="5">
        <v>21706</v>
      </c>
      <c r="F2366" s="5">
        <v>367</v>
      </c>
      <c r="G2366" s="5">
        <v>31428</v>
      </c>
    </row>
    <row r="2367" spans="1:7" x14ac:dyDescent="0.2">
      <c r="A2367">
        <v>845</v>
      </c>
      <c r="B2367" t="s">
        <v>505</v>
      </c>
      <c r="C2367" t="s">
        <v>707</v>
      </c>
      <c r="D2367" s="5">
        <v>2170</v>
      </c>
      <c r="E2367" s="5">
        <v>1057</v>
      </c>
      <c r="F2367" s="5">
        <v>0</v>
      </c>
      <c r="G2367" s="5">
        <v>3228</v>
      </c>
    </row>
    <row r="2368" spans="1:7" x14ac:dyDescent="0.2">
      <c r="A2368">
        <v>845</v>
      </c>
      <c r="B2368" t="s">
        <v>505</v>
      </c>
      <c r="C2368" t="s">
        <v>708</v>
      </c>
      <c r="D2368" s="5">
        <v>0</v>
      </c>
      <c r="E2368" s="5">
        <v>24157</v>
      </c>
      <c r="F2368" s="5">
        <v>0</v>
      </c>
      <c r="G2368" s="5">
        <v>24157</v>
      </c>
    </row>
    <row r="2369" spans="1:7" x14ac:dyDescent="0.2">
      <c r="A2369">
        <v>845</v>
      </c>
      <c r="B2369" t="s">
        <v>505</v>
      </c>
      <c r="C2369" t="s">
        <v>709</v>
      </c>
      <c r="D2369" s="5">
        <v>7809</v>
      </c>
      <c r="E2369" s="5">
        <v>17062</v>
      </c>
      <c r="F2369" s="5">
        <v>17</v>
      </c>
      <c r="G2369" s="5">
        <v>24888</v>
      </c>
    </row>
    <row r="2370" spans="1:7" x14ac:dyDescent="0.2">
      <c r="A2370">
        <v>845</v>
      </c>
      <c r="B2370" t="s">
        <v>505</v>
      </c>
      <c r="C2370" t="s">
        <v>710</v>
      </c>
      <c r="D2370" s="5">
        <v>470</v>
      </c>
      <c r="E2370" s="5">
        <v>16944</v>
      </c>
      <c r="F2370" s="5">
        <v>0</v>
      </c>
      <c r="G2370" s="5">
        <v>17414</v>
      </c>
    </row>
    <row r="2371" spans="1:7" x14ac:dyDescent="0.2">
      <c r="A2371">
        <v>845</v>
      </c>
      <c r="B2371" t="s">
        <v>505</v>
      </c>
      <c r="C2371" t="s">
        <v>712</v>
      </c>
      <c r="D2371" s="5">
        <v>9040</v>
      </c>
      <c r="E2371" s="5">
        <v>41765</v>
      </c>
      <c r="F2371" s="5">
        <v>0</v>
      </c>
      <c r="G2371" s="5">
        <v>50806</v>
      </c>
    </row>
    <row r="2372" spans="1:7" x14ac:dyDescent="0.2">
      <c r="A2372">
        <v>847</v>
      </c>
      <c r="B2372" t="s">
        <v>517</v>
      </c>
      <c r="C2372" t="s">
        <v>700</v>
      </c>
      <c r="D2372" s="5">
        <v>654095</v>
      </c>
      <c r="E2372" s="5">
        <v>649026</v>
      </c>
      <c r="F2372" s="5">
        <v>6484</v>
      </c>
      <c r="G2372" s="5">
        <v>1309605</v>
      </c>
    </row>
    <row r="2373" spans="1:7" x14ac:dyDescent="0.2">
      <c r="A2373">
        <v>847</v>
      </c>
      <c r="B2373" t="s">
        <v>517</v>
      </c>
      <c r="C2373" t="s">
        <v>701</v>
      </c>
      <c r="D2373" s="5">
        <v>11097</v>
      </c>
      <c r="E2373" s="5">
        <v>3904</v>
      </c>
      <c r="F2373" s="5">
        <v>0</v>
      </c>
      <c r="G2373" s="5">
        <v>15001</v>
      </c>
    </row>
    <row r="2374" spans="1:7" x14ac:dyDescent="0.2">
      <c r="A2374">
        <v>847</v>
      </c>
      <c r="B2374" t="s">
        <v>517</v>
      </c>
      <c r="C2374" t="s">
        <v>703</v>
      </c>
      <c r="D2374" s="5">
        <v>140</v>
      </c>
      <c r="E2374" s="5">
        <v>8274</v>
      </c>
      <c r="F2374" s="5">
        <v>0</v>
      </c>
      <c r="G2374" s="5">
        <v>8414</v>
      </c>
    </row>
    <row r="2375" spans="1:7" x14ac:dyDescent="0.2">
      <c r="A2375">
        <v>847</v>
      </c>
      <c r="B2375" t="s">
        <v>517</v>
      </c>
      <c r="C2375" t="s">
        <v>704</v>
      </c>
      <c r="D2375" s="5">
        <v>51864</v>
      </c>
      <c r="E2375" s="5">
        <v>277269</v>
      </c>
      <c r="F2375" s="5">
        <v>7746</v>
      </c>
      <c r="G2375" s="5">
        <v>336879</v>
      </c>
    </row>
    <row r="2376" spans="1:7" x14ac:dyDescent="0.2">
      <c r="A2376">
        <v>847</v>
      </c>
      <c r="B2376" t="s">
        <v>517</v>
      </c>
      <c r="C2376" t="s">
        <v>705</v>
      </c>
      <c r="D2376" s="5">
        <v>12371</v>
      </c>
      <c r="E2376" s="5">
        <v>59720</v>
      </c>
      <c r="F2376" s="5">
        <v>0</v>
      </c>
      <c r="G2376" s="5">
        <v>72091</v>
      </c>
    </row>
    <row r="2377" spans="1:7" x14ac:dyDescent="0.2">
      <c r="A2377">
        <v>847</v>
      </c>
      <c r="B2377" t="s">
        <v>517</v>
      </c>
      <c r="C2377" t="s">
        <v>707</v>
      </c>
      <c r="D2377" s="5">
        <v>3769</v>
      </c>
      <c r="E2377" s="5">
        <v>4156</v>
      </c>
      <c r="F2377" s="5">
        <v>2264</v>
      </c>
      <c r="G2377" s="5">
        <v>10188</v>
      </c>
    </row>
    <row r="2378" spans="1:7" x14ac:dyDescent="0.2">
      <c r="A2378">
        <v>847</v>
      </c>
      <c r="B2378" t="s">
        <v>517</v>
      </c>
      <c r="C2378" t="s">
        <v>708</v>
      </c>
      <c r="D2378" s="5">
        <v>3091</v>
      </c>
      <c r="E2378" s="5">
        <v>20437</v>
      </c>
      <c r="F2378" s="5">
        <v>0</v>
      </c>
      <c r="G2378" s="5">
        <v>23528</v>
      </c>
    </row>
    <row r="2379" spans="1:7" x14ac:dyDescent="0.2">
      <c r="A2379">
        <v>847</v>
      </c>
      <c r="B2379" t="s">
        <v>517</v>
      </c>
      <c r="C2379" t="s">
        <v>709</v>
      </c>
      <c r="D2379" s="5">
        <v>205435</v>
      </c>
      <c r="E2379" s="5">
        <v>670614</v>
      </c>
      <c r="F2379" s="5">
        <v>1408</v>
      </c>
      <c r="G2379" s="5">
        <v>877457</v>
      </c>
    </row>
    <row r="2380" spans="1:7" x14ac:dyDescent="0.2">
      <c r="A2380">
        <v>847</v>
      </c>
      <c r="B2380" t="s">
        <v>517</v>
      </c>
      <c r="C2380" t="s">
        <v>710</v>
      </c>
      <c r="D2380" s="5">
        <v>1401</v>
      </c>
      <c r="E2380" s="5">
        <v>26337</v>
      </c>
      <c r="F2380" s="5">
        <v>0</v>
      </c>
      <c r="G2380" s="5">
        <v>27737</v>
      </c>
    </row>
    <row r="2381" spans="1:7" x14ac:dyDescent="0.2">
      <c r="A2381">
        <v>847</v>
      </c>
      <c r="B2381" t="s">
        <v>517</v>
      </c>
      <c r="C2381" t="s">
        <v>711</v>
      </c>
      <c r="D2381" s="5">
        <v>0</v>
      </c>
      <c r="E2381" s="5">
        <v>87</v>
      </c>
      <c r="F2381" s="5">
        <v>0</v>
      </c>
      <c r="G2381" s="5">
        <v>87</v>
      </c>
    </row>
    <row r="2382" spans="1:7" x14ac:dyDescent="0.2">
      <c r="A2382">
        <v>847</v>
      </c>
      <c r="B2382" t="s">
        <v>517</v>
      </c>
      <c r="C2382" t="s">
        <v>712</v>
      </c>
      <c r="D2382" s="5">
        <v>11567</v>
      </c>
      <c r="E2382" s="5">
        <v>44662</v>
      </c>
      <c r="F2382" s="5">
        <v>84</v>
      </c>
      <c r="G2382" s="5">
        <v>56313</v>
      </c>
    </row>
    <row r="2383" spans="1:7" x14ac:dyDescent="0.2">
      <c r="A2383">
        <v>848</v>
      </c>
      <c r="B2383" t="s">
        <v>519</v>
      </c>
      <c r="C2383" t="s">
        <v>700</v>
      </c>
      <c r="D2383" s="5">
        <v>137551</v>
      </c>
      <c r="E2383" s="5">
        <v>212110</v>
      </c>
      <c r="F2383" s="5">
        <v>4286</v>
      </c>
      <c r="G2383" s="5">
        <v>353948</v>
      </c>
    </row>
    <row r="2384" spans="1:7" x14ac:dyDescent="0.2">
      <c r="A2384">
        <v>848</v>
      </c>
      <c r="B2384" t="s">
        <v>519</v>
      </c>
      <c r="C2384" t="s">
        <v>701</v>
      </c>
      <c r="D2384" s="5">
        <v>4369</v>
      </c>
      <c r="E2384" s="5">
        <v>11910</v>
      </c>
      <c r="F2384" s="5">
        <v>38</v>
      </c>
      <c r="G2384" s="5">
        <v>16318</v>
      </c>
    </row>
    <row r="2385" spans="1:7" x14ac:dyDescent="0.2">
      <c r="A2385">
        <v>848</v>
      </c>
      <c r="B2385" t="s">
        <v>519</v>
      </c>
      <c r="C2385" t="s">
        <v>703</v>
      </c>
      <c r="D2385" s="5">
        <v>356</v>
      </c>
      <c r="E2385" s="5">
        <v>2393</v>
      </c>
      <c r="F2385" s="5">
        <v>124</v>
      </c>
      <c r="G2385" s="5">
        <v>2873</v>
      </c>
    </row>
    <row r="2386" spans="1:7" x14ac:dyDescent="0.2">
      <c r="A2386">
        <v>848</v>
      </c>
      <c r="B2386" t="s">
        <v>519</v>
      </c>
      <c r="C2386" t="s">
        <v>704</v>
      </c>
      <c r="D2386" s="5">
        <v>7962</v>
      </c>
      <c r="E2386" s="5">
        <v>437781</v>
      </c>
      <c r="F2386" s="5">
        <v>0</v>
      </c>
      <c r="G2386" s="5">
        <v>445743</v>
      </c>
    </row>
    <row r="2387" spans="1:7" x14ac:dyDescent="0.2">
      <c r="A2387">
        <v>848</v>
      </c>
      <c r="B2387" t="s">
        <v>519</v>
      </c>
      <c r="C2387" t="s">
        <v>705</v>
      </c>
      <c r="D2387" s="5">
        <v>1609</v>
      </c>
      <c r="E2387" s="5">
        <v>107425</v>
      </c>
      <c r="F2387" s="5">
        <v>0</v>
      </c>
      <c r="G2387" s="5">
        <v>109033</v>
      </c>
    </row>
    <row r="2388" spans="1:7" x14ac:dyDescent="0.2">
      <c r="A2388">
        <v>848</v>
      </c>
      <c r="B2388" t="s">
        <v>519</v>
      </c>
      <c r="C2388" t="s">
        <v>707</v>
      </c>
      <c r="D2388" s="5">
        <v>903</v>
      </c>
      <c r="E2388" s="5">
        <v>51</v>
      </c>
      <c r="F2388" s="5">
        <v>0</v>
      </c>
      <c r="G2388" s="5">
        <v>954</v>
      </c>
    </row>
    <row r="2389" spans="1:7" x14ac:dyDescent="0.2">
      <c r="A2389">
        <v>848</v>
      </c>
      <c r="B2389" t="s">
        <v>519</v>
      </c>
      <c r="C2389" t="s">
        <v>708</v>
      </c>
      <c r="D2389" s="5">
        <v>133</v>
      </c>
      <c r="E2389" s="5">
        <v>16275</v>
      </c>
      <c r="F2389" s="5">
        <v>0</v>
      </c>
      <c r="G2389" s="5">
        <v>16408</v>
      </c>
    </row>
    <row r="2390" spans="1:7" x14ac:dyDescent="0.2">
      <c r="A2390">
        <v>848</v>
      </c>
      <c r="B2390" t="s">
        <v>519</v>
      </c>
      <c r="C2390" t="s">
        <v>709</v>
      </c>
      <c r="D2390" s="5">
        <v>2684</v>
      </c>
      <c r="E2390" s="5">
        <v>9966</v>
      </c>
      <c r="F2390" s="5">
        <v>131</v>
      </c>
      <c r="G2390" s="5">
        <v>12781</v>
      </c>
    </row>
    <row r="2391" spans="1:7" x14ac:dyDescent="0.2">
      <c r="A2391">
        <v>848</v>
      </c>
      <c r="B2391" t="s">
        <v>519</v>
      </c>
      <c r="C2391" t="s">
        <v>710</v>
      </c>
      <c r="D2391" s="5">
        <v>306</v>
      </c>
      <c r="E2391" s="5">
        <v>9098</v>
      </c>
      <c r="F2391" s="5">
        <v>0</v>
      </c>
      <c r="G2391" s="5">
        <v>9404</v>
      </c>
    </row>
    <row r="2392" spans="1:7" x14ac:dyDescent="0.2">
      <c r="A2392">
        <v>848</v>
      </c>
      <c r="B2392" t="s">
        <v>519</v>
      </c>
      <c r="C2392" t="s">
        <v>711</v>
      </c>
      <c r="D2392" s="5">
        <v>0</v>
      </c>
      <c r="E2392" s="5">
        <v>189</v>
      </c>
      <c r="F2392" s="5">
        <v>0</v>
      </c>
      <c r="G2392" s="5">
        <v>189</v>
      </c>
    </row>
    <row r="2393" spans="1:7" x14ac:dyDescent="0.2">
      <c r="A2393">
        <v>848</v>
      </c>
      <c r="B2393" t="s">
        <v>519</v>
      </c>
      <c r="C2393" t="s">
        <v>712</v>
      </c>
      <c r="D2393" s="5">
        <v>6783</v>
      </c>
      <c r="E2393" s="5">
        <v>127056</v>
      </c>
      <c r="F2393" s="5">
        <v>0</v>
      </c>
      <c r="G2393" s="5">
        <v>133839</v>
      </c>
    </row>
    <row r="2394" spans="1:7" x14ac:dyDescent="0.2">
      <c r="A2394">
        <v>851</v>
      </c>
      <c r="B2394" t="s">
        <v>527</v>
      </c>
      <c r="C2394" t="s">
        <v>700</v>
      </c>
      <c r="D2394" s="5">
        <v>677273</v>
      </c>
      <c r="E2394" s="5">
        <v>818208</v>
      </c>
      <c r="F2394" s="5">
        <v>13701</v>
      </c>
      <c r="G2394" s="5">
        <v>1509183</v>
      </c>
    </row>
    <row r="2395" spans="1:7" x14ac:dyDescent="0.2">
      <c r="A2395">
        <v>851</v>
      </c>
      <c r="B2395" t="s">
        <v>527</v>
      </c>
      <c r="C2395" t="s">
        <v>701</v>
      </c>
      <c r="D2395" s="5">
        <v>13185</v>
      </c>
      <c r="E2395" s="5">
        <v>3952</v>
      </c>
      <c r="F2395" s="5">
        <v>0</v>
      </c>
      <c r="G2395" s="5">
        <v>17137</v>
      </c>
    </row>
    <row r="2396" spans="1:7" x14ac:dyDescent="0.2">
      <c r="A2396">
        <v>851</v>
      </c>
      <c r="B2396" t="s">
        <v>527</v>
      </c>
      <c r="C2396" t="s">
        <v>703</v>
      </c>
      <c r="D2396" s="5">
        <v>3150</v>
      </c>
      <c r="E2396" s="5">
        <v>6893</v>
      </c>
      <c r="F2396" s="5">
        <v>0</v>
      </c>
      <c r="G2396" s="5">
        <v>10043</v>
      </c>
    </row>
    <row r="2397" spans="1:7" x14ac:dyDescent="0.2">
      <c r="A2397">
        <v>851</v>
      </c>
      <c r="B2397" t="s">
        <v>527</v>
      </c>
      <c r="C2397" t="s">
        <v>704</v>
      </c>
      <c r="D2397" s="5">
        <v>396516</v>
      </c>
      <c r="E2397" s="5">
        <v>534664</v>
      </c>
      <c r="F2397" s="5">
        <v>49796</v>
      </c>
      <c r="G2397" s="5">
        <v>980976</v>
      </c>
    </row>
    <row r="2398" spans="1:7" x14ac:dyDescent="0.2">
      <c r="A2398">
        <v>851</v>
      </c>
      <c r="B2398" t="s">
        <v>527</v>
      </c>
      <c r="C2398" t="s">
        <v>705</v>
      </c>
      <c r="D2398" s="5">
        <v>473645</v>
      </c>
      <c r="E2398" s="5">
        <v>34524</v>
      </c>
      <c r="F2398" s="5">
        <v>26986</v>
      </c>
      <c r="G2398" s="5">
        <v>535155</v>
      </c>
    </row>
    <row r="2399" spans="1:7" x14ac:dyDescent="0.2">
      <c r="A2399">
        <v>851</v>
      </c>
      <c r="B2399" t="s">
        <v>527</v>
      </c>
      <c r="C2399" t="s">
        <v>707</v>
      </c>
      <c r="D2399" s="5">
        <v>1183</v>
      </c>
      <c r="E2399" s="5">
        <v>1293</v>
      </c>
      <c r="F2399" s="5">
        <v>99</v>
      </c>
      <c r="G2399" s="5">
        <v>2574</v>
      </c>
    </row>
    <row r="2400" spans="1:7" x14ac:dyDescent="0.2">
      <c r="A2400">
        <v>851</v>
      </c>
      <c r="B2400" t="s">
        <v>527</v>
      </c>
      <c r="C2400" t="s">
        <v>708</v>
      </c>
      <c r="D2400" s="5">
        <v>902</v>
      </c>
      <c r="E2400" s="5">
        <v>14693</v>
      </c>
      <c r="F2400" s="5">
        <v>0</v>
      </c>
      <c r="G2400" s="5">
        <v>15595</v>
      </c>
    </row>
    <row r="2401" spans="1:7" x14ac:dyDescent="0.2">
      <c r="A2401">
        <v>851</v>
      </c>
      <c r="B2401" t="s">
        <v>527</v>
      </c>
      <c r="C2401" t="s">
        <v>709</v>
      </c>
      <c r="D2401" s="5">
        <v>11710</v>
      </c>
      <c r="E2401" s="5">
        <v>25015</v>
      </c>
      <c r="F2401" s="5">
        <v>130</v>
      </c>
      <c r="G2401" s="5">
        <v>36855</v>
      </c>
    </row>
    <row r="2402" spans="1:7" x14ac:dyDescent="0.2">
      <c r="A2402">
        <v>851</v>
      </c>
      <c r="B2402" t="s">
        <v>527</v>
      </c>
      <c r="C2402" t="s">
        <v>710</v>
      </c>
      <c r="D2402" s="5">
        <v>942</v>
      </c>
      <c r="E2402" s="5">
        <v>11812</v>
      </c>
      <c r="F2402" s="5">
        <v>0</v>
      </c>
      <c r="G2402" s="5">
        <v>12755</v>
      </c>
    </row>
    <row r="2403" spans="1:7" x14ac:dyDescent="0.2">
      <c r="A2403">
        <v>851</v>
      </c>
      <c r="B2403" t="s">
        <v>527</v>
      </c>
      <c r="C2403" t="s">
        <v>712</v>
      </c>
      <c r="D2403" s="5">
        <v>13985</v>
      </c>
      <c r="E2403" s="5">
        <v>36964</v>
      </c>
      <c r="F2403" s="5">
        <v>0</v>
      </c>
      <c r="G2403" s="5">
        <v>50949</v>
      </c>
    </row>
    <row r="2404" spans="1:7" x14ac:dyDescent="0.2">
      <c r="A2404">
        <v>852</v>
      </c>
      <c r="B2404" t="s">
        <v>619</v>
      </c>
      <c r="C2404" t="s">
        <v>700</v>
      </c>
      <c r="D2404" s="5">
        <v>147674</v>
      </c>
      <c r="E2404" s="5">
        <v>136852</v>
      </c>
      <c r="F2404" s="5">
        <v>2742</v>
      </c>
      <c r="G2404" s="5">
        <v>287267</v>
      </c>
    </row>
    <row r="2405" spans="1:7" x14ac:dyDescent="0.2">
      <c r="A2405">
        <v>852</v>
      </c>
      <c r="B2405" t="s">
        <v>619</v>
      </c>
      <c r="C2405" t="s">
        <v>701</v>
      </c>
      <c r="D2405" s="5">
        <v>13782</v>
      </c>
      <c r="E2405" s="5">
        <v>11474</v>
      </c>
      <c r="F2405" s="5">
        <v>98</v>
      </c>
      <c r="G2405" s="5">
        <v>25355</v>
      </c>
    </row>
    <row r="2406" spans="1:7" x14ac:dyDescent="0.2">
      <c r="A2406">
        <v>852</v>
      </c>
      <c r="B2406" t="s">
        <v>619</v>
      </c>
      <c r="C2406" t="s">
        <v>703</v>
      </c>
      <c r="D2406" s="5">
        <v>866</v>
      </c>
      <c r="E2406" s="5">
        <v>4302</v>
      </c>
      <c r="F2406" s="5">
        <v>0</v>
      </c>
      <c r="G2406" s="5">
        <v>5168</v>
      </c>
    </row>
    <row r="2407" spans="1:7" x14ac:dyDescent="0.2">
      <c r="A2407">
        <v>852</v>
      </c>
      <c r="B2407" t="s">
        <v>619</v>
      </c>
      <c r="C2407" t="s">
        <v>704</v>
      </c>
      <c r="D2407" s="5">
        <v>29486</v>
      </c>
      <c r="E2407" s="5">
        <v>29295</v>
      </c>
      <c r="F2407" s="5">
        <v>9</v>
      </c>
      <c r="G2407" s="5">
        <v>58790</v>
      </c>
    </row>
    <row r="2408" spans="1:7" x14ac:dyDescent="0.2">
      <c r="A2408">
        <v>852</v>
      </c>
      <c r="B2408" t="s">
        <v>619</v>
      </c>
      <c r="C2408" t="s">
        <v>705</v>
      </c>
      <c r="D2408" s="5">
        <v>7931</v>
      </c>
      <c r="E2408" s="5">
        <v>1758</v>
      </c>
      <c r="F2408" s="5">
        <v>2279</v>
      </c>
      <c r="G2408" s="5">
        <v>11968</v>
      </c>
    </row>
    <row r="2409" spans="1:7" x14ac:dyDescent="0.2">
      <c r="A2409">
        <v>852</v>
      </c>
      <c r="B2409" t="s">
        <v>619</v>
      </c>
      <c r="C2409" t="s">
        <v>706</v>
      </c>
      <c r="D2409" s="5">
        <v>0</v>
      </c>
      <c r="E2409" s="5">
        <v>13</v>
      </c>
      <c r="F2409" s="5">
        <v>0</v>
      </c>
      <c r="G2409" s="5">
        <v>13</v>
      </c>
    </row>
    <row r="2410" spans="1:7" x14ac:dyDescent="0.2">
      <c r="A2410">
        <v>852</v>
      </c>
      <c r="B2410" t="s">
        <v>619</v>
      </c>
      <c r="C2410" t="s">
        <v>707</v>
      </c>
      <c r="D2410" s="5">
        <v>1809</v>
      </c>
      <c r="E2410" s="5">
        <v>11275</v>
      </c>
      <c r="F2410" s="5">
        <v>7629</v>
      </c>
      <c r="G2410" s="5">
        <v>20713</v>
      </c>
    </row>
    <row r="2411" spans="1:7" x14ac:dyDescent="0.2">
      <c r="A2411">
        <v>852</v>
      </c>
      <c r="B2411" t="s">
        <v>619</v>
      </c>
      <c r="C2411" t="s">
        <v>708</v>
      </c>
      <c r="D2411" s="5">
        <v>2403</v>
      </c>
      <c r="E2411" s="5">
        <v>12230</v>
      </c>
      <c r="F2411" s="5">
        <v>0</v>
      </c>
      <c r="G2411" s="5">
        <v>14633</v>
      </c>
    </row>
    <row r="2412" spans="1:7" x14ac:dyDescent="0.2">
      <c r="A2412">
        <v>852</v>
      </c>
      <c r="B2412" t="s">
        <v>619</v>
      </c>
      <c r="C2412" t="s">
        <v>709</v>
      </c>
      <c r="D2412" s="5">
        <v>3406</v>
      </c>
      <c r="E2412" s="5">
        <v>7263</v>
      </c>
      <c r="F2412" s="5">
        <v>229</v>
      </c>
      <c r="G2412" s="5">
        <v>10898</v>
      </c>
    </row>
    <row r="2413" spans="1:7" x14ac:dyDescent="0.2">
      <c r="A2413">
        <v>852</v>
      </c>
      <c r="B2413" t="s">
        <v>619</v>
      </c>
      <c r="C2413" t="s">
        <v>710</v>
      </c>
      <c r="D2413" s="5">
        <v>1118</v>
      </c>
      <c r="E2413" s="5">
        <v>3656</v>
      </c>
      <c r="F2413" s="5">
        <v>0</v>
      </c>
      <c r="G2413" s="5">
        <v>4775</v>
      </c>
    </row>
    <row r="2414" spans="1:7" x14ac:dyDescent="0.2">
      <c r="A2414">
        <v>852</v>
      </c>
      <c r="B2414" t="s">
        <v>619</v>
      </c>
      <c r="C2414" t="s">
        <v>711</v>
      </c>
      <c r="D2414" s="5">
        <v>102</v>
      </c>
      <c r="E2414" s="5">
        <v>18</v>
      </c>
      <c r="F2414" s="5">
        <v>0</v>
      </c>
      <c r="G2414" s="5">
        <v>121</v>
      </c>
    </row>
    <row r="2415" spans="1:7" x14ac:dyDescent="0.2">
      <c r="A2415">
        <v>852</v>
      </c>
      <c r="B2415" t="s">
        <v>619</v>
      </c>
      <c r="C2415" t="s">
        <v>712</v>
      </c>
      <c r="D2415" s="5">
        <v>3421</v>
      </c>
      <c r="E2415" s="5">
        <v>6149</v>
      </c>
      <c r="F2415" s="5">
        <v>1212</v>
      </c>
      <c r="G2415" s="5">
        <v>10781</v>
      </c>
    </row>
    <row r="2416" spans="1:7" x14ac:dyDescent="0.2">
      <c r="A2416">
        <v>855</v>
      </c>
      <c r="B2416" t="s">
        <v>549</v>
      </c>
      <c r="C2416" t="s">
        <v>700</v>
      </c>
      <c r="D2416" s="5">
        <v>602181</v>
      </c>
      <c r="E2416" s="5">
        <v>1490887</v>
      </c>
      <c r="F2416" s="5">
        <v>16801</v>
      </c>
      <c r="G2416" s="5">
        <v>2109870</v>
      </c>
    </row>
    <row r="2417" spans="1:7" x14ac:dyDescent="0.2">
      <c r="A2417">
        <v>855</v>
      </c>
      <c r="B2417" t="s">
        <v>549</v>
      </c>
      <c r="C2417" t="s">
        <v>701</v>
      </c>
      <c r="D2417" s="5">
        <v>52197</v>
      </c>
      <c r="E2417" s="5">
        <v>131932</v>
      </c>
      <c r="F2417" s="5">
        <v>6847</v>
      </c>
      <c r="G2417" s="5">
        <v>190976</v>
      </c>
    </row>
    <row r="2418" spans="1:7" x14ac:dyDescent="0.2">
      <c r="A2418">
        <v>855</v>
      </c>
      <c r="B2418" t="s">
        <v>549</v>
      </c>
      <c r="C2418" t="s">
        <v>702</v>
      </c>
      <c r="D2418" s="5">
        <v>0</v>
      </c>
      <c r="E2418" s="5">
        <v>2794</v>
      </c>
      <c r="F2418" s="5">
        <v>0</v>
      </c>
      <c r="G2418" s="5">
        <v>2794</v>
      </c>
    </row>
    <row r="2419" spans="1:7" x14ac:dyDescent="0.2">
      <c r="A2419">
        <v>855</v>
      </c>
      <c r="B2419" t="s">
        <v>549</v>
      </c>
      <c r="C2419" t="s">
        <v>703</v>
      </c>
      <c r="D2419" s="5">
        <v>9808</v>
      </c>
      <c r="E2419" s="5">
        <v>80643</v>
      </c>
      <c r="F2419" s="5">
        <v>327</v>
      </c>
      <c r="G2419" s="5">
        <v>90779</v>
      </c>
    </row>
    <row r="2420" spans="1:7" x14ac:dyDescent="0.2">
      <c r="A2420">
        <v>855</v>
      </c>
      <c r="B2420" t="s">
        <v>549</v>
      </c>
      <c r="C2420" t="s">
        <v>704</v>
      </c>
      <c r="D2420" s="5">
        <v>108415</v>
      </c>
      <c r="E2420" s="5">
        <v>3053417</v>
      </c>
      <c r="F2420" s="5">
        <v>13079</v>
      </c>
      <c r="G2420" s="5">
        <v>3174911</v>
      </c>
    </row>
    <row r="2421" spans="1:7" x14ac:dyDescent="0.2">
      <c r="A2421">
        <v>855</v>
      </c>
      <c r="B2421" t="s">
        <v>549</v>
      </c>
      <c r="C2421" t="s">
        <v>705</v>
      </c>
      <c r="D2421" s="5">
        <v>31655</v>
      </c>
      <c r="E2421" s="5">
        <v>496656</v>
      </c>
      <c r="F2421" s="5">
        <v>93</v>
      </c>
      <c r="G2421" s="5">
        <v>528404</v>
      </c>
    </row>
    <row r="2422" spans="1:7" x14ac:dyDescent="0.2">
      <c r="A2422">
        <v>855</v>
      </c>
      <c r="B2422" t="s">
        <v>549</v>
      </c>
      <c r="C2422" t="s">
        <v>707</v>
      </c>
      <c r="D2422" s="5">
        <v>9029</v>
      </c>
      <c r="E2422" s="5">
        <v>8145</v>
      </c>
      <c r="F2422" s="5">
        <v>151</v>
      </c>
      <c r="G2422" s="5">
        <v>17325</v>
      </c>
    </row>
    <row r="2423" spans="1:7" x14ac:dyDescent="0.2">
      <c r="A2423">
        <v>855</v>
      </c>
      <c r="B2423" t="s">
        <v>549</v>
      </c>
      <c r="C2423" t="s">
        <v>708</v>
      </c>
      <c r="D2423" s="5">
        <v>13962</v>
      </c>
      <c r="E2423" s="5">
        <v>244999</v>
      </c>
      <c r="F2423" s="5">
        <v>157</v>
      </c>
      <c r="G2423" s="5">
        <v>259119</v>
      </c>
    </row>
    <row r="2424" spans="1:7" x14ac:dyDescent="0.2">
      <c r="A2424">
        <v>855</v>
      </c>
      <c r="B2424" t="s">
        <v>549</v>
      </c>
      <c r="C2424" t="s">
        <v>709</v>
      </c>
      <c r="D2424" s="5">
        <v>26286</v>
      </c>
      <c r="E2424" s="5">
        <v>273933</v>
      </c>
      <c r="F2424" s="5">
        <v>706</v>
      </c>
      <c r="G2424" s="5">
        <v>300925</v>
      </c>
    </row>
    <row r="2425" spans="1:7" x14ac:dyDescent="0.2">
      <c r="A2425">
        <v>855</v>
      </c>
      <c r="B2425" t="s">
        <v>549</v>
      </c>
      <c r="C2425" t="s">
        <v>710</v>
      </c>
      <c r="D2425" s="5">
        <v>13353</v>
      </c>
      <c r="E2425" s="5">
        <v>85094</v>
      </c>
      <c r="F2425" s="5">
        <v>0</v>
      </c>
      <c r="G2425" s="5">
        <v>98448</v>
      </c>
    </row>
    <row r="2426" spans="1:7" x14ac:dyDescent="0.2">
      <c r="A2426">
        <v>855</v>
      </c>
      <c r="B2426" t="s">
        <v>549</v>
      </c>
      <c r="C2426" t="s">
        <v>712</v>
      </c>
      <c r="D2426" s="5">
        <v>69003</v>
      </c>
      <c r="E2426" s="5">
        <v>478391</v>
      </c>
      <c r="F2426" s="5">
        <v>0</v>
      </c>
      <c r="G2426" s="5">
        <v>547393</v>
      </c>
    </row>
    <row r="2427" spans="1:7" x14ac:dyDescent="0.2">
      <c r="A2427">
        <v>856</v>
      </c>
      <c r="B2427" s="9" t="s">
        <v>349</v>
      </c>
      <c r="C2427" t="s">
        <v>700</v>
      </c>
      <c r="D2427" s="5">
        <v>505226</v>
      </c>
      <c r="E2427" s="5">
        <v>618709</v>
      </c>
      <c r="F2427" s="5">
        <v>18216</v>
      </c>
      <c r="G2427" s="5">
        <v>1142151</v>
      </c>
    </row>
    <row r="2428" spans="1:7" x14ac:dyDescent="0.2">
      <c r="A2428">
        <v>856</v>
      </c>
      <c r="B2428" s="9" t="s">
        <v>349</v>
      </c>
      <c r="C2428" t="s">
        <v>701</v>
      </c>
      <c r="D2428" s="5">
        <v>12439</v>
      </c>
      <c r="E2428" s="5">
        <v>39135</v>
      </c>
      <c r="F2428" s="5">
        <v>0</v>
      </c>
      <c r="G2428" s="5">
        <v>51574</v>
      </c>
    </row>
    <row r="2429" spans="1:7" x14ac:dyDescent="0.2">
      <c r="A2429">
        <v>856</v>
      </c>
      <c r="B2429" s="9" t="s">
        <v>349</v>
      </c>
      <c r="C2429" t="s">
        <v>703</v>
      </c>
      <c r="D2429" s="5">
        <v>570</v>
      </c>
      <c r="E2429" s="5">
        <v>18050</v>
      </c>
      <c r="F2429" s="5">
        <v>0</v>
      </c>
      <c r="G2429" s="5">
        <v>18621</v>
      </c>
    </row>
    <row r="2430" spans="1:7" x14ac:dyDescent="0.2">
      <c r="A2430">
        <v>856</v>
      </c>
      <c r="B2430" s="9" t="s">
        <v>349</v>
      </c>
      <c r="C2430" t="s">
        <v>704</v>
      </c>
      <c r="D2430" s="5">
        <v>51455</v>
      </c>
      <c r="E2430" s="5">
        <v>417764</v>
      </c>
      <c r="F2430" s="5">
        <v>2425</v>
      </c>
      <c r="G2430" s="5">
        <v>471644</v>
      </c>
    </row>
    <row r="2431" spans="1:7" x14ac:dyDescent="0.2">
      <c r="A2431">
        <v>856</v>
      </c>
      <c r="B2431" s="9" t="s">
        <v>349</v>
      </c>
      <c r="C2431" t="s">
        <v>705</v>
      </c>
      <c r="D2431" s="5">
        <v>11167</v>
      </c>
      <c r="E2431" s="5">
        <v>401946</v>
      </c>
      <c r="F2431" s="5">
        <v>2231</v>
      </c>
      <c r="G2431" s="5">
        <v>415344</v>
      </c>
    </row>
    <row r="2432" spans="1:7" x14ac:dyDescent="0.2">
      <c r="A2432">
        <v>856</v>
      </c>
      <c r="B2432" s="9" t="s">
        <v>349</v>
      </c>
      <c r="C2432" t="s">
        <v>707</v>
      </c>
      <c r="D2432" s="5">
        <v>6887</v>
      </c>
      <c r="E2432" s="5">
        <v>11263</v>
      </c>
      <c r="F2432" s="5">
        <v>0</v>
      </c>
      <c r="G2432" s="5">
        <v>18151</v>
      </c>
    </row>
    <row r="2433" spans="1:7" x14ac:dyDescent="0.2">
      <c r="A2433">
        <v>856</v>
      </c>
      <c r="B2433" s="9" t="s">
        <v>349</v>
      </c>
      <c r="C2433" t="s">
        <v>708</v>
      </c>
      <c r="D2433" s="5">
        <v>1710</v>
      </c>
      <c r="E2433" s="5">
        <v>37259</v>
      </c>
      <c r="F2433" s="5">
        <v>0</v>
      </c>
      <c r="G2433" s="5">
        <v>38969</v>
      </c>
    </row>
    <row r="2434" spans="1:7" x14ac:dyDescent="0.2">
      <c r="A2434">
        <v>856</v>
      </c>
      <c r="B2434" s="9" t="s">
        <v>349</v>
      </c>
      <c r="C2434" t="s">
        <v>709</v>
      </c>
      <c r="D2434" s="5">
        <v>13184</v>
      </c>
      <c r="E2434" s="5">
        <v>31911</v>
      </c>
      <c r="F2434" s="5">
        <v>93</v>
      </c>
      <c r="G2434" s="5">
        <v>45188</v>
      </c>
    </row>
    <row r="2435" spans="1:7" x14ac:dyDescent="0.2">
      <c r="A2435">
        <v>856</v>
      </c>
      <c r="B2435" s="9" t="s">
        <v>349</v>
      </c>
      <c r="C2435" t="s">
        <v>710</v>
      </c>
      <c r="D2435" s="5">
        <v>1068</v>
      </c>
      <c r="E2435" s="5">
        <v>22091</v>
      </c>
      <c r="F2435" s="5">
        <v>0</v>
      </c>
      <c r="G2435" s="5">
        <v>23160</v>
      </c>
    </row>
    <row r="2436" spans="1:7" x14ac:dyDescent="0.2">
      <c r="A2436">
        <v>856</v>
      </c>
      <c r="B2436" s="9" t="s">
        <v>349</v>
      </c>
      <c r="C2436" t="s">
        <v>712</v>
      </c>
      <c r="D2436" s="5">
        <v>11958</v>
      </c>
      <c r="E2436" s="5">
        <v>221585</v>
      </c>
      <c r="F2436" s="5">
        <v>0</v>
      </c>
      <c r="G2436" s="5">
        <v>233543</v>
      </c>
    </row>
    <row r="2437" spans="1:7" x14ac:dyDescent="0.2">
      <c r="A2437">
        <v>858</v>
      </c>
      <c r="B2437" t="s">
        <v>573</v>
      </c>
      <c r="C2437" t="s">
        <v>700</v>
      </c>
      <c r="D2437" s="5">
        <v>188388</v>
      </c>
      <c r="E2437" s="5">
        <v>246256</v>
      </c>
      <c r="F2437" s="5">
        <v>3955</v>
      </c>
      <c r="G2437" s="5">
        <v>438598</v>
      </c>
    </row>
    <row r="2438" spans="1:7" x14ac:dyDescent="0.2">
      <c r="A2438">
        <v>858</v>
      </c>
      <c r="B2438" t="s">
        <v>573</v>
      </c>
      <c r="C2438" t="s">
        <v>701</v>
      </c>
      <c r="D2438" s="5">
        <v>13405</v>
      </c>
      <c r="E2438" s="5">
        <v>18870</v>
      </c>
      <c r="F2438" s="5">
        <v>264</v>
      </c>
      <c r="G2438" s="5">
        <v>32539</v>
      </c>
    </row>
    <row r="2439" spans="1:7" x14ac:dyDescent="0.2">
      <c r="A2439">
        <v>858</v>
      </c>
      <c r="B2439" t="s">
        <v>573</v>
      </c>
      <c r="C2439" t="s">
        <v>703</v>
      </c>
      <c r="D2439" s="5">
        <v>1487</v>
      </c>
      <c r="E2439" s="5">
        <v>10941</v>
      </c>
      <c r="F2439" s="5">
        <v>0</v>
      </c>
      <c r="G2439" s="5">
        <v>12428</v>
      </c>
    </row>
    <row r="2440" spans="1:7" x14ac:dyDescent="0.2">
      <c r="A2440">
        <v>858</v>
      </c>
      <c r="B2440" t="s">
        <v>573</v>
      </c>
      <c r="C2440" t="s">
        <v>704</v>
      </c>
      <c r="D2440" s="5">
        <v>40866</v>
      </c>
      <c r="E2440" s="5">
        <v>168432</v>
      </c>
      <c r="F2440" s="5">
        <v>3874</v>
      </c>
      <c r="G2440" s="5">
        <v>213173</v>
      </c>
    </row>
    <row r="2441" spans="1:7" x14ac:dyDescent="0.2">
      <c r="A2441">
        <v>858</v>
      </c>
      <c r="B2441" t="s">
        <v>573</v>
      </c>
      <c r="C2441" t="s">
        <v>705</v>
      </c>
      <c r="D2441" s="5">
        <v>11217</v>
      </c>
      <c r="E2441" s="5">
        <v>302212</v>
      </c>
      <c r="F2441" s="5">
        <v>56</v>
      </c>
      <c r="G2441" s="5">
        <v>313485</v>
      </c>
    </row>
    <row r="2442" spans="1:7" x14ac:dyDescent="0.2">
      <c r="A2442">
        <v>858</v>
      </c>
      <c r="B2442" t="s">
        <v>573</v>
      </c>
      <c r="C2442" t="s">
        <v>707</v>
      </c>
      <c r="D2442" s="5">
        <v>1761</v>
      </c>
      <c r="E2442" s="5">
        <v>1489</v>
      </c>
      <c r="F2442" s="5">
        <v>0</v>
      </c>
      <c r="G2442" s="5">
        <v>3250</v>
      </c>
    </row>
    <row r="2443" spans="1:7" x14ac:dyDescent="0.2">
      <c r="A2443">
        <v>858</v>
      </c>
      <c r="B2443" t="s">
        <v>573</v>
      </c>
      <c r="C2443" t="s">
        <v>708</v>
      </c>
      <c r="D2443" s="5">
        <v>0</v>
      </c>
      <c r="E2443" s="5">
        <v>23393</v>
      </c>
      <c r="F2443" s="5">
        <v>0</v>
      </c>
      <c r="G2443" s="5">
        <v>23393</v>
      </c>
    </row>
    <row r="2444" spans="1:7" x14ac:dyDescent="0.2">
      <c r="A2444">
        <v>858</v>
      </c>
      <c r="B2444" t="s">
        <v>573</v>
      </c>
      <c r="C2444" t="s">
        <v>709</v>
      </c>
      <c r="D2444" s="5">
        <v>12923</v>
      </c>
      <c r="E2444" s="5">
        <v>23884</v>
      </c>
      <c r="F2444" s="5">
        <v>220</v>
      </c>
      <c r="G2444" s="5">
        <v>37027</v>
      </c>
    </row>
    <row r="2445" spans="1:7" x14ac:dyDescent="0.2">
      <c r="A2445">
        <v>858</v>
      </c>
      <c r="B2445" t="s">
        <v>573</v>
      </c>
      <c r="C2445" t="s">
        <v>710</v>
      </c>
      <c r="D2445" s="5">
        <v>5084</v>
      </c>
      <c r="E2445" s="5">
        <v>31086</v>
      </c>
      <c r="F2445" s="5">
        <v>0</v>
      </c>
      <c r="G2445" s="5">
        <v>36169</v>
      </c>
    </row>
    <row r="2446" spans="1:7" x14ac:dyDescent="0.2">
      <c r="A2446">
        <v>858</v>
      </c>
      <c r="B2446" t="s">
        <v>573</v>
      </c>
      <c r="C2446" t="s">
        <v>711</v>
      </c>
      <c r="D2446" s="5">
        <v>0</v>
      </c>
      <c r="E2446" s="5">
        <v>118</v>
      </c>
      <c r="F2446" s="5">
        <v>0</v>
      </c>
      <c r="G2446" s="5">
        <v>118</v>
      </c>
    </row>
    <row r="2447" spans="1:7" x14ac:dyDescent="0.2">
      <c r="A2447">
        <v>858</v>
      </c>
      <c r="B2447" t="s">
        <v>573</v>
      </c>
      <c r="C2447" t="s">
        <v>712</v>
      </c>
      <c r="D2447" s="5">
        <v>13885</v>
      </c>
      <c r="E2447" s="5">
        <v>87000</v>
      </c>
      <c r="F2447" s="5">
        <v>0</v>
      </c>
      <c r="G2447" s="5">
        <v>100884</v>
      </c>
    </row>
    <row r="2448" spans="1:7" x14ac:dyDescent="0.2">
      <c r="A2448">
        <v>861</v>
      </c>
      <c r="B2448" t="s">
        <v>581</v>
      </c>
      <c r="C2448" t="s">
        <v>700</v>
      </c>
      <c r="D2448" s="5">
        <v>194474</v>
      </c>
      <c r="E2448" s="5">
        <v>231078</v>
      </c>
      <c r="F2448" s="5">
        <v>2650</v>
      </c>
      <c r="G2448" s="5">
        <v>428201</v>
      </c>
    </row>
    <row r="2449" spans="1:7" x14ac:dyDescent="0.2">
      <c r="A2449">
        <v>861</v>
      </c>
      <c r="B2449" t="s">
        <v>581</v>
      </c>
      <c r="C2449" t="s">
        <v>701</v>
      </c>
      <c r="D2449" s="5">
        <v>9879</v>
      </c>
      <c r="E2449" s="5">
        <v>41080</v>
      </c>
      <c r="F2449" s="5">
        <v>0</v>
      </c>
      <c r="G2449" s="5">
        <v>50959</v>
      </c>
    </row>
    <row r="2450" spans="1:7" x14ac:dyDescent="0.2">
      <c r="A2450">
        <v>861</v>
      </c>
      <c r="B2450" t="s">
        <v>581</v>
      </c>
      <c r="C2450" t="s">
        <v>703</v>
      </c>
      <c r="D2450" s="5">
        <v>10148</v>
      </c>
      <c r="E2450" s="5">
        <v>56343</v>
      </c>
      <c r="F2450" s="5">
        <v>297</v>
      </c>
      <c r="G2450" s="5">
        <v>66788</v>
      </c>
    </row>
    <row r="2451" spans="1:7" x14ac:dyDescent="0.2">
      <c r="A2451">
        <v>861</v>
      </c>
      <c r="B2451" t="s">
        <v>581</v>
      </c>
      <c r="C2451" t="s">
        <v>704</v>
      </c>
      <c r="D2451" s="5">
        <v>44892</v>
      </c>
      <c r="E2451" s="5">
        <v>407493</v>
      </c>
      <c r="F2451" s="5">
        <v>750</v>
      </c>
      <c r="G2451" s="5">
        <v>453135</v>
      </c>
    </row>
    <row r="2452" spans="1:7" x14ac:dyDescent="0.2">
      <c r="A2452">
        <v>861</v>
      </c>
      <c r="B2452" t="s">
        <v>581</v>
      </c>
      <c r="C2452" t="s">
        <v>705</v>
      </c>
      <c r="D2452" s="5">
        <v>10661</v>
      </c>
      <c r="E2452" s="5">
        <v>125905</v>
      </c>
      <c r="F2452" s="5">
        <v>9894</v>
      </c>
      <c r="G2452" s="5">
        <v>146461</v>
      </c>
    </row>
    <row r="2453" spans="1:7" x14ac:dyDescent="0.2">
      <c r="A2453">
        <v>861</v>
      </c>
      <c r="B2453" t="s">
        <v>581</v>
      </c>
      <c r="C2453" t="s">
        <v>707</v>
      </c>
      <c r="D2453" s="5">
        <v>2275</v>
      </c>
      <c r="E2453" s="5">
        <v>32474</v>
      </c>
      <c r="F2453" s="5">
        <v>968</v>
      </c>
      <c r="G2453" s="5">
        <v>35716</v>
      </c>
    </row>
    <row r="2454" spans="1:7" x14ac:dyDescent="0.2">
      <c r="A2454">
        <v>861</v>
      </c>
      <c r="B2454" t="s">
        <v>581</v>
      </c>
      <c r="C2454" t="s">
        <v>708</v>
      </c>
      <c r="D2454" s="5">
        <v>797</v>
      </c>
      <c r="E2454" s="5">
        <v>25896</v>
      </c>
      <c r="F2454" s="5">
        <v>132</v>
      </c>
      <c r="G2454" s="5">
        <v>26825</v>
      </c>
    </row>
    <row r="2455" spans="1:7" x14ac:dyDescent="0.2">
      <c r="A2455">
        <v>861</v>
      </c>
      <c r="B2455" t="s">
        <v>581</v>
      </c>
      <c r="C2455" t="s">
        <v>709</v>
      </c>
      <c r="D2455" s="5">
        <v>12259</v>
      </c>
      <c r="E2455" s="5">
        <v>69679</v>
      </c>
      <c r="F2455" s="5">
        <v>181</v>
      </c>
      <c r="G2455" s="5">
        <v>82119</v>
      </c>
    </row>
    <row r="2456" spans="1:7" x14ac:dyDescent="0.2">
      <c r="A2456">
        <v>861</v>
      </c>
      <c r="B2456" t="s">
        <v>581</v>
      </c>
      <c r="C2456" t="s">
        <v>710</v>
      </c>
      <c r="D2456" s="5">
        <v>2548</v>
      </c>
      <c r="E2456" s="5">
        <v>36802</v>
      </c>
      <c r="F2456" s="5">
        <v>0</v>
      </c>
      <c r="G2456" s="5">
        <v>39350</v>
      </c>
    </row>
    <row r="2457" spans="1:7" x14ac:dyDescent="0.2">
      <c r="A2457">
        <v>861</v>
      </c>
      <c r="B2457" t="s">
        <v>581</v>
      </c>
      <c r="C2457" t="s">
        <v>712</v>
      </c>
      <c r="D2457" s="5">
        <v>8923</v>
      </c>
      <c r="E2457" s="5">
        <v>97551</v>
      </c>
      <c r="F2457" s="5">
        <v>0</v>
      </c>
      <c r="G2457" s="5">
        <v>106475</v>
      </c>
    </row>
    <row r="2458" spans="1:7" x14ac:dyDescent="0.2">
      <c r="A2458">
        <v>865</v>
      </c>
      <c r="B2458" t="s">
        <v>605</v>
      </c>
      <c r="C2458" t="s">
        <v>700</v>
      </c>
      <c r="D2458" s="5">
        <v>212567</v>
      </c>
      <c r="E2458" s="5">
        <v>224241</v>
      </c>
      <c r="F2458" s="5">
        <v>5327</v>
      </c>
      <c r="G2458" s="5">
        <v>442136</v>
      </c>
    </row>
    <row r="2459" spans="1:7" x14ac:dyDescent="0.2">
      <c r="A2459">
        <v>865</v>
      </c>
      <c r="B2459" t="s">
        <v>605</v>
      </c>
      <c r="C2459" t="s">
        <v>701</v>
      </c>
      <c r="D2459" s="5">
        <v>14923</v>
      </c>
      <c r="E2459" s="5">
        <v>20057</v>
      </c>
      <c r="F2459" s="5">
        <v>0</v>
      </c>
      <c r="G2459" s="5">
        <v>34981</v>
      </c>
    </row>
    <row r="2460" spans="1:7" x14ac:dyDescent="0.2">
      <c r="A2460">
        <v>865</v>
      </c>
      <c r="B2460" t="s">
        <v>605</v>
      </c>
      <c r="C2460" t="s">
        <v>702</v>
      </c>
      <c r="D2460" s="5">
        <v>2502</v>
      </c>
      <c r="E2460" s="5">
        <v>15966</v>
      </c>
      <c r="F2460" s="5">
        <v>0</v>
      </c>
      <c r="G2460" s="5">
        <v>18467</v>
      </c>
    </row>
    <row r="2461" spans="1:7" x14ac:dyDescent="0.2">
      <c r="A2461">
        <v>865</v>
      </c>
      <c r="B2461" t="s">
        <v>605</v>
      </c>
      <c r="C2461" t="s">
        <v>703</v>
      </c>
      <c r="D2461" s="5">
        <v>2920</v>
      </c>
      <c r="E2461" s="5">
        <v>32442</v>
      </c>
      <c r="F2461" s="5">
        <v>0</v>
      </c>
      <c r="G2461" s="5">
        <v>35362</v>
      </c>
    </row>
    <row r="2462" spans="1:7" x14ac:dyDescent="0.2">
      <c r="A2462">
        <v>865</v>
      </c>
      <c r="B2462" t="s">
        <v>605</v>
      </c>
      <c r="C2462" t="s">
        <v>704</v>
      </c>
      <c r="D2462" s="5">
        <v>14304</v>
      </c>
      <c r="E2462" s="5">
        <v>100015</v>
      </c>
      <c r="F2462" s="5">
        <v>16</v>
      </c>
      <c r="G2462" s="5">
        <v>114335</v>
      </c>
    </row>
    <row r="2463" spans="1:7" x14ac:dyDescent="0.2">
      <c r="A2463">
        <v>865</v>
      </c>
      <c r="B2463" t="s">
        <v>605</v>
      </c>
      <c r="C2463" t="s">
        <v>705</v>
      </c>
      <c r="D2463" s="5">
        <v>16917</v>
      </c>
      <c r="E2463" s="5">
        <v>54960</v>
      </c>
      <c r="F2463" s="5">
        <v>0</v>
      </c>
      <c r="G2463" s="5">
        <v>71877</v>
      </c>
    </row>
    <row r="2464" spans="1:7" x14ac:dyDescent="0.2">
      <c r="A2464">
        <v>865</v>
      </c>
      <c r="B2464" t="s">
        <v>605</v>
      </c>
      <c r="C2464" t="s">
        <v>707</v>
      </c>
      <c r="D2464" s="5">
        <v>14252</v>
      </c>
      <c r="E2464" s="5">
        <v>16762</v>
      </c>
      <c r="F2464" s="5">
        <v>0</v>
      </c>
      <c r="G2464" s="5">
        <v>31015</v>
      </c>
    </row>
    <row r="2465" spans="1:7" x14ac:dyDescent="0.2">
      <c r="A2465">
        <v>865</v>
      </c>
      <c r="B2465" t="s">
        <v>605</v>
      </c>
      <c r="C2465" t="s">
        <v>708</v>
      </c>
      <c r="D2465" s="5">
        <v>5736</v>
      </c>
      <c r="E2465" s="5">
        <v>24385</v>
      </c>
      <c r="F2465" s="5">
        <v>0</v>
      </c>
      <c r="G2465" s="5">
        <v>30121</v>
      </c>
    </row>
    <row r="2466" spans="1:7" x14ac:dyDescent="0.2">
      <c r="A2466">
        <v>865</v>
      </c>
      <c r="B2466" t="s">
        <v>605</v>
      </c>
      <c r="C2466" t="s">
        <v>709</v>
      </c>
      <c r="D2466" s="5">
        <v>16246</v>
      </c>
      <c r="E2466" s="5">
        <v>44204</v>
      </c>
      <c r="F2466" s="5">
        <v>146</v>
      </c>
      <c r="G2466" s="5">
        <v>60596</v>
      </c>
    </row>
    <row r="2467" spans="1:7" x14ac:dyDescent="0.2">
      <c r="A2467">
        <v>865</v>
      </c>
      <c r="B2467" t="s">
        <v>605</v>
      </c>
      <c r="C2467" t="s">
        <v>710</v>
      </c>
      <c r="D2467" s="5">
        <v>4426</v>
      </c>
      <c r="E2467" s="5">
        <v>40021</v>
      </c>
      <c r="F2467" s="5">
        <v>0</v>
      </c>
      <c r="G2467" s="5">
        <v>44447</v>
      </c>
    </row>
    <row r="2468" spans="1:7" x14ac:dyDescent="0.2">
      <c r="A2468">
        <v>865</v>
      </c>
      <c r="B2468" t="s">
        <v>605</v>
      </c>
      <c r="C2468" t="s">
        <v>712</v>
      </c>
      <c r="D2468" s="5">
        <v>9704</v>
      </c>
      <c r="E2468" s="5">
        <v>41870</v>
      </c>
      <c r="F2468" s="5">
        <v>0</v>
      </c>
      <c r="G2468" s="5">
        <v>51573</v>
      </c>
    </row>
    <row r="2469" spans="1:7" x14ac:dyDescent="0.2">
      <c r="A2469">
        <v>866</v>
      </c>
      <c r="B2469" t="s">
        <v>609</v>
      </c>
      <c r="C2469" t="s">
        <v>700</v>
      </c>
      <c r="D2469" s="5">
        <v>85177</v>
      </c>
      <c r="E2469" s="5">
        <v>99910</v>
      </c>
      <c r="F2469" s="5">
        <v>4041</v>
      </c>
      <c r="G2469" s="5">
        <v>189128</v>
      </c>
    </row>
    <row r="2470" spans="1:7" x14ac:dyDescent="0.2">
      <c r="A2470">
        <v>866</v>
      </c>
      <c r="B2470" t="s">
        <v>609</v>
      </c>
      <c r="C2470" t="s">
        <v>701</v>
      </c>
      <c r="D2470" s="5">
        <v>4767</v>
      </c>
      <c r="E2470" s="5">
        <v>2416</v>
      </c>
      <c r="F2470" s="5">
        <v>0</v>
      </c>
      <c r="G2470" s="5">
        <v>7183</v>
      </c>
    </row>
    <row r="2471" spans="1:7" x14ac:dyDescent="0.2">
      <c r="A2471">
        <v>866</v>
      </c>
      <c r="B2471" t="s">
        <v>609</v>
      </c>
      <c r="C2471" t="s">
        <v>703</v>
      </c>
      <c r="D2471" s="5">
        <v>1087</v>
      </c>
      <c r="E2471" s="5">
        <v>1829</v>
      </c>
      <c r="F2471" s="5">
        <v>0</v>
      </c>
      <c r="G2471" s="5">
        <v>2916</v>
      </c>
    </row>
    <row r="2472" spans="1:7" x14ac:dyDescent="0.2">
      <c r="A2472">
        <v>866</v>
      </c>
      <c r="B2472" t="s">
        <v>609</v>
      </c>
      <c r="C2472" t="s">
        <v>704</v>
      </c>
      <c r="D2472" s="5">
        <v>1619</v>
      </c>
      <c r="E2472" s="5">
        <v>20297</v>
      </c>
      <c r="F2472" s="5">
        <v>0</v>
      </c>
      <c r="G2472" s="5">
        <v>21916</v>
      </c>
    </row>
    <row r="2473" spans="1:7" x14ac:dyDescent="0.2">
      <c r="A2473">
        <v>866</v>
      </c>
      <c r="B2473" t="s">
        <v>609</v>
      </c>
      <c r="C2473" t="s">
        <v>705</v>
      </c>
      <c r="D2473" s="5">
        <v>2413</v>
      </c>
      <c r="E2473" s="5">
        <v>63775</v>
      </c>
      <c r="F2473" s="5">
        <v>0</v>
      </c>
      <c r="G2473" s="5">
        <v>66188</v>
      </c>
    </row>
    <row r="2474" spans="1:7" x14ac:dyDescent="0.2">
      <c r="A2474">
        <v>866</v>
      </c>
      <c r="B2474" t="s">
        <v>609</v>
      </c>
      <c r="C2474" t="s">
        <v>707</v>
      </c>
      <c r="D2474" s="5">
        <v>0</v>
      </c>
      <c r="E2474" s="5">
        <v>1256</v>
      </c>
      <c r="F2474" s="5">
        <v>0</v>
      </c>
      <c r="G2474" s="5">
        <v>1256</v>
      </c>
    </row>
    <row r="2475" spans="1:7" x14ac:dyDescent="0.2">
      <c r="A2475">
        <v>866</v>
      </c>
      <c r="B2475" t="s">
        <v>609</v>
      </c>
      <c r="C2475" t="s">
        <v>708</v>
      </c>
      <c r="D2475" s="5">
        <v>205</v>
      </c>
      <c r="E2475" s="5">
        <v>8954</v>
      </c>
      <c r="F2475" s="5">
        <v>0</v>
      </c>
      <c r="G2475" s="5">
        <v>9159</v>
      </c>
    </row>
    <row r="2476" spans="1:7" x14ac:dyDescent="0.2">
      <c r="A2476">
        <v>866</v>
      </c>
      <c r="B2476" t="s">
        <v>609</v>
      </c>
      <c r="C2476" t="s">
        <v>709</v>
      </c>
      <c r="D2476" s="5">
        <v>3390</v>
      </c>
      <c r="E2476" s="5">
        <v>7973</v>
      </c>
      <c r="F2476" s="5">
        <v>50</v>
      </c>
      <c r="G2476" s="5">
        <v>11414</v>
      </c>
    </row>
    <row r="2477" spans="1:7" x14ac:dyDescent="0.2">
      <c r="A2477">
        <v>866</v>
      </c>
      <c r="B2477" t="s">
        <v>609</v>
      </c>
      <c r="C2477" t="s">
        <v>710</v>
      </c>
      <c r="D2477" s="5">
        <v>711</v>
      </c>
      <c r="E2477" s="5">
        <v>11344</v>
      </c>
      <c r="F2477" s="5">
        <v>0</v>
      </c>
      <c r="G2477" s="5">
        <v>12055</v>
      </c>
    </row>
    <row r="2478" spans="1:7" x14ac:dyDescent="0.2">
      <c r="A2478">
        <v>866</v>
      </c>
      <c r="B2478" t="s">
        <v>609</v>
      </c>
      <c r="C2478" t="s">
        <v>712</v>
      </c>
      <c r="D2478" s="5">
        <v>2129</v>
      </c>
      <c r="E2478" s="5">
        <v>16470</v>
      </c>
      <c r="F2478" s="5">
        <v>0</v>
      </c>
      <c r="G2478" s="5">
        <v>18599</v>
      </c>
    </row>
    <row r="2479" spans="1:7" x14ac:dyDescent="0.2">
      <c r="A2479">
        <v>867</v>
      </c>
      <c r="B2479" t="s">
        <v>611</v>
      </c>
      <c r="C2479" t="s">
        <v>700</v>
      </c>
      <c r="D2479" s="5">
        <v>182303</v>
      </c>
      <c r="E2479" s="5">
        <v>623370</v>
      </c>
      <c r="F2479" s="5">
        <v>7883</v>
      </c>
      <c r="G2479" s="5">
        <v>813556</v>
      </c>
    </row>
    <row r="2480" spans="1:7" x14ac:dyDescent="0.2">
      <c r="A2480">
        <v>867</v>
      </c>
      <c r="B2480" t="s">
        <v>611</v>
      </c>
      <c r="C2480" t="s">
        <v>701</v>
      </c>
      <c r="D2480" s="5">
        <v>15342</v>
      </c>
      <c r="E2480" s="5">
        <v>29095</v>
      </c>
      <c r="F2480" s="5">
        <v>76</v>
      </c>
      <c r="G2480" s="5">
        <v>44514</v>
      </c>
    </row>
    <row r="2481" spans="1:7" x14ac:dyDescent="0.2">
      <c r="A2481">
        <v>867</v>
      </c>
      <c r="B2481" t="s">
        <v>611</v>
      </c>
      <c r="C2481" t="s">
        <v>703</v>
      </c>
      <c r="D2481" s="5">
        <v>2464</v>
      </c>
      <c r="E2481" s="5">
        <v>20046</v>
      </c>
      <c r="F2481" s="5">
        <v>3164</v>
      </c>
      <c r="G2481" s="5">
        <v>25674</v>
      </c>
    </row>
    <row r="2482" spans="1:7" x14ac:dyDescent="0.2">
      <c r="A2482">
        <v>867</v>
      </c>
      <c r="B2482" t="s">
        <v>611</v>
      </c>
      <c r="C2482" t="s">
        <v>704</v>
      </c>
      <c r="D2482" s="5">
        <v>68771</v>
      </c>
      <c r="E2482" s="5">
        <v>1011273</v>
      </c>
      <c r="F2482" s="5">
        <v>6973</v>
      </c>
      <c r="G2482" s="5">
        <v>1087017</v>
      </c>
    </row>
    <row r="2483" spans="1:7" x14ac:dyDescent="0.2">
      <c r="A2483">
        <v>867</v>
      </c>
      <c r="B2483" t="s">
        <v>611</v>
      </c>
      <c r="C2483" t="s">
        <v>705</v>
      </c>
      <c r="D2483" s="5">
        <v>10157</v>
      </c>
      <c r="E2483" s="5">
        <v>472594</v>
      </c>
      <c r="F2483" s="5">
        <v>8740</v>
      </c>
      <c r="G2483" s="5">
        <v>491492</v>
      </c>
    </row>
    <row r="2484" spans="1:7" x14ac:dyDescent="0.2">
      <c r="A2484">
        <v>867</v>
      </c>
      <c r="B2484" t="s">
        <v>611</v>
      </c>
      <c r="C2484" t="s">
        <v>707</v>
      </c>
      <c r="D2484" s="5">
        <v>2106</v>
      </c>
      <c r="E2484" s="5">
        <v>3295</v>
      </c>
      <c r="F2484" s="5">
        <v>0</v>
      </c>
      <c r="G2484" s="5">
        <v>5401</v>
      </c>
    </row>
    <row r="2485" spans="1:7" x14ac:dyDescent="0.2">
      <c r="A2485">
        <v>867</v>
      </c>
      <c r="B2485" t="s">
        <v>611</v>
      </c>
      <c r="C2485" t="s">
        <v>708</v>
      </c>
      <c r="D2485" s="5">
        <v>1838</v>
      </c>
      <c r="E2485" s="5">
        <v>40281</v>
      </c>
      <c r="F2485" s="5">
        <v>0</v>
      </c>
      <c r="G2485" s="5">
        <v>42119</v>
      </c>
    </row>
    <row r="2486" spans="1:7" x14ac:dyDescent="0.2">
      <c r="A2486">
        <v>867</v>
      </c>
      <c r="B2486" t="s">
        <v>611</v>
      </c>
      <c r="C2486" t="s">
        <v>709</v>
      </c>
      <c r="D2486" s="5">
        <v>4993</v>
      </c>
      <c r="E2486" s="5">
        <v>62506</v>
      </c>
      <c r="F2486" s="5">
        <v>1913</v>
      </c>
      <c r="G2486" s="5">
        <v>69412</v>
      </c>
    </row>
    <row r="2487" spans="1:7" x14ac:dyDescent="0.2">
      <c r="A2487">
        <v>867</v>
      </c>
      <c r="B2487" t="s">
        <v>611</v>
      </c>
      <c r="C2487" t="s">
        <v>710</v>
      </c>
      <c r="D2487" s="5">
        <v>1085</v>
      </c>
      <c r="E2487" s="5">
        <v>35120</v>
      </c>
      <c r="F2487" s="5">
        <v>0</v>
      </c>
      <c r="G2487" s="5">
        <v>36206</v>
      </c>
    </row>
    <row r="2488" spans="1:7" x14ac:dyDescent="0.2">
      <c r="A2488">
        <v>867</v>
      </c>
      <c r="B2488" t="s">
        <v>611</v>
      </c>
      <c r="C2488" t="s">
        <v>711</v>
      </c>
      <c r="D2488" s="5">
        <v>0</v>
      </c>
      <c r="E2488" s="5">
        <v>96</v>
      </c>
      <c r="F2488" s="5">
        <v>0</v>
      </c>
      <c r="G2488" s="5">
        <v>96</v>
      </c>
    </row>
    <row r="2489" spans="1:7" x14ac:dyDescent="0.2">
      <c r="A2489">
        <v>867</v>
      </c>
      <c r="B2489" t="s">
        <v>611</v>
      </c>
      <c r="C2489" t="s">
        <v>712</v>
      </c>
      <c r="D2489" s="5">
        <v>14669</v>
      </c>
      <c r="E2489" s="5">
        <v>253842</v>
      </c>
      <c r="F2489" s="5">
        <v>883</v>
      </c>
      <c r="G2489" s="5">
        <v>269394</v>
      </c>
    </row>
    <row r="2490" spans="1:7" x14ac:dyDescent="0.2">
      <c r="A2490">
        <v>873</v>
      </c>
      <c r="B2490" t="s">
        <v>649</v>
      </c>
      <c r="C2490" t="s">
        <v>700</v>
      </c>
      <c r="D2490" s="5">
        <v>236291</v>
      </c>
      <c r="E2490" s="5">
        <v>329166</v>
      </c>
      <c r="F2490" s="5">
        <v>3025</v>
      </c>
      <c r="G2490" s="5">
        <v>568482</v>
      </c>
    </row>
    <row r="2491" spans="1:7" x14ac:dyDescent="0.2">
      <c r="A2491">
        <v>873</v>
      </c>
      <c r="B2491" t="s">
        <v>649</v>
      </c>
      <c r="C2491" t="s">
        <v>701</v>
      </c>
      <c r="D2491" s="5">
        <v>14688</v>
      </c>
      <c r="E2491" s="5">
        <v>14667</v>
      </c>
      <c r="F2491" s="5">
        <v>0</v>
      </c>
      <c r="G2491" s="5">
        <v>29355</v>
      </c>
    </row>
    <row r="2492" spans="1:7" x14ac:dyDescent="0.2">
      <c r="A2492">
        <v>873</v>
      </c>
      <c r="B2492" t="s">
        <v>649</v>
      </c>
      <c r="C2492" t="s">
        <v>703</v>
      </c>
      <c r="D2492" s="5">
        <v>1663</v>
      </c>
      <c r="E2492" s="5">
        <v>6474</v>
      </c>
      <c r="F2492" s="5">
        <v>0</v>
      </c>
      <c r="G2492" s="5">
        <v>8136</v>
      </c>
    </row>
    <row r="2493" spans="1:7" x14ac:dyDescent="0.2">
      <c r="A2493">
        <v>873</v>
      </c>
      <c r="B2493" t="s">
        <v>649</v>
      </c>
      <c r="C2493" t="s">
        <v>704</v>
      </c>
      <c r="D2493" s="5">
        <v>24848</v>
      </c>
      <c r="E2493" s="5">
        <v>236635</v>
      </c>
      <c r="F2493" s="5">
        <v>339</v>
      </c>
      <c r="G2493" s="5">
        <v>261822</v>
      </c>
    </row>
    <row r="2494" spans="1:7" x14ac:dyDescent="0.2">
      <c r="A2494">
        <v>873</v>
      </c>
      <c r="B2494" t="s">
        <v>649</v>
      </c>
      <c r="C2494" t="s">
        <v>705</v>
      </c>
      <c r="D2494" s="5">
        <v>8822</v>
      </c>
      <c r="E2494" s="5">
        <v>128129</v>
      </c>
      <c r="F2494" s="5">
        <v>1618</v>
      </c>
      <c r="G2494" s="5">
        <v>138569</v>
      </c>
    </row>
    <row r="2495" spans="1:7" x14ac:dyDescent="0.2">
      <c r="A2495">
        <v>873</v>
      </c>
      <c r="B2495" t="s">
        <v>649</v>
      </c>
      <c r="C2495" t="s">
        <v>707</v>
      </c>
      <c r="D2495" s="5">
        <v>28540</v>
      </c>
      <c r="E2495" s="5">
        <v>48735</v>
      </c>
      <c r="F2495" s="5">
        <v>38</v>
      </c>
      <c r="G2495" s="5">
        <v>77313</v>
      </c>
    </row>
    <row r="2496" spans="1:7" x14ac:dyDescent="0.2">
      <c r="A2496">
        <v>873</v>
      </c>
      <c r="B2496" t="s">
        <v>649</v>
      </c>
      <c r="C2496" t="s">
        <v>708</v>
      </c>
      <c r="D2496" s="5">
        <v>2396</v>
      </c>
      <c r="E2496" s="5">
        <v>29330</v>
      </c>
      <c r="F2496" s="5">
        <v>0</v>
      </c>
      <c r="G2496" s="5">
        <v>31726</v>
      </c>
    </row>
    <row r="2497" spans="1:7" x14ac:dyDescent="0.2">
      <c r="A2497">
        <v>873</v>
      </c>
      <c r="B2497" t="s">
        <v>649</v>
      </c>
      <c r="C2497" t="s">
        <v>709</v>
      </c>
      <c r="D2497" s="5">
        <v>9565</v>
      </c>
      <c r="E2497" s="5">
        <v>74286</v>
      </c>
      <c r="F2497" s="5">
        <v>2709</v>
      </c>
      <c r="G2497" s="5">
        <v>86560</v>
      </c>
    </row>
    <row r="2498" spans="1:7" x14ac:dyDescent="0.2">
      <c r="A2498">
        <v>873</v>
      </c>
      <c r="B2498" t="s">
        <v>649</v>
      </c>
      <c r="C2498" t="s">
        <v>710</v>
      </c>
      <c r="D2498" s="5">
        <v>1244</v>
      </c>
      <c r="E2498" s="5">
        <v>14961</v>
      </c>
      <c r="F2498" s="5">
        <v>0</v>
      </c>
      <c r="G2498" s="5">
        <v>16205</v>
      </c>
    </row>
    <row r="2499" spans="1:7" x14ac:dyDescent="0.2">
      <c r="A2499">
        <v>873</v>
      </c>
      <c r="B2499" t="s">
        <v>649</v>
      </c>
      <c r="C2499" t="s">
        <v>712</v>
      </c>
      <c r="D2499" s="5">
        <v>6970</v>
      </c>
      <c r="E2499" s="5">
        <v>28794</v>
      </c>
      <c r="F2499" s="5">
        <v>0</v>
      </c>
      <c r="G2499" s="5">
        <v>35765</v>
      </c>
    </row>
    <row r="2500" spans="1:7" x14ac:dyDescent="0.2">
      <c r="A2500">
        <v>879</v>
      </c>
      <c r="B2500" t="s">
        <v>677</v>
      </c>
      <c r="C2500" t="s">
        <v>700</v>
      </c>
      <c r="D2500" s="5">
        <v>1074227</v>
      </c>
      <c r="E2500" s="5">
        <v>551699</v>
      </c>
      <c r="F2500" s="5">
        <v>24881</v>
      </c>
      <c r="G2500" s="5">
        <v>1650807</v>
      </c>
    </row>
    <row r="2501" spans="1:7" x14ac:dyDescent="0.2">
      <c r="A2501">
        <v>879</v>
      </c>
      <c r="B2501" t="s">
        <v>677</v>
      </c>
      <c r="C2501" t="s">
        <v>701</v>
      </c>
      <c r="D2501" s="5">
        <v>16156</v>
      </c>
      <c r="E2501" s="5">
        <v>18925</v>
      </c>
      <c r="F2501" s="5">
        <v>0</v>
      </c>
      <c r="G2501" s="5">
        <v>35081</v>
      </c>
    </row>
    <row r="2502" spans="1:7" x14ac:dyDescent="0.2">
      <c r="A2502">
        <v>879</v>
      </c>
      <c r="B2502" t="s">
        <v>677</v>
      </c>
      <c r="C2502" t="s">
        <v>703</v>
      </c>
      <c r="D2502" s="5">
        <v>842</v>
      </c>
      <c r="E2502" s="5">
        <v>3037</v>
      </c>
      <c r="F2502" s="5">
        <v>0</v>
      </c>
      <c r="G2502" s="5">
        <v>3879</v>
      </c>
    </row>
    <row r="2503" spans="1:7" x14ac:dyDescent="0.2">
      <c r="A2503">
        <v>879</v>
      </c>
      <c r="B2503" t="s">
        <v>677</v>
      </c>
      <c r="C2503" t="s">
        <v>704</v>
      </c>
      <c r="D2503" s="5">
        <v>314855</v>
      </c>
      <c r="E2503" s="5">
        <v>202478</v>
      </c>
      <c r="F2503" s="5">
        <v>115</v>
      </c>
      <c r="G2503" s="5">
        <v>517448</v>
      </c>
    </row>
    <row r="2504" spans="1:7" x14ac:dyDescent="0.2">
      <c r="A2504">
        <v>879</v>
      </c>
      <c r="B2504" t="s">
        <v>677</v>
      </c>
      <c r="C2504" t="s">
        <v>705</v>
      </c>
      <c r="D2504" s="5">
        <v>3029</v>
      </c>
      <c r="E2504" s="5">
        <v>26839</v>
      </c>
      <c r="F2504" s="5">
        <v>1502</v>
      </c>
      <c r="G2504" s="5">
        <v>31370</v>
      </c>
    </row>
    <row r="2505" spans="1:7" x14ac:dyDescent="0.2">
      <c r="A2505">
        <v>879</v>
      </c>
      <c r="B2505" t="s">
        <v>677</v>
      </c>
      <c r="C2505" t="s">
        <v>707</v>
      </c>
      <c r="D2505" s="5">
        <v>257</v>
      </c>
      <c r="E2505" s="5">
        <v>180</v>
      </c>
      <c r="F2505" s="5">
        <v>0</v>
      </c>
      <c r="G2505" s="5">
        <v>437</v>
      </c>
    </row>
    <row r="2506" spans="1:7" x14ac:dyDescent="0.2">
      <c r="A2506">
        <v>879</v>
      </c>
      <c r="B2506" t="s">
        <v>677</v>
      </c>
      <c r="C2506" t="s">
        <v>708</v>
      </c>
      <c r="D2506" s="5">
        <v>170</v>
      </c>
      <c r="E2506" s="5">
        <v>15265</v>
      </c>
      <c r="F2506" s="5">
        <v>0</v>
      </c>
      <c r="G2506" s="5">
        <v>15435</v>
      </c>
    </row>
    <row r="2507" spans="1:7" x14ac:dyDescent="0.2">
      <c r="A2507">
        <v>879</v>
      </c>
      <c r="B2507" t="s">
        <v>677</v>
      </c>
      <c r="C2507" t="s">
        <v>709</v>
      </c>
      <c r="D2507" s="5">
        <v>4081</v>
      </c>
      <c r="E2507" s="5">
        <v>11533</v>
      </c>
      <c r="F2507" s="5">
        <v>24</v>
      </c>
      <c r="G2507" s="5">
        <v>15638</v>
      </c>
    </row>
    <row r="2508" spans="1:7" x14ac:dyDescent="0.2">
      <c r="A2508">
        <v>879</v>
      </c>
      <c r="B2508" t="s">
        <v>677</v>
      </c>
      <c r="C2508" t="s">
        <v>710</v>
      </c>
      <c r="D2508" s="5">
        <v>2276</v>
      </c>
      <c r="E2508" s="5">
        <v>6524</v>
      </c>
      <c r="F2508" s="5">
        <v>0</v>
      </c>
      <c r="G2508" s="5">
        <v>8799</v>
      </c>
    </row>
    <row r="2509" spans="1:7" x14ac:dyDescent="0.2">
      <c r="A2509">
        <v>879</v>
      </c>
      <c r="B2509" t="s">
        <v>677</v>
      </c>
      <c r="C2509" t="s">
        <v>712</v>
      </c>
      <c r="D2509" s="5">
        <v>9681</v>
      </c>
      <c r="E2509" s="5">
        <v>26651</v>
      </c>
      <c r="F2509" s="5">
        <v>805</v>
      </c>
      <c r="G2509" s="5">
        <v>37138</v>
      </c>
    </row>
    <row r="2510" spans="1:7" x14ac:dyDescent="0.2">
      <c r="A2510">
        <v>880</v>
      </c>
      <c r="B2510" t="s">
        <v>655</v>
      </c>
      <c r="C2510" t="s">
        <v>700</v>
      </c>
      <c r="D2510" s="5">
        <v>133462</v>
      </c>
      <c r="E2510" s="5">
        <v>98293</v>
      </c>
      <c r="F2510" s="5">
        <v>2085</v>
      </c>
      <c r="G2510" s="5">
        <v>233840</v>
      </c>
    </row>
    <row r="2511" spans="1:7" x14ac:dyDescent="0.2">
      <c r="A2511">
        <v>880</v>
      </c>
      <c r="B2511" t="s">
        <v>655</v>
      </c>
      <c r="C2511" t="s">
        <v>701</v>
      </c>
      <c r="D2511" s="5">
        <v>3189</v>
      </c>
      <c r="E2511" s="5">
        <v>8327</v>
      </c>
      <c r="F2511" s="5">
        <v>0</v>
      </c>
      <c r="G2511" s="5">
        <v>11516</v>
      </c>
    </row>
    <row r="2512" spans="1:7" x14ac:dyDescent="0.2">
      <c r="A2512">
        <v>880</v>
      </c>
      <c r="B2512" t="s">
        <v>655</v>
      </c>
      <c r="C2512" t="s">
        <v>703</v>
      </c>
      <c r="D2512" s="5">
        <v>921</v>
      </c>
      <c r="E2512" s="5">
        <v>2960</v>
      </c>
      <c r="F2512" s="5">
        <v>0</v>
      </c>
      <c r="G2512" s="5">
        <v>3882</v>
      </c>
    </row>
    <row r="2513" spans="1:7" x14ac:dyDescent="0.2">
      <c r="A2513">
        <v>880</v>
      </c>
      <c r="B2513" t="s">
        <v>655</v>
      </c>
      <c r="C2513" t="s">
        <v>704</v>
      </c>
      <c r="D2513" s="5">
        <v>15001</v>
      </c>
      <c r="E2513" s="5">
        <v>103682</v>
      </c>
      <c r="F2513" s="5">
        <v>0</v>
      </c>
      <c r="G2513" s="5">
        <v>118683</v>
      </c>
    </row>
    <row r="2514" spans="1:7" x14ac:dyDescent="0.2">
      <c r="A2514">
        <v>880</v>
      </c>
      <c r="B2514" t="s">
        <v>655</v>
      </c>
      <c r="C2514" t="s">
        <v>705</v>
      </c>
      <c r="D2514" s="5">
        <v>662</v>
      </c>
      <c r="E2514" s="5">
        <v>30584</v>
      </c>
      <c r="F2514" s="5">
        <v>0</v>
      </c>
      <c r="G2514" s="5">
        <v>31246</v>
      </c>
    </row>
    <row r="2515" spans="1:7" x14ac:dyDescent="0.2">
      <c r="A2515">
        <v>880</v>
      </c>
      <c r="B2515" t="s">
        <v>655</v>
      </c>
      <c r="C2515" t="s">
        <v>707</v>
      </c>
      <c r="D2515" s="5">
        <v>1527</v>
      </c>
      <c r="E2515" s="5">
        <v>6399</v>
      </c>
      <c r="F2515" s="5">
        <v>269</v>
      </c>
      <c r="G2515" s="5">
        <v>8194</v>
      </c>
    </row>
    <row r="2516" spans="1:7" x14ac:dyDescent="0.2">
      <c r="A2516">
        <v>880</v>
      </c>
      <c r="B2516" t="s">
        <v>655</v>
      </c>
      <c r="C2516" t="s">
        <v>708</v>
      </c>
      <c r="D2516" s="5">
        <v>0</v>
      </c>
      <c r="E2516" s="5">
        <v>5661</v>
      </c>
      <c r="F2516" s="5">
        <v>0</v>
      </c>
      <c r="G2516" s="5">
        <v>5661</v>
      </c>
    </row>
    <row r="2517" spans="1:7" x14ac:dyDescent="0.2">
      <c r="A2517">
        <v>880</v>
      </c>
      <c r="B2517" t="s">
        <v>655</v>
      </c>
      <c r="C2517" t="s">
        <v>709</v>
      </c>
      <c r="D2517" s="5">
        <v>4722</v>
      </c>
      <c r="E2517" s="5">
        <v>20356</v>
      </c>
      <c r="F2517" s="5">
        <v>84</v>
      </c>
      <c r="G2517" s="5">
        <v>25162</v>
      </c>
    </row>
    <row r="2518" spans="1:7" x14ac:dyDescent="0.2">
      <c r="A2518">
        <v>880</v>
      </c>
      <c r="B2518" t="s">
        <v>655</v>
      </c>
      <c r="C2518" t="s">
        <v>710</v>
      </c>
      <c r="D2518" s="5">
        <v>832</v>
      </c>
      <c r="E2518" s="5">
        <v>19714</v>
      </c>
      <c r="F2518" s="5">
        <v>0</v>
      </c>
      <c r="G2518" s="5">
        <v>20546</v>
      </c>
    </row>
    <row r="2519" spans="1:7" x14ac:dyDescent="0.2">
      <c r="A2519">
        <v>880</v>
      </c>
      <c r="B2519" t="s">
        <v>655</v>
      </c>
      <c r="C2519" t="s">
        <v>712</v>
      </c>
      <c r="D2519" s="5">
        <v>923</v>
      </c>
      <c r="E2519" s="5">
        <v>13603</v>
      </c>
      <c r="F2519" s="5">
        <v>0</v>
      </c>
      <c r="G2519" s="5">
        <v>14525</v>
      </c>
    </row>
    <row r="2520" spans="1:7" x14ac:dyDescent="0.2">
      <c r="A2520">
        <v>882</v>
      </c>
      <c r="B2520" t="s">
        <v>311</v>
      </c>
      <c r="C2520" t="s">
        <v>700</v>
      </c>
      <c r="D2520" s="5">
        <v>49639</v>
      </c>
      <c r="E2520" s="5">
        <v>219059</v>
      </c>
      <c r="F2520" s="5">
        <v>899</v>
      </c>
      <c r="G2520" s="5">
        <v>269598</v>
      </c>
    </row>
    <row r="2521" spans="1:7" x14ac:dyDescent="0.2">
      <c r="A2521">
        <v>882</v>
      </c>
      <c r="B2521" t="s">
        <v>311</v>
      </c>
      <c r="C2521" t="s">
        <v>701</v>
      </c>
      <c r="D2521" s="5">
        <v>14886</v>
      </c>
      <c r="E2521" s="5">
        <v>33843</v>
      </c>
      <c r="F2521" s="5">
        <v>5</v>
      </c>
      <c r="G2521" s="5">
        <v>48734</v>
      </c>
    </row>
    <row r="2522" spans="1:7" x14ac:dyDescent="0.2">
      <c r="A2522">
        <v>882</v>
      </c>
      <c r="B2522" t="s">
        <v>311</v>
      </c>
      <c r="C2522" t="s">
        <v>703</v>
      </c>
      <c r="D2522" s="5">
        <v>2355</v>
      </c>
      <c r="E2522" s="5">
        <v>12198</v>
      </c>
      <c r="F2522" s="5">
        <v>0</v>
      </c>
      <c r="G2522" s="5">
        <v>14553</v>
      </c>
    </row>
    <row r="2523" spans="1:7" x14ac:dyDescent="0.2">
      <c r="A2523">
        <v>882</v>
      </c>
      <c r="B2523" t="s">
        <v>311</v>
      </c>
      <c r="C2523" t="s">
        <v>704</v>
      </c>
      <c r="D2523" s="5">
        <v>11030</v>
      </c>
      <c r="E2523" s="5">
        <v>175315</v>
      </c>
      <c r="F2523" s="5">
        <v>0</v>
      </c>
      <c r="G2523" s="5">
        <v>186345</v>
      </c>
    </row>
    <row r="2524" spans="1:7" x14ac:dyDescent="0.2">
      <c r="A2524">
        <v>882</v>
      </c>
      <c r="B2524" t="s">
        <v>311</v>
      </c>
      <c r="C2524" t="s">
        <v>705</v>
      </c>
      <c r="D2524" s="5">
        <v>2145</v>
      </c>
      <c r="E2524" s="5">
        <v>30391</v>
      </c>
      <c r="F2524" s="5">
        <v>0</v>
      </c>
      <c r="G2524" s="5">
        <v>32536</v>
      </c>
    </row>
    <row r="2525" spans="1:7" x14ac:dyDescent="0.2">
      <c r="A2525">
        <v>882</v>
      </c>
      <c r="B2525" t="s">
        <v>311</v>
      </c>
      <c r="C2525" t="s">
        <v>707</v>
      </c>
      <c r="D2525" s="5">
        <v>3756</v>
      </c>
      <c r="E2525" s="5">
        <v>0</v>
      </c>
      <c r="F2525" s="5">
        <v>0</v>
      </c>
      <c r="G2525" s="5">
        <v>3756</v>
      </c>
    </row>
    <row r="2526" spans="1:7" x14ac:dyDescent="0.2">
      <c r="A2526">
        <v>882</v>
      </c>
      <c r="B2526" t="s">
        <v>311</v>
      </c>
      <c r="C2526" t="s">
        <v>708</v>
      </c>
      <c r="D2526" s="5">
        <v>481</v>
      </c>
      <c r="E2526" s="5">
        <v>16053</v>
      </c>
      <c r="F2526" s="5">
        <v>0</v>
      </c>
      <c r="G2526" s="5">
        <v>16534</v>
      </c>
    </row>
    <row r="2527" spans="1:7" x14ac:dyDescent="0.2">
      <c r="A2527">
        <v>882</v>
      </c>
      <c r="B2527" t="s">
        <v>311</v>
      </c>
      <c r="C2527" t="s">
        <v>709</v>
      </c>
      <c r="D2527" s="5">
        <v>5015</v>
      </c>
      <c r="E2527" s="5">
        <v>32853</v>
      </c>
      <c r="F2527" s="5">
        <v>85</v>
      </c>
      <c r="G2527" s="5">
        <v>37954</v>
      </c>
    </row>
    <row r="2528" spans="1:7" x14ac:dyDescent="0.2">
      <c r="A2528">
        <v>882</v>
      </c>
      <c r="B2528" t="s">
        <v>311</v>
      </c>
      <c r="C2528" t="s">
        <v>710</v>
      </c>
      <c r="D2528" s="5">
        <v>853</v>
      </c>
      <c r="E2528" s="5">
        <v>52924</v>
      </c>
      <c r="F2528" s="5">
        <v>1645</v>
      </c>
      <c r="G2528" s="5">
        <v>55423</v>
      </c>
    </row>
    <row r="2529" spans="1:7" x14ac:dyDescent="0.2">
      <c r="A2529">
        <v>882</v>
      </c>
      <c r="B2529" t="s">
        <v>311</v>
      </c>
      <c r="C2529" t="s">
        <v>712</v>
      </c>
      <c r="D2529" s="5">
        <v>10232</v>
      </c>
      <c r="E2529" s="5">
        <v>60538</v>
      </c>
      <c r="F2529" s="5">
        <v>0</v>
      </c>
      <c r="G2529" s="5">
        <v>70770</v>
      </c>
    </row>
    <row r="2530" spans="1:7" x14ac:dyDescent="0.2">
      <c r="A2530">
        <v>888</v>
      </c>
      <c r="B2530" t="s">
        <v>51</v>
      </c>
      <c r="C2530" t="s">
        <v>700</v>
      </c>
      <c r="D2530" s="5">
        <v>63987</v>
      </c>
      <c r="E2530" s="5">
        <v>102463</v>
      </c>
      <c r="F2530" s="5">
        <v>759</v>
      </c>
      <c r="G2530" s="5">
        <v>167209</v>
      </c>
    </row>
    <row r="2531" spans="1:7" x14ac:dyDescent="0.2">
      <c r="A2531">
        <v>888</v>
      </c>
      <c r="B2531" t="s">
        <v>51</v>
      </c>
      <c r="C2531" t="s">
        <v>701</v>
      </c>
      <c r="D2531" s="5">
        <v>7445</v>
      </c>
      <c r="E2531" s="5">
        <v>10313</v>
      </c>
      <c r="F2531" s="5">
        <v>0</v>
      </c>
      <c r="G2531" s="5">
        <v>17758</v>
      </c>
    </row>
    <row r="2532" spans="1:7" x14ac:dyDescent="0.2">
      <c r="A2532">
        <v>888</v>
      </c>
      <c r="B2532" t="s">
        <v>51</v>
      </c>
      <c r="C2532" t="s">
        <v>703</v>
      </c>
      <c r="D2532" s="5">
        <v>347</v>
      </c>
      <c r="E2532" s="5">
        <v>3981</v>
      </c>
      <c r="F2532" s="5">
        <v>0</v>
      </c>
      <c r="G2532" s="5">
        <v>4328</v>
      </c>
    </row>
    <row r="2533" spans="1:7" x14ac:dyDescent="0.2">
      <c r="A2533">
        <v>888</v>
      </c>
      <c r="B2533" t="s">
        <v>51</v>
      </c>
      <c r="C2533" t="s">
        <v>704</v>
      </c>
      <c r="D2533" s="5">
        <v>9874</v>
      </c>
      <c r="E2533" s="5">
        <v>148014</v>
      </c>
      <c r="F2533" s="5">
        <v>0</v>
      </c>
      <c r="G2533" s="5">
        <v>157888</v>
      </c>
    </row>
    <row r="2534" spans="1:7" x14ac:dyDescent="0.2">
      <c r="A2534">
        <v>888</v>
      </c>
      <c r="B2534" t="s">
        <v>51</v>
      </c>
      <c r="C2534" t="s">
        <v>705</v>
      </c>
      <c r="D2534" s="5">
        <v>4140</v>
      </c>
      <c r="E2534" s="5">
        <v>102343</v>
      </c>
      <c r="F2534" s="5">
        <v>0</v>
      </c>
      <c r="G2534" s="5">
        <v>106483</v>
      </c>
    </row>
    <row r="2535" spans="1:7" x14ac:dyDescent="0.2">
      <c r="A2535">
        <v>888</v>
      </c>
      <c r="B2535" t="s">
        <v>51</v>
      </c>
      <c r="C2535" t="s">
        <v>707</v>
      </c>
      <c r="D2535" s="5">
        <v>247</v>
      </c>
      <c r="E2535" s="5">
        <v>3067</v>
      </c>
      <c r="F2535" s="5">
        <v>0</v>
      </c>
      <c r="G2535" s="5">
        <v>3314</v>
      </c>
    </row>
    <row r="2536" spans="1:7" x14ac:dyDescent="0.2">
      <c r="A2536">
        <v>888</v>
      </c>
      <c r="B2536" t="s">
        <v>51</v>
      </c>
      <c r="C2536" t="s">
        <v>708</v>
      </c>
      <c r="D2536" s="5">
        <v>0</v>
      </c>
      <c r="E2536" s="5">
        <v>14421</v>
      </c>
      <c r="F2536" s="5">
        <v>0</v>
      </c>
      <c r="G2536" s="5">
        <v>14421</v>
      </c>
    </row>
    <row r="2537" spans="1:7" x14ac:dyDescent="0.2">
      <c r="A2537">
        <v>888</v>
      </c>
      <c r="B2537" t="s">
        <v>51</v>
      </c>
      <c r="C2537" t="s">
        <v>709</v>
      </c>
      <c r="D2537" s="5">
        <v>4925</v>
      </c>
      <c r="E2537" s="5">
        <v>33883</v>
      </c>
      <c r="F2537" s="5">
        <v>10</v>
      </c>
      <c r="G2537" s="5">
        <v>38817</v>
      </c>
    </row>
    <row r="2538" spans="1:7" x14ac:dyDescent="0.2">
      <c r="A2538">
        <v>888</v>
      </c>
      <c r="B2538" t="s">
        <v>51</v>
      </c>
      <c r="C2538" t="s">
        <v>710</v>
      </c>
      <c r="D2538" s="5">
        <v>19</v>
      </c>
      <c r="E2538" s="5">
        <v>10349</v>
      </c>
      <c r="F2538" s="5">
        <v>0</v>
      </c>
      <c r="G2538" s="5">
        <v>10369</v>
      </c>
    </row>
    <row r="2539" spans="1:7" x14ac:dyDescent="0.2">
      <c r="A2539">
        <v>888</v>
      </c>
      <c r="B2539" t="s">
        <v>51</v>
      </c>
      <c r="C2539" t="s">
        <v>712</v>
      </c>
      <c r="D2539" s="5">
        <v>7247</v>
      </c>
      <c r="E2539" s="5">
        <v>81606</v>
      </c>
      <c r="F2539" s="5">
        <v>24</v>
      </c>
      <c r="G2539" s="5">
        <v>88877</v>
      </c>
    </row>
    <row r="2540" spans="1:7" x14ac:dyDescent="0.2">
      <c r="A2540">
        <v>889</v>
      </c>
      <c r="B2540" t="s">
        <v>55</v>
      </c>
      <c r="C2540" t="s">
        <v>700</v>
      </c>
      <c r="D2540" s="5">
        <v>191241</v>
      </c>
      <c r="E2540" s="5">
        <v>153009</v>
      </c>
      <c r="F2540" s="5">
        <v>8952</v>
      </c>
      <c r="G2540" s="5">
        <v>353201</v>
      </c>
    </row>
    <row r="2541" spans="1:7" x14ac:dyDescent="0.2">
      <c r="A2541">
        <v>889</v>
      </c>
      <c r="B2541" t="s">
        <v>55</v>
      </c>
      <c r="C2541" t="s">
        <v>701</v>
      </c>
      <c r="D2541" s="5">
        <v>7444</v>
      </c>
      <c r="E2541" s="5">
        <v>10033</v>
      </c>
      <c r="F2541" s="5">
        <v>0</v>
      </c>
      <c r="G2541" s="5">
        <v>17477</v>
      </c>
    </row>
    <row r="2542" spans="1:7" x14ac:dyDescent="0.2">
      <c r="A2542">
        <v>889</v>
      </c>
      <c r="B2542" t="s">
        <v>55</v>
      </c>
      <c r="C2542" t="s">
        <v>703</v>
      </c>
      <c r="D2542" s="5">
        <v>197</v>
      </c>
      <c r="E2542" s="5">
        <v>2505</v>
      </c>
      <c r="F2542" s="5">
        <v>591</v>
      </c>
      <c r="G2542" s="5">
        <v>3293</v>
      </c>
    </row>
    <row r="2543" spans="1:7" x14ac:dyDescent="0.2">
      <c r="A2543">
        <v>889</v>
      </c>
      <c r="B2543" t="s">
        <v>55</v>
      </c>
      <c r="C2543" t="s">
        <v>704</v>
      </c>
      <c r="D2543" s="5">
        <v>22620</v>
      </c>
      <c r="E2543" s="5">
        <v>139187</v>
      </c>
      <c r="F2543" s="5">
        <v>0</v>
      </c>
      <c r="G2543" s="5">
        <v>161807</v>
      </c>
    </row>
    <row r="2544" spans="1:7" x14ac:dyDescent="0.2">
      <c r="A2544">
        <v>889</v>
      </c>
      <c r="B2544" t="s">
        <v>55</v>
      </c>
      <c r="C2544" t="s">
        <v>705</v>
      </c>
      <c r="D2544" s="5">
        <v>4788</v>
      </c>
      <c r="E2544" s="5">
        <v>16307</v>
      </c>
      <c r="F2544" s="5">
        <v>0</v>
      </c>
      <c r="G2544" s="5">
        <v>21095</v>
      </c>
    </row>
    <row r="2545" spans="1:7" x14ac:dyDescent="0.2">
      <c r="A2545">
        <v>889</v>
      </c>
      <c r="B2545" t="s">
        <v>55</v>
      </c>
      <c r="C2545" t="s">
        <v>707</v>
      </c>
      <c r="D2545" s="5">
        <v>13038</v>
      </c>
      <c r="E2545" s="5">
        <v>16740</v>
      </c>
      <c r="F2545" s="5">
        <v>0</v>
      </c>
      <c r="G2545" s="5">
        <v>29778</v>
      </c>
    </row>
    <row r="2546" spans="1:7" x14ac:dyDescent="0.2">
      <c r="A2546">
        <v>889</v>
      </c>
      <c r="B2546" t="s">
        <v>55</v>
      </c>
      <c r="C2546" t="s">
        <v>708</v>
      </c>
      <c r="D2546" s="5">
        <v>2209</v>
      </c>
      <c r="E2546" s="5">
        <v>3237</v>
      </c>
      <c r="F2546" s="5">
        <v>0</v>
      </c>
      <c r="G2546" s="5">
        <v>5445</v>
      </c>
    </row>
    <row r="2547" spans="1:7" x14ac:dyDescent="0.2">
      <c r="A2547">
        <v>889</v>
      </c>
      <c r="B2547" t="s">
        <v>55</v>
      </c>
      <c r="C2547" t="s">
        <v>709</v>
      </c>
      <c r="D2547" s="5">
        <v>1826</v>
      </c>
      <c r="E2547" s="5">
        <v>5174</v>
      </c>
      <c r="F2547" s="5">
        <v>18</v>
      </c>
      <c r="G2547" s="5">
        <v>7018</v>
      </c>
    </row>
    <row r="2548" spans="1:7" x14ac:dyDescent="0.2">
      <c r="A2548">
        <v>889</v>
      </c>
      <c r="B2548" t="s">
        <v>55</v>
      </c>
      <c r="C2548" t="s">
        <v>710</v>
      </c>
      <c r="D2548" s="5">
        <v>0</v>
      </c>
      <c r="E2548" s="5">
        <v>9920</v>
      </c>
      <c r="F2548" s="5">
        <v>0</v>
      </c>
      <c r="G2548" s="5">
        <v>9920</v>
      </c>
    </row>
    <row r="2549" spans="1:7" x14ac:dyDescent="0.2">
      <c r="A2549">
        <v>889</v>
      </c>
      <c r="B2549" t="s">
        <v>55</v>
      </c>
      <c r="C2549" t="s">
        <v>712</v>
      </c>
      <c r="D2549" s="5">
        <v>5858</v>
      </c>
      <c r="E2549" s="5">
        <v>35644</v>
      </c>
      <c r="F2549" s="5">
        <v>0</v>
      </c>
      <c r="G2549" s="5">
        <v>41502</v>
      </c>
    </row>
    <row r="2550" spans="1:7" x14ac:dyDescent="0.2">
      <c r="A2550">
        <v>893</v>
      </c>
      <c r="B2550" t="s">
        <v>61</v>
      </c>
      <c r="C2550" t="s">
        <v>700</v>
      </c>
      <c r="D2550" s="5">
        <v>477773</v>
      </c>
      <c r="E2550" s="5">
        <v>315061</v>
      </c>
      <c r="F2550" s="5">
        <v>2685</v>
      </c>
      <c r="G2550" s="5">
        <v>795519</v>
      </c>
    </row>
    <row r="2551" spans="1:7" x14ac:dyDescent="0.2">
      <c r="A2551">
        <v>893</v>
      </c>
      <c r="B2551" t="s">
        <v>61</v>
      </c>
      <c r="C2551" t="s">
        <v>701</v>
      </c>
      <c r="D2551" s="5">
        <v>8877</v>
      </c>
      <c r="E2551" s="5">
        <v>5863</v>
      </c>
      <c r="F2551" s="5">
        <v>2723</v>
      </c>
      <c r="G2551" s="5">
        <v>17463</v>
      </c>
    </row>
    <row r="2552" spans="1:7" x14ac:dyDescent="0.2">
      <c r="A2552">
        <v>893</v>
      </c>
      <c r="B2552" t="s">
        <v>61</v>
      </c>
      <c r="C2552" t="s">
        <v>703</v>
      </c>
      <c r="D2552" s="5">
        <v>841</v>
      </c>
      <c r="E2552" s="5">
        <v>1411</v>
      </c>
      <c r="F2552" s="5">
        <v>0</v>
      </c>
      <c r="G2552" s="5">
        <v>2252</v>
      </c>
    </row>
    <row r="2553" spans="1:7" x14ac:dyDescent="0.2">
      <c r="A2553">
        <v>893</v>
      </c>
      <c r="B2553" t="s">
        <v>61</v>
      </c>
      <c r="C2553" t="s">
        <v>704</v>
      </c>
      <c r="D2553" s="5">
        <v>99287</v>
      </c>
      <c r="E2553" s="5">
        <v>95875</v>
      </c>
      <c r="F2553" s="5">
        <v>0</v>
      </c>
      <c r="G2553" s="5">
        <v>195161</v>
      </c>
    </row>
    <row r="2554" spans="1:7" x14ac:dyDescent="0.2">
      <c r="A2554">
        <v>893</v>
      </c>
      <c r="B2554" t="s">
        <v>61</v>
      </c>
      <c r="C2554" t="s">
        <v>705</v>
      </c>
      <c r="D2554" s="5">
        <v>48003</v>
      </c>
      <c r="E2554" s="5">
        <v>40165</v>
      </c>
      <c r="F2554" s="5">
        <v>0</v>
      </c>
      <c r="G2554" s="5">
        <v>88168</v>
      </c>
    </row>
    <row r="2555" spans="1:7" x14ac:dyDescent="0.2">
      <c r="A2555">
        <v>893</v>
      </c>
      <c r="B2555" t="s">
        <v>61</v>
      </c>
      <c r="C2555" t="s">
        <v>707</v>
      </c>
      <c r="D2555" s="5">
        <v>10974</v>
      </c>
      <c r="E2555" s="5">
        <v>2087</v>
      </c>
      <c r="F2555" s="5">
        <v>0</v>
      </c>
      <c r="G2555" s="5">
        <v>13061</v>
      </c>
    </row>
    <row r="2556" spans="1:7" x14ac:dyDescent="0.2">
      <c r="A2556">
        <v>893</v>
      </c>
      <c r="B2556" t="s">
        <v>61</v>
      </c>
      <c r="C2556" t="s">
        <v>708</v>
      </c>
      <c r="D2556" s="5">
        <v>1592</v>
      </c>
      <c r="E2556" s="5">
        <v>6905</v>
      </c>
      <c r="F2556" s="5">
        <v>0</v>
      </c>
      <c r="G2556" s="5">
        <v>8496</v>
      </c>
    </row>
    <row r="2557" spans="1:7" x14ac:dyDescent="0.2">
      <c r="A2557">
        <v>893</v>
      </c>
      <c r="B2557" t="s">
        <v>61</v>
      </c>
      <c r="C2557" t="s">
        <v>709</v>
      </c>
      <c r="D2557" s="5">
        <v>2344</v>
      </c>
      <c r="E2557" s="5">
        <v>1875</v>
      </c>
      <c r="F2557" s="5">
        <v>11</v>
      </c>
      <c r="G2557" s="5">
        <v>4230</v>
      </c>
    </row>
    <row r="2558" spans="1:7" x14ac:dyDescent="0.2">
      <c r="A2558">
        <v>893</v>
      </c>
      <c r="B2558" t="s">
        <v>61</v>
      </c>
      <c r="C2558" t="s">
        <v>710</v>
      </c>
      <c r="D2558" s="5">
        <v>1316</v>
      </c>
      <c r="E2558" s="5">
        <v>14832</v>
      </c>
      <c r="F2558" s="5">
        <v>0</v>
      </c>
      <c r="G2558" s="5">
        <v>16148</v>
      </c>
    </row>
    <row r="2559" spans="1:7" x14ac:dyDescent="0.2">
      <c r="A2559">
        <v>893</v>
      </c>
      <c r="B2559" t="s">
        <v>61</v>
      </c>
      <c r="C2559" t="s">
        <v>712</v>
      </c>
      <c r="D2559" s="5">
        <v>10667</v>
      </c>
      <c r="E2559" s="5">
        <v>18697</v>
      </c>
      <c r="F2559" s="5">
        <v>0</v>
      </c>
      <c r="G2559" s="5">
        <v>29364</v>
      </c>
    </row>
    <row r="2560" spans="1:7" x14ac:dyDescent="0.2">
      <c r="A2560">
        <v>899</v>
      </c>
      <c r="B2560" t="s">
        <v>103</v>
      </c>
      <c r="C2560" t="s">
        <v>700</v>
      </c>
      <c r="D2560" s="5">
        <v>33106</v>
      </c>
      <c r="E2560" s="5">
        <v>115456</v>
      </c>
      <c r="F2560" s="5">
        <v>3793</v>
      </c>
      <c r="G2560" s="5">
        <v>152355</v>
      </c>
    </row>
    <row r="2561" spans="1:7" x14ac:dyDescent="0.2">
      <c r="A2561">
        <v>899</v>
      </c>
      <c r="B2561" t="s">
        <v>103</v>
      </c>
      <c r="C2561" t="s">
        <v>701</v>
      </c>
      <c r="D2561" s="5">
        <v>6552</v>
      </c>
      <c r="E2561" s="5">
        <v>22385</v>
      </c>
      <c r="F2561" s="5">
        <v>0</v>
      </c>
      <c r="G2561" s="5">
        <v>28937</v>
      </c>
    </row>
    <row r="2562" spans="1:7" x14ac:dyDescent="0.2">
      <c r="A2562">
        <v>899</v>
      </c>
      <c r="B2562" t="s">
        <v>103</v>
      </c>
      <c r="C2562" t="s">
        <v>703</v>
      </c>
      <c r="D2562" s="5">
        <v>861</v>
      </c>
      <c r="E2562" s="5">
        <v>5813</v>
      </c>
      <c r="F2562" s="5">
        <v>0</v>
      </c>
      <c r="G2562" s="5">
        <v>6674</v>
      </c>
    </row>
    <row r="2563" spans="1:7" x14ac:dyDescent="0.2">
      <c r="A2563">
        <v>899</v>
      </c>
      <c r="B2563" t="s">
        <v>103</v>
      </c>
      <c r="C2563" t="s">
        <v>704</v>
      </c>
      <c r="D2563" s="5">
        <v>2622</v>
      </c>
      <c r="E2563" s="5">
        <v>133018</v>
      </c>
      <c r="F2563" s="5">
        <v>487</v>
      </c>
      <c r="G2563" s="5">
        <v>136127</v>
      </c>
    </row>
    <row r="2564" spans="1:7" x14ac:dyDescent="0.2">
      <c r="A2564">
        <v>899</v>
      </c>
      <c r="B2564" t="s">
        <v>103</v>
      </c>
      <c r="C2564" t="s">
        <v>705</v>
      </c>
      <c r="D2564" s="5">
        <v>5667</v>
      </c>
      <c r="E2564" s="5">
        <v>112541</v>
      </c>
      <c r="F2564" s="5">
        <v>29</v>
      </c>
      <c r="G2564" s="5">
        <v>118236</v>
      </c>
    </row>
    <row r="2565" spans="1:7" x14ac:dyDescent="0.2">
      <c r="A2565">
        <v>899</v>
      </c>
      <c r="B2565" t="s">
        <v>103</v>
      </c>
      <c r="C2565" t="s">
        <v>707</v>
      </c>
      <c r="D2565" s="5">
        <v>857</v>
      </c>
      <c r="E2565" s="5">
        <v>12463</v>
      </c>
      <c r="F2565" s="5">
        <v>0</v>
      </c>
      <c r="G2565" s="5">
        <v>13320</v>
      </c>
    </row>
    <row r="2566" spans="1:7" x14ac:dyDescent="0.2">
      <c r="A2566">
        <v>899</v>
      </c>
      <c r="B2566" t="s">
        <v>103</v>
      </c>
      <c r="C2566" t="s">
        <v>708</v>
      </c>
      <c r="D2566" s="5">
        <v>2257</v>
      </c>
      <c r="E2566" s="5">
        <v>23176</v>
      </c>
      <c r="F2566" s="5">
        <v>0</v>
      </c>
      <c r="G2566" s="5">
        <v>25433</v>
      </c>
    </row>
    <row r="2567" spans="1:7" x14ac:dyDescent="0.2">
      <c r="A2567">
        <v>899</v>
      </c>
      <c r="B2567" t="s">
        <v>103</v>
      </c>
      <c r="C2567" t="s">
        <v>709</v>
      </c>
      <c r="D2567" s="5">
        <v>30230</v>
      </c>
      <c r="E2567" s="5">
        <v>83629</v>
      </c>
      <c r="F2567" s="5">
        <v>113</v>
      </c>
      <c r="G2567" s="5">
        <v>113972</v>
      </c>
    </row>
    <row r="2568" spans="1:7" x14ac:dyDescent="0.2">
      <c r="A2568">
        <v>899</v>
      </c>
      <c r="B2568" t="s">
        <v>103</v>
      </c>
      <c r="C2568" t="s">
        <v>710</v>
      </c>
      <c r="D2568" s="5">
        <v>950</v>
      </c>
      <c r="E2568" s="5">
        <v>24869</v>
      </c>
      <c r="F2568" s="5">
        <v>0</v>
      </c>
      <c r="G2568" s="5">
        <v>25819</v>
      </c>
    </row>
    <row r="2569" spans="1:7" x14ac:dyDescent="0.2">
      <c r="A2569">
        <v>899</v>
      </c>
      <c r="B2569" t="s">
        <v>103</v>
      </c>
      <c r="C2569" t="s">
        <v>712</v>
      </c>
      <c r="D2569" s="5">
        <v>3018</v>
      </c>
      <c r="E2569" s="5">
        <v>70073</v>
      </c>
      <c r="F2569" s="5">
        <v>85</v>
      </c>
      <c r="G2569" s="5">
        <v>73176</v>
      </c>
    </row>
    <row r="2570" spans="1:7" x14ac:dyDescent="0.2">
      <c r="A2570">
        <v>907</v>
      </c>
      <c r="B2570" t="s">
        <v>193</v>
      </c>
      <c r="C2570" t="s">
        <v>700</v>
      </c>
      <c r="D2570" s="5">
        <v>269610</v>
      </c>
      <c r="E2570" s="5">
        <v>301792</v>
      </c>
      <c r="F2570" s="5">
        <v>8344</v>
      </c>
      <c r="G2570" s="5">
        <v>579746</v>
      </c>
    </row>
    <row r="2571" spans="1:7" x14ac:dyDescent="0.2">
      <c r="A2571">
        <v>907</v>
      </c>
      <c r="B2571" t="s">
        <v>193</v>
      </c>
      <c r="C2571" t="s">
        <v>701</v>
      </c>
      <c r="D2571" s="5">
        <v>6102</v>
      </c>
      <c r="E2571" s="5">
        <v>11148</v>
      </c>
      <c r="F2571" s="5">
        <v>0</v>
      </c>
      <c r="G2571" s="5">
        <v>17250</v>
      </c>
    </row>
    <row r="2572" spans="1:7" x14ac:dyDescent="0.2">
      <c r="A2572">
        <v>907</v>
      </c>
      <c r="B2572" t="s">
        <v>193</v>
      </c>
      <c r="C2572" t="s">
        <v>703</v>
      </c>
      <c r="D2572" s="5">
        <v>433</v>
      </c>
      <c r="E2572" s="5">
        <v>3022</v>
      </c>
      <c r="F2572" s="5">
        <v>0</v>
      </c>
      <c r="G2572" s="5">
        <v>3455</v>
      </c>
    </row>
    <row r="2573" spans="1:7" x14ac:dyDescent="0.2">
      <c r="A2573">
        <v>907</v>
      </c>
      <c r="B2573" t="s">
        <v>193</v>
      </c>
      <c r="C2573" t="s">
        <v>704</v>
      </c>
      <c r="D2573" s="5">
        <v>8681</v>
      </c>
      <c r="E2573" s="5">
        <v>231612</v>
      </c>
      <c r="F2573" s="5">
        <v>0</v>
      </c>
      <c r="G2573" s="5">
        <v>240293</v>
      </c>
    </row>
    <row r="2574" spans="1:7" x14ac:dyDescent="0.2">
      <c r="A2574">
        <v>907</v>
      </c>
      <c r="B2574" t="s">
        <v>193</v>
      </c>
      <c r="C2574" t="s">
        <v>705</v>
      </c>
      <c r="D2574" s="5">
        <v>4246</v>
      </c>
      <c r="E2574" s="5">
        <v>112551</v>
      </c>
      <c r="F2574" s="5">
        <v>0</v>
      </c>
      <c r="G2574" s="5">
        <v>116797</v>
      </c>
    </row>
    <row r="2575" spans="1:7" x14ac:dyDescent="0.2">
      <c r="A2575">
        <v>907</v>
      </c>
      <c r="B2575" t="s">
        <v>193</v>
      </c>
      <c r="C2575" t="s">
        <v>707</v>
      </c>
      <c r="D2575" s="5">
        <v>22909</v>
      </c>
      <c r="E2575" s="5">
        <v>42759</v>
      </c>
      <c r="F2575" s="5">
        <v>0</v>
      </c>
      <c r="G2575" s="5">
        <v>65668</v>
      </c>
    </row>
    <row r="2576" spans="1:7" x14ac:dyDescent="0.2">
      <c r="A2576">
        <v>907</v>
      </c>
      <c r="B2576" t="s">
        <v>193</v>
      </c>
      <c r="C2576" t="s">
        <v>708</v>
      </c>
      <c r="D2576" s="5">
        <v>2333</v>
      </c>
      <c r="E2576" s="5">
        <v>12636</v>
      </c>
      <c r="F2576" s="5">
        <v>0</v>
      </c>
      <c r="G2576" s="5">
        <v>14969</v>
      </c>
    </row>
    <row r="2577" spans="1:7" x14ac:dyDescent="0.2">
      <c r="A2577">
        <v>907</v>
      </c>
      <c r="B2577" t="s">
        <v>193</v>
      </c>
      <c r="C2577" t="s">
        <v>709</v>
      </c>
      <c r="D2577" s="5">
        <v>7308</v>
      </c>
      <c r="E2577" s="5">
        <v>33778</v>
      </c>
      <c r="F2577" s="5">
        <v>852</v>
      </c>
      <c r="G2577" s="5">
        <v>41939</v>
      </c>
    </row>
    <row r="2578" spans="1:7" x14ac:dyDescent="0.2">
      <c r="A2578">
        <v>907</v>
      </c>
      <c r="B2578" t="s">
        <v>193</v>
      </c>
      <c r="C2578" t="s">
        <v>710</v>
      </c>
      <c r="D2578" s="5">
        <v>1336</v>
      </c>
      <c r="E2578" s="5">
        <v>15087</v>
      </c>
      <c r="F2578" s="5">
        <v>0</v>
      </c>
      <c r="G2578" s="5">
        <v>16423</v>
      </c>
    </row>
    <row r="2579" spans="1:7" x14ac:dyDescent="0.2">
      <c r="A2579">
        <v>907</v>
      </c>
      <c r="B2579" t="s">
        <v>193</v>
      </c>
      <c r="C2579" t="s">
        <v>712</v>
      </c>
      <c r="D2579" s="5">
        <v>5393</v>
      </c>
      <c r="E2579" s="5">
        <v>49454</v>
      </c>
      <c r="F2579" s="5">
        <v>114</v>
      </c>
      <c r="G2579" s="5">
        <v>54961</v>
      </c>
    </row>
    <row r="2580" spans="1:7" x14ac:dyDescent="0.2">
      <c r="A2580">
        <v>917</v>
      </c>
      <c r="B2580" t="s">
        <v>241</v>
      </c>
      <c r="C2580" t="s">
        <v>700</v>
      </c>
      <c r="D2580" s="5">
        <v>85092</v>
      </c>
      <c r="E2580" s="5">
        <v>321894</v>
      </c>
      <c r="F2580" s="5">
        <v>16107</v>
      </c>
      <c r="G2580" s="5">
        <v>423094</v>
      </c>
    </row>
    <row r="2581" spans="1:7" x14ac:dyDescent="0.2">
      <c r="A2581">
        <v>917</v>
      </c>
      <c r="B2581" t="s">
        <v>241</v>
      </c>
      <c r="C2581" t="s">
        <v>701</v>
      </c>
      <c r="D2581" s="5">
        <v>35432</v>
      </c>
      <c r="E2581" s="5">
        <v>87117</v>
      </c>
      <c r="F2581" s="5">
        <v>1220</v>
      </c>
      <c r="G2581" s="5">
        <v>123769</v>
      </c>
    </row>
    <row r="2582" spans="1:7" x14ac:dyDescent="0.2">
      <c r="A2582">
        <v>917</v>
      </c>
      <c r="B2582" t="s">
        <v>241</v>
      </c>
      <c r="C2582" t="s">
        <v>703</v>
      </c>
      <c r="D2582" s="5">
        <v>3925</v>
      </c>
      <c r="E2582" s="5">
        <v>94152</v>
      </c>
      <c r="F2582" s="5">
        <v>87</v>
      </c>
      <c r="G2582" s="5">
        <v>98163</v>
      </c>
    </row>
    <row r="2583" spans="1:7" x14ac:dyDescent="0.2">
      <c r="A2583">
        <v>917</v>
      </c>
      <c r="B2583" t="s">
        <v>241</v>
      </c>
      <c r="C2583" t="s">
        <v>704</v>
      </c>
      <c r="D2583" s="5">
        <v>30365</v>
      </c>
      <c r="E2583" s="5">
        <v>693664</v>
      </c>
      <c r="F2583" s="5">
        <v>0</v>
      </c>
      <c r="G2583" s="5">
        <v>724029</v>
      </c>
    </row>
    <row r="2584" spans="1:7" x14ac:dyDescent="0.2">
      <c r="A2584">
        <v>917</v>
      </c>
      <c r="B2584" t="s">
        <v>241</v>
      </c>
      <c r="C2584" t="s">
        <v>705</v>
      </c>
      <c r="D2584" s="5">
        <v>23472</v>
      </c>
      <c r="E2584" s="5">
        <v>301251</v>
      </c>
      <c r="F2584" s="5">
        <v>265</v>
      </c>
      <c r="G2584" s="5">
        <v>324988</v>
      </c>
    </row>
    <row r="2585" spans="1:7" x14ac:dyDescent="0.2">
      <c r="A2585">
        <v>917</v>
      </c>
      <c r="B2585" t="s">
        <v>241</v>
      </c>
      <c r="C2585" t="s">
        <v>707</v>
      </c>
      <c r="D2585" s="5">
        <v>1693</v>
      </c>
      <c r="E2585" s="5">
        <v>5158</v>
      </c>
      <c r="F2585" s="5">
        <v>0</v>
      </c>
      <c r="G2585" s="5">
        <v>6852</v>
      </c>
    </row>
    <row r="2586" spans="1:7" x14ac:dyDescent="0.2">
      <c r="A2586">
        <v>917</v>
      </c>
      <c r="B2586" t="s">
        <v>241</v>
      </c>
      <c r="C2586" t="s">
        <v>708</v>
      </c>
      <c r="D2586" s="5">
        <v>7394</v>
      </c>
      <c r="E2586" s="5">
        <v>152412</v>
      </c>
      <c r="F2586" s="5">
        <v>0</v>
      </c>
      <c r="G2586" s="5">
        <v>159805</v>
      </c>
    </row>
    <row r="2587" spans="1:7" x14ac:dyDescent="0.2">
      <c r="A2587">
        <v>917</v>
      </c>
      <c r="B2587" t="s">
        <v>241</v>
      </c>
      <c r="C2587" t="s">
        <v>709</v>
      </c>
      <c r="D2587" s="5">
        <v>16671</v>
      </c>
      <c r="E2587" s="5">
        <v>203941</v>
      </c>
      <c r="F2587" s="5">
        <v>328</v>
      </c>
      <c r="G2587" s="5">
        <v>220940</v>
      </c>
    </row>
    <row r="2588" spans="1:7" x14ac:dyDescent="0.2">
      <c r="A2588">
        <v>917</v>
      </c>
      <c r="B2588" t="s">
        <v>241</v>
      </c>
      <c r="C2588" t="s">
        <v>710</v>
      </c>
      <c r="D2588" s="5">
        <v>999</v>
      </c>
      <c r="E2588" s="5">
        <v>40916</v>
      </c>
      <c r="F2588" s="5">
        <v>0</v>
      </c>
      <c r="G2588" s="5">
        <v>41915</v>
      </c>
    </row>
    <row r="2589" spans="1:7" x14ac:dyDescent="0.2">
      <c r="A2589">
        <v>917</v>
      </c>
      <c r="B2589" t="s">
        <v>241</v>
      </c>
      <c r="C2589" t="s">
        <v>712</v>
      </c>
      <c r="D2589" s="5">
        <v>21446</v>
      </c>
      <c r="E2589" s="5">
        <v>381462</v>
      </c>
      <c r="F2589" s="5">
        <v>0</v>
      </c>
      <c r="G2589" s="5">
        <v>402908</v>
      </c>
    </row>
    <row r="2590" spans="1:7" x14ac:dyDescent="0.2">
      <c r="A2590">
        <v>928</v>
      </c>
      <c r="B2590" t="s">
        <v>299</v>
      </c>
      <c r="C2590" t="s">
        <v>700</v>
      </c>
      <c r="D2590" s="5">
        <v>56780</v>
      </c>
      <c r="E2590" s="5">
        <v>248413</v>
      </c>
      <c r="F2590" s="5">
        <v>1547</v>
      </c>
      <c r="G2590" s="5">
        <v>306740</v>
      </c>
    </row>
    <row r="2591" spans="1:7" x14ac:dyDescent="0.2">
      <c r="A2591">
        <v>928</v>
      </c>
      <c r="B2591" t="s">
        <v>299</v>
      </c>
      <c r="C2591" t="s">
        <v>701</v>
      </c>
      <c r="D2591" s="5">
        <v>15007</v>
      </c>
      <c r="E2591" s="5">
        <v>45101</v>
      </c>
      <c r="F2591" s="5">
        <v>0</v>
      </c>
      <c r="G2591" s="5">
        <v>60108</v>
      </c>
    </row>
    <row r="2592" spans="1:7" x14ac:dyDescent="0.2">
      <c r="A2592">
        <v>928</v>
      </c>
      <c r="B2592" t="s">
        <v>299</v>
      </c>
      <c r="C2592" t="s">
        <v>702</v>
      </c>
      <c r="D2592" s="5">
        <v>0</v>
      </c>
      <c r="E2592" s="5">
        <v>161</v>
      </c>
      <c r="F2592" s="5">
        <v>0</v>
      </c>
      <c r="G2592" s="5">
        <v>161</v>
      </c>
    </row>
    <row r="2593" spans="1:7" x14ac:dyDescent="0.2">
      <c r="A2593">
        <v>928</v>
      </c>
      <c r="B2593" t="s">
        <v>299</v>
      </c>
      <c r="C2593" t="s">
        <v>703</v>
      </c>
      <c r="D2593" s="5">
        <v>525</v>
      </c>
      <c r="E2593" s="5">
        <v>9362</v>
      </c>
      <c r="F2593" s="5">
        <v>0</v>
      </c>
      <c r="G2593" s="5">
        <v>9887</v>
      </c>
    </row>
    <row r="2594" spans="1:7" x14ac:dyDescent="0.2">
      <c r="A2594">
        <v>928</v>
      </c>
      <c r="B2594" t="s">
        <v>299</v>
      </c>
      <c r="C2594" t="s">
        <v>704</v>
      </c>
      <c r="D2594" s="5">
        <v>18497</v>
      </c>
      <c r="E2594" s="5">
        <v>535061</v>
      </c>
      <c r="F2594" s="5">
        <v>2275</v>
      </c>
      <c r="G2594" s="5">
        <v>555833</v>
      </c>
    </row>
    <row r="2595" spans="1:7" x14ac:dyDescent="0.2">
      <c r="A2595">
        <v>928</v>
      </c>
      <c r="B2595" t="s">
        <v>299</v>
      </c>
      <c r="C2595" t="s">
        <v>705</v>
      </c>
      <c r="D2595" s="5">
        <v>5922</v>
      </c>
      <c r="E2595" s="5">
        <v>119250</v>
      </c>
      <c r="F2595" s="5">
        <v>0</v>
      </c>
      <c r="G2595" s="5">
        <v>125172</v>
      </c>
    </row>
    <row r="2596" spans="1:7" x14ac:dyDescent="0.2">
      <c r="A2596">
        <v>928</v>
      </c>
      <c r="B2596" t="s">
        <v>299</v>
      </c>
      <c r="C2596" t="s">
        <v>707</v>
      </c>
      <c r="D2596" s="5">
        <v>1213</v>
      </c>
      <c r="E2596" s="5">
        <v>543</v>
      </c>
      <c r="F2596" s="5">
        <v>0</v>
      </c>
      <c r="G2596" s="5">
        <v>1757</v>
      </c>
    </row>
    <row r="2597" spans="1:7" x14ac:dyDescent="0.2">
      <c r="A2597">
        <v>928</v>
      </c>
      <c r="B2597" t="s">
        <v>299</v>
      </c>
      <c r="C2597" t="s">
        <v>708</v>
      </c>
      <c r="D2597" s="5">
        <v>9731</v>
      </c>
      <c r="E2597" s="5">
        <v>23406</v>
      </c>
      <c r="F2597" s="5">
        <v>0</v>
      </c>
      <c r="G2597" s="5">
        <v>33137</v>
      </c>
    </row>
    <row r="2598" spans="1:7" x14ac:dyDescent="0.2">
      <c r="A2598">
        <v>928</v>
      </c>
      <c r="B2598" t="s">
        <v>299</v>
      </c>
      <c r="C2598" t="s">
        <v>709</v>
      </c>
      <c r="D2598" s="5">
        <v>6221</v>
      </c>
      <c r="E2598" s="5">
        <v>78286</v>
      </c>
      <c r="F2598" s="5">
        <v>135</v>
      </c>
      <c r="G2598" s="5">
        <v>84642</v>
      </c>
    </row>
    <row r="2599" spans="1:7" x14ac:dyDescent="0.2">
      <c r="A2599">
        <v>928</v>
      </c>
      <c r="B2599" t="s">
        <v>299</v>
      </c>
      <c r="C2599" t="s">
        <v>710</v>
      </c>
      <c r="D2599" s="5">
        <v>686</v>
      </c>
      <c r="E2599" s="5">
        <v>52728</v>
      </c>
      <c r="F2599" s="5">
        <v>0</v>
      </c>
      <c r="G2599" s="5">
        <v>53414</v>
      </c>
    </row>
    <row r="2600" spans="1:7" x14ac:dyDescent="0.2">
      <c r="A2600">
        <v>928</v>
      </c>
      <c r="B2600" t="s">
        <v>299</v>
      </c>
      <c r="C2600" t="s">
        <v>712</v>
      </c>
      <c r="D2600" s="5">
        <v>5930</v>
      </c>
      <c r="E2600" s="5">
        <v>112883</v>
      </c>
      <c r="F2600" s="5">
        <v>0</v>
      </c>
      <c r="G2600" s="5">
        <v>118813</v>
      </c>
    </row>
    <row r="2601" spans="1:7" x14ac:dyDescent="0.2">
      <c r="A2601">
        <v>935</v>
      </c>
      <c r="B2601" t="s">
        <v>353</v>
      </c>
      <c r="C2601" t="s">
        <v>700</v>
      </c>
      <c r="D2601" s="5">
        <v>117905</v>
      </c>
      <c r="E2601" s="5">
        <v>469164</v>
      </c>
      <c r="F2601" s="5">
        <v>11622</v>
      </c>
      <c r="G2601" s="5">
        <v>598691</v>
      </c>
    </row>
    <row r="2602" spans="1:7" x14ac:dyDescent="0.2">
      <c r="A2602">
        <v>935</v>
      </c>
      <c r="B2602" t="s">
        <v>353</v>
      </c>
      <c r="C2602" t="s">
        <v>701</v>
      </c>
      <c r="D2602" s="5">
        <v>57217</v>
      </c>
      <c r="E2602" s="5">
        <v>108612</v>
      </c>
      <c r="F2602" s="5">
        <v>512</v>
      </c>
      <c r="G2602" s="5">
        <v>166341</v>
      </c>
    </row>
    <row r="2603" spans="1:7" x14ac:dyDescent="0.2">
      <c r="A2603">
        <v>935</v>
      </c>
      <c r="B2603" t="s">
        <v>353</v>
      </c>
      <c r="C2603" t="s">
        <v>703</v>
      </c>
      <c r="D2603" s="5">
        <v>4416</v>
      </c>
      <c r="E2603" s="5">
        <v>29330</v>
      </c>
      <c r="F2603" s="5">
        <v>0</v>
      </c>
      <c r="G2603" s="5">
        <v>33746</v>
      </c>
    </row>
    <row r="2604" spans="1:7" x14ac:dyDescent="0.2">
      <c r="A2604">
        <v>935</v>
      </c>
      <c r="B2604" t="s">
        <v>353</v>
      </c>
      <c r="C2604" t="s">
        <v>704</v>
      </c>
      <c r="D2604" s="5">
        <v>29450</v>
      </c>
      <c r="E2604" s="5">
        <v>559470</v>
      </c>
      <c r="F2604" s="5">
        <v>1309</v>
      </c>
      <c r="G2604" s="5">
        <v>590229</v>
      </c>
    </row>
    <row r="2605" spans="1:7" x14ac:dyDescent="0.2">
      <c r="A2605">
        <v>935</v>
      </c>
      <c r="B2605" t="s">
        <v>353</v>
      </c>
      <c r="C2605" t="s">
        <v>705</v>
      </c>
      <c r="D2605" s="5">
        <v>48922</v>
      </c>
      <c r="E2605" s="5">
        <v>329070</v>
      </c>
      <c r="F2605" s="5">
        <v>256</v>
      </c>
      <c r="G2605" s="5">
        <v>378248</v>
      </c>
    </row>
    <row r="2606" spans="1:7" x14ac:dyDescent="0.2">
      <c r="A2606">
        <v>935</v>
      </c>
      <c r="B2606" t="s">
        <v>353</v>
      </c>
      <c r="C2606" t="s">
        <v>707</v>
      </c>
      <c r="D2606" s="5">
        <v>15291</v>
      </c>
      <c r="E2606" s="5">
        <v>16309</v>
      </c>
      <c r="F2606" s="5">
        <v>98</v>
      </c>
      <c r="G2606" s="5">
        <v>31698</v>
      </c>
    </row>
    <row r="2607" spans="1:7" x14ac:dyDescent="0.2">
      <c r="A2607">
        <v>935</v>
      </c>
      <c r="B2607" t="s">
        <v>353</v>
      </c>
      <c r="C2607" t="s">
        <v>708</v>
      </c>
      <c r="D2607" s="5">
        <v>12320</v>
      </c>
      <c r="E2607" s="5">
        <v>106904</v>
      </c>
      <c r="F2607" s="5">
        <v>141</v>
      </c>
      <c r="G2607" s="5">
        <v>119365</v>
      </c>
    </row>
    <row r="2608" spans="1:7" x14ac:dyDescent="0.2">
      <c r="A2608">
        <v>935</v>
      </c>
      <c r="B2608" t="s">
        <v>353</v>
      </c>
      <c r="C2608" t="s">
        <v>709</v>
      </c>
      <c r="D2608" s="5">
        <v>35033</v>
      </c>
      <c r="E2608" s="5">
        <v>130664</v>
      </c>
      <c r="F2608" s="5">
        <v>673</v>
      </c>
      <c r="G2608" s="5">
        <v>166370</v>
      </c>
    </row>
    <row r="2609" spans="1:7" x14ac:dyDescent="0.2">
      <c r="A2609">
        <v>935</v>
      </c>
      <c r="B2609" t="s">
        <v>353</v>
      </c>
      <c r="C2609" t="s">
        <v>710</v>
      </c>
      <c r="D2609" s="5">
        <v>2456</v>
      </c>
      <c r="E2609" s="5">
        <v>66508</v>
      </c>
      <c r="F2609" s="5">
        <v>0</v>
      </c>
      <c r="G2609" s="5">
        <v>68963</v>
      </c>
    </row>
    <row r="2610" spans="1:7" x14ac:dyDescent="0.2">
      <c r="A2610">
        <v>935</v>
      </c>
      <c r="B2610" t="s">
        <v>353</v>
      </c>
      <c r="C2610" t="s">
        <v>711</v>
      </c>
      <c r="D2610" s="5">
        <v>125</v>
      </c>
      <c r="E2610" s="5">
        <v>2601</v>
      </c>
      <c r="F2610" s="5">
        <v>0</v>
      </c>
      <c r="G2610" s="5">
        <v>2727</v>
      </c>
    </row>
    <row r="2611" spans="1:7" x14ac:dyDescent="0.2">
      <c r="A2611">
        <v>935</v>
      </c>
      <c r="B2611" t="s">
        <v>353</v>
      </c>
      <c r="C2611" t="s">
        <v>712</v>
      </c>
      <c r="D2611" s="5">
        <v>56514</v>
      </c>
      <c r="E2611" s="5">
        <v>294029</v>
      </c>
      <c r="F2611" s="5">
        <v>1693</v>
      </c>
      <c r="G2611" s="5">
        <v>352235</v>
      </c>
    </row>
    <row r="2612" spans="1:7" x14ac:dyDescent="0.2">
      <c r="A2612">
        <v>938</v>
      </c>
      <c r="B2612" t="s">
        <v>357</v>
      </c>
      <c r="C2612" t="s">
        <v>700</v>
      </c>
      <c r="D2612" s="5">
        <v>98786</v>
      </c>
      <c r="E2612" s="5">
        <v>128833</v>
      </c>
      <c r="F2612" s="5">
        <v>5070</v>
      </c>
      <c r="G2612" s="5">
        <v>232690</v>
      </c>
    </row>
    <row r="2613" spans="1:7" x14ac:dyDescent="0.2">
      <c r="A2613">
        <v>938</v>
      </c>
      <c r="B2613" t="s">
        <v>357</v>
      </c>
      <c r="C2613" t="s">
        <v>701</v>
      </c>
      <c r="D2613" s="5">
        <v>9529</v>
      </c>
      <c r="E2613" s="5">
        <v>13111</v>
      </c>
      <c r="F2613" s="5">
        <v>0</v>
      </c>
      <c r="G2613" s="5">
        <v>22640</v>
      </c>
    </row>
    <row r="2614" spans="1:7" x14ac:dyDescent="0.2">
      <c r="A2614">
        <v>938</v>
      </c>
      <c r="B2614" t="s">
        <v>357</v>
      </c>
      <c r="C2614" t="s">
        <v>703</v>
      </c>
      <c r="D2614" s="5">
        <v>345</v>
      </c>
      <c r="E2614" s="5">
        <v>2920</v>
      </c>
      <c r="F2614" s="5">
        <v>0</v>
      </c>
      <c r="G2614" s="5">
        <v>3264</v>
      </c>
    </row>
    <row r="2615" spans="1:7" x14ac:dyDescent="0.2">
      <c r="A2615">
        <v>938</v>
      </c>
      <c r="B2615" t="s">
        <v>357</v>
      </c>
      <c r="C2615" t="s">
        <v>704</v>
      </c>
      <c r="D2615" s="5">
        <v>5294</v>
      </c>
      <c r="E2615" s="5">
        <v>68091</v>
      </c>
      <c r="F2615" s="5">
        <v>0</v>
      </c>
      <c r="G2615" s="5">
        <v>73385</v>
      </c>
    </row>
    <row r="2616" spans="1:7" x14ac:dyDescent="0.2">
      <c r="A2616">
        <v>938</v>
      </c>
      <c r="B2616" t="s">
        <v>357</v>
      </c>
      <c r="C2616" t="s">
        <v>705</v>
      </c>
      <c r="D2616" s="5">
        <v>1931</v>
      </c>
      <c r="E2616" s="5">
        <v>14226</v>
      </c>
      <c r="F2616" s="5">
        <v>0</v>
      </c>
      <c r="G2616" s="5">
        <v>16158</v>
      </c>
    </row>
    <row r="2617" spans="1:7" x14ac:dyDescent="0.2">
      <c r="A2617">
        <v>938</v>
      </c>
      <c r="B2617" t="s">
        <v>357</v>
      </c>
      <c r="C2617" t="s">
        <v>707</v>
      </c>
      <c r="D2617" s="5">
        <v>1178</v>
      </c>
      <c r="E2617" s="5">
        <v>910</v>
      </c>
      <c r="F2617" s="5">
        <v>0</v>
      </c>
      <c r="G2617" s="5">
        <v>2089</v>
      </c>
    </row>
    <row r="2618" spans="1:7" x14ac:dyDescent="0.2">
      <c r="A2618">
        <v>938</v>
      </c>
      <c r="B2618" t="s">
        <v>357</v>
      </c>
      <c r="C2618" t="s">
        <v>708</v>
      </c>
      <c r="D2618" s="5">
        <v>2256</v>
      </c>
      <c r="E2618" s="5">
        <v>10404</v>
      </c>
      <c r="F2618" s="5">
        <v>0</v>
      </c>
      <c r="G2618" s="5">
        <v>12660</v>
      </c>
    </row>
    <row r="2619" spans="1:7" x14ac:dyDescent="0.2">
      <c r="A2619">
        <v>938</v>
      </c>
      <c r="B2619" t="s">
        <v>357</v>
      </c>
      <c r="C2619" t="s">
        <v>709</v>
      </c>
      <c r="D2619" s="5">
        <v>8978</v>
      </c>
      <c r="E2619" s="5">
        <v>38524</v>
      </c>
      <c r="F2619" s="5">
        <v>56</v>
      </c>
      <c r="G2619" s="5">
        <v>47557</v>
      </c>
    </row>
    <row r="2620" spans="1:7" x14ac:dyDescent="0.2">
      <c r="A2620">
        <v>938</v>
      </c>
      <c r="B2620" t="s">
        <v>357</v>
      </c>
      <c r="C2620" t="s">
        <v>710</v>
      </c>
      <c r="D2620" s="5">
        <v>1463</v>
      </c>
      <c r="E2620" s="5">
        <v>11518</v>
      </c>
      <c r="F2620" s="5">
        <v>0</v>
      </c>
      <c r="G2620" s="5">
        <v>12981</v>
      </c>
    </row>
    <row r="2621" spans="1:7" x14ac:dyDescent="0.2">
      <c r="A2621">
        <v>938</v>
      </c>
      <c r="B2621" t="s">
        <v>357</v>
      </c>
      <c r="C2621" t="s">
        <v>712</v>
      </c>
      <c r="D2621" s="5">
        <v>5906</v>
      </c>
      <c r="E2621" s="5">
        <v>14401</v>
      </c>
      <c r="F2621" s="5">
        <v>0</v>
      </c>
      <c r="G2621" s="5">
        <v>20307</v>
      </c>
    </row>
    <row r="2622" spans="1:7" x14ac:dyDescent="0.2">
      <c r="A2622">
        <v>944</v>
      </c>
      <c r="B2622" t="s">
        <v>379</v>
      </c>
      <c r="C2622" t="s">
        <v>700</v>
      </c>
      <c r="D2622" s="5">
        <v>55684</v>
      </c>
      <c r="E2622" s="5">
        <v>35599</v>
      </c>
      <c r="F2622" s="5">
        <v>1035</v>
      </c>
      <c r="G2622" s="5">
        <v>92318</v>
      </c>
    </row>
    <row r="2623" spans="1:7" x14ac:dyDescent="0.2">
      <c r="A2623">
        <v>944</v>
      </c>
      <c r="B2623" t="s">
        <v>379</v>
      </c>
      <c r="C2623" t="s">
        <v>701</v>
      </c>
      <c r="D2623" s="5">
        <v>5081</v>
      </c>
      <c r="E2623" s="5">
        <v>8993</v>
      </c>
      <c r="F2623" s="5">
        <v>0</v>
      </c>
      <c r="G2623" s="5">
        <v>14074</v>
      </c>
    </row>
    <row r="2624" spans="1:7" x14ac:dyDescent="0.2">
      <c r="A2624">
        <v>944</v>
      </c>
      <c r="B2624" t="s">
        <v>379</v>
      </c>
      <c r="C2624" t="s">
        <v>704</v>
      </c>
      <c r="D2624" s="5">
        <v>2128</v>
      </c>
      <c r="E2624" s="5">
        <v>21878</v>
      </c>
      <c r="F2624" s="5">
        <v>0</v>
      </c>
      <c r="G2624" s="5">
        <v>24006</v>
      </c>
    </row>
    <row r="2625" spans="1:7" x14ac:dyDescent="0.2">
      <c r="A2625">
        <v>944</v>
      </c>
      <c r="B2625" t="s">
        <v>379</v>
      </c>
      <c r="C2625" t="s">
        <v>705</v>
      </c>
      <c r="D2625" s="5">
        <v>2326</v>
      </c>
      <c r="E2625" s="5">
        <v>6159</v>
      </c>
      <c r="F2625" s="5">
        <v>0</v>
      </c>
      <c r="G2625" s="5">
        <v>8486</v>
      </c>
    </row>
    <row r="2626" spans="1:7" x14ac:dyDescent="0.2">
      <c r="A2626">
        <v>944</v>
      </c>
      <c r="B2626" t="s">
        <v>379</v>
      </c>
      <c r="C2626" t="s">
        <v>707</v>
      </c>
      <c r="D2626" s="5">
        <v>1050</v>
      </c>
      <c r="E2626" s="5">
        <v>0</v>
      </c>
      <c r="F2626" s="5">
        <v>0</v>
      </c>
      <c r="G2626" s="5">
        <v>1050</v>
      </c>
    </row>
    <row r="2627" spans="1:7" x14ac:dyDescent="0.2">
      <c r="A2627">
        <v>944</v>
      </c>
      <c r="B2627" t="s">
        <v>379</v>
      </c>
      <c r="C2627" t="s">
        <v>708</v>
      </c>
      <c r="D2627" s="5">
        <v>671</v>
      </c>
      <c r="E2627" s="5">
        <v>1923</v>
      </c>
      <c r="F2627" s="5">
        <v>0</v>
      </c>
      <c r="G2627" s="5">
        <v>2594</v>
      </c>
    </row>
    <row r="2628" spans="1:7" x14ac:dyDescent="0.2">
      <c r="A2628">
        <v>944</v>
      </c>
      <c r="B2628" t="s">
        <v>379</v>
      </c>
      <c r="C2628" t="s">
        <v>709</v>
      </c>
      <c r="D2628" s="5">
        <v>5957</v>
      </c>
      <c r="E2628" s="5">
        <v>4950</v>
      </c>
      <c r="F2628" s="5">
        <v>72</v>
      </c>
      <c r="G2628" s="5">
        <v>10978</v>
      </c>
    </row>
    <row r="2629" spans="1:7" x14ac:dyDescent="0.2">
      <c r="A2629">
        <v>944</v>
      </c>
      <c r="B2629" t="s">
        <v>379</v>
      </c>
      <c r="C2629" t="s">
        <v>710</v>
      </c>
      <c r="D2629" s="5">
        <v>275</v>
      </c>
      <c r="E2629" s="5">
        <v>6525</v>
      </c>
      <c r="F2629" s="5">
        <v>0</v>
      </c>
      <c r="G2629" s="5">
        <v>6800</v>
      </c>
    </row>
    <row r="2630" spans="1:7" x14ac:dyDescent="0.2">
      <c r="A2630">
        <v>944</v>
      </c>
      <c r="B2630" t="s">
        <v>379</v>
      </c>
      <c r="C2630" t="s">
        <v>712</v>
      </c>
      <c r="D2630" s="5">
        <v>2378</v>
      </c>
      <c r="E2630" s="5">
        <v>18448</v>
      </c>
      <c r="F2630" s="5">
        <v>1191</v>
      </c>
      <c r="G2630" s="5">
        <v>22017</v>
      </c>
    </row>
    <row r="2631" spans="1:7" x14ac:dyDescent="0.2">
      <c r="A2631">
        <v>946</v>
      </c>
      <c r="B2631" t="s">
        <v>383</v>
      </c>
      <c r="C2631" t="s">
        <v>700</v>
      </c>
      <c r="D2631" s="5">
        <v>739035</v>
      </c>
      <c r="E2631" s="5">
        <v>619961</v>
      </c>
      <c r="F2631" s="5">
        <v>20559</v>
      </c>
      <c r="G2631" s="5">
        <v>1379555</v>
      </c>
    </row>
    <row r="2632" spans="1:7" x14ac:dyDescent="0.2">
      <c r="A2632">
        <v>946</v>
      </c>
      <c r="B2632" t="s">
        <v>383</v>
      </c>
      <c r="C2632" t="s">
        <v>701</v>
      </c>
      <c r="D2632" s="5">
        <v>7275</v>
      </c>
      <c r="E2632" s="5">
        <v>19102</v>
      </c>
      <c r="F2632" s="5">
        <v>0</v>
      </c>
      <c r="G2632" s="5">
        <v>26377</v>
      </c>
    </row>
    <row r="2633" spans="1:7" x14ac:dyDescent="0.2">
      <c r="A2633">
        <v>946</v>
      </c>
      <c r="B2633" t="s">
        <v>383</v>
      </c>
      <c r="C2633" t="s">
        <v>703</v>
      </c>
      <c r="D2633" s="5">
        <v>1032</v>
      </c>
      <c r="E2633" s="5">
        <v>2422</v>
      </c>
      <c r="F2633" s="5">
        <v>0</v>
      </c>
      <c r="G2633" s="5">
        <v>3454</v>
      </c>
    </row>
    <row r="2634" spans="1:7" x14ac:dyDescent="0.2">
      <c r="A2634">
        <v>946</v>
      </c>
      <c r="B2634" t="s">
        <v>383</v>
      </c>
      <c r="C2634" t="s">
        <v>704</v>
      </c>
      <c r="D2634" s="5">
        <v>72902</v>
      </c>
      <c r="E2634" s="5">
        <v>169568</v>
      </c>
      <c r="F2634" s="5">
        <v>1115</v>
      </c>
      <c r="G2634" s="5">
        <v>243585</v>
      </c>
    </row>
    <row r="2635" spans="1:7" x14ac:dyDescent="0.2">
      <c r="A2635">
        <v>946</v>
      </c>
      <c r="B2635" t="s">
        <v>383</v>
      </c>
      <c r="C2635" t="s">
        <v>705</v>
      </c>
      <c r="D2635" s="5">
        <v>1534</v>
      </c>
      <c r="E2635" s="5">
        <v>76893</v>
      </c>
      <c r="F2635" s="5">
        <v>0</v>
      </c>
      <c r="G2635" s="5">
        <v>78427</v>
      </c>
    </row>
    <row r="2636" spans="1:7" x14ac:dyDescent="0.2">
      <c r="A2636">
        <v>946</v>
      </c>
      <c r="B2636" t="s">
        <v>383</v>
      </c>
      <c r="C2636" t="s">
        <v>707</v>
      </c>
      <c r="D2636" s="5">
        <v>7833</v>
      </c>
      <c r="E2636" s="5">
        <v>1749</v>
      </c>
      <c r="F2636" s="5">
        <v>0</v>
      </c>
      <c r="G2636" s="5">
        <v>9583</v>
      </c>
    </row>
    <row r="2637" spans="1:7" x14ac:dyDescent="0.2">
      <c r="A2637">
        <v>946</v>
      </c>
      <c r="B2637" t="s">
        <v>383</v>
      </c>
      <c r="C2637" t="s">
        <v>708</v>
      </c>
      <c r="D2637" s="5">
        <v>844</v>
      </c>
      <c r="E2637" s="5">
        <v>11349</v>
      </c>
      <c r="F2637" s="5">
        <v>0</v>
      </c>
      <c r="G2637" s="5">
        <v>12194</v>
      </c>
    </row>
    <row r="2638" spans="1:7" x14ac:dyDescent="0.2">
      <c r="A2638">
        <v>946</v>
      </c>
      <c r="B2638" t="s">
        <v>383</v>
      </c>
      <c r="C2638" t="s">
        <v>709</v>
      </c>
      <c r="D2638" s="5">
        <v>3725</v>
      </c>
      <c r="E2638" s="5">
        <v>9737</v>
      </c>
      <c r="F2638" s="5">
        <v>12</v>
      </c>
      <c r="G2638" s="5">
        <v>13473</v>
      </c>
    </row>
    <row r="2639" spans="1:7" x14ac:dyDescent="0.2">
      <c r="A2639">
        <v>946</v>
      </c>
      <c r="B2639" t="s">
        <v>383</v>
      </c>
      <c r="C2639" t="s">
        <v>710</v>
      </c>
      <c r="D2639" s="5">
        <v>4414</v>
      </c>
      <c r="E2639" s="5">
        <v>15243</v>
      </c>
      <c r="F2639" s="5">
        <v>0</v>
      </c>
      <c r="G2639" s="5">
        <v>19657</v>
      </c>
    </row>
    <row r="2640" spans="1:7" x14ac:dyDescent="0.2">
      <c r="A2640">
        <v>946</v>
      </c>
      <c r="B2640" t="s">
        <v>383</v>
      </c>
      <c r="C2640" t="s">
        <v>712</v>
      </c>
      <c r="D2640" s="5">
        <v>4320</v>
      </c>
      <c r="E2640" s="5">
        <v>40231</v>
      </c>
      <c r="F2640" s="5">
        <v>0</v>
      </c>
      <c r="G2640" s="5">
        <v>44551</v>
      </c>
    </row>
    <row r="2641" spans="1:7" x14ac:dyDescent="0.2">
      <c r="A2641">
        <v>957</v>
      </c>
      <c r="B2641" t="s">
        <v>481</v>
      </c>
      <c r="C2641" t="s">
        <v>700</v>
      </c>
      <c r="D2641" s="5">
        <v>194910</v>
      </c>
      <c r="E2641" s="5">
        <v>459614</v>
      </c>
      <c r="F2641" s="5">
        <v>24307</v>
      </c>
      <c r="G2641" s="5">
        <v>678831</v>
      </c>
    </row>
    <row r="2642" spans="1:7" x14ac:dyDescent="0.2">
      <c r="A2642">
        <v>957</v>
      </c>
      <c r="B2642" t="s">
        <v>481</v>
      </c>
      <c r="C2642" t="s">
        <v>701</v>
      </c>
      <c r="D2642" s="5">
        <v>28394</v>
      </c>
      <c r="E2642" s="5">
        <v>45477</v>
      </c>
      <c r="F2642" s="5">
        <v>325</v>
      </c>
      <c r="G2642" s="5">
        <v>74196</v>
      </c>
    </row>
    <row r="2643" spans="1:7" x14ac:dyDescent="0.2">
      <c r="A2643">
        <v>957</v>
      </c>
      <c r="B2643" t="s">
        <v>481</v>
      </c>
      <c r="C2643" t="s">
        <v>702</v>
      </c>
      <c r="D2643" s="5">
        <v>0</v>
      </c>
      <c r="E2643" s="5">
        <v>4371</v>
      </c>
      <c r="F2643" s="5">
        <v>0</v>
      </c>
      <c r="G2643" s="5">
        <v>4371</v>
      </c>
    </row>
    <row r="2644" spans="1:7" x14ac:dyDescent="0.2">
      <c r="A2644">
        <v>957</v>
      </c>
      <c r="B2644" t="s">
        <v>481</v>
      </c>
      <c r="C2644" t="s">
        <v>703</v>
      </c>
      <c r="D2644" s="5">
        <v>9354</v>
      </c>
      <c r="E2644" s="5">
        <v>11367</v>
      </c>
      <c r="F2644" s="5">
        <v>0</v>
      </c>
      <c r="G2644" s="5">
        <v>20721</v>
      </c>
    </row>
    <row r="2645" spans="1:7" x14ac:dyDescent="0.2">
      <c r="A2645">
        <v>957</v>
      </c>
      <c r="B2645" t="s">
        <v>481</v>
      </c>
      <c r="C2645" t="s">
        <v>704</v>
      </c>
      <c r="D2645" s="5">
        <v>29490</v>
      </c>
      <c r="E2645" s="5">
        <v>873995</v>
      </c>
      <c r="F2645" s="5">
        <v>2556</v>
      </c>
      <c r="G2645" s="5">
        <v>906041</v>
      </c>
    </row>
    <row r="2646" spans="1:7" x14ac:dyDescent="0.2">
      <c r="A2646">
        <v>957</v>
      </c>
      <c r="B2646" t="s">
        <v>481</v>
      </c>
      <c r="C2646" t="s">
        <v>705</v>
      </c>
      <c r="D2646" s="5">
        <v>25808</v>
      </c>
      <c r="E2646" s="5">
        <v>152517</v>
      </c>
      <c r="F2646" s="5">
        <v>60</v>
      </c>
      <c r="G2646" s="5">
        <v>178385</v>
      </c>
    </row>
    <row r="2647" spans="1:7" x14ac:dyDescent="0.2">
      <c r="A2647">
        <v>957</v>
      </c>
      <c r="B2647" t="s">
        <v>481</v>
      </c>
      <c r="C2647" t="s">
        <v>707</v>
      </c>
      <c r="D2647" s="5">
        <v>8231</v>
      </c>
      <c r="E2647" s="5">
        <v>13153</v>
      </c>
      <c r="F2647" s="5">
        <v>0</v>
      </c>
      <c r="G2647" s="5">
        <v>21384</v>
      </c>
    </row>
    <row r="2648" spans="1:7" x14ac:dyDescent="0.2">
      <c r="A2648">
        <v>957</v>
      </c>
      <c r="B2648" t="s">
        <v>481</v>
      </c>
      <c r="C2648" t="s">
        <v>708</v>
      </c>
      <c r="D2648" s="5">
        <v>1646</v>
      </c>
      <c r="E2648" s="5">
        <v>79213</v>
      </c>
      <c r="F2648" s="5">
        <v>0</v>
      </c>
      <c r="G2648" s="5">
        <v>80858</v>
      </c>
    </row>
    <row r="2649" spans="1:7" x14ac:dyDescent="0.2">
      <c r="A2649">
        <v>957</v>
      </c>
      <c r="B2649" t="s">
        <v>481</v>
      </c>
      <c r="C2649" t="s">
        <v>709</v>
      </c>
      <c r="D2649" s="5">
        <v>13972</v>
      </c>
      <c r="E2649" s="5">
        <v>144584</v>
      </c>
      <c r="F2649" s="5">
        <v>79</v>
      </c>
      <c r="G2649" s="5">
        <v>158635</v>
      </c>
    </row>
    <row r="2650" spans="1:7" x14ac:dyDescent="0.2">
      <c r="A2650">
        <v>957</v>
      </c>
      <c r="B2650" t="s">
        <v>481</v>
      </c>
      <c r="C2650" t="s">
        <v>710</v>
      </c>
      <c r="D2650" s="5">
        <v>795</v>
      </c>
      <c r="E2650" s="5">
        <v>46572</v>
      </c>
      <c r="F2650" s="5">
        <v>0</v>
      </c>
      <c r="G2650" s="5">
        <v>47367</v>
      </c>
    </row>
    <row r="2651" spans="1:7" x14ac:dyDescent="0.2">
      <c r="A2651">
        <v>957</v>
      </c>
      <c r="B2651" t="s">
        <v>481</v>
      </c>
      <c r="C2651" t="s">
        <v>711</v>
      </c>
      <c r="D2651" s="5">
        <v>625</v>
      </c>
      <c r="E2651" s="5">
        <v>0</v>
      </c>
      <c r="F2651" s="5">
        <v>0</v>
      </c>
      <c r="G2651" s="5">
        <v>625</v>
      </c>
    </row>
    <row r="2652" spans="1:7" x14ac:dyDescent="0.2">
      <c r="A2652">
        <v>957</v>
      </c>
      <c r="B2652" t="s">
        <v>481</v>
      </c>
      <c r="C2652" t="s">
        <v>712</v>
      </c>
      <c r="D2652" s="5">
        <v>25779</v>
      </c>
      <c r="E2652" s="5">
        <v>208348</v>
      </c>
      <c r="F2652" s="5">
        <v>969</v>
      </c>
      <c r="G2652" s="5">
        <v>235096</v>
      </c>
    </row>
    <row r="2653" spans="1:7" x14ac:dyDescent="0.2">
      <c r="A2653">
        <v>965</v>
      </c>
      <c r="B2653" t="s">
        <v>503</v>
      </c>
      <c r="C2653" t="s">
        <v>700</v>
      </c>
      <c r="D2653" s="5">
        <v>57188</v>
      </c>
      <c r="E2653" s="5">
        <v>50640</v>
      </c>
      <c r="F2653" s="5">
        <v>778</v>
      </c>
      <c r="G2653" s="5">
        <v>108606</v>
      </c>
    </row>
    <row r="2654" spans="1:7" x14ac:dyDescent="0.2">
      <c r="A2654">
        <v>965</v>
      </c>
      <c r="B2654" t="s">
        <v>503</v>
      </c>
      <c r="C2654" t="s">
        <v>701</v>
      </c>
      <c r="D2654" s="5">
        <v>9494</v>
      </c>
      <c r="E2654" s="5">
        <v>4181</v>
      </c>
      <c r="F2654" s="5">
        <v>0</v>
      </c>
      <c r="G2654" s="5">
        <v>13675</v>
      </c>
    </row>
    <row r="2655" spans="1:7" x14ac:dyDescent="0.2">
      <c r="A2655">
        <v>965</v>
      </c>
      <c r="B2655" t="s">
        <v>503</v>
      </c>
      <c r="C2655" t="s">
        <v>703</v>
      </c>
      <c r="D2655" s="5">
        <v>551</v>
      </c>
      <c r="E2655" s="5">
        <v>681</v>
      </c>
      <c r="F2655" s="5">
        <v>0</v>
      </c>
      <c r="G2655" s="5">
        <v>1232</v>
      </c>
    </row>
    <row r="2656" spans="1:7" x14ac:dyDescent="0.2">
      <c r="A2656">
        <v>965</v>
      </c>
      <c r="B2656" t="s">
        <v>503</v>
      </c>
      <c r="C2656" t="s">
        <v>704</v>
      </c>
      <c r="D2656" s="5">
        <v>3258</v>
      </c>
      <c r="E2656" s="5">
        <v>27850</v>
      </c>
      <c r="F2656" s="5">
        <v>0</v>
      </c>
      <c r="G2656" s="5">
        <v>31108</v>
      </c>
    </row>
    <row r="2657" spans="1:7" x14ac:dyDescent="0.2">
      <c r="A2657">
        <v>965</v>
      </c>
      <c r="B2657" t="s">
        <v>503</v>
      </c>
      <c r="C2657" t="s">
        <v>705</v>
      </c>
      <c r="D2657" s="5">
        <v>626</v>
      </c>
      <c r="E2657" s="5">
        <v>6646</v>
      </c>
      <c r="F2657" s="5">
        <v>0</v>
      </c>
      <c r="G2657" s="5">
        <v>7271</v>
      </c>
    </row>
    <row r="2658" spans="1:7" x14ac:dyDescent="0.2">
      <c r="A2658">
        <v>965</v>
      </c>
      <c r="B2658" t="s">
        <v>503</v>
      </c>
      <c r="C2658" t="s">
        <v>707</v>
      </c>
      <c r="D2658" s="5">
        <v>5328</v>
      </c>
      <c r="E2658" s="5">
        <v>108</v>
      </c>
      <c r="F2658" s="5">
        <v>0</v>
      </c>
      <c r="G2658" s="5">
        <v>5436</v>
      </c>
    </row>
    <row r="2659" spans="1:7" x14ac:dyDescent="0.2">
      <c r="A2659">
        <v>965</v>
      </c>
      <c r="B2659" t="s">
        <v>503</v>
      </c>
      <c r="C2659" t="s">
        <v>708</v>
      </c>
      <c r="D2659" s="5">
        <v>0</v>
      </c>
      <c r="E2659" s="5">
        <v>2444</v>
      </c>
      <c r="F2659" s="5">
        <v>0</v>
      </c>
      <c r="G2659" s="5">
        <v>2444</v>
      </c>
    </row>
    <row r="2660" spans="1:7" x14ac:dyDescent="0.2">
      <c r="A2660">
        <v>965</v>
      </c>
      <c r="B2660" t="s">
        <v>503</v>
      </c>
      <c r="C2660" t="s">
        <v>709</v>
      </c>
      <c r="D2660" s="5">
        <v>4397</v>
      </c>
      <c r="E2660" s="5">
        <v>16047</v>
      </c>
      <c r="F2660" s="5">
        <v>75</v>
      </c>
      <c r="G2660" s="5">
        <v>20519</v>
      </c>
    </row>
    <row r="2661" spans="1:7" x14ac:dyDescent="0.2">
      <c r="A2661">
        <v>965</v>
      </c>
      <c r="B2661" t="s">
        <v>503</v>
      </c>
      <c r="C2661" t="s">
        <v>710</v>
      </c>
      <c r="D2661" s="5">
        <v>1004</v>
      </c>
      <c r="E2661" s="5">
        <v>7642</v>
      </c>
      <c r="F2661" s="5">
        <v>0</v>
      </c>
      <c r="G2661" s="5">
        <v>8646</v>
      </c>
    </row>
    <row r="2662" spans="1:7" x14ac:dyDescent="0.2">
      <c r="A2662">
        <v>965</v>
      </c>
      <c r="B2662" t="s">
        <v>503</v>
      </c>
      <c r="C2662" t="s">
        <v>712</v>
      </c>
      <c r="D2662" s="5">
        <v>5349</v>
      </c>
      <c r="E2662" s="5">
        <v>13795</v>
      </c>
      <c r="F2662" s="5">
        <v>0</v>
      </c>
      <c r="G2662" s="5">
        <v>19145</v>
      </c>
    </row>
    <row r="2663" spans="1:7" x14ac:dyDescent="0.2">
      <c r="A2663">
        <v>971</v>
      </c>
      <c r="B2663" t="s">
        <v>531</v>
      </c>
      <c r="C2663" t="s">
        <v>700</v>
      </c>
      <c r="D2663" s="5">
        <v>65106</v>
      </c>
      <c r="E2663" s="5">
        <v>129996</v>
      </c>
      <c r="F2663" s="5">
        <v>1057</v>
      </c>
      <c r="G2663" s="5">
        <v>196158</v>
      </c>
    </row>
    <row r="2664" spans="1:7" x14ac:dyDescent="0.2">
      <c r="A2664">
        <v>971</v>
      </c>
      <c r="B2664" t="s">
        <v>531</v>
      </c>
      <c r="C2664" t="s">
        <v>701</v>
      </c>
      <c r="D2664" s="5">
        <v>10111</v>
      </c>
      <c r="E2664" s="5">
        <v>17704</v>
      </c>
      <c r="F2664" s="5">
        <v>0</v>
      </c>
      <c r="G2664" s="5">
        <v>27815</v>
      </c>
    </row>
    <row r="2665" spans="1:7" x14ac:dyDescent="0.2">
      <c r="A2665">
        <v>971</v>
      </c>
      <c r="B2665" t="s">
        <v>531</v>
      </c>
      <c r="C2665" t="s">
        <v>703</v>
      </c>
      <c r="D2665" s="5">
        <v>3162</v>
      </c>
      <c r="E2665" s="5">
        <v>1753</v>
      </c>
      <c r="F2665" s="5">
        <v>0</v>
      </c>
      <c r="G2665" s="5">
        <v>4915</v>
      </c>
    </row>
    <row r="2666" spans="1:7" x14ac:dyDescent="0.2">
      <c r="A2666">
        <v>971</v>
      </c>
      <c r="B2666" t="s">
        <v>531</v>
      </c>
      <c r="C2666" t="s">
        <v>704</v>
      </c>
      <c r="D2666" s="5">
        <v>6965</v>
      </c>
      <c r="E2666" s="5">
        <v>67949</v>
      </c>
      <c r="F2666" s="5">
        <v>0</v>
      </c>
      <c r="G2666" s="5">
        <v>74915</v>
      </c>
    </row>
    <row r="2667" spans="1:7" x14ac:dyDescent="0.2">
      <c r="A2667">
        <v>971</v>
      </c>
      <c r="B2667" t="s">
        <v>531</v>
      </c>
      <c r="C2667" t="s">
        <v>705</v>
      </c>
      <c r="D2667" s="5">
        <v>6436</v>
      </c>
      <c r="E2667" s="5">
        <v>134759</v>
      </c>
      <c r="F2667" s="5">
        <v>0</v>
      </c>
      <c r="G2667" s="5">
        <v>141195</v>
      </c>
    </row>
    <row r="2668" spans="1:7" x14ac:dyDescent="0.2">
      <c r="A2668">
        <v>971</v>
      </c>
      <c r="B2668" t="s">
        <v>531</v>
      </c>
      <c r="C2668" t="s">
        <v>707</v>
      </c>
      <c r="D2668" s="5">
        <v>1448</v>
      </c>
      <c r="E2668" s="5">
        <v>5898</v>
      </c>
      <c r="F2668" s="5">
        <v>0</v>
      </c>
      <c r="G2668" s="5">
        <v>7346</v>
      </c>
    </row>
    <row r="2669" spans="1:7" x14ac:dyDescent="0.2">
      <c r="A2669">
        <v>971</v>
      </c>
      <c r="B2669" t="s">
        <v>531</v>
      </c>
      <c r="C2669" t="s">
        <v>708</v>
      </c>
      <c r="D2669" s="5">
        <v>0</v>
      </c>
      <c r="E2669" s="5">
        <v>22068</v>
      </c>
      <c r="F2669" s="5">
        <v>0</v>
      </c>
      <c r="G2669" s="5">
        <v>22068</v>
      </c>
    </row>
    <row r="2670" spans="1:7" x14ac:dyDescent="0.2">
      <c r="A2670">
        <v>971</v>
      </c>
      <c r="B2670" t="s">
        <v>531</v>
      </c>
      <c r="C2670" t="s">
        <v>709</v>
      </c>
      <c r="D2670" s="5">
        <v>2257</v>
      </c>
      <c r="E2670" s="5">
        <v>17341</v>
      </c>
      <c r="F2670" s="5">
        <v>11</v>
      </c>
      <c r="G2670" s="5">
        <v>19609</v>
      </c>
    </row>
    <row r="2671" spans="1:7" x14ac:dyDescent="0.2">
      <c r="A2671">
        <v>971</v>
      </c>
      <c r="B2671" t="s">
        <v>531</v>
      </c>
      <c r="C2671" t="s">
        <v>710</v>
      </c>
      <c r="D2671" s="5">
        <v>435</v>
      </c>
      <c r="E2671" s="5">
        <v>9355</v>
      </c>
      <c r="F2671" s="5">
        <v>0</v>
      </c>
      <c r="G2671" s="5">
        <v>9790</v>
      </c>
    </row>
    <row r="2672" spans="1:7" x14ac:dyDescent="0.2">
      <c r="A2672">
        <v>971</v>
      </c>
      <c r="B2672" t="s">
        <v>531</v>
      </c>
      <c r="C2672" t="s">
        <v>712</v>
      </c>
      <c r="D2672" s="5">
        <v>8066</v>
      </c>
      <c r="E2672" s="5">
        <v>59403</v>
      </c>
      <c r="F2672" s="5">
        <v>0</v>
      </c>
      <c r="G2672" s="5">
        <v>67469</v>
      </c>
    </row>
    <row r="2673" spans="1:7" x14ac:dyDescent="0.2">
      <c r="A2673">
        <v>981</v>
      </c>
      <c r="B2673" t="s">
        <v>569</v>
      </c>
      <c r="C2673" t="s">
        <v>700</v>
      </c>
      <c r="D2673" s="5">
        <v>59432</v>
      </c>
      <c r="E2673" s="5">
        <v>46151</v>
      </c>
      <c r="F2673" s="5">
        <v>744</v>
      </c>
      <c r="G2673" s="5">
        <v>106327</v>
      </c>
    </row>
    <row r="2674" spans="1:7" x14ac:dyDescent="0.2">
      <c r="A2674">
        <v>981</v>
      </c>
      <c r="B2674" t="s">
        <v>569</v>
      </c>
      <c r="C2674" t="s">
        <v>701</v>
      </c>
      <c r="D2674" s="5">
        <v>6369</v>
      </c>
      <c r="E2674" s="5">
        <v>11928</v>
      </c>
      <c r="F2674" s="5">
        <v>0</v>
      </c>
      <c r="G2674" s="5">
        <v>18297</v>
      </c>
    </row>
    <row r="2675" spans="1:7" x14ac:dyDescent="0.2">
      <c r="A2675">
        <v>981</v>
      </c>
      <c r="B2675" t="s">
        <v>569</v>
      </c>
      <c r="C2675" t="s">
        <v>703</v>
      </c>
      <c r="D2675" s="5">
        <v>711</v>
      </c>
      <c r="E2675" s="5">
        <v>763</v>
      </c>
      <c r="F2675" s="5">
        <v>0</v>
      </c>
      <c r="G2675" s="5">
        <v>1475</v>
      </c>
    </row>
    <row r="2676" spans="1:7" x14ac:dyDescent="0.2">
      <c r="A2676">
        <v>981</v>
      </c>
      <c r="B2676" t="s">
        <v>569</v>
      </c>
      <c r="C2676" t="s">
        <v>704</v>
      </c>
      <c r="D2676" s="5">
        <v>1778</v>
      </c>
      <c r="E2676" s="5">
        <v>14092</v>
      </c>
      <c r="F2676" s="5">
        <v>0</v>
      </c>
      <c r="G2676" s="5">
        <v>15869</v>
      </c>
    </row>
    <row r="2677" spans="1:7" x14ac:dyDescent="0.2">
      <c r="A2677">
        <v>981</v>
      </c>
      <c r="B2677" t="s">
        <v>569</v>
      </c>
      <c r="C2677" t="s">
        <v>705</v>
      </c>
      <c r="D2677" s="5">
        <v>2878</v>
      </c>
      <c r="E2677" s="5">
        <v>7742</v>
      </c>
      <c r="F2677" s="5">
        <v>0</v>
      </c>
      <c r="G2677" s="5">
        <v>10620</v>
      </c>
    </row>
    <row r="2678" spans="1:7" x14ac:dyDescent="0.2">
      <c r="A2678">
        <v>981</v>
      </c>
      <c r="B2678" t="s">
        <v>569</v>
      </c>
      <c r="C2678" t="s">
        <v>707</v>
      </c>
      <c r="D2678" s="5">
        <v>30524</v>
      </c>
      <c r="E2678" s="5">
        <v>2176</v>
      </c>
      <c r="F2678" s="5">
        <v>287</v>
      </c>
      <c r="G2678" s="5">
        <v>32988</v>
      </c>
    </row>
    <row r="2679" spans="1:7" x14ac:dyDescent="0.2">
      <c r="A2679">
        <v>981</v>
      </c>
      <c r="B2679" t="s">
        <v>569</v>
      </c>
      <c r="C2679" t="s">
        <v>708</v>
      </c>
      <c r="D2679" s="5">
        <v>0</v>
      </c>
      <c r="E2679" s="5">
        <v>4970</v>
      </c>
      <c r="F2679" s="5">
        <v>0</v>
      </c>
      <c r="G2679" s="5">
        <v>4970</v>
      </c>
    </row>
    <row r="2680" spans="1:7" x14ac:dyDescent="0.2">
      <c r="A2680">
        <v>981</v>
      </c>
      <c r="B2680" t="s">
        <v>569</v>
      </c>
      <c r="C2680" t="s">
        <v>709</v>
      </c>
      <c r="D2680" s="5">
        <v>947</v>
      </c>
      <c r="E2680" s="5">
        <v>10611</v>
      </c>
      <c r="F2680" s="5">
        <v>272</v>
      </c>
      <c r="G2680" s="5">
        <v>11830</v>
      </c>
    </row>
    <row r="2681" spans="1:7" x14ac:dyDescent="0.2">
      <c r="A2681">
        <v>981</v>
      </c>
      <c r="B2681" t="s">
        <v>569</v>
      </c>
      <c r="C2681" t="s">
        <v>710</v>
      </c>
      <c r="D2681" s="5">
        <v>371</v>
      </c>
      <c r="E2681" s="5">
        <v>6898</v>
      </c>
      <c r="F2681" s="5">
        <v>0</v>
      </c>
      <c r="G2681" s="5">
        <v>7269</v>
      </c>
    </row>
    <row r="2682" spans="1:7" x14ac:dyDescent="0.2">
      <c r="A2682">
        <v>981</v>
      </c>
      <c r="B2682" t="s">
        <v>569</v>
      </c>
      <c r="C2682" t="s">
        <v>711</v>
      </c>
      <c r="D2682" s="5">
        <v>0</v>
      </c>
      <c r="E2682" s="5">
        <v>74</v>
      </c>
      <c r="F2682" s="5">
        <v>0</v>
      </c>
      <c r="G2682" s="5">
        <v>74</v>
      </c>
    </row>
    <row r="2683" spans="1:7" x14ac:dyDescent="0.2">
      <c r="A2683">
        <v>981</v>
      </c>
      <c r="B2683" t="s">
        <v>569</v>
      </c>
      <c r="C2683" t="s">
        <v>712</v>
      </c>
      <c r="D2683" s="5">
        <v>7751</v>
      </c>
      <c r="E2683" s="5">
        <v>13779</v>
      </c>
      <c r="F2683" s="5">
        <v>0</v>
      </c>
      <c r="G2683" s="5">
        <v>21530</v>
      </c>
    </row>
    <row r="2684" spans="1:7" x14ac:dyDescent="0.2">
      <c r="A2684">
        <v>983</v>
      </c>
      <c r="B2684" t="s">
        <v>585</v>
      </c>
      <c r="C2684" t="s">
        <v>700</v>
      </c>
      <c r="D2684" s="5">
        <v>992156</v>
      </c>
      <c r="E2684" s="5">
        <v>2012722</v>
      </c>
      <c r="F2684" s="5">
        <v>82130</v>
      </c>
      <c r="G2684" s="5">
        <v>3087008</v>
      </c>
    </row>
    <row r="2685" spans="1:7" x14ac:dyDescent="0.2">
      <c r="A2685">
        <v>983</v>
      </c>
      <c r="B2685" t="s">
        <v>585</v>
      </c>
      <c r="C2685" t="s">
        <v>701</v>
      </c>
      <c r="D2685" s="5">
        <v>41586</v>
      </c>
      <c r="E2685" s="5">
        <v>76392</v>
      </c>
      <c r="F2685" s="5">
        <v>38</v>
      </c>
      <c r="G2685" s="5">
        <v>118016</v>
      </c>
    </row>
    <row r="2686" spans="1:7" x14ac:dyDescent="0.2">
      <c r="A2686">
        <v>983</v>
      </c>
      <c r="B2686" t="s">
        <v>585</v>
      </c>
      <c r="C2686" t="s">
        <v>703</v>
      </c>
      <c r="D2686" s="5">
        <v>6528</v>
      </c>
      <c r="E2686" s="5">
        <v>59442</v>
      </c>
      <c r="F2686" s="5">
        <v>0</v>
      </c>
      <c r="G2686" s="5">
        <v>65970</v>
      </c>
    </row>
    <row r="2687" spans="1:7" x14ac:dyDescent="0.2">
      <c r="A2687">
        <v>983</v>
      </c>
      <c r="B2687" t="s">
        <v>585</v>
      </c>
      <c r="C2687" t="s">
        <v>704</v>
      </c>
      <c r="D2687" s="5">
        <v>630941</v>
      </c>
      <c r="E2687" s="5">
        <v>2946236</v>
      </c>
      <c r="F2687" s="5">
        <v>5735</v>
      </c>
      <c r="G2687" s="5">
        <v>3582912</v>
      </c>
    </row>
    <row r="2688" spans="1:7" x14ac:dyDescent="0.2">
      <c r="A2688">
        <v>983</v>
      </c>
      <c r="B2688" t="s">
        <v>585</v>
      </c>
      <c r="C2688" t="s">
        <v>705</v>
      </c>
      <c r="D2688" s="5">
        <v>27788</v>
      </c>
      <c r="E2688" s="5">
        <v>918989</v>
      </c>
      <c r="F2688" s="5">
        <v>910</v>
      </c>
      <c r="G2688" s="5">
        <v>947687</v>
      </c>
    </row>
    <row r="2689" spans="1:7" x14ac:dyDescent="0.2">
      <c r="A2689">
        <v>983</v>
      </c>
      <c r="B2689" t="s">
        <v>585</v>
      </c>
      <c r="C2689" t="s">
        <v>707</v>
      </c>
      <c r="D2689" s="5">
        <v>31909</v>
      </c>
      <c r="E2689" s="5">
        <v>24108</v>
      </c>
      <c r="F2689" s="5">
        <v>3066</v>
      </c>
      <c r="G2689" s="5">
        <v>59084</v>
      </c>
    </row>
    <row r="2690" spans="1:7" x14ac:dyDescent="0.2">
      <c r="A2690">
        <v>983</v>
      </c>
      <c r="B2690" t="s">
        <v>585</v>
      </c>
      <c r="C2690" t="s">
        <v>708</v>
      </c>
      <c r="D2690" s="5">
        <v>2446</v>
      </c>
      <c r="E2690" s="5">
        <v>112395</v>
      </c>
      <c r="F2690" s="5">
        <v>727</v>
      </c>
      <c r="G2690" s="5">
        <v>115568</v>
      </c>
    </row>
    <row r="2691" spans="1:7" x14ac:dyDescent="0.2">
      <c r="A2691">
        <v>983</v>
      </c>
      <c r="B2691" t="s">
        <v>585</v>
      </c>
      <c r="C2691" t="s">
        <v>709</v>
      </c>
      <c r="D2691" s="5">
        <v>56593</v>
      </c>
      <c r="E2691" s="5">
        <v>260408</v>
      </c>
      <c r="F2691" s="5">
        <v>1037</v>
      </c>
      <c r="G2691" s="5">
        <v>318037</v>
      </c>
    </row>
    <row r="2692" spans="1:7" x14ac:dyDescent="0.2">
      <c r="A2692">
        <v>983</v>
      </c>
      <c r="B2692" t="s">
        <v>585</v>
      </c>
      <c r="C2692" t="s">
        <v>710</v>
      </c>
      <c r="D2692" s="5">
        <v>6167</v>
      </c>
      <c r="E2692" s="5">
        <v>64314</v>
      </c>
      <c r="F2692" s="5">
        <v>0</v>
      </c>
      <c r="G2692" s="5">
        <v>70481</v>
      </c>
    </row>
    <row r="2693" spans="1:7" x14ac:dyDescent="0.2">
      <c r="A2693">
        <v>983</v>
      </c>
      <c r="B2693" t="s">
        <v>585</v>
      </c>
      <c r="C2693" t="s">
        <v>711</v>
      </c>
      <c r="D2693" s="5">
        <v>0</v>
      </c>
      <c r="E2693" s="5">
        <v>391</v>
      </c>
      <c r="F2693" s="5">
        <v>0</v>
      </c>
      <c r="G2693" s="5">
        <v>391</v>
      </c>
    </row>
    <row r="2694" spans="1:7" x14ac:dyDescent="0.2">
      <c r="A2694">
        <v>983</v>
      </c>
      <c r="B2694" t="s">
        <v>585</v>
      </c>
      <c r="C2694" t="s">
        <v>712</v>
      </c>
      <c r="D2694" s="5">
        <v>49970</v>
      </c>
      <c r="E2694" s="5">
        <v>379095</v>
      </c>
      <c r="F2694" s="5">
        <v>853</v>
      </c>
      <c r="G2694" s="5">
        <v>429918</v>
      </c>
    </row>
    <row r="2695" spans="1:7" x14ac:dyDescent="0.2">
      <c r="A2695">
        <v>984</v>
      </c>
      <c r="B2695" t="s">
        <v>587</v>
      </c>
      <c r="C2695" t="s">
        <v>700</v>
      </c>
      <c r="D2695" s="5">
        <v>898171</v>
      </c>
      <c r="E2695" s="5">
        <v>1109442</v>
      </c>
      <c r="F2695" s="5">
        <v>133047</v>
      </c>
      <c r="G2695" s="5">
        <v>2140659</v>
      </c>
    </row>
    <row r="2696" spans="1:7" x14ac:dyDescent="0.2">
      <c r="A2696">
        <v>984</v>
      </c>
      <c r="B2696" t="s">
        <v>587</v>
      </c>
      <c r="C2696" t="s">
        <v>701</v>
      </c>
      <c r="D2696" s="5">
        <v>11991</v>
      </c>
      <c r="E2696" s="5">
        <v>39285</v>
      </c>
      <c r="F2696" s="5">
        <v>56</v>
      </c>
      <c r="G2696" s="5">
        <v>51331</v>
      </c>
    </row>
    <row r="2697" spans="1:7" x14ac:dyDescent="0.2">
      <c r="A2697">
        <v>984</v>
      </c>
      <c r="B2697" t="s">
        <v>587</v>
      </c>
      <c r="C2697" t="s">
        <v>703</v>
      </c>
      <c r="D2697" s="5">
        <v>3873</v>
      </c>
      <c r="E2697" s="5">
        <v>16816</v>
      </c>
      <c r="F2697" s="5">
        <v>0</v>
      </c>
      <c r="G2697" s="5">
        <v>20689</v>
      </c>
    </row>
    <row r="2698" spans="1:7" x14ac:dyDescent="0.2">
      <c r="A2698">
        <v>984</v>
      </c>
      <c r="B2698" t="s">
        <v>587</v>
      </c>
      <c r="C2698" t="s">
        <v>704</v>
      </c>
      <c r="D2698" s="5">
        <v>304181</v>
      </c>
      <c r="E2698" s="5">
        <v>1003187</v>
      </c>
      <c r="F2698" s="5">
        <v>11718</v>
      </c>
      <c r="G2698" s="5">
        <v>1319086</v>
      </c>
    </row>
    <row r="2699" spans="1:7" x14ac:dyDescent="0.2">
      <c r="A2699">
        <v>984</v>
      </c>
      <c r="B2699" t="s">
        <v>587</v>
      </c>
      <c r="C2699" t="s">
        <v>705</v>
      </c>
      <c r="D2699" s="5">
        <v>7524</v>
      </c>
      <c r="E2699" s="5">
        <v>226877</v>
      </c>
      <c r="F2699" s="5">
        <v>1215</v>
      </c>
      <c r="G2699" s="5">
        <v>235616</v>
      </c>
    </row>
    <row r="2700" spans="1:7" x14ac:dyDescent="0.2">
      <c r="A2700">
        <v>984</v>
      </c>
      <c r="B2700" t="s">
        <v>587</v>
      </c>
      <c r="C2700" t="s">
        <v>707</v>
      </c>
      <c r="D2700" s="5">
        <v>436</v>
      </c>
      <c r="E2700" s="5">
        <v>5862</v>
      </c>
      <c r="F2700" s="5">
        <v>0</v>
      </c>
      <c r="G2700" s="5">
        <v>6298</v>
      </c>
    </row>
    <row r="2701" spans="1:7" x14ac:dyDescent="0.2">
      <c r="A2701">
        <v>984</v>
      </c>
      <c r="B2701" t="s">
        <v>587</v>
      </c>
      <c r="C2701" t="s">
        <v>708</v>
      </c>
      <c r="D2701" s="5">
        <v>1145</v>
      </c>
      <c r="E2701" s="5">
        <v>32472</v>
      </c>
      <c r="F2701" s="5">
        <v>0</v>
      </c>
      <c r="G2701" s="5">
        <v>33617</v>
      </c>
    </row>
    <row r="2702" spans="1:7" x14ac:dyDescent="0.2">
      <c r="A2702">
        <v>984</v>
      </c>
      <c r="B2702" t="s">
        <v>587</v>
      </c>
      <c r="C2702" t="s">
        <v>709</v>
      </c>
      <c r="D2702" s="5">
        <v>20709</v>
      </c>
      <c r="E2702" s="5">
        <v>79380</v>
      </c>
      <c r="F2702" s="5">
        <v>4709</v>
      </c>
      <c r="G2702" s="5">
        <v>104798</v>
      </c>
    </row>
    <row r="2703" spans="1:7" x14ac:dyDescent="0.2">
      <c r="A2703">
        <v>984</v>
      </c>
      <c r="B2703" t="s">
        <v>587</v>
      </c>
      <c r="C2703" t="s">
        <v>710</v>
      </c>
      <c r="D2703" s="5">
        <v>2843</v>
      </c>
      <c r="E2703" s="5">
        <v>23327</v>
      </c>
      <c r="F2703" s="5">
        <v>0</v>
      </c>
      <c r="G2703" s="5">
        <v>26170</v>
      </c>
    </row>
    <row r="2704" spans="1:7" x14ac:dyDescent="0.2">
      <c r="A2704">
        <v>984</v>
      </c>
      <c r="B2704" t="s">
        <v>587</v>
      </c>
      <c r="C2704" t="s">
        <v>711</v>
      </c>
      <c r="D2704" s="5">
        <v>0</v>
      </c>
      <c r="E2704" s="5">
        <v>106</v>
      </c>
      <c r="F2704" s="5">
        <v>0</v>
      </c>
      <c r="G2704" s="5">
        <v>106</v>
      </c>
    </row>
    <row r="2705" spans="1:7" x14ac:dyDescent="0.2">
      <c r="A2705">
        <v>984</v>
      </c>
      <c r="B2705" t="s">
        <v>587</v>
      </c>
      <c r="C2705" t="s">
        <v>712</v>
      </c>
      <c r="D2705" s="5">
        <v>17406</v>
      </c>
      <c r="E2705" s="5">
        <v>77964</v>
      </c>
      <c r="F2705" s="5">
        <v>0</v>
      </c>
      <c r="G2705" s="5">
        <v>95371</v>
      </c>
    </row>
    <row r="2706" spans="1:7" x14ac:dyDescent="0.2">
      <c r="A2706">
        <v>986</v>
      </c>
      <c r="B2706" t="s">
        <v>597</v>
      </c>
      <c r="C2706" t="s">
        <v>700</v>
      </c>
      <c r="D2706" s="5">
        <v>95659</v>
      </c>
      <c r="E2706" s="5">
        <v>111989</v>
      </c>
      <c r="F2706" s="5">
        <v>1400</v>
      </c>
      <c r="G2706" s="5">
        <v>209048</v>
      </c>
    </row>
    <row r="2707" spans="1:7" x14ac:dyDescent="0.2">
      <c r="A2707">
        <v>986</v>
      </c>
      <c r="B2707" t="s">
        <v>597</v>
      </c>
      <c r="C2707" t="s">
        <v>701</v>
      </c>
      <c r="D2707" s="5">
        <v>6379</v>
      </c>
      <c r="E2707" s="5">
        <v>10409</v>
      </c>
      <c r="F2707" s="5">
        <v>0</v>
      </c>
      <c r="G2707" s="5">
        <v>16788</v>
      </c>
    </row>
    <row r="2708" spans="1:7" x14ac:dyDescent="0.2">
      <c r="A2708">
        <v>986</v>
      </c>
      <c r="B2708" t="s">
        <v>597</v>
      </c>
      <c r="C2708" t="s">
        <v>703</v>
      </c>
      <c r="D2708" s="5">
        <v>81</v>
      </c>
      <c r="E2708" s="5">
        <v>1617</v>
      </c>
      <c r="F2708" s="5">
        <v>0</v>
      </c>
      <c r="G2708" s="5">
        <v>1698</v>
      </c>
    </row>
    <row r="2709" spans="1:7" x14ac:dyDescent="0.2">
      <c r="A2709">
        <v>986</v>
      </c>
      <c r="B2709" t="s">
        <v>597</v>
      </c>
      <c r="C2709" t="s">
        <v>704</v>
      </c>
      <c r="D2709" s="5">
        <v>11831</v>
      </c>
      <c r="E2709" s="5">
        <v>30007</v>
      </c>
      <c r="F2709" s="5">
        <v>0</v>
      </c>
      <c r="G2709" s="5">
        <v>41838</v>
      </c>
    </row>
    <row r="2710" spans="1:7" x14ac:dyDescent="0.2">
      <c r="A2710">
        <v>986</v>
      </c>
      <c r="B2710" t="s">
        <v>597</v>
      </c>
      <c r="C2710" t="s">
        <v>705</v>
      </c>
      <c r="D2710" s="5">
        <v>4037</v>
      </c>
      <c r="E2710" s="5">
        <v>6561</v>
      </c>
      <c r="F2710" s="5">
        <v>268</v>
      </c>
      <c r="G2710" s="5">
        <v>10866</v>
      </c>
    </row>
    <row r="2711" spans="1:7" x14ac:dyDescent="0.2">
      <c r="A2711">
        <v>986</v>
      </c>
      <c r="B2711" t="s">
        <v>597</v>
      </c>
      <c r="C2711" t="s">
        <v>707</v>
      </c>
      <c r="D2711" s="5">
        <v>3103</v>
      </c>
      <c r="E2711" s="5">
        <v>1265</v>
      </c>
      <c r="F2711" s="5">
        <v>55</v>
      </c>
      <c r="G2711" s="5">
        <v>4423</v>
      </c>
    </row>
    <row r="2712" spans="1:7" x14ac:dyDescent="0.2">
      <c r="A2712">
        <v>986</v>
      </c>
      <c r="B2712" t="s">
        <v>597</v>
      </c>
      <c r="C2712" t="s">
        <v>708</v>
      </c>
      <c r="D2712" s="5">
        <v>0</v>
      </c>
      <c r="E2712" s="5">
        <v>4217</v>
      </c>
      <c r="F2712" s="5">
        <v>0</v>
      </c>
      <c r="G2712" s="5">
        <v>4217</v>
      </c>
    </row>
    <row r="2713" spans="1:7" x14ac:dyDescent="0.2">
      <c r="A2713">
        <v>986</v>
      </c>
      <c r="B2713" t="s">
        <v>597</v>
      </c>
      <c r="C2713" t="s">
        <v>709</v>
      </c>
      <c r="D2713" s="5">
        <v>1038</v>
      </c>
      <c r="E2713" s="5">
        <v>2953</v>
      </c>
      <c r="F2713" s="5">
        <v>137</v>
      </c>
      <c r="G2713" s="5">
        <v>4128</v>
      </c>
    </row>
    <row r="2714" spans="1:7" x14ac:dyDescent="0.2">
      <c r="A2714">
        <v>986</v>
      </c>
      <c r="B2714" t="s">
        <v>597</v>
      </c>
      <c r="C2714" t="s">
        <v>710</v>
      </c>
      <c r="D2714" s="5">
        <v>246</v>
      </c>
      <c r="E2714" s="5">
        <v>4926</v>
      </c>
      <c r="F2714" s="5">
        <v>0</v>
      </c>
      <c r="G2714" s="5">
        <v>5172</v>
      </c>
    </row>
    <row r="2715" spans="1:7" x14ac:dyDescent="0.2">
      <c r="A2715">
        <v>986</v>
      </c>
      <c r="B2715" t="s">
        <v>597</v>
      </c>
      <c r="C2715" t="s">
        <v>712</v>
      </c>
      <c r="D2715" s="5">
        <v>4178</v>
      </c>
      <c r="E2715" s="5">
        <v>8685</v>
      </c>
      <c r="F2715" s="5">
        <v>0</v>
      </c>
      <c r="G2715" s="5">
        <v>12864</v>
      </c>
    </row>
    <row r="2716" spans="1:7" x14ac:dyDescent="0.2">
      <c r="A2716">
        <v>988</v>
      </c>
      <c r="B2716" t="s">
        <v>621</v>
      </c>
      <c r="C2716" t="s">
        <v>700</v>
      </c>
      <c r="D2716" s="5">
        <v>521508</v>
      </c>
      <c r="E2716" s="5">
        <v>769161</v>
      </c>
      <c r="F2716" s="5">
        <v>17651</v>
      </c>
      <c r="G2716" s="5">
        <v>1308320</v>
      </c>
    </row>
    <row r="2717" spans="1:7" x14ac:dyDescent="0.2">
      <c r="A2717">
        <v>988</v>
      </c>
      <c r="B2717" t="s">
        <v>621</v>
      </c>
      <c r="C2717" t="s">
        <v>701</v>
      </c>
      <c r="D2717" s="5">
        <v>22541</v>
      </c>
      <c r="E2717" s="5">
        <v>35668</v>
      </c>
      <c r="F2717" s="5">
        <v>92</v>
      </c>
      <c r="G2717" s="5">
        <v>58301</v>
      </c>
    </row>
    <row r="2718" spans="1:7" x14ac:dyDescent="0.2">
      <c r="A2718">
        <v>988</v>
      </c>
      <c r="B2718" t="s">
        <v>621</v>
      </c>
      <c r="C2718" t="s">
        <v>703</v>
      </c>
      <c r="D2718" s="5">
        <v>4176</v>
      </c>
      <c r="E2718" s="5">
        <v>24802</v>
      </c>
      <c r="F2718" s="5">
        <v>0</v>
      </c>
      <c r="G2718" s="5">
        <v>28978</v>
      </c>
    </row>
    <row r="2719" spans="1:7" x14ac:dyDescent="0.2">
      <c r="A2719">
        <v>988</v>
      </c>
      <c r="B2719" t="s">
        <v>621</v>
      </c>
      <c r="C2719" t="s">
        <v>704</v>
      </c>
      <c r="D2719" s="5">
        <v>87581</v>
      </c>
      <c r="E2719" s="5">
        <v>776790</v>
      </c>
      <c r="F2719" s="5">
        <v>0</v>
      </c>
      <c r="G2719" s="5">
        <v>864371</v>
      </c>
    </row>
    <row r="2720" spans="1:7" x14ac:dyDescent="0.2">
      <c r="A2720">
        <v>988</v>
      </c>
      <c r="B2720" t="s">
        <v>621</v>
      </c>
      <c r="C2720" t="s">
        <v>705</v>
      </c>
      <c r="D2720" s="5">
        <v>10367</v>
      </c>
      <c r="E2720" s="5">
        <v>118458</v>
      </c>
      <c r="F2720" s="5">
        <v>1757</v>
      </c>
      <c r="G2720" s="5">
        <v>130582</v>
      </c>
    </row>
    <row r="2721" spans="1:7" x14ac:dyDescent="0.2">
      <c r="A2721">
        <v>988</v>
      </c>
      <c r="B2721" t="s">
        <v>621</v>
      </c>
      <c r="C2721" t="s">
        <v>707</v>
      </c>
      <c r="D2721" s="5">
        <v>20186</v>
      </c>
      <c r="E2721" s="5">
        <v>45174</v>
      </c>
      <c r="F2721" s="5">
        <v>0</v>
      </c>
      <c r="G2721" s="5">
        <v>65360</v>
      </c>
    </row>
    <row r="2722" spans="1:7" x14ac:dyDescent="0.2">
      <c r="A2722">
        <v>988</v>
      </c>
      <c r="B2722" t="s">
        <v>621</v>
      </c>
      <c r="C2722" t="s">
        <v>708</v>
      </c>
      <c r="D2722" s="5">
        <v>2590</v>
      </c>
      <c r="E2722" s="5">
        <v>50756</v>
      </c>
      <c r="F2722" s="5">
        <v>0</v>
      </c>
      <c r="G2722" s="5">
        <v>53346</v>
      </c>
    </row>
    <row r="2723" spans="1:7" x14ac:dyDescent="0.2">
      <c r="A2723">
        <v>988</v>
      </c>
      <c r="B2723" t="s">
        <v>621</v>
      </c>
      <c r="C2723" t="s">
        <v>709</v>
      </c>
      <c r="D2723" s="5">
        <v>11652</v>
      </c>
      <c r="E2723" s="5">
        <v>50948</v>
      </c>
      <c r="F2723" s="5">
        <v>4877</v>
      </c>
      <c r="G2723" s="5">
        <v>67477</v>
      </c>
    </row>
    <row r="2724" spans="1:7" x14ac:dyDescent="0.2">
      <c r="A2724">
        <v>988</v>
      </c>
      <c r="B2724" t="s">
        <v>621</v>
      </c>
      <c r="C2724" t="s">
        <v>710</v>
      </c>
      <c r="D2724" s="5">
        <v>5334</v>
      </c>
      <c r="E2724" s="5">
        <v>44501</v>
      </c>
      <c r="F2724" s="5">
        <v>0</v>
      </c>
      <c r="G2724" s="5">
        <v>49834</v>
      </c>
    </row>
    <row r="2725" spans="1:7" x14ac:dyDescent="0.2">
      <c r="A2725">
        <v>988</v>
      </c>
      <c r="B2725" t="s">
        <v>621</v>
      </c>
      <c r="C2725" t="s">
        <v>712</v>
      </c>
      <c r="D2725" s="5">
        <v>12775</v>
      </c>
      <c r="E2725" s="5">
        <v>143991</v>
      </c>
      <c r="F2725" s="5">
        <v>972</v>
      </c>
      <c r="G2725" s="5">
        <v>157738</v>
      </c>
    </row>
    <row r="2726" spans="1:7" x14ac:dyDescent="0.2">
      <c r="A2726">
        <v>994</v>
      </c>
      <c r="B2726" t="s">
        <v>571</v>
      </c>
      <c r="C2726" t="s">
        <v>700</v>
      </c>
      <c r="D2726" s="5">
        <v>100850</v>
      </c>
      <c r="E2726" s="5">
        <v>101246</v>
      </c>
      <c r="F2726" s="5">
        <v>1366</v>
      </c>
      <c r="G2726" s="5">
        <v>203462</v>
      </c>
    </row>
    <row r="2727" spans="1:7" x14ac:dyDescent="0.2">
      <c r="A2727">
        <v>994</v>
      </c>
      <c r="B2727" t="s">
        <v>571</v>
      </c>
      <c r="C2727" t="s">
        <v>701</v>
      </c>
      <c r="D2727" s="5">
        <v>19234</v>
      </c>
      <c r="E2727" s="5">
        <v>17888</v>
      </c>
      <c r="F2727" s="5">
        <v>0</v>
      </c>
      <c r="G2727" s="5">
        <v>37121</v>
      </c>
    </row>
    <row r="2728" spans="1:7" x14ac:dyDescent="0.2">
      <c r="A2728">
        <v>994</v>
      </c>
      <c r="B2728" t="s">
        <v>571</v>
      </c>
      <c r="C2728" t="s">
        <v>703</v>
      </c>
      <c r="D2728" s="5">
        <v>512</v>
      </c>
      <c r="E2728" s="5">
        <v>1935</v>
      </c>
      <c r="F2728" s="5">
        <v>30</v>
      </c>
      <c r="G2728" s="5">
        <v>2477</v>
      </c>
    </row>
    <row r="2729" spans="1:7" x14ac:dyDescent="0.2">
      <c r="A2729">
        <v>994</v>
      </c>
      <c r="B2729" t="s">
        <v>571</v>
      </c>
      <c r="C2729" t="s">
        <v>704</v>
      </c>
      <c r="D2729" s="5">
        <v>7659</v>
      </c>
      <c r="E2729" s="5">
        <v>24589</v>
      </c>
      <c r="F2729" s="5">
        <v>0</v>
      </c>
      <c r="G2729" s="5">
        <v>32248</v>
      </c>
    </row>
    <row r="2730" spans="1:7" x14ac:dyDescent="0.2">
      <c r="A2730">
        <v>994</v>
      </c>
      <c r="B2730" t="s">
        <v>571</v>
      </c>
      <c r="C2730" t="s">
        <v>705</v>
      </c>
      <c r="D2730" s="5">
        <v>9771</v>
      </c>
      <c r="E2730" s="5">
        <v>29072</v>
      </c>
      <c r="F2730" s="5">
        <v>36</v>
      </c>
      <c r="G2730" s="5">
        <v>38879</v>
      </c>
    </row>
    <row r="2731" spans="1:7" x14ac:dyDescent="0.2">
      <c r="A2731">
        <v>994</v>
      </c>
      <c r="B2731" t="s">
        <v>571</v>
      </c>
      <c r="C2731" t="s">
        <v>707</v>
      </c>
      <c r="D2731" s="5">
        <v>29643</v>
      </c>
      <c r="E2731" s="5">
        <v>32584</v>
      </c>
      <c r="F2731" s="5">
        <v>0</v>
      </c>
      <c r="G2731" s="5">
        <v>62227</v>
      </c>
    </row>
    <row r="2732" spans="1:7" x14ac:dyDescent="0.2">
      <c r="A2732">
        <v>994</v>
      </c>
      <c r="B2732" t="s">
        <v>571</v>
      </c>
      <c r="C2732" t="s">
        <v>708</v>
      </c>
      <c r="D2732" s="5">
        <v>897</v>
      </c>
      <c r="E2732" s="5">
        <v>12427</v>
      </c>
      <c r="F2732" s="5">
        <v>0</v>
      </c>
      <c r="G2732" s="5">
        <v>13324</v>
      </c>
    </row>
    <row r="2733" spans="1:7" x14ac:dyDescent="0.2">
      <c r="A2733">
        <v>994</v>
      </c>
      <c r="B2733" t="s">
        <v>571</v>
      </c>
      <c r="C2733" t="s">
        <v>709</v>
      </c>
      <c r="D2733" s="5">
        <v>3852</v>
      </c>
      <c r="E2733" s="5">
        <v>15863</v>
      </c>
      <c r="F2733" s="5">
        <v>0</v>
      </c>
      <c r="G2733" s="5">
        <v>19715</v>
      </c>
    </row>
    <row r="2734" spans="1:7" x14ac:dyDescent="0.2">
      <c r="A2734">
        <v>994</v>
      </c>
      <c r="B2734" t="s">
        <v>571</v>
      </c>
      <c r="C2734" t="s">
        <v>710</v>
      </c>
      <c r="D2734" s="5">
        <v>1482</v>
      </c>
      <c r="E2734" s="5">
        <v>22452</v>
      </c>
      <c r="F2734" s="5">
        <v>0</v>
      </c>
      <c r="G2734" s="5">
        <v>23934</v>
      </c>
    </row>
    <row r="2735" spans="1:7" x14ac:dyDescent="0.2">
      <c r="A2735">
        <v>994</v>
      </c>
      <c r="B2735" t="s">
        <v>571</v>
      </c>
      <c r="C2735" t="s">
        <v>712</v>
      </c>
      <c r="D2735" s="5">
        <v>10539</v>
      </c>
      <c r="E2735" s="5">
        <v>24875</v>
      </c>
      <c r="F2735" s="5">
        <v>0</v>
      </c>
      <c r="G2735" s="5">
        <v>35414</v>
      </c>
    </row>
    <row r="2736" spans="1:7" x14ac:dyDescent="0.2">
      <c r="A2736">
        <v>995</v>
      </c>
      <c r="B2736" t="s">
        <v>327</v>
      </c>
      <c r="C2736" t="s">
        <v>700</v>
      </c>
      <c r="D2736" s="5">
        <v>277957</v>
      </c>
      <c r="E2736" s="5">
        <v>354762</v>
      </c>
      <c r="F2736" s="5">
        <v>16716</v>
      </c>
      <c r="G2736" s="5">
        <v>649435</v>
      </c>
    </row>
    <row r="2737" spans="1:7" x14ac:dyDescent="0.2">
      <c r="A2737">
        <v>995</v>
      </c>
      <c r="B2737" t="s">
        <v>327</v>
      </c>
      <c r="C2737" t="s">
        <v>701</v>
      </c>
      <c r="D2737" s="5">
        <v>804</v>
      </c>
      <c r="E2737" s="5">
        <v>162363</v>
      </c>
      <c r="F2737" s="5">
        <v>0</v>
      </c>
      <c r="G2737" s="5">
        <v>163167</v>
      </c>
    </row>
    <row r="2738" spans="1:7" x14ac:dyDescent="0.2">
      <c r="A2738">
        <v>995</v>
      </c>
      <c r="B2738" t="s">
        <v>327</v>
      </c>
      <c r="C2738" t="s">
        <v>702</v>
      </c>
      <c r="D2738" s="5">
        <v>0</v>
      </c>
      <c r="E2738" s="5">
        <v>13700</v>
      </c>
      <c r="F2738" s="5">
        <v>0</v>
      </c>
      <c r="G2738" s="5">
        <v>13700</v>
      </c>
    </row>
    <row r="2739" spans="1:7" x14ac:dyDescent="0.2">
      <c r="A2739">
        <v>995</v>
      </c>
      <c r="B2739" t="s">
        <v>327</v>
      </c>
      <c r="C2739" t="s">
        <v>703</v>
      </c>
      <c r="D2739" s="5">
        <v>163</v>
      </c>
      <c r="E2739" s="5">
        <v>37886</v>
      </c>
      <c r="F2739" s="5">
        <v>0</v>
      </c>
      <c r="G2739" s="5">
        <v>38049</v>
      </c>
    </row>
    <row r="2740" spans="1:7" x14ac:dyDescent="0.2">
      <c r="A2740">
        <v>995</v>
      </c>
      <c r="B2740" t="s">
        <v>327</v>
      </c>
      <c r="C2740" t="s">
        <v>704</v>
      </c>
      <c r="D2740" s="5">
        <v>30883</v>
      </c>
      <c r="E2740" s="5">
        <v>849266</v>
      </c>
      <c r="F2740" s="5">
        <v>5081</v>
      </c>
      <c r="G2740" s="5">
        <v>885230</v>
      </c>
    </row>
    <row r="2741" spans="1:7" x14ac:dyDescent="0.2">
      <c r="A2741">
        <v>995</v>
      </c>
      <c r="B2741" t="s">
        <v>327</v>
      </c>
      <c r="C2741" t="s">
        <v>705</v>
      </c>
      <c r="D2741" s="5">
        <v>2544</v>
      </c>
      <c r="E2741" s="5">
        <v>201682</v>
      </c>
      <c r="F2741" s="5">
        <v>710</v>
      </c>
      <c r="G2741" s="5">
        <v>204936</v>
      </c>
    </row>
    <row r="2742" spans="1:7" x14ac:dyDescent="0.2">
      <c r="A2742">
        <v>995</v>
      </c>
      <c r="B2742" t="s">
        <v>327</v>
      </c>
      <c r="C2742" t="s">
        <v>707</v>
      </c>
      <c r="D2742" s="5">
        <v>938</v>
      </c>
      <c r="E2742" s="5">
        <v>2745</v>
      </c>
      <c r="F2742" s="5">
        <v>0</v>
      </c>
      <c r="G2742" s="5">
        <v>3683</v>
      </c>
    </row>
    <row r="2743" spans="1:7" x14ac:dyDescent="0.2">
      <c r="A2743">
        <v>995</v>
      </c>
      <c r="B2743" t="s">
        <v>327</v>
      </c>
      <c r="C2743" t="s">
        <v>708</v>
      </c>
      <c r="D2743" s="5">
        <v>0</v>
      </c>
      <c r="E2743" s="5">
        <v>105499</v>
      </c>
      <c r="F2743" s="5">
        <v>0</v>
      </c>
      <c r="G2743" s="5">
        <v>105499</v>
      </c>
    </row>
    <row r="2744" spans="1:7" x14ac:dyDescent="0.2">
      <c r="A2744">
        <v>995</v>
      </c>
      <c r="B2744" t="s">
        <v>327</v>
      </c>
      <c r="C2744" t="s">
        <v>709</v>
      </c>
      <c r="D2744" s="5">
        <v>11171</v>
      </c>
      <c r="E2744" s="5">
        <v>147971</v>
      </c>
      <c r="F2744" s="5">
        <v>925</v>
      </c>
      <c r="G2744" s="5">
        <v>160067</v>
      </c>
    </row>
    <row r="2745" spans="1:7" x14ac:dyDescent="0.2">
      <c r="A2745">
        <v>995</v>
      </c>
      <c r="B2745" t="s">
        <v>327</v>
      </c>
      <c r="C2745" t="s">
        <v>710</v>
      </c>
      <c r="D2745" s="5">
        <v>1664</v>
      </c>
      <c r="E2745" s="5">
        <v>43925</v>
      </c>
      <c r="F2745" s="5">
        <v>2038</v>
      </c>
      <c r="G2745" s="5">
        <v>47627</v>
      </c>
    </row>
    <row r="2746" spans="1:7" x14ac:dyDescent="0.2">
      <c r="A2746">
        <v>995</v>
      </c>
      <c r="B2746" t="s">
        <v>327</v>
      </c>
      <c r="C2746" t="s">
        <v>712</v>
      </c>
      <c r="D2746" s="5">
        <v>25379</v>
      </c>
      <c r="E2746" s="5">
        <v>135298</v>
      </c>
      <c r="F2746" s="5">
        <v>6588</v>
      </c>
      <c r="G2746" s="5">
        <v>167264</v>
      </c>
    </row>
    <row r="2747" spans="1:7" x14ac:dyDescent="0.2">
      <c r="A2747">
        <v>1507</v>
      </c>
      <c r="B2747" t="s">
        <v>281</v>
      </c>
      <c r="C2747" t="s">
        <v>700</v>
      </c>
      <c r="D2747" s="5">
        <v>2650042</v>
      </c>
      <c r="E2747" s="5">
        <v>2045695</v>
      </c>
      <c r="F2747" s="5">
        <v>108915</v>
      </c>
      <c r="G2747" s="5">
        <v>4804651</v>
      </c>
    </row>
    <row r="2748" spans="1:7" x14ac:dyDescent="0.2">
      <c r="A2748">
        <v>1507</v>
      </c>
      <c r="B2748" t="s">
        <v>281</v>
      </c>
      <c r="C2748" t="s">
        <v>701</v>
      </c>
      <c r="D2748" s="5">
        <v>19830</v>
      </c>
      <c r="E2748" s="5">
        <v>52435</v>
      </c>
      <c r="F2748" s="5">
        <v>480</v>
      </c>
      <c r="G2748" s="5">
        <v>72745</v>
      </c>
    </row>
    <row r="2749" spans="1:7" x14ac:dyDescent="0.2">
      <c r="A2749">
        <v>1507</v>
      </c>
      <c r="B2749" t="s">
        <v>281</v>
      </c>
      <c r="C2749" t="s">
        <v>703</v>
      </c>
      <c r="D2749" s="5">
        <v>5139</v>
      </c>
      <c r="E2749" s="5">
        <v>8371</v>
      </c>
      <c r="F2749" s="5">
        <v>0</v>
      </c>
      <c r="G2749" s="5">
        <v>13510</v>
      </c>
    </row>
    <row r="2750" spans="1:7" x14ac:dyDescent="0.2">
      <c r="A2750">
        <v>1507</v>
      </c>
      <c r="B2750" t="s">
        <v>281</v>
      </c>
      <c r="C2750" t="s">
        <v>704</v>
      </c>
      <c r="D2750" s="5">
        <v>637710</v>
      </c>
      <c r="E2750" s="5">
        <v>1003109</v>
      </c>
      <c r="F2750" s="5">
        <v>35512</v>
      </c>
      <c r="G2750" s="5">
        <v>1676332</v>
      </c>
    </row>
    <row r="2751" spans="1:7" x14ac:dyDescent="0.2">
      <c r="A2751">
        <v>1507</v>
      </c>
      <c r="B2751" t="s">
        <v>281</v>
      </c>
      <c r="C2751" t="s">
        <v>705</v>
      </c>
      <c r="D2751" s="5">
        <v>8827</v>
      </c>
      <c r="E2751" s="5">
        <v>191223</v>
      </c>
      <c r="F2751" s="5">
        <v>47</v>
      </c>
      <c r="G2751" s="5">
        <v>200097</v>
      </c>
    </row>
    <row r="2752" spans="1:7" x14ac:dyDescent="0.2">
      <c r="A2752">
        <v>1507</v>
      </c>
      <c r="B2752" t="s">
        <v>281</v>
      </c>
      <c r="C2752" t="s">
        <v>707</v>
      </c>
      <c r="D2752" s="5">
        <v>42181</v>
      </c>
      <c r="E2752" s="5">
        <v>119952</v>
      </c>
      <c r="F2752" s="5">
        <v>738</v>
      </c>
      <c r="G2752" s="5">
        <v>162871</v>
      </c>
    </row>
    <row r="2753" spans="1:7" x14ac:dyDescent="0.2">
      <c r="A2753">
        <v>1507</v>
      </c>
      <c r="B2753" t="s">
        <v>281</v>
      </c>
      <c r="C2753" t="s">
        <v>708</v>
      </c>
      <c r="D2753" s="5">
        <v>2577</v>
      </c>
      <c r="E2753" s="5">
        <v>43115</v>
      </c>
      <c r="F2753" s="5">
        <v>0</v>
      </c>
      <c r="G2753" s="5">
        <v>45692</v>
      </c>
    </row>
    <row r="2754" spans="1:7" x14ac:dyDescent="0.2">
      <c r="A2754">
        <v>1507</v>
      </c>
      <c r="B2754" t="s">
        <v>281</v>
      </c>
      <c r="C2754" t="s">
        <v>709</v>
      </c>
      <c r="D2754" s="5">
        <v>8655</v>
      </c>
      <c r="E2754" s="5">
        <v>15074</v>
      </c>
      <c r="F2754" s="5">
        <v>117</v>
      </c>
      <c r="G2754" s="5">
        <v>23845</v>
      </c>
    </row>
    <row r="2755" spans="1:7" x14ac:dyDescent="0.2">
      <c r="A2755">
        <v>1507</v>
      </c>
      <c r="B2755" t="s">
        <v>281</v>
      </c>
      <c r="C2755" t="s">
        <v>710</v>
      </c>
      <c r="D2755" s="5">
        <v>15688</v>
      </c>
      <c r="E2755" s="5">
        <v>26462</v>
      </c>
      <c r="F2755" s="5">
        <v>0</v>
      </c>
      <c r="G2755" s="5">
        <v>42150</v>
      </c>
    </row>
    <row r="2756" spans="1:7" x14ac:dyDescent="0.2">
      <c r="A2756">
        <v>1507</v>
      </c>
      <c r="B2756" t="s">
        <v>281</v>
      </c>
      <c r="C2756" t="s">
        <v>711</v>
      </c>
      <c r="D2756" s="5">
        <v>178</v>
      </c>
      <c r="E2756" s="5">
        <v>0</v>
      </c>
      <c r="F2756" s="5">
        <v>0</v>
      </c>
      <c r="G2756" s="5">
        <v>178</v>
      </c>
    </row>
    <row r="2757" spans="1:7" x14ac:dyDescent="0.2">
      <c r="A2757">
        <v>1507</v>
      </c>
      <c r="B2757" t="s">
        <v>281</v>
      </c>
      <c r="C2757" t="s">
        <v>712</v>
      </c>
      <c r="D2757" s="5">
        <v>21563</v>
      </c>
      <c r="E2757" s="5">
        <v>105636</v>
      </c>
      <c r="F2757" s="5">
        <v>0</v>
      </c>
      <c r="G2757" s="5">
        <v>127199</v>
      </c>
    </row>
    <row r="2758" spans="1:7" x14ac:dyDescent="0.2">
      <c r="A2758">
        <v>1509</v>
      </c>
      <c r="B2758" t="s">
        <v>439</v>
      </c>
      <c r="C2758" t="s">
        <v>700</v>
      </c>
      <c r="D2758" s="5">
        <v>744946</v>
      </c>
      <c r="E2758" s="5">
        <v>585395</v>
      </c>
      <c r="F2758" s="5">
        <v>10445</v>
      </c>
      <c r="G2758" s="5">
        <v>1340786</v>
      </c>
    </row>
    <row r="2759" spans="1:7" x14ac:dyDescent="0.2">
      <c r="A2759">
        <v>1509</v>
      </c>
      <c r="B2759" t="s">
        <v>439</v>
      </c>
      <c r="C2759" t="s">
        <v>701</v>
      </c>
      <c r="D2759" s="5">
        <v>22126</v>
      </c>
      <c r="E2759" s="5">
        <v>25603</v>
      </c>
      <c r="F2759" s="5">
        <v>0</v>
      </c>
      <c r="G2759" s="5">
        <v>47729</v>
      </c>
    </row>
    <row r="2760" spans="1:7" x14ac:dyDescent="0.2">
      <c r="A2760">
        <v>1509</v>
      </c>
      <c r="B2760" t="s">
        <v>439</v>
      </c>
      <c r="C2760" t="s">
        <v>703</v>
      </c>
      <c r="D2760" s="5">
        <v>2676</v>
      </c>
      <c r="E2760" s="5">
        <v>25067</v>
      </c>
      <c r="F2760" s="5">
        <v>0</v>
      </c>
      <c r="G2760" s="5">
        <v>27743</v>
      </c>
    </row>
    <row r="2761" spans="1:7" x14ac:dyDescent="0.2">
      <c r="A2761">
        <v>1509</v>
      </c>
      <c r="B2761" t="s">
        <v>439</v>
      </c>
      <c r="C2761" t="s">
        <v>704</v>
      </c>
      <c r="D2761" s="5">
        <v>25922</v>
      </c>
      <c r="E2761" s="5">
        <v>533365</v>
      </c>
      <c r="F2761" s="5">
        <v>0</v>
      </c>
      <c r="G2761" s="5">
        <v>559287</v>
      </c>
    </row>
    <row r="2762" spans="1:7" x14ac:dyDescent="0.2">
      <c r="A2762">
        <v>1509</v>
      </c>
      <c r="B2762" t="s">
        <v>439</v>
      </c>
      <c r="C2762" t="s">
        <v>705</v>
      </c>
      <c r="D2762" s="5">
        <v>9097</v>
      </c>
      <c r="E2762" s="5">
        <v>99919</v>
      </c>
      <c r="F2762" s="5">
        <v>3799</v>
      </c>
      <c r="G2762" s="5">
        <v>112815</v>
      </c>
    </row>
    <row r="2763" spans="1:7" x14ac:dyDescent="0.2">
      <c r="A2763">
        <v>1509</v>
      </c>
      <c r="B2763" t="s">
        <v>439</v>
      </c>
      <c r="C2763" t="s">
        <v>707</v>
      </c>
      <c r="D2763" s="5">
        <v>1371</v>
      </c>
      <c r="E2763" s="5">
        <v>68</v>
      </c>
      <c r="F2763" s="5">
        <v>0</v>
      </c>
      <c r="G2763" s="5">
        <v>1439</v>
      </c>
    </row>
    <row r="2764" spans="1:7" x14ac:dyDescent="0.2">
      <c r="A2764">
        <v>1509</v>
      </c>
      <c r="B2764" t="s">
        <v>439</v>
      </c>
      <c r="C2764" t="s">
        <v>708</v>
      </c>
      <c r="D2764" s="5">
        <v>2275</v>
      </c>
      <c r="E2764" s="5">
        <v>36727</v>
      </c>
      <c r="F2764" s="5">
        <v>0</v>
      </c>
      <c r="G2764" s="5">
        <v>39002</v>
      </c>
    </row>
    <row r="2765" spans="1:7" x14ac:dyDescent="0.2">
      <c r="A2765">
        <v>1509</v>
      </c>
      <c r="B2765" t="s">
        <v>439</v>
      </c>
      <c r="C2765" t="s">
        <v>709</v>
      </c>
      <c r="D2765" s="5">
        <v>5764</v>
      </c>
      <c r="E2765" s="5">
        <v>54735</v>
      </c>
      <c r="F2765" s="5">
        <v>0</v>
      </c>
      <c r="G2765" s="5">
        <v>60499</v>
      </c>
    </row>
    <row r="2766" spans="1:7" x14ac:dyDescent="0.2">
      <c r="A2766">
        <v>1509</v>
      </c>
      <c r="B2766" t="s">
        <v>439</v>
      </c>
      <c r="C2766" t="s">
        <v>710</v>
      </c>
      <c r="D2766" s="5">
        <v>1686</v>
      </c>
      <c r="E2766" s="5">
        <v>28726</v>
      </c>
      <c r="F2766" s="5">
        <v>0</v>
      </c>
      <c r="G2766" s="5">
        <v>30412</v>
      </c>
    </row>
    <row r="2767" spans="1:7" x14ac:dyDescent="0.2">
      <c r="A2767">
        <v>1509</v>
      </c>
      <c r="B2767" t="s">
        <v>439</v>
      </c>
      <c r="C2767" t="s">
        <v>712</v>
      </c>
      <c r="D2767" s="5">
        <v>12092</v>
      </c>
      <c r="E2767" s="5">
        <v>105070</v>
      </c>
      <c r="F2767" s="5">
        <v>0</v>
      </c>
      <c r="G2767" s="5">
        <v>117162</v>
      </c>
    </row>
    <row r="2768" spans="1:7" x14ac:dyDescent="0.2">
      <c r="A2768">
        <v>1525</v>
      </c>
      <c r="B2768" t="s">
        <v>543</v>
      </c>
      <c r="C2768" t="s">
        <v>700</v>
      </c>
      <c r="D2768" s="5">
        <v>171624</v>
      </c>
      <c r="E2768" s="5">
        <v>210676</v>
      </c>
      <c r="F2768" s="5">
        <v>6736</v>
      </c>
      <c r="G2768" s="5">
        <v>389037</v>
      </c>
    </row>
    <row r="2769" spans="1:7" x14ac:dyDescent="0.2">
      <c r="A2769">
        <v>1525</v>
      </c>
      <c r="B2769" t="s">
        <v>543</v>
      </c>
      <c r="C2769" t="s">
        <v>701</v>
      </c>
      <c r="D2769" s="5">
        <v>11846</v>
      </c>
      <c r="E2769" s="5">
        <v>28169</v>
      </c>
      <c r="F2769" s="5">
        <v>0</v>
      </c>
      <c r="G2769" s="5">
        <v>40015</v>
      </c>
    </row>
    <row r="2770" spans="1:7" x14ac:dyDescent="0.2">
      <c r="A2770">
        <v>1525</v>
      </c>
      <c r="B2770" t="s">
        <v>543</v>
      </c>
      <c r="C2770" t="s">
        <v>703</v>
      </c>
      <c r="D2770" s="5">
        <v>1455</v>
      </c>
      <c r="E2770" s="5">
        <v>15734</v>
      </c>
      <c r="F2770" s="5">
        <v>0</v>
      </c>
      <c r="G2770" s="5">
        <v>17189</v>
      </c>
    </row>
    <row r="2771" spans="1:7" x14ac:dyDescent="0.2">
      <c r="A2771">
        <v>1525</v>
      </c>
      <c r="B2771" t="s">
        <v>543</v>
      </c>
      <c r="C2771" t="s">
        <v>704</v>
      </c>
      <c r="D2771" s="5">
        <v>47999</v>
      </c>
      <c r="E2771" s="5">
        <v>342045</v>
      </c>
      <c r="F2771" s="5">
        <v>538</v>
      </c>
      <c r="G2771" s="5">
        <v>390582</v>
      </c>
    </row>
    <row r="2772" spans="1:7" x14ac:dyDescent="0.2">
      <c r="A2772">
        <v>1525</v>
      </c>
      <c r="B2772" t="s">
        <v>543</v>
      </c>
      <c r="C2772" t="s">
        <v>705</v>
      </c>
      <c r="D2772" s="5">
        <v>3419</v>
      </c>
      <c r="E2772" s="5">
        <v>76586</v>
      </c>
      <c r="F2772" s="5">
        <v>346</v>
      </c>
      <c r="G2772" s="5">
        <v>80352</v>
      </c>
    </row>
    <row r="2773" spans="1:7" x14ac:dyDescent="0.2">
      <c r="A2773">
        <v>1525</v>
      </c>
      <c r="B2773" t="s">
        <v>543</v>
      </c>
      <c r="C2773" t="s">
        <v>707</v>
      </c>
      <c r="D2773" s="5">
        <v>8884</v>
      </c>
      <c r="E2773" s="5">
        <v>1658</v>
      </c>
      <c r="F2773" s="5">
        <v>0</v>
      </c>
      <c r="G2773" s="5">
        <v>10541</v>
      </c>
    </row>
    <row r="2774" spans="1:7" x14ac:dyDescent="0.2">
      <c r="A2774">
        <v>1525</v>
      </c>
      <c r="B2774" t="s">
        <v>543</v>
      </c>
      <c r="C2774" t="s">
        <v>708</v>
      </c>
      <c r="D2774" s="5">
        <v>2279</v>
      </c>
      <c r="E2774" s="5">
        <v>24583</v>
      </c>
      <c r="F2774" s="5">
        <v>1031</v>
      </c>
      <c r="G2774" s="5">
        <v>27893</v>
      </c>
    </row>
    <row r="2775" spans="1:7" x14ac:dyDescent="0.2">
      <c r="A2775">
        <v>1525</v>
      </c>
      <c r="B2775" t="s">
        <v>543</v>
      </c>
      <c r="C2775" t="s">
        <v>709</v>
      </c>
      <c r="D2775" s="5">
        <v>57940</v>
      </c>
      <c r="E2775" s="5">
        <v>155416</v>
      </c>
      <c r="F2775" s="5">
        <v>796</v>
      </c>
      <c r="G2775" s="5">
        <v>214152</v>
      </c>
    </row>
    <row r="2776" spans="1:7" x14ac:dyDescent="0.2">
      <c r="A2776">
        <v>1525</v>
      </c>
      <c r="B2776" t="s">
        <v>543</v>
      </c>
      <c r="C2776" t="s">
        <v>710</v>
      </c>
      <c r="D2776" s="5">
        <v>758</v>
      </c>
      <c r="E2776" s="5">
        <v>16248</v>
      </c>
      <c r="F2776" s="5">
        <v>0</v>
      </c>
      <c r="G2776" s="5">
        <v>17006</v>
      </c>
    </row>
    <row r="2777" spans="1:7" x14ac:dyDescent="0.2">
      <c r="A2777">
        <v>1525</v>
      </c>
      <c r="B2777" t="s">
        <v>543</v>
      </c>
      <c r="C2777" t="s">
        <v>712</v>
      </c>
      <c r="D2777" s="5">
        <v>12859</v>
      </c>
      <c r="E2777" s="5">
        <v>40357</v>
      </c>
      <c r="F2777" s="5">
        <v>0</v>
      </c>
      <c r="G2777" s="5">
        <v>53217</v>
      </c>
    </row>
    <row r="2778" spans="1:7" x14ac:dyDescent="0.2">
      <c r="A2778">
        <v>1581</v>
      </c>
      <c r="B2778" t="s">
        <v>567</v>
      </c>
      <c r="C2778" t="s">
        <v>700</v>
      </c>
      <c r="D2778" s="5">
        <v>547608</v>
      </c>
      <c r="E2778" s="5">
        <v>308501</v>
      </c>
      <c r="F2778" s="5">
        <v>5198</v>
      </c>
      <c r="G2778" s="5">
        <v>861308</v>
      </c>
    </row>
    <row r="2779" spans="1:7" x14ac:dyDescent="0.2">
      <c r="A2779">
        <v>1581</v>
      </c>
      <c r="B2779" t="s">
        <v>567</v>
      </c>
      <c r="C2779" t="s">
        <v>701</v>
      </c>
      <c r="D2779" s="5">
        <v>18683</v>
      </c>
      <c r="E2779" s="5">
        <v>40630</v>
      </c>
      <c r="F2779" s="5">
        <v>0</v>
      </c>
      <c r="G2779" s="5">
        <v>59313</v>
      </c>
    </row>
    <row r="2780" spans="1:7" x14ac:dyDescent="0.2">
      <c r="A2780">
        <v>1581</v>
      </c>
      <c r="B2780" t="s">
        <v>567</v>
      </c>
      <c r="C2780" t="s">
        <v>703</v>
      </c>
      <c r="D2780" s="5">
        <v>2408</v>
      </c>
      <c r="E2780" s="5">
        <v>13310</v>
      </c>
      <c r="F2780" s="5">
        <v>0</v>
      </c>
      <c r="G2780" s="5">
        <v>15718</v>
      </c>
    </row>
    <row r="2781" spans="1:7" x14ac:dyDescent="0.2">
      <c r="A2781">
        <v>1581</v>
      </c>
      <c r="B2781" t="s">
        <v>567</v>
      </c>
      <c r="C2781" t="s">
        <v>704</v>
      </c>
      <c r="D2781" s="5">
        <v>19925</v>
      </c>
      <c r="E2781" s="5">
        <v>57498</v>
      </c>
      <c r="F2781" s="5">
        <v>240</v>
      </c>
      <c r="G2781" s="5">
        <v>77663</v>
      </c>
    </row>
    <row r="2782" spans="1:7" x14ac:dyDescent="0.2">
      <c r="A2782">
        <v>1581</v>
      </c>
      <c r="B2782" t="s">
        <v>567</v>
      </c>
      <c r="C2782" t="s">
        <v>705</v>
      </c>
      <c r="D2782" s="5">
        <v>39801</v>
      </c>
      <c r="E2782" s="5">
        <v>68059</v>
      </c>
      <c r="F2782" s="5">
        <v>430</v>
      </c>
      <c r="G2782" s="5">
        <v>108290</v>
      </c>
    </row>
    <row r="2783" spans="1:7" x14ac:dyDescent="0.2">
      <c r="A2783">
        <v>1581</v>
      </c>
      <c r="B2783" t="s">
        <v>567</v>
      </c>
      <c r="C2783" t="s">
        <v>707</v>
      </c>
      <c r="D2783" s="5">
        <v>41774</v>
      </c>
      <c r="E2783" s="5">
        <v>72789</v>
      </c>
      <c r="F2783" s="5">
        <v>1634</v>
      </c>
      <c r="G2783" s="5">
        <v>116197</v>
      </c>
    </row>
    <row r="2784" spans="1:7" x14ac:dyDescent="0.2">
      <c r="A2784">
        <v>1581</v>
      </c>
      <c r="B2784" t="s">
        <v>567</v>
      </c>
      <c r="C2784" t="s">
        <v>708</v>
      </c>
      <c r="D2784" s="5">
        <v>9872</v>
      </c>
      <c r="E2784" s="5">
        <v>47547</v>
      </c>
      <c r="F2784" s="5">
        <v>0</v>
      </c>
      <c r="G2784" s="5">
        <v>57419</v>
      </c>
    </row>
    <row r="2785" spans="1:7" x14ac:dyDescent="0.2">
      <c r="A2785">
        <v>1581</v>
      </c>
      <c r="B2785" t="s">
        <v>567</v>
      </c>
      <c r="C2785" t="s">
        <v>709</v>
      </c>
      <c r="D2785" s="5">
        <v>8488</v>
      </c>
      <c r="E2785" s="5">
        <v>24967</v>
      </c>
      <c r="F2785" s="5">
        <v>50</v>
      </c>
      <c r="G2785" s="5">
        <v>33505</v>
      </c>
    </row>
    <row r="2786" spans="1:7" x14ac:dyDescent="0.2">
      <c r="A2786">
        <v>1581</v>
      </c>
      <c r="B2786" t="s">
        <v>567</v>
      </c>
      <c r="C2786" t="s">
        <v>710</v>
      </c>
      <c r="D2786" s="5">
        <v>4830</v>
      </c>
      <c r="E2786" s="5">
        <v>38561</v>
      </c>
      <c r="F2786" s="5">
        <v>0</v>
      </c>
      <c r="G2786" s="5">
        <v>43392</v>
      </c>
    </row>
    <row r="2787" spans="1:7" x14ac:dyDescent="0.2">
      <c r="A2787">
        <v>1581</v>
      </c>
      <c r="B2787" t="s">
        <v>567</v>
      </c>
      <c r="C2787" t="s">
        <v>712</v>
      </c>
      <c r="D2787" s="5">
        <v>14740</v>
      </c>
      <c r="E2787" s="5">
        <v>46374</v>
      </c>
      <c r="F2787" s="5">
        <v>10</v>
      </c>
      <c r="G2787" s="5">
        <v>61125</v>
      </c>
    </row>
    <row r="2788" spans="1:7" x14ac:dyDescent="0.2">
      <c r="A2788">
        <v>1586</v>
      </c>
      <c r="B2788" t="s">
        <v>425</v>
      </c>
      <c r="C2788" t="s">
        <v>700</v>
      </c>
      <c r="D2788" s="5">
        <v>617366</v>
      </c>
      <c r="E2788" s="5">
        <v>496779</v>
      </c>
      <c r="F2788" s="5">
        <v>19675</v>
      </c>
      <c r="G2788" s="5">
        <v>1133820</v>
      </c>
    </row>
    <row r="2789" spans="1:7" x14ac:dyDescent="0.2">
      <c r="A2789">
        <v>1586</v>
      </c>
      <c r="B2789" t="s">
        <v>425</v>
      </c>
      <c r="C2789" t="s">
        <v>701</v>
      </c>
      <c r="D2789" s="5">
        <v>17316</v>
      </c>
      <c r="E2789" s="5">
        <v>19986</v>
      </c>
      <c r="F2789" s="5">
        <v>10</v>
      </c>
      <c r="G2789" s="5">
        <v>37312</v>
      </c>
    </row>
    <row r="2790" spans="1:7" x14ac:dyDescent="0.2">
      <c r="A2790">
        <v>1586</v>
      </c>
      <c r="B2790" t="s">
        <v>425</v>
      </c>
      <c r="C2790" t="s">
        <v>703</v>
      </c>
      <c r="D2790" s="5">
        <v>1177</v>
      </c>
      <c r="E2790" s="5">
        <v>8442</v>
      </c>
      <c r="F2790" s="5">
        <v>0</v>
      </c>
      <c r="G2790" s="5">
        <v>9619</v>
      </c>
    </row>
    <row r="2791" spans="1:7" x14ac:dyDescent="0.2">
      <c r="A2791">
        <v>1586</v>
      </c>
      <c r="B2791" t="s">
        <v>425</v>
      </c>
      <c r="C2791" t="s">
        <v>704</v>
      </c>
      <c r="D2791" s="5">
        <v>28238</v>
      </c>
      <c r="E2791" s="5">
        <v>579245</v>
      </c>
      <c r="F2791" s="5">
        <v>155</v>
      </c>
      <c r="G2791" s="5">
        <v>607637</v>
      </c>
    </row>
    <row r="2792" spans="1:7" x14ac:dyDescent="0.2">
      <c r="A2792">
        <v>1586</v>
      </c>
      <c r="B2792" t="s">
        <v>425</v>
      </c>
      <c r="C2792" t="s">
        <v>705</v>
      </c>
      <c r="D2792" s="5">
        <v>5683</v>
      </c>
      <c r="E2792" s="5">
        <v>60814</v>
      </c>
      <c r="F2792" s="5">
        <v>0</v>
      </c>
      <c r="G2792" s="5">
        <v>66497</v>
      </c>
    </row>
    <row r="2793" spans="1:7" x14ac:dyDescent="0.2">
      <c r="A2793">
        <v>1586</v>
      </c>
      <c r="B2793" t="s">
        <v>425</v>
      </c>
      <c r="C2793" t="s">
        <v>707</v>
      </c>
      <c r="D2793" s="5">
        <v>22079</v>
      </c>
      <c r="E2793" s="5">
        <v>24588</v>
      </c>
      <c r="F2793" s="5">
        <v>272369</v>
      </c>
      <c r="G2793" s="5">
        <v>319035</v>
      </c>
    </row>
    <row r="2794" spans="1:7" x14ac:dyDescent="0.2">
      <c r="A2794">
        <v>1586</v>
      </c>
      <c r="B2794" t="s">
        <v>425</v>
      </c>
      <c r="C2794" t="s">
        <v>708</v>
      </c>
      <c r="D2794" s="5">
        <v>3133</v>
      </c>
      <c r="E2794" s="5">
        <v>42705</v>
      </c>
      <c r="F2794" s="5">
        <v>0</v>
      </c>
      <c r="G2794" s="5">
        <v>45838</v>
      </c>
    </row>
    <row r="2795" spans="1:7" x14ac:dyDescent="0.2">
      <c r="A2795">
        <v>1586</v>
      </c>
      <c r="B2795" t="s">
        <v>425</v>
      </c>
      <c r="C2795" t="s">
        <v>709</v>
      </c>
      <c r="D2795" s="5">
        <v>6257</v>
      </c>
      <c r="E2795" s="5">
        <v>11039</v>
      </c>
      <c r="F2795" s="5">
        <v>20</v>
      </c>
      <c r="G2795" s="5">
        <v>17315</v>
      </c>
    </row>
    <row r="2796" spans="1:7" x14ac:dyDescent="0.2">
      <c r="A2796">
        <v>1586</v>
      </c>
      <c r="B2796" t="s">
        <v>425</v>
      </c>
      <c r="C2796" t="s">
        <v>710</v>
      </c>
      <c r="D2796" s="5">
        <v>546</v>
      </c>
      <c r="E2796" s="5">
        <v>33133</v>
      </c>
      <c r="F2796" s="5">
        <v>0</v>
      </c>
      <c r="G2796" s="5">
        <v>33679</v>
      </c>
    </row>
    <row r="2797" spans="1:7" x14ac:dyDescent="0.2">
      <c r="A2797">
        <v>1586</v>
      </c>
      <c r="B2797" t="s">
        <v>425</v>
      </c>
      <c r="C2797" t="s">
        <v>712</v>
      </c>
      <c r="D2797" s="5">
        <v>20220</v>
      </c>
      <c r="E2797" s="5">
        <v>95987</v>
      </c>
      <c r="F2797" s="5">
        <v>0</v>
      </c>
      <c r="G2797" s="5">
        <v>116207</v>
      </c>
    </row>
    <row r="2798" spans="1:7" x14ac:dyDescent="0.2">
      <c r="A2798">
        <v>1598</v>
      </c>
      <c r="B2798" t="s">
        <v>301</v>
      </c>
      <c r="C2798" t="s">
        <v>700</v>
      </c>
      <c r="D2798" s="5">
        <v>530334</v>
      </c>
      <c r="E2798" s="5">
        <v>476367</v>
      </c>
      <c r="F2798" s="5">
        <v>9645</v>
      </c>
      <c r="G2798" s="5">
        <v>1016347</v>
      </c>
    </row>
    <row r="2799" spans="1:7" x14ac:dyDescent="0.2">
      <c r="A2799">
        <v>1598</v>
      </c>
      <c r="B2799" t="s">
        <v>301</v>
      </c>
      <c r="C2799" t="s">
        <v>701</v>
      </c>
      <c r="D2799" s="5">
        <v>10750</v>
      </c>
      <c r="E2799" s="5">
        <v>9374</v>
      </c>
      <c r="F2799" s="5">
        <v>0</v>
      </c>
      <c r="G2799" s="5">
        <v>20123</v>
      </c>
    </row>
    <row r="2800" spans="1:7" x14ac:dyDescent="0.2">
      <c r="A2800">
        <v>1598</v>
      </c>
      <c r="B2800" t="s">
        <v>301</v>
      </c>
      <c r="C2800" t="s">
        <v>703</v>
      </c>
      <c r="D2800" s="5">
        <v>1499</v>
      </c>
      <c r="E2800" s="5">
        <v>3265</v>
      </c>
      <c r="F2800" s="5">
        <v>0</v>
      </c>
      <c r="G2800" s="5">
        <v>4765</v>
      </c>
    </row>
    <row r="2801" spans="1:7" x14ac:dyDescent="0.2">
      <c r="A2801">
        <v>1598</v>
      </c>
      <c r="B2801" t="s">
        <v>301</v>
      </c>
      <c r="C2801" t="s">
        <v>704</v>
      </c>
      <c r="D2801" s="5">
        <v>162010</v>
      </c>
      <c r="E2801" s="5">
        <v>296937</v>
      </c>
      <c r="F2801" s="5">
        <v>2558</v>
      </c>
      <c r="G2801" s="5">
        <v>461506</v>
      </c>
    </row>
    <row r="2802" spans="1:7" x14ac:dyDescent="0.2">
      <c r="A2802">
        <v>1598</v>
      </c>
      <c r="B2802" t="s">
        <v>301</v>
      </c>
      <c r="C2802" t="s">
        <v>705</v>
      </c>
      <c r="D2802" s="5">
        <v>4775</v>
      </c>
      <c r="E2802" s="5">
        <v>25327</v>
      </c>
      <c r="F2802" s="5">
        <v>189</v>
      </c>
      <c r="G2802" s="5">
        <v>30292</v>
      </c>
    </row>
    <row r="2803" spans="1:7" x14ac:dyDescent="0.2">
      <c r="A2803">
        <v>1598</v>
      </c>
      <c r="B2803" t="s">
        <v>301</v>
      </c>
      <c r="C2803" t="s">
        <v>707</v>
      </c>
      <c r="D2803" s="5">
        <v>1898</v>
      </c>
      <c r="E2803" s="5">
        <v>7329</v>
      </c>
      <c r="F2803" s="5">
        <v>0</v>
      </c>
      <c r="G2803" s="5">
        <v>9226</v>
      </c>
    </row>
    <row r="2804" spans="1:7" x14ac:dyDescent="0.2">
      <c r="A2804">
        <v>1598</v>
      </c>
      <c r="B2804" t="s">
        <v>301</v>
      </c>
      <c r="C2804" t="s">
        <v>708</v>
      </c>
      <c r="D2804" s="5">
        <v>519</v>
      </c>
      <c r="E2804" s="5">
        <v>15576</v>
      </c>
      <c r="F2804" s="5">
        <v>0</v>
      </c>
      <c r="G2804" s="5">
        <v>16095</v>
      </c>
    </row>
    <row r="2805" spans="1:7" x14ac:dyDescent="0.2">
      <c r="A2805">
        <v>1598</v>
      </c>
      <c r="B2805" t="s">
        <v>301</v>
      </c>
      <c r="C2805" t="s">
        <v>709</v>
      </c>
      <c r="D2805" s="5">
        <v>1573</v>
      </c>
      <c r="E2805" s="5">
        <v>5167</v>
      </c>
      <c r="F2805" s="5">
        <v>16</v>
      </c>
      <c r="G2805" s="5">
        <v>6756</v>
      </c>
    </row>
    <row r="2806" spans="1:7" x14ac:dyDescent="0.2">
      <c r="A2806">
        <v>1598</v>
      </c>
      <c r="B2806" t="s">
        <v>301</v>
      </c>
      <c r="C2806" t="s">
        <v>710</v>
      </c>
      <c r="D2806" s="5">
        <v>416</v>
      </c>
      <c r="E2806" s="5">
        <v>14421</v>
      </c>
      <c r="F2806" s="5">
        <v>0</v>
      </c>
      <c r="G2806" s="5">
        <v>14837</v>
      </c>
    </row>
    <row r="2807" spans="1:7" x14ac:dyDescent="0.2">
      <c r="A2807">
        <v>1598</v>
      </c>
      <c r="B2807" t="s">
        <v>301</v>
      </c>
      <c r="C2807" t="s">
        <v>712</v>
      </c>
      <c r="D2807" s="5">
        <v>5536</v>
      </c>
      <c r="E2807" s="5">
        <v>17294</v>
      </c>
      <c r="F2807" s="5">
        <v>0</v>
      </c>
      <c r="G2807" s="5">
        <v>22830</v>
      </c>
    </row>
    <row r="2808" spans="1:7" x14ac:dyDescent="0.2">
      <c r="A2808">
        <v>1621</v>
      </c>
      <c r="B2808" t="s">
        <v>315</v>
      </c>
      <c r="C2808" t="s">
        <v>700</v>
      </c>
      <c r="D2808" s="5">
        <v>5676717</v>
      </c>
      <c r="E2808" s="5">
        <v>2195847</v>
      </c>
      <c r="F2808" s="5">
        <v>43389</v>
      </c>
      <c r="G2808" s="5">
        <v>7915953</v>
      </c>
    </row>
    <row r="2809" spans="1:7" x14ac:dyDescent="0.2">
      <c r="A2809">
        <v>1621</v>
      </c>
      <c r="B2809" t="s">
        <v>315</v>
      </c>
      <c r="C2809" t="s">
        <v>701</v>
      </c>
      <c r="D2809" s="5">
        <v>9610</v>
      </c>
      <c r="E2809" s="5">
        <v>33055</v>
      </c>
      <c r="F2809" s="5">
        <v>1602</v>
      </c>
      <c r="G2809" s="5">
        <v>44267</v>
      </c>
    </row>
    <row r="2810" spans="1:7" x14ac:dyDescent="0.2">
      <c r="A2810">
        <v>1621</v>
      </c>
      <c r="B2810" t="s">
        <v>315</v>
      </c>
      <c r="C2810" t="s">
        <v>703</v>
      </c>
      <c r="D2810" s="5">
        <v>435</v>
      </c>
      <c r="E2810" s="5">
        <v>4964</v>
      </c>
      <c r="F2810" s="5">
        <v>0</v>
      </c>
      <c r="G2810" s="5">
        <v>5400</v>
      </c>
    </row>
    <row r="2811" spans="1:7" x14ac:dyDescent="0.2">
      <c r="A2811">
        <v>1621</v>
      </c>
      <c r="B2811" t="s">
        <v>315</v>
      </c>
      <c r="C2811" t="s">
        <v>704</v>
      </c>
      <c r="D2811" s="5">
        <v>1539059</v>
      </c>
      <c r="E2811" s="5">
        <v>970024</v>
      </c>
      <c r="F2811" s="5">
        <v>10491</v>
      </c>
      <c r="G2811" s="5">
        <v>2519574</v>
      </c>
    </row>
    <row r="2812" spans="1:7" x14ac:dyDescent="0.2">
      <c r="A2812">
        <v>1621</v>
      </c>
      <c r="B2812" t="s">
        <v>315</v>
      </c>
      <c r="C2812" t="s">
        <v>705</v>
      </c>
      <c r="D2812" s="5">
        <v>52914</v>
      </c>
      <c r="E2812" s="5">
        <v>424069</v>
      </c>
      <c r="F2812" s="5">
        <v>92777</v>
      </c>
      <c r="G2812" s="5">
        <v>569760</v>
      </c>
    </row>
    <row r="2813" spans="1:7" x14ac:dyDescent="0.2">
      <c r="A2813">
        <v>1621</v>
      </c>
      <c r="B2813" t="s">
        <v>315</v>
      </c>
      <c r="C2813" t="s">
        <v>707</v>
      </c>
      <c r="D2813" s="5">
        <v>1101</v>
      </c>
      <c r="E2813" s="5">
        <v>147</v>
      </c>
      <c r="F2813" s="5">
        <v>0</v>
      </c>
      <c r="G2813" s="5">
        <v>1248</v>
      </c>
    </row>
    <row r="2814" spans="1:7" x14ac:dyDescent="0.2">
      <c r="A2814">
        <v>1621</v>
      </c>
      <c r="B2814" t="s">
        <v>315</v>
      </c>
      <c r="C2814" t="s">
        <v>708</v>
      </c>
      <c r="D2814" s="5">
        <v>3876</v>
      </c>
      <c r="E2814" s="5">
        <v>37975</v>
      </c>
      <c r="F2814" s="5">
        <v>0</v>
      </c>
      <c r="G2814" s="5">
        <v>41851</v>
      </c>
    </row>
    <row r="2815" spans="1:7" x14ac:dyDescent="0.2">
      <c r="A2815">
        <v>1621</v>
      </c>
      <c r="B2815" t="s">
        <v>315</v>
      </c>
      <c r="C2815" t="s">
        <v>709</v>
      </c>
      <c r="D2815" s="5">
        <v>43966</v>
      </c>
      <c r="E2815" s="5">
        <v>30945</v>
      </c>
      <c r="F2815" s="5">
        <v>711</v>
      </c>
      <c r="G2815" s="5">
        <v>75623</v>
      </c>
    </row>
    <row r="2816" spans="1:7" x14ac:dyDescent="0.2">
      <c r="A2816">
        <v>1621</v>
      </c>
      <c r="B2816" t="s">
        <v>315</v>
      </c>
      <c r="C2816" t="s">
        <v>710</v>
      </c>
      <c r="D2816" s="5">
        <v>2494</v>
      </c>
      <c r="E2816" s="5">
        <v>21692</v>
      </c>
      <c r="F2816" s="5">
        <v>5880</v>
      </c>
      <c r="G2816" s="5">
        <v>30066</v>
      </c>
    </row>
    <row r="2817" spans="1:7" x14ac:dyDescent="0.2">
      <c r="A2817">
        <v>1621</v>
      </c>
      <c r="B2817" t="s">
        <v>315</v>
      </c>
      <c r="C2817" t="s">
        <v>711</v>
      </c>
      <c r="D2817" s="5">
        <v>0</v>
      </c>
      <c r="E2817" s="5">
        <v>255</v>
      </c>
      <c r="F2817" s="5">
        <v>0</v>
      </c>
      <c r="G2817" s="5">
        <v>255</v>
      </c>
    </row>
    <row r="2818" spans="1:7" x14ac:dyDescent="0.2">
      <c r="A2818">
        <v>1621</v>
      </c>
      <c r="B2818" t="s">
        <v>315</v>
      </c>
      <c r="C2818" t="s">
        <v>712</v>
      </c>
      <c r="D2818" s="5">
        <v>17537</v>
      </c>
      <c r="E2818" s="5">
        <v>127254</v>
      </c>
      <c r="F2818" s="5">
        <v>1996</v>
      </c>
      <c r="G2818" s="5">
        <v>146786</v>
      </c>
    </row>
    <row r="2819" spans="1:7" x14ac:dyDescent="0.2">
      <c r="A2819">
        <v>1640</v>
      </c>
      <c r="B2819" t="s">
        <v>329</v>
      </c>
      <c r="C2819" t="s">
        <v>700</v>
      </c>
      <c r="D2819" s="5">
        <v>949525</v>
      </c>
      <c r="E2819" s="5">
        <v>655174</v>
      </c>
      <c r="F2819" s="5">
        <v>9639</v>
      </c>
      <c r="G2819" s="5">
        <v>1614338</v>
      </c>
    </row>
    <row r="2820" spans="1:7" x14ac:dyDescent="0.2">
      <c r="A2820">
        <v>1640</v>
      </c>
      <c r="B2820" t="s">
        <v>329</v>
      </c>
      <c r="C2820" t="s">
        <v>701</v>
      </c>
      <c r="D2820" s="5">
        <v>25287</v>
      </c>
      <c r="E2820" s="5">
        <v>28147</v>
      </c>
      <c r="F2820" s="5">
        <v>114</v>
      </c>
      <c r="G2820" s="5">
        <v>53548</v>
      </c>
    </row>
    <row r="2821" spans="1:7" x14ac:dyDescent="0.2">
      <c r="A2821">
        <v>1640</v>
      </c>
      <c r="B2821" t="s">
        <v>329</v>
      </c>
      <c r="C2821" t="s">
        <v>703</v>
      </c>
      <c r="D2821" s="5">
        <v>7502</v>
      </c>
      <c r="E2821" s="5">
        <v>6635</v>
      </c>
      <c r="F2821" s="5">
        <v>709</v>
      </c>
      <c r="G2821" s="5">
        <v>14846</v>
      </c>
    </row>
    <row r="2822" spans="1:7" x14ac:dyDescent="0.2">
      <c r="A2822">
        <v>1640</v>
      </c>
      <c r="B2822" t="s">
        <v>329</v>
      </c>
      <c r="C2822" t="s">
        <v>704</v>
      </c>
      <c r="D2822" s="5">
        <v>149880</v>
      </c>
      <c r="E2822" s="5">
        <v>271667</v>
      </c>
      <c r="F2822" s="5">
        <v>11525</v>
      </c>
      <c r="G2822" s="5">
        <v>433072</v>
      </c>
    </row>
    <row r="2823" spans="1:7" x14ac:dyDescent="0.2">
      <c r="A2823">
        <v>1640</v>
      </c>
      <c r="B2823" t="s">
        <v>329</v>
      </c>
      <c r="C2823" t="s">
        <v>705</v>
      </c>
      <c r="D2823" s="5">
        <v>158943</v>
      </c>
      <c r="E2823" s="5">
        <v>326867</v>
      </c>
      <c r="F2823" s="5">
        <v>0</v>
      </c>
      <c r="G2823" s="5">
        <v>485810</v>
      </c>
    </row>
    <row r="2824" spans="1:7" x14ac:dyDescent="0.2">
      <c r="A2824">
        <v>1640</v>
      </c>
      <c r="B2824" t="s">
        <v>329</v>
      </c>
      <c r="C2824" t="s">
        <v>707</v>
      </c>
      <c r="D2824" s="5">
        <v>38632</v>
      </c>
      <c r="E2824" s="5">
        <v>24843</v>
      </c>
      <c r="F2824" s="5">
        <v>0</v>
      </c>
      <c r="G2824" s="5">
        <v>63475</v>
      </c>
    </row>
    <row r="2825" spans="1:7" x14ac:dyDescent="0.2">
      <c r="A2825">
        <v>1640</v>
      </c>
      <c r="B2825" t="s">
        <v>329</v>
      </c>
      <c r="C2825" t="s">
        <v>708</v>
      </c>
      <c r="D2825" s="5">
        <v>1298</v>
      </c>
      <c r="E2825" s="5">
        <v>30171</v>
      </c>
      <c r="F2825" s="5">
        <v>0</v>
      </c>
      <c r="G2825" s="5">
        <v>31469</v>
      </c>
    </row>
    <row r="2826" spans="1:7" x14ac:dyDescent="0.2">
      <c r="A2826">
        <v>1640</v>
      </c>
      <c r="B2826" t="s">
        <v>329</v>
      </c>
      <c r="C2826" t="s">
        <v>709</v>
      </c>
      <c r="D2826" s="5">
        <v>6647</v>
      </c>
      <c r="E2826" s="5">
        <v>6617</v>
      </c>
      <c r="F2826" s="5">
        <v>176</v>
      </c>
      <c r="G2826" s="5">
        <v>13440</v>
      </c>
    </row>
    <row r="2827" spans="1:7" x14ac:dyDescent="0.2">
      <c r="A2827">
        <v>1640</v>
      </c>
      <c r="B2827" t="s">
        <v>329</v>
      </c>
      <c r="C2827" t="s">
        <v>710</v>
      </c>
      <c r="D2827" s="5">
        <v>1992</v>
      </c>
      <c r="E2827" s="5">
        <v>28737</v>
      </c>
      <c r="F2827" s="5">
        <v>0</v>
      </c>
      <c r="G2827" s="5">
        <v>30729</v>
      </c>
    </row>
    <row r="2828" spans="1:7" x14ac:dyDescent="0.2">
      <c r="A2828">
        <v>1640</v>
      </c>
      <c r="B2828" t="s">
        <v>329</v>
      </c>
      <c r="C2828" t="s">
        <v>712</v>
      </c>
      <c r="D2828" s="5">
        <v>18946</v>
      </c>
      <c r="E2828" s="5">
        <v>102305</v>
      </c>
      <c r="F2828" s="5">
        <v>673</v>
      </c>
      <c r="G2828" s="5">
        <v>121924</v>
      </c>
    </row>
    <row r="2829" spans="1:7" x14ac:dyDescent="0.2">
      <c r="A2829">
        <v>1641</v>
      </c>
      <c r="B2829" t="s">
        <v>347</v>
      </c>
      <c r="C2829" t="s">
        <v>700</v>
      </c>
      <c r="D2829" s="5">
        <v>148594</v>
      </c>
      <c r="E2829" s="5">
        <v>202761</v>
      </c>
      <c r="F2829" s="5">
        <v>1925</v>
      </c>
      <c r="G2829" s="5">
        <v>353279</v>
      </c>
    </row>
    <row r="2830" spans="1:7" x14ac:dyDescent="0.2">
      <c r="A2830">
        <v>1641</v>
      </c>
      <c r="B2830" t="s">
        <v>347</v>
      </c>
      <c r="C2830" t="s">
        <v>701</v>
      </c>
      <c r="D2830" s="5">
        <v>12760</v>
      </c>
      <c r="E2830" s="5">
        <v>15834</v>
      </c>
      <c r="F2830" s="5">
        <v>146</v>
      </c>
      <c r="G2830" s="5">
        <v>28740</v>
      </c>
    </row>
    <row r="2831" spans="1:7" x14ac:dyDescent="0.2">
      <c r="A2831">
        <v>1641</v>
      </c>
      <c r="B2831" t="s">
        <v>347</v>
      </c>
      <c r="C2831" t="s">
        <v>703</v>
      </c>
      <c r="D2831" s="5">
        <v>1811</v>
      </c>
      <c r="E2831" s="5">
        <v>2751</v>
      </c>
      <c r="F2831" s="5">
        <v>0</v>
      </c>
      <c r="G2831" s="5">
        <v>4562</v>
      </c>
    </row>
    <row r="2832" spans="1:7" x14ac:dyDescent="0.2">
      <c r="A2832">
        <v>1641</v>
      </c>
      <c r="B2832" t="s">
        <v>347</v>
      </c>
      <c r="C2832" t="s">
        <v>704</v>
      </c>
      <c r="D2832" s="5">
        <v>27135</v>
      </c>
      <c r="E2832" s="5">
        <v>140932</v>
      </c>
      <c r="F2832" s="5">
        <v>374</v>
      </c>
      <c r="G2832" s="5">
        <v>168441</v>
      </c>
    </row>
    <row r="2833" spans="1:7" x14ac:dyDescent="0.2">
      <c r="A2833">
        <v>1641</v>
      </c>
      <c r="B2833" t="s">
        <v>347</v>
      </c>
      <c r="C2833" t="s">
        <v>705</v>
      </c>
      <c r="D2833" s="5">
        <v>11797</v>
      </c>
      <c r="E2833" s="5">
        <v>137025</v>
      </c>
      <c r="F2833" s="5">
        <v>0</v>
      </c>
      <c r="G2833" s="5">
        <v>148822</v>
      </c>
    </row>
    <row r="2834" spans="1:7" x14ac:dyDescent="0.2">
      <c r="A2834">
        <v>1641</v>
      </c>
      <c r="B2834" t="s">
        <v>347</v>
      </c>
      <c r="C2834" t="s">
        <v>707</v>
      </c>
      <c r="D2834" s="5">
        <v>38648</v>
      </c>
      <c r="E2834" s="5">
        <v>6840</v>
      </c>
      <c r="F2834" s="5">
        <v>2053</v>
      </c>
      <c r="G2834" s="5">
        <v>47540</v>
      </c>
    </row>
    <row r="2835" spans="1:7" x14ac:dyDescent="0.2">
      <c r="A2835">
        <v>1641</v>
      </c>
      <c r="B2835" t="s">
        <v>347</v>
      </c>
      <c r="C2835" t="s">
        <v>708</v>
      </c>
      <c r="D2835" s="5">
        <v>628</v>
      </c>
      <c r="E2835" s="5">
        <v>17420</v>
      </c>
      <c r="F2835" s="5">
        <v>0</v>
      </c>
      <c r="G2835" s="5">
        <v>18048</v>
      </c>
    </row>
    <row r="2836" spans="1:7" x14ac:dyDescent="0.2">
      <c r="A2836">
        <v>1641</v>
      </c>
      <c r="B2836" t="s">
        <v>347</v>
      </c>
      <c r="C2836" t="s">
        <v>709</v>
      </c>
      <c r="D2836" s="5">
        <v>1985</v>
      </c>
      <c r="E2836" s="5">
        <v>7570</v>
      </c>
      <c r="F2836" s="5">
        <v>255</v>
      </c>
      <c r="G2836" s="5">
        <v>9810</v>
      </c>
    </row>
    <row r="2837" spans="1:7" x14ac:dyDescent="0.2">
      <c r="A2837">
        <v>1641</v>
      </c>
      <c r="B2837" t="s">
        <v>347</v>
      </c>
      <c r="C2837" t="s">
        <v>710</v>
      </c>
      <c r="D2837" s="5">
        <v>916</v>
      </c>
      <c r="E2837" s="5">
        <v>20922</v>
      </c>
      <c r="F2837" s="5">
        <v>18</v>
      </c>
      <c r="G2837" s="5">
        <v>21856</v>
      </c>
    </row>
    <row r="2838" spans="1:7" x14ac:dyDescent="0.2">
      <c r="A2838">
        <v>1641</v>
      </c>
      <c r="B2838" t="s">
        <v>347</v>
      </c>
      <c r="C2838" t="s">
        <v>712</v>
      </c>
      <c r="D2838" s="5">
        <v>9431</v>
      </c>
      <c r="E2838" s="5">
        <v>33248</v>
      </c>
      <c r="F2838" s="5">
        <v>0</v>
      </c>
      <c r="G2838" s="5">
        <v>42680</v>
      </c>
    </row>
    <row r="2839" spans="1:7" x14ac:dyDescent="0.2">
      <c r="A2839">
        <v>1652</v>
      </c>
      <c r="B2839" t="s">
        <v>191</v>
      </c>
      <c r="C2839" t="s">
        <v>700</v>
      </c>
      <c r="D2839" s="5">
        <v>846935</v>
      </c>
      <c r="E2839" s="5">
        <v>1021863</v>
      </c>
      <c r="F2839" s="5">
        <v>24766</v>
      </c>
      <c r="G2839" s="5">
        <v>1893564</v>
      </c>
    </row>
    <row r="2840" spans="1:7" x14ac:dyDescent="0.2">
      <c r="A2840">
        <v>1652</v>
      </c>
      <c r="B2840" t="s">
        <v>191</v>
      </c>
      <c r="C2840" t="s">
        <v>701</v>
      </c>
      <c r="D2840" s="5">
        <v>14622</v>
      </c>
      <c r="E2840" s="5">
        <v>27929</v>
      </c>
      <c r="F2840" s="5">
        <v>317</v>
      </c>
      <c r="G2840" s="5">
        <v>42868</v>
      </c>
    </row>
    <row r="2841" spans="1:7" x14ac:dyDescent="0.2">
      <c r="A2841">
        <v>1652</v>
      </c>
      <c r="B2841" t="s">
        <v>191</v>
      </c>
      <c r="C2841" t="s">
        <v>703</v>
      </c>
      <c r="D2841" s="5">
        <v>1753</v>
      </c>
      <c r="E2841" s="5">
        <v>20604</v>
      </c>
      <c r="F2841" s="5">
        <v>0</v>
      </c>
      <c r="G2841" s="5">
        <v>22357</v>
      </c>
    </row>
    <row r="2842" spans="1:7" x14ac:dyDescent="0.2">
      <c r="A2842">
        <v>1652</v>
      </c>
      <c r="B2842" t="s">
        <v>191</v>
      </c>
      <c r="C2842" t="s">
        <v>704</v>
      </c>
      <c r="D2842" s="5">
        <v>88955</v>
      </c>
      <c r="E2842" s="5">
        <v>275361</v>
      </c>
      <c r="F2842" s="5">
        <v>3052</v>
      </c>
      <c r="G2842" s="5">
        <v>367369</v>
      </c>
    </row>
    <row r="2843" spans="1:7" x14ac:dyDescent="0.2">
      <c r="A2843">
        <v>1652</v>
      </c>
      <c r="B2843" t="s">
        <v>191</v>
      </c>
      <c r="C2843" t="s">
        <v>705</v>
      </c>
      <c r="D2843" s="5">
        <v>6706</v>
      </c>
      <c r="E2843" s="5">
        <v>97477</v>
      </c>
      <c r="F2843" s="5">
        <v>1106</v>
      </c>
      <c r="G2843" s="5">
        <v>105288</v>
      </c>
    </row>
    <row r="2844" spans="1:7" x14ac:dyDescent="0.2">
      <c r="A2844">
        <v>1652</v>
      </c>
      <c r="B2844" t="s">
        <v>191</v>
      </c>
      <c r="C2844" t="s">
        <v>707</v>
      </c>
      <c r="D2844" s="5">
        <v>7288</v>
      </c>
      <c r="E2844" s="5">
        <v>19465</v>
      </c>
      <c r="F2844" s="5">
        <v>1616</v>
      </c>
      <c r="G2844" s="5">
        <v>28369</v>
      </c>
    </row>
    <row r="2845" spans="1:7" x14ac:dyDescent="0.2">
      <c r="A2845">
        <v>1652</v>
      </c>
      <c r="B2845" t="s">
        <v>191</v>
      </c>
      <c r="C2845" t="s">
        <v>708</v>
      </c>
      <c r="D2845" s="5">
        <v>1891</v>
      </c>
      <c r="E2845" s="5">
        <v>24938</v>
      </c>
      <c r="F2845" s="5">
        <v>0</v>
      </c>
      <c r="G2845" s="5">
        <v>26829</v>
      </c>
    </row>
    <row r="2846" spans="1:7" x14ac:dyDescent="0.2">
      <c r="A2846">
        <v>1652</v>
      </c>
      <c r="B2846" t="s">
        <v>191</v>
      </c>
      <c r="C2846" t="s">
        <v>709</v>
      </c>
      <c r="D2846" s="5">
        <v>3055</v>
      </c>
      <c r="E2846" s="5">
        <v>13133</v>
      </c>
      <c r="F2846" s="5">
        <v>47</v>
      </c>
      <c r="G2846" s="5">
        <v>16234</v>
      </c>
    </row>
    <row r="2847" spans="1:7" x14ac:dyDescent="0.2">
      <c r="A2847">
        <v>1652</v>
      </c>
      <c r="B2847" t="s">
        <v>191</v>
      </c>
      <c r="C2847" t="s">
        <v>710</v>
      </c>
      <c r="D2847" s="5">
        <v>1774</v>
      </c>
      <c r="E2847" s="5">
        <v>20734</v>
      </c>
      <c r="F2847" s="5">
        <v>1095</v>
      </c>
      <c r="G2847" s="5">
        <v>23602</v>
      </c>
    </row>
    <row r="2848" spans="1:7" x14ac:dyDescent="0.2">
      <c r="A2848">
        <v>1652</v>
      </c>
      <c r="B2848" t="s">
        <v>191</v>
      </c>
      <c r="C2848" t="s">
        <v>712</v>
      </c>
      <c r="D2848" s="5">
        <v>13832</v>
      </c>
      <c r="E2848" s="5">
        <v>44359</v>
      </c>
      <c r="F2848" s="5">
        <v>0</v>
      </c>
      <c r="G2848" s="5">
        <v>58191</v>
      </c>
    </row>
    <row r="2849" spans="1:7" x14ac:dyDescent="0.2">
      <c r="A2849">
        <v>1655</v>
      </c>
      <c r="B2849" t="s">
        <v>221</v>
      </c>
      <c r="C2849" t="s">
        <v>700</v>
      </c>
      <c r="D2849" s="5">
        <v>443568</v>
      </c>
      <c r="E2849" s="5">
        <v>577212</v>
      </c>
      <c r="F2849" s="5">
        <v>6627</v>
      </c>
      <c r="G2849" s="5">
        <v>1027406</v>
      </c>
    </row>
    <row r="2850" spans="1:7" x14ac:dyDescent="0.2">
      <c r="A2850">
        <v>1655</v>
      </c>
      <c r="B2850" t="s">
        <v>221</v>
      </c>
      <c r="C2850" t="s">
        <v>701</v>
      </c>
      <c r="D2850" s="5">
        <v>18385</v>
      </c>
      <c r="E2850" s="5">
        <v>23095</v>
      </c>
      <c r="F2850" s="5">
        <v>297</v>
      </c>
      <c r="G2850" s="5">
        <v>41777</v>
      </c>
    </row>
    <row r="2851" spans="1:7" x14ac:dyDescent="0.2">
      <c r="A2851">
        <v>1655</v>
      </c>
      <c r="B2851" t="s">
        <v>221</v>
      </c>
      <c r="C2851" t="s">
        <v>703</v>
      </c>
      <c r="D2851" s="5">
        <v>1523</v>
      </c>
      <c r="E2851" s="5">
        <v>7283</v>
      </c>
      <c r="F2851" s="5">
        <v>0</v>
      </c>
      <c r="G2851" s="5">
        <v>8806</v>
      </c>
    </row>
    <row r="2852" spans="1:7" x14ac:dyDescent="0.2">
      <c r="A2852">
        <v>1655</v>
      </c>
      <c r="B2852" t="s">
        <v>221</v>
      </c>
      <c r="C2852" t="s">
        <v>704</v>
      </c>
      <c r="D2852" s="5">
        <v>45265</v>
      </c>
      <c r="E2852" s="5">
        <v>628965</v>
      </c>
      <c r="F2852" s="5">
        <v>5063</v>
      </c>
      <c r="G2852" s="5">
        <v>679293</v>
      </c>
    </row>
    <row r="2853" spans="1:7" x14ac:dyDescent="0.2">
      <c r="A2853">
        <v>1655</v>
      </c>
      <c r="B2853" t="s">
        <v>221</v>
      </c>
      <c r="C2853" t="s">
        <v>705</v>
      </c>
      <c r="D2853" s="5">
        <v>3817</v>
      </c>
      <c r="E2853" s="5">
        <v>119069</v>
      </c>
      <c r="F2853" s="5">
        <v>36410</v>
      </c>
      <c r="G2853" s="5">
        <v>159296</v>
      </c>
    </row>
    <row r="2854" spans="1:7" x14ac:dyDescent="0.2">
      <c r="A2854">
        <v>1655</v>
      </c>
      <c r="B2854" t="s">
        <v>221</v>
      </c>
      <c r="C2854" t="s">
        <v>707</v>
      </c>
      <c r="D2854" s="5">
        <v>511</v>
      </c>
      <c r="E2854" s="5">
        <v>4538</v>
      </c>
      <c r="F2854" s="5">
        <v>0</v>
      </c>
      <c r="G2854" s="5">
        <v>5050</v>
      </c>
    </row>
    <row r="2855" spans="1:7" x14ac:dyDescent="0.2">
      <c r="A2855">
        <v>1655</v>
      </c>
      <c r="B2855" t="s">
        <v>221</v>
      </c>
      <c r="C2855" t="s">
        <v>708</v>
      </c>
      <c r="D2855" s="5">
        <v>4324</v>
      </c>
      <c r="E2855" s="5">
        <v>20642</v>
      </c>
      <c r="F2855" s="5">
        <v>0</v>
      </c>
      <c r="G2855" s="5">
        <v>24966</v>
      </c>
    </row>
    <row r="2856" spans="1:7" x14ac:dyDescent="0.2">
      <c r="A2856">
        <v>1655</v>
      </c>
      <c r="B2856" t="s">
        <v>221</v>
      </c>
      <c r="C2856" t="s">
        <v>709</v>
      </c>
      <c r="D2856" s="5">
        <v>6878</v>
      </c>
      <c r="E2856" s="5">
        <v>39579</v>
      </c>
      <c r="F2856" s="5">
        <v>277</v>
      </c>
      <c r="G2856" s="5">
        <v>46734</v>
      </c>
    </row>
    <row r="2857" spans="1:7" x14ac:dyDescent="0.2">
      <c r="A2857">
        <v>1655</v>
      </c>
      <c r="B2857" t="s">
        <v>221</v>
      </c>
      <c r="C2857" t="s">
        <v>710</v>
      </c>
      <c r="D2857" s="5">
        <v>1380</v>
      </c>
      <c r="E2857" s="5">
        <v>15962</v>
      </c>
      <c r="F2857" s="5">
        <v>17</v>
      </c>
      <c r="G2857" s="5">
        <v>17359</v>
      </c>
    </row>
    <row r="2858" spans="1:7" x14ac:dyDescent="0.2">
      <c r="A2858">
        <v>1655</v>
      </c>
      <c r="B2858" t="s">
        <v>221</v>
      </c>
      <c r="C2858" t="s">
        <v>711</v>
      </c>
      <c r="D2858" s="5">
        <v>47</v>
      </c>
      <c r="E2858" s="5">
        <v>0</v>
      </c>
      <c r="F2858" s="5">
        <v>0</v>
      </c>
      <c r="G2858" s="5">
        <v>47</v>
      </c>
    </row>
    <row r="2859" spans="1:7" x14ac:dyDescent="0.2">
      <c r="A2859">
        <v>1655</v>
      </c>
      <c r="B2859" t="s">
        <v>221</v>
      </c>
      <c r="C2859" t="s">
        <v>712</v>
      </c>
      <c r="D2859" s="5">
        <v>14679</v>
      </c>
      <c r="E2859" s="5">
        <v>63632</v>
      </c>
      <c r="F2859" s="5">
        <v>201</v>
      </c>
      <c r="G2859" s="5">
        <v>78512</v>
      </c>
    </row>
    <row r="2860" spans="1:7" x14ac:dyDescent="0.2">
      <c r="A2860">
        <v>1658</v>
      </c>
      <c r="B2860" t="s">
        <v>243</v>
      </c>
      <c r="C2860" t="s">
        <v>700</v>
      </c>
      <c r="D2860" s="5">
        <v>397533</v>
      </c>
      <c r="E2860" s="5">
        <v>246062</v>
      </c>
      <c r="F2860" s="5">
        <v>12741</v>
      </c>
      <c r="G2860" s="5">
        <v>656336</v>
      </c>
    </row>
    <row r="2861" spans="1:7" x14ac:dyDescent="0.2">
      <c r="A2861">
        <v>1658</v>
      </c>
      <c r="B2861" t="s">
        <v>243</v>
      </c>
      <c r="C2861" t="s">
        <v>701</v>
      </c>
      <c r="D2861" s="5">
        <v>11732</v>
      </c>
      <c r="E2861" s="5">
        <v>12986</v>
      </c>
      <c r="F2861" s="5">
        <v>16</v>
      </c>
      <c r="G2861" s="5">
        <v>24734</v>
      </c>
    </row>
    <row r="2862" spans="1:7" x14ac:dyDescent="0.2">
      <c r="A2862">
        <v>1658</v>
      </c>
      <c r="B2862" t="s">
        <v>243</v>
      </c>
      <c r="C2862" t="s">
        <v>703</v>
      </c>
      <c r="D2862" s="5">
        <v>927</v>
      </c>
      <c r="E2862" s="5">
        <v>13622</v>
      </c>
      <c r="F2862" s="5">
        <v>0</v>
      </c>
      <c r="G2862" s="5">
        <v>14548</v>
      </c>
    </row>
    <row r="2863" spans="1:7" x14ac:dyDescent="0.2">
      <c r="A2863">
        <v>1658</v>
      </c>
      <c r="B2863" t="s">
        <v>243</v>
      </c>
      <c r="C2863" t="s">
        <v>704</v>
      </c>
      <c r="D2863" s="5">
        <v>28551</v>
      </c>
      <c r="E2863" s="5">
        <v>96293</v>
      </c>
      <c r="F2863" s="5">
        <v>14693</v>
      </c>
      <c r="G2863" s="5">
        <v>139537</v>
      </c>
    </row>
    <row r="2864" spans="1:7" x14ac:dyDescent="0.2">
      <c r="A2864">
        <v>1658</v>
      </c>
      <c r="B2864" t="s">
        <v>243</v>
      </c>
      <c r="C2864" t="s">
        <v>705</v>
      </c>
      <c r="D2864" s="5">
        <v>7885</v>
      </c>
      <c r="E2864" s="5">
        <v>8413</v>
      </c>
      <c r="F2864" s="5">
        <v>0</v>
      </c>
      <c r="G2864" s="5">
        <v>16298</v>
      </c>
    </row>
    <row r="2865" spans="1:7" x14ac:dyDescent="0.2">
      <c r="A2865">
        <v>1658</v>
      </c>
      <c r="B2865" t="s">
        <v>243</v>
      </c>
      <c r="C2865" t="s">
        <v>707</v>
      </c>
      <c r="D2865" s="5">
        <v>6399</v>
      </c>
      <c r="E2865" s="5">
        <v>19064</v>
      </c>
      <c r="F2865" s="5">
        <v>1219</v>
      </c>
      <c r="G2865" s="5">
        <v>26681</v>
      </c>
    </row>
    <row r="2866" spans="1:7" x14ac:dyDescent="0.2">
      <c r="A2866">
        <v>1658</v>
      </c>
      <c r="B2866" t="s">
        <v>243</v>
      </c>
      <c r="C2866" t="s">
        <v>708</v>
      </c>
      <c r="D2866" s="5">
        <v>2861</v>
      </c>
      <c r="E2866" s="5">
        <v>14322</v>
      </c>
      <c r="F2866" s="5">
        <v>0</v>
      </c>
      <c r="G2866" s="5">
        <v>17183</v>
      </c>
    </row>
    <row r="2867" spans="1:7" x14ac:dyDescent="0.2">
      <c r="A2867">
        <v>1658</v>
      </c>
      <c r="B2867" t="s">
        <v>243</v>
      </c>
      <c r="C2867" t="s">
        <v>709</v>
      </c>
      <c r="D2867" s="5">
        <v>2370</v>
      </c>
      <c r="E2867" s="5">
        <v>4729</v>
      </c>
      <c r="F2867" s="5">
        <v>159</v>
      </c>
      <c r="G2867" s="5">
        <v>7258</v>
      </c>
    </row>
    <row r="2868" spans="1:7" x14ac:dyDescent="0.2">
      <c r="A2868">
        <v>1658</v>
      </c>
      <c r="B2868" t="s">
        <v>243</v>
      </c>
      <c r="C2868" t="s">
        <v>710</v>
      </c>
      <c r="D2868" s="5">
        <v>2762</v>
      </c>
      <c r="E2868" s="5">
        <v>16494</v>
      </c>
      <c r="F2868" s="5">
        <v>0</v>
      </c>
      <c r="G2868" s="5">
        <v>19256</v>
      </c>
    </row>
    <row r="2869" spans="1:7" x14ac:dyDescent="0.2">
      <c r="A2869">
        <v>1658</v>
      </c>
      <c r="B2869" t="s">
        <v>243</v>
      </c>
      <c r="C2869" t="s">
        <v>711</v>
      </c>
      <c r="D2869" s="5">
        <v>234</v>
      </c>
      <c r="E2869" s="5">
        <v>0</v>
      </c>
      <c r="F2869" s="5">
        <v>0</v>
      </c>
      <c r="G2869" s="5">
        <v>234</v>
      </c>
    </row>
    <row r="2870" spans="1:7" x14ac:dyDescent="0.2">
      <c r="A2870">
        <v>1658</v>
      </c>
      <c r="B2870" t="s">
        <v>243</v>
      </c>
      <c r="C2870" t="s">
        <v>712</v>
      </c>
      <c r="D2870" s="5">
        <v>15968</v>
      </c>
      <c r="E2870" s="5">
        <v>33750</v>
      </c>
      <c r="F2870" s="5">
        <v>0</v>
      </c>
      <c r="G2870" s="5">
        <v>49718</v>
      </c>
    </row>
    <row r="2871" spans="1:7" x14ac:dyDescent="0.2">
      <c r="A2871">
        <v>1659</v>
      </c>
      <c r="B2871" t="s">
        <v>307</v>
      </c>
      <c r="C2871" t="s">
        <v>700</v>
      </c>
      <c r="D2871" s="5">
        <v>444802</v>
      </c>
      <c r="E2871" s="5">
        <v>397504</v>
      </c>
      <c r="F2871" s="5">
        <v>4260</v>
      </c>
      <c r="G2871" s="5">
        <v>846566</v>
      </c>
    </row>
    <row r="2872" spans="1:7" x14ac:dyDescent="0.2">
      <c r="A2872">
        <v>1659</v>
      </c>
      <c r="B2872" t="s">
        <v>307</v>
      </c>
      <c r="C2872" t="s">
        <v>701</v>
      </c>
      <c r="D2872" s="5">
        <v>540</v>
      </c>
      <c r="E2872" s="5">
        <v>2125</v>
      </c>
      <c r="F2872" s="5">
        <v>0</v>
      </c>
      <c r="G2872" s="5">
        <v>2665</v>
      </c>
    </row>
    <row r="2873" spans="1:7" x14ac:dyDescent="0.2">
      <c r="A2873">
        <v>1659</v>
      </c>
      <c r="B2873" t="s">
        <v>307</v>
      </c>
      <c r="C2873" t="s">
        <v>703</v>
      </c>
      <c r="D2873" s="5">
        <v>1100</v>
      </c>
      <c r="E2873" s="5">
        <v>1579</v>
      </c>
      <c r="F2873" s="5">
        <v>0</v>
      </c>
      <c r="G2873" s="5">
        <v>2679</v>
      </c>
    </row>
    <row r="2874" spans="1:7" x14ac:dyDescent="0.2">
      <c r="A2874">
        <v>1659</v>
      </c>
      <c r="B2874" t="s">
        <v>307</v>
      </c>
      <c r="C2874" t="s">
        <v>704</v>
      </c>
      <c r="D2874" s="5">
        <v>27366</v>
      </c>
      <c r="E2874" s="5">
        <v>264900</v>
      </c>
      <c r="F2874" s="5">
        <v>150</v>
      </c>
      <c r="G2874" s="5">
        <v>292416</v>
      </c>
    </row>
    <row r="2875" spans="1:7" x14ac:dyDescent="0.2">
      <c r="A2875">
        <v>1659</v>
      </c>
      <c r="B2875" t="s">
        <v>307</v>
      </c>
      <c r="C2875" t="s">
        <v>705</v>
      </c>
      <c r="D2875" s="5">
        <v>225687</v>
      </c>
      <c r="E2875" s="5">
        <v>205654</v>
      </c>
      <c r="F2875" s="5">
        <v>3514</v>
      </c>
      <c r="G2875" s="5">
        <v>434854</v>
      </c>
    </row>
    <row r="2876" spans="1:7" x14ac:dyDescent="0.2">
      <c r="A2876">
        <v>1659</v>
      </c>
      <c r="B2876" t="s">
        <v>307</v>
      </c>
      <c r="C2876" t="s">
        <v>707</v>
      </c>
      <c r="D2876" s="5">
        <v>320</v>
      </c>
      <c r="E2876" s="5">
        <v>0</v>
      </c>
      <c r="F2876" s="5">
        <v>0</v>
      </c>
      <c r="G2876" s="5">
        <v>320</v>
      </c>
    </row>
    <row r="2877" spans="1:7" x14ac:dyDescent="0.2">
      <c r="A2877">
        <v>1659</v>
      </c>
      <c r="B2877" t="s">
        <v>307</v>
      </c>
      <c r="C2877" t="s">
        <v>708</v>
      </c>
      <c r="D2877" s="5">
        <v>565</v>
      </c>
      <c r="E2877" s="5">
        <v>18674</v>
      </c>
      <c r="F2877" s="5">
        <v>0</v>
      </c>
      <c r="G2877" s="5">
        <v>19239</v>
      </c>
    </row>
    <row r="2878" spans="1:7" x14ac:dyDescent="0.2">
      <c r="A2878">
        <v>1659</v>
      </c>
      <c r="B2878" t="s">
        <v>307</v>
      </c>
      <c r="C2878" t="s">
        <v>709</v>
      </c>
      <c r="D2878" s="5">
        <v>8914</v>
      </c>
      <c r="E2878" s="5">
        <v>19838</v>
      </c>
      <c r="F2878" s="5">
        <v>132</v>
      </c>
      <c r="G2878" s="5">
        <v>28884</v>
      </c>
    </row>
    <row r="2879" spans="1:7" x14ac:dyDescent="0.2">
      <c r="A2879">
        <v>1659</v>
      </c>
      <c r="B2879" t="s">
        <v>307</v>
      </c>
      <c r="C2879" t="s">
        <v>710</v>
      </c>
      <c r="D2879" s="5">
        <v>2806</v>
      </c>
      <c r="E2879" s="5">
        <v>21548</v>
      </c>
      <c r="F2879" s="5">
        <v>0</v>
      </c>
      <c r="G2879" s="5">
        <v>24354</v>
      </c>
    </row>
    <row r="2880" spans="1:7" x14ac:dyDescent="0.2">
      <c r="A2880">
        <v>1659</v>
      </c>
      <c r="B2880" t="s">
        <v>307</v>
      </c>
      <c r="C2880" t="s">
        <v>712</v>
      </c>
      <c r="D2880" s="5">
        <v>12460</v>
      </c>
      <c r="E2880" s="5">
        <v>42140</v>
      </c>
      <c r="F2880" s="5">
        <v>0</v>
      </c>
      <c r="G2880" s="5">
        <v>54600</v>
      </c>
    </row>
    <row r="2881" spans="1:7" x14ac:dyDescent="0.2">
      <c r="A2881">
        <v>1667</v>
      </c>
      <c r="B2881" t="s">
        <v>467</v>
      </c>
      <c r="C2881" t="s">
        <v>700</v>
      </c>
      <c r="D2881" s="5">
        <v>517735</v>
      </c>
      <c r="E2881" s="5">
        <v>500195</v>
      </c>
      <c r="F2881" s="5">
        <v>6615</v>
      </c>
      <c r="G2881" s="5">
        <v>1024545</v>
      </c>
    </row>
    <row r="2882" spans="1:7" x14ac:dyDescent="0.2">
      <c r="A2882">
        <v>1667</v>
      </c>
      <c r="B2882" t="s">
        <v>467</v>
      </c>
      <c r="C2882" t="s">
        <v>701</v>
      </c>
      <c r="D2882" s="5">
        <v>6014</v>
      </c>
      <c r="E2882" s="5">
        <v>11608</v>
      </c>
      <c r="F2882" s="5">
        <v>0</v>
      </c>
      <c r="G2882" s="5">
        <v>17622</v>
      </c>
    </row>
    <row r="2883" spans="1:7" x14ac:dyDescent="0.2">
      <c r="A2883">
        <v>1667</v>
      </c>
      <c r="B2883" t="s">
        <v>467</v>
      </c>
      <c r="C2883" t="s">
        <v>703</v>
      </c>
      <c r="D2883" s="5">
        <v>975</v>
      </c>
      <c r="E2883" s="5">
        <v>1957</v>
      </c>
      <c r="F2883" s="5">
        <v>0</v>
      </c>
      <c r="G2883" s="5">
        <v>2932</v>
      </c>
    </row>
    <row r="2884" spans="1:7" x14ac:dyDescent="0.2">
      <c r="A2884">
        <v>1667</v>
      </c>
      <c r="B2884" t="s">
        <v>467</v>
      </c>
      <c r="C2884" t="s">
        <v>704</v>
      </c>
      <c r="D2884" s="5">
        <v>36912</v>
      </c>
      <c r="E2884" s="5">
        <v>119350</v>
      </c>
      <c r="F2884" s="5">
        <v>0</v>
      </c>
      <c r="G2884" s="5">
        <v>156262</v>
      </c>
    </row>
    <row r="2885" spans="1:7" x14ac:dyDescent="0.2">
      <c r="A2885">
        <v>1667</v>
      </c>
      <c r="B2885" t="s">
        <v>467</v>
      </c>
      <c r="C2885" t="s">
        <v>705</v>
      </c>
      <c r="D2885" s="5">
        <v>3914</v>
      </c>
      <c r="E2885" s="5">
        <v>9757</v>
      </c>
      <c r="F2885" s="5">
        <v>626</v>
      </c>
      <c r="G2885" s="5">
        <v>14297</v>
      </c>
    </row>
    <row r="2886" spans="1:7" x14ac:dyDescent="0.2">
      <c r="A2886">
        <v>1667</v>
      </c>
      <c r="B2886" t="s">
        <v>467</v>
      </c>
      <c r="C2886" t="s">
        <v>707</v>
      </c>
      <c r="D2886" s="5">
        <v>10777</v>
      </c>
      <c r="E2886" s="5">
        <v>9362</v>
      </c>
      <c r="F2886" s="5">
        <v>91</v>
      </c>
      <c r="G2886" s="5">
        <v>20230</v>
      </c>
    </row>
    <row r="2887" spans="1:7" x14ac:dyDescent="0.2">
      <c r="A2887">
        <v>1667</v>
      </c>
      <c r="B2887" t="s">
        <v>467</v>
      </c>
      <c r="C2887" t="s">
        <v>708</v>
      </c>
      <c r="D2887" s="5">
        <v>452</v>
      </c>
      <c r="E2887" s="5">
        <v>4286</v>
      </c>
      <c r="F2887" s="5">
        <v>0</v>
      </c>
      <c r="G2887" s="5">
        <v>4737</v>
      </c>
    </row>
    <row r="2888" spans="1:7" x14ac:dyDescent="0.2">
      <c r="A2888">
        <v>1667</v>
      </c>
      <c r="B2888" t="s">
        <v>467</v>
      </c>
      <c r="C2888" t="s">
        <v>709</v>
      </c>
      <c r="D2888" s="5">
        <v>4845</v>
      </c>
      <c r="E2888" s="5">
        <v>3453</v>
      </c>
      <c r="F2888" s="5">
        <v>0</v>
      </c>
      <c r="G2888" s="5">
        <v>8297</v>
      </c>
    </row>
    <row r="2889" spans="1:7" x14ac:dyDescent="0.2">
      <c r="A2889">
        <v>1667</v>
      </c>
      <c r="B2889" t="s">
        <v>467</v>
      </c>
      <c r="C2889" t="s">
        <v>710</v>
      </c>
      <c r="D2889" s="5">
        <v>49</v>
      </c>
      <c r="E2889" s="5">
        <v>13896</v>
      </c>
      <c r="F2889" s="5">
        <v>0</v>
      </c>
      <c r="G2889" s="5">
        <v>13945</v>
      </c>
    </row>
    <row r="2890" spans="1:7" x14ac:dyDescent="0.2">
      <c r="A2890">
        <v>1667</v>
      </c>
      <c r="B2890" t="s">
        <v>467</v>
      </c>
      <c r="C2890" t="s">
        <v>712</v>
      </c>
      <c r="D2890" s="5">
        <v>3622</v>
      </c>
      <c r="E2890" s="5">
        <v>16328</v>
      </c>
      <c r="F2890" s="5">
        <v>0</v>
      </c>
      <c r="G2890" s="5">
        <v>19949</v>
      </c>
    </row>
    <row r="2891" spans="1:7" x14ac:dyDescent="0.2">
      <c r="A2891">
        <v>1669</v>
      </c>
      <c r="B2891" t="s">
        <v>479</v>
      </c>
      <c r="C2891" t="s">
        <v>700</v>
      </c>
      <c r="D2891" s="5">
        <v>270319</v>
      </c>
      <c r="E2891" s="5">
        <v>198986</v>
      </c>
      <c r="F2891" s="5">
        <v>3269</v>
      </c>
      <c r="G2891" s="5">
        <v>472574</v>
      </c>
    </row>
    <row r="2892" spans="1:7" x14ac:dyDescent="0.2">
      <c r="A2892">
        <v>1669</v>
      </c>
      <c r="B2892" t="s">
        <v>479</v>
      </c>
      <c r="C2892" t="s">
        <v>701</v>
      </c>
      <c r="D2892" s="5">
        <v>8621</v>
      </c>
      <c r="E2892" s="5">
        <v>13815</v>
      </c>
      <c r="F2892" s="5">
        <v>0</v>
      </c>
      <c r="G2892" s="5">
        <v>22437</v>
      </c>
    </row>
    <row r="2893" spans="1:7" x14ac:dyDescent="0.2">
      <c r="A2893">
        <v>1669</v>
      </c>
      <c r="B2893" t="s">
        <v>479</v>
      </c>
      <c r="C2893" t="s">
        <v>703</v>
      </c>
      <c r="D2893" s="5">
        <v>660</v>
      </c>
      <c r="E2893" s="5">
        <v>1596</v>
      </c>
      <c r="F2893" s="5">
        <v>0</v>
      </c>
      <c r="G2893" s="5">
        <v>2256</v>
      </c>
    </row>
    <row r="2894" spans="1:7" x14ac:dyDescent="0.2">
      <c r="A2894">
        <v>1669</v>
      </c>
      <c r="B2894" t="s">
        <v>479</v>
      </c>
      <c r="C2894" t="s">
        <v>704</v>
      </c>
      <c r="D2894" s="5">
        <v>14469</v>
      </c>
      <c r="E2894" s="5">
        <v>119463</v>
      </c>
      <c r="F2894" s="5">
        <v>0</v>
      </c>
      <c r="G2894" s="5">
        <v>133932</v>
      </c>
    </row>
    <row r="2895" spans="1:7" x14ac:dyDescent="0.2">
      <c r="A2895">
        <v>1669</v>
      </c>
      <c r="B2895" t="s">
        <v>479</v>
      </c>
      <c r="C2895" t="s">
        <v>705</v>
      </c>
      <c r="D2895" s="5">
        <v>3051</v>
      </c>
      <c r="E2895" s="5">
        <v>16715</v>
      </c>
      <c r="F2895" s="5">
        <v>0</v>
      </c>
      <c r="G2895" s="5">
        <v>19766</v>
      </c>
    </row>
    <row r="2896" spans="1:7" x14ac:dyDescent="0.2">
      <c r="A2896">
        <v>1669</v>
      </c>
      <c r="B2896" t="s">
        <v>479</v>
      </c>
      <c r="C2896" t="s">
        <v>707</v>
      </c>
      <c r="D2896" s="5">
        <v>22262</v>
      </c>
      <c r="E2896" s="5">
        <v>5934</v>
      </c>
      <c r="F2896" s="5">
        <v>0</v>
      </c>
      <c r="G2896" s="5">
        <v>28196</v>
      </c>
    </row>
    <row r="2897" spans="1:7" x14ac:dyDescent="0.2">
      <c r="A2897">
        <v>1669</v>
      </c>
      <c r="B2897" t="s">
        <v>479</v>
      </c>
      <c r="C2897" t="s">
        <v>708</v>
      </c>
      <c r="D2897" s="5">
        <v>870</v>
      </c>
      <c r="E2897" s="5">
        <v>24280</v>
      </c>
      <c r="F2897" s="5">
        <v>0</v>
      </c>
      <c r="G2897" s="5">
        <v>25150</v>
      </c>
    </row>
    <row r="2898" spans="1:7" x14ac:dyDescent="0.2">
      <c r="A2898">
        <v>1669</v>
      </c>
      <c r="B2898" t="s">
        <v>479</v>
      </c>
      <c r="C2898" t="s">
        <v>709</v>
      </c>
      <c r="D2898" s="5">
        <v>29261</v>
      </c>
      <c r="E2898" s="5">
        <v>63762</v>
      </c>
      <c r="F2898" s="5">
        <v>99</v>
      </c>
      <c r="G2898" s="5">
        <v>93122</v>
      </c>
    </row>
    <row r="2899" spans="1:7" x14ac:dyDescent="0.2">
      <c r="A2899">
        <v>1669</v>
      </c>
      <c r="B2899" t="s">
        <v>479</v>
      </c>
      <c r="C2899" t="s">
        <v>710</v>
      </c>
      <c r="D2899" s="5">
        <v>0</v>
      </c>
      <c r="E2899" s="5">
        <v>2432</v>
      </c>
      <c r="F2899" s="5">
        <v>1196</v>
      </c>
      <c r="G2899" s="5">
        <v>3628</v>
      </c>
    </row>
    <row r="2900" spans="1:7" x14ac:dyDescent="0.2">
      <c r="A2900">
        <v>1669</v>
      </c>
      <c r="B2900" t="s">
        <v>479</v>
      </c>
      <c r="C2900" t="s">
        <v>712</v>
      </c>
      <c r="D2900" s="5">
        <v>6163</v>
      </c>
      <c r="E2900" s="5">
        <v>39624</v>
      </c>
      <c r="F2900" s="5">
        <v>0</v>
      </c>
      <c r="G2900" s="5">
        <v>45787</v>
      </c>
    </row>
    <row r="2901" spans="1:7" x14ac:dyDescent="0.2">
      <c r="A2901">
        <v>1674</v>
      </c>
      <c r="B2901" t="s">
        <v>485</v>
      </c>
      <c r="C2901" t="s">
        <v>700</v>
      </c>
      <c r="D2901" s="5">
        <v>616388</v>
      </c>
      <c r="E2901" s="5">
        <v>847539</v>
      </c>
      <c r="F2901" s="5">
        <v>32542</v>
      </c>
      <c r="G2901" s="5">
        <v>1496469</v>
      </c>
    </row>
    <row r="2902" spans="1:7" x14ac:dyDescent="0.2">
      <c r="A2902">
        <v>1674</v>
      </c>
      <c r="B2902" t="s">
        <v>485</v>
      </c>
      <c r="C2902" t="s">
        <v>701</v>
      </c>
      <c r="D2902" s="5">
        <v>27021</v>
      </c>
      <c r="E2902" s="5">
        <v>48882</v>
      </c>
      <c r="F2902" s="5">
        <v>0</v>
      </c>
      <c r="G2902" s="5">
        <v>75903</v>
      </c>
    </row>
    <row r="2903" spans="1:7" x14ac:dyDescent="0.2">
      <c r="A2903">
        <v>1674</v>
      </c>
      <c r="B2903" t="s">
        <v>485</v>
      </c>
      <c r="C2903" t="s">
        <v>703</v>
      </c>
      <c r="D2903" s="5">
        <v>6852</v>
      </c>
      <c r="E2903" s="5">
        <v>74725</v>
      </c>
      <c r="F2903" s="5">
        <v>456</v>
      </c>
      <c r="G2903" s="5">
        <v>82032</v>
      </c>
    </row>
    <row r="2904" spans="1:7" x14ac:dyDescent="0.2">
      <c r="A2904">
        <v>1674</v>
      </c>
      <c r="B2904" t="s">
        <v>485</v>
      </c>
      <c r="C2904" t="s">
        <v>704</v>
      </c>
      <c r="D2904" s="5">
        <v>123746</v>
      </c>
      <c r="E2904" s="5">
        <v>1234079</v>
      </c>
      <c r="F2904" s="5">
        <v>4543</v>
      </c>
      <c r="G2904" s="5">
        <v>1362368</v>
      </c>
    </row>
    <row r="2905" spans="1:7" x14ac:dyDescent="0.2">
      <c r="A2905">
        <v>1674</v>
      </c>
      <c r="B2905" t="s">
        <v>485</v>
      </c>
      <c r="C2905" t="s">
        <v>705</v>
      </c>
      <c r="D2905" s="5">
        <v>7170</v>
      </c>
      <c r="E2905" s="5">
        <v>114074</v>
      </c>
      <c r="F2905" s="5">
        <v>218</v>
      </c>
      <c r="G2905" s="5">
        <v>121462</v>
      </c>
    </row>
    <row r="2906" spans="1:7" x14ac:dyDescent="0.2">
      <c r="A2906">
        <v>1674</v>
      </c>
      <c r="B2906" t="s">
        <v>485</v>
      </c>
      <c r="C2906" t="s">
        <v>707</v>
      </c>
      <c r="D2906" s="5">
        <v>440</v>
      </c>
      <c r="E2906" s="5">
        <v>6839</v>
      </c>
      <c r="F2906" s="5">
        <v>0</v>
      </c>
      <c r="G2906" s="5">
        <v>7280</v>
      </c>
    </row>
    <row r="2907" spans="1:7" x14ac:dyDescent="0.2">
      <c r="A2907">
        <v>1674</v>
      </c>
      <c r="B2907" t="s">
        <v>485</v>
      </c>
      <c r="C2907" t="s">
        <v>708</v>
      </c>
      <c r="D2907" s="5">
        <v>12079</v>
      </c>
      <c r="E2907" s="5">
        <v>77790</v>
      </c>
      <c r="F2907" s="5">
        <v>0</v>
      </c>
      <c r="G2907" s="5">
        <v>89870</v>
      </c>
    </row>
    <row r="2908" spans="1:7" x14ac:dyDescent="0.2">
      <c r="A2908">
        <v>1674</v>
      </c>
      <c r="B2908" t="s">
        <v>485</v>
      </c>
      <c r="C2908" t="s">
        <v>709</v>
      </c>
      <c r="D2908" s="5">
        <v>16566</v>
      </c>
      <c r="E2908" s="5">
        <v>104372</v>
      </c>
      <c r="F2908" s="5">
        <v>642</v>
      </c>
      <c r="G2908" s="5">
        <v>121580</v>
      </c>
    </row>
    <row r="2909" spans="1:7" x14ac:dyDescent="0.2">
      <c r="A2909">
        <v>1674</v>
      </c>
      <c r="B2909" t="s">
        <v>485</v>
      </c>
      <c r="C2909" t="s">
        <v>710</v>
      </c>
      <c r="D2909" s="5">
        <v>873</v>
      </c>
      <c r="E2909" s="5">
        <v>50415</v>
      </c>
      <c r="F2909" s="5">
        <v>3</v>
      </c>
      <c r="G2909" s="5">
        <v>51291</v>
      </c>
    </row>
    <row r="2910" spans="1:7" x14ac:dyDescent="0.2">
      <c r="A2910">
        <v>1674</v>
      </c>
      <c r="B2910" t="s">
        <v>485</v>
      </c>
      <c r="C2910" t="s">
        <v>712</v>
      </c>
      <c r="D2910" s="5">
        <v>25809</v>
      </c>
      <c r="E2910" s="5">
        <v>272620</v>
      </c>
      <c r="F2910" s="5">
        <v>5128</v>
      </c>
      <c r="G2910" s="5">
        <v>303557</v>
      </c>
    </row>
    <row r="2911" spans="1:7" x14ac:dyDescent="0.2">
      <c r="A2911">
        <v>1676</v>
      </c>
      <c r="B2911" t="s">
        <v>501</v>
      </c>
      <c r="C2911" t="s">
        <v>700</v>
      </c>
      <c r="D2911" s="5">
        <v>798159</v>
      </c>
      <c r="E2911" s="5">
        <v>794347</v>
      </c>
      <c r="F2911" s="5">
        <v>22434</v>
      </c>
      <c r="G2911" s="5">
        <v>1614940</v>
      </c>
    </row>
    <row r="2912" spans="1:7" x14ac:dyDescent="0.2">
      <c r="A2912">
        <v>1676</v>
      </c>
      <c r="B2912" t="s">
        <v>501</v>
      </c>
      <c r="C2912" t="s">
        <v>701</v>
      </c>
      <c r="D2912" s="5">
        <v>38951</v>
      </c>
      <c r="E2912" s="5">
        <v>29675</v>
      </c>
      <c r="F2912" s="5">
        <v>227</v>
      </c>
      <c r="G2912" s="5">
        <v>68853</v>
      </c>
    </row>
    <row r="2913" spans="1:7" x14ac:dyDescent="0.2">
      <c r="A2913">
        <v>1676</v>
      </c>
      <c r="B2913" t="s">
        <v>501</v>
      </c>
      <c r="C2913" t="s">
        <v>703</v>
      </c>
      <c r="D2913" s="5">
        <v>2269</v>
      </c>
      <c r="E2913" s="5">
        <v>21804</v>
      </c>
      <c r="F2913" s="5">
        <v>0</v>
      </c>
      <c r="G2913" s="5">
        <v>24073</v>
      </c>
    </row>
    <row r="2914" spans="1:7" x14ac:dyDescent="0.2">
      <c r="A2914">
        <v>1676</v>
      </c>
      <c r="B2914" t="s">
        <v>501</v>
      </c>
      <c r="C2914" t="s">
        <v>704</v>
      </c>
      <c r="D2914" s="5">
        <v>134176</v>
      </c>
      <c r="E2914" s="5">
        <v>181632</v>
      </c>
      <c r="F2914" s="5">
        <v>5794</v>
      </c>
      <c r="G2914" s="5">
        <v>321602</v>
      </c>
    </row>
    <row r="2915" spans="1:7" x14ac:dyDescent="0.2">
      <c r="A2915">
        <v>1676</v>
      </c>
      <c r="B2915" t="s">
        <v>501</v>
      </c>
      <c r="C2915" t="s">
        <v>705</v>
      </c>
      <c r="D2915" s="5">
        <v>17829</v>
      </c>
      <c r="E2915" s="5">
        <v>27496</v>
      </c>
      <c r="F2915" s="5">
        <v>2166</v>
      </c>
      <c r="G2915" s="5">
        <v>47491</v>
      </c>
    </row>
    <row r="2916" spans="1:7" x14ac:dyDescent="0.2">
      <c r="A2916">
        <v>1676</v>
      </c>
      <c r="B2916" t="s">
        <v>501</v>
      </c>
      <c r="C2916" t="s">
        <v>707</v>
      </c>
      <c r="D2916" s="5">
        <v>195955</v>
      </c>
      <c r="E2916" s="5">
        <v>100526</v>
      </c>
      <c r="F2916" s="5">
        <v>5407</v>
      </c>
      <c r="G2916" s="5">
        <v>301888</v>
      </c>
    </row>
    <row r="2917" spans="1:7" x14ac:dyDescent="0.2">
      <c r="A2917">
        <v>1676</v>
      </c>
      <c r="B2917" t="s">
        <v>501</v>
      </c>
      <c r="C2917" t="s">
        <v>708</v>
      </c>
      <c r="D2917" s="5">
        <v>5279</v>
      </c>
      <c r="E2917" s="5">
        <v>18930</v>
      </c>
      <c r="F2917" s="5">
        <v>0</v>
      </c>
      <c r="G2917" s="5">
        <v>24209</v>
      </c>
    </row>
    <row r="2918" spans="1:7" x14ac:dyDescent="0.2">
      <c r="A2918">
        <v>1676</v>
      </c>
      <c r="B2918" t="s">
        <v>501</v>
      </c>
      <c r="C2918" t="s">
        <v>709</v>
      </c>
      <c r="D2918" s="5">
        <v>26108</v>
      </c>
      <c r="E2918" s="5">
        <v>24158</v>
      </c>
      <c r="F2918" s="5">
        <v>1327</v>
      </c>
      <c r="G2918" s="5">
        <v>51594</v>
      </c>
    </row>
    <row r="2919" spans="1:7" x14ac:dyDescent="0.2">
      <c r="A2919">
        <v>1676</v>
      </c>
      <c r="B2919" t="s">
        <v>501</v>
      </c>
      <c r="C2919" t="s">
        <v>710</v>
      </c>
      <c r="D2919" s="5">
        <v>4830</v>
      </c>
      <c r="E2919" s="5">
        <v>22444</v>
      </c>
      <c r="F2919" s="5">
        <v>0</v>
      </c>
      <c r="G2919" s="5">
        <v>27275</v>
      </c>
    </row>
    <row r="2920" spans="1:7" x14ac:dyDescent="0.2">
      <c r="A2920">
        <v>1676</v>
      </c>
      <c r="B2920" t="s">
        <v>501</v>
      </c>
      <c r="C2920" t="s">
        <v>711</v>
      </c>
      <c r="D2920" s="5">
        <v>172</v>
      </c>
      <c r="E2920" s="5">
        <v>120</v>
      </c>
      <c r="F2920" s="5">
        <v>0</v>
      </c>
      <c r="G2920" s="5">
        <v>292</v>
      </c>
    </row>
    <row r="2921" spans="1:7" x14ac:dyDescent="0.2">
      <c r="A2921">
        <v>1676</v>
      </c>
      <c r="B2921" t="s">
        <v>501</v>
      </c>
      <c r="C2921" t="s">
        <v>712</v>
      </c>
      <c r="D2921" s="5">
        <v>59181</v>
      </c>
      <c r="E2921" s="5">
        <v>116315</v>
      </c>
      <c r="F2921" s="5">
        <v>5872</v>
      </c>
      <c r="G2921" s="5">
        <v>181369</v>
      </c>
    </row>
    <row r="2922" spans="1:7" x14ac:dyDescent="0.2">
      <c r="A2922">
        <v>1680</v>
      </c>
      <c r="B2922" t="s">
        <v>3</v>
      </c>
      <c r="C2922" t="s">
        <v>700</v>
      </c>
      <c r="D2922" s="5">
        <v>508668</v>
      </c>
      <c r="E2922" s="5">
        <v>327452</v>
      </c>
      <c r="F2922" s="5">
        <v>24904</v>
      </c>
      <c r="G2922" s="5">
        <v>861025</v>
      </c>
    </row>
    <row r="2923" spans="1:7" x14ac:dyDescent="0.2">
      <c r="A2923">
        <v>1680</v>
      </c>
      <c r="B2923" t="s">
        <v>3</v>
      </c>
      <c r="C2923" t="s">
        <v>701</v>
      </c>
      <c r="D2923" s="5">
        <v>12495</v>
      </c>
      <c r="E2923" s="5">
        <v>11557</v>
      </c>
      <c r="F2923" s="5">
        <v>0</v>
      </c>
      <c r="G2923" s="5">
        <v>24051</v>
      </c>
    </row>
    <row r="2924" spans="1:7" x14ac:dyDescent="0.2">
      <c r="A2924">
        <v>1680</v>
      </c>
      <c r="B2924" t="s">
        <v>3</v>
      </c>
      <c r="C2924" t="s">
        <v>703</v>
      </c>
      <c r="D2924" s="5">
        <v>3047</v>
      </c>
      <c r="E2924" s="5">
        <v>4743</v>
      </c>
      <c r="F2924" s="5">
        <v>0</v>
      </c>
      <c r="G2924" s="5">
        <v>7790</v>
      </c>
    </row>
    <row r="2925" spans="1:7" x14ac:dyDescent="0.2">
      <c r="A2925">
        <v>1680</v>
      </c>
      <c r="B2925" t="s">
        <v>3</v>
      </c>
      <c r="C2925" t="s">
        <v>704</v>
      </c>
      <c r="D2925" s="5">
        <v>29902</v>
      </c>
      <c r="E2925" s="5">
        <v>103247</v>
      </c>
      <c r="F2925" s="5">
        <v>1966</v>
      </c>
      <c r="G2925" s="5">
        <v>135115</v>
      </c>
    </row>
    <row r="2926" spans="1:7" x14ac:dyDescent="0.2">
      <c r="A2926">
        <v>1680</v>
      </c>
      <c r="B2926" t="s">
        <v>3</v>
      </c>
      <c r="C2926" t="s">
        <v>705</v>
      </c>
      <c r="D2926" s="5">
        <v>5792</v>
      </c>
      <c r="E2926" s="5">
        <v>14471</v>
      </c>
      <c r="F2926" s="5">
        <v>0</v>
      </c>
      <c r="G2926" s="5">
        <v>20264</v>
      </c>
    </row>
    <row r="2927" spans="1:7" x14ac:dyDescent="0.2">
      <c r="A2927">
        <v>1680</v>
      </c>
      <c r="B2927" t="s">
        <v>3</v>
      </c>
      <c r="C2927" t="s">
        <v>707</v>
      </c>
      <c r="D2927" s="5">
        <v>1364</v>
      </c>
      <c r="E2927" s="5">
        <v>1066</v>
      </c>
      <c r="F2927" s="5">
        <v>721</v>
      </c>
      <c r="G2927" s="5">
        <v>3151</v>
      </c>
    </row>
    <row r="2928" spans="1:7" x14ac:dyDescent="0.2">
      <c r="A2928">
        <v>1680</v>
      </c>
      <c r="B2928" t="s">
        <v>3</v>
      </c>
      <c r="C2928" t="s">
        <v>708</v>
      </c>
      <c r="D2928" s="5">
        <v>2669</v>
      </c>
      <c r="E2928" s="5">
        <v>12925</v>
      </c>
      <c r="F2928" s="5">
        <v>0</v>
      </c>
      <c r="G2928" s="5">
        <v>15594</v>
      </c>
    </row>
    <row r="2929" spans="1:7" x14ac:dyDescent="0.2">
      <c r="A2929">
        <v>1680</v>
      </c>
      <c r="B2929" t="s">
        <v>3</v>
      </c>
      <c r="C2929" t="s">
        <v>709</v>
      </c>
      <c r="D2929" s="5">
        <v>3573</v>
      </c>
      <c r="E2929" s="5">
        <v>11863</v>
      </c>
      <c r="F2929" s="5">
        <v>148</v>
      </c>
      <c r="G2929" s="5">
        <v>15584</v>
      </c>
    </row>
    <row r="2930" spans="1:7" x14ac:dyDescent="0.2">
      <c r="A2930">
        <v>1680</v>
      </c>
      <c r="B2930" t="s">
        <v>3</v>
      </c>
      <c r="C2930" t="s">
        <v>710</v>
      </c>
      <c r="D2930" s="5">
        <v>1241</v>
      </c>
      <c r="E2930" s="5">
        <v>22454</v>
      </c>
      <c r="F2930" s="5">
        <v>1289</v>
      </c>
      <c r="G2930" s="5">
        <v>24983</v>
      </c>
    </row>
    <row r="2931" spans="1:7" x14ac:dyDescent="0.2">
      <c r="A2931">
        <v>1680</v>
      </c>
      <c r="B2931" t="s">
        <v>3</v>
      </c>
      <c r="C2931" t="s">
        <v>712</v>
      </c>
      <c r="D2931" s="5">
        <v>9461</v>
      </c>
      <c r="E2931" s="5">
        <v>34690</v>
      </c>
      <c r="F2931" s="5">
        <v>0</v>
      </c>
      <c r="G2931" s="5">
        <v>44152</v>
      </c>
    </row>
    <row r="2932" spans="1:7" x14ac:dyDescent="0.2">
      <c r="A2932">
        <v>1681</v>
      </c>
      <c r="B2932" t="s">
        <v>89</v>
      </c>
      <c r="C2932" t="s">
        <v>700</v>
      </c>
      <c r="D2932" s="5">
        <v>649067</v>
      </c>
      <c r="E2932" s="5">
        <v>365815</v>
      </c>
      <c r="F2932" s="5">
        <v>82034</v>
      </c>
      <c r="G2932" s="5">
        <v>1096916</v>
      </c>
    </row>
    <row r="2933" spans="1:7" x14ac:dyDescent="0.2">
      <c r="A2933">
        <v>1681</v>
      </c>
      <c r="B2933" t="s">
        <v>89</v>
      </c>
      <c r="C2933" t="s">
        <v>701</v>
      </c>
      <c r="D2933" s="5">
        <v>14313</v>
      </c>
      <c r="E2933" s="5">
        <v>8987</v>
      </c>
      <c r="F2933" s="5">
        <v>0</v>
      </c>
      <c r="G2933" s="5">
        <v>23301</v>
      </c>
    </row>
    <row r="2934" spans="1:7" x14ac:dyDescent="0.2">
      <c r="A2934">
        <v>1681</v>
      </c>
      <c r="B2934" t="s">
        <v>89</v>
      </c>
      <c r="C2934" t="s">
        <v>703</v>
      </c>
      <c r="D2934" s="5">
        <v>1821</v>
      </c>
      <c r="E2934" s="5">
        <v>11607</v>
      </c>
      <c r="F2934" s="5">
        <v>1575</v>
      </c>
      <c r="G2934" s="5">
        <v>15003</v>
      </c>
    </row>
    <row r="2935" spans="1:7" x14ac:dyDescent="0.2">
      <c r="A2935">
        <v>1681</v>
      </c>
      <c r="B2935" t="s">
        <v>89</v>
      </c>
      <c r="C2935" t="s">
        <v>704</v>
      </c>
      <c r="D2935" s="5">
        <v>37398</v>
      </c>
      <c r="E2935" s="5">
        <v>103492</v>
      </c>
      <c r="F2935" s="5">
        <v>14298</v>
      </c>
      <c r="G2935" s="5">
        <v>155187</v>
      </c>
    </row>
    <row r="2936" spans="1:7" x14ac:dyDescent="0.2">
      <c r="A2936">
        <v>1681</v>
      </c>
      <c r="B2936" t="s">
        <v>89</v>
      </c>
      <c r="C2936" t="s">
        <v>705</v>
      </c>
      <c r="D2936" s="5">
        <v>3217</v>
      </c>
      <c r="E2936" s="5">
        <v>17121</v>
      </c>
      <c r="F2936" s="5">
        <v>0</v>
      </c>
      <c r="G2936" s="5">
        <v>20338</v>
      </c>
    </row>
    <row r="2937" spans="1:7" x14ac:dyDescent="0.2">
      <c r="A2937">
        <v>1681</v>
      </c>
      <c r="B2937" t="s">
        <v>89</v>
      </c>
      <c r="C2937" t="s">
        <v>707</v>
      </c>
      <c r="D2937" s="5">
        <v>9502</v>
      </c>
      <c r="E2937" s="5">
        <v>20350</v>
      </c>
      <c r="F2937" s="5">
        <v>77</v>
      </c>
      <c r="G2937" s="5">
        <v>29929</v>
      </c>
    </row>
    <row r="2938" spans="1:7" x14ac:dyDescent="0.2">
      <c r="A2938">
        <v>1681</v>
      </c>
      <c r="B2938" t="s">
        <v>89</v>
      </c>
      <c r="C2938" t="s">
        <v>708</v>
      </c>
      <c r="D2938" s="5">
        <v>2216</v>
      </c>
      <c r="E2938" s="5">
        <v>15965</v>
      </c>
      <c r="F2938" s="5">
        <v>0</v>
      </c>
      <c r="G2938" s="5">
        <v>18181</v>
      </c>
    </row>
    <row r="2939" spans="1:7" x14ac:dyDescent="0.2">
      <c r="A2939">
        <v>1681</v>
      </c>
      <c r="B2939" t="s">
        <v>89</v>
      </c>
      <c r="C2939" t="s">
        <v>709</v>
      </c>
      <c r="D2939" s="5">
        <v>2145</v>
      </c>
      <c r="E2939" s="5">
        <v>7508</v>
      </c>
      <c r="F2939" s="5">
        <v>825</v>
      </c>
      <c r="G2939" s="5">
        <v>10478</v>
      </c>
    </row>
    <row r="2940" spans="1:7" x14ac:dyDescent="0.2">
      <c r="A2940">
        <v>1681</v>
      </c>
      <c r="B2940" t="s">
        <v>89</v>
      </c>
      <c r="C2940" t="s">
        <v>710</v>
      </c>
      <c r="D2940" s="5">
        <v>3992</v>
      </c>
      <c r="E2940" s="5">
        <v>13117</v>
      </c>
      <c r="F2940" s="5">
        <v>764</v>
      </c>
      <c r="G2940" s="5">
        <v>17872</v>
      </c>
    </row>
    <row r="2941" spans="1:7" x14ac:dyDescent="0.2">
      <c r="A2941">
        <v>1681</v>
      </c>
      <c r="B2941" t="s">
        <v>89</v>
      </c>
      <c r="C2941" t="s">
        <v>711</v>
      </c>
      <c r="D2941" s="5">
        <v>0</v>
      </c>
      <c r="E2941" s="5">
        <v>245</v>
      </c>
      <c r="F2941" s="5">
        <v>0</v>
      </c>
      <c r="G2941" s="5">
        <v>245</v>
      </c>
    </row>
    <row r="2942" spans="1:7" x14ac:dyDescent="0.2">
      <c r="A2942">
        <v>1681</v>
      </c>
      <c r="B2942" t="s">
        <v>89</v>
      </c>
      <c r="C2942" t="s">
        <v>712</v>
      </c>
      <c r="D2942" s="5">
        <v>13951</v>
      </c>
      <c r="E2942" s="5">
        <v>43193</v>
      </c>
      <c r="F2942" s="5">
        <v>0</v>
      </c>
      <c r="G2942" s="5">
        <v>57144</v>
      </c>
    </row>
    <row r="2943" spans="1:7" x14ac:dyDescent="0.2">
      <c r="A2943">
        <v>1684</v>
      </c>
      <c r="B2943" s="9" t="s">
        <v>309</v>
      </c>
      <c r="C2943" t="s">
        <v>700</v>
      </c>
      <c r="D2943" s="5">
        <v>256340</v>
      </c>
      <c r="E2943" s="5">
        <v>330849</v>
      </c>
      <c r="F2943" s="5">
        <v>11063</v>
      </c>
      <c r="G2943" s="5">
        <v>598252</v>
      </c>
    </row>
    <row r="2944" spans="1:7" x14ac:dyDescent="0.2">
      <c r="A2944">
        <v>1684</v>
      </c>
      <c r="B2944" s="9" t="s">
        <v>309</v>
      </c>
      <c r="C2944" t="s">
        <v>701</v>
      </c>
      <c r="D2944" s="5">
        <v>11199</v>
      </c>
      <c r="E2944" s="5">
        <v>14899</v>
      </c>
      <c r="F2944" s="5">
        <v>264</v>
      </c>
      <c r="G2944" s="5">
        <v>26362</v>
      </c>
    </row>
    <row r="2945" spans="1:7" x14ac:dyDescent="0.2">
      <c r="A2945">
        <v>1684</v>
      </c>
      <c r="B2945" s="9" t="s">
        <v>309</v>
      </c>
      <c r="C2945" t="s">
        <v>703</v>
      </c>
      <c r="D2945" s="5">
        <v>1559</v>
      </c>
      <c r="E2945" s="5">
        <v>2278</v>
      </c>
      <c r="F2945" s="5">
        <v>0</v>
      </c>
      <c r="G2945" s="5">
        <v>3837</v>
      </c>
    </row>
    <row r="2946" spans="1:7" x14ac:dyDescent="0.2">
      <c r="A2946">
        <v>1684</v>
      </c>
      <c r="B2946" s="9" t="s">
        <v>309</v>
      </c>
      <c r="C2946" t="s">
        <v>704</v>
      </c>
      <c r="D2946" s="5">
        <v>23251</v>
      </c>
      <c r="E2946" s="5">
        <v>474354</v>
      </c>
      <c r="F2946" s="5">
        <v>957</v>
      </c>
      <c r="G2946" s="5">
        <v>498562</v>
      </c>
    </row>
    <row r="2947" spans="1:7" x14ac:dyDescent="0.2">
      <c r="A2947">
        <v>1684</v>
      </c>
      <c r="B2947" s="9" t="s">
        <v>309</v>
      </c>
      <c r="C2947" t="s">
        <v>705</v>
      </c>
      <c r="D2947" s="5">
        <v>8604</v>
      </c>
      <c r="E2947" s="5">
        <v>45358</v>
      </c>
      <c r="F2947" s="5">
        <v>811</v>
      </c>
      <c r="G2947" s="5">
        <v>54773</v>
      </c>
    </row>
    <row r="2948" spans="1:7" x14ac:dyDescent="0.2">
      <c r="A2948">
        <v>1684</v>
      </c>
      <c r="B2948" s="9" t="s">
        <v>309</v>
      </c>
      <c r="C2948" t="s">
        <v>707</v>
      </c>
      <c r="D2948" s="5">
        <v>2618</v>
      </c>
      <c r="E2948" s="5">
        <v>1160</v>
      </c>
      <c r="F2948" s="5">
        <v>0</v>
      </c>
      <c r="G2948" s="5">
        <v>3778</v>
      </c>
    </row>
    <row r="2949" spans="1:7" x14ac:dyDescent="0.2">
      <c r="A2949">
        <v>1684</v>
      </c>
      <c r="B2949" s="9" t="s">
        <v>309</v>
      </c>
      <c r="C2949" t="s">
        <v>708</v>
      </c>
      <c r="D2949" s="5">
        <v>2377</v>
      </c>
      <c r="E2949" s="5">
        <v>15042</v>
      </c>
      <c r="F2949" s="5">
        <v>0</v>
      </c>
      <c r="G2949" s="5">
        <v>17420</v>
      </c>
    </row>
    <row r="2950" spans="1:7" x14ac:dyDescent="0.2">
      <c r="A2950">
        <v>1684</v>
      </c>
      <c r="B2950" s="9" t="s">
        <v>309</v>
      </c>
      <c r="C2950" t="s">
        <v>709</v>
      </c>
      <c r="D2950" s="5">
        <v>6352</v>
      </c>
      <c r="E2950" s="5">
        <v>21750</v>
      </c>
      <c r="F2950" s="5">
        <v>50</v>
      </c>
      <c r="G2950" s="5">
        <v>28153</v>
      </c>
    </row>
    <row r="2951" spans="1:7" x14ac:dyDescent="0.2">
      <c r="A2951">
        <v>1684</v>
      </c>
      <c r="B2951" s="9" t="s">
        <v>309</v>
      </c>
      <c r="C2951" t="s">
        <v>710</v>
      </c>
      <c r="D2951" s="5">
        <v>2977</v>
      </c>
      <c r="E2951" s="5">
        <v>24107</v>
      </c>
      <c r="F2951" s="5">
        <v>0</v>
      </c>
      <c r="G2951" s="5">
        <v>27083</v>
      </c>
    </row>
    <row r="2952" spans="1:7" x14ac:dyDescent="0.2">
      <c r="A2952">
        <v>1684</v>
      </c>
      <c r="B2952" s="9" t="s">
        <v>309</v>
      </c>
      <c r="C2952" t="s">
        <v>712</v>
      </c>
      <c r="D2952" s="5">
        <v>5016</v>
      </c>
      <c r="E2952" s="5">
        <v>59559</v>
      </c>
      <c r="F2952" s="5">
        <v>0</v>
      </c>
      <c r="G2952" s="5">
        <v>64575</v>
      </c>
    </row>
    <row r="2953" spans="1:7" x14ac:dyDescent="0.2">
      <c r="A2953">
        <v>1685</v>
      </c>
      <c r="B2953" s="9" t="s">
        <v>349</v>
      </c>
      <c r="C2953" t="s">
        <v>700</v>
      </c>
      <c r="D2953" s="5">
        <v>401436</v>
      </c>
      <c r="E2953" s="5">
        <v>407669</v>
      </c>
      <c r="F2953" s="5">
        <v>14139</v>
      </c>
      <c r="G2953" s="5">
        <v>823244</v>
      </c>
    </row>
    <row r="2954" spans="1:7" x14ac:dyDescent="0.2">
      <c r="A2954">
        <v>1685</v>
      </c>
      <c r="B2954" s="9" t="s">
        <v>349</v>
      </c>
      <c r="C2954" t="s">
        <v>701</v>
      </c>
      <c r="D2954" s="5">
        <v>6741</v>
      </c>
      <c r="E2954" s="5">
        <v>8040</v>
      </c>
      <c r="F2954" s="5">
        <v>149</v>
      </c>
      <c r="G2954" s="5">
        <v>14931</v>
      </c>
    </row>
    <row r="2955" spans="1:7" x14ac:dyDescent="0.2">
      <c r="A2955">
        <v>1685</v>
      </c>
      <c r="B2955" s="9" t="s">
        <v>349</v>
      </c>
      <c r="C2955" t="s">
        <v>703</v>
      </c>
      <c r="D2955" s="5">
        <v>1048</v>
      </c>
      <c r="E2955" s="5">
        <v>2334</v>
      </c>
      <c r="F2955" s="5">
        <v>0</v>
      </c>
      <c r="G2955" s="5">
        <v>3381</v>
      </c>
    </row>
    <row r="2956" spans="1:7" x14ac:dyDescent="0.2">
      <c r="A2956">
        <v>1685</v>
      </c>
      <c r="B2956" s="9" t="s">
        <v>349</v>
      </c>
      <c r="C2956" t="s">
        <v>704</v>
      </c>
      <c r="D2956" s="5">
        <v>58054</v>
      </c>
      <c r="E2956" s="5">
        <v>108852</v>
      </c>
      <c r="F2956" s="5">
        <v>4821</v>
      </c>
      <c r="G2956" s="5">
        <v>171727</v>
      </c>
    </row>
    <row r="2957" spans="1:7" x14ac:dyDescent="0.2">
      <c r="A2957">
        <v>1685</v>
      </c>
      <c r="B2957" s="9" t="s">
        <v>349</v>
      </c>
      <c r="C2957" t="s">
        <v>705</v>
      </c>
      <c r="D2957" s="5">
        <v>4282</v>
      </c>
      <c r="E2957" s="5">
        <v>15122</v>
      </c>
      <c r="F2957" s="5">
        <v>1623</v>
      </c>
      <c r="G2957" s="5">
        <v>21028</v>
      </c>
    </row>
    <row r="2958" spans="1:7" x14ac:dyDescent="0.2">
      <c r="A2958">
        <v>1685</v>
      </c>
      <c r="B2958" s="9" t="s">
        <v>349</v>
      </c>
      <c r="C2958" t="s">
        <v>707</v>
      </c>
      <c r="D2958" s="5">
        <v>15474</v>
      </c>
      <c r="E2958" s="5">
        <v>6659</v>
      </c>
      <c r="F2958" s="5">
        <v>0</v>
      </c>
      <c r="G2958" s="5">
        <v>22133</v>
      </c>
    </row>
    <row r="2959" spans="1:7" x14ac:dyDescent="0.2">
      <c r="A2959">
        <v>1685</v>
      </c>
      <c r="B2959" s="9" t="s">
        <v>349</v>
      </c>
      <c r="C2959" t="s">
        <v>708</v>
      </c>
      <c r="D2959" s="5">
        <v>3178</v>
      </c>
      <c r="E2959" s="5">
        <v>4941</v>
      </c>
      <c r="F2959" s="5">
        <v>0</v>
      </c>
      <c r="G2959" s="5">
        <v>8119</v>
      </c>
    </row>
    <row r="2960" spans="1:7" x14ac:dyDescent="0.2">
      <c r="A2960">
        <v>1685</v>
      </c>
      <c r="B2960" s="9" t="s">
        <v>349</v>
      </c>
      <c r="C2960" t="s">
        <v>709</v>
      </c>
      <c r="D2960" s="5">
        <v>3207</v>
      </c>
      <c r="E2960" s="5">
        <v>4542</v>
      </c>
      <c r="F2960" s="5">
        <v>84</v>
      </c>
      <c r="G2960" s="5">
        <v>7833</v>
      </c>
    </row>
    <row r="2961" spans="1:7" x14ac:dyDescent="0.2">
      <c r="A2961">
        <v>1685</v>
      </c>
      <c r="B2961" s="9" t="s">
        <v>349</v>
      </c>
      <c r="C2961" t="s">
        <v>710</v>
      </c>
      <c r="D2961" s="5">
        <v>1095</v>
      </c>
      <c r="E2961" s="5">
        <v>11320</v>
      </c>
      <c r="F2961" s="5">
        <v>0</v>
      </c>
      <c r="G2961" s="5">
        <v>12415</v>
      </c>
    </row>
    <row r="2962" spans="1:7" x14ac:dyDescent="0.2">
      <c r="A2962">
        <v>1685</v>
      </c>
      <c r="B2962" s="9" t="s">
        <v>349</v>
      </c>
      <c r="C2962" t="s">
        <v>712</v>
      </c>
      <c r="D2962" s="5">
        <v>10513</v>
      </c>
      <c r="E2962" s="5">
        <v>42861</v>
      </c>
      <c r="F2962" s="5">
        <v>0</v>
      </c>
      <c r="G2962" s="5">
        <v>53373</v>
      </c>
    </row>
    <row r="2963" spans="1:7" x14ac:dyDescent="0.2">
      <c r="A2963">
        <v>1690</v>
      </c>
      <c r="B2963" t="s">
        <v>653</v>
      </c>
      <c r="C2963" t="s">
        <v>700</v>
      </c>
      <c r="D2963" s="5">
        <v>717865</v>
      </c>
      <c r="E2963" s="5">
        <v>386542</v>
      </c>
      <c r="F2963" s="5">
        <v>11064</v>
      </c>
      <c r="G2963" s="5">
        <v>1115471</v>
      </c>
    </row>
    <row r="2964" spans="1:7" x14ac:dyDescent="0.2">
      <c r="A2964">
        <v>1690</v>
      </c>
      <c r="B2964" t="s">
        <v>653</v>
      </c>
      <c r="C2964" t="s">
        <v>701</v>
      </c>
      <c r="D2964" s="5">
        <v>10976</v>
      </c>
      <c r="E2964" s="5">
        <v>15417</v>
      </c>
      <c r="F2964" s="5">
        <v>837</v>
      </c>
      <c r="G2964" s="5">
        <v>27230</v>
      </c>
    </row>
    <row r="2965" spans="1:7" x14ac:dyDescent="0.2">
      <c r="A2965">
        <v>1690</v>
      </c>
      <c r="B2965" t="s">
        <v>653</v>
      </c>
      <c r="C2965" t="s">
        <v>703</v>
      </c>
      <c r="D2965" s="5">
        <v>2177</v>
      </c>
      <c r="E2965" s="5">
        <v>2618</v>
      </c>
      <c r="F2965" s="5">
        <v>0</v>
      </c>
      <c r="G2965" s="5">
        <v>4794</v>
      </c>
    </row>
    <row r="2966" spans="1:7" x14ac:dyDescent="0.2">
      <c r="A2966">
        <v>1690</v>
      </c>
      <c r="B2966" t="s">
        <v>653</v>
      </c>
      <c r="C2966" t="s">
        <v>704</v>
      </c>
      <c r="D2966" s="5">
        <v>26473</v>
      </c>
      <c r="E2966" s="5">
        <v>57511</v>
      </c>
      <c r="F2966" s="5">
        <v>1979</v>
      </c>
      <c r="G2966" s="5">
        <v>85963</v>
      </c>
    </row>
    <row r="2967" spans="1:7" x14ac:dyDescent="0.2">
      <c r="A2967">
        <v>1690</v>
      </c>
      <c r="B2967" t="s">
        <v>653</v>
      </c>
      <c r="C2967" t="s">
        <v>705</v>
      </c>
      <c r="D2967" s="5">
        <v>5083</v>
      </c>
      <c r="E2967" s="5">
        <v>35878</v>
      </c>
      <c r="F2967" s="5">
        <v>36</v>
      </c>
      <c r="G2967" s="5">
        <v>40997</v>
      </c>
    </row>
    <row r="2968" spans="1:7" x14ac:dyDescent="0.2">
      <c r="A2968">
        <v>1690</v>
      </c>
      <c r="B2968" t="s">
        <v>653</v>
      </c>
      <c r="C2968" t="s">
        <v>707</v>
      </c>
      <c r="D2968" s="5">
        <v>34994</v>
      </c>
      <c r="E2968" s="5">
        <v>17296</v>
      </c>
      <c r="F2968" s="5">
        <v>2013</v>
      </c>
      <c r="G2968" s="5">
        <v>54302</v>
      </c>
    </row>
    <row r="2969" spans="1:7" x14ac:dyDescent="0.2">
      <c r="A2969">
        <v>1690</v>
      </c>
      <c r="B2969" t="s">
        <v>653</v>
      </c>
      <c r="C2969" t="s">
        <v>708</v>
      </c>
      <c r="D2969" s="5">
        <v>2709</v>
      </c>
      <c r="E2969" s="5">
        <v>15448</v>
      </c>
      <c r="F2969" s="5">
        <v>0</v>
      </c>
      <c r="G2969" s="5">
        <v>18156</v>
      </c>
    </row>
    <row r="2970" spans="1:7" x14ac:dyDescent="0.2">
      <c r="A2970">
        <v>1690</v>
      </c>
      <c r="B2970" t="s">
        <v>653</v>
      </c>
      <c r="C2970" t="s">
        <v>709</v>
      </c>
      <c r="D2970" s="5">
        <v>4552</v>
      </c>
      <c r="E2970" s="5">
        <v>12952</v>
      </c>
      <c r="F2970" s="5">
        <v>251</v>
      </c>
      <c r="G2970" s="5">
        <v>17755</v>
      </c>
    </row>
    <row r="2971" spans="1:7" x14ac:dyDescent="0.2">
      <c r="A2971">
        <v>1690</v>
      </c>
      <c r="B2971" t="s">
        <v>653</v>
      </c>
      <c r="C2971" t="s">
        <v>710</v>
      </c>
      <c r="D2971" s="5">
        <v>1739</v>
      </c>
      <c r="E2971" s="5">
        <v>24463</v>
      </c>
      <c r="F2971" s="5">
        <v>0</v>
      </c>
      <c r="G2971" s="5">
        <v>26203</v>
      </c>
    </row>
    <row r="2972" spans="1:7" x14ac:dyDescent="0.2">
      <c r="A2972">
        <v>1690</v>
      </c>
      <c r="B2972" t="s">
        <v>653</v>
      </c>
      <c r="C2972" t="s">
        <v>712</v>
      </c>
      <c r="D2972" s="5">
        <v>8723</v>
      </c>
      <c r="E2972" s="5">
        <v>22418</v>
      </c>
      <c r="F2972" s="5">
        <v>0</v>
      </c>
      <c r="G2972" s="5">
        <v>31141</v>
      </c>
    </row>
    <row r="2973" spans="1:7" x14ac:dyDescent="0.2">
      <c r="A2973">
        <v>1695</v>
      </c>
      <c r="B2973" t="s">
        <v>397</v>
      </c>
      <c r="C2973" t="s">
        <v>700</v>
      </c>
      <c r="D2973" s="5">
        <v>192045</v>
      </c>
      <c r="E2973" s="5">
        <v>114066</v>
      </c>
      <c r="F2973" s="5">
        <v>10383</v>
      </c>
      <c r="G2973" s="5">
        <v>316494</v>
      </c>
    </row>
    <row r="2974" spans="1:7" x14ac:dyDescent="0.2">
      <c r="A2974">
        <v>1695</v>
      </c>
      <c r="B2974" t="s">
        <v>397</v>
      </c>
      <c r="C2974" t="s">
        <v>701</v>
      </c>
      <c r="D2974" s="5">
        <v>5269</v>
      </c>
      <c r="E2974" s="5">
        <v>9752</v>
      </c>
      <c r="F2974" s="5">
        <v>0</v>
      </c>
      <c r="G2974" s="5">
        <v>15021</v>
      </c>
    </row>
    <row r="2975" spans="1:7" x14ac:dyDescent="0.2">
      <c r="A2975">
        <v>1695</v>
      </c>
      <c r="B2975" t="s">
        <v>397</v>
      </c>
      <c r="C2975" t="s">
        <v>703</v>
      </c>
      <c r="D2975" s="5">
        <v>209</v>
      </c>
      <c r="E2975" s="5">
        <v>207</v>
      </c>
      <c r="F2975" s="5">
        <v>0</v>
      </c>
      <c r="G2975" s="5">
        <v>416</v>
      </c>
    </row>
    <row r="2976" spans="1:7" x14ac:dyDescent="0.2">
      <c r="A2976">
        <v>1695</v>
      </c>
      <c r="B2976" t="s">
        <v>397</v>
      </c>
      <c r="C2976" t="s">
        <v>704</v>
      </c>
      <c r="D2976" s="5">
        <v>31872</v>
      </c>
      <c r="E2976" s="5">
        <v>51628</v>
      </c>
      <c r="F2976" s="5">
        <v>0</v>
      </c>
      <c r="G2976" s="5">
        <v>83500</v>
      </c>
    </row>
    <row r="2977" spans="1:7" x14ac:dyDescent="0.2">
      <c r="A2977">
        <v>1695</v>
      </c>
      <c r="B2977" t="s">
        <v>397</v>
      </c>
      <c r="C2977" t="s">
        <v>705</v>
      </c>
      <c r="D2977" s="5">
        <v>1835</v>
      </c>
      <c r="E2977" s="5">
        <v>6373</v>
      </c>
      <c r="F2977" s="5">
        <v>0</v>
      </c>
      <c r="G2977" s="5">
        <v>8208</v>
      </c>
    </row>
    <row r="2978" spans="1:7" x14ac:dyDescent="0.2">
      <c r="A2978">
        <v>1695</v>
      </c>
      <c r="B2978" t="s">
        <v>397</v>
      </c>
      <c r="C2978" t="s">
        <v>707</v>
      </c>
      <c r="D2978" s="5">
        <v>60117</v>
      </c>
      <c r="E2978" s="5">
        <v>45022</v>
      </c>
      <c r="F2978" s="5">
        <v>16357</v>
      </c>
      <c r="G2978" s="5">
        <v>121496</v>
      </c>
    </row>
    <row r="2979" spans="1:7" x14ac:dyDescent="0.2">
      <c r="A2979">
        <v>1695</v>
      </c>
      <c r="B2979" t="s">
        <v>397</v>
      </c>
      <c r="C2979" t="s">
        <v>708</v>
      </c>
      <c r="D2979" s="5">
        <v>0</v>
      </c>
      <c r="E2979" s="5">
        <v>5146</v>
      </c>
      <c r="F2979" s="5">
        <v>0</v>
      </c>
      <c r="G2979" s="5">
        <v>5146</v>
      </c>
    </row>
    <row r="2980" spans="1:7" x14ac:dyDescent="0.2">
      <c r="A2980">
        <v>1695</v>
      </c>
      <c r="B2980" t="s">
        <v>397</v>
      </c>
      <c r="C2980" t="s">
        <v>709</v>
      </c>
      <c r="D2980" s="5">
        <v>13486</v>
      </c>
      <c r="E2980" s="5">
        <v>30870</v>
      </c>
      <c r="F2980" s="5">
        <v>3323</v>
      </c>
      <c r="G2980" s="5">
        <v>47680</v>
      </c>
    </row>
    <row r="2981" spans="1:7" x14ac:dyDescent="0.2">
      <c r="A2981">
        <v>1695</v>
      </c>
      <c r="B2981" t="s">
        <v>397</v>
      </c>
      <c r="C2981" t="s">
        <v>710</v>
      </c>
      <c r="D2981" s="5">
        <v>0</v>
      </c>
      <c r="E2981" s="5">
        <v>2745</v>
      </c>
      <c r="F2981" s="5">
        <v>3200</v>
      </c>
      <c r="G2981" s="5">
        <v>5944</v>
      </c>
    </row>
    <row r="2982" spans="1:7" x14ac:dyDescent="0.2">
      <c r="A2982">
        <v>1695</v>
      </c>
      <c r="B2982" t="s">
        <v>397</v>
      </c>
      <c r="C2982" t="s">
        <v>711</v>
      </c>
      <c r="D2982" s="5">
        <v>92</v>
      </c>
      <c r="E2982" s="5">
        <v>0</v>
      </c>
      <c r="F2982" s="5">
        <v>0</v>
      </c>
      <c r="G2982" s="5">
        <v>92</v>
      </c>
    </row>
    <row r="2983" spans="1:7" x14ac:dyDescent="0.2">
      <c r="A2983">
        <v>1695</v>
      </c>
      <c r="B2983" t="s">
        <v>397</v>
      </c>
      <c r="C2983" t="s">
        <v>712</v>
      </c>
      <c r="D2983" s="5">
        <v>9266</v>
      </c>
      <c r="E2983" s="5">
        <v>17516</v>
      </c>
      <c r="F2983" s="5">
        <v>331</v>
      </c>
      <c r="G2983" s="5">
        <v>27113</v>
      </c>
    </row>
    <row r="2984" spans="1:7" x14ac:dyDescent="0.2">
      <c r="A2984">
        <v>1696</v>
      </c>
      <c r="B2984" t="s">
        <v>643</v>
      </c>
      <c r="C2984" t="s">
        <v>700</v>
      </c>
      <c r="D2984" s="5">
        <v>191291</v>
      </c>
      <c r="E2984" s="5">
        <v>208246</v>
      </c>
      <c r="F2984" s="5">
        <v>7349</v>
      </c>
      <c r="G2984" s="5">
        <v>406886</v>
      </c>
    </row>
    <row r="2985" spans="1:7" x14ac:dyDescent="0.2">
      <c r="A2985">
        <v>1696</v>
      </c>
      <c r="B2985" t="s">
        <v>643</v>
      </c>
      <c r="C2985" t="s">
        <v>701</v>
      </c>
      <c r="D2985" s="5">
        <v>13293</v>
      </c>
      <c r="E2985" s="5">
        <v>16187</v>
      </c>
      <c r="F2985" s="5">
        <v>190</v>
      </c>
      <c r="G2985" s="5">
        <v>29670</v>
      </c>
    </row>
    <row r="2986" spans="1:7" x14ac:dyDescent="0.2">
      <c r="A2986">
        <v>1696</v>
      </c>
      <c r="B2986" t="s">
        <v>643</v>
      </c>
      <c r="C2986" t="s">
        <v>703</v>
      </c>
      <c r="D2986" s="5">
        <v>587</v>
      </c>
      <c r="E2986" s="5">
        <v>2104</v>
      </c>
      <c r="F2986" s="5">
        <v>0</v>
      </c>
      <c r="G2986" s="5">
        <v>2690</v>
      </c>
    </row>
    <row r="2987" spans="1:7" x14ac:dyDescent="0.2">
      <c r="A2987">
        <v>1696</v>
      </c>
      <c r="B2987" t="s">
        <v>643</v>
      </c>
      <c r="C2987" t="s">
        <v>704</v>
      </c>
      <c r="D2987" s="5">
        <v>22810</v>
      </c>
      <c r="E2987" s="5">
        <v>126383</v>
      </c>
      <c r="F2987" s="5">
        <v>1757</v>
      </c>
      <c r="G2987" s="5">
        <v>150949</v>
      </c>
    </row>
    <row r="2988" spans="1:7" x14ac:dyDescent="0.2">
      <c r="A2988">
        <v>1696</v>
      </c>
      <c r="B2988" t="s">
        <v>643</v>
      </c>
      <c r="C2988" t="s">
        <v>705</v>
      </c>
      <c r="D2988" s="5">
        <v>9677</v>
      </c>
      <c r="E2988" s="5">
        <v>27954</v>
      </c>
      <c r="F2988" s="5">
        <v>0</v>
      </c>
      <c r="G2988" s="5">
        <v>37631</v>
      </c>
    </row>
    <row r="2989" spans="1:7" x14ac:dyDescent="0.2">
      <c r="A2989">
        <v>1696</v>
      </c>
      <c r="B2989" t="s">
        <v>643</v>
      </c>
      <c r="C2989" t="s">
        <v>706</v>
      </c>
      <c r="D2989" s="5">
        <v>965</v>
      </c>
      <c r="E2989" s="5">
        <v>76</v>
      </c>
      <c r="F2989" s="5">
        <v>0</v>
      </c>
      <c r="G2989" s="5">
        <v>1041</v>
      </c>
    </row>
    <row r="2990" spans="1:7" x14ac:dyDescent="0.2">
      <c r="A2990">
        <v>1696</v>
      </c>
      <c r="B2990" t="s">
        <v>643</v>
      </c>
      <c r="C2990" t="s">
        <v>707</v>
      </c>
      <c r="D2990" s="5">
        <v>14759</v>
      </c>
      <c r="E2990" s="5">
        <v>52427</v>
      </c>
      <c r="F2990" s="5">
        <v>1972</v>
      </c>
      <c r="G2990" s="5">
        <v>69157</v>
      </c>
    </row>
    <row r="2991" spans="1:7" x14ac:dyDescent="0.2">
      <c r="A2991">
        <v>1696</v>
      </c>
      <c r="B2991" t="s">
        <v>643</v>
      </c>
      <c r="C2991" t="s">
        <v>708</v>
      </c>
      <c r="D2991" s="5">
        <v>742</v>
      </c>
      <c r="E2991" s="5">
        <v>11248</v>
      </c>
      <c r="F2991" s="5">
        <v>0</v>
      </c>
      <c r="G2991" s="5">
        <v>11990</v>
      </c>
    </row>
    <row r="2992" spans="1:7" x14ac:dyDescent="0.2">
      <c r="A2992">
        <v>1696</v>
      </c>
      <c r="B2992" t="s">
        <v>643</v>
      </c>
      <c r="C2992" t="s">
        <v>709</v>
      </c>
      <c r="D2992" s="5">
        <v>5454</v>
      </c>
      <c r="E2992" s="5">
        <v>26021</v>
      </c>
      <c r="F2992" s="5">
        <v>287</v>
      </c>
      <c r="G2992" s="5">
        <v>31762</v>
      </c>
    </row>
    <row r="2993" spans="1:7" x14ac:dyDescent="0.2">
      <c r="A2993">
        <v>1696</v>
      </c>
      <c r="B2993" t="s">
        <v>643</v>
      </c>
      <c r="C2993" t="s">
        <v>710</v>
      </c>
      <c r="D2993" s="5">
        <v>1458</v>
      </c>
      <c r="E2993" s="5">
        <v>16965</v>
      </c>
      <c r="F2993" s="5">
        <v>0</v>
      </c>
      <c r="G2993" s="5">
        <v>18422</v>
      </c>
    </row>
    <row r="2994" spans="1:7" x14ac:dyDescent="0.2">
      <c r="A2994">
        <v>1696</v>
      </c>
      <c r="B2994" t="s">
        <v>643</v>
      </c>
      <c r="C2994" t="s">
        <v>712</v>
      </c>
      <c r="D2994" s="5">
        <v>10248</v>
      </c>
      <c r="E2994" s="5">
        <v>23779</v>
      </c>
      <c r="F2994" s="5">
        <v>0</v>
      </c>
      <c r="G2994" s="5">
        <v>34027</v>
      </c>
    </row>
    <row r="2995" spans="1:7" x14ac:dyDescent="0.2">
      <c r="A2995">
        <v>1699</v>
      </c>
      <c r="B2995" t="s">
        <v>399</v>
      </c>
      <c r="C2995" t="s">
        <v>700</v>
      </c>
      <c r="D2995" s="5">
        <v>469613</v>
      </c>
      <c r="E2995" s="5">
        <v>257368</v>
      </c>
      <c r="F2995" s="5">
        <v>52470</v>
      </c>
      <c r="G2995" s="5">
        <v>779451</v>
      </c>
    </row>
    <row r="2996" spans="1:7" x14ac:dyDescent="0.2">
      <c r="A2996">
        <v>1699</v>
      </c>
      <c r="B2996" t="s">
        <v>399</v>
      </c>
      <c r="C2996" t="s">
        <v>701</v>
      </c>
      <c r="D2996" s="5">
        <v>19714</v>
      </c>
      <c r="E2996" s="5">
        <v>28366</v>
      </c>
      <c r="F2996" s="5">
        <v>0</v>
      </c>
      <c r="G2996" s="5">
        <v>48080</v>
      </c>
    </row>
    <row r="2997" spans="1:7" x14ac:dyDescent="0.2">
      <c r="A2997">
        <v>1699</v>
      </c>
      <c r="B2997" t="s">
        <v>399</v>
      </c>
      <c r="C2997" t="s">
        <v>702</v>
      </c>
      <c r="D2997" s="5">
        <v>68</v>
      </c>
      <c r="E2997" s="5">
        <v>11495</v>
      </c>
      <c r="F2997" s="5">
        <v>0</v>
      </c>
      <c r="G2997" s="5">
        <v>11564</v>
      </c>
    </row>
    <row r="2998" spans="1:7" x14ac:dyDescent="0.2">
      <c r="A2998">
        <v>1699</v>
      </c>
      <c r="B2998" t="s">
        <v>399</v>
      </c>
      <c r="C2998" t="s">
        <v>703</v>
      </c>
      <c r="D2998" s="5">
        <v>4757</v>
      </c>
      <c r="E2998" s="5">
        <v>4292</v>
      </c>
      <c r="F2998" s="5">
        <v>160</v>
      </c>
      <c r="G2998" s="5">
        <v>9209</v>
      </c>
    </row>
    <row r="2999" spans="1:7" x14ac:dyDescent="0.2">
      <c r="A2999">
        <v>1699</v>
      </c>
      <c r="B2999" t="s">
        <v>399</v>
      </c>
      <c r="C2999" t="s">
        <v>704</v>
      </c>
      <c r="D2999" s="5">
        <v>55555</v>
      </c>
      <c r="E2999" s="5">
        <v>154894</v>
      </c>
      <c r="F2999" s="5">
        <v>5901</v>
      </c>
      <c r="G2999" s="5">
        <v>216350</v>
      </c>
    </row>
    <row r="3000" spans="1:7" x14ac:dyDescent="0.2">
      <c r="A3000">
        <v>1699</v>
      </c>
      <c r="B3000" t="s">
        <v>399</v>
      </c>
      <c r="C3000" t="s">
        <v>705</v>
      </c>
      <c r="D3000" s="5">
        <v>13504</v>
      </c>
      <c r="E3000" s="5">
        <v>75590</v>
      </c>
      <c r="F3000" s="5">
        <v>484</v>
      </c>
      <c r="G3000" s="5">
        <v>89578</v>
      </c>
    </row>
    <row r="3001" spans="1:7" x14ac:dyDescent="0.2">
      <c r="A3001">
        <v>1699</v>
      </c>
      <c r="B3001" t="s">
        <v>399</v>
      </c>
      <c r="C3001" t="s">
        <v>707</v>
      </c>
      <c r="D3001" s="5">
        <v>9139</v>
      </c>
      <c r="E3001" s="5">
        <v>7672</v>
      </c>
      <c r="F3001" s="5">
        <v>215</v>
      </c>
      <c r="G3001" s="5">
        <v>17026</v>
      </c>
    </row>
    <row r="3002" spans="1:7" x14ac:dyDescent="0.2">
      <c r="A3002">
        <v>1699</v>
      </c>
      <c r="B3002" t="s">
        <v>399</v>
      </c>
      <c r="C3002" t="s">
        <v>708</v>
      </c>
      <c r="D3002" s="5">
        <v>8451</v>
      </c>
      <c r="E3002" s="5">
        <v>27232</v>
      </c>
      <c r="F3002" s="5">
        <v>0</v>
      </c>
      <c r="G3002" s="5">
        <v>35683</v>
      </c>
    </row>
    <row r="3003" spans="1:7" x14ac:dyDescent="0.2">
      <c r="A3003">
        <v>1699</v>
      </c>
      <c r="B3003" t="s">
        <v>399</v>
      </c>
      <c r="C3003" t="s">
        <v>709</v>
      </c>
      <c r="D3003" s="5">
        <v>5996</v>
      </c>
      <c r="E3003" s="5">
        <v>21097</v>
      </c>
      <c r="F3003" s="5">
        <v>810</v>
      </c>
      <c r="G3003" s="5">
        <v>27903</v>
      </c>
    </row>
    <row r="3004" spans="1:7" x14ac:dyDescent="0.2">
      <c r="A3004">
        <v>1699</v>
      </c>
      <c r="B3004" t="s">
        <v>399</v>
      </c>
      <c r="C3004" t="s">
        <v>710</v>
      </c>
      <c r="D3004" s="5">
        <v>2329</v>
      </c>
      <c r="E3004" s="5">
        <v>24734</v>
      </c>
      <c r="F3004" s="5">
        <v>13</v>
      </c>
      <c r="G3004" s="5">
        <v>27075</v>
      </c>
    </row>
    <row r="3005" spans="1:7" x14ac:dyDescent="0.2">
      <c r="A3005">
        <v>1699</v>
      </c>
      <c r="B3005" t="s">
        <v>399</v>
      </c>
      <c r="C3005" t="s">
        <v>711</v>
      </c>
      <c r="D3005" s="5">
        <v>188</v>
      </c>
      <c r="E3005" s="5">
        <v>0</v>
      </c>
      <c r="F3005" s="5">
        <v>0</v>
      </c>
      <c r="G3005" s="5">
        <v>188</v>
      </c>
    </row>
    <row r="3006" spans="1:7" x14ac:dyDescent="0.2">
      <c r="A3006">
        <v>1699</v>
      </c>
      <c r="B3006" t="s">
        <v>399</v>
      </c>
      <c r="C3006" t="s">
        <v>712</v>
      </c>
      <c r="D3006" s="5">
        <v>15484</v>
      </c>
      <c r="E3006" s="5">
        <v>108132</v>
      </c>
      <c r="F3006" s="5">
        <v>894</v>
      </c>
      <c r="G3006" s="5">
        <v>124510</v>
      </c>
    </row>
    <row r="3007" spans="1:7" x14ac:dyDescent="0.2">
      <c r="A3007">
        <v>1700</v>
      </c>
      <c r="B3007" t="s">
        <v>553</v>
      </c>
      <c r="C3007" t="s">
        <v>700</v>
      </c>
      <c r="D3007" s="5">
        <v>512317</v>
      </c>
      <c r="E3007" s="5">
        <v>440437</v>
      </c>
      <c r="F3007" s="5">
        <v>16940</v>
      </c>
      <c r="G3007" s="5">
        <v>969694</v>
      </c>
    </row>
    <row r="3008" spans="1:7" x14ac:dyDescent="0.2">
      <c r="A3008">
        <v>1700</v>
      </c>
      <c r="B3008" t="s">
        <v>553</v>
      </c>
      <c r="C3008" t="s">
        <v>701</v>
      </c>
      <c r="D3008" s="5">
        <v>16784</v>
      </c>
      <c r="E3008" s="5">
        <v>19237</v>
      </c>
      <c r="F3008" s="5">
        <v>0</v>
      </c>
      <c r="G3008" s="5">
        <v>36021</v>
      </c>
    </row>
    <row r="3009" spans="1:7" x14ac:dyDescent="0.2">
      <c r="A3009">
        <v>1700</v>
      </c>
      <c r="B3009" t="s">
        <v>553</v>
      </c>
      <c r="C3009" t="s">
        <v>702</v>
      </c>
      <c r="D3009" s="5">
        <v>210</v>
      </c>
      <c r="E3009" s="5">
        <v>0</v>
      </c>
      <c r="F3009" s="5">
        <v>0</v>
      </c>
      <c r="G3009" s="5">
        <v>210</v>
      </c>
    </row>
    <row r="3010" spans="1:7" x14ac:dyDescent="0.2">
      <c r="A3010">
        <v>1700</v>
      </c>
      <c r="B3010" t="s">
        <v>553</v>
      </c>
      <c r="C3010" t="s">
        <v>703</v>
      </c>
      <c r="D3010" s="5">
        <v>1743</v>
      </c>
      <c r="E3010" s="5">
        <v>9554</v>
      </c>
      <c r="F3010" s="5">
        <v>0</v>
      </c>
      <c r="G3010" s="5">
        <v>11297</v>
      </c>
    </row>
    <row r="3011" spans="1:7" x14ac:dyDescent="0.2">
      <c r="A3011">
        <v>1700</v>
      </c>
      <c r="B3011" t="s">
        <v>553</v>
      </c>
      <c r="C3011" t="s">
        <v>704</v>
      </c>
      <c r="D3011" s="5">
        <v>33255</v>
      </c>
      <c r="E3011" s="5">
        <v>273111</v>
      </c>
      <c r="F3011" s="5">
        <v>5719</v>
      </c>
      <c r="G3011" s="5">
        <v>312085</v>
      </c>
    </row>
    <row r="3012" spans="1:7" x14ac:dyDescent="0.2">
      <c r="A3012">
        <v>1700</v>
      </c>
      <c r="B3012" t="s">
        <v>553</v>
      </c>
      <c r="C3012" t="s">
        <v>705</v>
      </c>
      <c r="D3012" s="5">
        <v>8593</v>
      </c>
      <c r="E3012" s="5">
        <v>81293</v>
      </c>
      <c r="F3012" s="5">
        <v>8869</v>
      </c>
      <c r="G3012" s="5">
        <v>98756</v>
      </c>
    </row>
    <row r="3013" spans="1:7" x14ac:dyDescent="0.2">
      <c r="A3013">
        <v>1700</v>
      </c>
      <c r="B3013" t="s">
        <v>553</v>
      </c>
      <c r="C3013" t="s">
        <v>707</v>
      </c>
      <c r="D3013" s="5">
        <v>8734</v>
      </c>
      <c r="E3013" s="5">
        <v>3223</v>
      </c>
      <c r="F3013" s="5">
        <v>1531</v>
      </c>
      <c r="G3013" s="5">
        <v>13488</v>
      </c>
    </row>
    <row r="3014" spans="1:7" x14ac:dyDescent="0.2">
      <c r="A3014">
        <v>1700</v>
      </c>
      <c r="B3014" t="s">
        <v>553</v>
      </c>
      <c r="C3014" t="s">
        <v>708</v>
      </c>
      <c r="D3014" s="5">
        <v>6397</v>
      </c>
      <c r="E3014" s="5">
        <v>26922</v>
      </c>
      <c r="F3014" s="5">
        <v>1346</v>
      </c>
      <c r="G3014" s="5">
        <v>34665</v>
      </c>
    </row>
    <row r="3015" spans="1:7" x14ac:dyDescent="0.2">
      <c r="A3015">
        <v>1700</v>
      </c>
      <c r="B3015" t="s">
        <v>553</v>
      </c>
      <c r="C3015" t="s">
        <v>709</v>
      </c>
      <c r="D3015" s="5">
        <v>3270</v>
      </c>
      <c r="E3015" s="5">
        <v>68660</v>
      </c>
      <c r="F3015" s="5">
        <v>603</v>
      </c>
      <c r="G3015" s="5">
        <v>72533</v>
      </c>
    </row>
    <row r="3016" spans="1:7" x14ac:dyDescent="0.2">
      <c r="A3016">
        <v>1700</v>
      </c>
      <c r="B3016" t="s">
        <v>553</v>
      </c>
      <c r="C3016" t="s">
        <v>710</v>
      </c>
      <c r="D3016" s="5">
        <v>6659</v>
      </c>
      <c r="E3016" s="5">
        <v>18424</v>
      </c>
      <c r="F3016" s="5">
        <v>0</v>
      </c>
      <c r="G3016" s="5">
        <v>25083</v>
      </c>
    </row>
    <row r="3017" spans="1:7" x14ac:dyDescent="0.2">
      <c r="A3017">
        <v>1700</v>
      </c>
      <c r="B3017" t="s">
        <v>553</v>
      </c>
      <c r="C3017" t="s">
        <v>712</v>
      </c>
      <c r="D3017" s="5">
        <v>16485</v>
      </c>
      <c r="E3017" s="5">
        <v>119203</v>
      </c>
      <c r="F3017" s="5">
        <v>0</v>
      </c>
      <c r="G3017" s="5">
        <v>135688</v>
      </c>
    </row>
    <row r="3018" spans="1:7" x14ac:dyDescent="0.2">
      <c r="A3018">
        <v>1701</v>
      </c>
      <c r="B3018" t="s">
        <v>629</v>
      </c>
      <c r="C3018" t="s">
        <v>700</v>
      </c>
      <c r="D3018" s="5">
        <v>561905</v>
      </c>
      <c r="E3018" s="5">
        <v>211546</v>
      </c>
      <c r="F3018" s="5">
        <v>9689</v>
      </c>
      <c r="G3018" s="5">
        <v>783140</v>
      </c>
    </row>
    <row r="3019" spans="1:7" x14ac:dyDescent="0.2">
      <c r="A3019">
        <v>1701</v>
      </c>
      <c r="B3019" t="s">
        <v>629</v>
      </c>
      <c r="C3019" t="s">
        <v>701</v>
      </c>
      <c r="D3019" s="5">
        <v>22238</v>
      </c>
      <c r="E3019" s="5">
        <v>19750</v>
      </c>
      <c r="F3019" s="5">
        <v>486</v>
      </c>
      <c r="G3019" s="5">
        <v>42473</v>
      </c>
    </row>
    <row r="3020" spans="1:7" x14ac:dyDescent="0.2">
      <c r="A3020">
        <v>1701</v>
      </c>
      <c r="B3020" t="s">
        <v>629</v>
      </c>
      <c r="C3020" t="s">
        <v>703</v>
      </c>
      <c r="D3020" s="5">
        <v>2134</v>
      </c>
      <c r="E3020" s="5">
        <v>11272</v>
      </c>
      <c r="F3020" s="5">
        <v>0</v>
      </c>
      <c r="G3020" s="5">
        <v>13406</v>
      </c>
    </row>
    <row r="3021" spans="1:7" x14ac:dyDescent="0.2">
      <c r="A3021">
        <v>1701</v>
      </c>
      <c r="B3021" t="s">
        <v>629</v>
      </c>
      <c r="C3021" t="s">
        <v>704</v>
      </c>
      <c r="D3021" s="5">
        <v>40895</v>
      </c>
      <c r="E3021" s="5">
        <v>32024</v>
      </c>
      <c r="F3021" s="5">
        <v>6057</v>
      </c>
      <c r="G3021" s="5">
        <v>78977</v>
      </c>
    </row>
    <row r="3022" spans="1:7" x14ac:dyDescent="0.2">
      <c r="A3022">
        <v>1701</v>
      </c>
      <c r="B3022" t="s">
        <v>629</v>
      </c>
      <c r="C3022" t="s">
        <v>705</v>
      </c>
      <c r="D3022" s="5">
        <v>5765</v>
      </c>
      <c r="E3022" s="5">
        <v>7490</v>
      </c>
      <c r="F3022" s="5">
        <v>0</v>
      </c>
      <c r="G3022" s="5">
        <v>13255</v>
      </c>
    </row>
    <row r="3023" spans="1:7" x14ac:dyDescent="0.2">
      <c r="A3023">
        <v>1701</v>
      </c>
      <c r="B3023" t="s">
        <v>629</v>
      </c>
      <c r="C3023" t="s">
        <v>707</v>
      </c>
      <c r="D3023" s="5">
        <v>52220</v>
      </c>
      <c r="E3023" s="5">
        <v>36906</v>
      </c>
      <c r="F3023" s="5">
        <v>1790</v>
      </c>
      <c r="G3023" s="5">
        <v>90915</v>
      </c>
    </row>
    <row r="3024" spans="1:7" x14ac:dyDescent="0.2">
      <c r="A3024">
        <v>1701</v>
      </c>
      <c r="B3024" t="s">
        <v>629</v>
      </c>
      <c r="C3024" t="s">
        <v>708</v>
      </c>
      <c r="D3024" s="5">
        <v>2378</v>
      </c>
      <c r="E3024" s="5">
        <v>9886</v>
      </c>
      <c r="F3024" s="5">
        <v>0</v>
      </c>
      <c r="G3024" s="5">
        <v>12264</v>
      </c>
    </row>
    <row r="3025" spans="1:7" x14ac:dyDescent="0.2">
      <c r="A3025">
        <v>1701</v>
      </c>
      <c r="B3025" t="s">
        <v>629</v>
      </c>
      <c r="C3025" t="s">
        <v>709</v>
      </c>
      <c r="D3025" s="5">
        <v>4560</v>
      </c>
      <c r="E3025" s="5">
        <v>4846</v>
      </c>
      <c r="F3025" s="5">
        <v>66</v>
      </c>
      <c r="G3025" s="5">
        <v>9472</v>
      </c>
    </row>
    <row r="3026" spans="1:7" x14ac:dyDescent="0.2">
      <c r="A3026">
        <v>1701</v>
      </c>
      <c r="B3026" t="s">
        <v>629</v>
      </c>
      <c r="C3026" t="s">
        <v>710</v>
      </c>
      <c r="D3026" s="5">
        <v>2049</v>
      </c>
      <c r="E3026" s="5">
        <v>5353</v>
      </c>
      <c r="F3026" s="5">
        <v>13</v>
      </c>
      <c r="G3026" s="5">
        <v>7415</v>
      </c>
    </row>
    <row r="3027" spans="1:7" x14ac:dyDescent="0.2">
      <c r="A3027">
        <v>1701</v>
      </c>
      <c r="B3027" t="s">
        <v>629</v>
      </c>
      <c r="C3027" t="s">
        <v>711</v>
      </c>
      <c r="D3027" s="5">
        <v>0</v>
      </c>
      <c r="E3027" s="5">
        <v>98</v>
      </c>
      <c r="F3027" s="5">
        <v>0</v>
      </c>
      <c r="G3027" s="5">
        <v>98</v>
      </c>
    </row>
    <row r="3028" spans="1:7" x14ac:dyDescent="0.2">
      <c r="A3028">
        <v>1701</v>
      </c>
      <c r="B3028" t="s">
        <v>629</v>
      </c>
      <c r="C3028" t="s">
        <v>712</v>
      </c>
      <c r="D3028" s="5">
        <v>7812</v>
      </c>
      <c r="E3028" s="5">
        <v>29458</v>
      </c>
      <c r="F3028" s="5">
        <v>2054</v>
      </c>
      <c r="G3028" s="5">
        <v>39324</v>
      </c>
    </row>
    <row r="3029" spans="1:7" x14ac:dyDescent="0.2">
      <c r="A3029">
        <v>1702</v>
      </c>
      <c r="B3029" s="9" t="s">
        <v>309</v>
      </c>
      <c r="C3029" t="s">
        <v>700</v>
      </c>
      <c r="D3029" s="5">
        <v>870027</v>
      </c>
      <c r="E3029" s="5">
        <v>707167</v>
      </c>
      <c r="F3029" s="5">
        <v>33454</v>
      </c>
      <c r="G3029" s="5">
        <v>1610648</v>
      </c>
    </row>
    <row r="3030" spans="1:7" x14ac:dyDescent="0.2">
      <c r="A3030">
        <v>1702</v>
      </c>
      <c r="B3030" s="9" t="s">
        <v>309</v>
      </c>
      <c r="C3030" t="s">
        <v>701</v>
      </c>
      <c r="D3030" s="5">
        <v>1229</v>
      </c>
      <c r="E3030" s="5">
        <v>1059</v>
      </c>
      <c r="F3030" s="5">
        <v>0</v>
      </c>
      <c r="G3030" s="5">
        <v>2289</v>
      </c>
    </row>
    <row r="3031" spans="1:7" x14ac:dyDescent="0.2">
      <c r="A3031">
        <v>1702</v>
      </c>
      <c r="B3031" s="9" t="s">
        <v>309</v>
      </c>
      <c r="C3031" t="s">
        <v>703</v>
      </c>
      <c r="D3031" s="5">
        <v>1667</v>
      </c>
      <c r="E3031" s="5">
        <v>1824</v>
      </c>
      <c r="F3031" s="5">
        <v>0</v>
      </c>
      <c r="G3031" s="5">
        <v>3491</v>
      </c>
    </row>
    <row r="3032" spans="1:7" x14ac:dyDescent="0.2">
      <c r="A3032">
        <v>1702</v>
      </c>
      <c r="B3032" s="9" t="s">
        <v>309</v>
      </c>
      <c r="C3032" t="s">
        <v>704</v>
      </c>
      <c r="D3032" s="5">
        <v>45451</v>
      </c>
      <c r="E3032" s="5">
        <v>103352</v>
      </c>
      <c r="F3032" s="5">
        <v>0</v>
      </c>
      <c r="G3032" s="5">
        <v>148802</v>
      </c>
    </row>
    <row r="3033" spans="1:7" x14ac:dyDescent="0.2">
      <c r="A3033">
        <v>1702</v>
      </c>
      <c r="B3033" s="9" t="s">
        <v>309</v>
      </c>
      <c r="C3033" t="s">
        <v>705</v>
      </c>
      <c r="D3033" s="5">
        <v>5909</v>
      </c>
      <c r="E3033" s="5">
        <v>14955</v>
      </c>
      <c r="F3033" s="5">
        <v>0</v>
      </c>
      <c r="G3033" s="5">
        <v>20864</v>
      </c>
    </row>
    <row r="3034" spans="1:7" x14ac:dyDescent="0.2">
      <c r="A3034">
        <v>1702</v>
      </c>
      <c r="B3034" s="9" t="s">
        <v>309</v>
      </c>
      <c r="C3034" t="s">
        <v>707</v>
      </c>
      <c r="D3034" s="5">
        <v>1001</v>
      </c>
      <c r="E3034" s="5">
        <v>287</v>
      </c>
      <c r="F3034" s="5">
        <v>70</v>
      </c>
      <c r="G3034" s="5">
        <v>1358</v>
      </c>
    </row>
    <row r="3035" spans="1:7" x14ac:dyDescent="0.2">
      <c r="A3035">
        <v>1702</v>
      </c>
      <c r="B3035" s="9" t="s">
        <v>309</v>
      </c>
      <c r="C3035" t="s">
        <v>708</v>
      </c>
      <c r="D3035" s="5">
        <v>1627</v>
      </c>
      <c r="E3035" s="5">
        <v>9349</v>
      </c>
      <c r="F3035" s="5">
        <v>0</v>
      </c>
      <c r="G3035" s="5">
        <v>10976</v>
      </c>
    </row>
    <row r="3036" spans="1:7" x14ac:dyDescent="0.2">
      <c r="A3036">
        <v>1702</v>
      </c>
      <c r="B3036" s="9" t="s">
        <v>309</v>
      </c>
      <c r="C3036" t="s">
        <v>709</v>
      </c>
      <c r="D3036" s="5">
        <v>65569</v>
      </c>
      <c r="E3036" s="5">
        <v>69483</v>
      </c>
      <c r="F3036" s="5">
        <v>36</v>
      </c>
      <c r="G3036" s="5">
        <v>135088</v>
      </c>
    </row>
    <row r="3037" spans="1:7" x14ac:dyDescent="0.2">
      <c r="A3037">
        <v>1702</v>
      </c>
      <c r="B3037" s="9" t="s">
        <v>309</v>
      </c>
      <c r="C3037" t="s">
        <v>710</v>
      </c>
      <c r="D3037" s="5">
        <v>7873</v>
      </c>
      <c r="E3037" s="5">
        <v>12689</v>
      </c>
      <c r="F3037" s="5">
        <v>0</v>
      </c>
      <c r="G3037" s="5">
        <v>20562</v>
      </c>
    </row>
    <row r="3038" spans="1:7" x14ac:dyDescent="0.2">
      <c r="A3038">
        <v>1702</v>
      </c>
      <c r="B3038" s="9" t="s">
        <v>309</v>
      </c>
      <c r="C3038" t="s">
        <v>712</v>
      </c>
      <c r="D3038" s="5">
        <v>13099</v>
      </c>
      <c r="E3038" s="5">
        <v>16551</v>
      </c>
      <c r="F3038" s="5">
        <v>0</v>
      </c>
      <c r="G3038" s="5">
        <v>29650</v>
      </c>
    </row>
    <row r="3039" spans="1:7" x14ac:dyDescent="0.2">
      <c r="A3039">
        <v>1705</v>
      </c>
      <c r="B3039" t="s">
        <v>333</v>
      </c>
      <c r="C3039" t="s">
        <v>700</v>
      </c>
      <c r="D3039" s="5">
        <v>1103734</v>
      </c>
      <c r="E3039" s="5">
        <v>673895</v>
      </c>
      <c r="F3039" s="5">
        <v>5889</v>
      </c>
      <c r="G3039" s="5">
        <v>1783519</v>
      </c>
    </row>
    <row r="3040" spans="1:7" x14ac:dyDescent="0.2">
      <c r="A3040">
        <v>1705</v>
      </c>
      <c r="B3040" t="s">
        <v>333</v>
      </c>
      <c r="C3040" t="s">
        <v>701</v>
      </c>
      <c r="D3040" s="5">
        <v>14833</v>
      </c>
      <c r="E3040" s="5">
        <v>31898</v>
      </c>
      <c r="F3040" s="5">
        <v>0</v>
      </c>
      <c r="G3040" s="5">
        <v>46731</v>
      </c>
    </row>
    <row r="3041" spans="1:7" x14ac:dyDescent="0.2">
      <c r="A3041">
        <v>1705</v>
      </c>
      <c r="B3041" t="s">
        <v>333</v>
      </c>
      <c r="C3041" t="s">
        <v>703</v>
      </c>
      <c r="D3041" s="5">
        <v>3345</v>
      </c>
      <c r="E3041" s="5">
        <v>3412</v>
      </c>
      <c r="F3041" s="5">
        <v>0</v>
      </c>
      <c r="G3041" s="5">
        <v>6756</v>
      </c>
    </row>
    <row r="3042" spans="1:7" x14ac:dyDescent="0.2">
      <c r="A3042">
        <v>1705</v>
      </c>
      <c r="B3042" t="s">
        <v>333</v>
      </c>
      <c r="C3042" t="s">
        <v>704</v>
      </c>
      <c r="D3042" s="5">
        <v>599105</v>
      </c>
      <c r="E3042" s="5">
        <v>440580</v>
      </c>
      <c r="F3042" s="5">
        <v>31093</v>
      </c>
      <c r="G3042" s="5">
        <v>1070777</v>
      </c>
    </row>
    <row r="3043" spans="1:7" x14ac:dyDescent="0.2">
      <c r="A3043">
        <v>1705</v>
      </c>
      <c r="B3043" t="s">
        <v>333</v>
      </c>
      <c r="C3043" t="s">
        <v>705</v>
      </c>
      <c r="D3043" s="5">
        <v>5700</v>
      </c>
      <c r="E3043" s="5">
        <v>41657</v>
      </c>
      <c r="F3043" s="5">
        <v>4865</v>
      </c>
      <c r="G3043" s="5">
        <v>52222</v>
      </c>
    </row>
    <row r="3044" spans="1:7" x14ac:dyDescent="0.2">
      <c r="A3044">
        <v>1705</v>
      </c>
      <c r="B3044" t="s">
        <v>333</v>
      </c>
      <c r="C3044" t="s">
        <v>707</v>
      </c>
      <c r="D3044" s="5">
        <v>118386</v>
      </c>
      <c r="E3044" s="5">
        <v>0</v>
      </c>
      <c r="F3044" s="5">
        <v>0</v>
      </c>
      <c r="G3044" s="5">
        <v>118386</v>
      </c>
    </row>
    <row r="3045" spans="1:7" x14ac:dyDescent="0.2">
      <c r="A3045">
        <v>1705</v>
      </c>
      <c r="B3045" t="s">
        <v>333</v>
      </c>
      <c r="C3045" t="s">
        <v>708</v>
      </c>
      <c r="D3045" s="5">
        <v>4497</v>
      </c>
      <c r="E3045" s="5">
        <v>42447</v>
      </c>
      <c r="F3045" s="5">
        <v>305</v>
      </c>
      <c r="G3045" s="5">
        <v>47249</v>
      </c>
    </row>
    <row r="3046" spans="1:7" x14ac:dyDescent="0.2">
      <c r="A3046">
        <v>1705</v>
      </c>
      <c r="B3046" t="s">
        <v>333</v>
      </c>
      <c r="C3046" t="s">
        <v>709</v>
      </c>
      <c r="D3046" s="5">
        <v>5541</v>
      </c>
      <c r="E3046" s="5">
        <v>25898</v>
      </c>
      <c r="F3046" s="5">
        <v>54</v>
      </c>
      <c r="G3046" s="5">
        <v>31492</v>
      </c>
    </row>
    <row r="3047" spans="1:7" x14ac:dyDescent="0.2">
      <c r="A3047">
        <v>1705</v>
      </c>
      <c r="B3047" t="s">
        <v>333</v>
      </c>
      <c r="C3047" t="s">
        <v>710</v>
      </c>
      <c r="D3047" s="5">
        <v>679</v>
      </c>
      <c r="E3047" s="5">
        <v>17124</v>
      </c>
      <c r="F3047" s="5">
        <v>0</v>
      </c>
      <c r="G3047" s="5">
        <v>17803</v>
      </c>
    </row>
    <row r="3048" spans="1:7" x14ac:dyDescent="0.2">
      <c r="A3048">
        <v>1705</v>
      </c>
      <c r="B3048" t="s">
        <v>333</v>
      </c>
      <c r="C3048" t="s">
        <v>712</v>
      </c>
      <c r="D3048" s="5">
        <v>18464</v>
      </c>
      <c r="E3048" s="5">
        <v>93443</v>
      </c>
      <c r="F3048" s="5">
        <v>0</v>
      </c>
      <c r="G3048" s="5">
        <v>111907</v>
      </c>
    </row>
    <row r="3049" spans="1:7" x14ac:dyDescent="0.2">
      <c r="A3049">
        <v>1706</v>
      </c>
      <c r="B3049" t="s">
        <v>117</v>
      </c>
      <c r="C3049" t="s">
        <v>700</v>
      </c>
      <c r="D3049" s="5">
        <v>396561</v>
      </c>
      <c r="E3049" s="5">
        <v>263957</v>
      </c>
      <c r="F3049" s="5">
        <v>14855</v>
      </c>
      <c r="G3049" s="5">
        <v>675374</v>
      </c>
    </row>
    <row r="3050" spans="1:7" x14ac:dyDescent="0.2">
      <c r="A3050">
        <v>1706</v>
      </c>
      <c r="B3050" t="s">
        <v>117</v>
      </c>
      <c r="C3050" t="s">
        <v>701</v>
      </c>
      <c r="D3050" s="5">
        <v>9694</v>
      </c>
      <c r="E3050" s="5">
        <v>20133</v>
      </c>
      <c r="F3050" s="5">
        <v>0</v>
      </c>
      <c r="G3050" s="5">
        <v>29827</v>
      </c>
    </row>
    <row r="3051" spans="1:7" x14ac:dyDescent="0.2">
      <c r="A3051">
        <v>1706</v>
      </c>
      <c r="B3051" t="s">
        <v>117</v>
      </c>
      <c r="C3051" t="s">
        <v>703</v>
      </c>
      <c r="D3051" s="5">
        <v>185</v>
      </c>
      <c r="E3051" s="5">
        <v>7052</v>
      </c>
      <c r="F3051" s="5">
        <v>0</v>
      </c>
      <c r="G3051" s="5">
        <v>7238</v>
      </c>
    </row>
    <row r="3052" spans="1:7" x14ac:dyDescent="0.2">
      <c r="A3052">
        <v>1706</v>
      </c>
      <c r="B3052" t="s">
        <v>117</v>
      </c>
      <c r="C3052" t="s">
        <v>704</v>
      </c>
      <c r="D3052" s="5">
        <v>56667</v>
      </c>
      <c r="E3052" s="5">
        <v>257198</v>
      </c>
      <c r="F3052" s="5">
        <v>1041</v>
      </c>
      <c r="G3052" s="5">
        <v>314906</v>
      </c>
    </row>
    <row r="3053" spans="1:7" x14ac:dyDescent="0.2">
      <c r="A3053">
        <v>1706</v>
      </c>
      <c r="B3053" t="s">
        <v>117</v>
      </c>
      <c r="C3053" t="s">
        <v>705</v>
      </c>
      <c r="D3053" s="5">
        <v>12342</v>
      </c>
      <c r="E3053" s="5">
        <v>205338</v>
      </c>
      <c r="F3053" s="5">
        <v>826</v>
      </c>
      <c r="G3053" s="5">
        <v>218506</v>
      </c>
    </row>
    <row r="3054" spans="1:7" x14ac:dyDescent="0.2">
      <c r="A3054">
        <v>1706</v>
      </c>
      <c r="B3054" t="s">
        <v>117</v>
      </c>
      <c r="C3054" t="s">
        <v>707</v>
      </c>
      <c r="D3054" s="5">
        <v>1750</v>
      </c>
      <c r="E3054" s="5">
        <v>18619</v>
      </c>
      <c r="F3054" s="5">
        <v>0</v>
      </c>
      <c r="G3054" s="5">
        <v>20369</v>
      </c>
    </row>
    <row r="3055" spans="1:7" x14ac:dyDescent="0.2">
      <c r="A3055">
        <v>1706</v>
      </c>
      <c r="B3055" t="s">
        <v>117</v>
      </c>
      <c r="C3055" t="s">
        <v>708</v>
      </c>
      <c r="D3055" s="5">
        <v>0</v>
      </c>
      <c r="E3055" s="5">
        <v>20770</v>
      </c>
      <c r="F3055" s="5">
        <v>0</v>
      </c>
      <c r="G3055" s="5">
        <v>20770</v>
      </c>
    </row>
    <row r="3056" spans="1:7" x14ac:dyDescent="0.2">
      <c r="A3056">
        <v>1706</v>
      </c>
      <c r="B3056" t="s">
        <v>117</v>
      </c>
      <c r="C3056" t="s">
        <v>709</v>
      </c>
      <c r="D3056" s="5">
        <v>3249</v>
      </c>
      <c r="E3056" s="5">
        <v>14810</v>
      </c>
      <c r="F3056" s="5">
        <v>79</v>
      </c>
      <c r="G3056" s="5">
        <v>18138</v>
      </c>
    </row>
    <row r="3057" spans="1:7" x14ac:dyDescent="0.2">
      <c r="A3057">
        <v>1706</v>
      </c>
      <c r="B3057" t="s">
        <v>117</v>
      </c>
      <c r="C3057" t="s">
        <v>710</v>
      </c>
      <c r="D3057" s="5">
        <v>163</v>
      </c>
      <c r="E3057" s="5">
        <v>19132</v>
      </c>
      <c r="F3057" s="5">
        <v>0</v>
      </c>
      <c r="G3057" s="5">
        <v>19295</v>
      </c>
    </row>
    <row r="3058" spans="1:7" x14ac:dyDescent="0.2">
      <c r="A3058">
        <v>1706</v>
      </c>
      <c r="B3058" t="s">
        <v>117</v>
      </c>
      <c r="C3058" t="s">
        <v>711</v>
      </c>
      <c r="D3058" s="5">
        <v>0</v>
      </c>
      <c r="E3058" s="5">
        <v>453</v>
      </c>
      <c r="F3058" s="5">
        <v>0</v>
      </c>
      <c r="G3058" s="5">
        <v>453</v>
      </c>
    </row>
    <row r="3059" spans="1:7" x14ac:dyDescent="0.2">
      <c r="A3059">
        <v>1706</v>
      </c>
      <c r="B3059" t="s">
        <v>117</v>
      </c>
      <c r="C3059" t="s">
        <v>712</v>
      </c>
      <c r="D3059" s="5">
        <v>10469</v>
      </c>
      <c r="E3059" s="5">
        <v>68532</v>
      </c>
      <c r="F3059" s="5">
        <v>0</v>
      </c>
      <c r="G3059" s="5">
        <v>79001</v>
      </c>
    </row>
    <row r="3060" spans="1:7" x14ac:dyDescent="0.2">
      <c r="A3060">
        <v>1708</v>
      </c>
      <c r="B3060" t="s">
        <v>529</v>
      </c>
      <c r="C3060" t="s">
        <v>700</v>
      </c>
      <c r="D3060" s="5">
        <v>799535</v>
      </c>
      <c r="E3060" s="5">
        <v>476115</v>
      </c>
      <c r="F3060" s="5">
        <v>13361</v>
      </c>
      <c r="G3060" s="5">
        <v>1289010</v>
      </c>
    </row>
    <row r="3061" spans="1:7" x14ac:dyDescent="0.2">
      <c r="A3061">
        <v>1708</v>
      </c>
      <c r="B3061" t="s">
        <v>529</v>
      </c>
      <c r="C3061" t="s">
        <v>701</v>
      </c>
      <c r="D3061" s="5">
        <v>24902</v>
      </c>
      <c r="E3061" s="5">
        <v>29516</v>
      </c>
      <c r="F3061" s="5">
        <v>337</v>
      </c>
      <c r="G3061" s="5">
        <v>54755</v>
      </c>
    </row>
    <row r="3062" spans="1:7" x14ac:dyDescent="0.2">
      <c r="A3062">
        <v>1708</v>
      </c>
      <c r="B3062" t="s">
        <v>529</v>
      </c>
      <c r="C3062" t="s">
        <v>703</v>
      </c>
      <c r="D3062" s="5">
        <v>1189</v>
      </c>
      <c r="E3062" s="5">
        <v>6755</v>
      </c>
      <c r="F3062" s="5">
        <v>0</v>
      </c>
      <c r="G3062" s="5">
        <v>7943</v>
      </c>
    </row>
    <row r="3063" spans="1:7" x14ac:dyDescent="0.2">
      <c r="A3063">
        <v>1708</v>
      </c>
      <c r="B3063" t="s">
        <v>529</v>
      </c>
      <c r="C3063" t="s">
        <v>704</v>
      </c>
      <c r="D3063" s="5">
        <v>60490</v>
      </c>
      <c r="E3063" s="5">
        <v>207219</v>
      </c>
      <c r="F3063" s="5">
        <v>3979</v>
      </c>
      <c r="G3063" s="5">
        <v>271688</v>
      </c>
    </row>
    <row r="3064" spans="1:7" x14ac:dyDescent="0.2">
      <c r="A3064">
        <v>1708</v>
      </c>
      <c r="B3064" t="s">
        <v>529</v>
      </c>
      <c r="C3064" t="s">
        <v>705</v>
      </c>
      <c r="D3064" s="5">
        <v>8280</v>
      </c>
      <c r="E3064" s="5">
        <v>65308</v>
      </c>
      <c r="F3064" s="5">
        <v>538</v>
      </c>
      <c r="G3064" s="5">
        <v>74126</v>
      </c>
    </row>
    <row r="3065" spans="1:7" x14ac:dyDescent="0.2">
      <c r="A3065">
        <v>1708</v>
      </c>
      <c r="B3065" t="s">
        <v>529</v>
      </c>
      <c r="C3065" t="s">
        <v>706</v>
      </c>
      <c r="D3065" s="5">
        <v>0</v>
      </c>
      <c r="E3065" s="5">
        <v>43</v>
      </c>
      <c r="F3065" s="5">
        <v>0</v>
      </c>
      <c r="G3065" s="5">
        <v>43</v>
      </c>
    </row>
    <row r="3066" spans="1:7" x14ac:dyDescent="0.2">
      <c r="A3066">
        <v>1708</v>
      </c>
      <c r="B3066" t="s">
        <v>529</v>
      </c>
      <c r="C3066" t="s">
        <v>707</v>
      </c>
      <c r="D3066" s="5">
        <v>9655</v>
      </c>
      <c r="E3066" s="5">
        <v>16885</v>
      </c>
      <c r="F3066" s="5">
        <v>3464</v>
      </c>
      <c r="G3066" s="5">
        <v>30004</v>
      </c>
    </row>
    <row r="3067" spans="1:7" x14ac:dyDescent="0.2">
      <c r="A3067">
        <v>1708</v>
      </c>
      <c r="B3067" t="s">
        <v>529</v>
      </c>
      <c r="C3067" t="s">
        <v>708</v>
      </c>
      <c r="D3067" s="5">
        <v>8925</v>
      </c>
      <c r="E3067" s="5">
        <v>27183</v>
      </c>
      <c r="F3067" s="5">
        <v>0</v>
      </c>
      <c r="G3067" s="5">
        <v>36107</v>
      </c>
    </row>
    <row r="3068" spans="1:7" x14ac:dyDescent="0.2">
      <c r="A3068">
        <v>1708</v>
      </c>
      <c r="B3068" t="s">
        <v>529</v>
      </c>
      <c r="C3068" t="s">
        <v>709</v>
      </c>
      <c r="D3068" s="5">
        <v>9895</v>
      </c>
      <c r="E3068" s="5">
        <v>84927</v>
      </c>
      <c r="F3068" s="5">
        <v>265</v>
      </c>
      <c r="G3068" s="5">
        <v>95086</v>
      </c>
    </row>
    <row r="3069" spans="1:7" x14ac:dyDescent="0.2">
      <c r="A3069">
        <v>1708</v>
      </c>
      <c r="B3069" t="s">
        <v>529</v>
      </c>
      <c r="C3069" t="s">
        <v>710</v>
      </c>
      <c r="D3069" s="5">
        <v>3162</v>
      </c>
      <c r="E3069" s="5">
        <v>17968</v>
      </c>
      <c r="F3069" s="5">
        <v>0</v>
      </c>
      <c r="G3069" s="5">
        <v>21130</v>
      </c>
    </row>
    <row r="3070" spans="1:7" x14ac:dyDescent="0.2">
      <c r="A3070">
        <v>1708</v>
      </c>
      <c r="B3070" t="s">
        <v>529</v>
      </c>
      <c r="C3070" t="s">
        <v>711</v>
      </c>
      <c r="D3070" s="5">
        <v>176</v>
      </c>
      <c r="E3070" s="5">
        <v>464</v>
      </c>
      <c r="F3070" s="5">
        <v>0</v>
      </c>
      <c r="G3070" s="5">
        <v>640</v>
      </c>
    </row>
    <row r="3071" spans="1:7" x14ac:dyDescent="0.2">
      <c r="A3071">
        <v>1708</v>
      </c>
      <c r="B3071" t="s">
        <v>529</v>
      </c>
      <c r="C3071" t="s">
        <v>712</v>
      </c>
      <c r="D3071" s="5">
        <v>25693</v>
      </c>
      <c r="E3071" s="5">
        <v>89578</v>
      </c>
      <c r="F3071" s="5">
        <v>28780</v>
      </c>
      <c r="G3071" s="5">
        <v>144051</v>
      </c>
    </row>
    <row r="3072" spans="1:7" x14ac:dyDescent="0.2">
      <c r="A3072">
        <v>1709</v>
      </c>
      <c r="B3072" t="s">
        <v>371</v>
      </c>
      <c r="C3072" t="s">
        <v>700</v>
      </c>
      <c r="D3072" s="5">
        <v>665648</v>
      </c>
      <c r="E3072" s="5">
        <v>1167705</v>
      </c>
      <c r="F3072" s="5">
        <v>12446</v>
      </c>
      <c r="G3072" s="5">
        <v>1845799</v>
      </c>
    </row>
    <row r="3073" spans="1:7" x14ac:dyDescent="0.2">
      <c r="A3073">
        <v>1709</v>
      </c>
      <c r="B3073" t="s">
        <v>371</v>
      </c>
      <c r="C3073" t="s">
        <v>701</v>
      </c>
      <c r="D3073" s="5">
        <v>4339</v>
      </c>
      <c r="E3073" s="5">
        <v>24019</v>
      </c>
      <c r="F3073" s="5">
        <v>0</v>
      </c>
      <c r="G3073" s="5">
        <v>28358</v>
      </c>
    </row>
    <row r="3074" spans="1:7" x14ac:dyDescent="0.2">
      <c r="A3074">
        <v>1709</v>
      </c>
      <c r="B3074" t="s">
        <v>371</v>
      </c>
      <c r="C3074" t="s">
        <v>703</v>
      </c>
      <c r="D3074" s="5">
        <v>2033</v>
      </c>
      <c r="E3074" s="5">
        <v>6991</v>
      </c>
      <c r="F3074" s="5">
        <v>0</v>
      </c>
      <c r="G3074" s="5">
        <v>9024</v>
      </c>
    </row>
    <row r="3075" spans="1:7" x14ac:dyDescent="0.2">
      <c r="A3075">
        <v>1709</v>
      </c>
      <c r="B3075" t="s">
        <v>371</v>
      </c>
      <c r="C3075" t="s">
        <v>704</v>
      </c>
      <c r="D3075" s="5">
        <v>229225</v>
      </c>
      <c r="E3075" s="5">
        <v>1572855</v>
      </c>
      <c r="F3075" s="5">
        <v>4762</v>
      </c>
      <c r="G3075" s="5">
        <v>1806842</v>
      </c>
    </row>
    <row r="3076" spans="1:7" x14ac:dyDescent="0.2">
      <c r="A3076">
        <v>1709</v>
      </c>
      <c r="B3076" t="s">
        <v>371</v>
      </c>
      <c r="C3076" t="s">
        <v>705</v>
      </c>
      <c r="D3076" s="5">
        <v>6442</v>
      </c>
      <c r="E3076" s="5">
        <v>156822</v>
      </c>
      <c r="F3076" s="5">
        <v>0</v>
      </c>
      <c r="G3076" s="5">
        <v>163264</v>
      </c>
    </row>
    <row r="3077" spans="1:7" x14ac:dyDescent="0.2">
      <c r="A3077">
        <v>1709</v>
      </c>
      <c r="B3077" t="s">
        <v>371</v>
      </c>
      <c r="C3077" t="s">
        <v>707</v>
      </c>
      <c r="D3077" s="5">
        <v>2851</v>
      </c>
      <c r="E3077" s="5">
        <v>1765</v>
      </c>
      <c r="F3077" s="5">
        <v>0</v>
      </c>
      <c r="G3077" s="5">
        <v>4617</v>
      </c>
    </row>
    <row r="3078" spans="1:7" x14ac:dyDescent="0.2">
      <c r="A3078">
        <v>1709</v>
      </c>
      <c r="B3078" t="s">
        <v>371</v>
      </c>
      <c r="C3078" t="s">
        <v>708</v>
      </c>
      <c r="D3078" s="5">
        <v>3271</v>
      </c>
      <c r="E3078" s="5">
        <v>24146</v>
      </c>
      <c r="F3078" s="5">
        <v>0</v>
      </c>
      <c r="G3078" s="5">
        <v>27417</v>
      </c>
    </row>
    <row r="3079" spans="1:7" x14ac:dyDescent="0.2">
      <c r="A3079">
        <v>1709</v>
      </c>
      <c r="B3079" t="s">
        <v>371</v>
      </c>
      <c r="C3079" t="s">
        <v>709</v>
      </c>
      <c r="D3079" s="5">
        <v>47920</v>
      </c>
      <c r="E3079" s="5">
        <v>244841</v>
      </c>
      <c r="F3079" s="5">
        <v>54</v>
      </c>
      <c r="G3079" s="5">
        <v>292814</v>
      </c>
    </row>
    <row r="3080" spans="1:7" x14ac:dyDescent="0.2">
      <c r="A3080">
        <v>1709</v>
      </c>
      <c r="B3080" t="s">
        <v>371</v>
      </c>
      <c r="C3080" t="s">
        <v>710</v>
      </c>
      <c r="D3080" s="5">
        <v>2395</v>
      </c>
      <c r="E3080" s="5">
        <v>21766</v>
      </c>
      <c r="F3080" s="5">
        <v>0</v>
      </c>
      <c r="G3080" s="5">
        <v>24161</v>
      </c>
    </row>
    <row r="3081" spans="1:7" x14ac:dyDescent="0.2">
      <c r="A3081">
        <v>1709</v>
      </c>
      <c r="B3081" t="s">
        <v>371</v>
      </c>
      <c r="C3081" t="s">
        <v>711</v>
      </c>
      <c r="D3081" s="5">
        <v>0</v>
      </c>
      <c r="E3081" s="5">
        <v>115</v>
      </c>
      <c r="F3081" s="5">
        <v>0</v>
      </c>
      <c r="G3081" s="5">
        <v>115</v>
      </c>
    </row>
    <row r="3082" spans="1:7" x14ac:dyDescent="0.2">
      <c r="A3082">
        <v>1709</v>
      </c>
      <c r="B3082" t="s">
        <v>371</v>
      </c>
      <c r="C3082" t="s">
        <v>712</v>
      </c>
      <c r="D3082" s="5">
        <v>10270</v>
      </c>
      <c r="E3082" s="5">
        <v>35807</v>
      </c>
      <c r="F3082" s="5">
        <v>60</v>
      </c>
      <c r="G3082" s="5">
        <v>46137</v>
      </c>
    </row>
    <row r="3083" spans="1:7" x14ac:dyDescent="0.2">
      <c r="A3083">
        <v>1711</v>
      </c>
      <c r="B3083" t="s">
        <v>155</v>
      </c>
      <c r="C3083" t="s">
        <v>700</v>
      </c>
      <c r="D3083" s="5">
        <v>309978</v>
      </c>
      <c r="E3083" s="5">
        <v>299172</v>
      </c>
      <c r="F3083" s="5">
        <v>1381</v>
      </c>
      <c r="G3083" s="5">
        <v>610531</v>
      </c>
    </row>
    <row r="3084" spans="1:7" x14ac:dyDescent="0.2">
      <c r="A3084">
        <v>1711</v>
      </c>
      <c r="B3084" t="s">
        <v>155</v>
      </c>
      <c r="C3084" t="s">
        <v>701</v>
      </c>
      <c r="D3084" s="5">
        <v>14300</v>
      </c>
      <c r="E3084" s="5">
        <v>16190</v>
      </c>
      <c r="F3084" s="5">
        <v>0</v>
      </c>
      <c r="G3084" s="5">
        <v>30491</v>
      </c>
    </row>
    <row r="3085" spans="1:7" x14ac:dyDescent="0.2">
      <c r="A3085">
        <v>1711</v>
      </c>
      <c r="B3085" t="s">
        <v>155</v>
      </c>
      <c r="C3085" t="s">
        <v>703</v>
      </c>
      <c r="D3085" s="5">
        <v>2362</v>
      </c>
      <c r="E3085" s="5">
        <v>4978</v>
      </c>
      <c r="F3085" s="5">
        <v>0</v>
      </c>
      <c r="G3085" s="5">
        <v>7341</v>
      </c>
    </row>
    <row r="3086" spans="1:7" x14ac:dyDescent="0.2">
      <c r="A3086">
        <v>1711</v>
      </c>
      <c r="B3086" t="s">
        <v>155</v>
      </c>
      <c r="C3086" t="s">
        <v>704</v>
      </c>
      <c r="D3086" s="5">
        <v>37372</v>
      </c>
      <c r="E3086" s="5">
        <v>329356</v>
      </c>
      <c r="F3086" s="5">
        <v>100</v>
      </c>
      <c r="G3086" s="5">
        <v>366827</v>
      </c>
    </row>
    <row r="3087" spans="1:7" x14ac:dyDescent="0.2">
      <c r="A3087">
        <v>1711</v>
      </c>
      <c r="B3087" t="s">
        <v>155</v>
      </c>
      <c r="C3087" t="s">
        <v>705</v>
      </c>
      <c r="D3087" s="5">
        <v>6354</v>
      </c>
      <c r="E3087" s="5">
        <v>118570</v>
      </c>
      <c r="F3087" s="5">
        <v>0</v>
      </c>
      <c r="G3087" s="5">
        <v>124924</v>
      </c>
    </row>
    <row r="3088" spans="1:7" x14ac:dyDescent="0.2">
      <c r="A3088">
        <v>1711</v>
      </c>
      <c r="B3088" t="s">
        <v>155</v>
      </c>
      <c r="C3088" t="s">
        <v>707</v>
      </c>
      <c r="D3088" s="5">
        <v>26024</v>
      </c>
      <c r="E3088" s="5">
        <v>26690</v>
      </c>
      <c r="F3088" s="5">
        <v>0</v>
      </c>
      <c r="G3088" s="5">
        <v>52714</v>
      </c>
    </row>
    <row r="3089" spans="1:7" x14ac:dyDescent="0.2">
      <c r="A3089">
        <v>1711</v>
      </c>
      <c r="B3089" t="s">
        <v>155</v>
      </c>
      <c r="C3089" t="s">
        <v>708</v>
      </c>
      <c r="D3089" s="5">
        <v>346</v>
      </c>
      <c r="E3089" s="5">
        <v>25174</v>
      </c>
      <c r="F3089" s="5">
        <v>0</v>
      </c>
      <c r="G3089" s="5">
        <v>25520</v>
      </c>
    </row>
    <row r="3090" spans="1:7" x14ac:dyDescent="0.2">
      <c r="A3090">
        <v>1711</v>
      </c>
      <c r="B3090" t="s">
        <v>155</v>
      </c>
      <c r="C3090" t="s">
        <v>709</v>
      </c>
      <c r="D3090" s="5">
        <v>11247</v>
      </c>
      <c r="E3090" s="5">
        <v>56319</v>
      </c>
      <c r="F3090" s="5">
        <v>19</v>
      </c>
      <c r="G3090" s="5">
        <v>67584</v>
      </c>
    </row>
    <row r="3091" spans="1:7" x14ac:dyDescent="0.2">
      <c r="A3091">
        <v>1711</v>
      </c>
      <c r="B3091" t="s">
        <v>155</v>
      </c>
      <c r="C3091" t="s">
        <v>710</v>
      </c>
      <c r="D3091" s="5">
        <v>413</v>
      </c>
      <c r="E3091" s="5">
        <v>25206</v>
      </c>
      <c r="F3091" s="5">
        <v>0</v>
      </c>
      <c r="G3091" s="5">
        <v>25619</v>
      </c>
    </row>
    <row r="3092" spans="1:7" x14ac:dyDescent="0.2">
      <c r="A3092">
        <v>1711</v>
      </c>
      <c r="B3092" t="s">
        <v>155</v>
      </c>
      <c r="C3092" t="s">
        <v>711</v>
      </c>
      <c r="D3092" s="5">
        <v>0</v>
      </c>
      <c r="E3092" s="5">
        <v>201</v>
      </c>
      <c r="F3092" s="5">
        <v>0</v>
      </c>
      <c r="G3092" s="5">
        <v>201</v>
      </c>
    </row>
    <row r="3093" spans="1:7" x14ac:dyDescent="0.2">
      <c r="A3093">
        <v>1711</v>
      </c>
      <c r="B3093" t="s">
        <v>155</v>
      </c>
      <c r="C3093" t="s">
        <v>712</v>
      </c>
      <c r="D3093" s="5">
        <v>17339</v>
      </c>
      <c r="E3093" s="5">
        <v>108040</v>
      </c>
      <c r="F3093" s="5">
        <v>224</v>
      </c>
      <c r="G3093" s="5">
        <v>125603</v>
      </c>
    </row>
    <row r="3094" spans="1:7" x14ac:dyDescent="0.2">
      <c r="A3094">
        <v>1714</v>
      </c>
      <c r="B3094" t="s">
        <v>511</v>
      </c>
      <c r="C3094" t="s">
        <v>700</v>
      </c>
      <c r="D3094" s="5">
        <v>596364</v>
      </c>
      <c r="E3094" s="5">
        <v>500178</v>
      </c>
      <c r="F3094" s="5">
        <v>18228</v>
      </c>
      <c r="G3094" s="5">
        <v>1114771</v>
      </c>
    </row>
    <row r="3095" spans="1:7" x14ac:dyDescent="0.2">
      <c r="A3095">
        <v>1714</v>
      </c>
      <c r="B3095" t="s">
        <v>511</v>
      </c>
      <c r="C3095" t="s">
        <v>701</v>
      </c>
      <c r="D3095" s="5">
        <v>39235</v>
      </c>
      <c r="E3095" s="5">
        <v>33479</v>
      </c>
      <c r="F3095" s="5">
        <v>670</v>
      </c>
      <c r="G3095" s="5">
        <v>73385</v>
      </c>
    </row>
    <row r="3096" spans="1:7" x14ac:dyDescent="0.2">
      <c r="A3096">
        <v>1714</v>
      </c>
      <c r="B3096" t="s">
        <v>511</v>
      </c>
      <c r="C3096" t="s">
        <v>703</v>
      </c>
      <c r="D3096" s="5">
        <v>934</v>
      </c>
      <c r="E3096" s="5">
        <v>1967</v>
      </c>
      <c r="F3096" s="5">
        <v>0</v>
      </c>
      <c r="G3096" s="5">
        <v>2901</v>
      </c>
    </row>
    <row r="3097" spans="1:7" x14ac:dyDescent="0.2">
      <c r="A3097">
        <v>1714</v>
      </c>
      <c r="B3097" t="s">
        <v>511</v>
      </c>
      <c r="C3097" t="s">
        <v>704</v>
      </c>
      <c r="D3097" s="5">
        <v>70633</v>
      </c>
      <c r="E3097" s="5">
        <v>208936</v>
      </c>
      <c r="F3097" s="5">
        <v>5353</v>
      </c>
      <c r="G3097" s="5">
        <v>284922</v>
      </c>
    </row>
    <row r="3098" spans="1:7" x14ac:dyDescent="0.2">
      <c r="A3098">
        <v>1714</v>
      </c>
      <c r="B3098" t="s">
        <v>511</v>
      </c>
      <c r="C3098" t="s">
        <v>705</v>
      </c>
      <c r="D3098" s="5">
        <v>13473</v>
      </c>
      <c r="E3098" s="5">
        <v>25225</v>
      </c>
      <c r="F3098" s="5">
        <v>418</v>
      </c>
      <c r="G3098" s="5">
        <v>39116</v>
      </c>
    </row>
    <row r="3099" spans="1:7" x14ac:dyDescent="0.2">
      <c r="A3099">
        <v>1714</v>
      </c>
      <c r="B3099" t="s">
        <v>511</v>
      </c>
      <c r="C3099" t="s">
        <v>707</v>
      </c>
      <c r="D3099" s="5">
        <v>65884</v>
      </c>
      <c r="E3099" s="5">
        <v>47664</v>
      </c>
      <c r="F3099" s="5">
        <v>11279</v>
      </c>
      <c r="G3099" s="5">
        <v>124827</v>
      </c>
    </row>
    <row r="3100" spans="1:7" x14ac:dyDescent="0.2">
      <c r="A3100">
        <v>1714</v>
      </c>
      <c r="B3100" t="s">
        <v>511</v>
      </c>
      <c r="C3100" t="s">
        <v>708</v>
      </c>
      <c r="D3100" s="5">
        <v>1960</v>
      </c>
      <c r="E3100" s="5">
        <v>12178</v>
      </c>
      <c r="F3100" s="5">
        <v>0</v>
      </c>
      <c r="G3100" s="5">
        <v>14138</v>
      </c>
    </row>
    <row r="3101" spans="1:7" x14ac:dyDescent="0.2">
      <c r="A3101">
        <v>1714</v>
      </c>
      <c r="B3101" t="s">
        <v>511</v>
      </c>
      <c r="C3101" t="s">
        <v>709</v>
      </c>
      <c r="D3101" s="5">
        <v>20127</v>
      </c>
      <c r="E3101" s="5">
        <v>34968</v>
      </c>
      <c r="F3101" s="5">
        <v>3286</v>
      </c>
      <c r="G3101" s="5">
        <v>58381</v>
      </c>
    </row>
    <row r="3102" spans="1:7" x14ac:dyDescent="0.2">
      <c r="A3102">
        <v>1714</v>
      </c>
      <c r="B3102" t="s">
        <v>511</v>
      </c>
      <c r="C3102" t="s">
        <v>710</v>
      </c>
      <c r="D3102" s="5">
        <v>1908</v>
      </c>
      <c r="E3102" s="5">
        <v>18874</v>
      </c>
      <c r="F3102" s="5">
        <v>0</v>
      </c>
      <c r="G3102" s="5">
        <v>20782</v>
      </c>
    </row>
    <row r="3103" spans="1:7" x14ac:dyDescent="0.2">
      <c r="A3103">
        <v>1714</v>
      </c>
      <c r="B3103" t="s">
        <v>511</v>
      </c>
      <c r="C3103" t="s">
        <v>712</v>
      </c>
      <c r="D3103" s="5">
        <v>36144</v>
      </c>
      <c r="E3103" s="5">
        <v>106352</v>
      </c>
      <c r="F3103" s="5">
        <v>156</v>
      </c>
      <c r="G3103" s="5">
        <v>142652</v>
      </c>
    </row>
    <row r="3104" spans="1:7" x14ac:dyDescent="0.2">
      <c r="A3104">
        <v>1719</v>
      </c>
      <c r="B3104" t="s">
        <v>147</v>
      </c>
      <c r="C3104" t="s">
        <v>700</v>
      </c>
      <c r="D3104" s="5">
        <v>856365</v>
      </c>
      <c r="E3104" s="5">
        <v>538659</v>
      </c>
      <c r="F3104" s="5">
        <v>10322</v>
      </c>
      <c r="G3104" s="5">
        <v>1405345</v>
      </c>
    </row>
    <row r="3105" spans="1:7" x14ac:dyDescent="0.2">
      <c r="A3105">
        <v>1719</v>
      </c>
      <c r="B3105" t="s">
        <v>147</v>
      </c>
      <c r="C3105" t="s">
        <v>701</v>
      </c>
      <c r="D3105" s="5">
        <v>10910</v>
      </c>
      <c r="E3105" s="5">
        <v>12496</v>
      </c>
      <c r="F3105" s="5">
        <v>0</v>
      </c>
      <c r="G3105" s="5">
        <v>23406</v>
      </c>
    </row>
    <row r="3106" spans="1:7" x14ac:dyDescent="0.2">
      <c r="A3106">
        <v>1719</v>
      </c>
      <c r="B3106" t="s">
        <v>147</v>
      </c>
      <c r="C3106" t="s">
        <v>703</v>
      </c>
      <c r="D3106" s="5">
        <v>939</v>
      </c>
      <c r="E3106" s="5">
        <v>9208</v>
      </c>
      <c r="F3106" s="5">
        <v>0</v>
      </c>
      <c r="G3106" s="5">
        <v>10147</v>
      </c>
    </row>
    <row r="3107" spans="1:7" x14ac:dyDescent="0.2">
      <c r="A3107">
        <v>1719</v>
      </c>
      <c r="B3107" t="s">
        <v>147</v>
      </c>
      <c r="C3107" t="s">
        <v>704</v>
      </c>
      <c r="D3107" s="5">
        <v>681514</v>
      </c>
      <c r="E3107" s="5">
        <v>386235</v>
      </c>
      <c r="F3107" s="5">
        <v>0</v>
      </c>
      <c r="G3107" s="5">
        <v>1067749</v>
      </c>
    </row>
    <row r="3108" spans="1:7" x14ac:dyDescent="0.2">
      <c r="A3108">
        <v>1719</v>
      </c>
      <c r="B3108" t="s">
        <v>147</v>
      </c>
      <c r="C3108" t="s">
        <v>705</v>
      </c>
      <c r="D3108" s="5">
        <v>8154</v>
      </c>
      <c r="E3108" s="5">
        <v>28363</v>
      </c>
      <c r="F3108" s="5">
        <v>53</v>
      </c>
      <c r="G3108" s="5">
        <v>36570</v>
      </c>
    </row>
    <row r="3109" spans="1:7" x14ac:dyDescent="0.2">
      <c r="A3109">
        <v>1719</v>
      </c>
      <c r="B3109" t="s">
        <v>147</v>
      </c>
      <c r="C3109" t="s">
        <v>707</v>
      </c>
      <c r="D3109" s="5">
        <v>3515</v>
      </c>
      <c r="E3109" s="5">
        <v>4268</v>
      </c>
      <c r="F3109" s="5">
        <v>0</v>
      </c>
      <c r="G3109" s="5">
        <v>7784</v>
      </c>
    </row>
    <row r="3110" spans="1:7" x14ac:dyDescent="0.2">
      <c r="A3110">
        <v>1719</v>
      </c>
      <c r="B3110" t="s">
        <v>147</v>
      </c>
      <c r="C3110" t="s">
        <v>708</v>
      </c>
      <c r="D3110" s="5">
        <v>1665</v>
      </c>
      <c r="E3110" s="5">
        <v>18321</v>
      </c>
      <c r="F3110" s="5">
        <v>0</v>
      </c>
      <c r="G3110" s="5">
        <v>19986</v>
      </c>
    </row>
    <row r="3111" spans="1:7" x14ac:dyDescent="0.2">
      <c r="A3111">
        <v>1719</v>
      </c>
      <c r="B3111" t="s">
        <v>147</v>
      </c>
      <c r="C3111" t="s">
        <v>709</v>
      </c>
      <c r="D3111" s="5">
        <v>5202</v>
      </c>
      <c r="E3111" s="5">
        <v>14888</v>
      </c>
      <c r="F3111" s="5">
        <v>489</v>
      </c>
      <c r="G3111" s="5">
        <v>20580</v>
      </c>
    </row>
    <row r="3112" spans="1:7" x14ac:dyDescent="0.2">
      <c r="A3112">
        <v>1719</v>
      </c>
      <c r="B3112" t="s">
        <v>147</v>
      </c>
      <c r="C3112" t="s">
        <v>710</v>
      </c>
      <c r="D3112" s="5">
        <v>750</v>
      </c>
      <c r="E3112" s="5">
        <v>13418</v>
      </c>
      <c r="F3112" s="5">
        <v>0</v>
      </c>
      <c r="G3112" s="5">
        <v>14168</v>
      </c>
    </row>
    <row r="3113" spans="1:7" x14ac:dyDescent="0.2">
      <c r="A3113">
        <v>1719</v>
      </c>
      <c r="B3113" t="s">
        <v>147</v>
      </c>
      <c r="C3113" t="s">
        <v>712</v>
      </c>
      <c r="D3113" s="5">
        <v>7885</v>
      </c>
      <c r="E3113" s="5">
        <v>36440</v>
      </c>
      <c r="F3113" s="5">
        <v>0</v>
      </c>
      <c r="G3113" s="5">
        <v>44324</v>
      </c>
    </row>
    <row r="3114" spans="1:7" x14ac:dyDescent="0.2">
      <c r="A3114">
        <v>1721</v>
      </c>
      <c r="B3114" t="s">
        <v>69</v>
      </c>
      <c r="C3114" t="s">
        <v>700</v>
      </c>
      <c r="D3114" s="5">
        <v>760942</v>
      </c>
      <c r="E3114" s="5">
        <v>812192</v>
      </c>
      <c r="F3114" s="5">
        <v>37317</v>
      </c>
      <c r="G3114" s="5">
        <v>1610451</v>
      </c>
    </row>
    <row r="3115" spans="1:7" x14ac:dyDescent="0.2">
      <c r="A3115">
        <v>1721</v>
      </c>
      <c r="B3115" t="s">
        <v>69</v>
      </c>
      <c r="C3115" t="s">
        <v>701</v>
      </c>
      <c r="D3115" s="5">
        <v>16993</v>
      </c>
      <c r="E3115" s="5">
        <v>15700</v>
      </c>
      <c r="F3115" s="5">
        <v>0</v>
      </c>
      <c r="G3115" s="5">
        <v>32693</v>
      </c>
    </row>
    <row r="3116" spans="1:7" x14ac:dyDescent="0.2">
      <c r="A3116">
        <v>1721</v>
      </c>
      <c r="B3116" t="s">
        <v>69</v>
      </c>
      <c r="C3116" t="s">
        <v>703</v>
      </c>
      <c r="D3116" s="5">
        <v>616</v>
      </c>
      <c r="E3116" s="5">
        <v>12971</v>
      </c>
      <c r="F3116" s="5">
        <v>0</v>
      </c>
      <c r="G3116" s="5">
        <v>13587</v>
      </c>
    </row>
    <row r="3117" spans="1:7" x14ac:dyDescent="0.2">
      <c r="A3117">
        <v>1721</v>
      </c>
      <c r="B3117" t="s">
        <v>69</v>
      </c>
      <c r="C3117" t="s">
        <v>704</v>
      </c>
      <c r="D3117" s="5">
        <v>26775</v>
      </c>
      <c r="E3117" s="5">
        <v>140474</v>
      </c>
      <c r="F3117" s="5">
        <v>1697</v>
      </c>
      <c r="G3117" s="5">
        <v>168946</v>
      </c>
    </row>
    <row r="3118" spans="1:7" x14ac:dyDescent="0.2">
      <c r="A3118">
        <v>1721</v>
      </c>
      <c r="B3118" t="s">
        <v>69</v>
      </c>
      <c r="C3118" t="s">
        <v>705</v>
      </c>
      <c r="D3118" s="5">
        <v>8843</v>
      </c>
      <c r="E3118" s="5">
        <v>38825</v>
      </c>
      <c r="F3118" s="5">
        <v>262</v>
      </c>
      <c r="G3118" s="5">
        <v>47931</v>
      </c>
    </row>
    <row r="3119" spans="1:7" x14ac:dyDescent="0.2">
      <c r="A3119">
        <v>1721</v>
      </c>
      <c r="B3119" t="s">
        <v>69</v>
      </c>
      <c r="C3119" t="s">
        <v>707</v>
      </c>
      <c r="D3119" s="5">
        <v>503</v>
      </c>
      <c r="E3119" s="5">
        <v>858</v>
      </c>
      <c r="F3119" s="5">
        <v>0</v>
      </c>
      <c r="G3119" s="5">
        <v>1360</v>
      </c>
    </row>
    <row r="3120" spans="1:7" x14ac:dyDescent="0.2">
      <c r="A3120">
        <v>1721</v>
      </c>
      <c r="B3120" t="s">
        <v>69</v>
      </c>
      <c r="C3120" t="s">
        <v>708</v>
      </c>
      <c r="D3120" s="5">
        <v>0</v>
      </c>
      <c r="E3120" s="5">
        <v>23971</v>
      </c>
      <c r="F3120" s="5">
        <v>0</v>
      </c>
      <c r="G3120" s="5">
        <v>23971</v>
      </c>
    </row>
    <row r="3121" spans="1:7" x14ac:dyDescent="0.2">
      <c r="A3121">
        <v>1721</v>
      </c>
      <c r="B3121" t="s">
        <v>69</v>
      </c>
      <c r="C3121" t="s">
        <v>709</v>
      </c>
      <c r="D3121" s="5">
        <v>12418</v>
      </c>
      <c r="E3121" s="5">
        <v>9687</v>
      </c>
      <c r="F3121" s="5">
        <v>34</v>
      </c>
      <c r="G3121" s="5">
        <v>22139</v>
      </c>
    </row>
    <row r="3122" spans="1:7" x14ac:dyDescent="0.2">
      <c r="A3122">
        <v>1721</v>
      </c>
      <c r="B3122" t="s">
        <v>69</v>
      </c>
      <c r="C3122" t="s">
        <v>710</v>
      </c>
      <c r="D3122" s="5">
        <v>926</v>
      </c>
      <c r="E3122" s="5">
        <v>12590</v>
      </c>
      <c r="F3122" s="5">
        <v>0</v>
      </c>
      <c r="G3122" s="5">
        <v>13516</v>
      </c>
    </row>
    <row r="3123" spans="1:7" x14ac:dyDescent="0.2">
      <c r="A3123">
        <v>1721</v>
      </c>
      <c r="B3123" t="s">
        <v>69</v>
      </c>
      <c r="C3123" t="s">
        <v>712</v>
      </c>
      <c r="D3123" s="5">
        <v>8155</v>
      </c>
      <c r="E3123" s="5">
        <v>78669</v>
      </c>
      <c r="F3123" s="5">
        <v>0</v>
      </c>
      <c r="G3123" s="5">
        <v>86823</v>
      </c>
    </row>
    <row r="3124" spans="1:7" x14ac:dyDescent="0.2">
      <c r="A3124">
        <v>1723</v>
      </c>
      <c r="B3124" t="s">
        <v>23</v>
      </c>
      <c r="C3124" t="s">
        <v>700</v>
      </c>
      <c r="D3124" s="5">
        <v>588839</v>
      </c>
      <c r="E3124" s="5">
        <v>365298</v>
      </c>
      <c r="F3124" s="5">
        <v>13868</v>
      </c>
      <c r="G3124" s="5">
        <v>968005</v>
      </c>
    </row>
    <row r="3125" spans="1:7" x14ac:dyDescent="0.2">
      <c r="A3125">
        <v>1723</v>
      </c>
      <c r="B3125" t="s">
        <v>23</v>
      </c>
      <c r="C3125" t="s">
        <v>701</v>
      </c>
      <c r="D3125" s="5">
        <v>6442</v>
      </c>
      <c r="E3125" s="5">
        <v>5457</v>
      </c>
      <c r="F3125" s="5">
        <v>0</v>
      </c>
      <c r="G3125" s="5">
        <v>11899</v>
      </c>
    </row>
    <row r="3126" spans="1:7" x14ac:dyDescent="0.2">
      <c r="A3126">
        <v>1723</v>
      </c>
      <c r="B3126" t="s">
        <v>23</v>
      </c>
      <c r="C3126" t="s">
        <v>703</v>
      </c>
      <c r="D3126" s="5">
        <v>903</v>
      </c>
      <c r="E3126" s="5">
        <v>1312</v>
      </c>
      <c r="F3126" s="5">
        <v>0</v>
      </c>
      <c r="G3126" s="5">
        <v>2214</v>
      </c>
    </row>
    <row r="3127" spans="1:7" x14ac:dyDescent="0.2">
      <c r="A3127">
        <v>1723</v>
      </c>
      <c r="B3127" t="s">
        <v>23</v>
      </c>
      <c r="C3127" t="s">
        <v>704</v>
      </c>
      <c r="D3127" s="5">
        <v>89025</v>
      </c>
      <c r="E3127" s="5">
        <v>107912</v>
      </c>
      <c r="F3127" s="5">
        <v>1375</v>
      </c>
      <c r="G3127" s="5">
        <v>198312</v>
      </c>
    </row>
    <row r="3128" spans="1:7" x14ac:dyDescent="0.2">
      <c r="A3128">
        <v>1723</v>
      </c>
      <c r="B3128" t="s">
        <v>23</v>
      </c>
      <c r="C3128" t="s">
        <v>705</v>
      </c>
      <c r="D3128" s="5">
        <v>787</v>
      </c>
      <c r="E3128" s="5">
        <v>31815</v>
      </c>
      <c r="F3128" s="5">
        <v>0</v>
      </c>
      <c r="G3128" s="5">
        <v>32602</v>
      </c>
    </row>
    <row r="3129" spans="1:7" x14ac:dyDescent="0.2">
      <c r="A3129">
        <v>1723</v>
      </c>
      <c r="B3129" t="s">
        <v>23</v>
      </c>
      <c r="C3129" t="s">
        <v>707</v>
      </c>
      <c r="D3129" s="5">
        <v>7393</v>
      </c>
      <c r="E3129" s="5">
        <v>5146</v>
      </c>
      <c r="F3129" s="5">
        <v>0</v>
      </c>
      <c r="G3129" s="5">
        <v>12539</v>
      </c>
    </row>
    <row r="3130" spans="1:7" x14ac:dyDescent="0.2">
      <c r="A3130">
        <v>1723</v>
      </c>
      <c r="B3130" t="s">
        <v>23</v>
      </c>
      <c r="C3130" t="s">
        <v>708</v>
      </c>
      <c r="D3130" s="5">
        <v>0</v>
      </c>
      <c r="E3130" s="5">
        <v>3060</v>
      </c>
      <c r="F3130" s="5">
        <v>0</v>
      </c>
      <c r="G3130" s="5">
        <v>3060</v>
      </c>
    </row>
    <row r="3131" spans="1:7" x14ac:dyDescent="0.2">
      <c r="A3131">
        <v>1723</v>
      </c>
      <c r="B3131" t="s">
        <v>23</v>
      </c>
      <c r="C3131" t="s">
        <v>709</v>
      </c>
      <c r="D3131" s="5">
        <v>2081</v>
      </c>
      <c r="E3131" s="5">
        <v>3497</v>
      </c>
      <c r="F3131" s="5">
        <v>0</v>
      </c>
      <c r="G3131" s="5">
        <v>5578</v>
      </c>
    </row>
    <row r="3132" spans="1:7" x14ac:dyDescent="0.2">
      <c r="A3132">
        <v>1723</v>
      </c>
      <c r="B3132" t="s">
        <v>23</v>
      </c>
      <c r="C3132" t="s">
        <v>710</v>
      </c>
      <c r="D3132" s="5">
        <v>658</v>
      </c>
      <c r="E3132" s="5">
        <v>3975</v>
      </c>
      <c r="F3132" s="5">
        <v>0</v>
      </c>
      <c r="G3132" s="5">
        <v>4633</v>
      </c>
    </row>
    <row r="3133" spans="1:7" x14ac:dyDescent="0.2">
      <c r="A3133">
        <v>1723</v>
      </c>
      <c r="B3133" t="s">
        <v>23</v>
      </c>
      <c r="C3133" t="s">
        <v>712</v>
      </c>
      <c r="D3133" s="5">
        <v>3767</v>
      </c>
      <c r="E3133" s="5">
        <v>6841</v>
      </c>
      <c r="F3133" s="5">
        <v>0</v>
      </c>
      <c r="G3133" s="5">
        <v>10608</v>
      </c>
    </row>
    <row r="3134" spans="1:7" x14ac:dyDescent="0.2">
      <c r="A3134">
        <v>1724</v>
      </c>
      <c r="B3134" t="s">
        <v>59</v>
      </c>
      <c r="C3134" t="s">
        <v>700</v>
      </c>
      <c r="D3134" s="5">
        <v>515747</v>
      </c>
      <c r="E3134" s="5">
        <v>331701</v>
      </c>
      <c r="F3134" s="5">
        <v>9468</v>
      </c>
      <c r="G3134" s="5">
        <v>856917</v>
      </c>
    </row>
    <row r="3135" spans="1:7" x14ac:dyDescent="0.2">
      <c r="A3135">
        <v>1724</v>
      </c>
      <c r="B3135" t="s">
        <v>59</v>
      </c>
      <c r="C3135" t="s">
        <v>701</v>
      </c>
      <c r="D3135" s="5">
        <v>7254</v>
      </c>
      <c r="E3135" s="5">
        <v>8304</v>
      </c>
      <c r="F3135" s="5">
        <v>0</v>
      </c>
      <c r="G3135" s="5">
        <v>15559</v>
      </c>
    </row>
    <row r="3136" spans="1:7" x14ac:dyDescent="0.2">
      <c r="A3136">
        <v>1724</v>
      </c>
      <c r="B3136" t="s">
        <v>59</v>
      </c>
      <c r="C3136" t="s">
        <v>703</v>
      </c>
      <c r="D3136" s="5">
        <v>1276</v>
      </c>
      <c r="E3136" s="5">
        <v>4676</v>
      </c>
      <c r="F3136" s="5">
        <v>0</v>
      </c>
      <c r="G3136" s="5">
        <v>5951</v>
      </c>
    </row>
    <row r="3137" spans="1:7" x14ac:dyDescent="0.2">
      <c r="A3137">
        <v>1724</v>
      </c>
      <c r="B3137" t="s">
        <v>59</v>
      </c>
      <c r="C3137" t="s">
        <v>704</v>
      </c>
      <c r="D3137" s="5">
        <v>24119</v>
      </c>
      <c r="E3137" s="5">
        <v>272765</v>
      </c>
      <c r="F3137" s="5">
        <v>1030</v>
      </c>
      <c r="G3137" s="5">
        <v>297914</v>
      </c>
    </row>
    <row r="3138" spans="1:7" x14ac:dyDescent="0.2">
      <c r="A3138">
        <v>1724</v>
      </c>
      <c r="B3138" t="s">
        <v>59</v>
      </c>
      <c r="C3138" t="s">
        <v>705</v>
      </c>
      <c r="D3138" s="5">
        <v>6588</v>
      </c>
      <c r="E3138" s="5">
        <v>54432</v>
      </c>
      <c r="F3138" s="5">
        <v>0</v>
      </c>
      <c r="G3138" s="5">
        <v>61019</v>
      </c>
    </row>
    <row r="3139" spans="1:7" x14ac:dyDescent="0.2">
      <c r="A3139">
        <v>1724</v>
      </c>
      <c r="B3139" t="s">
        <v>59</v>
      </c>
      <c r="C3139" t="s">
        <v>707</v>
      </c>
      <c r="D3139" s="5">
        <v>15188</v>
      </c>
      <c r="E3139" s="5">
        <v>48645</v>
      </c>
      <c r="F3139" s="5">
        <v>0</v>
      </c>
      <c r="G3139" s="5">
        <v>63834</v>
      </c>
    </row>
    <row r="3140" spans="1:7" x14ac:dyDescent="0.2">
      <c r="A3140">
        <v>1724</v>
      </c>
      <c r="B3140" t="s">
        <v>59</v>
      </c>
      <c r="C3140" t="s">
        <v>708</v>
      </c>
      <c r="D3140" s="5">
        <v>2731</v>
      </c>
      <c r="E3140" s="5">
        <v>10714</v>
      </c>
      <c r="F3140" s="5">
        <v>0</v>
      </c>
      <c r="G3140" s="5">
        <v>13445</v>
      </c>
    </row>
    <row r="3141" spans="1:7" x14ac:dyDescent="0.2">
      <c r="A3141">
        <v>1724</v>
      </c>
      <c r="B3141" t="s">
        <v>59</v>
      </c>
      <c r="C3141" t="s">
        <v>709</v>
      </c>
      <c r="D3141" s="5">
        <v>1963</v>
      </c>
      <c r="E3141" s="5">
        <v>10129</v>
      </c>
      <c r="F3141" s="5">
        <v>16</v>
      </c>
      <c r="G3141" s="5">
        <v>12108</v>
      </c>
    </row>
    <row r="3142" spans="1:7" x14ac:dyDescent="0.2">
      <c r="A3142">
        <v>1724</v>
      </c>
      <c r="B3142" t="s">
        <v>59</v>
      </c>
      <c r="C3142" t="s">
        <v>710</v>
      </c>
      <c r="D3142" s="5">
        <v>3631</v>
      </c>
      <c r="E3142" s="5">
        <v>36692</v>
      </c>
      <c r="F3142" s="5">
        <v>0</v>
      </c>
      <c r="G3142" s="5">
        <v>40323</v>
      </c>
    </row>
    <row r="3143" spans="1:7" x14ac:dyDescent="0.2">
      <c r="A3143">
        <v>1724</v>
      </c>
      <c r="B3143" t="s">
        <v>59</v>
      </c>
      <c r="C3143" t="s">
        <v>712</v>
      </c>
      <c r="D3143" s="5">
        <v>19828</v>
      </c>
      <c r="E3143" s="5">
        <v>56997</v>
      </c>
      <c r="F3143" s="5">
        <v>0</v>
      </c>
      <c r="G3143" s="5">
        <v>76825</v>
      </c>
    </row>
    <row r="3144" spans="1:7" x14ac:dyDescent="0.2">
      <c r="A3144">
        <v>1728</v>
      </c>
      <c r="B3144" t="s">
        <v>79</v>
      </c>
      <c r="C3144" t="s">
        <v>700</v>
      </c>
      <c r="D3144" s="5">
        <v>487826</v>
      </c>
      <c r="E3144" s="5">
        <v>370500</v>
      </c>
      <c r="F3144" s="5">
        <v>6339</v>
      </c>
      <c r="G3144" s="5">
        <v>864665</v>
      </c>
    </row>
    <row r="3145" spans="1:7" x14ac:dyDescent="0.2">
      <c r="A3145">
        <v>1728</v>
      </c>
      <c r="B3145" t="s">
        <v>79</v>
      </c>
      <c r="C3145" t="s">
        <v>701</v>
      </c>
      <c r="D3145" s="5">
        <v>10005</v>
      </c>
      <c r="E3145" s="5">
        <v>13698</v>
      </c>
      <c r="F3145" s="5">
        <v>240</v>
      </c>
      <c r="G3145" s="5">
        <v>23943</v>
      </c>
    </row>
    <row r="3146" spans="1:7" x14ac:dyDescent="0.2">
      <c r="A3146">
        <v>1728</v>
      </c>
      <c r="B3146" t="s">
        <v>79</v>
      </c>
      <c r="C3146" t="s">
        <v>703</v>
      </c>
      <c r="D3146" s="5">
        <v>3316</v>
      </c>
      <c r="E3146" s="5">
        <v>3232</v>
      </c>
      <c r="F3146" s="5">
        <v>0</v>
      </c>
      <c r="G3146" s="5">
        <v>6548</v>
      </c>
    </row>
    <row r="3147" spans="1:7" x14ac:dyDescent="0.2">
      <c r="A3147">
        <v>1728</v>
      </c>
      <c r="B3147" t="s">
        <v>79</v>
      </c>
      <c r="C3147" t="s">
        <v>704</v>
      </c>
      <c r="D3147" s="5">
        <v>38995</v>
      </c>
      <c r="E3147" s="5">
        <v>512320</v>
      </c>
      <c r="F3147" s="5">
        <v>0</v>
      </c>
      <c r="G3147" s="5">
        <v>551314</v>
      </c>
    </row>
    <row r="3148" spans="1:7" x14ac:dyDescent="0.2">
      <c r="A3148">
        <v>1728</v>
      </c>
      <c r="B3148" t="s">
        <v>79</v>
      </c>
      <c r="C3148" t="s">
        <v>705</v>
      </c>
      <c r="D3148" s="5">
        <v>4728</v>
      </c>
      <c r="E3148" s="5">
        <v>115073</v>
      </c>
      <c r="F3148" s="5">
        <v>7034</v>
      </c>
      <c r="G3148" s="5">
        <v>126835</v>
      </c>
    </row>
    <row r="3149" spans="1:7" x14ac:dyDescent="0.2">
      <c r="A3149">
        <v>1728</v>
      </c>
      <c r="B3149" t="s">
        <v>79</v>
      </c>
      <c r="C3149" t="s">
        <v>707</v>
      </c>
      <c r="D3149" s="5">
        <v>19874</v>
      </c>
      <c r="E3149" s="5">
        <v>34824</v>
      </c>
      <c r="F3149" s="5">
        <v>1201</v>
      </c>
      <c r="G3149" s="5">
        <v>55899</v>
      </c>
    </row>
    <row r="3150" spans="1:7" x14ac:dyDescent="0.2">
      <c r="A3150">
        <v>1728</v>
      </c>
      <c r="B3150" t="s">
        <v>79</v>
      </c>
      <c r="C3150" t="s">
        <v>708</v>
      </c>
      <c r="D3150" s="5">
        <v>0</v>
      </c>
      <c r="E3150" s="5">
        <v>32283</v>
      </c>
      <c r="F3150" s="5">
        <v>0</v>
      </c>
      <c r="G3150" s="5">
        <v>32283</v>
      </c>
    </row>
    <row r="3151" spans="1:7" x14ac:dyDescent="0.2">
      <c r="A3151">
        <v>1728</v>
      </c>
      <c r="B3151" t="s">
        <v>79</v>
      </c>
      <c r="C3151" t="s">
        <v>709</v>
      </c>
      <c r="D3151" s="5">
        <v>6538</v>
      </c>
      <c r="E3151" s="5">
        <v>44328</v>
      </c>
      <c r="F3151" s="5">
        <v>9</v>
      </c>
      <c r="G3151" s="5">
        <v>50875</v>
      </c>
    </row>
    <row r="3152" spans="1:7" x14ac:dyDescent="0.2">
      <c r="A3152">
        <v>1728</v>
      </c>
      <c r="B3152" t="s">
        <v>79</v>
      </c>
      <c r="C3152" t="s">
        <v>710</v>
      </c>
      <c r="D3152" s="5">
        <v>2948</v>
      </c>
      <c r="E3152" s="5">
        <v>13781</v>
      </c>
      <c r="F3152" s="5">
        <v>0</v>
      </c>
      <c r="G3152" s="5">
        <v>16729</v>
      </c>
    </row>
    <row r="3153" spans="1:7" x14ac:dyDescent="0.2">
      <c r="A3153">
        <v>1728</v>
      </c>
      <c r="B3153" t="s">
        <v>79</v>
      </c>
      <c r="C3153" t="s">
        <v>712</v>
      </c>
      <c r="D3153" s="5">
        <v>4887</v>
      </c>
      <c r="E3153" s="5">
        <v>23989</v>
      </c>
      <c r="F3153" s="5">
        <v>0</v>
      </c>
      <c r="G3153" s="5">
        <v>28875</v>
      </c>
    </row>
    <row r="3154" spans="1:7" x14ac:dyDescent="0.2">
      <c r="A3154">
        <v>1729</v>
      </c>
      <c r="B3154" t="s">
        <v>213</v>
      </c>
      <c r="C3154" t="s">
        <v>700</v>
      </c>
      <c r="D3154" s="5">
        <v>164259</v>
      </c>
      <c r="E3154" s="5">
        <v>134116</v>
      </c>
      <c r="F3154" s="5">
        <v>2590</v>
      </c>
      <c r="G3154" s="5">
        <v>300965</v>
      </c>
    </row>
    <row r="3155" spans="1:7" x14ac:dyDescent="0.2">
      <c r="A3155">
        <v>1729</v>
      </c>
      <c r="B3155" t="s">
        <v>213</v>
      </c>
      <c r="C3155" t="s">
        <v>701</v>
      </c>
      <c r="D3155" s="5">
        <v>11917</v>
      </c>
      <c r="E3155" s="5">
        <v>9073</v>
      </c>
      <c r="F3155" s="5">
        <v>0</v>
      </c>
      <c r="G3155" s="5">
        <v>20990</v>
      </c>
    </row>
    <row r="3156" spans="1:7" x14ac:dyDescent="0.2">
      <c r="A3156">
        <v>1729</v>
      </c>
      <c r="B3156" t="s">
        <v>213</v>
      </c>
      <c r="C3156" t="s">
        <v>703</v>
      </c>
      <c r="D3156" s="5">
        <v>1783</v>
      </c>
      <c r="E3156" s="5">
        <v>6054</v>
      </c>
      <c r="F3156" s="5">
        <v>0</v>
      </c>
      <c r="G3156" s="5">
        <v>7837</v>
      </c>
    </row>
    <row r="3157" spans="1:7" x14ac:dyDescent="0.2">
      <c r="A3157">
        <v>1729</v>
      </c>
      <c r="B3157" t="s">
        <v>213</v>
      </c>
      <c r="C3157" t="s">
        <v>704</v>
      </c>
      <c r="D3157" s="5">
        <v>7028</v>
      </c>
      <c r="E3157" s="5">
        <v>26853</v>
      </c>
      <c r="F3157" s="5">
        <v>0</v>
      </c>
      <c r="G3157" s="5">
        <v>33881</v>
      </c>
    </row>
    <row r="3158" spans="1:7" x14ac:dyDescent="0.2">
      <c r="A3158">
        <v>1729</v>
      </c>
      <c r="B3158" t="s">
        <v>213</v>
      </c>
      <c r="C3158" t="s">
        <v>705</v>
      </c>
      <c r="D3158" s="5">
        <v>4017</v>
      </c>
      <c r="E3158" s="5">
        <v>3444</v>
      </c>
      <c r="F3158" s="5">
        <v>0</v>
      </c>
      <c r="G3158" s="5">
        <v>7461</v>
      </c>
    </row>
    <row r="3159" spans="1:7" x14ac:dyDescent="0.2">
      <c r="A3159">
        <v>1729</v>
      </c>
      <c r="B3159" t="s">
        <v>213</v>
      </c>
      <c r="C3159" t="s">
        <v>707</v>
      </c>
      <c r="D3159" s="5">
        <v>25447</v>
      </c>
      <c r="E3159" s="5">
        <v>7908</v>
      </c>
      <c r="F3159" s="5">
        <v>0</v>
      </c>
      <c r="G3159" s="5">
        <v>33355</v>
      </c>
    </row>
    <row r="3160" spans="1:7" x14ac:dyDescent="0.2">
      <c r="A3160">
        <v>1729</v>
      </c>
      <c r="B3160" t="s">
        <v>213</v>
      </c>
      <c r="C3160" t="s">
        <v>708</v>
      </c>
      <c r="D3160" s="5">
        <v>1308</v>
      </c>
      <c r="E3160" s="5">
        <v>7781</v>
      </c>
      <c r="F3160" s="5">
        <v>0</v>
      </c>
      <c r="G3160" s="5">
        <v>9089</v>
      </c>
    </row>
    <row r="3161" spans="1:7" x14ac:dyDescent="0.2">
      <c r="A3161">
        <v>1729</v>
      </c>
      <c r="B3161" t="s">
        <v>213</v>
      </c>
      <c r="C3161" t="s">
        <v>709</v>
      </c>
      <c r="D3161" s="5">
        <v>8890</v>
      </c>
      <c r="E3161" s="5">
        <v>12083</v>
      </c>
      <c r="F3161" s="5">
        <v>42</v>
      </c>
      <c r="G3161" s="5">
        <v>21016</v>
      </c>
    </row>
    <row r="3162" spans="1:7" x14ac:dyDescent="0.2">
      <c r="A3162">
        <v>1729</v>
      </c>
      <c r="B3162" t="s">
        <v>213</v>
      </c>
      <c r="C3162" t="s">
        <v>710</v>
      </c>
      <c r="D3162" s="5">
        <v>1102</v>
      </c>
      <c r="E3162" s="5">
        <v>10734</v>
      </c>
      <c r="F3162" s="5">
        <v>0</v>
      </c>
      <c r="G3162" s="5">
        <v>11835</v>
      </c>
    </row>
    <row r="3163" spans="1:7" x14ac:dyDescent="0.2">
      <c r="A3163">
        <v>1729</v>
      </c>
      <c r="B3163" t="s">
        <v>213</v>
      </c>
      <c r="C3163" t="s">
        <v>712</v>
      </c>
      <c r="D3163" s="5">
        <v>6611</v>
      </c>
      <c r="E3163" s="5">
        <v>10285</v>
      </c>
      <c r="F3163" s="5">
        <v>0</v>
      </c>
      <c r="G3163" s="5">
        <v>16896</v>
      </c>
    </row>
    <row r="3164" spans="1:7" x14ac:dyDescent="0.2">
      <c r="A3164">
        <v>1730</v>
      </c>
      <c r="B3164" t="s">
        <v>555</v>
      </c>
      <c r="C3164" t="s">
        <v>700</v>
      </c>
      <c r="D3164" s="5">
        <v>386757</v>
      </c>
      <c r="E3164" s="5">
        <v>263439</v>
      </c>
      <c r="F3164" s="5">
        <v>61064</v>
      </c>
      <c r="G3164" s="5">
        <v>711260</v>
      </c>
    </row>
    <row r="3165" spans="1:7" x14ac:dyDescent="0.2">
      <c r="A3165">
        <v>1730</v>
      </c>
      <c r="B3165" t="s">
        <v>555</v>
      </c>
      <c r="C3165" t="s">
        <v>701</v>
      </c>
      <c r="D3165" s="5">
        <v>23466</v>
      </c>
      <c r="E3165" s="5">
        <v>62512</v>
      </c>
      <c r="F3165" s="5">
        <v>0</v>
      </c>
      <c r="G3165" s="5">
        <v>85978</v>
      </c>
    </row>
    <row r="3166" spans="1:7" x14ac:dyDescent="0.2">
      <c r="A3166">
        <v>1730</v>
      </c>
      <c r="B3166" t="s">
        <v>555</v>
      </c>
      <c r="C3166" t="s">
        <v>703</v>
      </c>
      <c r="D3166" s="5">
        <v>14332</v>
      </c>
      <c r="E3166" s="5">
        <v>39135</v>
      </c>
      <c r="F3166" s="5">
        <v>1510</v>
      </c>
      <c r="G3166" s="5">
        <v>54977</v>
      </c>
    </row>
    <row r="3167" spans="1:7" x14ac:dyDescent="0.2">
      <c r="A3167">
        <v>1730</v>
      </c>
      <c r="B3167" t="s">
        <v>555</v>
      </c>
      <c r="C3167" t="s">
        <v>704</v>
      </c>
      <c r="D3167" s="5">
        <v>58778</v>
      </c>
      <c r="E3167" s="5">
        <v>85153</v>
      </c>
      <c r="F3167" s="5">
        <v>9011</v>
      </c>
      <c r="G3167" s="5">
        <v>152942</v>
      </c>
    </row>
    <row r="3168" spans="1:7" x14ac:dyDescent="0.2">
      <c r="A3168">
        <v>1730</v>
      </c>
      <c r="B3168" t="s">
        <v>555</v>
      </c>
      <c r="C3168" t="s">
        <v>705</v>
      </c>
      <c r="D3168" s="5">
        <v>15807</v>
      </c>
      <c r="E3168" s="5">
        <v>83327</v>
      </c>
      <c r="F3168" s="5">
        <v>4338</v>
      </c>
      <c r="G3168" s="5">
        <v>103472</v>
      </c>
    </row>
    <row r="3169" spans="1:7" x14ac:dyDescent="0.2">
      <c r="A3169">
        <v>1730</v>
      </c>
      <c r="B3169" t="s">
        <v>555</v>
      </c>
      <c r="C3169" t="s">
        <v>707</v>
      </c>
      <c r="D3169" s="5">
        <v>15572</v>
      </c>
      <c r="E3169" s="5">
        <v>12663</v>
      </c>
      <c r="F3169" s="5">
        <v>2112</v>
      </c>
      <c r="G3169" s="5">
        <v>30348</v>
      </c>
    </row>
    <row r="3170" spans="1:7" x14ac:dyDescent="0.2">
      <c r="A3170">
        <v>1730</v>
      </c>
      <c r="B3170" t="s">
        <v>555</v>
      </c>
      <c r="C3170" t="s">
        <v>708</v>
      </c>
      <c r="D3170" s="5">
        <v>3452</v>
      </c>
      <c r="E3170" s="5">
        <v>28107</v>
      </c>
      <c r="F3170" s="5">
        <v>0</v>
      </c>
      <c r="G3170" s="5">
        <v>31559</v>
      </c>
    </row>
    <row r="3171" spans="1:7" x14ac:dyDescent="0.2">
      <c r="A3171">
        <v>1730</v>
      </c>
      <c r="B3171" t="s">
        <v>555</v>
      </c>
      <c r="C3171" t="s">
        <v>709</v>
      </c>
      <c r="D3171" s="5">
        <v>7220</v>
      </c>
      <c r="E3171" s="5">
        <v>23656</v>
      </c>
      <c r="F3171" s="5">
        <v>5448</v>
      </c>
      <c r="G3171" s="5">
        <v>36324</v>
      </c>
    </row>
    <row r="3172" spans="1:7" x14ac:dyDescent="0.2">
      <c r="A3172">
        <v>1730</v>
      </c>
      <c r="B3172" t="s">
        <v>555</v>
      </c>
      <c r="C3172" t="s">
        <v>710</v>
      </c>
      <c r="D3172" s="5">
        <v>3803</v>
      </c>
      <c r="E3172" s="5">
        <v>15886</v>
      </c>
      <c r="F3172" s="5">
        <v>0</v>
      </c>
      <c r="G3172" s="5">
        <v>19689</v>
      </c>
    </row>
    <row r="3173" spans="1:7" x14ac:dyDescent="0.2">
      <c r="A3173">
        <v>1730</v>
      </c>
      <c r="B3173" t="s">
        <v>555</v>
      </c>
      <c r="C3173" t="s">
        <v>711</v>
      </c>
      <c r="D3173" s="5">
        <v>0</v>
      </c>
      <c r="E3173" s="5">
        <v>96</v>
      </c>
      <c r="F3173" s="5">
        <v>0</v>
      </c>
      <c r="G3173" s="5">
        <v>96</v>
      </c>
    </row>
    <row r="3174" spans="1:7" x14ac:dyDescent="0.2">
      <c r="A3174">
        <v>1730</v>
      </c>
      <c r="B3174" t="s">
        <v>555</v>
      </c>
      <c r="C3174" t="s">
        <v>712</v>
      </c>
      <c r="D3174" s="5">
        <v>22377</v>
      </c>
      <c r="E3174" s="5">
        <v>59933</v>
      </c>
      <c r="F3174" s="5">
        <v>1976</v>
      </c>
      <c r="G3174" s="5">
        <v>84287</v>
      </c>
    </row>
    <row r="3175" spans="1:7" x14ac:dyDescent="0.2">
      <c r="A3175">
        <v>1731</v>
      </c>
      <c r="B3175" t="s">
        <v>367</v>
      </c>
      <c r="C3175" t="s">
        <v>700</v>
      </c>
      <c r="D3175" s="5">
        <v>965978</v>
      </c>
      <c r="E3175" s="5">
        <v>735618</v>
      </c>
      <c r="F3175" s="5">
        <v>76719</v>
      </c>
      <c r="G3175" s="5">
        <v>1778316</v>
      </c>
    </row>
    <row r="3176" spans="1:7" x14ac:dyDescent="0.2">
      <c r="A3176">
        <v>1731</v>
      </c>
      <c r="B3176" t="s">
        <v>367</v>
      </c>
      <c r="C3176" t="s">
        <v>701</v>
      </c>
      <c r="D3176" s="5">
        <v>17130</v>
      </c>
      <c r="E3176" s="5">
        <v>26385</v>
      </c>
      <c r="F3176" s="5">
        <v>62</v>
      </c>
      <c r="G3176" s="5">
        <v>43577</v>
      </c>
    </row>
    <row r="3177" spans="1:7" x14ac:dyDescent="0.2">
      <c r="A3177">
        <v>1731</v>
      </c>
      <c r="B3177" t="s">
        <v>367</v>
      </c>
      <c r="C3177" t="s">
        <v>703</v>
      </c>
      <c r="D3177" s="5">
        <v>5318</v>
      </c>
      <c r="E3177" s="5">
        <v>16206</v>
      </c>
      <c r="F3177" s="5">
        <v>412</v>
      </c>
      <c r="G3177" s="5">
        <v>21937</v>
      </c>
    </row>
    <row r="3178" spans="1:7" x14ac:dyDescent="0.2">
      <c r="A3178">
        <v>1731</v>
      </c>
      <c r="B3178" t="s">
        <v>367</v>
      </c>
      <c r="C3178" t="s">
        <v>704</v>
      </c>
      <c r="D3178" s="5">
        <v>40248</v>
      </c>
      <c r="E3178" s="5">
        <v>179766</v>
      </c>
      <c r="F3178" s="5">
        <v>3847</v>
      </c>
      <c r="G3178" s="5">
        <v>223860</v>
      </c>
    </row>
    <row r="3179" spans="1:7" x14ac:dyDescent="0.2">
      <c r="A3179">
        <v>1731</v>
      </c>
      <c r="B3179" t="s">
        <v>367</v>
      </c>
      <c r="C3179" t="s">
        <v>705</v>
      </c>
      <c r="D3179" s="5">
        <v>7691</v>
      </c>
      <c r="E3179" s="5">
        <v>48104</v>
      </c>
      <c r="F3179" s="5">
        <v>1002</v>
      </c>
      <c r="G3179" s="5">
        <v>56797</v>
      </c>
    </row>
    <row r="3180" spans="1:7" x14ac:dyDescent="0.2">
      <c r="A3180">
        <v>1731</v>
      </c>
      <c r="B3180" t="s">
        <v>367</v>
      </c>
      <c r="C3180" t="s">
        <v>707</v>
      </c>
      <c r="D3180" s="5">
        <v>84647</v>
      </c>
      <c r="E3180" s="5">
        <v>38095</v>
      </c>
      <c r="F3180" s="5">
        <v>2553</v>
      </c>
      <c r="G3180" s="5">
        <v>125295</v>
      </c>
    </row>
    <row r="3181" spans="1:7" x14ac:dyDescent="0.2">
      <c r="A3181">
        <v>1731</v>
      </c>
      <c r="B3181" t="s">
        <v>367</v>
      </c>
      <c r="C3181" t="s">
        <v>708</v>
      </c>
      <c r="D3181" s="5">
        <v>1803</v>
      </c>
      <c r="E3181" s="5">
        <v>21007</v>
      </c>
      <c r="F3181" s="5">
        <v>0</v>
      </c>
      <c r="G3181" s="5">
        <v>22810</v>
      </c>
    </row>
    <row r="3182" spans="1:7" x14ac:dyDescent="0.2">
      <c r="A3182">
        <v>1731</v>
      </c>
      <c r="B3182" t="s">
        <v>367</v>
      </c>
      <c r="C3182" t="s">
        <v>709</v>
      </c>
      <c r="D3182" s="5">
        <v>9814</v>
      </c>
      <c r="E3182" s="5">
        <v>15161</v>
      </c>
      <c r="F3182" s="5">
        <v>156</v>
      </c>
      <c r="G3182" s="5">
        <v>25131</v>
      </c>
    </row>
    <row r="3183" spans="1:7" x14ac:dyDescent="0.2">
      <c r="A3183">
        <v>1731</v>
      </c>
      <c r="B3183" t="s">
        <v>367</v>
      </c>
      <c r="C3183" t="s">
        <v>710</v>
      </c>
      <c r="D3183" s="5">
        <v>1879</v>
      </c>
      <c r="E3183" s="5">
        <v>44267</v>
      </c>
      <c r="F3183" s="5">
        <v>0</v>
      </c>
      <c r="G3183" s="5">
        <v>46146</v>
      </c>
    </row>
    <row r="3184" spans="1:7" x14ac:dyDescent="0.2">
      <c r="A3184">
        <v>1731</v>
      </c>
      <c r="B3184" t="s">
        <v>367</v>
      </c>
      <c r="C3184" t="s">
        <v>712</v>
      </c>
      <c r="D3184" s="5">
        <v>25488</v>
      </c>
      <c r="E3184" s="5">
        <v>87500</v>
      </c>
      <c r="F3184" s="5">
        <v>324</v>
      </c>
      <c r="G3184" s="5">
        <v>113312</v>
      </c>
    </row>
    <row r="3185" spans="1:7" x14ac:dyDescent="0.2">
      <c r="A3185">
        <v>1734</v>
      </c>
      <c r="B3185" t="s">
        <v>445</v>
      </c>
      <c r="C3185" t="s">
        <v>700</v>
      </c>
      <c r="D3185" s="5">
        <v>561038</v>
      </c>
      <c r="E3185" s="5">
        <v>474523</v>
      </c>
      <c r="F3185" s="5">
        <v>11301</v>
      </c>
      <c r="G3185" s="5">
        <v>1046861</v>
      </c>
    </row>
    <row r="3186" spans="1:7" x14ac:dyDescent="0.2">
      <c r="A3186">
        <v>1734</v>
      </c>
      <c r="B3186" t="s">
        <v>445</v>
      </c>
      <c r="C3186" t="s">
        <v>701</v>
      </c>
      <c r="D3186" s="5">
        <v>18817</v>
      </c>
      <c r="E3186" s="5">
        <v>24851</v>
      </c>
      <c r="F3186" s="5">
        <v>940</v>
      </c>
      <c r="G3186" s="5">
        <v>44609</v>
      </c>
    </row>
    <row r="3187" spans="1:7" x14ac:dyDescent="0.2">
      <c r="A3187">
        <v>1734</v>
      </c>
      <c r="B3187" t="s">
        <v>445</v>
      </c>
      <c r="C3187" t="s">
        <v>702</v>
      </c>
      <c r="D3187" s="5">
        <v>0</v>
      </c>
      <c r="E3187" s="5">
        <v>260</v>
      </c>
      <c r="F3187" s="5">
        <v>0</v>
      </c>
      <c r="G3187" s="5">
        <v>260</v>
      </c>
    </row>
    <row r="3188" spans="1:7" x14ac:dyDescent="0.2">
      <c r="A3188">
        <v>1734</v>
      </c>
      <c r="B3188" t="s">
        <v>445</v>
      </c>
      <c r="C3188" t="s">
        <v>703</v>
      </c>
      <c r="D3188" s="5">
        <v>4720</v>
      </c>
      <c r="E3188" s="5">
        <v>5534</v>
      </c>
      <c r="F3188" s="5">
        <v>0</v>
      </c>
      <c r="G3188" s="5">
        <v>10254</v>
      </c>
    </row>
    <row r="3189" spans="1:7" x14ac:dyDescent="0.2">
      <c r="A3189">
        <v>1734</v>
      </c>
      <c r="B3189" t="s">
        <v>445</v>
      </c>
      <c r="C3189" t="s">
        <v>704</v>
      </c>
      <c r="D3189" s="5">
        <v>31050</v>
      </c>
      <c r="E3189" s="5">
        <v>137278</v>
      </c>
      <c r="F3189" s="5">
        <v>11432</v>
      </c>
      <c r="G3189" s="5">
        <v>179760</v>
      </c>
    </row>
    <row r="3190" spans="1:7" x14ac:dyDescent="0.2">
      <c r="A3190">
        <v>1734</v>
      </c>
      <c r="B3190" t="s">
        <v>445</v>
      </c>
      <c r="C3190" t="s">
        <v>705</v>
      </c>
      <c r="D3190" s="5">
        <v>109434</v>
      </c>
      <c r="E3190" s="5">
        <v>391985</v>
      </c>
      <c r="F3190" s="5">
        <v>55912</v>
      </c>
      <c r="G3190" s="5">
        <v>557331</v>
      </c>
    </row>
    <row r="3191" spans="1:7" x14ac:dyDescent="0.2">
      <c r="A3191">
        <v>1734</v>
      </c>
      <c r="B3191" t="s">
        <v>445</v>
      </c>
      <c r="C3191" t="s">
        <v>707</v>
      </c>
      <c r="D3191" s="5">
        <v>1147</v>
      </c>
      <c r="E3191" s="5">
        <v>8231</v>
      </c>
      <c r="F3191" s="5">
        <v>0</v>
      </c>
      <c r="G3191" s="5">
        <v>9379</v>
      </c>
    </row>
    <row r="3192" spans="1:7" x14ac:dyDescent="0.2">
      <c r="A3192">
        <v>1734</v>
      </c>
      <c r="B3192" t="s">
        <v>445</v>
      </c>
      <c r="C3192" t="s">
        <v>708</v>
      </c>
      <c r="D3192" s="5">
        <v>3768</v>
      </c>
      <c r="E3192" s="5">
        <v>42558</v>
      </c>
      <c r="F3192" s="5">
        <v>0</v>
      </c>
      <c r="G3192" s="5">
        <v>46326</v>
      </c>
    </row>
    <row r="3193" spans="1:7" x14ac:dyDescent="0.2">
      <c r="A3193">
        <v>1734</v>
      </c>
      <c r="B3193" t="s">
        <v>445</v>
      </c>
      <c r="C3193" t="s">
        <v>709</v>
      </c>
      <c r="D3193" s="5">
        <v>67644</v>
      </c>
      <c r="E3193" s="5">
        <v>42764</v>
      </c>
      <c r="F3193" s="5">
        <v>8346</v>
      </c>
      <c r="G3193" s="5">
        <v>118754</v>
      </c>
    </row>
    <row r="3194" spans="1:7" x14ac:dyDescent="0.2">
      <c r="A3194">
        <v>1734</v>
      </c>
      <c r="B3194" t="s">
        <v>445</v>
      </c>
      <c r="C3194" t="s">
        <v>710</v>
      </c>
      <c r="D3194" s="5">
        <v>640</v>
      </c>
      <c r="E3194" s="5">
        <v>23138</v>
      </c>
      <c r="F3194" s="5">
        <v>566</v>
      </c>
      <c r="G3194" s="5">
        <v>24344</v>
      </c>
    </row>
    <row r="3195" spans="1:7" x14ac:dyDescent="0.2">
      <c r="A3195">
        <v>1734</v>
      </c>
      <c r="B3195" t="s">
        <v>445</v>
      </c>
      <c r="C3195" t="s">
        <v>712</v>
      </c>
      <c r="D3195" s="5">
        <v>15434</v>
      </c>
      <c r="E3195" s="5">
        <v>187227</v>
      </c>
      <c r="F3195" s="5">
        <v>1974</v>
      </c>
      <c r="G3195" s="5">
        <v>204636</v>
      </c>
    </row>
    <row r="3196" spans="1:7" x14ac:dyDescent="0.2">
      <c r="A3196">
        <v>1735</v>
      </c>
      <c r="B3196" t="s">
        <v>271</v>
      </c>
      <c r="C3196" t="s">
        <v>700</v>
      </c>
      <c r="D3196" s="5">
        <v>1472026</v>
      </c>
      <c r="E3196" s="5">
        <v>691337</v>
      </c>
      <c r="F3196" s="5">
        <v>54789</v>
      </c>
      <c r="G3196" s="5">
        <v>2218151</v>
      </c>
    </row>
    <row r="3197" spans="1:7" x14ac:dyDescent="0.2">
      <c r="A3197">
        <v>1735</v>
      </c>
      <c r="B3197" t="s">
        <v>271</v>
      </c>
      <c r="C3197" t="s">
        <v>701</v>
      </c>
      <c r="D3197" s="5">
        <v>23330</v>
      </c>
      <c r="E3197" s="5">
        <v>28841</v>
      </c>
      <c r="F3197" s="5">
        <v>415</v>
      </c>
      <c r="G3197" s="5">
        <v>52586</v>
      </c>
    </row>
    <row r="3198" spans="1:7" x14ac:dyDescent="0.2">
      <c r="A3198">
        <v>1735</v>
      </c>
      <c r="B3198" t="s">
        <v>271</v>
      </c>
      <c r="C3198" t="s">
        <v>703</v>
      </c>
      <c r="D3198" s="5">
        <v>2870</v>
      </c>
      <c r="E3198" s="5">
        <v>7101</v>
      </c>
      <c r="F3198" s="5">
        <v>0</v>
      </c>
      <c r="G3198" s="5">
        <v>9971</v>
      </c>
    </row>
    <row r="3199" spans="1:7" x14ac:dyDescent="0.2">
      <c r="A3199">
        <v>1735</v>
      </c>
      <c r="B3199" t="s">
        <v>271</v>
      </c>
      <c r="C3199" t="s">
        <v>704</v>
      </c>
      <c r="D3199" s="5">
        <v>57055</v>
      </c>
      <c r="E3199" s="5">
        <v>298753</v>
      </c>
      <c r="F3199" s="5">
        <v>6418</v>
      </c>
      <c r="G3199" s="5">
        <v>362225</v>
      </c>
    </row>
    <row r="3200" spans="1:7" x14ac:dyDescent="0.2">
      <c r="A3200">
        <v>1735</v>
      </c>
      <c r="B3200" t="s">
        <v>271</v>
      </c>
      <c r="C3200" t="s">
        <v>705</v>
      </c>
      <c r="D3200" s="5">
        <v>9656</v>
      </c>
      <c r="E3200" s="5">
        <v>36742</v>
      </c>
      <c r="F3200" s="5">
        <v>2238</v>
      </c>
      <c r="G3200" s="5">
        <v>48637</v>
      </c>
    </row>
    <row r="3201" spans="1:7" x14ac:dyDescent="0.2">
      <c r="A3201">
        <v>1735</v>
      </c>
      <c r="B3201" t="s">
        <v>271</v>
      </c>
      <c r="C3201" t="s">
        <v>707</v>
      </c>
      <c r="D3201" s="5">
        <v>26498</v>
      </c>
      <c r="E3201" s="5">
        <v>17949</v>
      </c>
      <c r="F3201" s="5">
        <v>114</v>
      </c>
      <c r="G3201" s="5">
        <v>44561</v>
      </c>
    </row>
    <row r="3202" spans="1:7" x14ac:dyDescent="0.2">
      <c r="A3202">
        <v>1735</v>
      </c>
      <c r="B3202" t="s">
        <v>271</v>
      </c>
      <c r="C3202" t="s">
        <v>708</v>
      </c>
      <c r="D3202" s="5">
        <v>8122</v>
      </c>
      <c r="E3202" s="5">
        <v>19454</v>
      </c>
      <c r="F3202" s="5">
        <v>0</v>
      </c>
      <c r="G3202" s="5">
        <v>27575</v>
      </c>
    </row>
    <row r="3203" spans="1:7" x14ac:dyDescent="0.2">
      <c r="A3203">
        <v>1735</v>
      </c>
      <c r="B3203" t="s">
        <v>271</v>
      </c>
      <c r="C3203" t="s">
        <v>709</v>
      </c>
      <c r="D3203" s="5">
        <v>10727</v>
      </c>
      <c r="E3203" s="5">
        <v>24601</v>
      </c>
      <c r="F3203" s="5">
        <v>221</v>
      </c>
      <c r="G3203" s="5">
        <v>35550</v>
      </c>
    </row>
    <row r="3204" spans="1:7" x14ac:dyDescent="0.2">
      <c r="A3204">
        <v>1735</v>
      </c>
      <c r="B3204" t="s">
        <v>271</v>
      </c>
      <c r="C3204" t="s">
        <v>710</v>
      </c>
      <c r="D3204" s="5">
        <v>1322</v>
      </c>
      <c r="E3204" s="5">
        <v>32205</v>
      </c>
      <c r="F3204" s="5">
        <v>478</v>
      </c>
      <c r="G3204" s="5">
        <v>34005</v>
      </c>
    </row>
    <row r="3205" spans="1:7" x14ac:dyDescent="0.2">
      <c r="A3205">
        <v>1735</v>
      </c>
      <c r="B3205" t="s">
        <v>271</v>
      </c>
      <c r="C3205" t="s">
        <v>712</v>
      </c>
      <c r="D3205" s="5">
        <v>36110</v>
      </c>
      <c r="E3205" s="5">
        <v>132765</v>
      </c>
      <c r="F3205" s="5">
        <v>804</v>
      </c>
      <c r="G3205" s="5">
        <v>169678</v>
      </c>
    </row>
    <row r="3206" spans="1:7" x14ac:dyDescent="0.2">
      <c r="A3206">
        <v>1740</v>
      </c>
      <c r="B3206" t="s">
        <v>381</v>
      </c>
      <c r="C3206" t="s">
        <v>700</v>
      </c>
      <c r="D3206" s="5">
        <v>349628</v>
      </c>
      <c r="E3206" s="5">
        <v>447521</v>
      </c>
      <c r="F3206" s="5">
        <v>7855</v>
      </c>
      <c r="G3206" s="5">
        <v>805004</v>
      </c>
    </row>
    <row r="3207" spans="1:7" x14ac:dyDescent="0.2">
      <c r="A3207">
        <v>1740</v>
      </c>
      <c r="B3207" t="s">
        <v>381</v>
      </c>
      <c r="C3207" t="s">
        <v>701</v>
      </c>
      <c r="D3207" s="5">
        <v>15979</v>
      </c>
      <c r="E3207" s="5">
        <v>12863</v>
      </c>
      <c r="F3207" s="5">
        <v>92</v>
      </c>
      <c r="G3207" s="5">
        <v>28933</v>
      </c>
    </row>
    <row r="3208" spans="1:7" x14ac:dyDescent="0.2">
      <c r="A3208">
        <v>1740</v>
      </c>
      <c r="B3208" t="s">
        <v>381</v>
      </c>
      <c r="C3208" t="s">
        <v>703</v>
      </c>
      <c r="D3208" s="5">
        <v>1017</v>
      </c>
      <c r="E3208" s="5">
        <v>6879</v>
      </c>
      <c r="F3208" s="5">
        <v>0</v>
      </c>
      <c r="G3208" s="5">
        <v>7896</v>
      </c>
    </row>
    <row r="3209" spans="1:7" x14ac:dyDescent="0.2">
      <c r="A3209">
        <v>1740</v>
      </c>
      <c r="B3209" t="s">
        <v>381</v>
      </c>
      <c r="C3209" t="s">
        <v>704</v>
      </c>
      <c r="D3209" s="5">
        <v>25976</v>
      </c>
      <c r="E3209" s="5">
        <v>340956</v>
      </c>
      <c r="F3209" s="5">
        <v>13856</v>
      </c>
      <c r="G3209" s="5">
        <v>380788</v>
      </c>
    </row>
    <row r="3210" spans="1:7" x14ac:dyDescent="0.2">
      <c r="A3210">
        <v>1740</v>
      </c>
      <c r="B3210" t="s">
        <v>381</v>
      </c>
      <c r="C3210" t="s">
        <v>705</v>
      </c>
      <c r="D3210" s="5">
        <v>3394</v>
      </c>
      <c r="E3210" s="5">
        <v>17771</v>
      </c>
      <c r="F3210" s="5">
        <v>299</v>
      </c>
      <c r="G3210" s="5">
        <v>21465</v>
      </c>
    </row>
    <row r="3211" spans="1:7" x14ac:dyDescent="0.2">
      <c r="A3211">
        <v>1740</v>
      </c>
      <c r="B3211" t="s">
        <v>381</v>
      </c>
      <c r="C3211" t="s">
        <v>707</v>
      </c>
      <c r="D3211" s="5">
        <v>7002</v>
      </c>
      <c r="E3211" s="5">
        <v>6807</v>
      </c>
      <c r="F3211" s="5">
        <v>0</v>
      </c>
      <c r="G3211" s="5">
        <v>13809</v>
      </c>
    </row>
    <row r="3212" spans="1:7" x14ac:dyDescent="0.2">
      <c r="A3212">
        <v>1740</v>
      </c>
      <c r="B3212" t="s">
        <v>381</v>
      </c>
      <c r="C3212" t="s">
        <v>708</v>
      </c>
      <c r="D3212" s="5">
        <v>1732</v>
      </c>
      <c r="E3212" s="5">
        <v>23029</v>
      </c>
      <c r="F3212" s="5">
        <v>0</v>
      </c>
      <c r="G3212" s="5">
        <v>24762</v>
      </c>
    </row>
    <row r="3213" spans="1:7" x14ac:dyDescent="0.2">
      <c r="A3213">
        <v>1740</v>
      </c>
      <c r="B3213" t="s">
        <v>381</v>
      </c>
      <c r="C3213" t="s">
        <v>709</v>
      </c>
      <c r="D3213" s="5">
        <v>2227</v>
      </c>
      <c r="E3213" s="5">
        <v>7969</v>
      </c>
      <c r="F3213" s="5">
        <v>60</v>
      </c>
      <c r="G3213" s="5">
        <v>10257</v>
      </c>
    </row>
    <row r="3214" spans="1:7" x14ac:dyDescent="0.2">
      <c r="A3214">
        <v>1740</v>
      </c>
      <c r="B3214" t="s">
        <v>381</v>
      </c>
      <c r="C3214" t="s">
        <v>710</v>
      </c>
      <c r="D3214" s="5">
        <v>163</v>
      </c>
      <c r="E3214" s="5">
        <v>5650</v>
      </c>
      <c r="F3214" s="5">
        <v>0</v>
      </c>
      <c r="G3214" s="5">
        <v>5813</v>
      </c>
    </row>
    <row r="3215" spans="1:7" x14ac:dyDescent="0.2">
      <c r="A3215">
        <v>1740</v>
      </c>
      <c r="B3215" t="s">
        <v>381</v>
      </c>
      <c r="C3215" t="s">
        <v>712</v>
      </c>
      <c r="D3215" s="5">
        <v>9303</v>
      </c>
      <c r="E3215" s="5">
        <v>67759</v>
      </c>
      <c r="F3215" s="5">
        <v>0</v>
      </c>
      <c r="G3215" s="5">
        <v>77062</v>
      </c>
    </row>
    <row r="3216" spans="1:7" x14ac:dyDescent="0.2">
      <c r="A3216">
        <v>1742</v>
      </c>
      <c r="B3216" t="s">
        <v>475</v>
      </c>
      <c r="C3216" t="s">
        <v>700</v>
      </c>
      <c r="D3216" s="5">
        <v>433613</v>
      </c>
      <c r="E3216" s="5">
        <v>273426</v>
      </c>
      <c r="F3216" s="5">
        <v>8350</v>
      </c>
      <c r="G3216" s="5">
        <v>715388</v>
      </c>
    </row>
    <row r="3217" spans="1:7" x14ac:dyDescent="0.2">
      <c r="A3217">
        <v>1742</v>
      </c>
      <c r="B3217" t="s">
        <v>475</v>
      </c>
      <c r="C3217" t="s">
        <v>701</v>
      </c>
      <c r="D3217" s="5">
        <v>19352</v>
      </c>
      <c r="E3217" s="5">
        <v>25456</v>
      </c>
      <c r="F3217" s="5">
        <v>0</v>
      </c>
      <c r="G3217" s="5">
        <v>44807</v>
      </c>
    </row>
    <row r="3218" spans="1:7" x14ac:dyDescent="0.2">
      <c r="A3218">
        <v>1742</v>
      </c>
      <c r="B3218" t="s">
        <v>475</v>
      </c>
      <c r="C3218" t="s">
        <v>703</v>
      </c>
      <c r="D3218" s="5">
        <v>489</v>
      </c>
      <c r="E3218" s="5">
        <v>430</v>
      </c>
      <c r="F3218" s="5">
        <v>0</v>
      </c>
      <c r="G3218" s="5">
        <v>918</v>
      </c>
    </row>
    <row r="3219" spans="1:7" x14ac:dyDescent="0.2">
      <c r="A3219">
        <v>1742</v>
      </c>
      <c r="B3219" t="s">
        <v>475</v>
      </c>
      <c r="C3219" t="s">
        <v>704</v>
      </c>
      <c r="D3219" s="5">
        <v>19639</v>
      </c>
      <c r="E3219" s="5">
        <v>603651</v>
      </c>
      <c r="F3219" s="5">
        <v>657</v>
      </c>
      <c r="G3219" s="5">
        <v>623948</v>
      </c>
    </row>
    <row r="3220" spans="1:7" x14ac:dyDescent="0.2">
      <c r="A3220">
        <v>1742</v>
      </c>
      <c r="B3220" t="s">
        <v>475</v>
      </c>
      <c r="C3220" t="s">
        <v>705</v>
      </c>
      <c r="D3220" s="5">
        <v>4844</v>
      </c>
      <c r="E3220" s="5">
        <v>78440</v>
      </c>
      <c r="F3220" s="5">
        <v>0</v>
      </c>
      <c r="G3220" s="5">
        <v>83284</v>
      </c>
    </row>
    <row r="3221" spans="1:7" x14ac:dyDescent="0.2">
      <c r="A3221">
        <v>1742</v>
      </c>
      <c r="B3221" t="s">
        <v>475</v>
      </c>
      <c r="C3221" t="s">
        <v>707</v>
      </c>
      <c r="D3221" s="5">
        <v>34918</v>
      </c>
      <c r="E3221" s="5">
        <v>32187</v>
      </c>
      <c r="F3221" s="5">
        <v>656</v>
      </c>
      <c r="G3221" s="5">
        <v>67760</v>
      </c>
    </row>
    <row r="3222" spans="1:7" x14ac:dyDescent="0.2">
      <c r="A3222">
        <v>1742</v>
      </c>
      <c r="B3222" t="s">
        <v>475</v>
      </c>
      <c r="C3222" t="s">
        <v>708</v>
      </c>
      <c r="D3222" s="5">
        <v>8247</v>
      </c>
      <c r="E3222" s="5">
        <v>38651</v>
      </c>
      <c r="F3222" s="5">
        <v>1181</v>
      </c>
      <c r="G3222" s="5">
        <v>48079</v>
      </c>
    </row>
    <row r="3223" spans="1:7" x14ac:dyDescent="0.2">
      <c r="A3223">
        <v>1742</v>
      </c>
      <c r="B3223" t="s">
        <v>475</v>
      </c>
      <c r="C3223" t="s">
        <v>709</v>
      </c>
      <c r="D3223" s="5">
        <v>2938</v>
      </c>
      <c r="E3223" s="5">
        <v>25290</v>
      </c>
      <c r="F3223" s="5">
        <v>55</v>
      </c>
      <c r="G3223" s="5">
        <v>28283</v>
      </c>
    </row>
    <row r="3224" spans="1:7" x14ac:dyDescent="0.2">
      <c r="A3224">
        <v>1742</v>
      </c>
      <c r="B3224" t="s">
        <v>475</v>
      </c>
      <c r="C3224" t="s">
        <v>710</v>
      </c>
      <c r="D3224" s="5">
        <v>127</v>
      </c>
      <c r="E3224" s="5">
        <v>40053</v>
      </c>
      <c r="F3224" s="5">
        <v>179</v>
      </c>
      <c r="G3224" s="5">
        <v>40359</v>
      </c>
    </row>
    <row r="3225" spans="1:7" x14ac:dyDescent="0.2">
      <c r="A3225">
        <v>1742</v>
      </c>
      <c r="B3225" t="s">
        <v>475</v>
      </c>
      <c r="C3225" t="s">
        <v>712</v>
      </c>
      <c r="D3225" s="5">
        <v>8079</v>
      </c>
      <c r="E3225" s="5">
        <v>121481</v>
      </c>
      <c r="F3225" s="5">
        <v>851</v>
      </c>
      <c r="G3225" s="5">
        <v>130411</v>
      </c>
    </row>
    <row r="3226" spans="1:7" x14ac:dyDescent="0.2">
      <c r="A3226">
        <v>1771</v>
      </c>
      <c r="B3226" t="s">
        <v>189</v>
      </c>
      <c r="C3226" t="s">
        <v>700</v>
      </c>
      <c r="D3226" s="5">
        <v>167305</v>
      </c>
      <c r="E3226" s="5">
        <v>292460</v>
      </c>
      <c r="F3226" s="5">
        <v>9253</v>
      </c>
      <c r="G3226" s="5">
        <v>469018</v>
      </c>
    </row>
    <row r="3227" spans="1:7" x14ac:dyDescent="0.2">
      <c r="A3227">
        <v>1771</v>
      </c>
      <c r="B3227" t="s">
        <v>189</v>
      </c>
      <c r="C3227" t="s">
        <v>701</v>
      </c>
      <c r="D3227" s="5">
        <v>15959</v>
      </c>
      <c r="E3227" s="5">
        <v>25827</v>
      </c>
      <c r="F3227" s="5">
        <v>202</v>
      </c>
      <c r="G3227" s="5">
        <v>41988</v>
      </c>
    </row>
    <row r="3228" spans="1:7" x14ac:dyDescent="0.2">
      <c r="A3228">
        <v>1771</v>
      </c>
      <c r="B3228" t="s">
        <v>189</v>
      </c>
      <c r="C3228" t="s">
        <v>703</v>
      </c>
      <c r="D3228" s="5">
        <v>852</v>
      </c>
      <c r="E3228" s="5">
        <v>16918</v>
      </c>
      <c r="F3228" s="5">
        <v>0</v>
      </c>
      <c r="G3228" s="5">
        <v>17770</v>
      </c>
    </row>
    <row r="3229" spans="1:7" x14ac:dyDescent="0.2">
      <c r="A3229">
        <v>1771</v>
      </c>
      <c r="B3229" t="s">
        <v>189</v>
      </c>
      <c r="C3229" t="s">
        <v>704</v>
      </c>
      <c r="D3229" s="5">
        <v>19490</v>
      </c>
      <c r="E3229" s="5">
        <v>54671</v>
      </c>
      <c r="F3229" s="5">
        <v>0</v>
      </c>
      <c r="G3229" s="5">
        <v>74160</v>
      </c>
    </row>
    <row r="3230" spans="1:7" x14ac:dyDescent="0.2">
      <c r="A3230">
        <v>1771</v>
      </c>
      <c r="B3230" t="s">
        <v>189</v>
      </c>
      <c r="C3230" t="s">
        <v>705</v>
      </c>
      <c r="D3230" s="5">
        <v>8025</v>
      </c>
      <c r="E3230" s="5">
        <v>288646</v>
      </c>
      <c r="F3230" s="5">
        <v>937</v>
      </c>
      <c r="G3230" s="5">
        <v>297607</v>
      </c>
    </row>
    <row r="3231" spans="1:7" x14ac:dyDescent="0.2">
      <c r="A3231">
        <v>1771</v>
      </c>
      <c r="B3231" t="s">
        <v>189</v>
      </c>
      <c r="C3231" t="s">
        <v>707</v>
      </c>
      <c r="D3231" s="5">
        <v>4899</v>
      </c>
      <c r="E3231" s="5">
        <v>8659</v>
      </c>
      <c r="F3231" s="5">
        <v>41</v>
      </c>
      <c r="G3231" s="5">
        <v>13600</v>
      </c>
    </row>
    <row r="3232" spans="1:7" x14ac:dyDescent="0.2">
      <c r="A3232">
        <v>1771</v>
      </c>
      <c r="B3232" t="s">
        <v>189</v>
      </c>
      <c r="C3232" t="s">
        <v>708</v>
      </c>
      <c r="D3232" s="5">
        <v>5057</v>
      </c>
      <c r="E3232" s="5">
        <v>28518</v>
      </c>
      <c r="F3232" s="5">
        <v>0</v>
      </c>
      <c r="G3232" s="5">
        <v>33575</v>
      </c>
    </row>
    <row r="3233" spans="1:7" x14ac:dyDescent="0.2">
      <c r="A3233">
        <v>1771</v>
      </c>
      <c r="B3233" t="s">
        <v>189</v>
      </c>
      <c r="C3233" t="s">
        <v>709</v>
      </c>
      <c r="D3233" s="5">
        <v>15746</v>
      </c>
      <c r="E3233" s="5">
        <v>94775</v>
      </c>
      <c r="F3233" s="5">
        <v>136</v>
      </c>
      <c r="G3233" s="5">
        <v>110657</v>
      </c>
    </row>
    <row r="3234" spans="1:7" x14ac:dyDescent="0.2">
      <c r="A3234">
        <v>1771</v>
      </c>
      <c r="B3234" t="s">
        <v>189</v>
      </c>
      <c r="C3234" t="s">
        <v>710</v>
      </c>
      <c r="D3234" s="5">
        <v>1296</v>
      </c>
      <c r="E3234" s="5">
        <v>21833</v>
      </c>
      <c r="F3234" s="5">
        <v>0</v>
      </c>
      <c r="G3234" s="5">
        <v>23129</v>
      </c>
    </row>
    <row r="3235" spans="1:7" x14ac:dyDescent="0.2">
      <c r="A3235">
        <v>1771</v>
      </c>
      <c r="B3235" t="s">
        <v>189</v>
      </c>
      <c r="C3235" t="s">
        <v>712</v>
      </c>
      <c r="D3235" s="5">
        <v>8307</v>
      </c>
      <c r="E3235" s="5">
        <v>57846</v>
      </c>
      <c r="F3235" s="5">
        <v>0</v>
      </c>
      <c r="G3235" s="5">
        <v>66152</v>
      </c>
    </row>
    <row r="3236" spans="1:7" x14ac:dyDescent="0.2">
      <c r="A3236">
        <v>1773</v>
      </c>
      <c r="B3236" t="s">
        <v>421</v>
      </c>
      <c r="C3236" t="s">
        <v>700</v>
      </c>
      <c r="D3236" s="5">
        <v>446059</v>
      </c>
      <c r="E3236" s="5">
        <v>294043</v>
      </c>
      <c r="F3236" s="5">
        <v>8367</v>
      </c>
      <c r="G3236" s="5">
        <v>748470</v>
      </c>
    </row>
    <row r="3237" spans="1:7" x14ac:dyDescent="0.2">
      <c r="A3237">
        <v>1773</v>
      </c>
      <c r="B3237" t="s">
        <v>421</v>
      </c>
      <c r="C3237" t="s">
        <v>701</v>
      </c>
      <c r="D3237" s="5">
        <v>11889</v>
      </c>
      <c r="E3237" s="5">
        <v>12920</v>
      </c>
      <c r="F3237" s="5">
        <v>233</v>
      </c>
      <c r="G3237" s="5">
        <v>25042</v>
      </c>
    </row>
    <row r="3238" spans="1:7" x14ac:dyDescent="0.2">
      <c r="A3238">
        <v>1773</v>
      </c>
      <c r="B3238" t="s">
        <v>421</v>
      </c>
      <c r="C3238" t="s">
        <v>703</v>
      </c>
      <c r="D3238" s="5">
        <v>4260</v>
      </c>
      <c r="E3238" s="5">
        <v>8240</v>
      </c>
      <c r="F3238" s="5">
        <v>0</v>
      </c>
      <c r="G3238" s="5">
        <v>12500</v>
      </c>
    </row>
    <row r="3239" spans="1:7" x14ac:dyDescent="0.2">
      <c r="A3239">
        <v>1773</v>
      </c>
      <c r="B3239" t="s">
        <v>421</v>
      </c>
      <c r="C3239" t="s">
        <v>704</v>
      </c>
      <c r="D3239" s="5">
        <v>27473</v>
      </c>
      <c r="E3239" s="5">
        <v>113359</v>
      </c>
      <c r="F3239" s="5">
        <v>1569</v>
      </c>
      <c r="G3239" s="5">
        <v>142402</v>
      </c>
    </row>
    <row r="3240" spans="1:7" x14ac:dyDescent="0.2">
      <c r="A3240">
        <v>1773</v>
      </c>
      <c r="B3240" t="s">
        <v>421</v>
      </c>
      <c r="C3240" t="s">
        <v>705</v>
      </c>
      <c r="D3240" s="5">
        <v>3072</v>
      </c>
      <c r="E3240" s="5">
        <v>7525</v>
      </c>
      <c r="F3240" s="5">
        <v>0</v>
      </c>
      <c r="G3240" s="5">
        <v>10597</v>
      </c>
    </row>
    <row r="3241" spans="1:7" x14ac:dyDescent="0.2">
      <c r="A3241">
        <v>1773</v>
      </c>
      <c r="B3241" t="s">
        <v>421</v>
      </c>
      <c r="C3241" t="s">
        <v>707</v>
      </c>
      <c r="D3241" s="5">
        <v>4215</v>
      </c>
      <c r="E3241" s="5">
        <v>117</v>
      </c>
      <c r="F3241" s="5">
        <v>0</v>
      </c>
      <c r="G3241" s="5">
        <v>4332</v>
      </c>
    </row>
    <row r="3242" spans="1:7" x14ac:dyDescent="0.2">
      <c r="A3242">
        <v>1773</v>
      </c>
      <c r="B3242" t="s">
        <v>421</v>
      </c>
      <c r="C3242" t="s">
        <v>708</v>
      </c>
      <c r="D3242" s="5">
        <v>4036</v>
      </c>
      <c r="E3242" s="5">
        <v>8092</v>
      </c>
      <c r="F3242" s="5">
        <v>0</v>
      </c>
      <c r="G3242" s="5">
        <v>12128</v>
      </c>
    </row>
    <row r="3243" spans="1:7" x14ac:dyDescent="0.2">
      <c r="A3243">
        <v>1773</v>
      </c>
      <c r="B3243" t="s">
        <v>421</v>
      </c>
      <c r="C3243" t="s">
        <v>709</v>
      </c>
      <c r="D3243" s="5">
        <v>3298</v>
      </c>
      <c r="E3243" s="5">
        <v>9613</v>
      </c>
      <c r="F3243" s="5">
        <v>220</v>
      </c>
      <c r="G3243" s="5">
        <v>13131</v>
      </c>
    </row>
    <row r="3244" spans="1:7" x14ac:dyDescent="0.2">
      <c r="A3244">
        <v>1773</v>
      </c>
      <c r="B3244" t="s">
        <v>421</v>
      </c>
      <c r="C3244" t="s">
        <v>710</v>
      </c>
      <c r="D3244" s="5">
        <v>0</v>
      </c>
      <c r="E3244" s="5">
        <v>5195</v>
      </c>
      <c r="F3244" s="5">
        <v>0</v>
      </c>
      <c r="G3244" s="5">
        <v>5195</v>
      </c>
    </row>
    <row r="3245" spans="1:7" x14ac:dyDescent="0.2">
      <c r="A3245">
        <v>1773</v>
      </c>
      <c r="B3245" t="s">
        <v>421</v>
      </c>
      <c r="C3245" t="s">
        <v>712</v>
      </c>
      <c r="D3245" s="5">
        <v>6103</v>
      </c>
      <c r="E3245" s="5">
        <v>29565</v>
      </c>
      <c r="F3245" s="5">
        <v>1017</v>
      </c>
      <c r="G3245" s="5">
        <v>36685</v>
      </c>
    </row>
    <row r="3246" spans="1:7" x14ac:dyDescent="0.2">
      <c r="A3246">
        <v>1774</v>
      </c>
      <c r="B3246" t="s">
        <v>135</v>
      </c>
      <c r="C3246" t="s">
        <v>700</v>
      </c>
      <c r="D3246" s="5">
        <v>1051192</v>
      </c>
      <c r="E3246" s="5">
        <v>453094</v>
      </c>
      <c r="F3246" s="5">
        <v>12249</v>
      </c>
      <c r="G3246" s="5">
        <v>1516534</v>
      </c>
    </row>
    <row r="3247" spans="1:7" x14ac:dyDescent="0.2">
      <c r="A3247">
        <v>1774</v>
      </c>
      <c r="B3247" t="s">
        <v>135</v>
      </c>
      <c r="C3247" t="s">
        <v>701</v>
      </c>
      <c r="D3247" s="5">
        <v>14889</v>
      </c>
      <c r="E3247" s="5">
        <v>18078</v>
      </c>
      <c r="F3247" s="5">
        <v>179</v>
      </c>
      <c r="G3247" s="5">
        <v>33146</v>
      </c>
    </row>
    <row r="3248" spans="1:7" x14ac:dyDescent="0.2">
      <c r="A3248">
        <v>1774</v>
      </c>
      <c r="B3248" t="s">
        <v>135</v>
      </c>
      <c r="C3248" t="s">
        <v>703</v>
      </c>
      <c r="D3248" s="5">
        <v>2129</v>
      </c>
      <c r="E3248" s="5">
        <v>4249</v>
      </c>
      <c r="F3248" s="5">
        <v>0</v>
      </c>
      <c r="G3248" s="5">
        <v>6378</v>
      </c>
    </row>
    <row r="3249" spans="1:7" x14ac:dyDescent="0.2">
      <c r="A3249">
        <v>1774</v>
      </c>
      <c r="B3249" t="s">
        <v>135</v>
      </c>
      <c r="C3249" t="s">
        <v>704</v>
      </c>
      <c r="D3249" s="5">
        <v>14657</v>
      </c>
      <c r="E3249" s="5">
        <v>226136</v>
      </c>
      <c r="F3249" s="5">
        <v>3725</v>
      </c>
      <c r="G3249" s="5">
        <v>244518</v>
      </c>
    </row>
    <row r="3250" spans="1:7" x14ac:dyDescent="0.2">
      <c r="A3250">
        <v>1774</v>
      </c>
      <c r="B3250" t="s">
        <v>135</v>
      </c>
      <c r="C3250" t="s">
        <v>705</v>
      </c>
      <c r="D3250" s="5">
        <v>7956</v>
      </c>
      <c r="E3250" s="5">
        <v>71349</v>
      </c>
      <c r="F3250" s="5">
        <v>958</v>
      </c>
      <c r="G3250" s="5">
        <v>80263</v>
      </c>
    </row>
    <row r="3251" spans="1:7" x14ac:dyDescent="0.2">
      <c r="A3251">
        <v>1774</v>
      </c>
      <c r="B3251" t="s">
        <v>135</v>
      </c>
      <c r="C3251" t="s">
        <v>707</v>
      </c>
      <c r="D3251" s="5">
        <v>13915</v>
      </c>
      <c r="E3251" s="5">
        <v>7566</v>
      </c>
      <c r="F3251" s="5">
        <v>309</v>
      </c>
      <c r="G3251" s="5">
        <v>21790</v>
      </c>
    </row>
    <row r="3252" spans="1:7" x14ac:dyDescent="0.2">
      <c r="A3252">
        <v>1774</v>
      </c>
      <c r="B3252" t="s">
        <v>135</v>
      </c>
      <c r="C3252" t="s">
        <v>708</v>
      </c>
      <c r="D3252" s="5">
        <v>5253</v>
      </c>
      <c r="E3252" s="5">
        <v>13838</v>
      </c>
      <c r="F3252" s="5">
        <v>0</v>
      </c>
      <c r="G3252" s="5">
        <v>19091</v>
      </c>
    </row>
    <row r="3253" spans="1:7" x14ac:dyDescent="0.2">
      <c r="A3253">
        <v>1774</v>
      </c>
      <c r="B3253" t="s">
        <v>135</v>
      </c>
      <c r="C3253" t="s">
        <v>709</v>
      </c>
      <c r="D3253" s="5">
        <v>17432</v>
      </c>
      <c r="E3253" s="5">
        <v>155285</v>
      </c>
      <c r="F3253" s="5">
        <v>43</v>
      </c>
      <c r="G3253" s="5">
        <v>172760</v>
      </c>
    </row>
    <row r="3254" spans="1:7" x14ac:dyDescent="0.2">
      <c r="A3254">
        <v>1774</v>
      </c>
      <c r="B3254" t="s">
        <v>135</v>
      </c>
      <c r="C3254" t="s">
        <v>710</v>
      </c>
      <c r="D3254" s="5">
        <v>4032</v>
      </c>
      <c r="E3254" s="5">
        <v>26795</v>
      </c>
      <c r="F3254" s="5">
        <v>199</v>
      </c>
      <c r="G3254" s="5">
        <v>31026</v>
      </c>
    </row>
    <row r="3255" spans="1:7" x14ac:dyDescent="0.2">
      <c r="A3255">
        <v>1774</v>
      </c>
      <c r="B3255" t="s">
        <v>135</v>
      </c>
      <c r="C3255" t="s">
        <v>711</v>
      </c>
      <c r="D3255" s="5">
        <v>0</v>
      </c>
      <c r="E3255" s="5">
        <v>42</v>
      </c>
      <c r="F3255" s="5">
        <v>0</v>
      </c>
      <c r="G3255" s="5">
        <v>42</v>
      </c>
    </row>
    <row r="3256" spans="1:7" x14ac:dyDescent="0.2">
      <c r="A3256">
        <v>1774</v>
      </c>
      <c r="B3256" t="s">
        <v>135</v>
      </c>
      <c r="C3256" t="s">
        <v>712</v>
      </c>
      <c r="D3256" s="5">
        <v>9457</v>
      </c>
      <c r="E3256" s="5">
        <v>73394</v>
      </c>
      <c r="F3256" s="5">
        <v>445</v>
      </c>
      <c r="G3256" s="5">
        <v>83295</v>
      </c>
    </row>
    <row r="3257" spans="1:7" x14ac:dyDescent="0.2">
      <c r="A3257">
        <v>1783</v>
      </c>
      <c r="B3257" t="s">
        <v>635</v>
      </c>
      <c r="C3257" t="s">
        <v>700</v>
      </c>
      <c r="D3257" s="5">
        <v>18575487</v>
      </c>
      <c r="E3257" s="5">
        <v>8716853</v>
      </c>
      <c r="F3257" s="5">
        <v>123046</v>
      </c>
      <c r="G3257" s="5">
        <v>27415386</v>
      </c>
    </row>
    <row r="3258" spans="1:7" x14ac:dyDescent="0.2">
      <c r="A3258">
        <v>1783</v>
      </c>
      <c r="B3258" t="s">
        <v>635</v>
      </c>
      <c r="C3258" t="s">
        <v>701</v>
      </c>
      <c r="D3258" s="5">
        <v>35156</v>
      </c>
      <c r="E3258" s="5">
        <v>74831</v>
      </c>
      <c r="F3258" s="5">
        <v>604</v>
      </c>
      <c r="G3258" s="5">
        <v>110590</v>
      </c>
    </row>
    <row r="3259" spans="1:7" x14ac:dyDescent="0.2">
      <c r="A3259">
        <v>1783</v>
      </c>
      <c r="B3259" t="s">
        <v>635</v>
      </c>
      <c r="C3259" t="s">
        <v>703</v>
      </c>
      <c r="D3259" s="5">
        <v>5395</v>
      </c>
      <c r="E3259" s="5">
        <v>27200</v>
      </c>
      <c r="F3259" s="5">
        <v>0</v>
      </c>
      <c r="G3259" s="5">
        <v>32596</v>
      </c>
    </row>
    <row r="3260" spans="1:7" x14ac:dyDescent="0.2">
      <c r="A3260">
        <v>1783</v>
      </c>
      <c r="B3260" t="s">
        <v>635</v>
      </c>
      <c r="C3260" t="s">
        <v>704</v>
      </c>
      <c r="D3260" s="5">
        <v>1595406</v>
      </c>
      <c r="E3260" s="5">
        <v>2339841</v>
      </c>
      <c r="F3260" s="5">
        <v>26893</v>
      </c>
      <c r="G3260" s="5">
        <v>3962140</v>
      </c>
    </row>
    <row r="3261" spans="1:7" x14ac:dyDescent="0.2">
      <c r="A3261">
        <v>1783</v>
      </c>
      <c r="B3261" t="s">
        <v>635</v>
      </c>
      <c r="C3261" t="s">
        <v>705</v>
      </c>
      <c r="D3261" s="5">
        <v>290834</v>
      </c>
      <c r="E3261" s="5">
        <v>559348</v>
      </c>
      <c r="F3261" s="5">
        <v>11397</v>
      </c>
      <c r="G3261" s="5">
        <v>861578</v>
      </c>
    </row>
    <row r="3262" spans="1:7" x14ac:dyDescent="0.2">
      <c r="A3262">
        <v>1783</v>
      </c>
      <c r="B3262" t="s">
        <v>635</v>
      </c>
      <c r="C3262" t="s">
        <v>707</v>
      </c>
      <c r="D3262" s="5">
        <v>14723</v>
      </c>
      <c r="E3262" s="5">
        <v>13088</v>
      </c>
      <c r="F3262" s="5">
        <v>302</v>
      </c>
      <c r="G3262" s="5">
        <v>28113</v>
      </c>
    </row>
    <row r="3263" spans="1:7" x14ac:dyDescent="0.2">
      <c r="A3263">
        <v>1783</v>
      </c>
      <c r="B3263" t="s">
        <v>635</v>
      </c>
      <c r="C3263" t="s">
        <v>708</v>
      </c>
      <c r="D3263" s="5">
        <v>4923</v>
      </c>
      <c r="E3263" s="5">
        <v>76506</v>
      </c>
      <c r="F3263" s="5">
        <v>11039</v>
      </c>
      <c r="G3263" s="5">
        <v>92468</v>
      </c>
    </row>
    <row r="3264" spans="1:7" x14ac:dyDescent="0.2">
      <c r="A3264">
        <v>1783</v>
      </c>
      <c r="B3264" t="s">
        <v>635</v>
      </c>
      <c r="C3264" t="s">
        <v>709</v>
      </c>
      <c r="D3264" s="5">
        <v>183482</v>
      </c>
      <c r="E3264" s="5">
        <v>103892</v>
      </c>
      <c r="F3264" s="5">
        <v>533</v>
      </c>
      <c r="G3264" s="5">
        <v>287907</v>
      </c>
    </row>
    <row r="3265" spans="1:7" x14ac:dyDescent="0.2">
      <c r="A3265">
        <v>1783</v>
      </c>
      <c r="B3265" t="s">
        <v>635</v>
      </c>
      <c r="C3265" t="s">
        <v>710</v>
      </c>
      <c r="D3265" s="5">
        <v>6973</v>
      </c>
      <c r="E3265" s="5">
        <v>54781</v>
      </c>
      <c r="F3265" s="5">
        <v>1752</v>
      </c>
      <c r="G3265" s="5">
        <v>63506</v>
      </c>
    </row>
    <row r="3266" spans="1:7" x14ac:dyDescent="0.2">
      <c r="A3266">
        <v>1783</v>
      </c>
      <c r="B3266" t="s">
        <v>635</v>
      </c>
      <c r="C3266" t="s">
        <v>712</v>
      </c>
      <c r="D3266" s="5">
        <v>54450</v>
      </c>
      <c r="E3266" s="5">
        <v>242025</v>
      </c>
      <c r="F3266" s="5">
        <v>1008</v>
      </c>
      <c r="G3266" s="5">
        <v>297483</v>
      </c>
    </row>
    <row r="3267" spans="1:7" x14ac:dyDescent="0.2">
      <c r="A3267">
        <v>1842</v>
      </c>
      <c r="B3267" t="s">
        <v>365</v>
      </c>
      <c r="C3267" t="s">
        <v>700</v>
      </c>
      <c r="D3267" s="5">
        <v>236630</v>
      </c>
      <c r="E3267" s="5">
        <v>249343</v>
      </c>
      <c r="F3267" s="5">
        <v>5768</v>
      </c>
      <c r="G3267" s="5">
        <v>491741</v>
      </c>
    </row>
    <row r="3268" spans="1:7" x14ac:dyDescent="0.2">
      <c r="A3268">
        <v>1842</v>
      </c>
      <c r="B3268" t="s">
        <v>365</v>
      </c>
      <c r="C3268" t="s">
        <v>701</v>
      </c>
      <c r="D3268" s="5">
        <v>9742</v>
      </c>
      <c r="E3268" s="5">
        <v>13357</v>
      </c>
      <c r="F3268" s="5">
        <v>54</v>
      </c>
      <c r="G3268" s="5">
        <v>23153</v>
      </c>
    </row>
    <row r="3269" spans="1:7" x14ac:dyDescent="0.2">
      <c r="A3269">
        <v>1842</v>
      </c>
      <c r="B3269" t="s">
        <v>365</v>
      </c>
      <c r="C3269" t="s">
        <v>703</v>
      </c>
      <c r="D3269" s="5">
        <v>1422</v>
      </c>
      <c r="E3269" s="5">
        <v>876</v>
      </c>
      <c r="F3269" s="5">
        <v>0</v>
      </c>
      <c r="G3269" s="5">
        <v>2298</v>
      </c>
    </row>
    <row r="3270" spans="1:7" x14ac:dyDescent="0.2">
      <c r="A3270">
        <v>1842</v>
      </c>
      <c r="B3270" t="s">
        <v>365</v>
      </c>
      <c r="C3270" t="s">
        <v>704</v>
      </c>
      <c r="D3270" s="5">
        <v>1446042</v>
      </c>
      <c r="E3270" s="5">
        <v>491064</v>
      </c>
      <c r="F3270" s="5">
        <v>972</v>
      </c>
      <c r="G3270" s="5">
        <v>1938078</v>
      </c>
    </row>
    <row r="3271" spans="1:7" x14ac:dyDescent="0.2">
      <c r="A3271">
        <v>1842</v>
      </c>
      <c r="B3271" t="s">
        <v>365</v>
      </c>
      <c r="C3271" t="s">
        <v>705</v>
      </c>
      <c r="D3271" s="5">
        <v>3604</v>
      </c>
      <c r="E3271" s="5">
        <v>59927</v>
      </c>
      <c r="F3271" s="5">
        <v>4829</v>
      </c>
      <c r="G3271" s="5">
        <v>68360</v>
      </c>
    </row>
    <row r="3272" spans="1:7" x14ac:dyDescent="0.2">
      <c r="A3272">
        <v>1842</v>
      </c>
      <c r="B3272" t="s">
        <v>365</v>
      </c>
      <c r="C3272" t="s">
        <v>707</v>
      </c>
      <c r="D3272" s="5">
        <v>695</v>
      </c>
      <c r="E3272" s="5">
        <v>537</v>
      </c>
      <c r="F3272" s="5">
        <v>67</v>
      </c>
      <c r="G3272" s="5">
        <v>1300</v>
      </c>
    </row>
    <row r="3273" spans="1:7" x14ac:dyDescent="0.2">
      <c r="A3273">
        <v>1842</v>
      </c>
      <c r="B3273" t="s">
        <v>365</v>
      </c>
      <c r="C3273" t="s">
        <v>708</v>
      </c>
      <c r="D3273" s="5">
        <v>2044</v>
      </c>
      <c r="E3273" s="5">
        <v>11702</v>
      </c>
      <c r="F3273" s="5">
        <v>0</v>
      </c>
      <c r="G3273" s="5">
        <v>13746</v>
      </c>
    </row>
    <row r="3274" spans="1:7" x14ac:dyDescent="0.2">
      <c r="A3274">
        <v>1842</v>
      </c>
      <c r="B3274" t="s">
        <v>365</v>
      </c>
      <c r="C3274" t="s">
        <v>709</v>
      </c>
      <c r="D3274" s="5">
        <v>7654</v>
      </c>
      <c r="E3274" s="5">
        <v>45586</v>
      </c>
      <c r="F3274" s="5">
        <v>148</v>
      </c>
      <c r="G3274" s="5">
        <v>53388</v>
      </c>
    </row>
    <row r="3275" spans="1:7" x14ac:dyDescent="0.2">
      <c r="A3275">
        <v>1842</v>
      </c>
      <c r="B3275" t="s">
        <v>365</v>
      </c>
      <c r="C3275" t="s">
        <v>710</v>
      </c>
      <c r="D3275" s="5">
        <v>0</v>
      </c>
      <c r="E3275" s="5">
        <v>12297</v>
      </c>
      <c r="F3275" s="5">
        <v>0</v>
      </c>
      <c r="G3275" s="5">
        <v>12297</v>
      </c>
    </row>
    <row r="3276" spans="1:7" x14ac:dyDescent="0.2">
      <c r="A3276">
        <v>1842</v>
      </c>
      <c r="B3276" t="s">
        <v>365</v>
      </c>
      <c r="C3276" t="s">
        <v>712</v>
      </c>
      <c r="D3276" s="5">
        <v>7669</v>
      </c>
      <c r="E3276" s="5">
        <v>32076</v>
      </c>
      <c r="F3276" s="5">
        <v>498</v>
      </c>
      <c r="G3276" s="5">
        <v>40243</v>
      </c>
    </row>
    <row r="3277" spans="1:7" x14ac:dyDescent="0.2">
      <c r="A3277">
        <v>1859</v>
      </c>
      <c r="B3277" t="s">
        <v>67</v>
      </c>
      <c r="C3277" t="s">
        <v>700</v>
      </c>
      <c r="D3277" s="5">
        <v>1468435</v>
      </c>
      <c r="E3277" s="5">
        <v>793988</v>
      </c>
      <c r="F3277" s="5">
        <v>45473</v>
      </c>
      <c r="G3277" s="5">
        <v>2307895</v>
      </c>
    </row>
    <row r="3278" spans="1:7" x14ac:dyDescent="0.2">
      <c r="A3278">
        <v>1859</v>
      </c>
      <c r="B3278" t="s">
        <v>67</v>
      </c>
      <c r="C3278" t="s">
        <v>701</v>
      </c>
      <c r="D3278" s="5">
        <v>24653</v>
      </c>
      <c r="E3278" s="5">
        <v>27593</v>
      </c>
      <c r="F3278" s="5">
        <v>103</v>
      </c>
      <c r="G3278" s="5">
        <v>52348</v>
      </c>
    </row>
    <row r="3279" spans="1:7" x14ac:dyDescent="0.2">
      <c r="A3279">
        <v>1859</v>
      </c>
      <c r="B3279" t="s">
        <v>67</v>
      </c>
      <c r="C3279" t="s">
        <v>702</v>
      </c>
      <c r="D3279" s="5">
        <v>0</v>
      </c>
      <c r="E3279" s="5">
        <v>1347</v>
      </c>
      <c r="F3279" s="5">
        <v>0</v>
      </c>
      <c r="G3279" s="5">
        <v>1347</v>
      </c>
    </row>
    <row r="3280" spans="1:7" x14ac:dyDescent="0.2">
      <c r="A3280">
        <v>1859</v>
      </c>
      <c r="B3280" t="s">
        <v>67</v>
      </c>
      <c r="C3280" t="s">
        <v>703</v>
      </c>
      <c r="D3280" s="5">
        <v>2053</v>
      </c>
      <c r="E3280" s="5">
        <v>18030</v>
      </c>
      <c r="F3280" s="5">
        <v>1880</v>
      </c>
      <c r="G3280" s="5">
        <v>21963</v>
      </c>
    </row>
    <row r="3281" spans="1:7" x14ac:dyDescent="0.2">
      <c r="A3281">
        <v>1859</v>
      </c>
      <c r="B3281" t="s">
        <v>67</v>
      </c>
      <c r="C3281" t="s">
        <v>704</v>
      </c>
      <c r="D3281" s="5">
        <v>41833</v>
      </c>
      <c r="E3281" s="5">
        <v>371923</v>
      </c>
      <c r="F3281" s="5">
        <v>1177</v>
      </c>
      <c r="G3281" s="5">
        <v>414932</v>
      </c>
    </row>
    <row r="3282" spans="1:7" x14ac:dyDescent="0.2">
      <c r="A3282">
        <v>1859</v>
      </c>
      <c r="B3282" t="s">
        <v>67</v>
      </c>
      <c r="C3282" t="s">
        <v>705</v>
      </c>
      <c r="D3282" s="5">
        <v>5553</v>
      </c>
      <c r="E3282" s="5">
        <v>75056</v>
      </c>
      <c r="F3282" s="5">
        <v>1570</v>
      </c>
      <c r="G3282" s="5">
        <v>82180</v>
      </c>
    </row>
    <row r="3283" spans="1:7" x14ac:dyDescent="0.2">
      <c r="A3283">
        <v>1859</v>
      </c>
      <c r="B3283" t="s">
        <v>67</v>
      </c>
      <c r="C3283" t="s">
        <v>707</v>
      </c>
      <c r="D3283" s="5">
        <v>36223</v>
      </c>
      <c r="E3283" s="5">
        <v>12181</v>
      </c>
      <c r="F3283" s="5">
        <v>1402</v>
      </c>
      <c r="G3283" s="5">
        <v>49805</v>
      </c>
    </row>
    <row r="3284" spans="1:7" x14ac:dyDescent="0.2">
      <c r="A3284">
        <v>1859</v>
      </c>
      <c r="B3284" t="s">
        <v>67</v>
      </c>
      <c r="C3284" t="s">
        <v>708</v>
      </c>
      <c r="D3284" s="5">
        <v>7839</v>
      </c>
      <c r="E3284" s="5">
        <v>59097</v>
      </c>
      <c r="F3284" s="5">
        <v>0</v>
      </c>
      <c r="G3284" s="5">
        <v>66936</v>
      </c>
    </row>
    <row r="3285" spans="1:7" x14ac:dyDescent="0.2">
      <c r="A3285">
        <v>1859</v>
      </c>
      <c r="B3285" t="s">
        <v>67</v>
      </c>
      <c r="C3285" t="s">
        <v>709</v>
      </c>
      <c r="D3285" s="5">
        <v>18978</v>
      </c>
      <c r="E3285" s="5">
        <v>86153</v>
      </c>
      <c r="F3285" s="5">
        <v>95</v>
      </c>
      <c r="G3285" s="5">
        <v>105226</v>
      </c>
    </row>
    <row r="3286" spans="1:7" x14ac:dyDescent="0.2">
      <c r="A3286">
        <v>1859</v>
      </c>
      <c r="B3286" t="s">
        <v>67</v>
      </c>
      <c r="C3286" t="s">
        <v>710</v>
      </c>
      <c r="D3286" s="5">
        <v>2056</v>
      </c>
      <c r="E3286" s="5">
        <v>34315</v>
      </c>
      <c r="F3286" s="5">
        <v>0</v>
      </c>
      <c r="G3286" s="5">
        <v>36370</v>
      </c>
    </row>
    <row r="3287" spans="1:7" x14ac:dyDescent="0.2">
      <c r="A3287">
        <v>1859</v>
      </c>
      <c r="B3287" t="s">
        <v>67</v>
      </c>
      <c r="C3287" t="s">
        <v>712</v>
      </c>
      <c r="D3287" s="5">
        <v>19113</v>
      </c>
      <c r="E3287" s="5">
        <v>106165</v>
      </c>
      <c r="F3287" s="5">
        <v>0</v>
      </c>
      <c r="G3287" s="5">
        <v>125278</v>
      </c>
    </row>
    <row r="3288" spans="1:7" x14ac:dyDescent="0.2">
      <c r="A3288">
        <v>1876</v>
      </c>
      <c r="B3288" t="s">
        <v>99</v>
      </c>
      <c r="C3288" t="s">
        <v>700</v>
      </c>
      <c r="D3288" s="5">
        <v>1244307</v>
      </c>
      <c r="E3288" s="5">
        <v>794658</v>
      </c>
      <c r="F3288" s="5">
        <v>17170</v>
      </c>
      <c r="G3288" s="5">
        <v>2056135</v>
      </c>
    </row>
    <row r="3289" spans="1:7" x14ac:dyDescent="0.2">
      <c r="A3289">
        <v>1876</v>
      </c>
      <c r="B3289" t="s">
        <v>99</v>
      </c>
      <c r="C3289" t="s">
        <v>701</v>
      </c>
      <c r="D3289" s="5">
        <v>21629</v>
      </c>
      <c r="E3289" s="5">
        <v>14180</v>
      </c>
      <c r="F3289" s="5">
        <v>0</v>
      </c>
      <c r="G3289" s="5">
        <v>35809</v>
      </c>
    </row>
    <row r="3290" spans="1:7" x14ac:dyDescent="0.2">
      <c r="A3290">
        <v>1876</v>
      </c>
      <c r="B3290" t="s">
        <v>99</v>
      </c>
      <c r="C3290" t="s">
        <v>703</v>
      </c>
      <c r="D3290" s="5">
        <v>158</v>
      </c>
      <c r="E3290" s="5">
        <v>0</v>
      </c>
      <c r="F3290" s="5">
        <v>0</v>
      </c>
      <c r="G3290" s="5">
        <v>158</v>
      </c>
    </row>
    <row r="3291" spans="1:7" x14ac:dyDescent="0.2">
      <c r="A3291">
        <v>1876</v>
      </c>
      <c r="B3291" t="s">
        <v>99</v>
      </c>
      <c r="C3291" t="s">
        <v>704</v>
      </c>
      <c r="D3291" s="5">
        <v>35820</v>
      </c>
      <c r="E3291" s="5">
        <v>254846</v>
      </c>
      <c r="F3291" s="5">
        <v>0</v>
      </c>
      <c r="G3291" s="5">
        <v>290666</v>
      </c>
    </row>
    <row r="3292" spans="1:7" x14ac:dyDescent="0.2">
      <c r="A3292">
        <v>1876</v>
      </c>
      <c r="B3292" t="s">
        <v>99</v>
      </c>
      <c r="C3292" t="s">
        <v>705</v>
      </c>
      <c r="D3292" s="5">
        <v>27820</v>
      </c>
      <c r="E3292" s="5">
        <v>72736</v>
      </c>
      <c r="F3292" s="5">
        <v>0</v>
      </c>
      <c r="G3292" s="5">
        <v>100557</v>
      </c>
    </row>
    <row r="3293" spans="1:7" x14ac:dyDescent="0.2">
      <c r="A3293">
        <v>1876</v>
      </c>
      <c r="B3293" t="s">
        <v>99</v>
      </c>
      <c r="C3293" t="s">
        <v>707</v>
      </c>
      <c r="D3293" s="5">
        <v>19428</v>
      </c>
      <c r="E3293" s="5">
        <v>10449</v>
      </c>
      <c r="F3293" s="5">
        <v>1274</v>
      </c>
      <c r="G3293" s="5">
        <v>31152</v>
      </c>
    </row>
    <row r="3294" spans="1:7" x14ac:dyDescent="0.2">
      <c r="A3294">
        <v>1876</v>
      </c>
      <c r="B3294" t="s">
        <v>99</v>
      </c>
      <c r="C3294" t="s">
        <v>708</v>
      </c>
      <c r="D3294" s="5">
        <v>6293</v>
      </c>
      <c r="E3294" s="5">
        <v>17322</v>
      </c>
      <c r="F3294" s="5">
        <v>0</v>
      </c>
      <c r="G3294" s="5">
        <v>23616</v>
      </c>
    </row>
    <row r="3295" spans="1:7" x14ac:dyDescent="0.2">
      <c r="A3295">
        <v>1876</v>
      </c>
      <c r="B3295" t="s">
        <v>99</v>
      </c>
      <c r="C3295" t="s">
        <v>709</v>
      </c>
      <c r="D3295" s="5">
        <v>7170</v>
      </c>
      <c r="E3295" s="5">
        <v>11906</v>
      </c>
      <c r="F3295" s="5">
        <v>0</v>
      </c>
      <c r="G3295" s="5">
        <v>19076</v>
      </c>
    </row>
    <row r="3296" spans="1:7" x14ac:dyDescent="0.2">
      <c r="A3296">
        <v>1876</v>
      </c>
      <c r="B3296" t="s">
        <v>99</v>
      </c>
      <c r="C3296" t="s">
        <v>710</v>
      </c>
      <c r="D3296" s="5">
        <v>7391</v>
      </c>
      <c r="E3296" s="5">
        <v>25163</v>
      </c>
      <c r="F3296" s="5">
        <v>122</v>
      </c>
      <c r="G3296" s="5">
        <v>32676</v>
      </c>
    </row>
    <row r="3297" spans="1:7" x14ac:dyDescent="0.2">
      <c r="A3297">
        <v>1876</v>
      </c>
      <c r="B3297" t="s">
        <v>99</v>
      </c>
      <c r="C3297" t="s">
        <v>712</v>
      </c>
      <c r="D3297" s="5">
        <v>24392</v>
      </c>
      <c r="E3297" s="5">
        <v>122356</v>
      </c>
      <c r="F3297" s="5">
        <v>0</v>
      </c>
      <c r="G3297" s="5">
        <v>146748</v>
      </c>
    </row>
    <row r="3298" spans="1:7" x14ac:dyDescent="0.2">
      <c r="A3298">
        <v>1883</v>
      </c>
      <c r="B3298" t="s">
        <v>507</v>
      </c>
      <c r="C3298" t="s">
        <v>700</v>
      </c>
      <c r="D3298" s="5">
        <v>232083</v>
      </c>
      <c r="E3298" s="5">
        <v>759824</v>
      </c>
      <c r="F3298" s="5">
        <v>16301</v>
      </c>
      <c r="G3298" s="5">
        <v>1008208</v>
      </c>
    </row>
    <row r="3299" spans="1:7" x14ac:dyDescent="0.2">
      <c r="A3299">
        <v>1883</v>
      </c>
      <c r="B3299" t="s">
        <v>507</v>
      </c>
      <c r="C3299" t="s">
        <v>701</v>
      </c>
      <c r="D3299" s="5">
        <v>44490</v>
      </c>
      <c r="E3299" s="5">
        <v>83848</v>
      </c>
      <c r="F3299" s="5">
        <v>0</v>
      </c>
      <c r="G3299" s="5">
        <v>128339</v>
      </c>
    </row>
    <row r="3300" spans="1:7" x14ac:dyDescent="0.2">
      <c r="A3300">
        <v>1883</v>
      </c>
      <c r="B3300" t="s">
        <v>507</v>
      </c>
      <c r="C3300" t="s">
        <v>702</v>
      </c>
      <c r="D3300" s="5">
        <v>0</v>
      </c>
      <c r="E3300" s="5">
        <v>8929</v>
      </c>
      <c r="F3300" s="5">
        <v>0</v>
      </c>
      <c r="G3300" s="5">
        <v>8929</v>
      </c>
    </row>
    <row r="3301" spans="1:7" x14ac:dyDescent="0.2">
      <c r="A3301">
        <v>1883</v>
      </c>
      <c r="B3301" t="s">
        <v>507</v>
      </c>
      <c r="C3301" t="s">
        <v>703</v>
      </c>
      <c r="D3301" s="5">
        <v>7203</v>
      </c>
      <c r="E3301" s="5">
        <v>30933</v>
      </c>
      <c r="F3301" s="5">
        <v>0</v>
      </c>
      <c r="G3301" s="5">
        <v>38135</v>
      </c>
    </row>
    <row r="3302" spans="1:7" x14ac:dyDescent="0.2">
      <c r="A3302">
        <v>1883</v>
      </c>
      <c r="B3302" t="s">
        <v>507</v>
      </c>
      <c r="C3302" t="s">
        <v>704</v>
      </c>
      <c r="D3302" s="5">
        <v>81848</v>
      </c>
      <c r="E3302" s="5">
        <v>1706571</v>
      </c>
      <c r="F3302" s="5">
        <v>7949</v>
      </c>
      <c r="G3302" s="5">
        <v>1796368</v>
      </c>
    </row>
    <row r="3303" spans="1:7" x14ac:dyDescent="0.2">
      <c r="A3303">
        <v>1883</v>
      </c>
      <c r="B3303" t="s">
        <v>507</v>
      </c>
      <c r="C3303" t="s">
        <v>705</v>
      </c>
      <c r="D3303" s="5">
        <v>30702</v>
      </c>
      <c r="E3303" s="5">
        <v>279084</v>
      </c>
      <c r="F3303" s="5">
        <v>602</v>
      </c>
      <c r="G3303" s="5">
        <v>310388</v>
      </c>
    </row>
    <row r="3304" spans="1:7" x14ac:dyDescent="0.2">
      <c r="A3304">
        <v>1883</v>
      </c>
      <c r="B3304" t="s">
        <v>507</v>
      </c>
      <c r="C3304" t="s">
        <v>707</v>
      </c>
      <c r="D3304" s="5">
        <v>1235</v>
      </c>
      <c r="E3304" s="5">
        <v>4258</v>
      </c>
      <c r="F3304" s="5">
        <v>0</v>
      </c>
      <c r="G3304" s="5">
        <v>5493</v>
      </c>
    </row>
    <row r="3305" spans="1:7" x14ac:dyDescent="0.2">
      <c r="A3305">
        <v>1883</v>
      </c>
      <c r="B3305" t="s">
        <v>507</v>
      </c>
      <c r="C3305" t="s">
        <v>708</v>
      </c>
      <c r="D3305" s="5">
        <v>1392</v>
      </c>
      <c r="E3305" s="5">
        <v>114761</v>
      </c>
      <c r="F3305" s="5">
        <v>0</v>
      </c>
      <c r="G3305" s="5">
        <v>116154</v>
      </c>
    </row>
    <row r="3306" spans="1:7" x14ac:dyDescent="0.2">
      <c r="A3306">
        <v>1883</v>
      </c>
      <c r="B3306" t="s">
        <v>507</v>
      </c>
      <c r="C3306" t="s">
        <v>709</v>
      </c>
      <c r="D3306" s="5">
        <v>19622</v>
      </c>
      <c r="E3306" s="5">
        <v>353335</v>
      </c>
      <c r="F3306" s="5">
        <v>608</v>
      </c>
      <c r="G3306" s="5">
        <v>373565</v>
      </c>
    </row>
    <row r="3307" spans="1:7" x14ac:dyDescent="0.2">
      <c r="A3307">
        <v>1883</v>
      </c>
      <c r="B3307" t="s">
        <v>507</v>
      </c>
      <c r="C3307" t="s">
        <v>710</v>
      </c>
      <c r="D3307" s="5">
        <v>2453</v>
      </c>
      <c r="E3307" s="5">
        <v>54220</v>
      </c>
      <c r="F3307" s="5">
        <v>0</v>
      </c>
      <c r="G3307" s="5">
        <v>56673</v>
      </c>
    </row>
    <row r="3308" spans="1:7" x14ac:dyDescent="0.2">
      <c r="A3308">
        <v>1883</v>
      </c>
      <c r="B3308" t="s">
        <v>507</v>
      </c>
      <c r="C3308" t="s">
        <v>711</v>
      </c>
      <c r="D3308" s="5">
        <v>134</v>
      </c>
      <c r="E3308" s="5">
        <v>290</v>
      </c>
      <c r="F3308" s="5">
        <v>0</v>
      </c>
      <c r="G3308" s="5">
        <v>424</v>
      </c>
    </row>
    <row r="3309" spans="1:7" x14ac:dyDescent="0.2">
      <c r="A3309">
        <v>1883</v>
      </c>
      <c r="B3309" t="s">
        <v>507</v>
      </c>
      <c r="C3309" t="s">
        <v>712</v>
      </c>
      <c r="D3309" s="5">
        <v>25245</v>
      </c>
      <c r="E3309" s="5">
        <v>321859</v>
      </c>
      <c r="F3309" s="5">
        <v>0</v>
      </c>
      <c r="G3309" s="5">
        <v>347105</v>
      </c>
    </row>
    <row r="3310" spans="1:7" x14ac:dyDescent="0.2">
      <c r="A3310">
        <v>1884</v>
      </c>
      <c r="B3310" t="s">
        <v>291</v>
      </c>
      <c r="C3310" t="s">
        <v>700</v>
      </c>
      <c r="D3310" s="5">
        <v>658120</v>
      </c>
      <c r="E3310" s="5">
        <v>612368</v>
      </c>
      <c r="F3310" s="5">
        <v>14679</v>
      </c>
      <c r="G3310" s="5">
        <v>1285167</v>
      </c>
    </row>
    <row r="3311" spans="1:7" x14ac:dyDescent="0.2">
      <c r="A3311">
        <v>1884</v>
      </c>
      <c r="B3311" t="s">
        <v>291</v>
      </c>
      <c r="C3311" t="s">
        <v>701</v>
      </c>
      <c r="D3311" s="5">
        <v>17235</v>
      </c>
      <c r="E3311" s="5">
        <v>13135</v>
      </c>
      <c r="F3311" s="5">
        <v>0</v>
      </c>
      <c r="G3311" s="5">
        <v>30370</v>
      </c>
    </row>
    <row r="3312" spans="1:7" x14ac:dyDescent="0.2">
      <c r="A3312">
        <v>1884</v>
      </c>
      <c r="B3312" t="s">
        <v>291</v>
      </c>
      <c r="C3312" t="s">
        <v>703</v>
      </c>
      <c r="D3312" s="5">
        <v>3668</v>
      </c>
      <c r="E3312" s="5">
        <v>3217</v>
      </c>
      <c r="F3312" s="5">
        <v>0</v>
      </c>
      <c r="G3312" s="5">
        <v>6885</v>
      </c>
    </row>
    <row r="3313" spans="1:7" x14ac:dyDescent="0.2">
      <c r="A3313">
        <v>1884</v>
      </c>
      <c r="B3313" t="s">
        <v>291</v>
      </c>
      <c r="C3313" t="s">
        <v>704</v>
      </c>
      <c r="D3313" s="5">
        <v>204597</v>
      </c>
      <c r="E3313" s="5">
        <v>332759</v>
      </c>
      <c r="F3313" s="5">
        <v>1179</v>
      </c>
      <c r="G3313" s="5">
        <v>538535</v>
      </c>
    </row>
    <row r="3314" spans="1:7" x14ac:dyDescent="0.2">
      <c r="A3314">
        <v>1884</v>
      </c>
      <c r="B3314" t="s">
        <v>291</v>
      </c>
      <c r="C3314" t="s">
        <v>705</v>
      </c>
      <c r="D3314" s="5">
        <v>81801</v>
      </c>
      <c r="E3314" s="5">
        <v>39419</v>
      </c>
      <c r="F3314" s="5">
        <v>0</v>
      </c>
      <c r="G3314" s="5">
        <v>121220</v>
      </c>
    </row>
    <row r="3315" spans="1:7" x14ac:dyDescent="0.2">
      <c r="A3315">
        <v>1884</v>
      </c>
      <c r="B3315" t="s">
        <v>291</v>
      </c>
      <c r="C3315" t="s">
        <v>706</v>
      </c>
      <c r="D3315" s="5">
        <v>0</v>
      </c>
      <c r="E3315" s="5">
        <v>82</v>
      </c>
      <c r="F3315" s="5">
        <v>0</v>
      </c>
      <c r="G3315" s="5">
        <v>82</v>
      </c>
    </row>
    <row r="3316" spans="1:7" x14ac:dyDescent="0.2">
      <c r="A3316">
        <v>1884</v>
      </c>
      <c r="B3316" t="s">
        <v>291</v>
      </c>
      <c r="C3316" t="s">
        <v>707</v>
      </c>
      <c r="D3316" s="5">
        <v>9775</v>
      </c>
      <c r="E3316" s="5">
        <v>11113</v>
      </c>
      <c r="F3316" s="5">
        <v>547</v>
      </c>
      <c r="G3316" s="5">
        <v>21435</v>
      </c>
    </row>
    <row r="3317" spans="1:7" x14ac:dyDescent="0.2">
      <c r="A3317">
        <v>1884</v>
      </c>
      <c r="B3317" t="s">
        <v>291</v>
      </c>
      <c r="C3317" t="s">
        <v>708</v>
      </c>
      <c r="D3317" s="5">
        <v>1335</v>
      </c>
      <c r="E3317" s="5">
        <v>15168</v>
      </c>
      <c r="F3317" s="5">
        <v>0</v>
      </c>
      <c r="G3317" s="5">
        <v>16503</v>
      </c>
    </row>
    <row r="3318" spans="1:7" x14ac:dyDescent="0.2">
      <c r="A3318">
        <v>1884</v>
      </c>
      <c r="B3318" t="s">
        <v>291</v>
      </c>
      <c r="C3318" t="s">
        <v>709</v>
      </c>
      <c r="D3318" s="5">
        <v>23796</v>
      </c>
      <c r="E3318" s="5">
        <v>55776</v>
      </c>
      <c r="F3318" s="5">
        <v>871</v>
      </c>
      <c r="G3318" s="5">
        <v>80444</v>
      </c>
    </row>
    <row r="3319" spans="1:7" x14ac:dyDescent="0.2">
      <c r="A3319">
        <v>1884</v>
      </c>
      <c r="B3319" t="s">
        <v>291</v>
      </c>
      <c r="C3319" t="s">
        <v>710</v>
      </c>
      <c r="D3319" s="5">
        <v>1024</v>
      </c>
      <c r="E3319" s="5">
        <v>19607</v>
      </c>
      <c r="F3319" s="5">
        <v>0</v>
      </c>
      <c r="G3319" s="5">
        <v>20631</v>
      </c>
    </row>
    <row r="3320" spans="1:7" x14ac:dyDescent="0.2">
      <c r="A3320">
        <v>1884</v>
      </c>
      <c r="B3320" t="s">
        <v>291</v>
      </c>
      <c r="C3320" t="s">
        <v>712</v>
      </c>
      <c r="D3320" s="5">
        <v>44070</v>
      </c>
      <c r="E3320" s="5">
        <v>26940</v>
      </c>
      <c r="F3320" s="5">
        <v>690</v>
      </c>
      <c r="G3320" s="5">
        <v>71700</v>
      </c>
    </row>
    <row r="3321" spans="1:7" x14ac:dyDescent="0.2">
      <c r="A3321">
        <v>1891</v>
      </c>
      <c r="B3321" t="s">
        <v>123</v>
      </c>
      <c r="C3321" t="s">
        <v>700</v>
      </c>
      <c r="D3321" s="5">
        <v>283644</v>
      </c>
      <c r="E3321" s="5">
        <v>146171</v>
      </c>
      <c r="F3321" s="5">
        <v>14641</v>
      </c>
      <c r="G3321" s="5">
        <v>444456</v>
      </c>
    </row>
    <row r="3322" spans="1:7" x14ac:dyDescent="0.2">
      <c r="A3322">
        <v>1891</v>
      </c>
      <c r="B3322" t="s">
        <v>123</v>
      </c>
      <c r="C3322" t="s">
        <v>701</v>
      </c>
      <c r="D3322" s="5">
        <v>8503</v>
      </c>
      <c r="E3322" s="5">
        <v>8549</v>
      </c>
      <c r="F3322" s="5">
        <v>0</v>
      </c>
      <c r="G3322" s="5">
        <v>17052</v>
      </c>
    </row>
    <row r="3323" spans="1:7" x14ac:dyDescent="0.2">
      <c r="A3323">
        <v>1891</v>
      </c>
      <c r="B3323" t="s">
        <v>123</v>
      </c>
      <c r="C3323" t="s">
        <v>703</v>
      </c>
      <c r="D3323" s="5">
        <v>581</v>
      </c>
      <c r="E3323" s="5">
        <v>1557</v>
      </c>
      <c r="F3323" s="5">
        <v>0</v>
      </c>
      <c r="G3323" s="5">
        <v>2138</v>
      </c>
    </row>
    <row r="3324" spans="1:7" x14ac:dyDescent="0.2">
      <c r="A3324">
        <v>1891</v>
      </c>
      <c r="B3324" t="s">
        <v>123</v>
      </c>
      <c r="C3324" t="s">
        <v>704</v>
      </c>
      <c r="D3324" s="5">
        <v>33062</v>
      </c>
      <c r="E3324" s="5">
        <v>53739</v>
      </c>
      <c r="F3324" s="5">
        <v>1102</v>
      </c>
      <c r="G3324" s="5">
        <v>87903</v>
      </c>
    </row>
    <row r="3325" spans="1:7" x14ac:dyDescent="0.2">
      <c r="A3325">
        <v>1891</v>
      </c>
      <c r="B3325" t="s">
        <v>123</v>
      </c>
      <c r="C3325" t="s">
        <v>705</v>
      </c>
      <c r="D3325" s="5">
        <v>4174</v>
      </c>
      <c r="E3325" s="5">
        <v>21438</v>
      </c>
      <c r="F3325" s="5">
        <v>1000</v>
      </c>
      <c r="G3325" s="5">
        <v>26612</v>
      </c>
    </row>
    <row r="3326" spans="1:7" x14ac:dyDescent="0.2">
      <c r="A3326">
        <v>1891</v>
      </c>
      <c r="B3326" t="s">
        <v>123</v>
      </c>
      <c r="C3326" t="s">
        <v>707</v>
      </c>
      <c r="D3326" s="5">
        <v>1133</v>
      </c>
      <c r="E3326" s="5">
        <v>1062</v>
      </c>
      <c r="F3326" s="5">
        <v>0</v>
      </c>
      <c r="G3326" s="5">
        <v>2196</v>
      </c>
    </row>
    <row r="3327" spans="1:7" x14ac:dyDescent="0.2">
      <c r="A3327">
        <v>1891</v>
      </c>
      <c r="B3327" t="s">
        <v>123</v>
      </c>
      <c r="C3327" t="s">
        <v>708</v>
      </c>
      <c r="D3327" s="5">
        <v>4001</v>
      </c>
      <c r="E3327" s="5">
        <v>6672</v>
      </c>
      <c r="F3327" s="5">
        <v>0</v>
      </c>
      <c r="G3327" s="5">
        <v>10673</v>
      </c>
    </row>
    <row r="3328" spans="1:7" x14ac:dyDescent="0.2">
      <c r="A3328">
        <v>1891</v>
      </c>
      <c r="B3328" t="s">
        <v>123</v>
      </c>
      <c r="C3328" t="s">
        <v>709</v>
      </c>
      <c r="D3328" s="5">
        <v>4249</v>
      </c>
      <c r="E3328" s="5">
        <v>13709</v>
      </c>
      <c r="F3328" s="5">
        <v>9</v>
      </c>
      <c r="G3328" s="5">
        <v>17967</v>
      </c>
    </row>
    <row r="3329" spans="1:7" x14ac:dyDescent="0.2">
      <c r="A3329">
        <v>1891</v>
      </c>
      <c r="B3329" t="s">
        <v>123</v>
      </c>
      <c r="C3329" t="s">
        <v>710</v>
      </c>
      <c r="D3329" s="5">
        <v>1470</v>
      </c>
      <c r="E3329" s="5">
        <v>19407</v>
      </c>
      <c r="F3329" s="5">
        <v>0</v>
      </c>
      <c r="G3329" s="5">
        <v>20876</v>
      </c>
    </row>
    <row r="3330" spans="1:7" x14ac:dyDescent="0.2">
      <c r="A3330">
        <v>1891</v>
      </c>
      <c r="B3330" t="s">
        <v>123</v>
      </c>
      <c r="C3330" t="s">
        <v>712</v>
      </c>
      <c r="D3330" s="5">
        <v>5134</v>
      </c>
      <c r="E3330" s="5">
        <v>29041</v>
      </c>
      <c r="F3330" s="5">
        <v>0</v>
      </c>
      <c r="G3330" s="5">
        <v>34176</v>
      </c>
    </row>
    <row r="3331" spans="1:7" x14ac:dyDescent="0.2">
      <c r="A3331">
        <v>1892</v>
      </c>
      <c r="B3331" t="s">
        <v>675</v>
      </c>
      <c r="C3331" t="s">
        <v>700</v>
      </c>
      <c r="D3331" s="5">
        <v>2304287</v>
      </c>
      <c r="E3331" s="5">
        <v>1047252</v>
      </c>
      <c r="F3331" s="5">
        <v>40519</v>
      </c>
      <c r="G3331" s="5">
        <v>3392058</v>
      </c>
    </row>
    <row r="3332" spans="1:7" x14ac:dyDescent="0.2">
      <c r="A3332">
        <v>1892</v>
      </c>
      <c r="B3332" t="s">
        <v>675</v>
      </c>
      <c r="C3332" t="s">
        <v>701</v>
      </c>
      <c r="D3332" s="5">
        <v>8925</v>
      </c>
      <c r="E3332" s="5">
        <v>26070</v>
      </c>
      <c r="F3332" s="5">
        <v>0</v>
      </c>
      <c r="G3332" s="5">
        <v>34995</v>
      </c>
    </row>
    <row r="3333" spans="1:7" x14ac:dyDescent="0.2">
      <c r="A3333">
        <v>1892</v>
      </c>
      <c r="B3333" t="s">
        <v>675</v>
      </c>
      <c r="C3333" t="s">
        <v>703</v>
      </c>
      <c r="D3333" s="5">
        <v>1209</v>
      </c>
      <c r="E3333" s="5">
        <v>8241</v>
      </c>
      <c r="F3333" s="5">
        <v>0</v>
      </c>
      <c r="G3333" s="5">
        <v>9450</v>
      </c>
    </row>
    <row r="3334" spans="1:7" x14ac:dyDescent="0.2">
      <c r="A3334">
        <v>1892</v>
      </c>
      <c r="B3334" t="s">
        <v>675</v>
      </c>
      <c r="C3334" t="s">
        <v>704</v>
      </c>
      <c r="D3334" s="5">
        <v>263121</v>
      </c>
      <c r="E3334" s="5">
        <v>376125</v>
      </c>
      <c r="F3334" s="5">
        <v>2995</v>
      </c>
      <c r="G3334" s="5">
        <v>642241</v>
      </c>
    </row>
    <row r="3335" spans="1:7" x14ac:dyDescent="0.2">
      <c r="A3335">
        <v>1892</v>
      </c>
      <c r="B3335" t="s">
        <v>675</v>
      </c>
      <c r="C3335" t="s">
        <v>705</v>
      </c>
      <c r="D3335" s="5">
        <v>9729</v>
      </c>
      <c r="E3335" s="5">
        <v>159836</v>
      </c>
      <c r="F3335" s="5">
        <v>9352</v>
      </c>
      <c r="G3335" s="5">
        <v>178916</v>
      </c>
    </row>
    <row r="3336" spans="1:7" x14ac:dyDescent="0.2">
      <c r="A3336">
        <v>1892</v>
      </c>
      <c r="B3336" t="s">
        <v>675</v>
      </c>
      <c r="C3336" t="s">
        <v>707</v>
      </c>
      <c r="D3336" s="5">
        <v>18748</v>
      </c>
      <c r="E3336" s="5">
        <v>15132</v>
      </c>
      <c r="F3336" s="5">
        <v>573</v>
      </c>
      <c r="G3336" s="5">
        <v>34453</v>
      </c>
    </row>
    <row r="3337" spans="1:7" x14ac:dyDescent="0.2">
      <c r="A3337">
        <v>1892</v>
      </c>
      <c r="B3337" t="s">
        <v>675</v>
      </c>
      <c r="C3337" t="s">
        <v>708</v>
      </c>
      <c r="D3337" s="5">
        <v>2398</v>
      </c>
      <c r="E3337" s="5">
        <v>19142</v>
      </c>
      <c r="F3337" s="5">
        <v>0</v>
      </c>
      <c r="G3337" s="5">
        <v>21540</v>
      </c>
    </row>
    <row r="3338" spans="1:7" x14ac:dyDescent="0.2">
      <c r="A3338">
        <v>1892</v>
      </c>
      <c r="B3338" t="s">
        <v>675</v>
      </c>
      <c r="C3338" t="s">
        <v>709</v>
      </c>
      <c r="D3338" s="5">
        <v>103138</v>
      </c>
      <c r="E3338" s="5">
        <v>84794</v>
      </c>
      <c r="F3338" s="5">
        <v>12550</v>
      </c>
      <c r="G3338" s="5">
        <v>200483</v>
      </c>
    </row>
    <row r="3339" spans="1:7" x14ac:dyDescent="0.2">
      <c r="A3339">
        <v>1892</v>
      </c>
      <c r="B3339" t="s">
        <v>675</v>
      </c>
      <c r="C3339" t="s">
        <v>710</v>
      </c>
      <c r="D3339" s="5">
        <v>7854</v>
      </c>
      <c r="E3339" s="5">
        <v>25011</v>
      </c>
      <c r="F3339" s="5">
        <v>0</v>
      </c>
      <c r="G3339" s="5">
        <v>32866</v>
      </c>
    </row>
    <row r="3340" spans="1:7" x14ac:dyDescent="0.2">
      <c r="A3340">
        <v>1892</v>
      </c>
      <c r="B3340" t="s">
        <v>675</v>
      </c>
      <c r="C3340" t="s">
        <v>711</v>
      </c>
      <c r="D3340" s="5">
        <v>0</v>
      </c>
      <c r="E3340" s="5">
        <v>85</v>
      </c>
      <c r="F3340" s="5">
        <v>0</v>
      </c>
      <c r="G3340" s="5">
        <v>85</v>
      </c>
    </row>
    <row r="3341" spans="1:7" x14ac:dyDescent="0.2">
      <c r="A3341">
        <v>1892</v>
      </c>
      <c r="B3341" t="s">
        <v>675</v>
      </c>
      <c r="C3341" t="s">
        <v>712</v>
      </c>
      <c r="D3341" s="5">
        <v>13671</v>
      </c>
      <c r="E3341" s="5">
        <v>83897</v>
      </c>
      <c r="F3341" s="5">
        <v>4421</v>
      </c>
      <c r="G3341" s="5">
        <v>101989</v>
      </c>
    </row>
    <row r="3342" spans="1:7" x14ac:dyDescent="0.2">
      <c r="A3342">
        <v>1894</v>
      </c>
      <c r="B3342" t="s">
        <v>449</v>
      </c>
      <c r="C3342" t="s">
        <v>700</v>
      </c>
      <c r="D3342" s="5">
        <v>3278312</v>
      </c>
      <c r="E3342" s="5">
        <v>1849098</v>
      </c>
      <c r="F3342" s="5">
        <v>71033</v>
      </c>
      <c r="G3342" s="5">
        <v>5198443</v>
      </c>
    </row>
    <row r="3343" spans="1:7" x14ac:dyDescent="0.2">
      <c r="A3343">
        <v>1894</v>
      </c>
      <c r="B3343" t="s">
        <v>449</v>
      </c>
      <c r="C3343" t="s">
        <v>701</v>
      </c>
      <c r="D3343" s="5">
        <v>18096</v>
      </c>
      <c r="E3343" s="5">
        <v>28602</v>
      </c>
      <c r="F3343" s="5">
        <v>0</v>
      </c>
      <c r="G3343" s="5">
        <v>46699</v>
      </c>
    </row>
    <row r="3344" spans="1:7" x14ac:dyDescent="0.2">
      <c r="A3344">
        <v>1894</v>
      </c>
      <c r="B3344" t="s">
        <v>449</v>
      </c>
      <c r="C3344" t="s">
        <v>703</v>
      </c>
      <c r="D3344" s="5">
        <v>1339</v>
      </c>
      <c r="E3344" s="5">
        <v>8606</v>
      </c>
      <c r="F3344" s="5">
        <v>0</v>
      </c>
      <c r="G3344" s="5">
        <v>9945</v>
      </c>
    </row>
    <row r="3345" spans="1:7" x14ac:dyDescent="0.2">
      <c r="A3345">
        <v>1894</v>
      </c>
      <c r="B3345" t="s">
        <v>449</v>
      </c>
      <c r="C3345" t="s">
        <v>704</v>
      </c>
      <c r="D3345" s="5">
        <v>618870</v>
      </c>
      <c r="E3345" s="5">
        <v>850949</v>
      </c>
      <c r="F3345" s="5">
        <v>136725</v>
      </c>
      <c r="G3345" s="5">
        <v>1606544</v>
      </c>
    </row>
    <row r="3346" spans="1:7" x14ac:dyDescent="0.2">
      <c r="A3346">
        <v>1894</v>
      </c>
      <c r="B3346" t="s">
        <v>449</v>
      </c>
      <c r="C3346" t="s">
        <v>705</v>
      </c>
      <c r="D3346" s="5">
        <v>25029</v>
      </c>
      <c r="E3346" s="5">
        <v>126634</v>
      </c>
      <c r="F3346" s="5">
        <v>387</v>
      </c>
      <c r="G3346" s="5">
        <v>152049</v>
      </c>
    </row>
    <row r="3347" spans="1:7" x14ac:dyDescent="0.2">
      <c r="A3347">
        <v>1894</v>
      </c>
      <c r="B3347" t="s">
        <v>449</v>
      </c>
      <c r="C3347" t="s">
        <v>707</v>
      </c>
      <c r="D3347" s="5">
        <v>24936</v>
      </c>
      <c r="E3347" s="5">
        <v>33636</v>
      </c>
      <c r="F3347" s="5">
        <v>1483</v>
      </c>
      <c r="G3347" s="5">
        <v>60054</v>
      </c>
    </row>
    <row r="3348" spans="1:7" x14ac:dyDescent="0.2">
      <c r="A3348">
        <v>1894</v>
      </c>
      <c r="B3348" t="s">
        <v>449</v>
      </c>
      <c r="C3348" t="s">
        <v>708</v>
      </c>
      <c r="D3348" s="5">
        <v>3788</v>
      </c>
      <c r="E3348" s="5">
        <v>27151</v>
      </c>
      <c r="F3348" s="5">
        <v>0</v>
      </c>
      <c r="G3348" s="5">
        <v>30939</v>
      </c>
    </row>
    <row r="3349" spans="1:7" x14ac:dyDescent="0.2">
      <c r="A3349">
        <v>1894</v>
      </c>
      <c r="B3349" t="s">
        <v>449</v>
      </c>
      <c r="C3349" t="s">
        <v>709</v>
      </c>
      <c r="D3349" s="5">
        <v>124053</v>
      </c>
      <c r="E3349" s="5">
        <v>105349</v>
      </c>
      <c r="F3349" s="5">
        <v>1284</v>
      </c>
      <c r="G3349" s="5">
        <v>230686</v>
      </c>
    </row>
    <row r="3350" spans="1:7" x14ac:dyDescent="0.2">
      <c r="A3350">
        <v>1894</v>
      </c>
      <c r="B3350" t="s">
        <v>449</v>
      </c>
      <c r="C3350" t="s">
        <v>710</v>
      </c>
      <c r="D3350" s="5">
        <v>4465</v>
      </c>
      <c r="E3350" s="5">
        <v>48362</v>
      </c>
      <c r="F3350" s="5">
        <v>0</v>
      </c>
      <c r="G3350" s="5">
        <v>52827</v>
      </c>
    </row>
    <row r="3351" spans="1:7" x14ac:dyDescent="0.2">
      <c r="A3351">
        <v>1894</v>
      </c>
      <c r="B3351" t="s">
        <v>449</v>
      </c>
      <c r="C3351" t="s">
        <v>712</v>
      </c>
      <c r="D3351" s="5">
        <v>30082</v>
      </c>
      <c r="E3351" s="5">
        <v>125110</v>
      </c>
      <c r="F3351" s="5">
        <v>0</v>
      </c>
      <c r="G3351" s="5">
        <v>155192</v>
      </c>
    </row>
    <row r="3352" spans="1:7" x14ac:dyDescent="0.2">
      <c r="A3352">
        <v>1895</v>
      </c>
      <c r="B3352" t="s">
        <v>415</v>
      </c>
      <c r="C3352" t="s">
        <v>700</v>
      </c>
      <c r="D3352" s="5">
        <v>513529</v>
      </c>
      <c r="E3352" s="5">
        <v>448093</v>
      </c>
      <c r="F3352" s="5">
        <v>88686</v>
      </c>
      <c r="G3352" s="5">
        <v>1050309</v>
      </c>
    </row>
    <row r="3353" spans="1:7" x14ac:dyDescent="0.2">
      <c r="A3353">
        <v>1895</v>
      </c>
      <c r="B3353" t="s">
        <v>415</v>
      </c>
      <c r="C3353" t="s">
        <v>701</v>
      </c>
      <c r="D3353" s="5">
        <v>19667</v>
      </c>
      <c r="E3353" s="5">
        <v>22022</v>
      </c>
      <c r="F3353" s="5">
        <v>3356</v>
      </c>
      <c r="G3353" s="5">
        <v>45045</v>
      </c>
    </row>
    <row r="3354" spans="1:7" x14ac:dyDescent="0.2">
      <c r="A3354">
        <v>1895</v>
      </c>
      <c r="B3354" t="s">
        <v>415</v>
      </c>
      <c r="C3354" t="s">
        <v>703</v>
      </c>
      <c r="D3354" s="5">
        <v>4973</v>
      </c>
      <c r="E3354" s="5">
        <v>10455</v>
      </c>
      <c r="F3354" s="5">
        <v>0</v>
      </c>
      <c r="G3354" s="5">
        <v>15428</v>
      </c>
    </row>
    <row r="3355" spans="1:7" x14ac:dyDescent="0.2">
      <c r="A3355">
        <v>1895</v>
      </c>
      <c r="B3355" t="s">
        <v>415</v>
      </c>
      <c r="C3355" t="s">
        <v>704</v>
      </c>
      <c r="D3355" s="5">
        <v>69313</v>
      </c>
      <c r="E3355" s="5">
        <v>320533</v>
      </c>
      <c r="F3355" s="5">
        <v>8551</v>
      </c>
      <c r="G3355" s="5">
        <v>398397</v>
      </c>
    </row>
    <row r="3356" spans="1:7" x14ac:dyDescent="0.2">
      <c r="A3356">
        <v>1895</v>
      </c>
      <c r="B3356" t="s">
        <v>415</v>
      </c>
      <c r="C3356" t="s">
        <v>705</v>
      </c>
      <c r="D3356" s="5">
        <v>9478</v>
      </c>
      <c r="E3356" s="5">
        <v>78401</v>
      </c>
      <c r="F3356" s="5">
        <v>1496</v>
      </c>
      <c r="G3356" s="5">
        <v>89375</v>
      </c>
    </row>
    <row r="3357" spans="1:7" x14ac:dyDescent="0.2">
      <c r="A3357">
        <v>1895</v>
      </c>
      <c r="B3357" t="s">
        <v>415</v>
      </c>
      <c r="C3357" t="s">
        <v>707</v>
      </c>
      <c r="D3357" s="5">
        <v>2005</v>
      </c>
      <c r="E3357" s="5">
        <v>7482</v>
      </c>
      <c r="F3357" s="5">
        <v>1530</v>
      </c>
      <c r="G3357" s="5">
        <v>11017</v>
      </c>
    </row>
    <row r="3358" spans="1:7" x14ac:dyDescent="0.2">
      <c r="A3358">
        <v>1895</v>
      </c>
      <c r="B3358" t="s">
        <v>415</v>
      </c>
      <c r="C3358" t="s">
        <v>708</v>
      </c>
      <c r="D3358" s="5">
        <v>3983</v>
      </c>
      <c r="E3358" s="5">
        <v>42053</v>
      </c>
      <c r="F3358" s="5">
        <v>3389</v>
      </c>
      <c r="G3358" s="5">
        <v>49424</v>
      </c>
    </row>
    <row r="3359" spans="1:7" x14ac:dyDescent="0.2">
      <c r="A3359">
        <v>1895</v>
      </c>
      <c r="B3359" t="s">
        <v>415</v>
      </c>
      <c r="C3359" t="s">
        <v>709</v>
      </c>
      <c r="D3359" s="5">
        <v>7296</v>
      </c>
      <c r="E3359" s="5">
        <v>37982</v>
      </c>
      <c r="F3359" s="5">
        <v>12390</v>
      </c>
      <c r="G3359" s="5">
        <v>57668</v>
      </c>
    </row>
    <row r="3360" spans="1:7" x14ac:dyDescent="0.2">
      <c r="A3360">
        <v>1895</v>
      </c>
      <c r="B3360" t="s">
        <v>415</v>
      </c>
      <c r="C3360" t="s">
        <v>710</v>
      </c>
      <c r="D3360" s="5">
        <v>810</v>
      </c>
      <c r="E3360" s="5">
        <v>20991</v>
      </c>
      <c r="F3360" s="5">
        <v>1902</v>
      </c>
      <c r="G3360" s="5">
        <v>23703</v>
      </c>
    </row>
    <row r="3361" spans="1:7" x14ac:dyDescent="0.2">
      <c r="A3361">
        <v>1895</v>
      </c>
      <c r="B3361" t="s">
        <v>415</v>
      </c>
      <c r="C3361" t="s">
        <v>712</v>
      </c>
      <c r="D3361" s="5">
        <v>22762</v>
      </c>
      <c r="E3361" s="5">
        <v>131746</v>
      </c>
      <c r="F3361" s="5">
        <v>4972</v>
      </c>
      <c r="G3361" s="5">
        <v>159480</v>
      </c>
    </row>
    <row r="3362" spans="1:7" x14ac:dyDescent="0.2">
      <c r="A3362">
        <v>1896</v>
      </c>
      <c r="B3362" t="s">
        <v>681</v>
      </c>
      <c r="C3362" t="s">
        <v>700</v>
      </c>
      <c r="D3362" s="5">
        <v>226174</v>
      </c>
      <c r="E3362" s="5">
        <v>320670</v>
      </c>
      <c r="F3362" s="5">
        <v>19380</v>
      </c>
      <c r="G3362" s="5">
        <v>566224</v>
      </c>
    </row>
    <row r="3363" spans="1:7" x14ac:dyDescent="0.2">
      <c r="A3363">
        <v>1896</v>
      </c>
      <c r="B3363" t="s">
        <v>681</v>
      </c>
      <c r="C3363" t="s">
        <v>701</v>
      </c>
      <c r="D3363" s="5">
        <v>11422</v>
      </c>
      <c r="E3363" s="5">
        <v>17232</v>
      </c>
      <c r="F3363" s="5">
        <v>27</v>
      </c>
      <c r="G3363" s="5">
        <v>28681</v>
      </c>
    </row>
    <row r="3364" spans="1:7" x14ac:dyDescent="0.2">
      <c r="A3364">
        <v>1896</v>
      </c>
      <c r="B3364" t="s">
        <v>681</v>
      </c>
      <c r="C3364" t="s">
        <v>703</v>
      </c>
      <c r="D3364" s="5">
        <v>1504</v>
      </c>
      <c r="E3364" s="5">
        <v>2669</v>
      </c>
      <c r="F3364" s="5">
        <v>0</v>
      </c>
      <c r="G3364" s="5">
        <v>4172</v>
      </c>
    </row>
    <row r="3365" spans="1:7" x14ac:dyDescent="0.2">
      <c r="A3365">
        <v>1896</v>
      </c>
      <c r="B3365" t="s">
        <v>681</v>
      </c>
      <c r="C3365" t="s">
        <v>704</v>
      </c>
      <c r="D3365" s="5">
        <v>58219</v>
      </c>
      <c r="E3365" s="5">
        <v>528788</v>
      </c>
      <c r="F3365" s="5">
        <v>0</v>
      </c>
      <c r="G3365" s="5">
        <v>587006</v>
      </c>
    </row>
    <row r="3366" spans="1:7" x14ac:dyDescent="0.2">
      <c r="A3366">
        <v>1896</v>
      </c>
      <c r="B3366" t="s">
        <v>681</v>
      </c>
      <c r="C3366" t="s">
        <v>705</v>
      </c>
      <c r="D3366" s="5">
        <v>5283</v>
      </c>
      <c r="E3366" s="5">
        <v>162771</v>
      </c>
      <c r="F3366" s="5">
        <v>0</v>
      </c>
      <c r="G3366" s="5">
        <v>168054</v>
      </c>
    </row>
    <row r="3367" spans="1:7" x14ac:dyDescent="0.2">
      <c r="A3367">
        <v>1896</v>
      </c>
      <c r="B3367" t="s">
        <v>681</v>
      </c>
      <c r="C3367" t="s">
        <v>707</v>
      </c>
      <c r="D3367" s="5">
        <v>138</v>
      </c>
      <c r="E3367" s="5">
        <v>3448</v>
      </c>
      <c r="F3367" s="5">
        <v>0</v>
      </c>
      <c r="G3367" s="5">
        <v>3586</v>
      </c>
    </row>
    <row r="3368" spans="1:7" x14ac:dyDescent="0.2">
      <c r="A3368">
        <v>1896</v>
      </c>
      <c r="B3368" t="s">
        <v>681</v>
      </c>
      <c r="C3368" t="s">
        <v>708</v>
      </c>
      <c r="D3368" s="5">
        <v>3073</v>
      </c>
      <c r="E3368" s="5">
        <v>20146</v>
      </c>
      <c r="F3368" s="5">
        <v>765</v>
      </c>
      <c r="G3368" s="5">
        <v>23984</v>
      </c>
    </row>
    <row r="3369" spans="1:7" x14ac:dyDescent="0.2">
      <c r="A3369">
        <v>1896</v>
      </c>
      <c r="B3369" t="s">
        <v>681</v>
      </c>
      <c r="C3369" t="s">
        <v>709</v>
      </c>
      <c r="D3369" s="5">
        <v>11980</v>
      </c>
      <c r="E3369" s="5">
        <v>28443</v>
      </c>
      <c r="F3369" s="5">
        <v>120</v>
      </c>
      <c r="G3369" s="5">
        <v>40544</v>
      </c>
    </row>
    <row r="3370" spans="1:7" x14ac:dyDescent="0.2">
      <c r="A3370">
        <v>1896</v>
      </c>
      <c r="B3370" t="s">
        <v>681</v>
      </c>
      <c r="C3370" t="s">
        <v>710</v>
      </c>
      <c r="D3370" s="5">
        <v>1348</v>
      </c>
      <c r="E3370" s="5">
        <v>12922</v>
      </c>
      <c r="F3370" s="5">
        <v>0</v>
      </c>
      <c r="G3370" s="5">
        <v>14270</v>
      </c>
    </row>
    <row r="3371" spans="1:7" x14ac:dyDescent="0.2">
      <c r="A3371">
        <v>1896</v>
      </c>
      <c r="B3371" t="s">
        <v>681</v>
      </c>
      <c r="C3371" t="s">
        <v>712</v>
      </c>
      <c r="D3371" s="5">
        <v>14070</v>
      </c>
      <c r="E3371" s="5">
        <v>49550</v>
      </c>
      <c r="F3371" s="5">
        <v>52</v>
      </c>
      <c r="G3371" s="5">
        <v>63673</v>
      </c>
    </row>
    <row r="3372" spans="1:7" x14ac:dyDescent="0.2">
      <c r="A3372">
        <v>1900</v>
      </c>
      <c r="B3372" t="s">
        <v>698</v>
      </c>
      <c r="C3372" t="s">
        <v>700</v>
      </c>
      <c r="D3372" s="5">
        <v>1146660</v>
      </c>
      <c r="E3372" s="5">
        <v>871547</v>
      </c>
      <c r="F3372" s="5">
        <v>45120</v>
      </c>
      <c r="G3372" s="5">
        <v>2063327</v>
      </c>
    </row>
    <row r="3373" spans="1:7" x14ac:dyDescent="0.2">
      <c r="A3373">
        <v>1900</v>
      </c>
      <c r="B3373" t="s">
        <v>698</v>
      </c>
      <c r="C3373" t="s">
        <v>701</v>
      </c>
      <c r="D3373" s="5">
        <v>58814</v>
      </c>
      <c r="E3373" s="5">
        <v>47273</v>
      </c>
      <c r="F3373" s="5">
        <v>364</v>
      </c>
      <c r="G3373" s="5">
        <v>106451</v>
      </c>
    </row>
    <row r="3374" spans="1:7" x14ac:dyDescent="0.2">
      <c r="A3374">
        <v>1900</v>
      </c>
      <c r="B3374" t="s">
        <v>698</v>
      </c>
      <c r="C3374" t="s">
        <v>703</v>
      </c>
      <c r="D3374" s="5">
        <v>4324</v>
      </c>
      <c r="E3374" s="5">
        <v>34848</v>
      </c>
      <c r="F3374" s="5">
        <v>39</v>
      </c>
      <c r="G3374" s="5">
        <v>39212</v>
      </c>
    </row>
    <row r="3375" spans="1:7" x14ac:dyDescent="0.2">
      <c r="A3375">
        <v>1900</v>
      </c>
      <c r="B3375" t="s">
        <v>698</v>
      </c>
      <c r="C3375" t="s">
        <v>704</v>
      </c>
      <c r="D3375" s="5">
        <v>129582</v>
      </c>
      <c r="E3375" s="5">
        <v>789173</v>
      </c>
      <c r="F3375" s="5">
        <v>8012</v>
      </c>
      <c r="G3375" s="5">
        <v>926767</v>
      </c>
    </row>
    <row r="3376" spans="1:7" x14ac:dyDescent="0.2">
      <c r="A3376">
        <v>1900</v>
      </c>
      <c r="B3376" t="s">
        <v>698</v>
      </c>
      <c r="C3376" t="s">
        <v>705</v>
      </c>
      <c r="D3376" s="5">
        <v>33188</v>
      </c>
      <c r="E3376" s="5">
        <v>233646</v>
      </c>
      <c r="F3376" s="5">
        <v>4687</v>
      </c>
      <c r="G3376" s="5">
        <v>271521</v>
      </c>
    </row>
    <row r="3377" spans="1:7" x14ac:dyDescent="0.2">
      <c r="A3377">
        <v>1900</v>
      </c>
      <c r="B3377" t="s">
        <v>698</v>
      </c>
      <c r="C3377" t="s">
        <v>706</v>
      </c>
      <c r="D3377" s="5">
        <v>0</v>
      </c>
      <c r="E3377" s="5">
        <v>98</v>
      </c>
      <c r="F3377" s="5">
        <v>0</v>
      </c>
      <c r="G3377" s="5">
        <v>98</v>
      </c>
    </row>
    <row r="3378" spans="1:7" x14ac:dyDescent="0.2">
      <c r="A3378">
        <v>1900</v>
      </c>
      <c r="B3378" t="s">
        <v>698</v>
      </c>
      <c r="C3378" t="s">
        <v>707</v>
      </c>
      <c r="D3378" s="5">
        <v>51114</v>
      </c>
      <c r="E3378" s="5">
        <v>22750</v>
      </c>
      <c r="F3378" s="5">
        <v>7875</v>
      </c>
      <c r="G3378" s="5">
        <v>81739</v>
      </c>
    </row>
    <row r="3379" spans="1:7" x14ac:dyDescent="0.2">
      <c r="A3379">
        <v>1900</v>
      </c>
      <c r="B3379" t="s">
        <v>698</v>
      </c>
      <c r="C3379" t="s">
        <v>708</v>
      </c>
      <c r="D3379" s="5">
        <v>15643</v>
      </c>
      <c r="E3379" s="5">
        <v>105189</v>
      </c>
      <c r="F3379" s="5">
        <v>0</v>
      </c>
      <c r="G3379" s="5">
        <v>120832</v>
      </c>
    </row>
    <row r="3380" spans="1:7" x14ac:dyDescent="0.2">
      <c r="A3380">
        <v>1900</v>
      </c>
      <c r="B3380" t="s">
        <v>698</v>
      </c>
      <c r="C3380" t="s">
        <v>709</v>
      </c>
      <c r="D3380" s="5">
        <v>37931</v>
      </c>
      <c r="E3380" s="5">
        <v>110754</v>
      </c>
      <c r="F3380" s="5">
        <v>4931</v>
      </c>
      <c r="G3380" s="5">
        <v>153617</v>
      </c>
    </row>
    <row r="3381" spans="1:7" x14ac:dyDescent="0.2">
      <c r="A3381">
        <v>1900</v>
      </c>
      <c r="B3381" t="s">
        <v>698</v>
      </c>
      <c r="C3381" t="s">
        <v>710</v>
      </c>
      <c r="D3381" s="5">
        <v>12290</v>
      </c>
      <c r="E3381" s="5">
        <v>72488</v>
      </c>
      <c r="F3381" s="5">
        <v>1309</v>
      </c>
      <c r="G3381" s="5">
        <v>86087</v>
      </c>
    </row>
    <row r="3382" spans="1:7" x14ac:dyDescent="0.2">
      <c r="A3382">
        <v>1900</v>
      </c>
      <c r="B3382" t="s">
        <v>698</v>
      </c>
      <c r="C3382" t="s">
        <v>711</v>
      </c>
      <c r="D3382" s="5">
        <v>99</v>
      </c>
      <c r="E3382" s="5">
        <v>35</v>
      </c>
      <c r="F3382" s="5">
        <v>0</v>
      </c>
      <c r="G3382" s="5">
        <v>134</v>
      </c>
    </row>
    <row r="3383" spans="1:7" x14ac:dyDescent="0.2">
      <c r="A3383">
        <v>1900</v>
      </c>
      <c r="B3383" t="s">
        <v>698</v>
      </c>
      <c r="C3383" t="s">
        <v>712</v>
      </c>
      <c r="D3383" s="5">
        <v>48407</v>
      </c>
      <c r="E3383" s="5">
        <v>182213</v>
      </c>
      <c r="F3383" s="5">
        <v>4955</v>
      </c>
      <c r="G3383" s="5">
        <v>235575</v>
      </c>
    </row>
    <row r="3384" spans="1:7" x14ac:dyDescent="0.2">
      <c r="A3384">
        <v>1901</v>
      </c>
      <c r="B3384" t="s">
        <v>85</v>
      </c>
      <c r="C3384" t="s">
        <v>700</v>
      </c>
      <c r="D3384" s="5">
        <v>372511</v>
      </c>
      <c r="E3384" s="5">
        <v>317150</v>
      </c>
      <c r="F3384" s="5">
        <v>10588</v>
      </c>
      <c r="G3384" s="5">
        <v>700249</v>
      </c>
    </row>
    <row r="3385" spans="1:7" x14ac:dyDescent="0.2">
      <c r="A3385">
        <v>1901</v>
      </c>
      <c r="B3385" t="s">
        <v>85</v>
      </c>
      <c r="C3385" t="s">
        <v>701</v>
      </c>
      <c r="D3385" s="5">
        <v>11100</v>
      </c>
      <c r="E3385" s="5">
        <v>22561</v>
      </c>
      <c r="F3385" s="5">
        <v>0</v>
      </c>
      <c r="G3385" s="5">
        <v>33661</v>
      </c>
    </row>
    <row r="3386" spans="1:7" x14ac:dyDescent="0.2">
      <c r="A3386">
        <v>1901</v>
      </c>
      <c r="B3386" t="s">
        <v>85</v>
      </c>
      <c r="C3386" t="s">
        <v>703</v>
      </c>
      <c r="D3386" s="5">
        <v>1565</v>
      </c>
      <c r="E3386" s="5">
        <v>4437</v>
      </c>
      <c r="F3386" s="5">
        <v>238</v>
      </c>
      <c r="G3386" s="5">
        <v>6240</v>
      </c>
    </row>
    <row r="3387" spans="1:7" x14ac:dyDescent="0.2">
      <c r="A3387">
        <v>1901</v>
      </c>
      <c r="B3387" t="s">
        <v>85</v>
      </c>
      <c r="C3387" t="s">
        <v>704</v>
      </c>
      <c r="D3387" s="5">
        <v>26067</v>
      </c>
      <c r="E3387" s="5">
        <v>210862</v>
      </c>
      <c r="F3387" s="5">
        <v>300</v>
      </c>
      <c r="G3387" s="5">
        <v>237229</v>
      </c>
    </row>
    <row r="3388" spans="1:7" x14ac:dyDescent="0.2">
      <c r="A3388">
        <v>1901</v>
      </c>
      <c r="B3388" t="s">
        <v>85</v>
      </c>
      <c r="C3388" t="s">
        <v>705</v>
      </c>
      <c r="D3388" s="5">
        <v>6898</v>
      </c>
      <c r="E3388" s="5">
        <v>112799</v>
      </c>
      <c r="F3388" s="5">
        <v>9927</v>
      </c>
      <c r="G3388" s="5">
        <v>129625</v>
      </c>
    </row>
    <row r="3389" spans="1:7" x14ac:dyDescent="0.2">
      <c r="A3389">
        <v>1901</v>
      </c>
      <c r="B3389" t="s">
        <v>85</v>
      </c>
      <c r="C3389" t="s">
        <v>707</v>
      </c>
      <c r="D3389" s="5">
        <v>2018</v>
      </c>
      <c r="E3389" s="5">
        <v>2058</v>
      </c>
      <c r="F3389" s="5">
        <v>6597</v>
      </c>
      <c r="G3389" s="5">
        <v>10673</v>
      </c>
    </row>
    <row r="3390" spans="1:7" x14ac:dyDescent="0.2">
      <c r="A3390">
        <v>1901</v>
      </c>
      <c r="B3390" t="s">
        <v>85</v>
      </c>
      <c r="C3390" t="s">
        <v>708</v>
      </c>
      <c r="D3390" s="5">
        <v>1777</v>
      </c>
      <c r="E3390" s="5">
        <v>12635</v>
      </c>
      <c r="F3390" s="5">
        <v>0</v>
      </c>
      <c r="G3390" s="5">
        <v>14412</v>
      </c>
    </row>
    <row r="3391" spans="1:7" x14ac:dyDescent="0.2">
      <c r="A3391">
        <v>1901</v>
      </c>
      <c r="B3391" t="s">
        <v>85</v>
      </c>
      <c r="C3391" t="s">
        <v>709</v>
      </c>
      <c r="D3391" s="5">
        <v>6402</v>
      </c>
      <c r="E3391" s="5">
        <v>23300</v>
      </c>
      <c r="F3391" s="5">
        <v>906</v>
      </c>
      <c r="G3391" s="5">
        <v>30608</v>
      </c>
    </row>
    <row r="3392" spans="1:7" x14ac:dyDescent="0.2">
      <c r="A3392">
        <v>1901</v>
      </c>
      <c r="B3392" t="s">
        <v>85</v>
      </c>
      <c r="C3392" t="s">
        <v>710</v>
      </c>
      <c r="D3392" s="5">
        <v>1009</v>
      </c>
      <c r="E3392" s="5">
        <v>15753</v>
      </c>
      <c r="F3392" s="5">
        <v>563</v>
      </c>
      <c r="G3392" s="5">
        <v>17326</v>
      </c>
    </row>
    <row r="3393" spans="1:7" x14ac:dyDescent="0.2">
      <c r="A3393">
        <v>1901</v>
      </c>
      <c r="B3393" t="s">
        <v>85</v>
      </c>
      <c r="C3393" t="s">
        <v>712</v>
      </c>
      <c r="D3393" s="5">
        <v>9130</v>
      </c>
      <c r="E3393" s="5">
        <v>97303</v>
      </c>
      <c r="F3393" s="5">
        <v>0</v>
      </c>
      <c r="G3393" s="5">
        <v>106433</v>
      </c>
    </row>
    <row r="3394" spans="1:7" x14ac:dyDescent="0.2">
      <c r="A3394">
        <v>1903</v>
      </c>
      <c r="B3394" t="s">
        <v>167</v>
      </c>
      <c r="C3394" t="s">
        <v>700</v>
      </c>
      <c r="D3394" s="5">
        <v>214037</v>
      </c>
      <c r="E3394" s="5">
        <v>238453</v>
      </c>
      <c r="F3394" s="5">
        <v>5149</v>
      </c>
      <c r="G3394" s="5">
        <v>457639</v>
      </c>
    </row>
    <row r="3395" spans="1:7" x14ac:dyDescent="0.2">
      <c r="A3395">
        <v>1903</v>
      </c>
      <c r="B3395" t="s">
        <v>167</v>
      </c>
      <c r="C3395" t="s">
        <v>701</v>
      </c>
      <c r="D3395" s="5">
        <v>12925</v>
      </c>
      <c r="E3395" s="5">
        <v>15270</v>
      </c>
      <c r="F3395" s="5">
        <v>0</v>
      </c>
      <c r="G3395" s="5">
        <v>28194</v>
      </c>
    </row>
    <row r="3396" spans="1:7" x14ac:dyDescent="0.2">
      <c r="A3396">
        <v>1903</v>
      </c>
      <c r="B3396" t="s">
        <v>167</v>
      </c>
      <c r="C3396" t="s">
        <v>703</v>
      </c>
      <c r="D3396" s="5">
        <v>635</v>
      </c>
      <c r="E3396" s="5">
        <v>6081</v>
      </c>
      <c r="F3396" s="5">
        <v>0</v>
      </c>
      <c r="G3396" s="5">
        <v>6717</v>
      </c>
    </row>
    <row r="3397" spans="1:7" x14ac:dyDescent="0.2">
      <c r="A3397">
        <v>1903</v>
      </c>
      <c r="B3397" t="s">
        <v>167</v>
      </c>
      <c r="C3397" t="s">
        <v>704</v>
      </c>
      <c r="D3397" s="5">
        <v>23279</v>
      </c>
      <c r="E3397" s="5">
        <v>148986</v>
      </c>
      <c r="F3397" s="5">
        <v>0</v>
      </c>
      <c r="G3397" s="5">
        <v>172266</v>
      </c>
    </row>
    <row r="3398" spans="1:7" x14ac:dyDescent="0.2">
      <c r="A3398">
        <v>1903</v>
      </c>
      <c r="B3398" t="s">
        <v>167</v>
      </c>
      <c r="C3398" t="s">
        <v>705</v>
      </c>
      <c r="D3398" s="5">
        <v>5214</v>
      </c>
      <c r="E3398" s="5">
        <v>20466</v>
      </c>
      <c r="F3398" s="5">
        <v>0</v>
      </c>
      <c r="G3398" s="5">
        <v>25680</v>
      </c>
    </row>
    <row r="3399" spans="1:7" x14ac:dyDescent="0.2">
      <c r="A3399">
        <v>1903</v>
      </c>
      <c r="B3399" t="s">
        <v>167</v>
      </c>
      <c r="C3399" t="s">
        <v>707</v>
      </c>
      <c r="D3399" s="5">
        <v>19042</v>
      </c>
      <c r="E3399" s="5">
        <v>6264</v>
      </c>
      <c r="F3399" s="5">
        <v>1436</v>
      </c>
      <c r="G3399" s="5">
        <v>26742</v>
      </c>
    </row>
    <row r="3400" spans="1:7" x14ac:dyDescent="0.2">
      <c r="A3400">
        <v>1903</v>
      </c>
      <c r="B3400" t="s">
        <v>167</v>
      </c>
      <c r="C3400" t="s">
        <v>708</v>
      </c>
      <c r="D3400" s="5">
        <v>1032</v>
      </c>
      <c r="E3400" s="5">
        <v>14695</v>
      </c>
      <c r="F3400" s="5">
        <v>0</v>
      </c>
      <c r="G3400" s="5">
        <v>15727</v>
      </c>
    </row>
    <row r="3401" spans="1:7" x14ac:dyDescent="0.2">
      <c r="A3401">
        <v>1903</v>
      </c>
      <c r="B3401" t="s">
        <v>167</v>
      </c>
      <c r="C3401" t="s">
        <v>709</v>
      </c>
      <c r="D3401" s="5">
        <v>12789</v>
      </c>
      <c r="E3401" s="5">
        <v>116205</v>
      </c>
      <c r="F3401" s="5">
        <v>54</v>
      </c>
      <c r="G3401" s="5">
        <v>129048</v>
      </c>
    </row>
    <row r="3402" spans="1:7" x14ac:dyDescent="0.2">
      <c r="A3402">
        <v>1903</v>
      </c>
      <c r="B3402" t="s">
        <v>167</v>
      </c>
      <c r="C3402" t="s">
        <v>710</v>
      </c>
      <c r="D3402" s="5">
        <v>1488</v>
      </c>
      <c r="E3402" s="5">
        <v>14616</v>
      </c>
      <c r="F3402" s="5">
        <v>0</v>
      </c>
      <c r="G3402" s="5">
        <v>16105</v>
      </c>
    </row>
    <row r="3403" spans="1:7" x14ac:dyDescent="0.2">
      <c r="A3403">
        <v>1903</v>
      </c>
      <c r="B3403" t="s">
        <v>167</v>
      </c>
      <c r="C3403" t="s">
        <v>712</v>
      </c>
      <c r="D3403" s="5">
        <v>10701</v>
      </c>
      <c r="E3403" s="5">
        <v>65477</v>
      </c>
      <c r="F3403" s="5">
        <v>0</v>
      </c>
      <c r="G3403" s="5">
        <v>76178</v>
      </c>
    </row>
    <row r="3404" spans="1:7" x14ac:dyDescent="0.2">
      <c r="A3404">
        <v>1904</v>
      </c>
      <c r="B3404" t="s">
        <v>533</v>
      </c>
      <c r="C3404" t="s">
        <v>700</v>
      </c>
      <c r="D3404" s="5">
        <v>491528</v>
      </c>
      <c r="E3404" s="5">
        <v>467865</v>
      </c>
      <c r="F3404" s="5">
        <v>7241</v>
      </c>
      <c r="G3404" s="5">
        <v>966634</v>
      </c>
    </row>
    <row r="3405" spans="1:7" x14ac:dyDescent="0.2">
      <c r="A3405">
        <v>1904</v>
      </c>
      <c r="B3405" t="s">
        <v>533</v>
      </c>
      <c r="C3405" t="s">
        <v>701</v>
      </c>
      <c r="D3405" s="5">
        <v>15120</v>
      </c>
      <c r="E3405" s="5">
        <v>14322</v>
      </c>
      <c r="F3405" s="5">
        <v>61</v>
      </c>
      <c r="G3405" s="5">
        <v>29504</v>
      </c>
    </row>
    <row r="3406" spans="1:7" x14ac:dyDescent="0.2">
      <c r="A3406">
        <v>1904</v>
      </c>
      <c r="B3406" t="s">
        <v>533</v>
      </c>
      <c r="C3406" t="s">
        <v>703</v>
      </c>
      <c r="D3406" s="5">
        <v>732</v>
      </c>
      <c r="E3406" s="5">
        <v>10542</v>
      </c>
      <c r="F3406" s="5">
        <v>0</v>
      </c>
      <c r="G3406" s="5">
        <v>11273</v>
      </c>
    </row>
    <row r="3407" spans="1:7" x14ac:dyDescent="0.2">
      <c r="A3407">
        <v>1904</v>
      </c>
      <c r="B3407" t="s">
        <v>533</v>
      </c>
      <c r="C3407" t="s">
        <v>704</v>
      </c>
      <c r="D3407" s="5">
        <v>38345</v>
      </c>
      <c r="E3407" s="5">
        <v>175468</v>
      </c>
      <c r="F3407" s="5">
        <v>0</v>
      </c>
      <c r="G3407" s="5">
        <v>213813</v>
      </c>
    </row>
    <row r="3408" spans="1:7" x14ac:dyDescent="0.2">
      <c r="A3408">
        <v>1904</v>
      </c>
      <c r="B3408" t="s">
        <v>533</v>
      </c>
      <c r="C3408" t="s">
        <v>705</v>
      </c>
      <c r="D3408" s="5">
        <v>15079</v>
      </c>
      <c r="E3408" s="5">
        <v>71341</v>
      </c>
      <c r="F3408" s="5">
        <v>4940</v>
      </c>
      <c r="G3408" s="5">
        <v>91360</v>
      </c>
    </row>
    <row r="3409" spans="1:7" x14ac:dyDescent="0.2">
      <c r="A3409">
        <v>1904</v>
      </c>
      <c r="B3409" t="s">
        <v>533</v>
      </c>
      <c r="C3409" t="s">
        <v>707</v>
      </c>
      <c r="D3409" s="5">
        <v>8796</v>
      </c>
      <c r="E3409" s="5">
        <v>20001</v>
      </c>
      <c r="F3409" s="5">
        <v>1744</v>
      </c>
      <c r="G3409" s="5">
        <v>30541</v>
      </c>
    </row>
    <row r="3410" spans="1:7" x14ac:dyDescent="0.2">
      <c r="A3410">
        <v>1904</v>
      </c>
      <c r="B3410" t="s">
        <v>533</v>
      </c>
      <c r="C3410" t="s">
        <v>708</v>
      </c>
      <c r="D3410" s="5">
        <v>2908</v>
      </c>
      <c r="E3410" s="5">
        <v>52604</v>
      </c>
      <c r="F3410" s="5">
        <v>0</v>
      </c>
      <c r="G3410" s="5">
        <v>55512</v>
      </c>
    </row>
    <row r="3411" spans="1:7" x14ac:dyDescent="0.2">
      <c r="A3411">
        <v>1904</v>
      </c>
      <c r="B3411" t="s">
        <v>533</v>
      </c>
      <c r="C3411" t="s">
        <v>709</v>
      </c>
      <c r="D3411" s="5">
        <v>21962</v>
      </c>
      <c r="E3411" s="5">
        <v>64354</v>
      </c>
      <c r="F3411" s="5">
        <v>1473</v>
      </c>
      <c r="G3411" s="5">
        <v>87789</v>
      </c>
    </row>
    <row r="3412" spans="1:7" x14ac:dyDescent="0.2">
      <c r="A3412">
        <v>1904</v>
      </c>
      <c r="B3412" t="s">
        <v>533</v>
      </c>
      <c r="C3412" t="s">
        <v>710</v>
      </c>
      <c r="D3412" s="5">
        <v>3983</v>
      </c>
      <c r="E3412" s="5">
        <v>17731</v>
      </c>
      <c r="F3412" s="5">
        <v>0</v>
      </c>
      <c r="G3412" s="5">
        <v>21715</v>
      </c>
    </row>
    <row r="3413" spans="1:7" x14ac:dyDescent="0.2">
      <c r="A3413">
        <v>1904</v>
      </c>
      <c r="B3413" t="s">
        <v>533</v>
      </c>
      <c r="C3413" t="s">
        <v>712</v>
      </c>
      <c r="D3413" s="5">
        <v>17322</v>
      </c>
      <c r="E3413" s="5">
        <v>67192</v>
      </c>
      <c r="F3413" s="5">
        <v>861</v>
      </c>
      <c r="G3413" s="5">
        <v>85375</v>
      </c>
    </row>
    <row r="3414" spans="1:7" x14ac:dyDescent="0.2">
      <c r="A3414">
        <v>1911</v>
      </c>
      <c r="B3414" t="s">
        <v>275</v>
      </c>
      <c r="C3414" t="s">
        <v>700</v>
      </c>
      <c r="D3414" s="5">
        <v>1670301</v>
      </c>
      <c r="E3414" s="5">
        <v>1283823</v>
      </c>
      <c r="F3414" s="5">
        <v>25084</v>
      </c>
      <c r="G3414" s="5">
        <v>2979208</v>
      </c>
    </row>
    <row r="3415" spans="1:7" x14ac:dyDescent="0.2">
      <c r="A3415">
        <v>1911</v>
      </c>
      <c r="B3415" t="s">
        <v>275</v>
      </c>
      <c r="C3415" t="s">
        <v>701</v>
      </c>
      <c r="D3415" s="5">
        <v>16001</v>
      </c>
      <c r="E3415" s="5">
        <v>27350</v>
      </c>
      <c r="F3415" s="5">
        <v>366</v>
      </c>
      <c r="G3415" s="5">
        <v>43716</v>
      </c>
    </row>
    <row r="3416" spans="1:7" x14ac:dyDescent="0.2">
      <c r="A3416">
        <v>1911</v>
      </c>
      <c r="B3416" t="s">
        <v>275</v>
      </c>
      <c r="C3416" t="s">
        <v>703</v>
      </c>
      <c r="D3416" s="5">
        <v>4334</v>
      </c>
      <c r="E3416" s="5">
        <v>9774</v>
      </c>
      <c r="F3416" s="5">
        <v>1035</v>
      </c>
      <c r="G3416" s="5">
        <v>15143</v>
      </c>
    </row>
    <row r="3417" spans="1:7" x14ac:dyDescent="0.2">
      <c r="A3417">
        <v>1911</v>
      </c>
      <c r="B3417" t="s">
        <v>275</v>
      </c>
      <c r="C3417" t="s">
        <v>704</v>
      </c>
      <c r="D3417" s="5">
        <v>3529543</v>
      </c>
      <c r="E3417" s="5">
        <v>466288</v>
      </c>
      <c r="F3417" s="5">
        <v>4957</v>
      </c>
      <c r="G3417" s="5">
        <v>4000787</v>
      </c>
    </row>
    <row r="3418" spans="1:7" x14ac:dyDescent="0.2">
      <c r="A3418">
        <v>1911</v>
      </c>
      <c r="B3418" t="s">
        <v>275</v>
      </c>
      <c r="C3418" t="s">
        <v>705</v>
      </c>
      <c r="D3418" s="5">
        <v>26355</v>
      </c>
      <c r="E3418" s="5">
        <v>136005</v>
      </c>
      <c r="F3418" s="5">
        <v>6001</v>
      </c>
      <c r="G3418" s="5">
        <v>168362</v>
      </c>
    </row>
    <row r="3419" spans="1:7" x14ac:dyDescent="0.2">
      <c r="A3419">
        <v>1911</v>
      </c>
      <c r="B3419" t="s">
        <v>275</v>
      </c>
      <c r="C3419" t="s">
        <v>707</v>
      </c>
      <c r="D3419" s="5">
        <v>13248</v>
      </c>
      <c r="E3419" s="5">
        <v>24704</v>
      </c>
      <c r="F3419" s="5">
        <v>3269</v>
      </c>
      <c r="G3419" s="5">
        <v>41220</v>
      </c>
    </row>
    <row r="3420" spans="1:7" x14ac:dyDescent="0.2">
      <c r="A3420">
        <v>1911</v>
      </c>
      <c r="B3420" t="s">
        <v>275</v>
      </c>
      <c r="C3420" t="s">
        <v>708</v>
      </c>
      <c r="D3420" s="5">
        <v>3609</v>
      </c>
      <c r="E3420" s="5">
        <v>25639</v>
      </c>
      <c r="F3420" s="5">
        <v>0</v>
      </c>
      <c r="G3420" s="5">
        <v>29248</v>
      </c>
    </row>
    <row r="3421" spans="1:7" x14ac:dyDescent="0.2">
      <c r="A3421">
        <v>1911</v>
      </c>
      <c r="B3421" t="s">
        <v>275</v>
      </c>
      <c r="C3421" t="s">
        <v>709</v>
      </c>
      <c r="D3421" s="5">
        <v>15415</v>
      </c>
      <c r="E3421" s="5">
        <v>47053</v>
      </c>
      <c r="F3421" s="5">
        <v>6170</v>
      </c>
      <c r="G3421" s="5">
        <v>68638</v>
      </c>
    </row>
    <row r="3422" spans="1:7" x14ac:dyDescent="0.2">
      <c r="A3422">
        <v>1911</v>
      </c>
      <c r="B3422" t="s">
        <v>275</v>
      </c>
      <c r="C3422" t="s">
        <v>710</v>
      </c>
      <c r="D3422" s="5">
        <v>3463</v>
      </c>
      <c r="E3422" s="5">
        <v>40803</v>
      </c>
      <c r="F3422" s="5">
        <v>0</v>
      </c>
      <c r="G3422" s="5">
        <v>44266</v>
      </c>
    </row>
    <row r="3423" spans="1:7" x14ac:dyDescent="0.2">
      <c r="A3423">
        <v>1911</v>
      </c>
      <c r="B3423" t="s">
        <v>275</v>
      </c>
      <c r="C3423" t="s">
        <v>712</v>
      </c>
      <c r="D3423" s="5">
        <v>26336</v>
      </c>
      <c r="E3423" s="5">
        <v>122111</v>
      </c>
      <c r="F3423" s="5">
        <v>0</v>
      </c>
      <c r="G3423" s="5">
        <v>148446</v>
      </c>
    </row>
    <row r="3424" spans="1:7" x14ac:dyDescent="0.2">
      <c r="A3424">
        <v>1916</v>
      </c>
      <c r="B3424" t="s">
        <v>325</v>
      </c>
      <c r="C3424" t="s">
        <v>700</v>
      </c>
      <c r="D3424" s="5">
        <v>199933</v>
      </c>
      <c r="E3424" s="5">
        <v>202373</v>
      </c>
      <c r="F3424" s="5">
        <v>1712</v>
      </c>
      <c r="G3424" s="5">
        <v>404019</v>
      </c>
    </row>
    <row r="3425" spans="1:7" x14ac:dyDescent="0.2">
      <c r="A3425">
        <v>1916</v>
      </c>
      <c r="B3425" t="s">
        <v>325</v>
      </c>
      <c r="C3425" t="s">
        <v>701</v>
      </c>
      <c r="D3425" s="5">
        <v>13169</v>
      </c>
      <c r="E3425" s="5">
        <v>22567</v>
      </c>
      <c r="F3425" s="5">
        <v>218</v>
      </c>
      <c r="G3425" s="5">
        <v>35954</v>
      </c>
    </row>
    <row r="3426" spans="1:7" x14ac:dyDescent="0.2">
      <c r="A3426">
        <v>1916</v>
      </c>
      <c r="B3426" t="s">
        <v>325</v>
      </c>
      <c r="C3426" t="s">
        <v>703</v>
      </c>
      <c r="D3426" s="5">
        <v>5552</v>
      </c>
      <c r="E3426" s="5">
        <v>26091</v>
      </c>
      <c r="F3426" s="5">
        <v>0</v>
      </c>
      <c r="G3426" s="5">
        <v>31643</v>
      </c>
    </row>
    <row r="3427" spans="1:7" x14ac:dyDescent="0.2">
      <c r="A3427">
        <v>1916</v>
      </c>
      <c r="B3427" t="s">
        <v>325</v>
      </c>
      <c r="C3427" t="s">
        <v>704</v>
      </c>
      <c r="D3427" s="5">
        <v>88098</v>
      </c>
      <c r="E3427" s="5">
        <v>171003</v>
      </c>
      <c r="F3427" s="5">
        <v>0</v>
      </c>
      <c r="G3427" s="5">
        <v>259102</v>
      </c>
    </row>
    <row r="3428" spans="1:7" x14ac:dyDescent="0.2">
      <c r="A3428">
        <v>1916</v>
      </c>
      <c r="B3428" t="s">
        <v>325</v>
      </c>
      <c r="C3428" t="s">
        <v>705</v>
      </c>
      <c r="D3428" s="5">
        <v>9059</v>
      </c>
      <c r="E3428" s="5">
        <v>93731</v>
      </c>
      <c r="F3428" s="5">
        <v>0</v>
      </c>
      <c r="G3428" s="5">
        <v>102790</v>
      </c>
    </row>
    <row r="3429" spans="1:7" x14ac:dyDescent="0.2">
      <c r="A3429">
        <v>1916</v>
      </c>
      <c r="B3429" t="s">
        <v>325</v>
      </c>
      <c r="C3429" t="s">
        <v>707</v>
      </c>
      <c r="D3429" s="5">
        <v>755</v>
      </c>
      <c r="E3429" s="5">
        <v>2831</v>
      </c>
      <c r="F3429" s="5">
        <v>0</v>
      </c>
      <c r="G3429" s="5">
        <v>3587</v>
      </c>
    </row>
    <row r="3430" spans="1:7" x14ac:dyDescent="0.2">
      <c r="A3430">
        <v>1916</v>
      </c>
      <c r="B3430" t="s">
        <v>325</v>
      </c>
      <c r="C3430" t="s">
        <v>708</v>
      </c>
      <c r="D3430" s="5">
        <v>5691</v>
      </c>
      <c r="E3430" s="5">
        <v>49169</v>
      </c>
      <c r="F3430" s="5">
        <v>0</v>
      </c>
      <c r="G3430" s="5">
        <v>54860</v>
      </c>
    </row>
    <row r="3431" spans="1:7" x14ac:dyDescent="0.2">
      <c r="A3431">
        <v>1916</v>
      </c>
      <c r="B3431" t="s">
        <v>325</v>
      </c>
      <c r="C3431" t="s">
        <v>709</v>
      </c>
      <c r="D3431" s="5">
        <v>11292</v>
      </c>
      <c r="E3431" s="5">
        <v>46990</v>
      </c>
      <c r="F3431" s="5">
        <v>0</v>
      </c>
      <c r="G3431" s="5">
        <v>58282</v>
      </c>
    </row>
    <row r="3432" spans="1:7" x14ac:dyDescent="0.2">
      <c r="A3432">
        <v>1916</v>
      </c>
      <c r="B3432" t="s">
        <v>325</v>
      </c>
      <c r="C3432" t="s">
        <v>710</v>
      </c>
      <c r="D3432" s="5">
        <v>7163</v>
      </c>
      <c r="E3432" s="5">
        <v>21632</v>
      </c>
      <c r="F3432" s="5">
        <v>0</v>
      </c>
      <c r="G3432" s="5">
        <v>28795</v>
      </c>
    </row>
    <row r="3433" spans="1:7" x14ac:dyDescent="0.2">
      <c r="A3433">
        <v>1916</v>
      </c>
      <c r="B3433" t="s">
        <v>325</v>
      </c>
      <c r="C3433" t="s">
        <v>712</v>
      </c>
      <c r="D3433" s="5">
        <v>52140</v>
      </c>
      <c r="E3433" s="5">
        <v>100439</v>
      </c>
      <c r="F3433" s="5">
        <v>4730</v>
      </c>
      <c r="G3433" s="5">
        <v>157309</v>
      </c>
    </row>
    <row r="3434" spans="1:7" x14ac:dyDescent="0.2">
      <c r="A3434">
        <v>1924</v>
      </c>
      <c r="B3434" t="s">
        <v>197</v>
      </c>
      <c r="C3434" t="s">
        <v>700</v>
      </c>
      <c r="D3434" s="5">
        <v>609586</v>
      </c>
      <c r="E3434" s="5">
        <v>680944</v>
      </c>
      <c r="F3434" s="5">
        <v>34282</v>
      </c>
      <c r="G3434" s="5">
        <v>1324811</v>
      </c>
    </row>
    <row r="3435" spans="1:7" x14ac:dyDescent="0.2">
      <c r="A3435">
        <v>1924</v>
      </c>
      <c r="B3435" t="s">
        <v>197</v>
      </c>
      <c r="C3435" t="s">
        <v>701</v>
      </c>
      <c r="D3435" s="5">
        <v>29686</v>
      </c>
      <c r="E3435" s="5">
        <v>40192</v>
      </c>
      <c r="F3435" s="5">
        <v>1126</v>
      </c>
      <c r="G3435" s="5">
        <v>71005</v>
      </c>
    </row>
    <row r="3436" spans="1:7" x14ac:dyDescent="0.2">
      <c r="A3436">
        <v>1924</v>
      </c>
      <c r="B3436" t="s">
        <v>197</v>
      </c>
      <c r="C3436" t="s">
        <v>703</v>
      </c>
      <c r="D3436" s="5">
        <v>3377</v>
      </c>
      <c r="E3436" s="5">
        <v>8734</v>
      </c>
      <c r="F3436" s="5">
        <v>0</v>
      </c>
      <c r="G3436" s="5">
        <v>12111</v>
      </c>
    </row>
    <row r="3437" spans="1:7" x14ac:dyDescent="0.2">
      <c r="A3437">
        <v>1924</v>
      </c>
      <c r="B3437" t="s">
        <v>197</v>
      </c>
      <c r="C3437" t="s">
        <v>704</v>
      </c>
      <c r="D3437" s="5">
        <v>160875</v>
      </c>
      <c r="E3437" s="5">
        <v>409711</v>
      </c>
      <c r="F3437" s="5">
        <v>6380</v>
      </c>
      <c r="G3437" s="5">
        <v>576966</v>
      </c>
    </row>
    <row r="3438" spans="1:7" x14ac:dyDescent="0.2">
      <c r="A3438">
        <v>1924</v>
      </c>
      <c r="B3438" t="s">
        <v>197</v>
      </c>
      <c r="C3438" t="s">
        <v>705</v>
      </c>
      <c r="D3438" s="5">
        <v>16841</v>
      </c>
      <c r="E3438" s="5">
        <v>83157</v>
      </c>
      <c r="F3438" s="5">
        <v>1522</v>
      </c>
      <c r="G3438" s="5">
        <v>101519</v>
      </c>
    </row>
    <row r="3439" spans="1:7" x14ac:dyDescent="0.2">
      <c r="A3439">
        <v>1924</v>
      </c>
      <c r="B3439" t="s">
        <v>197</v>
      </c>
      <c r="C3439" t="s">
        <v>707</v>
      </c>
      <c r="D3439" s="5">
        <v>145674</v>
      </c>
      <c r="E3439" s="5">
        <v>107244</v>
      </c>
      <c r="F3439" s="5">
        <v>4017</v>
      </c>
      <c r="G3439" s="5">
        <v>256935</v>
      </c>
    </row>
    <row r="3440" spans="1:7" x14ac:dyDescent="0.2">
      <c r="A3440">
        <v>1924</v>
      </c>
      <c r="B3440" t="s">
        <v>197</v>
      </c>
      <c r="C3440" t="s">
        <v>708</v>
      </c>
      <c r="D3440" s="5">
        <v>6013</v>
      </c>
      <c r="E3440" s="5">
        <v>56266</v>
      </c>
      <c r="F3440" s="5">
        <v>0</v>
      </c>
      <c r="G3440" s="5">
        <v>62278</v>
      </c>
    </row>
    <row r="3441" spans="1:7" x14ac:dyDescent="0.2">
      <c r="A3441">
        <v>1924</v>
      </c>
      <c r="B3441" t="s">
        <v>197</v>
      </c>
      <c r="C3441" t="s">
        <v>709</v>
      </c>
      <c r="D3441" s="5">
        <v>42189</v>
      </c>
      <c r="E3441" s="5">
        <v>65535</v>
      </c>
      <c r="F3441" s="5">
        <v>1630</v>
      </c>
      <c r="G3441" s="5">
        <v>109354</v>
      </c>
    </row>
    <row r="3442" spans="1:7" x14ac:dyDescent="0.2">
      <c r="A3442">
        <v>1924</v>
      </c>
      <c r="B3442" t="s">
        <v>197</v>
      </c>
      <c r="C3442" t="s">
        <v>710</v>
      </c>
      <c r="D3442" s="5">
        <v>1403</v>
      </c>
      <c r="E3442" s="5">
        <v>23789</v>
      </c>
      <c r="F3442" s="5">
        <v>0</v>
      </c>
      <c r="G3442" s="5">
        <v>25193</v>
      </c>
    </row>
    <row r="3443" spans="1:7" x14ac:dyDescent="0.2">
      <c r="A3443">
        <v>1924</v>
      </c>
      <c r="B3443" t="s">
        <v>197</v>
      </c>
      <c r="C3443" t="s">
        <v>711</v>
      </c>
      <c r="D3443" s="5">
        <v>9</v>
      </c>
      <c r="E3443" s="5">
        <v>57</v>
      </c>
      <c r="F3443" s="5">
        <v>0</v>
      </c>
      <c r="G3443" s="5">
        <v>66</v>
      </c>
    </row>
    <row r="3444" spans="1:7" x14ac:dyDescent="0.2">
      <c r="A3444">
        <v>1924</v>
      </c>
      <c r="B3444" t="s">
        <v>197</v>
      </c>
      <c r="C3444" t="s">
        <v>712</v>
      </c>
      <c r="D3444" s="5">
        <v>35102</v>
      </c>
      <c r="E3444" s="5">
        <v>132441</v>
      </c>
      <c r="F3444" s="5">
        <v>929</v>
      </c>
      <c r="G3444" s="5">
        <v>168472</v>
      </c>
    </row>
    <row r="3445" spans="1:7" x14ac:dyDescent="0.2">
      <c r="A3445">
        <v>1926</v>
      </c>
      <c r="B3445" t="s">
        <v>453</v>
      </c>
      <c r="C3445" t="s">
        <v>700</v>
      </c>
      <c r="D3445" s="5">
        <v>2103336</v>
      </c>
      <c r="E3445" s="5">
        <v>1101105</v>
      </c>
      <c r="F3445" s="5">
        <v>9510</v>
      </c>
      <c r="G3445" s="5">
        <v>3213951</v>
      </c>
    </row>
    <row r="3446" spans="1:7" x14ac:dyDescent="0.2">
      <c r="A3446">
        <v>1926</v>
      </c>
      <c r="B3446" t="s">
        <v>453</v>
      </c>
      <c r="C3446" t="s">
        <v>701</v>
      </c>
      <c r="D3446" s="5">
        <v>11122</v>
      </c>
      <c r="E3446" s="5">
        <v>28845</v>
      </c>
      <c r="F3446" s="5">
        <v>300</v>
      </c>
      <c r="G3446" s="5">
        <v>40267</v>
      </c>
    </row>
    <row r="3447" spans="1:7" x14ac:dyDescent="0.2">
      <c r="A3447">
        <v>1926</v>
      </c>
      <c r="B3447" t="s">
        <v>453</v>
      </c>
      <c r="C3447" t="s">
        <v>703</v>
      </c>
      <c r="D3447" s="5">
        <v>232</v>
      </c>
      <c r="E3447" s="5">
        <v>9712</v>
      </c>
      <c r="F3447" s="5">
        <v>227</v>
      </c>
      <c r="G3447" s="5">
        <v>10170</v>
      </c>
    </row>
    <row r="3448" spans="1:7" x14ac:dyDescent="0.2">
      <c r="A3448">
        <v>1926</v>
      </c>
      <c r="B3448" t="s">
        <v>453</v>
      </c>
      <c r="C3448" t="s">
        <v>704</v>
      </c>
      <c r="D3448" s="5">
        <v>706493</v>
      </c>
      <c r="E3448" s="5">
        <v>364337</v>
      </c>
      <c r="F3448" s="5">
        <v>2391</v>
      </c>
      <c r="G3448" s="5">
        <v>1073221</v>
      </c>
    </row>
    <row r="3449" spans="1:7" x14ac:dyDescent="0.2">
      <c r="A3449">
        <v>1926</v>
      </c>
      <c r="B3449" t="s">
        <v>453</v>
      </c>
      <c r="C3449" t="s">
        <v>705</v>
      </c>
      <c r="D3449" s="5">
        <v>64231</v>
      </c>
      <c r="E3449" s="5">
        <v>196996</v>
      </c>
      <c r="F3449" s="5">
        <v>3866</v>
      </c>
      <c r="G3449" s="5">
        <v>265093</v>
      </c>
    </row>
    <row r="3450" spans="1:7" x14ac:dyDescent="0.2">
      <c r="A3450">
        <v>1926</v>
      </c>
      <c r="B3450" t="s">
        <v>453</v>
      </c>
      <c r="C3450" t="s">
        <v>707</v>
      </c>
      <c r="D3450" s="5">
        <v>0</v>
      </c>
      <c r="E3450" s="5">
        <v>4112</v>
      </c>
      <c r="F3450" s="5">
        <v>0</v>
      </c>
      <c r="G3450" s="5">
        <v>4112</v>
      </c>
    </row>
    <row r="3451" spans="1:7" x14ac:dyDescent="0.2">
      <c r="A3451">
        <v>1926</v>
      </c>
      <c r="B3451" t="s">
        <v>453</v>
      </c>
      <c r="C3451" t="s">
        <v>708</v>
      </c>
      <c r="D3451" s="5">
        <v>0</v>
      </c>
      <c r="E3451" s="5">
        <v>27486</v>
      </c>
      <c r="F3451" s="5">
        <v>0</v>
      </c>
      <c r="G3451" s="5">
        <v>27486</v>
      </c>
    </row>
    <row r="3452" spans="1:7" x14ac:dyDescent="0.2">
      <c r="A3452">
        <v>1926</v>
      </c>
      <c r="B3452" t="s">
        <v>453</v>
      </c>
      <c r="C3452" t="s">
        <v>709</v>
      </c>
      <c r="D3452" s="5">
        <v>6432</v>
      </c>
      <c r="E3452" s="5">
        <v>43597</v>
      </c>
      <c r="F3452" s="5">
        <v>69</v>
      </c>
      <c r="G3452" s="5">
        <v>50097</v>
      </c>
    </row>
    <row r="3453" spans="1:7" x14ac:dyDescent="0.2">
      <c r="A3453">
        <v>1926</v>
      </c>
      <c r="B3453" t="s">
        <v>453</v>
      </c>
      <c r="C3453" t="s">
        <v>710</v>
      </c>
      <c r="D3453" s="5">
        <v>0</v>
      </c>
      <c r="E3453" s="5">
        <v>17216</v>
      </c>
      <c r="F3453" s="5">
        <v>0</v>
      </c>
      <c r="G3453" s="5">
        <v>17216</v>
      </c>
    </row>
    <row r="3454" spans="1:7" x14ac:dyDescent="0.2">
      <c r="A3454">
        <v>1926</v>
      </c>
      <c r="B3454" t="s">
        <v>453</v>
      </c>
      <c r="C3454" t="s">
        <v>712</v>
      </c>
      <c r="D3454" s="5">
        <v>21186</v>
      </c>
      <c r="E3454" s="5">
        <v>47497</v>
      </c>
      <c r="F3454" s="5">
        <v>495</v>
      </c>
      <c r="G3454" s="5">
        <v>69178</v>
      </c>
    </row>
    <row r="3455" spans="1:7" x14ac:dyDescent="0.2">
      <c r="A3455">
        <v>1930</v>
      </c>
      <c r="B3455" t="s">
        <v>393</v>
      </c>
      <c r="C3455" t="s">
        <v>700</v>
      </c>
      <c r="D3455" s="5">
        <v>175188</v>
      </c>
      <c r="E3455" s="5">
        <v>350466</v>
      </c>
      <c r="F3455" s="5">
        <v>6279</v>
      </c>
      <c r="G3455" s="5">
        <v>531933</v>
      </c>
    </row>
    <row r="3456" spans="1:7" x14ac:dyDescent="0.2">
      <c r="A3456">
        <v>1930</v>
      </c>
      <c r="B3456" t="s">
        <v>393</v>
      </c>
      <c r="C3456" t="s">
        <v>701</v>
      </c>
      <c r="D3456" s="5">
        <v>15139</v>
      </c>
      <c r="E3456" s="5">
        <v>48197</v>
      </c>
      <c r="F3456" s="5">
        <v>0</v>
      </c>
      <c r="G3456" s="5">
        <v>63336</v>
      </c>
    </row>
    <row r="3457" spans="1:7" x14ac:dyDescent="0.2">
      <c r="A3457">
        <v>1930</v>
      </c>
      <c r="B3457" t="s">
        <v>393</v>
      </c>
      <c r="C3457" t="s">
        <v>703</v>
      </c>
      <c r="D3457" s="5">
        <v>1091</v>
      </c>
      <c r="E3457" s="5">
        <v>23742</v>
      </c>
      <c r="F3457" s="5">
        <v>0</v>
      </c>
      <c r="G3457" s="5">
        <v>24834</v>
      </c>
    </row>
    <row r="3458" spans="1:7" x14ac:dyDescent="0.2">
      <c r="A3458">
        <v>1930</v>
      </c>
      <c r="B3458" t="s">
        <v>393</v>
      </c>
      <c r="C3458" t="s">
        <v>704</v>
      </c>
      <c r="D3458" s="5">
        <v>32426</v>
      </c>
      <c r="E3458" s="5">
        <v>290330</v>
      </c>
      <c r="F3458" s="5">
        <v>0</v>
      </c>
      <c r="G3458" s="5">
        <v>322757</v>
      </c>
    </row>
    <row r="3459" spans="1:7" x14ac:dyDescent="0.2">
      <c r="A3459">
        <v>1930</v>
      </c>
      <c r="B3459" t="s">
        <v>393</v>
      </c>
      <c r="C3459" t="s">
        <v>705</v>
      </c>
      <c r="D3459" s="5">
        <v>2402</v>
      </c>
      <c r="E3459" s="5">
        <v>89278</v>
      </c>
      <c r="F3459" s="5">
        <v>0</v>
      </c>
      <c r="G3459" s="5">
        <v>91680</v>
      </c>
    </row>
    <row r="3460" spans="1:7" x14ac:dyDescent="0.2">
      <c r="A3460">
        <v>1930</v>
      </c>
      <c r="B3460" t="s">
        <v>393</v>
      </c>
      <c r="C3460" t="s">
        <v>707</v>
      </c>
      <c r="D3460" s="5">
        <v>995</v>
      </c>
      <c r="E3460" s="5">
        <v>1193</v>
      </c>
      <c r="F3460" s="5">
        <v>0</v>
      </c>
      <c r="G3460" s="5">
        <v>2189</v>
      </c>
    </row>
    <row r="3461" spans="1:7" x14ac:dyDescent="0.2">
      <c r="A3461">
        <v>1930</v>
      </c>
      <c r="B3461" t="s">
        <v>393</v>
      </c>
      <c r="C3461" t="s">
        <v>708</v>
      </c>
      <c r="D3461" s="5">
        <v>1968</v>
      </c>
      <c r="E3461" s="5">
        <v>74655</v>
      </c>
      <c r="F3461" s="5">
        <v>0</v>
      </c>
      <c r="G3461" s="5">
        <v>76623</v>
      </c>
    </row>
    <row r="3462" spans="1:7" x14ac:dyDescent="0.2">
      <c r="A3462">
        <v>1930</v>
      </c>
      <c r="B3462" t="s">
        <v>393</v>
      </c>
      <c r="C3462" t="s">
        <v>709</v>
      </c>
      <c r="D3462" s="5">
        <v>9405</v>
      </c>
      <c r="E3462" s="5">
        <v>106693</v>
      </c>
      <c r="F3462" s="5">
        <v>261</v>
      </c>
      <c r="G3462" s="5">
        <v>116359</v>
      </c>
    </row>
    <row r="3463" spans="1:7" x14ac:dyDescent="0.2">
      <c r="A3463">
        <v>1930</v>
      </c>
      <c r="B3463" t="s">
        <v>393</v>
      </c>
      <c r="C3463" t="s">
        <v>710</v>
      </c>
      <c r="D3463" s="5">
        <v>1913</v>
      </c>
      <c r="E3463" s="5">
        <v>44506</v>
      </c>
      <c r="F3463" s="5">
        <v>0</v>
      </c>
      <c r="G3463" s="5">
        <v>46420</v>
      </c>
    </row>
    <row r="3464" spans="1:7" x14ac:dyDescent="0.2">
      <c r="A3464">
        <v>1930</v>
      </c>
      <c r="B3464" t="s">
        <v>393</v>
      </c>
      <c r="C3464" t="s">
        <v>711</v>
      </c>
      <c r="D3464" s="5">
        <v>74</v>
      </c>
      <c r="E3464" s="5">
        <v>0</v>
      </c>
      <c r="F3464" s="5">
        <v>0</v>
      </c>
      <c r="G3464" s="5">
        <v>74</v>
      </c>
    </row>
    <row r="3465" spans="1:7" x14ac:dyDescent="0.2">
      <c r="A3465">
        <v>1930</v>
      </c>
      <c r="B3465" t="s">
        <v>393</v>
      </c>
      <c r="C3465" t="s">
        <v>712</v>
      </c>
      <c r="D3465" s="5">
        <v>15730</v>
      </c>
      <c r="E3465" s="5">
        <v>150745</v>
      </c>
      <c r="F3465" s="5">
        <v>0</v>
      </c>
      <c r="G3465" s="5">
        <v>166474</v>
      </c>
    </row>
    <row r="3466" spans="1:7" x14ac:dyDescent="0.2">
      <c r="A3466">
        <v>1931</v>
      </c>
      <c r="B3466" t="s">
        <v>305</v>
      </c>
      <c r="C3466" t="s">
        <v>700</v>
      </c>
      <c r="D3466" s="5">
        <v>575862</v>
      </c>
      <c r="E3466" s="5">
        <v>563434</v>
      </c>
      <c r="F3466" s="5">
        <v>18598</v>
      </c>
      <c r="G3466" s="5">
        <v>1157894</v>
      </c>
    </row>
    <row r="3467" spans="1:7" x14ac:dyDescent="0.2">
      <c r="A3467">
        <v>1931</v>
      </c>
      <c r="B3467" t="s">
        <v>305</v>
      </c>
      <c r="C3467" t="s">
        <v>701</v>
      </c>
      <c r="D3467" s="5">
        <v>19786</v>
      </c>
      <c r="E3467" s="5">
        <v>26270</v>
      </c>
      <c r="F3467" s="5">
        <v>35</v>
      </c>
      <c r="G3467" s="5">
        <v>46091</v>
      </c>
    </row>
    <row r="3468" spans="1:7" x14ac:dyDescent="0.2">
      <c r="A3468">
        <v>1931</v>
      </c>
      <c r="B3468" t="s">
        <v>305</v>
      </c>
      <c r="C3468" t="s">
        <v>703</v>
      </c>
      <c r="D3468" s="5">
        <v>3413</v>
      </c>
      <c r="E3468" s="5">
        <v>19781</v>
      </c>
      <c r="F3468" s="5">
        <v>0</v>
      </c>
      <c r="G3468" s="5">
        <v>23193</v>
      </c>
    </row>
    <row r="3469" spans="1:7" x14ac:dyDescent="0.2">
      <c r="A3469">
        <v>1931</v>
      </c>
      <c r="B3469" t="s">
        <v>305</v>
      </c>
      <c r="C3469" t="s">
        <v>704</v>
      </c>
      <c r="D3469" s="5">
        <v>65029</v>
      </c>
      <c r="E3469" s="5">
        <v>494922</v>
      </c>
      <c r="F3469" s="5">
        <v>10734</v>
      </c>
      <c r="G3469" s="5">
        <v>570685</v>
      </c>
    </row>
    <row r="3470" spans="1:7" x14ac:dyDescent="0.2">
      <c r="A3470">
        <v>1931</v>
      </c>
      <c r="B3470" t="s">
        <v>305</v>
      </c>
      <c r="C3470" t="s">
        <v>705</v>
      </c>
      <c r="D3470" s="5">
        <v>9910</v>
      </c>
      <c r="E3470" s="5">
        <v>45849</v>
      </c>
      <c r="F3470" s="5">
        <v>3777</v>
      </c>
      <c r="G3470" s="5">
        <v>59536</v>
      </c>
    </row>
    <row r="3471" spans="1:7" x14ac:dyDescent="0.2">
      <c r="A3471">
        <v>1931</v>
      </c>
      <c r="B3471" t="s">
        <v>305</v>
      </c>
      <c r="C3471" t="s">
        <v>707</v>
      </c>
      <c r="D3471" s="5">
        <v>2063</v>
      </c>
      <c r="E3471" s="5">
        <v>614</v>
      </c>
      <c r="F3471" s="5">
        <v>0</v>
      </c>
      <c r="G3471" s="5">
        <v>2677</v>
      </c>
    </row>
    <row r="3472" spans="1:7" x14ac:dyDescent="0.2">
      <c r="A3472">
        <v>1931</v>
      </c>
      <c r="B3472" t="s">
        <v>305</v>
      </c>
      <c r="C3472" t="s">
        <v>708</v>
      </c>
      <c r="D3472" s="5">
        <v>1947</v>
      </c>
      <c r="E3472" s="5">
        <v>43121</v>
      </c>
      <c r="F3472" s="5">
        <v>0</v>
      </c>
      <c r="G3472" s="5">
        <v>45068</v>
      </c>
    </row>
    <row r="3473" spans="1:7" x14ac:dyDescent="0.2">
      <c r="A3473">
        <v>1931</v>
      </c>
      <c r="B3473" t="s">
        <v>305</v>
      </c>
      <c r="C3473" t="s">
        <v>709</v>
      </c>
      <c r="D3473" s="5">
        <v>14747</v>
      </c>
      <c r="E3473" s="5">
        <v>49597</v>
      </c>
      <c r="F3473" s="5">
        <v>833</v>
      </c>
      <c r="G3473" s="5">
        <v>65176</v>
      </c>
    </row>
    <row r="3474" spans="1:7" x14ac:dyDescent="0.2">
      <c r="A3474">
        <v>1931</v>
      </c>
      <c r="B3474" t="s">
        <v>305</v>
      </c>
      <c r="C3474" t="s">
        <v>710</v>
      </c>
      <c r="D3474" s="5">
        <v>1088</v>
      </c>
      <c r="E3474" s="5">
        <v>17413</v>
      </c>
      <c r="F3474" s="5">
        <v>0</v>
      </c>
      <c r="G3474" s="5">
        <v>18502</v>
      </c>
    </row>
    <row r="3475" spans="1:7" x14ac:dyDescent="0.2">
      <c r="A3475">
        <v>1931</v>
      </c>
      <c r="B3475" t="s">
        <v>305</v>
      </c>
      <c r="C3475" t="s">
        <v>711</v>
      </c>
      <c r="D3475" s="5">
        <v>0</v>
      </c>
      <c r="E3475" s="5">
        <v>165</v>
      </c>
      <c r="F3475" s="5">
        <v>0</v>
      </c>
      <c r="G3475" s="5">
        <v>165</v>
      </c>
    </row>
    <row r="3476" spans="1:7" x14ac:dyDescent="0.2">
      <c r="A3476">
        <v>1931</v>
      </c>
      <c r="B3476" t="s">
        <v>305</v>
      </c>
      <c r="C3476" t="s">
        <v>712</v>
      </c>
      <c r="D3476" s="5">
        <v>26197</v>
      </c>
      <c r="E3476" s="5">
        <v>49773</v>
      </c>
      <c r="F3476" s="5">
        <v>2799</v>
      </c>
      <c r="G3476" s="5">
        <v>78768</v>
      </c>
    </row>
    <row r="3477" spans="1:7" x14ac:dyDescent="0.2">
      <c r="A3477">
        <v>1940</v>
      </c>
      <c r="B3477" t="s">
        <v>185</v>
      </c>
      <c r="C3477" t="s">
        <v>700</v>
      </c>
      <c r="D3477" s="5">
        <v>844074</v>
      </c>
      <c r="E3477" s="5">
        <v>608524</v>
      </c>
      <c r="F3477" s="5">
        <v>32460</v>
      </c>
      <c r="G3477" s="5">
        <v>1485058</v>
      </c>
    </row>
    <row r="3478" spans="1:7" x14ac:dyDescent="0.2">
      <c r="A3478">
        <v>1940</v>
      </c>
      <c r="B3478" t="s">
        <v>185</v>
      </c>
      <c r="C3478" t="s">
        <v>701</v>
      </c>
      <c r="D3478" s="5">
        <v>26745</v>
      </c>
      <c r="E3478" s="5">
        <v>27808</v>
      </c>
      <c r="F3478" s="5">
        <v>0</v>
      </c>
      <c r="G3478" s="5">
        <v>54553</v>
      </c>
    </row>
    <row r="3479" spans="1:7" x14ac:dyDescent="0.2">
      <c r="A3479">
        <v>1940</v>
      </c>
      <c r="B3479" t="s">
        <v>185</v>
      </c>
      <c r="C3479" t="s">
        <v>703</v>
      </c>
      <c r="D3479" s="5">
        <v>2051</v>
      </c>
      <c r="E3479" s="5">
        <v>6834</v>
      </c>
      <c r="F3479" s="5">
        <v>0</v>
      </c>
      <c r="G3479" s="5">
        <v>8885</v>
      </c>
    </row>
    <row r="3480" spans="1:7" x14ac:dyDescent="0.2">
      <c r="A3480">
        <v>1940</v>
      </c>
      <c r="B3480" t="s">
        <v>185</v>
      </c>
      <c r="C3480" t="s">
        <v>704</v>
      </c>
      <c r="D3480" s="5">
        <v>57149</v>
      </c>
      <c r="E3480" s="5">
        <v>303068</v>
      </c>
      <c r="F3480" s="5">
        <v>8692</v>
      </c>
      <c r="G3480" s="5">
        <v>368909</v>
      </c>
    </row>
    <row r="3481" spans="1:7" x14ac:dyDescent="0.2">
      <c r="A3481">
        <v>1940</v>
      </c>
      <c r="B3481" t="s">
        <v>185</v>
      </c>
      <c r="C3481" t="s">
        <v>705</v>
      </c>
      <c r="D3481" s="5">
        <v>11000</v>
      </c>
      <c r="E3481" s="5">
        <v>187597</v>
      </c>
      <c r="F3481" s="5">
        <v>5827</v>
      </c>
      <c r="G3481" s="5">
        <v>204424</v>
      </c>
    </row>
    <row r="3482" spans="1:7" x14ac:dyDescent="0.2">
      <c r="A3482">
        <v>1940</v>
      </c>
      <c r="B3482" t="s">
        <v>185</v>
      </c>
      <c r="C3482" t="s">
        <v>707</v>
      </c>
      <c r="D3482" s="5">
        <v>25245</v>
      </c>
      <c r="E3482" s="5">
        <v>13530</v>
      </c>
      <c r="F3482" s="5">
        <v>10358</v>
      </c>
      <c r="G3482" s="5">
        <v>49132</v>
      </c>
    </row>
    <row r="3483" spans="1:7" x14ac:dyDescent="0.2">
      <c r="A3483">
        <v>1940</v>
      </c>
      <c r="B3483" t="s">
        <v>185</v>
      </c>
      <c r="C3483" t="s">
        <v>708</v>
      </c>
      <c r="D3483" s="5">
        <v>9478</v>
      </c>
      <c r="E3483" s="5">
        <v>44188</v>
      </c>
      <c r="F3483" s="5">
        <v>1451</v>
      </c>
      <c r="G3483" s="5">
        <v>55118</v>
      </c>
    </row>
    <row r="3484" spans="1:7" x14ac:dyDescent="0.2">
      <c r="A3484">
        <v>1940</v>
      </c>
      <c r="B3484" t="s">
        <v>185</v>
      </c>
      <c r="C3484" t="s">
        <v>709</v>
      </c>
      <c r="D3484" s="5">
        <v>39537</v>
      </c>
      <c r="E3484" s="5">
        <v>152227</v>
      </c>
      <c r="F3484" s="5">
        <v>2779</v>
      </c>
      <c r="G3484" s="5">
        <v>194543</v>
      </c>
    </row>
    <row r="3485" spans="1:7" x14ac:dyDescent="0.2">
      <c r="A3485">
        <v>1940</v>
      </c>
      <c r="B3485" t="s">
        <v>185</v>
      </c>
      <c r="C3485" t="s">
        <v>710</v>
      </c>
      <c r="D3485" s="5">
        <v>5251</v>
      </c>
      <c r="E3485" s="5">
        <v>49385</v>
      </c>
      <c r="F3485" s="5">
        <v>318</v>
      </c>
      <c r="G3485" s="5">
        <v>54954</v>
      </c>
    </row>
    <row r="3486" spans="1:7" x14ac:dyDescent="0.2">
      <c r="A3486">
        <v>1940</v>
      </c>
      <c r="B3486" t="s">
        <v>185</v>
      </c>
      <c r="C3486" t="s">
        <v>712</v>
      </c>
      <c r="D3486" s="5">
        <v>25510</v>
      </c>
      <c r="E3486" s="5">
        <v>110632</v>
      </c>
      <c r="F3486" s="5">
        <v>1099</v>
      </c>
      <c r="G3486" s="5">
        <v>137241</v>
      </c>
    </row>
    <row r="3487" spans="1:7" x14ac:dyDescent="0.2">
      <c r="A3487">
        <v>1942</v>
      </c>
      <c r="B3487" t="s">
        <v>203</v>
      </c>
      <c r="C3487" t="s">
        <v>700</v>
      </c>
      <c r="D3487" s="5">
        <v>143014</v>
      </c>
      <c r="E3487" s="5">
        <v>163400</v>
      </c>
      <c r="F3487" s="5">
        <v>6452</v>
      </c>
      <c r="G3487" s="5">
        <v>312866</v>
      </c>
    </row>
    <row r="3488" spans="1:7" x14ac:dyDescent="0.2">
      <c r="A3488">
        <v>1942</v>
      </c>
      <c r="B3488" t="s">
        <v>203</v>
      </c>
      <c r="C3488" t="s">
        <v>701</v>
      </c>
      <c r="D3488" s="5">
        <v>28155</v>
      </c>
      <c r="E3488" s="5">
        <v>40099</v>
      </c>
      <c r="F3488" s="5">
        <v>1152</v>
      </c>
      <c r="G3488" s="5">
        <v>69406</v>
      </c>
    </row>
    <row r="3489" spans="1:7" x14ac:dyDescent="0.2">
      <c r="A3489">
        <v>1942</v>
      </c>
      <c r="B3489" t="s">
        <v>203</v>
      </c>
      <c r="C3489" t="s">
        <v>703</v>
      </c>
      <c r="D3489" s="5">
        <v>3891</v>
      </c>
      <c r="E3489" s="5">
        <v>15545</v>
      </c>
      <c r="F3489" s="5">
        <v>0</v>
      </c>
      <c r="G3489" s="5">
        <v>19436</v>
      </c>
    </row>
    <row r="3490" spans="1:7" x14ac:dyDescent="0.2">
      <c r="A3490">
        <v>1942</v>
      </c>
      <c r="B3490" t="s">
        <v>203</v>
      </c>
      <c r="C3490" t="s">
        <v>704</v>
      </c>
      <c r="D3490" s="5">
        <v>24889</v>
      </c>
      <c r="E3490" s="5">
        <v>122340</v>
      </c>
      <c r="F3490" s="5">
        <v>0</v>
      </c>
      <c r="G3490" s="5">
        <v>147229</v>
      </c>
    </row>
    <row r="3491" spans="1:7" x14ac:dyDescent="0.2">
      <c r="A3491">
        <v>1942</v>
      </c>
      <c r="B3491" t="s">
        <v>203</v>
      </c>
      <c r="C3491" t="s">
        <v>705</v>
      </c>
      <c r="D3491" s="5">
        <v>30000</v>
      </c>
      <c r="E3491" s="5">
        <v>100987</v>
      </c>
      <c r="F3491" s="5">
        <v>0</v>
      </c>
      <c r="G3491" s="5">
        <v>130987</v>
      </c>
    </row>
    <row r="3492" spans="1:7" x14ac:dyDescent="0.2">
      <c r="A3492">
        <v>1942</v>
      </c>
      <c r="B3492" t="s">
        <v>203</v>
      </c>
      <c r="C3492" t="s">
        <v>707</v>
      </c>
      <c r="D3492" s="5">
        <v>1499</v>
      </c>
      <c r="E3492" s="5">
        <v>10741</v>
      </c>
      <c r="F3492" s="5">
        <v>0</v>
      </c>
      <c r="G3492" s="5">
        <v>12240</v>
      </c>
    </row>
    <row r="3493" spans="1:7" x14ac:dyDescent="0.2">
      <c r="A3493">
        <v>1942</v>
      </c>
      <c r="B3493" t="s">
        <v>203</v>
      </c>
      <c r="C3493" t="s">
        <v>708</v>
      </c>
      <c r="D3493" s="5">
        <v>5182</v>
      </c>
      <c r="E3493" s="5">
        <v>37838</v>
      </c>
      <c r="F3493" s="5">
        <v>0</v>
      </c>
      <c r="G3493" s="5">
        <v>43020</v>
      </c>
    </row>
    <row r="3494" spans="1:7" x14ac:dyDescent="0.2">
      <c r="A3494">
        <v>1942</v>
      </c>
      <c r="B3494" t="s">
        <v>203</v>
      </c>
      <c r="C3494" t="s">
        <v>709</v>
      </c>
      <c r="D3494" s="5">
        <v>20419</v>
      </c>
      <c r="E3494" s="5">
        <v>73826</v>
      </c>
      <c r="F3494" s="5">
        <v>2490</v>
      </c>
      <c r="G3494" s="5">
        <v>96736</v>
      </c>
    </row>
    <row r="3495" spans="1:7" x14ac:dyDescent="0.2">
      <c r="A3495">
        <v>1942</v>
      </c>
      <c r="B3495" t="s">
        <v>203</v>
      </c>
      <c r="C3495" t="s">
        <v>710</v>
      </c>
      <c r="D3495" s="5">
        <v>951</v>
      </c>
      <c r="E3495" s="5">
        <v>23635</v>
      </c>
      <c r="F3495" s="5">
        <v>413</v>
      </c>
      <c r="G3495" s="5">
        <v>24999</v>
      </c>
    </row>
    <row r="3496" spans="1:7" x14ac:dyDescent="0.2">
      <c r="A3496">
        <v>1942</v>
      </c>
      <c r="B3496" t="s">
        <v>203</v>
      </c>
      <c r="C3496" t="s">
        <v>712</v>
      </c>
      <c r="D3496" s="5">
        <v>24041</v>
      </c>
      <c r="E3496" s="5">
        <v>127963</v>
      </c>
      <c r="F3496" s="5">
        <v>805</v>
      </c>
      <c r="G3496" s="5">
        <v>152809</v>
      </c>
    </row>
    <row r="3497" spans="1:7" x14ac:dyDescent="0.2">
      <c r="A3497">
        <v>1945</v>
      </c>
      <c r="B3497" t="s">
        <v>57</v>
      </c>
      <c r="C3497" t="s">
        <v>700</v>
      </c>
      <c r="D3497" s="5">
        <v>341342</v>
      </c>
      <c r="E3497" s="5">
        <v>295791</v>
      </c>
      <c r="F3497" s="5">
        <v>6288</v>
      </c>
      <c r="G3497" s="5">
        <v>643421</v>
      </c>
    </row>
    <row r="3498" spans="1:7" x14ac:dyDescent="0.2">
      <c r="A3498">
        <v>1945</v>
      </c>
      <c r="B3498" t="s">
        <v>57</v>
      </c>
      <c r="C3498" t="s">
        <v>701</v>
      </c>
      <c r="D3498" s="5">
        <v>11836</v>
      </c>
      <c r="E3498" s="5">
        <v>35607</v>
      </c>
      <c r="F3498" s="5">
        <v>387</v>
      </c>
      <c r="G3498" s="5">
        <v>47830</v>
      </c>
    </row>
    <row r="3499" spans="1:7" x14ac:dyDescent="0.2">
      <c r="A3499">
        <v>1945</v>
      </c>
      <c r="B3499" t="s">
        <v>57</v>
      </c>
      <c r="C3499" t="s">
        <v>703</v>
      </c>
      <c r="D3499" s="5">
        <v>795</v>
      </c>
      <c r="E3499" s="5">
        <v>23665</v>
      </c>
      <c r="F3499" s="5">
        <v>0</v>
      </c>
      <c r="G3499" s="5">
        <v>24460</v>
      </c>
    </row>
    <row r="3500" spans="1:7" x14ac:dyDescent="0.2">
      <c r="A3500">
        <v>1945</v>
      </c>
      <c r="B3500" t="s">
        <v>57</v>
      </c>
      <c r="C3500" t="s">
        <v>704</v>
      </c>
      <c r="D3500" s="5">
        <v>36267</v>
      </c>
      <c r="E3500" s="5">
        <v>121756</v>
      </c>
      <c r="F3500" s="5">
        <v>2239</v>
      </c>
      <c r="G3500" s="5">
        <v>160261</v>
      </c>
    </row>
    <row r="3501" spans="1:7" x14ac:dyDescent="0.2">
      <c r="A3501">
        <v>1945</v>
      </c>
      <c r="B3501" t="s">
        <v>57</v>
      </c>
      <c r="C3501" t="s">
        <v>705</v>
      </c>
      <c r="D3501" s="5">
        <v>5156</v>
      </c>
      <c r="E3501" s="5">
        <v>19024</v>
      </c>
      <c r="F3501" s="5">
        <v>1582</v>
      </c>
      <c r="G3501" s="5">
        <v>25763</v>
      </c>
    </row>
    <row r="3502" spans="1:7" x14ac:dyDescent="0.2">
      <c r="A3502">
        <v>1945</v>
      </c>
      <c r="B3502" t="s">
        <v>57</v>
      </c>
      <c r="C3502" t="s">
        <v>707</v>
      </c>
      <c r="D3502" s="5">
        <v>4153</v>
      </c>
      <c r="E3502" s="5">
        <v>10489</v>
      </c>
      <c r="F3502" s="5">
        <v>0</v>
      </c>
      <c r="G3502" s="5">
        <v>14642</v>
      </c>
    </row>
    <row r="3503" spans="1:7" x14ac:dyDescent="0.2">
      <c r="A3503">
        <v>1945</v>
      </c>
      <c r="B3503" t="s">
        <v>57</v>
      </c>
      <c r="C3503" t="s">
        <v>708</v>
      </c>
      <c r="D3503" s="5">
        <v>1984</v>
      </c>
      <c r="E3503" s="5">
        <v>38859</v>
      </c>
      <c r="F3503" s="5">
        <v>0</v>
      </c>
      <c r="G3503" s="5">
        <v>40843</v>
      </c>
    </row>
    <row r="3504" spans="1:7" x14ac:dyDescent="0.2">
      <c r="A3504">
        <v>1945</v>
      </c>
      <c r="B3504" t="s">
        <v>57</v>
      </c>
      <c r="C3504" t="s">
        <v>709</v>
      </c>
      <c r="D3504" s="5">
        <v>23932</v>
      </c>
      <c r="E3504" s="5">
        <v>54742</v>
      </c>
      <c r="F3504" s="5">
        <v>3209</v>
      </c>
      <c r="G3504" s="5">
        <v>81883</v>
      </c>
    </row>
    <row r="3505" spans="1:7" x14ac:dyDescent="0.2">
      <c r="A3505">
        <v>1945</v>
      </c>
      <c r="B3505" t="s">
        <v>57</v>
      </c>
      <c r="C3505" t="s">
        <v>710</v>
      </c>
      <c r="D3505" s="5">
        <v>8272</v>
      </c>
      <c r="E3505" s="5">
        <v>15793</v>
      </c>
      <c r="F3505" s="5">
        <v>0</v>
      </c>
      <c r="G3505" s="5">
        <v>24064</v>
      </c>
    </row>
    <row r="3506" spans="1:7" x14ac:dyDescent="0.2">
      <c r="A3506">
        <v>1945</v>
      </c>
      <c r="B3506" t="s">
        <v>57</v>
      </c>
      <c r="C3506" t="s">
        <v>712</v>
      </c>
      <c r="D3506" s="5">
        <v>10422</v>
      </c>
      <c r="E3506" s="5">
        <v>45276</v>
      </c>
      <c r="F3506" s="5">
        <v>1343</v>
      </c>
      <c r="G3506" s="5">
        <v>57041</v>
      </c>
    </row>
    <row r="3507" spans="1:7" x14ac:dyDescent="0.2">
      <c r="A3507">
        <v>1948</v>
      </c>
      <c r="B3507" t="s">
        <v>359</v>
      </c>
      <c r="C3507" t="s">
        <v>700</v>
      </c>
      <c r="D3507" s="5">
        <v>1575761</v>
      </c>
      <c r="E3507" s="5">
        <v>1621903</v>
      </c>
      <c r="F3507" s="5">
        <v>32297</v>
      </c>
      <c r="G3507" s="5">
        <v>3229961</v>
      </c>
    </row>
    <row r="3508" spans="1:7" x14ac:dyDescent="0.2">
      <c r="A3508">
        <v>1948</v>
      </c>
      <c r="B3508" t="s">
        <v>359</v>
      </c>
      <c r="C3508" t="s">
        <v>701</v>
      </c>
      <c r="D3508" s="5">
        <v>35900</v>
      </c>
      <c r="E3508" s="5">
        <v>72916</v>
      </c>
      <c r="F3508" s="5">
        <v>0</v>
      </c>
      <c r="G3508" s="5">
        <v>108815</v>
      </c>
    </row>
    <row r="3509" spans="1:7" x14ac:dyDescent="0.2">
      <c r="A3509">
        <v>1948</v>
      </c>
      <c r="B3509" t="s">
        <v>359</v>
      </c>
      <c r="C3509" t="s">
        <v>703</v>
      </c>
      <c r="D3509" s="5">
        <v>2993</v>
      </c>
      <c r="E3509" s="5">
        <v>19684</v>
      </c>
      <c r="F3509" s="5">
        <v>0</v>
      </c>
      <c r="G3509" s="5">
        <v>22677</v>
      </c>
    </row>
    <row r="3510" spans="1:7" x14ac:dyDescent="0.2">
      <c r="A3510">
        <v>1948</v>
      </c>
      <c r="B3510" t="s">
        <v>359</v>
      </c>
      <c r="C3510" t="s">
        <v>704</v>
      </c>
      <c r="D3510" s="5">
        <v>134113</v>
      </c>
      <c r="E3510" s="5">
        <v>1634452</v>
      </c>
      <c r="F3510" s="5">
        <v>5003</v>
      </c>
      <c r="G3510" s="5">
        <v>1773568</v>
      </c>
    </row>
    <row r="3511" spans="1:7" x14ac:dyDescent="0.2">
      <c r="A3511">
        <v>1948</v>
      </c>
      <c r="B3511" t="s">
        <v>359</v>
      </c>
      <c r="C3511" t="s">
        <v>705</v>
      </c>
      <c r="D3511" s="5">
        <v>17642</v>
      </c>
      <c r="E3511" s="5">
        <v>222678</v>
      </c>
      <c r="F3511" s="5">
        <v>7902</v>
      </c>
      <c r="G3511" s="5">
        <v>248223</v>
      </c>
    </row>
    <row r="3512" spans="1:7" x14ac:dyDescent="0.2">
      <c r="A3512">
        <v>1948</v>
      </c>
      <c r="B3512" t="s">
        <v>359</v>
      </c>
      <c r="C3512" t="s">
        <v>707</v>
      </c>
      <c r="D3512" s="5">
        <v>15325</v>
      </c>
      <c r="E3512" s="5">
        <v>28232</v>
      </c>
      <c r="F3512" s="5">
        <v>0</v>
      </c>
      <c r="G3512" s="5">
        <v>43557</v>
      </c>
    </row>
    <row r="3513" spans="1:7" x14ac:dyDescent="0.2">
      <c r="A3513">
        <v>1948</v>
      </c>
      <c r="B3513" t="s">
        <v>359</v>
      </c>
      <c r="C3513" t="s">
        <v>708</v>
      </c>
      <c r="D3513" s="5">
        <v>7646</v>
      </c>
      <c r="E3513" s="5">
        <v>69373</v>
      </c>
      <c r="F3513" s="5">
        <v>0</v>
      </c>
      <c r="G3513" s="5">
        <v>77019</v>
      </c>
    </row>
    <row r="3514" spans="1:7" x14ac:dyDescent="0.2">
      <c r="A3514">
        <v>1948</v>
      </c>
      <c r="B3514" t="s">
        <v>359</v>
      </c>
      <c r="C3514" t="s">
        <v>709</v>
      </c>
      <c r="D3514" s="5">
        <v>20739</v>
      </c>
      <c r="E3514" s="5">
        <v>74129</v>
      </c>
      <c r="F3514" s="5">
        <v>92</v>
      </c>
      <c r="G3514" s="5">
        <v>94960</v>
      </c>
    </row>
    <row r="3515" spans="1:7" x14ac:dyDescent="0.2">
      <c r="A3515">
        <v>1948</v>
      </c>
      <c r="B3515" t="s">
        <v>359</v>
      </c>
      <c r="C3515" t="s">
        <v>710</v>
      </c>
      <c r="D3515" s="5">
        <v>5280</v>
      </c>
      <c r="E3515" s="5">
        <v>57683</v>
      </c>
      <c r="F3515" s="5">
        <v>160</v>
      </c>
      <c r="G3515" s="5">
        <v>63122</v>
      </c>
    </row>
    <row r="3516" spans="1:7" x14ac:dyDescent="0.2">
      <c r="A3516">
        <v>1948</v>
      </c>
      <c r="B3516" t="s">
        <v>359</v>
      </c>
      <c r="C3516" t="s">
        <v>712</v>
      </c>
      <c r="D3516" s="5">
        <v>35439</v>
      </c>
      <c r="E3516" s="5">
        <v>183013</v>
      </c>
      <c r="F3516" s="5">
        <v>99</v>
      </c>
      <c r="G3516" s="5">
        <v>218551</v>
      </c>
    </row>
    <row r="3517" spans="1:7" x14ac:dyDescent="0.2">
      <c r="A3517">
        <v>1949</v>
      </c>
      <c r="B3517" t="s">
        <v>607</v>
      </c>
      <c r="C3517" t="s">
        <v>700</v>
      </c>
      <c r="D3517" s="5">
        <v>766505</v>
      </c>
      <c r="E3517" s="5">
        <v>684989</v>
      </c>
      <c r="F3517" s="5">
        <v>38391</v>
      </c>
      <c r="G3517" s="5">
        <v>1489885</v>
      </c>
    </row>
    <row r="3518" spans="1:7" x14ac:dyDescent="0.2">
      <c r="A3518">
        <v>1949</v>
      </c>
      <c r="B3518" t="s">
        <v>607</v>
      </c>
      <c r="C3518" t="s">
        <v>701</v>
      </c>
      <c r="D3518" s="5">
        <v>30961</v>
      </c>
      <c r="E3518" s="5">
        <v>23201</v>
      </c>
      <c r="F3518" s="5">
        <v>0</v>
      </c>
      <c r="G3518" s="5">
        <v>54163</v>
      </c>
    </row>
    <row r="3519" spans="1:7" x14ac:dyDescent="0.2">
      <c r="A3519">
        <v>1949</v>
      </c>
      <c r="B3519" t="s">
        <v>607</v>
      </c>
      <c r="C3519" t="s">
        <v>703</v>
      </c>
      <c r="D3519" s="5">
        <v>1567</v>
      </c>
      <c r="E3519" s="5">
        <v>10220</v>
      </c>
      <c r="F3519" s="5">
        <v>0</v>
      </c>
      <c r="G3519" s="5">
        <v>11786</v>
      </c>
    </row>
    <row r="3520" spans="1:7" x14ac:dyDescent="0.2">
      <c r="A3520">
        <v>1949</v>
      </c>
      <c r="B3520" t="s">
        <v>607</v>
      </c>
      <c r="C3520" t="s">
        <v>704</v>
      </c>
      <c r="D3520" s="5">
        <v>1032556</v>
      </c>
      <c r="E3520" s="5">
        <v>471407</v>
      </c>
      <c r="F3520" s="5">
        <v>5365</v>
      </c>
      <c r="G3520" s="5">
        <v>1509328</v>
      </c>
    </row>
    <row r="3521" spans="1:7" x14ac:dyDescent="0.2">
      <c r="A3521">
        <v>1949</v>
      </c>
      <c r="B3521" t="s">
        <v>607</v>
      </c>
      <c r="C3521" t="s">
        <v>705</v>
      </c>
      <c r="D3521" s="5">
        <v>8248</v>
      </c>
      <c r="E3521" s="5">
        <v>83885</v>
      </c>
      <c r="F3521" s="5">
        <v>463</v>
      </c>
      <c r="G3521" s="5">
        <v>92596</v>
      </c>
    </row>
    <row r="3522" spans="1:7" x14ac:dyDescent="0.2">
      <c r="A3522">
        <v>1949</v>
      </c>
      <c r="B3522" t="s">
        <v>607</v>
      </c>
      <c r="C3522" t="s">
        <v>707</v>
      </c>
      <c r="D3522" s="5">
        <v>1893</v>
      </c>
      <c r="E3522" s="5">
        <v>750</v>
      </c>
      <c r="F3522" s="5">
        <v>139</v>
      </c>
      <c r="G3522" s="5">
        <v>2782</v>
      </c>
    </row>
    <row r="3523" spans="1:7" x14ac:dyDescent="0.2">
      <c r="A3523">
        <v>1949</v>
      </c>
      <c r="B3523" t="s">
        <v>607</v>
      </c>
      <c r="C3523" t="s">
        <v>708</v>
      </c>
      <c r="D3523" s="5">
        <v>10184</v>
      </c>
      <c r="E3523" s="5">
        <v>34322</v>
      </c>
      <c r="F3523" s="5">
        <v>0</v>
      </c>
      <c r="G3523" s="5">
        <v>44506</v>
      </c>
    </row>
    <row r="3524" spans="1:7" x14ac:dyDescent="0.2">
      <c r="A3524">
        <v>1949</v>
      </c>
      <c r="B3524" t="s">
        <v>607</v>
      </c>
      <c r="C3524" t="s">
        <v>709</v>
      </c>
      <c r="D3524" s="5">
        <v>36965</v>
      </c>
      <c r="E3524" s="5">
        <v>73116</v>
      </c>
      <c r="F3524" s="5">
        <v>3165</v>
      </c>
      <c r="G3524" s="5">
        <v>113246</v>
      </c>
    </row>
    <row r="3525" spans="1:7" x14ac:dyDescent="0.2">
      <c r="A3525">
        <v>1949</v>
      </c>
      <c r="B3525" t="s">
        <v>607</v>
      </c>
      <c r="C3525" t="s">
        <v>710</v>
      </c>
      <c r="D3525" s="5">
        <v>2739</v>
      </c>
      <c r="E3525" s="5">
        <v>37669</v>
      </c>
      <c r="F3525" s="5">
        <v>484</v>
      </c>
      <c r="G3525" s="5">
        <v>40892</v>
      </c>
    </row>
    <row r="3526" spans="1:7" x14ac:dyDescent="0.2">
      <c r="A3526">
        <v>1949</v>
      </c>
      <c r="B3526" t="s">
        <v>607</v>
      </c>
      <c r="C3526" t="s">
        <v>712</v>
      </c>
      <c r="D3526" s="5">
        <v>14664</v>
      </c>
      <c r="E3526" s="5">
        <v>87281</v>
      </c>
      <c r="F3526" s="5">
        <v>275</v>
      </c>
      <c r="G3526" s="5">
        <v>102220</v>
      </c>
    </row>
    <row r="3527" spans="1:7" x14ac:dyDescent="0.2">
      <c r="A3527">
        <v>1950</v>
      </c>
      <c r="B3527" t="s">
        <v>633</v>
      </c>
      <c r="C3527" t="s">
        <v>700</v>
      </c>
      <c r="D3527" s="5">
        <v>700158</v>
      </c>
      <c r="E3527" s="5">
        <v>514209</v>
      </c>
      <c r="F3527" s="5">
        <v>65764</v>
      </c>
      <c r="G3527" s="5">
        <v>1280131</v>
      </c>
    </row>
    <row r="3528" spans="1:7" x14ac:dyDescent="0.2">
      <c r="A3528">
        <v>1950</v>
      </c>
      <c r="B3528" t="s">
        <v>633</v>
      </c>
      <c r="C3528" t="s">
        <v>701</v>
      </c>
      <c r="D3528" s="5">
        <v>10125</v>
      </c>
      <c r="E3528" s="5">
        <v>17530</v>
      </c>
      <c r="F3528" s="5">
        <v>1083</v>
      </c>
      <c r="G3528" s="5">
        <v>28738</v>
      </c>
    </row>
    <row r="3529" spans="1:7" x14ac:dyDescent="0.2">
      <c r="A3529">
        <v>1950</v>
      </c>
      <c r="B3529" t="s">
        <v>633</v>
      </c>
      <c r="C3529" t="s">
        <v>703</v>
      </c>
      <c r="D3529" s="5">
        <v>5457</v>
      </c>
      <c r="E3529" s="5">
        <v>9365</v>
      </c>
      <c r="F3529" s="5">
        <v>1073</v>
      </c>
      <c r="G3529" s="5">
        <v>15896</v>
      </c>
    </row>
    <row r="3530" spans="1:7" x14ac:dyDescent="0.2">
      <c r="A3530">
        <v>1950</v>
      </c>
      <c r="B3530" t="s">
        <v>633</v>
      </c>
      <c r="C3530" t="s">
        <v>704</v>
      </c>
      <c r="D3530" s="5">
        <v>37685</v>
      </c>
      <c r="E3530" s="5">
        <v>33183</v>
      </c>
      <c r="F3530" s="5">
        <v>1332</v>
      </c>
      <c r="G3530" s="5">
        <v>72200</v>
      </c>
    </row>
    <row r="3531" spans="1:7" x14ac:dyDescent="0.2">
      <c r="A3531">
        <v>1950</v>
      </c>
      <c r="B3531" t="s">
        <v>633</v>
      </c>
      <c r="C3531" t="s">
        <v>705</v>
      </c>
      <c r="D3531" s="5">
        <v>7383</v>
      </c>
      <c r="E3531" s="5">
        <v>96888</v>
      </c>
      <c r="F3531" s="5">
        <v>1093</v>
      </c>
      <c r="G3531" s="5">
        <v>105364</v>
      </c>
    </row>
    <row r="3532" spans="1:7" x14ac:dyDescent="0.2">
      <c r="A3532">
        <v>1950</v>
      </c>
      <c r="B3532" t="s">
        <v>633</v>
      </c>
      <c r="C3532" t="s">
        <v>707</v>
      </c>
      <c r="D3532" s="5">
        <v>12065</v>
      </c>
      <c r="E3532" s="5">
        <v>494</v>
      </c>
      <c r="F3532" s="5">
        <v>528</v>
      </c>
      <c r="G3532" s="5">
        <v>13088</v>
      </c>
    </row>
    <row r="3533" spans="1:7" x14ac:dyDescent="0.2">
      <c r="A3533">
        <v>1950</v>
      </c>
      <c r="B3533" t="s">
        <v>633</v>
      </c>
      <c r="C3533" t="s">
        <v>708</v>
      </c>
      <c r="D3533" s="5">
        <v>2706</v>
      </c>
      <c r="E3533" s="5">
        <v>27472</v>
      </c>
      <c r="F3533" s="5">
        <v>0</v>
      </c>
      <c r="G3533" s="5">
        <v>30178</v>
      </c>
    </row>
    <row r="3534" spans="1:7" x14ac:dyDescent="0.2">
      <c r="A3534">
        <v>1950</v>
      </c>
      <c r="B3534" t="s">
        <v>633</v>
      </c>
      <c r="C3534" t="s">
        <v>709</v>
      </c>
      <c r="D3534" s="5">
        <v>6315</v>
      </c>
      <c r="E3534" s="5">
        <v>15228</v>
      </c>
      <c r="F3534" s="5">
        <v>3023</v>
      </c>
      <c r="G3534" s="5">
        <v>24566</v>
      </c>
    </row>
    <row r="3535" spans="1:7" x14ac:dyDescent="0.2">
      <c r="A3535">
        <v>1950</v>
      </c>
      <c r="B3535" t="s">
        <v>633</v>
      </c>
      <c r="C3535" t="s">
        <v>710</v>
      </c>
      <c r="D3535" s="5">
        <v>4047</v>
      </c>
      <c r="E3535" s="5">
        <v>8840</v>
      </c>
      <c r="F3535" s="5">
        <v>0</v>
      </c>
      <c r="G3535" s="5">
        <v>12888</v>
      </c>
    </row>
    <row r="3536" spans="1:7" x14ac:dyDescent="0.2">
      <c r="A3536">
        <v>1950</v>
      </c>
      <c r="B3536" t="s">
        <v>633</v>
      </c>
      <c r="C3536" t="s">
        <v>712</v>
      </c>
      <c r="D3536" s="5">
        <v>5856</v>
      </c>
      <c r="E3536" s="5">
        <v>36940</v>
      </c>
      <c r="F3536" s="5">
        <v>0</v>
      </c>
      <c r="G3536" s="5">
        <v>42796</v>
      </c>
    </row>
    <row r="3537" spans="1:7" x14ac:dyDescent="0.2">
      <c r="A3537">
        <v>1952</v>
      </c>
      <c r="B3537" t="s">
        <v>369</v>
      </c>
      <c r="C3537" t="s">
        <v>700</v>
      </c>
      <c r="D3537" s="5">
        <v>722373</v>
      </c>
      <c r="E3537" s="5">
        <v>784631</v>
      </c>
      <c r="F3537" s="5">
        <v>51391</v>
      </c>
      <c r="G3537" s="5">
        <v>1558395</v>
      </c>
    </row>
    <row r="3538" spans="1:7" x14ac:dyDescent="0.2">
      <c r="A3538">
        <v>1952</v>
      </c>
      <c r="B3538" t="s">
        <v>369</v>
      </c>
      <c r="C3538" t="s">
        <v>701</v>
      </c>
      <c r="D3538" s="5">
        <v>16094</v>
      </c>
      <c r="E3538" s="5">
        <v>28524</v>
      </c>
      <c r="F3538" s="5">
        <v>0</v>
      </c>
      <c r="G3538" s="5">
        <v>44617</v>
      </c>
    </row>
    <row r="3539" spans="1:7" x14ac:dyDescent="0.2">
      <c r="A3539">
        <v>1952</v>
      </c>
      <c r="B3539" t="s">
        <v>369</v>
      </c>
      <c r="C3539" t="s">
        <v>703</v>
      </c>
      <c r="D3539" s="5">
        <v>4010</v>
      </c>
      <c r="E3539" s="5">
        <v>18291</v>
      </c>
      <c r="F3539" s="5">
        <v>1581</v>
      </c>
      <c r="G3539" s="5">
        <v>23882</v>
      </c>
    </row>
    <row r="3540" spans="1:7" x14ac:dyDescent="0.2">
      <c r="A3540">
        <v>1952</v>
      </c>
      <c r="B3540" t="s">
        <v>369</v>
      </c>
      <c r="C3540" t="s">
        <v>704</v>
      </c>
      <c r="D3540" s="5">
        <v>121839</v>
      </c>
      <c r="E3540" s="5">
        <v>484489</v>
      </c>
      <c r="F3540" s="5">
        <v>22812</v>
      </c>
      <c r="G3540" s="5">
        <v>629141</v>
      </c>
    </row>
    <row r="3541" spans="1:7" x14ac:dyDescent="0.2">
      <c r="A3541">
        <v>1952</v>
      </c>
      <c r="B3541" t="s">
        <v>369</v>
      </c>
      <c r="C3541" t="s">
        <v>705</v>
      </c>
      <c r="D3541" s="5">
        <v>3953</v>
      </c>
      <c r="E3541" s="5">
        <v>127265</v>
      </c>
      <c r="F3541" s="5">
        <v>2584</v>
      </c>
      <c r="G3541" s="5">
        <v>133802</v>
      </c>
    </row>
    <row r="3542" spans="1:7" x14ac:dyDescent="0.2">
      <c r="A3542">
        <v>1952</v>
      </c>
      <c r="B3542" t="s">
        <v>369</v>
      </c>
      <c r="C3542" t="s">
        <v>707</v>
      </c>
      <c r="D3542" s="5">
        <v>505</v>
      </c>
      <c r="E3542" s="5">
        <v>22810</v>
      </c>
      <c r="F3542" s="5">
        <v>0</v>
      </c>
      <c r="G3542" s="5">
        <v>23315</v>
      </c>
    </row>
    <row r="3543" spans="1:7" x14ac:dyDescent="0.2">
      <c r="A3543">
        <v>1952</v>
      </c>
      <c r="B3543" t="s">
        <v>369</v>
      </c>
      <c r="C3543" t="s">
        <v>708</v>
      </c>
      <c r="D3543" s="5">
        <v>7886</v>
      </c>
      <c r="E3543" s="5">
        <v>45703</v>
      </c>
      <c r="F3543" s="5">
        <v>0</v>
      </c>
      <c r="G3543" s="5">
        <v>53589</v>
      </c>
    </row>
    <row r="3544" spans="1:7" x14ac:dyDescent="0.2">
      <c r="A3544">
        <v>1952</v>
      </c>
      <c r="B3544" t="s">
        <v>369</v>
      </c>
      <c r="C3544" t="s">
        <v>709</v>
      </c>
      <c r="D3544" s="5">
        <v>14448</v>
      </c>
      <c r="E3544" s="5">
        <v>56583</v>
      </c>
      <c r="F3544" s="5">
        <v>927</v>
      </c>
      <c r="G3544" s="5">
        <v>71958</v>
      </c>
    </row>
    <row r="3545" spans="1:7" x14ac:dyDescent="0.2">
      <c r="A3545">
        <v>1952</v>
      </c>
      <c r="B3545" t="s">
        <v>369</v>
      </c>
      <c r="C3545" t="s">
        <v>710</v>
      </c>
      <c r="D3545" s="5">
        <v>866</v>
      </c>
      <c r="E3545" s="5">
        <v>32169</v>
      </c>
      <c r="F3545" s="5">
        <v>0</v>
      </c>
      <c r="G3545" s="5">
        <v>33035</v>
      </c>
    </row>
    <row r="3546" spans="1:7" x14ac:dyDescent="0.2">
      <c r="A3546">
        <v>1952</v>
      </c>
      <c r="B3546" t="s">
        <v>369</v>
      </c>
      <c r="C3546" t="s">
        <v>712</v>
      </c>
      <c r="D3546" s="5">
        <v>25605</v>
      </c>
      <c r="E3546" s="5">
        <v>96495</v>
      </c>
      <c r="F3546" s="5">
        <v>3717</v>
      </c>
      <c r="G3546" s="5">
        <v>125816</v>
      </c>
    </row>
    <row r="3547" spans="1:7" x14ac:dyDescent="0.2">
      <c r="A3547">
        <v>1954</v>
      </c>
      <c r="B3547" t="s">
        <v>53</v>
      </c>
      <c r="C3547" t="s">
        <v>700</v>
      </c>
      <c r="D3547" s="5">
        <v>198475</v>
      </c>
      <c r="E3547" s="5">
        <v>284966</v>
      </c>
      <c r="F3547" s="5">
        <v>4332</v>
      </c>
      <c r="G3547" s="5">
        <v>487774</v>
      </c>
    </row>
    <row r="3548" spans="1:7" x14ac:dyDescent="0.2">
      <c r="A3548">
        <v>1954</v>
      </c>
      <c r="B3548" t="s">
        <v>53</v>
      </c>
      <c r="C3548" t="s">
        <v>701</v>
      </c>
      <c r="D3548" s="5">
        <v>13776</v>
      </c>
      <c r="E3548" s="5">
        <v>16346</v>
      </c>
      <c r="F3548" s="5">
        <v>0</v>
      </c>
      <c r="G3548" s="5">
        <v>30122</v>
      </c>
    </row>
    <row r="3549" spans="1:7" x14ac:dyDescent="0.2">
      <c r="A3549">
        <v>1954</v>
      </c>
      <c r="B3549" t="s">
        <v>53</v>
      </c>
      <c r="C3549" t="s">
        <v>703</v>
      </c>
      <c r="D3549" s="5">
        <v>3245</v>
      </c>
      <c r="E3549" s="5">
        <v>13332</v>
      </c>
      <c r="F3549" s="5">
        <v>0</v>
      </c>
      <c r="G3549" s="5">
        <v>16577</v>
      </c>
    </row>
    <row r="3550" spans="1:7" x14ac:dyDescent="0.2">
      <c r="A3550">
        <v>1954</v>
      </c>
      <c r="B3550" t="s">
        <v>53</v>
      </c>
      <c r="C3550" t="s">
        <v>704</v>
      </c>
      <c r="D3550" s="5">
        <v>30225</v>
      </c>
      <c r="E3550" s="5">
        <v>153941</v>
      </c>
      <c r="F3550" s="5">
        <v>60</v>
      </c>
      <c r="G3550" s="5">
        <v>184226</v>
      </c>
    </row>
    <row r="3551" spans="1:7" x14ac:dyDescent="0.2">
      <c r="A3551">
        <v>1954</v>
      </c>
      <c r="B3551" t="s">
        <v>53</v>
      </c>
      <c r="C3551" t="s">
        <v>705</v>
      </c>
      <c r="D3551" s="5">
        <v>6924</v>
      </c>
      <c r="E3551" s="5">
        <v>63234</v>
      </c>
      <c r="F3551" s="5">
        <v>0</v>
      </c>
      <c r="G3551" s="5">
        <v>70158</v>
      </c>
    </row>
    <row r="3552" spans="1:7" x14ac:dyDescent="0.2">
      <c r="A3552">
        <v>1954</v>
      </c>
      <c r="B3552" t="s">
        <v>53</v>
      </c>
      <c r="C3552" t="s">
        <v>707</v>
      </c>
      <c r="D3552" s="5">
        <v>5219</v>
      </c>
      <c r="E3552" s="5">
        <v>2958</v>
      </c>
      <c r="F3552" s="5">
        <v>46</v>
      </c>
      <c r="G3552" s="5">
        <v>8224</v>
      </c>
    </row>
    <row r="3553" spans="1:7" x14ac:dyDescent="0.2">
      <c r="A3553">
        <v>1954</v>
      </c>
      <c r="B3553" t="s">
        <v>53</v>
      </c>
      <c r="C3553" t="s">
        <v>708</v>
      </c>
      <c r="D3553" s="5">
        <v>2061</v>
      </c>
      <c r="E3553" s="5">
        <v>16608</v>
      </c>
      <c r="F3553" s="5">
        <v>0</v>
      </c>
      <c r="G3553" s="5">
        <v>18670</v>
      </c>
    </row>
    <row r="3554" spans="1:7" x14ac:dyDescent="0.2">
      <c r="A3554">
        <v>1954</v>
      </c>
      <c r="B3554" t="s">
        <v>53</v>
      </c>
      <c r="C3554" t="s">
        <v>709</v>
      </c>
      <c r="D3554" s="5">
        <v>10432</v>
      </c>
      <c r="E3554" s="5">
        <v>21229</v>
      </c>
      <c r="F3554" s="5">
        <v>350</v>
      </c>
      <c r="G3554" s="5">
        <v>32011</v>
      </c>
    </row>
    <row r="3555" spans="1:7" x14ac:dyDescent="0.2">
      <c r="A3555">
        <v>1954</v>
      </c>
      <c r="B3555" t="s">
        <v>53</v>
      </c>
      <c r="C3555" t="s">
        <v>710</v>
      </c>
      <c r="D3555" s="5">
        <v>1888</v>
      </c>
      <c r="E3555" s="5">
        <v>16617</v>
      </c>
      <c r="F3555" s="5">
        <v>60</v>
      </c>
      <c r="G3555" s="5">
        <v>18565</v>
      </c>
    </row>
    <row r="3556" spans="1:7" x14ac:dyDescent="0.2">
      <c r="A3556">
        <v>1954</v>
      </c>
      <c r="B3556" t="s">
        <v>53</v>
      </c>
      <c r="C3556" t="s">
        <v>711</v>
      </c>
      <c r="D3556" s="5">
        <v>140</v>
      </c>
      <c r="E3556" s="5">
        <v>275</v>
      </c>
      <c r="F3556" s="5">
        <v>0</v>
      </c>
      <c r="G3556" s="5">
        <v>415</v>
      </c>
    </row>
    <row r="3557" spans="1:7" x14ac:dyDescent="0.2">
      <c r="A3557">
        <v>1954</v>
      </c>
      <c r="B3557" t="s">
        <v>53</v>
      </c>
      <c r="C3557" t="s">
        <v>712</v>
      </c>
      <c r="D3557" s="5">
        <v>12806</v>
      </c>
      <c r="E3557" s="5">
        <v>69112</v>
      </c>
      <c r="F3557" s="5">
        <v>120</v>
      </c>
      <c r="G3557" s="5">
        <v>82038</v>
      </c>
    </row>
    <row r="3558" spans="1:7" x14ac:dyDescent="0.2">
      <c r="A3558">
        <v>1955</v>
      </c>
      <c r="B3558" t="s">
        <v>375</v>
      </c>
      <c r="C3558" t="s">
        <v>700</v>
      </c>
      <c r="D3558" s="5">
        <v>554526</v>
      </c>
      <c r="E3558" s="5">
        <v>476629</v>
      </c>
      <c r="F3558" s="5">
        <v>4449</v>
      </c>
      <c r="G3558" s="5">
        <v>1035604</v>
      </c>
    </row>
    <row r="3559" spans="1:7" x14ac:dyDescent="0.2">
      <c r="A3559">
        <v>1955</v>
      </c>
      <c r="B3559" t="s">
        <v>375</v>
      </c>
      <c r="C3559" t="s">
        <v>701</v>
      </c>
      <c r="D3559" s="5">
        <v>15516</v>
      </c>
      <c r="E3559" s="5">
        <v>12734</v>
      </c>
      <c r="F3559" s="5">
        <v>46</v>
      </c>
      <c r="G3559" s="5">
        <v>28297</v>
      </c>
    </row>
    <row r="3560" spans="1:7" x14ac:dyDescent="0.2">
      <c r="A3560">
        <v>1955</v>
      </c>
      <c r="B3560" t="s">
        <v>375</v>
      </c>
      <c r="C3560" t="s">
        <v>703</v>
      </c>
      <c r="D3560" s="5">
        <v>638</v>
      </c>
      <c r="E3560" s="5">
        <v>5406</v>
      </c>
      <c r="F3560" s="5">
        <v>0</v>
      </c>
      <c r="G3560" s="5">
        <v>6043</v>
      </c>
    </row>
    <row r="3561" spans="1:7" x14ac:dyDescent="0.2">
      <c r="A3561">
        <v>1955</v>
      </c>
      <c r="B3561" t="s">
        <v>375</v>
      </c>
      <c r="C3561" t="s">
        <v>704</v>
      </c>
      <c r="D3561" s="5">
        <v>21904</v>
      </c>
      <c r="E3561" s="5">
        <v>428473</v>
      </c>
      <c r="F3561" s="5">
        <v>0</v>
      </c>
      <c r="G3561" s="5">
        <v>450377</v>
      </c>
    </row>
    <row r="3562" spans="1:7" x14ac:dyDescent="0.2">
      <c r="A3562">
        <v>1955</v>
      </c>
      <c r="B3562" t="s">
        <v>375</v>
      </c>
      <c r="C3562" t="s">
        <v>705</v>
      </c>
      <c r="D3562" s="5">
        <v>8344</v>
      </c>
      <c r="E3562" s="5">
        <v>197727</v>
      </c>
      <c r="F3562" s="5">
        <v>316</v>
      </c>
      <c r="G3562" s="5">
        <v>206387</v>
      </c>
    </row>
    <row r="3563" spans="1:7" x14ac:dyDescent="0.2">
      <c r="A3563">
        <v>1955</v>
      </c>
      <c r="B3563" t="s">
        <v>375</v>
      </c>
      <c r="C3563" t="s">
        <v>707</v>
      </c>
      <c r="D3563" s="5">
        <v>18904</v>
      </c>
      <c r="E3563" s="5">
        <v>6709</v>
      </c>
      <c r="F3563" s="5">
        <v>59</v>
      </c>
      <c r="G3563" s="5">
        <v>25671</v>
      </c>
    </row>
    <row r="3564" spans="1:7" x14ac:dyDescent="0.2">
      <c r="A3564">
        <v>1955</v>
      </c>
      <c r="B3564" t="s">
        <v>375</v>
      </c>
      <c r="C3564" t="s">
        <v>708</v>
      </c>
      <c r="D3564" s="5">
        <v>1111</v>
      </c>
      <c r="E3564" s="5">
        <v>29284</v>
      </c>
      <c r="F3564" s="5">
        <v>917</v>
      </c>
      <c r="G3564" s="5">
        <v>31312</v>
      </c>
    </row>
    <row r="3565" spans="1:7" x14ac:dyDescent="0.2">
      <c r="A3565">
        <v>1955</v>
      </c>
      <c r="B3565" t="s">
        <v>375</v>
      </c>
      <c r="C3565" t="s">
        <v>709</v>
      </c>
      <c r="D3565" s="5">
        <v>8614</v>
      </c>
      <c r="E3565" s="5">
        <v>57389</v>
      </c>
      <c r="F3565" s="5">
        <v>95</v>
      </c>
      <c r="G3565" s="5">
        <v>66098</v>
      </c>
    </row>
    <row r="3566" spans="1:7" x14ac:dyDescent="0.2">
      <c r="A3566">
        <v>1955</v>
      </c>
      <c r="B3566" t="s">
        <v>375</v>
      </c>
      <c r="C3566" t="s">
        <v>710</v>
      </c>
      <c r="D3566" s="5">
        <v>2018</v>
      </c>
      <c r="E3566" s="5">
        <v>24409</v>
      </c>
      <c r="F3566" s="5">
        <v>0</v>
      </c>
      <c r="G3566" s="5">
        <v>26427</v>
      </c>
    </row>
    <row r="3567" spans="1:7" x14ac:dyDescent="0.2">
      <c r="A3567">
        <v>1955</v>
      </c>
      <c r="B3567" t="s">
        <v>375</v>
      </c>
      <c r="C3567" t="s">
        <v>712</v>
      </c>
      <c r="D3567" s="5">
        <v>5826</v>
      </c>
      <c r="E3567" s="5">
        <v>71567</v>
      </c>
      <c r="F3567" s="5">
        <v>0</v>
      </c>
      <c r="G3567" s="5">
        <v>77393</v>
      </c>
    </row>
    <row r="3568" spans="1:7" x14ac:dyDescent="0.2">
      <c r="A3568">
        <v>1959</v>
      </c>
      <c r="B3568" t="s">
        <v>25</v>
      </c>
      <c r="C3568" t="s">
        <v>700</v>
      </c>
      <c r="D3568" s="5">
        <v>661968</v>
      </c>
      <c r="E3568" s="5">
        <v>772850</v>
      </c>
      <c r="F3568" s="5">
        <v>30481</v>
      </c>
      <c r="G3568" s="5">
        <v>1465299</v>
      </c>
    </row>
    <row r="3569" spans="1:7" x14ac:dyDescent="0.2">
      <c r="A3569">
        <v>1959</v>
      </c>
      <c r="B3569" t="s">
        <v>25</v>
      </c>
      <c r="C3569" t="s">
        <v>701</v>
      </c>
      <c r="D3569" s="5">
        <v>28820</v>
      </c>
      <c r="E3569" s="5">
        <v>41638</v>
      </c>
      <c r="F3569" s="5">
        <v>674</v>
      </c>
      <c r="G3569" s="5">
        <v>71132</v>
      </c>
    </row>
    <row r="3570" spans="1:7" x14ac:dyDescent="0.2">
      <c r="A3570">
        <v>1959</v>
      </c>
      <c r="B3570" t="s">
        <v>25</v>
      </c>
      <c r="C3570" t="s">
        <v>703</v>
      </c>
      <c r="D3570" s="5">
        <v>5988</v>
      </c>
      <c r="E3570" s="5">
        <v>37708</v>
      </c>
      <c r="F3570" s="5">
        <v>218</v>
      </c>
      <c r="G3570" s="5">
        <v>43913</v>
      </c>
    </row>
    <row r="3571" spans="1:7" x14ac:dyDescent="0.2">
      <c r="A3571">
        <v>1959</v>
      </c>
      <c r="B3571" t="s">
        <v>25</v>
      </c>
      <c r="C3571" t="s">
        <v>704</v>
      </c>
      <c r="D3571" s="5">
        <v>146225</v>
      </c>
      <c r="E3571" s="5">
        <v>609721</v>
      </c>
      <c r="F3571" s="5">
        <v>16194</v>
      </c>
      <c r="G3571" s="5">
        <v>772140</v>
      </c>
    </row>
    <row r="3572" spans="1:7" x14ac:dyDescent="0.2">
      <c r="A3572">
        <v>1959</v>
      </c>
      <c r="B3572" t="s">
        <v>25</v>
      </c>
      <c r="C3572" t="s">
        <v>705</v>
      </c>
      <c r="D3572" s="5">
        <v>10453</v>
      </c>
      <c r="E3572" s="5">
        <v>97424</v>
      </c>
      <c r="F3572" s="5">
        <v>4195</v>
      </c>
      <c r="G3572" s="5">
        <v>112073</v>
      </c>
    </row>
    <row r="3573" spans="1:7" x14ac:dyDescent="0.2">
      <c r="A3573">
        <v>1959</v>
      </c>
      <c r="B3573" t="s">
        <v>25</v>
      </c>
      <c r="C3573" t="s">
        <v>707</v>
      </c>
      <c r="D3573" s="5">
        <v>3264</v>
      </c>
      <c r="E3573" s="5">
        <v>11140</v>
      </c>
      <c r="F3573" s="5">
        <v>1207</v>
      </c>
      <c r="G3573" s="5">
        <v>15610</v>
      </c>
    </row>
    <row r="3574" spans="1:7" x14ac:dyDescent="0.2">
      <c r="A3574">
        <v>1959</v>
      </c>
      <c r="B3574" t="s">
        <v>25</v>
      </c>
      <c r="C3574" t="s">
        <v>708</v>
      </c>
      <c r="D3574" s="5">
        <v>7333</v>
      </c>
      <c r="E3574" s="5">
        <v>50521</v>
      </c>
      <c r="F3574" s="5">
        <v>0</v>
      </c>
      <c r="G3574" s="5">
        <v>57854</v>
      </c>
    </row>
    <row r="3575" spans="1:7" x14ac:dyDescent="0.2">
      <c r="A3575">
        <v>1959</v>
      </c>
      <c r="B3575" t="s">
        <v>25</v>
      </c>
      <c r="C3575" t="s">
        <v>709</v>
      </c>
      <c r="D3575" s="5">
        <v>14121</v>
      </c>
      <c r="E3575" s="5">
        <v>81675</v>
      </c>
      <c r="F3575" s="5">
        <v>691</v>
      </c>
      <c r="G3575" s="5">
        <v>96487</v>
      </c>
    </row>
    <row r="3576" spans="1:7" x14ac:dyDescent="0.2">
      <c r="A3576">
        <v>1959</v>
      </c>
      <c r="B3576" t="s">
        <v>25</v>
      </c>
      <c r="C3576" t="s">
        <v>710</v>
      </c>
      <c r="D3576" s="5">
        <v>1515</v>
      </c>
      <c r="E3576" s="5">
        <v>22422</v>
      </c>
      <c r="F3576" s="5">
        <v>0</v>
      </c>
      <c r="G3576" s="5">
        <v>23936</v>
      </c>
    </row>
    <row r="3577" spans="1:7" x14ac:dyDescent="0.2">
      <c r="A3577">
        <v>1959</v>
      </c>
      <c r="B3577" t="s">
        <v>25</v>
      </c>
      <c r="C3577" t="s">
        <v>711</v>
      </c>
      <c r="D3577" s="5">
        <v>0</v>
      </c>
      <c r="E3577" s="5">
        <v>67</v>
      </c>
      <c r="F3577" s="5">
        <v>0</v>
      </c>
      <c r="G3577" s="5">
        <v>67</v>
      </c>
    </row>
    <row r="3578" spans="1:7" x14ac:dyDescent="0.2">
      <c r="A3578">
        <v>1959</v>
      </c>
      <c r="B3578" t="s">
        <v>25</v>
      </c>
      <c r="C3578" t="s">
        <v>712</v>
      </c>
      <c r="D3578" s="5">
        <v>22556</v>
      </c>
      <c r="E3578" s="5">
        <v>72212</v>
      </c>
      <c r="F3578" s="5">
        <v>1836</v>
      </c>
      <c r="G3578" s="5">
        <v>96603</v>
      </c>
    </row>
    <row r="3579" spans="1:7" x14ac:dyDescent="0.2">
      <c r="A3579">
        <v>1960</v>
      </c>
      <c r="B3579" t="s">
        <v>623</v>
      </c>
      <c r="C3579" t="s">
        <v>700</v>
      </c>
      <c r="D3579" s="5">
        <v>1123085</v>
      </c>
      <c r="E3579" s="5">
        <v>1056462</v>
      </c>
      <c r="F3579" s="5">
        <v>25942</v>
      </c>
      <c r="G3579" s="5">
        <v>2205489</v>
      </c>
    </row>
    <row r="3580" spans="1:7" x14ac:dyDescent="0.2">
      <c r="A3580">
        <v>1960</v>
      </c>
      <c r="B3580" t="s">
        <v>623</v>
      </c>
      <c r="C3580" t="s">
        <v>701</v>
      </c>
      <c r="D3580" s="5">
        <v>29118</v>
      </c>
      <c r="E3580" s="5">
        <v>35774</v>
      </c>
      <c r="F3580" s="5">
        <v>284</v>
      </c>
      <c r="G3580" s="5">
        <v>65175</v>
      </c>
    </row>
    <row r="3581" spans="1:7" x14ac:dyDescent="0.2">
      <c r="A3581">
        <v>1960</v>
      </c>
      <c r="B3581" t="s">
        <v>623</v>
      </c>
      <c r="C3581" t="s">
        <v>703</v>
      </c>
      <c r="D3581" s="5">
        <v>1315</v>
      </c>
      <c r="E3581" s="5">
        <v>7090</v>
      </c>
      <c r="F3581" s="5">
        <v>0</v>
      </c>
      <c r="G3581" s="5">
        <v>8405</v>
      </c>
    </row>
    <row r="3582" spans="1:7" x14ac:dyDescent="0.2">
      <c r="A3582">
        <v>1960</v>
      </c>
      <c r="B3582" t="s">
        <v>623</v>
      </c>
      <c r="C3582" t="s">
        <v>704</v>
      </c>
      <c r="D3582" s="5">
        <v>122587</v>
      </c>
      <c r="E3582" s="5">
        <v>667745</v>
      </c>
      <c r="F3582" s="5">
        <v>61696</v>
      </c>
      <c r="G3582" s="5">
        <v>852028</v>
      </c>
    </row>
    <row r="3583" spans="1:7" x14ac:dyDescent="0.2">
      <c r="A3583">
        <v>1960</v>
      </c>
      <c r="B3583" t="s">
        <v>623</v>
      </c>
      <c r="C3583" t="s">
        <v>705</v>
      </c>
      <c r="D3583" s="5">
        <v>39273</v>
      </c>
      <c r="E3583" s="5">
        <v>349745</v>
      </c>
      <c r="F3583" s="5">
        <v>1120</v>
      </c>
      <c r="G3583" s="5">
        <v>390138</v>
      </c>
    </row>
    <row r="3584" spans="1:7" x14ac:dyDescent="0.2">
      <c r="A3584">
        <v>1960</v>
      </c>
      <c r="B3584" t="s">
        <v>623</v>
      </c>
      <c r="C3584" t="s">
        <v>707</v>
      </c>
      <c r="D3584" s="5">
        <v>4329</v>
      </c>
      <c r="E3584" s="5">
        <v>22126</v>
      </c>
      <c r="F3584" s="5">
        <v>0</v>
      </c>
      <c r="G3584" s="5">
        <v>26455</v>
      </c>
    </row>
    <row r="3585" spans="1:7" x14ac:dyDescent="0.2">
      <c r="A3585">
        <v>1960</v>
      </c>
      <c r="B3585" t="s">
        <v>623</v>
      </c>
      <c r="C3585" t="s">
        <v>708</v>
      </c>
      <c r="D3585" s="5">
        <v>11865</v>
      </c>
      <c r="E3585" s="5">
        <v>34538</v>
      </c>
      <c r="F3585" s="5">
        <v>866</v>
      </c>
      <c r="G3585" s="5">
        <v>47269</v>
      </c>
    </row>
    <row r="3586" spans="1:7" x14ac:dyDescent="0.2">
      <c r="A3586">
        <v>1960</v>
      </c>
      <c r="B3586" t="s">
        <v>623</v>
      </c>
      <c r="C3586" t="s">
        <v>709</v>
      </c>
      <c r="D3586" s="5">
        <v>23212</v>
      </c>
      <c r="E3586" s="5">
        <v>68090</v>
      </c>
      <c r="F3586" s="5">
        <v>110</v>
      </c>
      <c r="G3586" s="5">
        <v>91413</v>
      </c>
    </row>
    <row r="3587" spans="1:7" x14ac:dyDescent="0.2">
      <c r="A3587">
        <v>1960</v>
      </c>
      <c r="B3587" t="s">
        <v>623</v>
      </c>
      <c r="C3587" t="s">
        <v>710</v>
      </c>
      <c r="D3587" s="5">
        <v>3345</v>
      </c>
      <c r="E3587" s="5">
        <v>25220</v>
      </c>
      <c r="F3587" s="5">
        <v>0</v>
      </c>
      <c r="G3587" s="5">
        <v>28565</v>
      </c>
    </row>
    <row r="3588" spans="1:7" x14ac:dyDescent="0.2">
      <c r="A3588">
        <v>1960</v>
      </c>
      <c r="B3588" t="s">
        <v>623</v>
      </c>
      <c r="C3588" t="s">
        <v>711</v>
      </c>
      <c r="D3588" s="5">
        <v>199</v>
      </c>
      <c r="E3588" s="5">
        <v>59</v>
      </c>
      <c r="F3588" s="5">
        <v>0</v>
      </c>
      <c r="G3588" s="5">
        <v>258</v>
      </c>
    </row>
    <row r="3589" spans="1:7" x14ac:dyDescent="0.2">
      <c r="A3589">
        <v>1960</v>
      </c>
      <c r="B3589" t="s">
        <v>623</v>
      </c>
      <c r="C3589" t="s">
        <v>712</v>
      </c>
      <c r="D3589" s="5">
        <v>37416</v>
      </c>
      <c r="E3589" s="5">
        <v>126956</v>
      </c>
      <c r="F3589" s="5">
        <v>750</v>
      </c>
      <c r="G3589" s="5">
        <v>165122</v>
      </c>
    </row>
    <row r="3590" spans="1:7" x14ac:dyDescent="0.2">
      <c r="A3590">
        <v>1961</v>
      </c>
      <c r="B3590" t="s">
        <v>589</v>
      </c>
      <c r="C3590" t="s">
        <v>700</v>
      </c>
      <c r="D3590" s="5">
        <v>487334</v>
      </c>
      <c r="E3590" s="5">
        <v>500494</v>
      </c>
      <c r="F3590" s="5">
        <v>14941</v>
      </c>
      <c r="G3590" s="5">
        <v>1002769</v>
      </c>
    </row>
    <row r="3591" spans="1:7" x14ac:dyDescent="0.2">
      <c r="A3591">
        <v>1961</v>
      </c>
      <c r="B3591" t="s">
        <v>589</v>
      </c>
      <c r="C3591" t="s">
        <v>701</v>
      </c>
      <c r="D3591" s="5">
        <v>25843</v>
      </c>
      <c r="E3591" s="5">
        <v>28698</v>
      </c>
      <c r="F3591" s="5">
        <v>0</v>
      </c>
      <c r="G3591" s="5">
        <v>54541</v>
      </c>
    </row>
    <row r="3592" spans="1:7" x14ac:dyDescent="0.2">
      <c r="A3592">
        <v>1961</v>
      </c>
      <c r="B3592" t="s">
        <v>589</v>
      </c>
      <c r="C3592" t="s">
        <v>703</v>
      </c>
      <c r="D3592" s="5">
        <v>6677</v>
      </c>
      <c r="E3592" s="5">
        <v>10957</v>
      </c>
      <c r="F3592" s="5">
        <v>0</v>
      </c>
      <c r="G3592" s="5">
        <v>17635</v>
      </c>
    </row>
    <row r="3593" spans="1:7" x14ac:dyDescent="0.2">
      <c r="A3593">
        <v>1961</v>
      </c>
      <c r="B3593" t="s">
        <v>589</v>
      </c>
      <c r="C3593" t="s">
        <v>704</v>
      </c>
      <c r="D3593" s="5">
        <v>50739</v>
      </c>
      <c r="E3593" s="5">
        <v>591378</v>
      </c>
      <c r="F3593" s="5">
        <v>41881</v>
      </c>
      <c r="G3593" s="5">
        <v>683998</v>
      </c>
    </row>
    <row r="3594" spans="1:7" x14ac:dyDescent="0.2">
      <c r="A3594">
        <v>1961</v>
      </c>
      <c r="B3594" t="s">
        <v>589</v>
      </c>
      <c r="C3594" t="s">
        <v>705</v>
      </c>
      <c r="D3594" s="5">
        <v>17970</v>
      </c>
      <c r="E3594" s="5">
        <v>246129</v>
      </c>
      <c r="F3594" s="5">
        <v>10915</v>
      </c>
      <c r="G3594" s="5">
        <v>275015</v>
      </c>
    </row>
    <row r="3595" spans="1:7" x14ac:dyDescent="0.2">
      <c r="A3595">
        <v>1961</v>
      </c>
      <c r="B3595" t="s">
        <v>589</v>
      </c>
      <c r="C3595" t="s">
        <v>707</v>
      </c>
      <c r="D3595" s="5">
        <v>2519</v>
      </c>
      <c r="E3595" s="5">
        <v>11377</v>
      </c>
      <c r="F3595" s="5">
        <v>0</v>
      </c>
      <c r="G3595" s="5">
        <v>13896</v>
      </c>
    </row>
    <row r="3596" spans="1:7" x14ac:dyDescent="0.2">
      <c r="A3596">
        <v>1961</v>
      </c>
      <c r="B3596" t="s">
        <v>589</v>
      </c>
      <c r="C3596" t="s">
        <v>708</v>
      </c>
      <c r="D3596" s="5">
        <v>8499</v>
      </c>
      <c r="E3596" s="5">
        <v>38761</v>
      </c>
      <c r="F3596" s="5">
        <v>0</v>
      </c>
      <c r="G3596" s="5">
        <v>47260</v>
      </c>
    </row>
    <row r="3597" spans="1:7" x14ac:dyDescent="0.2">
      <c r="A3597">
        <v>1961</v>
      </c>
      <c r="B3597" t="s">
        <v>589</v>
      </c>
      <c r="C3597" t="s">
        <v>709</v>
      </c>
      <c r="D3597" s="5">
        <v>4580</v>
      </c>
      <c r="E3597" s="5">
        <v>33469</v>
      </c>
      <c r="F3597" s="5">
        <v>49</v>
      </c>
      <c r="G3597" s="5">
        <v>38098</v>
      </c>
    </row>
    <row r="3598" spans="1:7" x14ac:dyDescent="0.2">
      <c r="A3598">
        <v>1961</v>
      </c>
      <c r="B3598" t="s">
        <v>589</v>
      </c>
      <c r="C3598" t="s">
        <v>710</v>
      </c>
      <c r="D3598" s="5">
        <v>649</v>
      </c>
      <c r="E3598" s="5">
        <v>43695</v>
      </c>
      <c r="F3598" s="5">
        <v>0</v>
      </c>
      <c r="G3598" s="5">
        <v>44345</v>
      </c>
    </row>
    <row r="3599" spans="1:7" x14ac:dyDescent="0.2">
      <c r="A3599">
        <v>1961</v>
      </c>
      <c r="B3599" t="s">
        <v>589</v>
      </c>
      <c r="C3599" t="s">
        <v>712</v>
      </c>
      <c r="D3599" s="5">
        <v>23851</v>
      </c>
      <c r="E3599" s="5">
        <v>158268</v>
      </c>
      <c r="F3599" s="5">
        <v>2008</v>
      </c>
      <c r="G3599" s="5">
        <v>184128</v>
      </c>
    </row>
    <row r="3600" spans="1:7" x14ac:dyDescent="0.2">
      <c r="A3600">
        <v>1963</v>
      </c>
      <c r="B3600" t="s">
        <v>269</v>
      </c>
      <c r="C3600" t="s">
        <v>700</v>
      </c>
      <c r="D3600" s="5">
        <v>454968</v>
      </c>
      <c r="E3600" s="5">
        <v>757656</v>
      </c>
      <c r="F3600" s="5">
        <v>14167</v>
      </c>
      <c r="G3600" s="5">
        <v>1226791</v>
      </c>
    </row>
    <row r="3601" spans="1:7" x14ac:dyDescent="0.2">
      <c r="A3601">
        <v>1963</v>
      </c>
      <c r="B3601" t="s">
        <v>269</v>
      </c>
      <c r="C3601" t="s">
        <v>701</v>
      </c>
      <c r="D3601" s="5">
        <v>18879</v>
      </c>
      <c r="E3601" s="5">
        <v>36696</v>
      </c>
      <c r="F3601" s="5">
        <v>1358</v>
      </c>
      <c r="G3601" s="5">
        <v>56933</v>
      </c>
    </row>
    <row r="3602" spans="1:7" x14ac:dyDescent="0.2">
      <c r="A3602">
        <v>1963</v>
      </c>
      <c r="B3602" t="s">
        <v>269</v>
      </c>
      <c r="C3602" t="s">
        <v>703</v>
      </c>
      <c r="D3602" s="5">
        <v>4525</v>
      </c>
      <c r="E3602" s="5">
        <v>40837</v>
      </c>
      <c r="F3602" s="5">
        <v>0</v>
      </c>
      <c r="G3602" s="5">
        <v>45362</v>
      </c>
    </row>
    <row r="3603" spans="1:7" x14ac:dyDescent="0.2">
      <c r="A3603">
        <v>1963</v>
      </c>
      <c r="B3603" t="s">
        <v>269</v>
      </c>
      <c r="C3603" t="s">
        <v>704</v>
      </c>
      <c r="D3603" s="5">
        <v>486226</v>
      </c>
      <c r="E3603" s="5">
        <v>1270050</v>
      </c>
      <c r="F3603" s="5">
        <v>8628</v>
      </c>
      <c r="G3603" s="5">
        <v>1764903</v>
      </c>
    </row>
    <row r="3604" spans="1:7" x14ac:dyDescent="0.2">
      <c r="A3604">
        <v>1963</v>
      </c>
      <c r="B3604" t="s">
        <v>269</v>
      </c>
      <c r="C3604" t="s">
        <v>705</v>
      </c>
      <c r="D3604" s="5">
        <v>16482</v>
      </c>
      <c r="E3604" s="5">
        <v>125480</v>
      </c>
      <c r="F3604" s="5">
        <v>12036</v>
      </c>
      <c r="G3604" s="5">
        <v>153998</v>
      </c>
    </row>
    <row r="3605" spans="1:7" x14ac:dyDescent="0.2">
      <c r="A3605">
        <v>1963</v>
      </c>
      <c r="B3605" t="s">
        <v>269</v>
      </c>
      <c r="C3605" t="s">
        <v>706</v>
      </c>
      <c r="D3605" s="5">
        <v>149</v>
      </c>
      <c r="E3605" s="5">
        <v>0</v>
      </c>
      <c r="F3605" s="5">
        <v>0</v>
      </c>
      <c r="G3605" s="5">
        <v>149</v>
      </c>
    </row>
    <row r="3606" spans="1:7" x14ac:dyDescent="0.2">
      <c r="A3606">
        <v>1963</v>
      </c>
      <c r="B3606" t="s">
        <v>269</v>
      </c>
      <c r="C3606" t="s">
        <v>707</v>
      </c>
      <c r="D3606" s="5">
        <v>1045</v>
      </c>
      <c r="E3606" s="5">
        <v>1859</v>
      </c>
      <c r="F3606" s="5">
        <v>0</v>
      </c>
      <c r="G3606" s="5">
        <v>2904</v>
      </c>
    </row>
    <row r="3607" spans="1:7" x14ac:dyDescent="0.2">
      <c r="A3607">
        <v>1963</v>
      </c>
      <c r="B3607" t="s">
        <v>269</v>
      </c>
      <c r="C3607" t="s">
        <v>708</v>
      </c>
      <c r="D3607" s="5">
        <v>1462</v>
      </c>
      <c r="E3607" s="5">
        <v>75553</v>
      </c>
      <c r="F3607" s="5">
        <v>0</v>
      </c>
      <c r="G3607" s="5">
        <v>77015</v>
      </c>
    </row>
    <row r="3608" spans="1:7" x14ac:dyDescent="0.2">
      <c r="A3608">
        <v>1963</v>
      </c>
      <c r="B3608" t="s">
        <v>269</v>
      </c>
      <c r="C3608" t="s">
        <v>709</v>
      </c>
      <c r="D3608" s="5">
        <v>44516</v>
      </c>
      <c r="E3608" s="5">
        <v>76822</v>
      </c>
      <c r="F3608" s="5">
        <v>197</v>
      </c>
      <c r="G3608" s="5">
        <v>121535</v>
      </c>
    </row>
    <row r="3609" spans="1:7" x14ac:dyDescent="0.2">
      <c r="A3609">
        <v>1963</v>
      </c>
      <c r="B3609" t="s">
        <v>269</v>
      </c>
      <c r="C3609" t="s">
        <v>710</v>
      </c>
      <c r="D3609" s="5">
        <v>3954</v>
      </c>
      <c r="E3609" s="5">
        <v>40515</v>
      </c>
      <c r="F3609" s="5">
        <v>4</v>
      </c>
      <c r="G3609" s="5">
        <v>44473</v>
      </c>
    </row>
    <row r="3610" spans="1:7" x14ac:dyDescent="0.2">
      <c r="A3610">
        <v>1963</v>
      </c>
      <c r="B3610" t="s">
        <v>269</v>
      </c>
      <c r="C3610" t="s">
        <v>712</v>
      </c>
      <c r="D3610" s="5">
        <v>49438</v>
      </c>
      <c r="E3610" s="5">
        <v>116030</v>
      </c>
      <c r="F3610" s="5">
        <v>68</v>
      </c>
      <c r="G3610" s="5">
        <v>165537</v>
      </c>
    </row>
    <row r="3611" spans="1:7" x14ac:dyDescent="0.2">
      <c r="A3611">
        <v>1966</v>
      </c>
      <c r="B3611" t="s">
        <v>273</v>
      </c>
      <c r="C3611" t="s">
        <v>700</v>
      </c>
      <c r="D3611" s="5">
        <v>1021202</v>
      </c>
      <c r="E3611" s="5">
        <v>750265</v>
      </c>
      <c r="F3611" s="5">
        <v>293402</v>
      </c>
      <c r="G3611" s="5">
        <v>2064870</v>
      </c>
    </row>
    <row r="3612" spans="1:7" x14ac:dyDescent="0.2">
      <c r="A3612">
        <v>1966</v>
      </c>
      <c r="B3612" t="s">
        <v>273</v>
      </c>
      <c r="C3612" t="s">
        <v>701</v>
      </c>
      <c r="D3612" s="5">
        <v>51659</v>
      </c>
      <c r="E3612" s="5">
        <v>33859</v>
      </c>
      <c r="F3612" s="5">
        <v>888</v>
      </c>
      <c r="G3612" s="5">
        <v>86406</v>
      </c>
    </row>
    <row r="3613" spans="1:7" x14ac:dyDescent="0.2">
      <c r="A3613">
        <v>1966</v>
      </c>
      <c r="B3613" t="s">
        <v>273</v>
      </c>
      <c r="C3613" t="s">
        <v>703</v>
      </c>
      <c r="D3613" s="5">
        <v>3835</v>
      </c>
      <c r="E3613" s="5">
        <v>8962</v>
      </c>
      <c r="F3613" s="5">
        <v>353</v>
      </c>
      <c r="G3613" s="5">
        <v>13150</v>
      </c>
    </row>
    <row r="3614" spans="1:7" x14ac:dyDescent="0.2">
      <c r="A3614">
        <v>1966</v>
      </c>
      <c r="B3614" t="s">
        <v>273</v>
      </c>
      <c r="C3614" t="s">
        <v>704</v>
      </c>
      <c r="D3614" s="5">
        <v>95736</v>
      </c>
      <c r="E3614" s="5">
        <v>294691</v>
      </c>
      <c r="F3614" s="5">
        <v>29791</v>
      </c>
      <c r="G3614" s="5">
        <v>420219</v>
      </c>
    </row>
    <row r="3615" spans="1:7" x14ac:dyDescent="0.2">
      <c r="A3615">
        <v>1966</v>
      </c>
      <c r="B3615" t="s">
        <v>273</v>
      </c>
      <c r="C3615" t="s">
        <v>705</v>
      </c>
      <c r="D3615" s="5">
        <v>13563</v>
      </c>
      <c r="E3615" s="5">
        <v>73703</v>
      </c>
      <c r="F3615" s="5">
        <v>8133</v>
      </c>
      <c r="G3615" s="5">
        <v>95399</v>
      </c>
    </row>
    <row r="3616" spans="1:7" x14ac:dyDescent="0.2">
      <c r="A3616">
        <v>1966</v>
      </c>
      <c r="B3616" t="s">
        <v>273</v>
      </c>
      <c r="C3616" t="s">
        <v>707</v>
      </c>
      <c r="D3616" s="5">
        <v>1802</v>
      </c>
      <c r="E3616" s="5">
        <v>1835</v>
      </c>
      <c r="F3616" s="5">
        <v>1732</v>
      </c>
      <c r="G3616" s="5">
        <v>5369</v>
      </c>
    </row>
    <row r="3617" spans="1:7" x14ac:dyDescent="0.2">
      <c r="A3617">
        <v>1966</v>
      </c>
      <c r="B3617" t="s">
        <v>273</v>
      </c>
      <c r="C3617" t="s">
        <v>708</v>
      </c>
      <c r="D3617" s="5">
        <v>16697</v>
      </c>
      <c r="E3617" s="5">
        <v>38061</v>
      </c>
      <c r="F3617" s="5">
        <v>2605</v>
      </c>
      <c r="G3617" s="5">
        <v>57362</v>
      </c>
    </row>
    <row r="3618" spans="1:7" x14ac:dyDescent="0.2">
      <c r="A3618">
        <v>1966</v>
      </c>
      <c r="B3618" t="s">
        <v>273</v>
      </c>
      <c r="C3618" t="s">
        <v>709</v>
      </c>
      <c r="D3618" s="5">
        <v>12992</v>
      </c>
      <c r="E3618" s="5">
        <v>49860</v>
      </c>
      <c r="F3618" s="5">
        <v>9995</v>
      </c>
      <c r="G3618" s="5">
        <v>72847</v>
      </c>
    </row>
    <row r="3619" spans="1:7" x14ac:dyDescent="0.2">
      <c r="A3619">
        <v>1966</v>
      </c>
      <c r="B3619" t="s">
        <v>273</v>
      </c>
      <c r="C3619" t="s">
        <v>710</v>
      </c>
      <c r="D3619" s="5">
        <v>3720</v>
      </c>
      <c r="E3619" s="5">
        <v>26767</v>
      </c>
      <c r="F3619" s="5">
        <v>2012</v>
      </c>
      <c r="G3619" s="5">
        <v>32499</v>
      </c>
    </row>
    <row r="3620" spans="1:7" x14ac:dyDescent="0.2">
      <c r="A3620">
        <v>1966</v>
      </c>
      <c r="B3620" t="s">
        <v>273</v>
      </c>
      <c r="C3620" t="s">
        <v>712</v>
      </c>
      <c r="D3620" s="5">
        <v>38650</v>
      </c>
      <c r="E3620" s="5">
        <v>105888</v>
      </c>
      <c r="F3620" s="5">
        <v>362</v>
      </c>
      <c r="G3620" s="5">
        <v>144901</v>
      </c>
    </row>
    <row r="3621" spans="1:7" x14ac:dyDescent="0.2">
      <c r="A3621">
        <v>1969</v>
      </c>
      <c r="B3621" t="s">
        <v>627</v>
      </c>
      <c r="C3621" t="s">
        <v>700</v>
      </c>
      <c r="D3621" s="5">
        <v>1254705</v>
      </c>
      <c r="E3621" s="5">
        <v>757647</v>
      </c>
      <c r="F3621" s="5">
        <v>57597</v>
      </c>
      <c r="G3621" s="5">
        <v>2069949</v>
      </c>
    </row>
    <row r="3622" spans="1:7" x14ac:dyDescent="0.2">
      <c r="A3622">
        <v>1969</v>
      </c>
      <c r="B3622" t="s">
        <v>627</v>
      </c>
      <c r="C3622" t="s">
        <v>701</v>
      </c>
      <c r="D3622" s="5">
        <v>30424</v>
      </c>
      <c r="E3622" s="5">
        <v>45630</v>
      </c>
      <c r="F3622" s="5">
        <v>0</v>
      </c>
      <c r="G3622" s="5">
        <v>76054</v>
      </c>
    </row>
    <row r="3623" spans="1:7" x14ac:dyDescent="0.2">
      <c r="A3623">
        <v>1969</v>
      </c>
      <c r="B3623" t="s">
        <v>627</v>
      </c>
      <c r="C3623" t="s">
        <v>703</v>
      </c>
      <c r="D3623" s="5">
        <v>1639</v>
      </c>
      <c r="E3623" s="5">
        <v>10341</v>
      </c>
      <c r="F3623" s="5">
        <v>206</v>
      </c>
      <c r="G3623" s="5">
        <v>12187</v>
      </c>
    </row>
    <row r="3624" spans="1:7" x14ac:dyDescent="0.2">
      <c r="A3624">
        <v>1969</v>
      </c>
      <c r="B3624" t="s">
        <v>627</v>
      </c>
      <c r="C3624" t="s">
        <v>704</v>
      </c>
      <c r="D3624" s="5">
        <v>65432</v>
      </c>
      <c r="E3624" s="5">
        <v>348201</v>
      </c>
      <c r="F3624" s="5">
        <v>23192</v>
      </c>
      <c r="G3624" s="5">
        <v>436826</v>
      </c>
    </row>
    <row r="3625" spans="1:7" x14ac:dyDescent="0.2">
      <c r="A3625">
        <v>1969</v>
      </c>
      <c r="B3625" t="s">
        <v>627</v>
      </c>
      <c r="C3625" t="s">
        <v>705</v>
      </c>
      <c r="D3625" s="5">
        <v>13480</v>
      </c>
      <c r="E3625" s="5">
        <v>189735</v>
      </c>
      <c r="F3625" s="5">
        <v>23337</v>
      </c>
      <c r="G3625" s="5">
        <v>226552</v>
      </c>
    </row>
    <row r="3626" spans="1:7" x14ac:dyDescent="0.2">
      <c r="A3626">
        <v>1969</v>
      </c>
      <c r="B3626" t="s">
        <v>627</v>
      </c>
      <c r="C3626" t="s">
        <v>707</v>
      </c>
      <c r="D3626" s="5">
        <v>646</v>
      </c>
      <c r="E3626" s="5">
        <v>3931</v>
      </c>
      <c r="F3626" s="5">
        <v>0</v>
      </c>
      <c r="G3626" s="5">
        <v>4576</v>
      </c>
    </row>
    <row r="3627" spans="1:7" x14ac:dyDescent="0.2">
      <c r="A3627">
        <v>1969</v>
      </c>
      <c r="B3627" t="s">
        <v>627</v>
      </c>
      <c r="C3627" t="s">
        <v>708</v>
      </c>
      <c r="D3627" s="5">
        <v>6863</v>
      </c>
      <c r="E3627" s="5">
        <v>47524</v>
      </c>
      <c r="F3627" s="5">
        <v>8214</v>
      </c>
      <c r="G3627" s="5">
        <v>62600</v>
      </c>
    </row>
    <row r="3628" spans="1:7" x14ac:dyDescent="0.2">
      <c r="A3628">
        <v>1969</v>
      </c>
      <c r="B3628" t="s">
        <v>627</v>
      </c>
      <c r="C3628" t="s">
        <v>709</v>
      </c>
      <c r="D3628" s="5">
        <v>14781</v>
      </c>
      <c r="E3628" s="5">
        <v>34384</v>
      </c>
      <c r="F3628" s="5">
        <v>881</v>
      </c>
      <c r="G3628" s="5">
        <v>50045</v>
      </c>
    </row>
    <row r="3629" spans="1:7" x14ac:dyDescent="0.2">
      <c r="A3629">
        <v>1969</v>
      </c>
      <c r="B3629" t="s">
        <v>627</v>
      </c>
      <c r="C3629" t="s">
        <v>710</v>
      </c>
      <c r="D3629" s="5">
        <v>2787</v>
      </c>
      <c r="E3629" s="5">
        <v>46388</v>
      </c>
      <c r="F3629" s="5">
        <v>0</v>
      </c>
      <c r="G3629" s="5">
        <v>49175</v>
      </c>
    </row>
    <row r="3630" spans="1:7" x14ac:dyDescent="0.2">
      <c r="A3630">
        <v>1969</v>
      </c>
      <c r="B3630" t="s">
        <v>627</v>
      </c>
      <c r="C3630" t="s">
        <v>711</v>
      </c>
      <c r="D3630" s="5">
        <v>169</v>
      </c>
      <c r="E3630" s="5">
        <v>0</v>
      </c>
      <c r="F3630" s="5">
        <v>0</v>
      </c>
      <c r="G3630" s="5">
        <v>169</v>
      </c>
    </row>
    <row r="3631" spans="1:7" x14ac:dyDescent="0.2">
      <c r="A3631">
        <v>1969</v>
      </c>
      <c r="B3631" t="s">
        <v>627</v>
      </c>
      <c r="C3631" t="s">
        <v>712</v>
      </c>
      <c r="D3631" s="5">
        <v>35574</v>
      </c>
      <c r="E3631" s="5">
        <v>208396</v>
      </c>
      <c r="F3631" s="5">
        <v>1615</v>
      </c>
      <c r="G3631" s="5">
        <v>245585</v>
      </c>
    </row>
    <row r="3632" spans="1:7" x14ac:dyDescent="0.2">
      <c r="A3632">
        <v>1970</v>
      </c>
      <c r="B3632" s="9" t="s">
        <v>395</v>
      </c>
      <c r="C3632" t="s">
        <v>700</v>
      </c>
      <c r="D3632" s="5">
        <v>687440</v>
      </c>
      <c r="E3632" s="5">
        <v>502104</v>
      </c>
      <c r="F3632" s="5">
        <v>46667</v>
      </c>
      <c r="G3632" s="5">
        <v>1236210</v>
      </c>
    </row>
    <row r="3633" spans="1:7" x14ac:dyDescent="0.2">
      <c r="A3633">
        <v>1970</v>
      </c>
      <c r="B3633" s="9" t="s">
        <v>395</v>
      </c>
      <c r="C3633" t="s">
        <v>701</v>
      </c>
      <c r="D3633" s="5">
        <v>38711</v>
      </c>
      <c r="E3633" s="5">
        <v>36927</v>
      </c>
      <c r="F3633" s="5">
        <v>443</v>
      </c>
      <c r="G3633" s="5">
        <v>76082</v>
      </c>
    </row>
    <row r="3634" spans="1:7" x14ac:dyDescent="0.2">
      <c r="A3634">
        <v>1970</v>
      </c>
      <c r="B3634" s="9" t="s">
        <v>395</v>
      </c>
      <c r="C3634" t="s">
        <v>703</v>
      </c>
      <c r="D3634" s="5">
        <v>1672</v>
      </c>
      <c r="E3634" s="5">
        <v>8432</v>
      </c>
      <c r="F3634" s="5">
        <v>0</v>
      </c>
      <c r="G3634" s="5">
        <v>10103</v>
      </c>
    </row>
    <row r="3635" spans="1:7" x14ac:dyDescent="0.2">
      <c r="A3635">
        <v>1970</v>
      </c>
      <c r="B3635" s="9" t="s">
        <v>395</v>
      </c>
      <c r="C3635" t="s">
        <v>704</v>
      </c>
      <c r="D3635" s="5">
        <v>124141</v>
      </c>
      <c r="E3635" s="5">
        <v>379492</v>
      </c>
      <c r="F3635" s="5">
        <v>19355</v>
      </c>
      <c r="G3635" s="5">
        <v>522988</v>
      </c>
    </row>
    <row r="3636" spans="1:7" x14ac:dyDescent="0.2">
      <c r="A3636">
        <v>1970</v>
      </c>
      <c r="B3636" s="9" t="s">
        <v>395</v>
      </c>
      <c r="C3636" t="s">
        <v>705</v>
      </c>
      <c r="D3636" s="5">
        <v>10120</v>
      </c>
      <c r="E3636" s="5">
        <v>70654</v>
      </c>
      <c r="F3636" s="5">
        <v>1589</v>
      </c>
      <c r="G3636" s="5">
        <v>82363</v>
      </c>
    </row>
    <row r="3637" spans="1:7" x14ac:dyDescent="0.2">
      <c r="A3637">
        <v>1970</v>
      </c>
      <c r="B3637" s="9" t="s">
        <v>395</v>
      </c>
      <c r="C3637" t="s">
        <v>707</v>
      </c>
      <c r="D3637" s="5">
        <v>29928</v>
      </c>
      <c r="E3637" s="5">
        <v>7531</v>
      </c>
      <c r="F3637" s="5">
        <v>19936</v>
      </c>
      <c r="G3637" s="5">
        <v>57395</v>
      </c>
    </row>
    <row r="3638" spans="1:7" x14ac:dyDescent="0.2">
      <c r="A3638">
        <v>1970</v>
      </c>
      <c r="B3638" s="9" t="s">
        <v>395</v>
      </c>
      <c r="C3638" t="s">
        <v>708</v>
      </c>
      <c r="D3638" s="5">
        <v>6062</v>
      </c>
      <c r="E3638" s="5">
        <v>66373</v>
      </c>
      <c r="F3638" s="5">
        <v>0</v>
      </c>
      <c r="G3638" s="5">
        <v>72435</v>
      </c>
    </row>
    <row r="3639" spans="1:7" x14ac:dyDescent="0.2">
      <c r="A3639">
        <v>1970</v>
      </c>
      <c r="B3639" s="9" t="s">
        <v>395</v>
      </c>
      <c r="C3639" t="s">
        <v>709</v>
      </c>
      <c r="D3639" s="5">
        <v>13268</v>
      </c>
      <c r="E3639" s="5">
        <v>21161</v>
      </c>
      <c r="F3639" s="5">
        <v>4781</v>
      </c>
      <c r="G3639" s="5">
        <v>39210</v>
      </c>
    </row>
    <row r="3640" spans="1:7" x14ac:dyDescent="0.2">
      <c r="A3640">
        <v>1970</v>
      </c>
      <c r="B3640" s="9" t="s">
        <v>395</v>
      </c>
      <c r="C3640" t="s">
        <v>710</v>
      </c>
      <c r="D3640" s="5">
        <v>4630</v>
      </c>
      <c r="E3640" s="5">
        <v>27199</v>
      </c>
      <c r="F3640" s="5">
        <v>88</v>
      </c>
      <c r="G3640" s="5">
        <v>31916</v>
      </c>
    </row>
    <row r="3641" spans="1:7" x14ac:dyDescent="0.2">
      <c r="A3641">
        <v>1970</v>
      </c>
      <c r="B3641" s="9" t="s">
        <v>395</v>
      </c>
      <c r="C3641" t="s">
        <v>712</v>
      </c>
      <c r="D3641" s="5">
        <v>29315</v>
      </c>
      <c r="E3641" s="5">
        <v>135840</v>
      </c>
      <c r="F3641" s="5">
        <v>858</v>
      </c>
      <c r="G3641" s="5">
        <v>166013</v>
      </c>
    </row>
    <row r="3642" spans="1:7" x14ac:dyDescent="0.2">
      <c r="A3642">
        <v>1978</v>
      </c>
      <c r="B3642" t="s">
        <v>373</v>
      </c>
      <c r="C3642" t="s">
        <v>700</v>
      </c>
      <c r="D3642" s="5">
        <v>668964</v>
      </c>
      <c r="E3642" s="5">
        <v>692263</v>
      </c>
      <c r="F3642" s="5">
        <v>20843</v>
      </c>
      <c r="G3642" s="5">
        <v>1382070</v>
      </c>
    </row>
    <row r="3643" spans="1:7" x14ac:dyDescent="0.2">
      <c r="A3643">
        <v>1978</v>
      </c>
      <c r="B3643" t="s">
        <v>373</v>
      </c>
      <c r="C3643" t="s">
        <v>701</v>
      </c>
      <c r="D3643" s="5">
        <v>30577</v>
      </c>
      <c r="E3643" s="5">
        <v>22030</v>
      </c>
      <c r="F3643" s="5">
        <v>0</v>
      </c>
      <c r="G3643" s="5">
        <v>52607</v>
      </c>
    </row>
    <row r="3644" spans="1:7" x14ac:dyDescent="0.2">
      <c r="A3644">
        <v>1978</v>
      </c>
      <c r="B3644" t="s">
        <v>373</v>
      </c>
      <c r="C3644" t="s">
        <v>703</v>
      </c>
      <c r="D3644" s="5">
        <v>2579</v>
      </c>
      <c r="E3644" s="5">
        <v>4614</v>
      </c>
      <c r="F3644" s="5">
        <v>0</v>
      </c>
      <c r="G3644" s="5">
        <v>7193</v>
      </c>
    </row>
    <row r="3645" spans="1:7" x14ac:dyDescent="0.2">
      <c r="A3645">
        <v>1978</v>
      </c>
      <c r="B3645" t="s">
        <v>373</v>
      </c>
      <c r="C3645" t="s">
        <v>704</v>
      </c>
      <c r="D3645" s="5">
        <v>43781</v>
      </c>
      <c r="E3645" s="5">
        <v>276599</v>
      </c>
      <c r="F3645" s="5">
        <v>3216</v>
      </c>
      <c r="G3645" s="5">
        <v>323596</v>
      </c>
    </row>
    <row r="3646" spans="1:7" x14ac:dyDescent="0.2">
      <c r="A3646">
        <v>1978</v>
      </c>
      <c r="B3646" t="s">
        <v>373</v>
      </c>
      <c r="C3646" t="s">
        <v>705</v>
      </c>
      <c r="D3646" s="5">
        <v>21621</v>
      </c>
      <c r="E3646" s="5">
        <v>175542</v>
      </c>
      <c r="F3646" s="5">
        <v>2596</v>
      </c>
      <c r="G3646" s="5">
        <v>199759</v>
      </c>
    </row>
    <row r="3647" spans="1:7" x14ac:dyDescent="0.2">
      <c r="A3647">
        <v>1978</v>
      </c>
      <c r="B3647" t="s">
        <v>373</v>
      </c>
      <c r="C3647" t="s">
        <v>707</v>
      </c>
      <c r="D3647" s="5">
        <v>1146</v>
      </c>
      <c r="E3647" s="5">
        <v>223</v>
      </c>
      <c r="F3647" s="5">
        <v>220</v>
      </c>
      <c r="G3647" s="5">
        <v>1590</v>
      </c>
    </row>
    <row r="3648" spans="1:7" x14ac:dyDescent="0.2">
      <c r="A3648">
        <v>1978</v>
      </c>
      <c r="B3648" t="s">
        <v>373</v>
      </c>
      <c r="C3648" t="s">
        <v>708</v>
      </c>
      <c r="D3648" s="5">
        <v>8924</v>
      </c>
      <c r="E3648" s="5">
        <v>23723</v>
      </c>
      <c r="F3648" s="5">
        <v>0</v>
      </c>
      <c r="G3648" s="5">
        <v>32647</v>
      </c>
    </row>
    <row r="3649" spans="1:7" x14ac:dyDescent="0.2">
      <c r="A3649">
        <v>1978</v>
      </c>
      <c r="B3649" t="s">
        <v>373</v>
      </c>
      <c r="C3649" t="s">
        <v>709</v>
      </c>
      <c r="D3649" s="5">
        <v>31522</v>
      </c>
      <c r="E3649" s="5">
        <v>26609</v>
      </c>
      <c r="F3649" s="5">
        <v>486</v>
      </c>
      <c r="G3649" s="5">
        <v>58617</v>
      </c>
    </row>
    <row r="3650" spans="1:7" x14ac:dyDescent="0.2">
      <c r="A3650">
        <v>1978</v>
      </c>
      <c r="B3650" t="s">
        <v>373</v>
      </c>
      <c r="C3650" t="s">
        <v>710</v>
      </c>
      <c r="D3650" s="5">
        <v>7053</v>
      </c>
      <c r="E3650" s="5">
        <v>20291</v>
      </c>
      <c r="F3650" s="5">
        <v>0</v>
      </c>
      <c r="G3650" s="5">
        <v>27344</v>
      </c>
    </row>
    <row r="3651" spans="1:7" x14ac:dyDescent="0.2">
      <c r="A3651">
        <v>1978</v>
      </c>
      <c r="B3651" t="s">
        <v>373</v>
      </c>
      <c r="C3651" t="s">
        <v>712</v>
      </c>
      <c r="D3651" s="5">
        <v>21023</v>
      </c>
      <c r="E3651" s="5">
        <v>57200</v>
      </c>
      <c r="F3651" s="5">
        <v>92</v>
      </c>
      <c r="G3651" s="5">
        <v>78315</v>
      </c>
    </row>
    <row r="3652" spans="1:7" x14ac:dyDescent="0.2">
      <c r="A3652">
        <v>1979</v>
      </c>
      <c r="B3652" t="s">
        <v>163</v>
      </c>
      <c r="C3652" t="s">
        <v>700</v>
      </c>
      <c r="D3652" s="5">
        <v>718700</v>
      </c>
      <c r="E3652" s="5">
        <v>732448</v>
      </c>
      <c r="F3652" s="5">
        <v>80266</v>
      </c>
      <c r="G3652" s="5">
        <v>1531414</v>
      </c>
    </row>
    <row r="3653" spans="1:7" x14ac:dyDescent="0.2">
      <c r="A3653">
        <v>1979</v>
      </c>
      <c r="B3653" t="s">
        <v>163</v>
      </c>
      <c r="C3653" t="s">
        <v>701</v>
      </c>
      <c r="D3653" s="5">
        <v>33288</v>
      </c>
      <c r="E3653" s="5">
        <v>36966</v>
      </c>
      <c r="F3653" s="5">
        <v>348</v>
      </c>
      <c r="G3653" s="5">
        <v>70602</v>
      </c>
    </row>
    <row r="3654" spans="1:7" x14ac:dyDescent="0.2">
      <c r="A3654">
        <v>1979</v>
      </c>
      <c r="B3654" t="s">
        <v>163</v>
      </c>
      <c r="C3654" t="s">
        <v>703</v>
      </c>
      <c r="D3654" s="5">
        <v>2255</v>
      </c>
      <c r="E3654" s="5">
        <v>17657</v>
      </c>
      <c r="F3654" s="5">
        <v>0</v>
      </c>
      <c r="G3654" s="5">
        <v>19912</v>
      </c>
    </row>
    <row r="3655" spans="1:7" x14ac:dyDescent="0.2">
      <c r="A3655">
        <v>1979</v>
      </c>
      <c r="B3655" t="s">
        <v>163</v>
      </c>
      <c r="C3655" t="s">
        <v>704</v>
      </c>
      <c r="D3655" s="5">
        <v>63722</v>
      </c>
      <c r="E3655" s="5">
        <v>353786</v>
      </c>
      <c r="F3655" s="5">
        <v>7517</v>
      </c>
      <c r="G3655" s="5">
        <v>425026</v>
      </c>
    </row>
    <row r="3656" spans="1:7" x14ac:dyDescent="0.2">
      <c r="A3656">
        <v>1979</v>
      </c>
      <c r="B3656" t="s">
        <v>163</v>
      </c>
      <c r="C3656" t="s">
        <v>705</v>
      </c>
      <c r="D3656" s="5">
        <v>8992</v>
      </c>
      <c r="E3656" s="5">
        <v>66102</v>
      </c>
      <c r="F3656" s="5">
        <v>5427</v>
      </c>
      <c r="G3656" s="5">
        <v>80521</v>
      </c>
    </row>
    <row r="3657" spans="1:7" x14ac:dyDescent="0.2">
      <c r="A3657">
        <v>1979</v>
      </c>
      <c r="B3657" t="s">
        <v>163</v>
      </c>
      <c r="C3657" t="s">
        <v>707</v>
      </c>
      <c r="D3657" s="5">
        <v>1685</v>
      </c>
      <c r="E3657" s="5">
        <v>3451</v>
      </c>
      <c r="F3657" s="5">
        <v>372</v>
      </c>
      <c r="G3657" s="5">
        <v>5508</v>
      </c>
    </row>
    <row r="3658" spans="1:7" x14ac:dyDescent="0.2">
      <c r="A3658">
        <v>1979</v>
      </c>
      <c r="B3658" t="s">
        <v>163</v>
      </c>
      <c r="C3658" t="s">
        <v>708</v>
      </c>
      <c r="D3658" s="5">
        <v>11161</v>
      </c>
      <c r="E3658" s="5">
        <v>47962</v>
      </c>
      <c r="F3658" s="5">
        <v>1065</v>
      </c>
      <c r="G3658" s="5">
        <v>60188</v>
      </c>
    </row>
    <row r="3659" spans="1:7" x14ac:dyDescent="0.2">
      <c r="A3659">
        <v>1979</v>
      </c>
      <c r="B3659" t="s">
        <v>163</v>
      </c>
      <c r="C3659" t="s">
        <v>709</v>
      </c>
      <c r="D3659" s="5">
        <v>10217</v>
      </c>
      <c r="E3659" s="5">
        <v>48820</v>
      </c>
      <c r="F3659" s="5">
        <v>863</v>
      </c>
      <c r="G3659" s="5">
        <v>59900</v>
      </c>
    </row>
    <row r="3660" spans="1:7" x14ac:dyDescent="0.2">
      <c r="A3660">
        <v>1979</v>
      </c>
      <c r="B3660" t="s">
        <v>163</v>
      </c>
      <c r="C3660" t="s">
        <v>710</v>
      </c>
      <c r="D3660" s="5">
        <v>3618</v>
      </c>
      <c r="E3660" s="5">
        <v>21132</v>
      </c>
      <c r="F3660" s="5">
        <v>0</v>
      </c>
      <c r="G3660" s="5">
        <v>24750</v>
      </c>
    </row>
    <row r="3661" spans="1:7" x14ac:dyDescent="0.2">
      <c r="A3661">
        <v>1979</v>
      </c>
      <c r="B3661" t="s">
        <v>163</v>
      </c>
      <c r="C3661" t="s">
        <v>712</v>
      </c>
      <c r="D3661" s="5">
        <v>27765</v>
      </c>
      <c r="E3661" s="5">
        <v>94423</v>
      </c>
      <c r="F3661" s="5">
        <v>2352</v>
      </c>
      <c r="G3661" s="5">
        <v>124541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D050-587C-C94C-8380-4A83FC0AE2C7}">
  <dimension ref="A1:B343"/>
  <sheetViews>
    <sheetView workbookViewId="0">
      <selection activeCell="D9" sqref="D9"/>
    </sheetView>
  </sheetViews>
  <sheetFormatPr baseColWidth="10" defaultRowHeight="16" x14ac:dyDescent="0.2"/>
  <cols>
    <col min="1" max="1" width="15.1640625" bestFit="1" customWidth="1"/>
    <col min="2" max="2" width="13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ht="32" x14ac:dyDescent="0.2">
      <c r="A5" s="2" t="s">
        <v>8</v>
      </c>
      <c r="B5" s="2" t="s">
        <v>9</v>
      </c>
    </row>
    <row r="6" spans="1:2" ht="32" x14ac:dyDescent="0.2">
      <c r="A6" s="2" t="s">
        <v>10</v>
      </c>
      <c r="B6" s="2" t="s">
        <v>11</v>
      </c>
    </row>
    <row r="7" spans="1:2" ht="32" x14ac:dyDescent="0.2">
      <c r="A7" s="2" t="s">
        <v>12</v>
      </c>
      <c r="B7" s="2" t="s">
        <v>13</v>
      </c>
    </row>
    <row r="8" spans="1:2" x14ac:dyDescent="0.2">
      <c r="A8" s="2" t="s">
        <v>14</v>
      </c>
      <c r="B8" s="2" t="s">
        <v>15</v>
      </c>
    </row>
    <row r="9" spans="1:2" x14ac:dyDescent="0.2">
      <c r="A9" s="2" t="s">
        <v>16</v>
      </c>
      <c r="B9" s="2" t="s">
        <v>17</v>
      </c>
    </row>
    <row r="10" spans="1:2" x14ac:dyDescent="0.2">
      <c r="A10" s="2" t="s">
        <v>18</v>
      </c>
      <c r="B10" s="2" t="s">
        <v>19</v>
      </c>
    </row>
    <row r="11" spans="1:2" ht="32" x14ac:dyDescent="0.2">
      <c r="A11" s="2" t="s">
        <v>20</v>
      </c>
      <c r="B11" s="2" t="s">
        <v>21</v>
      </c>
    </row>
    <row r="12" spans="1:2" ht="32" x14ac:dyDescent="0.2">
      <c r="A12" s="2" t="s">
        <v>22</v>
      </c>
      <c r="B12" s="2" t="s">
        <v>23</v>
      </c>
    </row>
    <row r="13" spans="1:2" x14ac:dyDescent="0.2">
      <c r="A13" s="2" t="s">
        <v>24</v>
      </c>
      <c r="B13" s="2" t="s">
        <v>25</v>
      </c>
    </row>
    <row r="14" spans="1:2" x14ac:dyDescent="0.2">
      <c r="A14" s="2" t="s">
        <v>26</v>
      </c>
      <c r="B14" s="2" t="s">
        <v>27</v>
      </c>
    </row>
    <row r="15" spans="1:2" x14ac:dyDescent="0.2">
      <c r="A15" s="2" t="s">
        <v>28</v>
      </c>
      <c r="B15" s="2" t="s">
        <v>29</v>
      </c>
    </row>
    <row r="16" spans="1:2" x14ac:dyDescent="0.2">
      <c r="A16" s="2" t="s">
        <v>30</v>
      </c>
      <c r="B16" s="2" t="s">
        <v>31</v>
      </c>
    </row>
    <row r="17" spans="1:2" x14ac:dyDescent="0.2">
      <c r="A17" s="2" t="s">
        <v>32</v>
      </c>
      <c r="B17" s="2" t="s">
        <v>33</v>
      </c>
    </row>
    <row r="18" spans="1:2" x14ac:dyDescent="0.2">
      <c r="A18" s="2" t="s">
        <v>34</v>
      </c>
      <c r="B18" s="2" t="s">
        <v>35</v>
      </c>
    </row>
    <row r="19" spans="1:2" x14ac:dyDescent="0.2">
      <c r="A19" s="2" t="s">
        <v>36</v>
      </c>
      <c r="B19" s="2" t="s">
        <v>37</v>
      </c>
    </row>
    <row r="20" spans="1:2" x14ac:dyDescent="0.2">
      <c r="A20" s="2" t="s">
        <v>38</v>
      </c>
      <c r="B20" s="2" t="s">
        <v>39</v>
      </c>
    </row>
    <row r="21" spans="1:2" x14ac:dyDescent="0.2">
      <c r="A21" s="2" t="s">
        <v>40</v>
      </c>
      <c r="B21" s="2" t="s">
        <v>41</v>
      </c>
    </row>
    <row r="22" spans="1:2" ht="32" x14ac:dyDescent="0.2">
      <c r="A22" s="2" t="s">
        <v>42</v>
      </c>
      <c r="B22" s="2" t="s">
        <v>43</v>
      </c>
    </row>
    <row r="23" spans="1:2" x14ac:dyDescent="0.2">
      <c r="A23" s="2" t="s">
        <v>44</v>
      </c>
      <c r="B23" s="2" t="s">
        <v>45</v>
      </c>
    </row>
    <row r="24" spans="1:2" x14ac:dyDescent="0.2">
      <c r="A24" s="2" t="s">
        <v>46</v>
      </c>
      <c r="B24" s="2" t="s">
        <v>47</v>
      </c>
    </row>
    <row r="25" spans="1:2" x14ac:dyDescent="0.2">
      <c r="A25" s="2" t="s">
        <v>48</v>
      </c>
      <c r="B25" s="2" t="s">
        <v>49</v>
      </c>
    </row>
    <row r="26" spans="1:2" x14ac:dyDescent="0.2">
      <c r="A26" s="2" t="s">
        <v>50</v>
      </c>
      <c r="B26" s="2" t="s">
        <v>51</v>
      </c>
    </row>
    <row r="27" spans="1:2" x14ac:dyDescent="0.2">
      <c r="A27" s="2" t="s">
        <v>52</v>
      </c>
      <c r="B27" s="2" t="s">
        <v>53</v>
      </c>
    </row>
    <row r="28" spans="1:2" x14ac:dyDescent="0.2">
      <c r="A28" s="2" t="s">
        <v>54</v>
      </c>
      <c r="B28" s="2" t="s">
        <v>55</v>
      </c>
    </row>
    <row r="29" spans="1:2" x14ac:dyDescent="0.2">
      <c r="A29" s="2" t="s">
        <v>56</v>
      </c>
      <c r="B29" s="2" t="s">
        <v>57</v>
      </c>
    </row>
    <row r="30" spans="1:2" x14ac:dyDescent="0.2">
      <c r="A30" s="2" t="s">
        <v>58</v>
      </c>
      <c r="B30" s="2" t="s">
        <v>59</v>
      </c>
    </row>
    <row r="31" spans="1:2" x14ac:dyDescent="0.2">
      <c r="A31" s="2" t="s">
        <v>60</v>
      </c>
      <c r="B31" s="2" t="s">
        <v>61</v>
      </c>
    </row>
    <row r="32" spans="1:2" x14ac:dyDescent="0.2">
      <c r="A32" s="2" t="s">
        <v>62</v>
      </c>
      <c r="B32" s="2" t="s">
        <v>63</v>
      </c>
    </row>
    <row r="33" spans="1:2" ht="32" x14ac:dyDescent="0.2">
      <c r="A33" s="2" t="s">
        <v>64</v>
      </c>
      <c r="B33" s="2" t="s">
        <v>65</v>
      </c>
    </row>
    <row r="34" spans="1:2" x14ac:dyDescent="0.2">
      <c r="A34" s="2" t="s">
        <v>66</v>
      </c>
      <c r="B34" s="2" t="s">
        <v>67</v>
      </c>
    </row>
    <row r="35" spans="1:2" x14ac:dyDescent="0.2">
      <c r="A35" s="2" t="s">
        <v>68</v>
      </c>
      <c r="B35" s="2" t="s">
        <v>69</v>
      </c>
    </row>
    <row r="36" spans="1:2" x14ac:dyDescent="0.2">
      <c r="A36" s="2" t="s">
        <v>70</v>
      </c>
      <c r="B36" s="2" t="s">
        <v>71</v>
      </c>
    </row>
    <row r="37" spans="1:2" x14ac:dyDescent="0.2">
      <c r="A37" s="2" t="s">
        <v>72</v>
      </c>
      <c r="B37" s="2" t="s">
        <v>73</v>
      </c>
    </row>
    <row r="38" spans="1:2" x14ac:dyDescent="0.2">
      <c r="A38" s="2" t="s">
        <v>74</v>
      </c>
      <c r="B38" s="2" t="s">
        <v>75</v>
      </c>
    </row>
    <row r="39" spans="1:2" x14ac:dyDescent="0.2">
      <c r="A39" s="2" t="s">
        <v>76</v>
      </c>
      <c r="B39" s="2" t="s">
        <v>77</v>
      </c>
    </row>
    <row r="40" spans="1:2" x14ac:dyDescent="0.2">
      <c r="A40" s="2" t="s">
        <v>78</v>
      </c>
      <c r="B40" s="2" t="s">
        <v>79</v>
      </c>
    </row>
    <row r="41" spans="1:2" x14ac:dyDescent="0.2">
      <c r="A41" s="2" t="s">
        <v>80</v>
      </c>
      <c r="B41" s="2" t="s">
        <v>81</v>
      </c>
    </row>
    <row r="42" spans="1:2" x14ac:dyDescent="0.2">
      <c r="A42" s="2" t="s">
        <v>82</v>
      </c>
      <c r="B42" s="2" t="s">
        <v>83</v>
      </c>
    </row>
    <row r="43" spans="1:2" ht="32" x14ac:dyDescent="0.2">
      <c r="A43" s="2" t="s">
        <v>84</v>
      </c>
      <c r="B43" s="2" t="s">
        <v>85</v>
      </c>
    </row>
    <row r="44" spans="1:2" x14ac:dyDescent="0.2">
      <c r="A44" s="2" t="s">
        <v>86</v>
      </c>
      <c r="B44" s="2" t="s">
        <v>87</v>
      </c>
    </row>
    <row r="45" spans="1:2" x14ac:dyDescent="0.2">
      <c r="A45" s="2" t="s">
        <v>88</v>
      </c>
      <c r="B45" s="2" t="s">
        <v>89</v>
      </c>
    </row>
    <row r="46" spans="1:2" x14ac:dyDescent="0.2">
      <c r="A46" s="2" t="s">
        <v>90</v>
      </c>
      <c r="B46" s="2" t="s">
        <v>91</v>
      </c>
    </row>
    <row r="47" spans="1:2" x14ac:dyDescent="0.2">
      <c r="A47" s="2" t="s">
        <v>92</v>
      </c>
      <c r="B47" s="2" t="s">
        <v>93</v>
      </c>
    </row>
    <row r="48" spans="1:2" x14ac:dyDescent="0.2">
      <c r="A48" s="2" t="s">
        <v>94</v>
      </c>
      <c r="B48" s="2" t="s">
        <v>95</v>
      </c>
    </row>
    <row r="49" spans="1:2" x14ac:dyDescent="0.2">
      <c r="A49" s="2" t="s">
        <v>96</v>
      </c>
      <c r="B49" s="2" t="s">
        <v>97</v>
      </c>
    </row>
    <row r="50" spans="1:2" x14ac:dyDescent="0.2">
      <c r="A50" s="2" t="s">
        <v>98</v>
      </c>
      <c r="B50" s="2" t="s">
        <v>99</v>
      </c>
    </row>
    <row r="51" spans="1:2" x14ac:dyDescent="0.2">
      <c r="A51" s="2" t="s">
        <v>100</v>
      </c>
      <c r="B51" s="2" t="s">
        <v>101</v>
      </c>
    </row>
    <row r="52" spans="1:2" x14ac:dyDescent="0.2">
      <c r="A52" s="2" t="s">
        <v>102</v>
      </c>
      <c r="B52" s="2" t="s">
        <v>103</v>
      </c>
    </row>
    <row r="53" spans="1:2" x14ac:dyDescent="0.2">
      <c r="A53" s="2" t="s">
        <v>104</v>
      </c>
      <c r="B53" s="2" t="s">
        <v>105</v>
      </c>
    </row>
    <row r="54" spans="1:2" x14ac:dyDescent="0.2">
      <c r="A54" s="2" t="s">
        <v>106</v>
      </c>
      <c r="B54" s="2" t="s">
        <v>107</v>
      </c>
    </row>
    <row r="55" spans="1:2" x14ac:dyDescent="0.2">
      <c r="A55" s="2" t="s">
        <v>108</v>
      </c>
      <c r="B55" s="2" t="s">
        <v>109</v>
      </c>
    </row>
    <row r="56" spans="1:2" ht="32" x14ac:dyDescent="0.2">
      <c r="A56" s="2" t="s">
        <v>110</v>
      </c>
      <c r="B56" s="2" t="s">
        <v>111</v>
      </c>
    </row>
    <row r="57" spans="1:2" x14ac:dyDescent="0.2">
      <c r="A57" s="2" t="s">
        <v>112</v>
      </c>
      <c r="B57" s="2" t="s">
        <v>113</v>
      </c>
    </row>
    <row r="58" spans="1:2" x14ac:dyDescent="0.2">
      <c r="A58" s="2" t="s">
        <v>114</v>
      </c>
      <c r="B58" s="2" t="s">
        <v>115</v>
      </c>
    </row>
    <row r="59" spans="1:2" x14ac:dyDescent="0.2">
      <c r="A59" s="2" t="s">
        <v>116</v>
      </c>
      <c r="B59" s="2" t="s">
        <v>117</v>
      </c>
    </row>
    <row r="60" spans="1:2" x14ac:dyDescent="0.2">
      <c r="A60" s="2" t="s">
        <v>118</v>
      </c>
      <c r="B60" s="2" t="s">
        <v>119</v>
      </c>
    </row>
    <row r="61" spans="1:2" x14ac:dyDescent="0.2">
      <c r="A61" s="2" t="s">
        <v>120</v>
      </c>
      <c r="B61" s="2" t="s">
        <v>121</v>
      </c>
    </row>
    <row r="62" spans="1:2" x14ac:dyDescent="0.2">
      <c r="A62" s="2" t="s">
        <v>122</v>
      </c>
      <c r="B62" s="2" t="s">
        <v>123</v>
      </c>
    </row>
    <row r="63" spans="1:2" x14ac:dyDescent="0.2">
      <c r="A63" s="2" t="s">
        <v>124</v>
      </c>
      <c r="B63" s="2" t="s">
        <v>125</v>
      </c>
    </row>
    <row r="64" spans="1:2" x14ac:dyDescent="0.2">
      <c r="A64" s="2" t="s">
        <v>126</v>
      </c>
      <c r="B64" s="2" t="s">
        <v>127</v>
      </c>
    </row>
    <row r="65" spans="1:2" x14ac:dyDescent="0.2">
      <c r="A65" s="2" t="s">
        <v>128</v>
      </c>
      <c r="B65" s="2" t="s">
        <v>129</v>
      </c>
    </row>
    <row r="66" spans="1:2" x14ac:dyDescent="0.2">
      <c r="A66" s="2" t="s">
        <v>130</v>
      </c>
      <c r="B66" s="2" t="s">
        <v>131</v>
      </c>
    </row>
    <row r="67" spans="1:2" x14ac:dyDescent="0.2">
      <c r="A67" s="2" t="s">
        <v>132</v>
      </c>
      <c r="B67" s="2" t="s">
        <v>133</v>
      </c>
    </row>
    <row r="68" spans="1:2" x14ac:dyDescent="0.2">
      <c r="A68" s="2" t="s">
        <v>134</v>
      </c>
      <c r="B68" s="2" t="s">
        <v>135</v>
      </c>
    </row>
    <row r="69" spans="1:2" x14ac:dyDescent="0.2">
      <c r="A69" s="2" t="s">
        <v>136</v>
      </c>
      <c r="B69" s="2" t="s">
        <v>137</v>
      </c>
    </row>
    <row r="70" spans="1:2" x14ac:dyDescent="0.2">
      <c r="A70" s="2" t="s">
        <v>138</v>
      </c>
      <c r="B70" s="2" t="s">
        <v>139</v>
      </c>
    </row>
    <row r="71" spans="1:2" x14ac:dyDescent="0.2">
      <c r="A71" s="2" t="s">
        <v>140</v>
      </c>
      <c r="B71" s="2" t="s">
        <v>141</v>
      </c>
    </row>
    <row r="72" spans="1:2" x14ac:dyDescent="0.2">
      <c r="A72" s="2" t="s">
        <v>142</v>
      </c>
      <c r="B72" s="2" t="s">
        <v>143</v>
      </c>
    </row>
    <row r="73" spans="1:2" x14ac:dyDescent="0.2">
      <c r="A73" s="2" t="s">
        <v>144</v>
      </c>
      <c r="B73" s="2" t="s">
        <v>145</v>
      </c>
    </row>
    <row r="74" spans="1:2" x14ac:dyDescent="0.2">
      <c r="A74" s="2" t="s">
        <v>146</v>
      </c>
      <c r="B74" s="2" t="s">
        <v>147</v>
      </c>
    </row>
    <row r="75" spans="1:2" x14ac:dyDescent="0.2">
      <c r="A75" s="2" t="s">
        <v>148</v>
      </c>
      <c r="B75" s="2" t="s">
        <v>149</v>
      </c>
    </row>
    <row r="76" spans="1:2" x14ac:dyDescent="0.2">
      <c r="A76" s="2" t="s">
        <v>150</v>
      </c>
      <c r="B76" s="2" t="s">
        <v>151</v>
      </c>
    </row>
    <row r="77" spans="1:2" x14ac:dyDescent="0.2">
      <c r="A77" s="2" t="s">
        <v>152</v>
      </c>
      <c r="B77" s="2" t="s">
        <v>153</v>
      </c>
    </row>
    <row r="78" spans="1:2" x14ac:dyDescent="0.2">
      <c r="A78" s="2" t="s">
        <v>154</v>
      </c>
      <c r="B78" s="2" t="s">
        <v>155</v>
      </c>
    </row>
    <row r="79" spans="1:2" ht="32" x14ac:dyDescent="0.2">
      <c r="A79" s="2" t="s">
        <v>156</v>
      </c>
      <c r="B79" s="2" t="s">
        <v>157</v>
      </c>
    </row>
    <row r="80" spans="1:2" x14ac:dyDescent="0.2">
      <c r="A80" s="2" t="s">
        <v>158</v>
      </c>
      <c r="B80" s="2" t="s">
        <v>159</v>
      </c>
    </row>
    <row r="81" spans="1:2" x14ac:dyDescent="0.2">
      <c r="A81" s="2" t="s">
        <v>160</v>
      </c>
      <c r="B81" s="2" t="s">
        <v>161</v>
      </c>
    </row>
    <row r="82" spans="1:2" x14ac:dyDescent="0.2">
      <c r="A82" s="2" t="s">
        <v>162</v>
      </c>
      <c r="B82" s="2" t="s">
        <v>163</v>
      </c>
    </row>
    <row r="83" spans="1:2" x14ac:dyDescent="0.2">
      <c r="A83" s="2" t="s">
        <v>164</v>
      </c>
      <c r="B83" s="2" t="s">
        <v>165</v>
      </c>
    </row>
    <row r="84" spans="1:2" ht="32" x14ac:dyDescent="0.2">
      <c r="A84" s="2" t="s">
        <v>166</v>
      </c>
      <c r="B84" s="2" t="s">
        <v>167</v>
      </c>
    </row>
    <row r="85" spans="1:2" x14ac:dyDescent="0.2">
      <c r="A85" s="2" t="s">
        <v>168</v>
      </c>
      <c r="B85" s="2" t="s">
        <v>169</v>
      </c>
    </row>
    <row r="86" spans="1:2" x14ac:dyDescent="0.2">
      <c r="A86" s="2" t="s">
        <v>170</v>
      </c>
      <c r="B86" s="2" t="s">
        <v>171</v>
      </c>
    </row>
    <row r="87" spans="1:2" x14ac:dyDescent="0.2">
      <c r="A87" s="2" t="s">
        <v>172</v>
      </c>
      <c r="B87" s="2" t="s">
        <v>173</v>
      </c>
    </row>
    <row r="88" spans="1:2" x14ac:dyDescent="0.2">
      <c r="A88" s="2" t="s">
        <v>174</v>
      </c>
      <c r="B88" s="2" t="s">
        <v>175</v>
      </c>
    </row>
    <row r="89" spans="1:2" x14ac:dyDescent="0.2">
      <c r="A89" s="2" t="s">
        <v>176</v>
      </c>
      <c r="B89" s="2" t="s">
        <v>177</v>
      </c>
    </row>
    <row r="90" spans="1:2" x14ac:dyDescent="0.2">
      <c r="A90" s="2" t="s">
        <v>178</v>
      </c>
      <c r="B90" s="2" t="s">
        <v>179</v>
      </c>
    </row>
    <row r="91" spans="1:2" x14ac:dyDescent="0.2">
      <c r="A91" s="2" t="s">
        <v>180</v>
      </c>
      <c r="B91" s="2" t="s">
        <v>181</v>
      </c>
    </row>
    <row r="92" spans="1:2" x14ac:dyDescent="0.2">
      <c r="A92" s="2" t="s">
        <v>182</v>
      </c>
      <c r="B92" s="2" t="s">
        <v>183</v>
      </c>
    </row>
    <row r="93" spans="1:2" ht="32" x14ac:dyDescent="0.2">
      <c r="A93" s="2" t="s">
        <v>184</v>
      </c>
      <c r="B93" s="2" t="s">
        <v>185</v>
      </c>
    </row>
    <row r="94" spans="1:2" ht="32" x14ac:dyDescent="0.2">
      <c r="A94" s="2" t="s">
        <v>186</v>
      </c>
      <c r="B94" s="2" t="s">
        <v>187</v>
      </c>
    </row>
    <row r="95" spans="1:2" x14ac:dyDescent="0.2">
      <c r="A95" s="2" t="s">
        <v>188</v>
      </c>
      <c r="B95" s="2" t="s">
        <v>189</v>
      </c>
    </row>
    <row r="96" spans="1:2" x14ac:dyDescent="0.2">
      <c r="A96" s="2" t="s">
        <v>190</v>
      </c>
      <c r="B96" s="2" t="s">
        <v>191</v>
      </c>
    </row>
    <row r="97" spans="1:2" x14ac:dyDescent="0.2">
      <c r="A97" s="2" t="s">
        <v>192</v>
      </c>
      <c r="B97" s="2" t="s">
        <v>193</v>
      </c>
    </row>
    <row r="98" spans="1:2" x14ac:dyDescent="0.2">
      <c r="A98" s="2" t="s">
        <v>194</v>
      </c>
      <c r="B98" s="2" t="s">
        <v>195</v>
      </c>
    </row>
    <row r="99" spans="1:2" ht="32" x14ac:dyDescent="0.2">
      <c r="A99" s="2" t="s">
        <v>196</v>
      </c>
      <c r="B99" s="2" t="s">
        <v>197</v>
      </c>
    </row>
    <row r="100" spans="1:2" x14ac:dyDescent="0.2">
      <c r="A100" s="2" t="s">
        <v>198</v>
      </c>
      <c r="B100" s="2" t="s">
        <v>199</v>
      </c>
    </row>
    <row r="101" spans="1:2" x14ac:dyDescent="0.2">
      <c r="A101" s="2" t="s">
        <v>200</v>
      </c>
      <c r="B101" s="2" t="s">
        <v>201</v>
      </c>
    </row>
    <row r="102" spans="1:2" x14ac:dyDescent="0.2">
      <c r="A102" s="2" t="s">
        <v>202</v>
      </c>
      <c r="B102" s="2" t="s">
        <v>203</v>
      </c>
    </row>
    <row r="103" spans="1:2" x14ac:dyDescent="0.2">
      <c r="A103" s="2" t="s">
        <v>204</v>
      </c>
      <c r="B103" s="2" t="s">
        <v>205</v>
      </c>
    </row>
    <row r="104" spans="1:2" x14ac:dyDescent="0.2">
      <c r="A104" s="2" t="s">
        <v>206</v>
      </c>
      <c r="B104" s="2" t="s">
        <v>207</v>
      </c>
    </row>
    <row r="105" spans="1:2" x14ac:dyDescent="0.2">
      <c r="A105" s="2" t="s">
        <v>208</v>
      </c>
      <c r="B105" s="2" t="s">
        <v>209</v>
      </c>
    </row>
    <row r="106" spans="1:2" x14ac:dyDescent="0.2">
      <c r="A106" s="2" t="s">
        <v>210</v>
      </c>
      <c r="B106" s="2" t="s">
        <v>211</v>
      </c>
    </row>
    <row r="107" spans="1:2" x14ac:dyDescent="0.2">
      <c r="A107" s="2" t="s">
        <v>212</v>
      </c>
      <c r="B107" s="2" t="s">
        <v>213</v>
      </c>
    </row>
    <row r="108" spans="1:2" x14ac:dyDescent="0.2">
      <c r="A108" s="2" t="s">
        <v>214</v>
      </c>
      <c r="B108" s="2" t="s">
        <v>215</v>
      </c>
    </row>
    <row r="109" spans="1:2" x14ac:dyDescent="0.2">
      <c r="A109" s="2" t="s">
        <v>216</v>
      </c>
      <c r="B109" s="2" t="s">
        <v>217</v>
      </c>
    </row>
    <row r="110" spans="1:2" ht="32" x14ac:dyDescent="0.2">
      <c r="A110" s="2" t="s">
        <v>218</v>
      </c>
      <c r="B110" s="2" t="s">
        <v>219</v>
      </c>
    </row>
    <row r="111" spans="1:2" x14ac:dyDescent="0.2">
      <c r="A111" s="2" t="s">
        <v>220</v>
      </c>
      <c r="B111" s="2" t="s">
        <v>221</v>
      </c>
    </row>
    <row r="112" spans="1:2" x14ac:dyDescent="0.2">
      <c r="A112" s="2" t="s">
        <v>222</v>
      </c>
      <c r="B112" s="2" t="s">
        <v>223</v>
      </c>
    </row>
    <row r="113" spans="1:2" x14ac:dyDescent="0.2">
      <c r="A113" s="2" t="s">
        <v>224</v>
      </c>
      <c r="B113" s="2" t="s">
        <v>225</v>
      </c>
    </row>
    <row r="114" spans="1:2" ht="32" x14ac:dyDescent="0.2">
      <c r="A114" s="2" t="s">
        <v>226</v>
      </c>
      <c r="B114" s="2" t="s">
        <v>227</v>
      </c>
    </row>
    <row r="115" spans="1:2" x14ac:dyDescent="0.2">
      <c r="A115" s="2" t="s">
        <v>228</v>
      </c>
      <c r="B115" s="2" t="s">
        <v>229</v>
      </c>
    </row>
    <row r="116" spans="1:2" x14ac:dyDescent="0.2">
      <c r="A116" s="2" t="s">
        <v>230</v>
      </c>
      <c r="B116" s="2" t="s">
        <v>231</v>
      </c>
    </row>
    <row r="117" spans="1:2" x14ac:dyDescent="0.2">
      <c r="A117" s="2" t="s">
        <v>232</v>
      </c>
      <c r="B117" s="2" t="s">
        <v>233</v>
      </c>
    </row>
    <row r="118" spans="1:2" x14ac:dyDescent="0.2">
      <c r="A118" s="2" t="s">
        <v>234</v>
      </c>
      <c r="B118" s="2" t="s">
        <v>235</v>
      </c>
    </row>
    <row r="119" spans="1:2" x14ac:dyDescent="0.2">
      <c r="A119" s="2" t="s">
        <v>236</v>
      </c>
      <c r="B119" s="2" t="s">
        <v>237</v>
      </c>
    </row>
    <row r="120" spans="1:2" x14ac:dyDescent="0.2">
      <c r="A120" s="2" t="s">
        <v>238</v>
      </c>
      <c r="B120" s="2" t="s">
        <v>239</v>
      </c>
    </row>
    <row r="121" spans="1:2" x14ac:dyDescent="0.2">
      <c r="A121" s="2" t="s">
        <v>240</v>
      </c>
      <c r="B121" s="2" t="s">
        <v>241</v>
      </c>
    </row>
    <row r="122" spans="1:2" x14ac:dyDescent="0.2">
      <c r="A122" s="2" t="s">
        <v>242</v>
      </c>
      <c r="B122" s="2" t="s">
        <v>243</v>
      </c>
    </row>
    <row r="123" spans="1:2" x14ac:dyDescent="0.2">
      <c r="A123" s="2" t="s">
        <v>244</v>
      </c>
      <c r="B123" s="2" t="s">
        <v>245</v>
      </c>
    </row>
    <row r="124" spans="1:2" x14ac:dyDescent="0.2">
      <c r="A124" s="2" t="s">
        <v>246</v>
      </c>
      <c r="B124" s="2" t="s">
        <v>247</v>
      </c>
    </row>
    <row r="125" spans="1:2" x14ac:dyDescent="0.2">
      <c r="A125" s="2" t="s">
        <v>248</v>
      </c>
      <c r="B125" s="2" t="s">
        <v>249</v>
      </c>
    </row>
    <row r="126" spans="1:2" x14ac:dyDescent="0.2">
      <c r="A126" s="2" t="s">
        <v>250</v>
      </c>
      <c r="B126" s="2" t="s">
        <v>251</v>
      </c>
    </row>
    <row r="127" spans="1:2" ht="32" x14ac:dyDescent="0.2">
      <c r="A127" s="2" t="s">
        <v>252</v>
      </c>
      <c r="B127" s="2" t="s">
        <v>253</v>
      </c>
    </row>
    <row r="128" spans="1:2" x14ac:dyDescent="0.2">
      <c r="A128" s="2" t="s">
        <v>254</v>
      </c>
      <c r="B128" s="2" t="s">
        <v>255</v>
      </c>
    </row>
    <row r="129" spans="1:2" ht="32" x14ac:dyDescent="0.2">
      <c r="A129" s="2" t="s">
        <v>256</v>
      </c>
      <c r="B129" s="2" t="s">
        <v>257</v>
      </c>
    </row>
    <row r="130" spans="1:2" x14ac:dyDescent="0.2">
      <c r="A130" s="2" t="s">
        <v>258</v>
      </c>
      <c r="B130" s="2" t="s">
        <v>259</v>
      </c>
    </row>
    <row r="131" spans="1:2" x14ac:dyDescent="0.2">
      <c r="A131" s="2" t="s">
        <v>260</v>
      </c>
      <c r="B131" s="2" t="s">
        <v>261</v>
      </c>
    </row>
    <row r="132" spans="1:2" x14ac:dyDescent="0.2">
      <c r="A132" s="2" t="s">
        <v>262</v>
      </c>
      <c r="B132" s="2" t="s">
        <v>263</v>
      </c>
    </row>
    <row r="133" spans="1:2" x14ac:dyDescent="0.2">
      <c r="A133" s="2" t="s">
        <v>264</v>
      </c>
      <c r="B133" s="2" t="s">
        <v>265</v>
      </c>
    </row>
    <row r="134" spans="1:2" x14ac:dyDescent="0.2">
      <c r="A134" s="2" t="s">
        <v>266</v>
      </c>
      <c r="B134" s="2" t="s">
        <v>267</v>
      </c>
    </row>
    <row r="135" spans="1:2" ht="32" x14ac:dyDescent="0.2">
      <c r="A135" s="2" t="s">
        <v>268</v>
      </c>
      <c r="B135" s="2" t="s">
        <v>269</v>
      </c>
    </row>
    <row r="136" spans="1:2" x14ac:dyDescent="0.2">
      <c r="A136" s="2" t="s">
        <v>270</v>
      </c>
      <c r="B136" s="2" t="s">
        <v>271</v>
      </c>
    </row>
    <row r="137" spans="1:2" x14ac:dyDescent="0.2">
      <c r="A137" s="2" t="s">
        <v>272</v>
      </c>
      <c r="B137" s="2" t="s">
        <v>273</v>
      </c>
    </row>
    <row r="138" spans="1:2" x14ac:dyDescent="0.2">
      <c r="A138" s="2" t="s">
        <v>274</v>
      </c>
      <c r="B138" s="2" t="s">
        <v>275</v>
      </c>
    </row>
    <row r="139" spans="1:2" x14ac:dyDescent="0.2">
      <c r="A139" s="2" t="s">
        <v>276</v>
      </c>
      <c r="B139" s="2" t="s">
        <v>277</v>
      </c>
    </row>
    <row r="140" spans="1:2" x14ac:dyDescent="0.2">
      <c r="A140" s="2" t="s">
        <v>278</v>
      </c>
      <c r="B140" s="2" t="s">
        <v>279</v>
      </c>
    </row>
    <row r="141" spans="1:2" ht="32" x14ac:dyDescent="0.2">
      <c r="A141" s="2" t="s">
        <v>280</v>
      </c>
      <c r="B141" s="2" t="s">
        <v>281</v>
      </c>
    </row>
    <row r="142" spans="1:2" x14ac:dyDescent="0.2">
      <c r="A142" s="2" t="s">
        <v>282</v>
      </c>
      <c r="B142" s="2" t="s">
        <v>283</v>
      </c>
    </row>
    <row r="143" spans="1:2" x14ac:dyDescent="0.2">
      <c r="A143" s="2" t="s">
        <v>284</v>
      </c>
      <c r="B143" s="2" t="s">
        <v>285</v>
      </c>
    </row>
    <row r="144" spans="1:2" x14ac:dyDescent="0.2">
      <c r="A144" s="2" t="s">
        <v>286</v>
      </c>
      <c r="B144" s="2" t="s">
        <v>287</v>
      </c>
    </row>
    <row r="145" spans="1:2" x14ac:dyDescent="0.2">
      <c r="A145" s="2" t="s">
        <v>288</v>
      </c>
      <c r="B145" s="2" t="s">
        <v>289</v>
      </c>
    </row>
    <row r="146" spans="1:2" ht="32" x14ac:dyDescent="0.2">
      <c r="A146" s="2" t="s">
        <v>290</v>
      </c>
      <c r="B146" s="2" t="s">
        <v>291</v>
      </c>
    </row>
    <row r="147" spans="1:2" x14ac:dyDescent="0.2">
      <c r="A147" s="2" t="s">
        <v>292</v>
      </c>
      <c r="B147" s="2" t="s">
        <v>293</v>
      </c>
    </row>
    <row r="148" spans="1:2" x14ac:dyDescent="0.2">
      <c r="A148" s="2" t="s">
        <v>294</v>
      </c>
      <c r="B148" s="2" t="s">
        <v>295</v>
      </c>
    </row>
    <row r="149" spans="1:2" x14ac:dyDescent="0.2">
      <c r="A149" s="2" t="s">
        <v>296</v>
      </c>
      <c r="B149" s="2" t="s">
        <v>297</v>
      </c>
    </row>
    <row r="150" spans="1:2" x14ac:dyDescent="0.2">
      <c r="A150" s="2" t="s">
        <v>298</v>
      </c>
      <c r="B150" s="2" t="s">
        <v>299</v>
      </c>
    </row>
    <row r="151" spans="1:2" x14ac:dyDescent="0.2">
      <c r="A151" s="2" t="s">
        <v>300</v>
      </c>
      <c r="B151" s="2" t="s">
        <v>301</v>
      </c>
    </row>
    <row r="152" spans="1:2" ht="32" x14ac:dyDescent="0.2">
      <c r="A152" s="2" t="s">
        <v>302</v>
      </c>
      <c r="B152" s="2" t="s">
        <v>303</v>
      </c>
    </row>
    <row r="153" spans="1:2" ht="32" x14ac:dyDescent="0.2">
      <c r="A153" s="2" t="s">
        <v>304</v>
      </c>
      <c r="B153" s="2" t="s">
        <v>305</v>
      </c>
    </row>
    <row r="154" spans="1:2" x14ac:dyDescent="0.2">
      <c r="A154" s="2" t="s">
        <v>306</v>
      </c>
      <c r="B154" s="2" t="s">
        <v>307</v>
      </c>
    </row>
    <row r="155" spans="1:2" x14ac:dyDescent="0.2">
      <c r="A155" s="2" t="s">
        <v>308</v>
      </c>
      <c r="B155" s="2" t="s">
        <v>309</v>
      </c>
    </row>
    <row r="156" spans="1:2" x14ac:dyDescent="0.2">
      <c r="A156" s="2" t="s">
        <v>310</v>
      </c>
      <c r="B156" s="2" t="s">
        <v>311</v>
      </c>
    </row>
    <row r="157" spans="1:2" x14ac:dyDescent="0.2">
      <c r="A157" s="2" t="s">
        <v>312</v>
      </c>
      <c r="B157" s="2" t="s">
        <v>313</v>
      </c>
    </row>
    <row r="158" spans="1:2" x14ac:dyDescent="0.2">
      <c r="A158" s="2" t="s">
        <v>314</v>
      </c>
      <c r="B158" s="2" t="s">
        <v>315</v>
      </c>
    </row>
    <row r="159" spans="1:2" x14ac:dyDescent="0.2">
      <c r="A159" s="2" t="s">
        <v>316</v>
      </c>
      <c r="B159" s="2" t="s">
        <v>317</v>
      </c>
    </row>
    <row r="160" spans="1:2" x14ac:dyDescent="0.2">
      <c r="A160" s="2" t="s">
        <v>318</v>
      </c>
      <c r="B160" s="2" t="s">
        <v>319</v>
      </c>
    </row>
    <row r="161" spans="1:2" x14ac:dyDescent="0.2">
      <c r="A161" s="2" t="s">
        <v>320</v>
      </c>
      <c r="B161" s="2" t="s">
        <v>321</v>
      </c>
    </row>
    <row r="162" spans="1:2" x14ac:dyDescent="0.2">
      <c r="A162" s="2" t="s">
        <v>322</v>
      </c>
      <c r="B162" s="2" t="s">
        <v>323</v>
      </c>
    </row>
    <row r="163" spans="1:2" ht="32" x14ac:dyDescent="0.2">
      <c r="A163" s="2" t="s">
        <v>324</v>
      </c>
      <c r="B163" s="2" t="s">
        <v>325</v>
      </c>
    </row>
    <row r="164" spans="1:2" x14ac:dyDescent="0.2">
      <c r="A164" s="2" t="s">
        <v>326</v>
      </c>
      <c r="B164" s="2" t="s">
        <v>327</v>
      </c>
    </row>
    <row r="165" spans="1:2" x14ac:dyDescent="0.2">
      <c r="A165" s="2" t="s">
        <v>328</v>
      </c>
      <c r="B165" s="2" t="s">
        <v>329</v>
      </c>
    </row>
    <row r="166" spans="1:2" x14ac:dyDescent="0.2">
      <c r="A166" s="2" t="s">
        <v>330</v>
      </c>
      <c r="B166" s="2" t="s">
        <v>331</v>
      </c>
    </row>
    <row r="167" spans="1:2" x14ac:dyDescent="0.2">
      <c r="A167" s="2" t="s">
        <v>332</v>
      </c>
      <c r="B167" s="2" t="s">
        <v>333</v>
      </c>
    </row>
    <row r="168" spans="1:2" x14ac:dyDescent="0.2">
      <c r="A168" s="2" t="s">
        <v>334</v>
      </c>
      <c r="B168" s="2" t="s">
        <v>335</v>
      </c>
    </row>
    <row r="169" spans="1:2" x14ac:dyDescent="0.2">
      <c r="A169" s="2" t="s">
        <v>336</v>
      </c>
      <c r="B169" s="2" t="s">
        <v>337</v>
      </c>
    </row>
    <row r="170" spans="1:2" x14ac:dyDescent="0.2">
      <c r="A170" s="2" t="s">
        <v>338</v>
      </c>
      <c r="B170" s="2" t="s">
        <v>339</v>
      </c>
    </row>
    <row r="171" spans="1:2" x14ac:dyDescent="0.2">
      <c r="A171" s="2" t="s">
        <v>340</v>
      </c>
      <c r="B171" s="2" t="s">
        <v>341</v>
      </c>
    </row>
    <row r="172" spans="1:2" x14ac:dyDescent="0.2">
      <c r="A172" s="2" t="s">
        <v>342</v>
      </c>
      <c r="B172" s="2" t="s">
        <v>343</v>
      </c>
    </row>
    <row r="173" spans="1:2" x14ac:dyDescent="0.2">
      <c r="A173" s="2" t="s">
        <v>344</v>
      </c>
      <c r="B173" s="2" t="s">
        <v>345</v>
      </c>
    </row>
    <row r="174" spans="1:2" x14ac:dyDescent="0.2">
      <c r="A174" s="2" t="s">
        <v>346</v>
      </c>
      <c r="B174" s="2" t="s">
        <v>347</v>
      </c>
    </row>
    <row r="175" spans="1:2" x14ac:dyDescent="0.2">
      <c r="A175" s="2" t="s">
        <v>348</v>
      </c>
      <c r="B175" s="2" t="s">
        <v>349</v>
      </c>
    </row>
    <row r="176" spans="1:2" x14ac:dyDescent="0.2">
      <c r="A176" s="2" t="s">
        <v>350</v>
      </c>
      <c r="B176" s="2" t="s">
        <v>351</v>
      </c>
    </row>
    <row r="177" spans="1:2" x14ac:dyDescent="0.2">
      <c r="A177" s="2" t="s">
        <v>352</v>
      </c>
      <c r="B177" s="2" t="s">
        <v>353</v>
      </c>
    </row>
    <row r="178" spans="1:2" x14ac:dyDescent="0.2">
      <c r="A178" s="2" t="s">
        <v>354</v>
      </c>
      <c r="B178" s="2" t="s">
        <v>355</v>
      </c>
    </row>
    <row r="179" spans="1:2" x14ac:dyDescent="0.2">
      <c r="A179" s="2" t="s">
        <v>356</v>
      </c>
      <c r="B179" s="2" t="s">
        <v>357</v>
      </c>
    </row>
    <row r="180" spans="1:2" x14ac:dyDescent="0.2">
      <c r="A180" s="2" t="s">
        <v>358</v>
      </c>
      <c r="B180" s="2" t="s">
        <v>359</v>
      </c>
    </row>
    <row r="181" spans="1:2" x14ac:dyDescent="0.2">
      <c r="A181" s="2" t="s">
        <v>360</v>
      </c>
      <c r="B181" s="2" t="s">
        <v>361</v>
      </c>
    </row>
    <row r="182" spans="1:2" x14ac:dyDescent="0.2">
      <c r="A182" s="2" t="s">
        <v>362</v>
      </c>
      <c r="B182" s="2" t="s">
        <v>363</v>
      </c>
    </row>
    <row r="183" spans="1:2" ht="32" x14ac:dyDescent="0.2">
      <c r="A183" s="2" t="s">
        <v>364</v>
      </c>
      <c r="B183" s="2" t="s">
        <v>365</v>
      </c>
    </row>
    <row r="184" spans="1:2" ht="32" x14ac:dyDescent="0.2">
      <c r="A184" s="2" t="s">
        <v>366</v>
      </c>
      <c r="B184" s="2" t="s">
        <v>367</v>
      </c>
    </row>
    <row r="185" spans="1:2" ht="32" x14ac:dyDescent="0.2">
      <c r="A185" s="2" t="s">
        <v>368</v>
      </c>
      <c r="B185" s="2" t="s">
        <v>369</v>
      </c>
    </row>
    <row r="186" spans="1:2" x14ac:dyDescent="0.2">
      <c r="A186" s="2" t="s">
        <v>370</v>
      </c>
      <c r="B186" s="2" t="s">
        <v>371</v>
      </c>
    </row>
    <row r="187" spans="1:2" x14ac:dyDescent="0.2">
      <c r="A187" s="2" t="s">
        <v>372</v>
      </c>
      <c r="B187" s="2" t="s">
        <v>373</v>
      </c>
    </row>
    <row r="188" spans="1:2" x14ac:dyDescent="0.2">
      <c r="A188" s="2" t="s">
        <v>374</v>
      </c>
      <c r="B188" s="2" t="s">
        <v>375</v>
      </c>
    </row>
    <row r="189" spans="1:2" x14ac:dyDescent="0.2">
      <c r="A189" s="2" t="s">
        <v>376</v>
      </c>
      <c r="B189" s="2" t="s">
        <v>377</v>
      </c>
    </row>
    <row r="190" spans="1:2" ht="32" x14ac:dyDescent="0.2">
      <c r="A190" s="2" t="s">
        <v>378</v>
      </c>
      <c r="B190" s="2" t="s">
        <v>379</v>
      </c>
    </row>
    <row r="191" spans="1:2" x14ac:dyDescent="0.2">
      <c r="A191" s="2" t="s">
        <v>380</v>
      </c>
      <c r="B191" s="2" t="s">
        <v>381</v>
      </c>
    </row>
    <row r="192" spans="1:2" x14ac:dyDescent="0.2">
      <c r="A192" s="2" t="s">
        <v>382</v>
      </c>
      <c r="B192" s="2" t="s">
        <v>383</v>
      </c>
    </row>
    <row r="193" spans="1:2" x14ac:dyDescent="0.2">
      <c r="A193" s="2" t="s">
        <v>384</v>
      </c>
      <c r="B193" s="2" t="s">
        <v>385</v>
      </c>
    </row>
    <row r="194" spans="1:2" x14ac:dyDescent="0.2">
      <c r="A194" s="2" t="s">
        <v>386</v>
      </c>
      <c r="B194" s="2" t="s">
        <v>387</v>
      </c>
    </row>
    <row r="195" spans="1:2" x14ac:dyDescent="0.2">
      <c r="A195" s="2" t="s">
        <v>388</v>
      </c>
      <c r="B195" s="2" t="s">
        <v>389</v>
      </c>
    </row>
    <row r="196" spans="1:2" x14ac:dyDescent="0.2">
      <c r="A196" s="2" t="s">
        <v>390</v>
      </c>
      <c r="B196" s="2" t="s">
        <v>391</v>
      </c>
    </row>
    <row r="197" spans="1:2" x14ac:dyDescent="0.2">
      <c r="A197" s="2" t="s">
        <v>392</v>
      </c>
      <c r="B197" s="2" t="s">
        <v>393</v>
      </c>
    </row>
    <row r="198" spans="1:2" ht="32" x14ac:dyDescent="0.2">
      <c r="A198" s="2" t="s">
        <v>394</v>
      </c>
      <c r="B198" s="2" t="s">
        <v>395</v>
      </c>
    </row>
    <row r="199" spans="1:2" ht="32" x14ac:dyDescent="0.2">
      <c r="A199" s="2" t="s">
        <v>396</v>
      </c>
      <c r="B199" s="2" t="s">
        <v>397</v>
      </c>
    </row>
    <row r="200" spans="1:2" x14ac:dyDescent="0.2">
      <c r="A200" s="2" t="s">
        <v>398</v>
      </c>
      <c r="B200" s="2" t="s">
        <v>399</v>
      </c>
    </row>
    <row r="201" spans="1:2" ht="32" x14ac:dyDescent="0.2">
      <c r="A201" s="2" t="s">
        <v>400</v>
      </c>
      <c r="B201" s="2" t="s">
        <v>401</v>
      </c>
    </row>
    <row r="202" spans="1:2" x14ac:dyDescent="0.2">
      <c r="A202" s="2" t="s">
        <v>402</v>
      </c>
      <c r="B202" s="2" t="s">
        <v>403</v>
      </c>
    </row>
    <row r="203" spans="1:2" ht="48" x14ac:dyDescent="0.2">
      <c r="A203" s="2" t="s">
        <v>404</v>
      </c>
      <c r="B203" s="2" t="s">
        <v>405</v>
      </c>
    </row>
    <row r="204" spans="1:2" x14ac:dyDescent="0.2">
      <c r="A204" s="2" t="s">
        <v>406</v>
      </c>
      <c r="B204" s="2" t="s">
        <v>407</v>
      </c>
    </row>
    <row r="205" spans="1:2" x14ac:dyDescent="0.2">
      <c r="A205" s="2" t="s">
        <v>408</v>
      </c>
      <c r="B205" s="2" t="s">
        <v>409</v>
      </c>
    </row>
    <row r="206" spans="1:2" x14ac:dyDescent="0.2">
      <c r="A206" s="2" t="s">
        <v>410</v>
      </c>
      <c r="B206" s="2" t="s">
        <v>411</v>
      </c>
    </row>
    <row r="207" spans="1:2" x14ac:dyDescent="0.2">
      <c r="A207" s="2" t="s">
        <v>412</v>
      </c>
      <c r="B207" s="2" t="s">
        <v>413</v>
      </c>
    </row>
    <row r="208" spans="1:2" x14ac:dyDescent="0.2">
      <c r="A208" s="2" t="s">
        <v>414</v>
      </c>
      <c r="B208" s="2" t="s">
        <v>415</v>
      </c>
    </row>
    <row r="209" spans="1:2" x14ac:dyDescent="0.2">
      <c r="A209" s="2" t="s">
        <v>416</v>
      </c>
      <c r="B209" s="2" t="s">
        <v>417</v>
      </c>
    </row>
    <row r="210" spans="1:2" x14ac:dyDescent="0.2">
      <c r="A210" s="2" t="s">
        <v>418</v>
      </c>
      <c r="B210" s="2" t="s">
        <v>419</v>
      </c>
    </row>
    <row r="211" spans="1:2" x14ac:dyDescent="0.2">
      <c r="A211" s="2" t="s">
        <v>420</v>
      </c>
      <c r="B211" s="2" t="s">
        <v>421</v>
      </c>
    </row>
    <row r="212" spans="1:2" x14ac:dyDescent="0.2">
      <c r="A212" s="2" t="s">
        <v>422</v>
      </c>
      <c r="B212" s="2" t="s">
        <v>423</v>
      </c>
    </row>
    <row r="213" spans="1:2" x14ac:dyDescent="0.2">
      <c r="A213" s="2" t="s">
        <v>424</v>
      </c>
      <c r="B213" s="2" t="s">
        <v>425</v>
      </c>
    </row>
    <row r="214" spans="1:2" x14ac:dyDescent="0.2">
      <c r="A214" s="2" t="s">
        <v>426</v>
      </c>
      <c r="B214" s="2" t="s">
        <v>427</v>
      </c>
    </row>
    <row r="215" spans="1:2" ht="32" x14ac:dyDescent="0.2">
      <c r="A215" s="2" t="s">
        <v>428</v>
      </c>
      <c r="B215" s="2" t="s">
        <v>429</v>
      </c>
    </row>
    <row r="216" spans="1:2" x14ac:dyDescent="0.2">
      <c r="A216" s="2" t="s">
        <v>430</v>
      </c>
      <c r="B216" s="2" t="s">
        <v>431</v>
      </c>
    </row>
    <row r="217" spans="1:2" x14ac:dyDescent="0.2">
      <c r="A217" s="2" t="s">
        <v>432</v>
      </c>
      <c r="B217" s="2" t="s">
        <v>433</v>
      </c>
    </row>
    <row r="218" spans="1:2" x14ac:dyDescent="0.2">
      <c r="A218" s="2" t="s">
        <v>434</v>
      </c>
      <c r="B218" s="2" t="s">
        <v>435</v>
      </c>
    </row>
    <row r="219" spans="1:2" x14ac:dyDescent="0.2">
      <c r="A219" s="2" t="s">
        <v>436</v>
      </c>
      <c r="B219" s="2" t="s">
        <v>437</v>
      </c>
    </row>
    <row r="220" spans="1:2" ht="32" x14ac:dyDescent="0.2">
      <c r="A220" s="2" t="s">
        <v>438</v>
      </c>
      <c r="B220" s="2" t="s">
        <v>439</v>
      </c>
    </row>
    <row r="221" spans="1:2" x14ac:dyDescent="0.2">
      <c r="A221" s="2" t="s">
        <v>440</v>
      </c>
      <c r="B221" s="2" t="s">
        <v>441</v>
      </c>
    </row>
    <row r="222" spans="1:2" x14ac:dyDescent="0.2">
      <c r="A222" s="2" t="s">
        <v>442</v>
      </c>
      <c r="B222" s="2" t="s">
        <v>443</v>
      </c>
    </row>
    <row r="223" spans="1:2" x14ac:dyDescent="0.2">
      <c r="A223" s="2" t="s">
        <v>444</v>
      </c>
      <c r="B223" s="2" t="s">
        <v>445</v>
      </c>
    </row>
    <row r="224" spans="1:2" x14ac:dyDescent="0.2">
      <c r="A224" s="2" t="s">
        <v>446</v>
      </c>
      <c r="B224" s="2" t="s">
        <v>447</v>
      </c>
    </row>
    <row r="225" spans="1:2" x14ac:dyDescent="0.2">
      <c r="A225" s="2" t="s">
        <v>448</v>
      </c>
      <c r="B225" s="2" t="s">
        <v>449</v>
      </c>
    </row>
    <row r="226" spans="1:2" x14ac:dyDescent="0.2">
      <c r="A226" s="2" t="s">
        <v>450</v>
      </c>
      <c r="B226" s="2" t="s">
        <v>451</v>
      </c>
    </row>
    <row r="227" spans="1:2" ht="32" x14ac:dyDescent="0.2">
      <c r="A227" s="2" t="s">
        <v>452</v>
      </c>
      <c r="B227" s="2" t="s">
        <v>453</v>
      </c>
    </row>
    <row r="228" spans="1:2" x14ac:dyDescent="0.2">
      <c r="A228" s="2" t="s">
        <v>454</v>
      </c>
      <c r="B228" s="2" t="s">
        <v>455</v>
      </c>
    </row>
    <row r="229" spans="1:2" x14ac:dyDescent="0.2">
      <c r="A229" s="2" t="s">
        <v>456</v>
      </c>
      <c r="B229" s="2" t="s">
        <v>457</v>
      </c>
    </row>
    <row r="230" spans="1:2" x14ac:dyDescent="0.2">
      <c r="A230" s="2" t="s">
        <v>458</v>
      </c>
      <c r="B230" s="2" t="s">
        <v>459</v>
      </c>
    </row>
    <row r="231" spans="1:2" x14ac:dyDescent="0.2">
      <c r="A231" s="2" t="s">
        <v>460</v>
      </c>
      <c r="B231" s="2" t="s">
        <v>461</v>
      </c>
    </row>
    <row r="232" spans="1:2" x14ac:dyDescent="0.2">
      <c r="A232" s="2" t="s">
        <v>462</v>
      </c>
      <c r="B232" s="2" t="s">
        <v>463</v>
      </c>
    </row>
    <row r="233" spans="1:2" x14ac:dyDescent="0.2">
      <c r="A233" s="2" t="s">
        <v>464</v>
      </c>
      <c r="B233" s="2" t="s">
        <v>465</v>
      </c>
    </row>
    <row r="234" spans="1:2" ht="32" x14ac:dyDescent="0.2">
      <c r="A234" s="2" t="s">
        <v>466</v>
      </c>
      <c r="B234" s="2" t="s">
        <v>467</v>
      </c>
    </row>
    <row r="235" spans="1:2" x14ac:dyDescent="0.2">
      <c r="A235" s="2" t="s">
        <v>468</v>
      </c>
      <c r="B235" s="2" t="s">
        <v>469</v>
      </c>
    </row>
    <row r="236" spans="1:2" x14ac:dyDescent="0.2">
      <c r="A236" s="2" t="s">
        <v>470</v>
      </c>
      <c r="B236" s="2" t="s">
        <v>471</v>
      </c>
    </row>
    <row r="237" spans="1:2" x14ac:dyDescent="0.2">
      <c r="A237" s="2" t="s">
        <v>472</v>
      </c>
      <c r="B237" s="2" t="s">
        <v>473</v>
      </c>
    </row>
    <row r="238" spans="1:2" x14ac:dyDescent="0.2">
      <c r="A238" s="2" t="s">
        <v>474</v>
      </c>
      <c r="B238" s="2" t="s">
        <v>475</v>
      </c>
    </row>
    <row r="239" spans="1:2" x14ac:dyDescent="0.2">
      <c r="A239" s="2" t="s">
        <v>476</v>
      </c>
      <c r="B239" s="2" t="s">
        <v>477</v>
      </c>
    </row>
    <row r="240" spans="1:2" x14ac:dyDescent="0.2">
      <c r="A240" s="2" t="s">
        <v>478</v>
      </c>
      <c r="B240" s="2" t="s">
        <v>479</v>
      </c>
    </row>
    <row r="241" spans="1:2" x14ac:dyDescent="0.2">
      <c r="A241" s="2" t="s">
        <v>480</v>
      </c>
      <c r="B241" s="2" t="s">
        <v>481</v>
      </c>
    </row>
    <row r="242" spans="1:2" ht="32" x14ac:dyDescent="0.2">
      <c r="A242" s="2" t="s">
        <v>482</v>
      </c>
      <c r="B242" s="2" t="s">
        <v>483</v>
      </c>
    </row>
    <row r="243" spans="1:2" x14ac:dyDescent="0.2">
      <c r="A243" s="2" t="s">
        <v>484</v>
      </c>
      <c r="B243" s="2" t="s">
        <v>485</v>
      </c>
    </row>
    <row r="244" spans="1:2" x14ac:dyDescent="0.2">
      <c r="A244" s="2" t="s">
        <v>486</v>
      </c>
      <c r="B244" s="2" t="s">
        <v>487</v>
      </c>
    </row>
    <row r="245" spans="1:2" x14ac:dyDescent="0.2">
      <c r="A245" s="2" t="s">
        <v>488</v>
      </c>
      <c r="B245" s="2" t="s">
        <v>489</v>
      </c>
    </row>
    <row r="246" spans="1:2" x14ac:dyDescent="0.2">
      <c r="A246" s="2" t="s">
        <v>490</v>
      </c>
      <c r="B246" s="2" t="s">
        <v>491</v>
      </c>
    </row>
    <row r="247" spans="1:2" x14ac:dyDescent="0.2">
      <c r="A247" s="2" t="s">
        <v>492</v>
      </c>
      <c r="B247" s="2" t="s">
        <v>493</v>
      </c>
    </row>
    <row r="248" spans="1:2" x14ac:dyDescent="0.2">
      <c r="A248" s="2" t="s">
        <v>494</v>
      </c>
      <c r="B248" s="2" t="s">
        <v>495</v>
      </c>
    </row>
    <row r="249" spans="1:2" x14ac:dyDescent="0.2">
      <c r="A249" s="2" t="s">
        <v>496</v>
      </c>
      <c r="B249" s="2" t="s">
        <v>497</v>
      </c>
    </row>
    <row r="250" spans="1:2" ht="32" x14ac:dyDescent="0.2">
      <c r="A250" s="2" t="s">
        <v>498</v>
      </c>
      <c r="B250" s="2" t="s">
        <v>499</v>
      </c>
    </row>
    <row r="251" spans="1:2" ht="32" x14ac:dyDescent="0.2">
      <c r="A251" s="2" t="s">
        <v>500</v>
      </c>
      <c r="B251" s="2" t="s">
        <v>501</v>
      </c>
    </row>
    <row r="252" spans="1:2" x14ac:dyDescent="0.2">
      <c r="A252" s="2" t="s">
        <v>502</v>
      </c>
      <c r="B252" s="2" t="s">
        <v>503</v>
      </c>
    </row>
    <row r="253" spans="1:2" ht="32" x14ac:dyDescent="0.2">
      <c r="A253" s="2" t="s">
        <v>504</v>
      </c>
      <c r="B253" s="2" t="s">
        <v>505</v>
      </c>
    </row>
    <row r="254" spans="1:2" x14ac:dyDescent="0.2">
      <c r="A254" s="2" t="s">
        <v>506</v>
      </c>
      <c r="B254" s="2" t="s">
        <v>507</v>
      </c>
    </row>
    <row r="255" spans="1:2" x14ac:dyDescent="0.2">
      <c r="A255" s="2" t="s">
        <v>508</v>
      </c>
      <c r="B255" s="2" t="s">
        <v>509</v>
      </c>
    </row>
    <row r="256" spans="1:2" x14ac:dyDescent="0.2">
      <c r="A256" s="2" t="s">
        <v>510</v>
      </c>
      <c r="B256" s="2" t="s">
        <v>511</v>
      </c>
    </row>
    <row r="257" spans="1:2" x14ac:dyDescent="0.2">
      <c r="A257" s="2" t="s">
        <v>512</v>
      </c>
      <c r="B257" s="2" t="s">
        <v>513</v>
      </c>
    </row>
    <row r="258" spans="1:2" x14ac:dyDescent="0.2">
      <c r="A258" s="2" t="s">
        <v>514</v>
      </c>
      <c r="B258" s="2" t="s">
        <v>515</v>
      </c>
    </row>
    <row r="259" spans="1:2" x14ac:dyDescent="0.2">
      <c r="A259" s="2" t="s">
        <v>516</v>
      </c>
      <c r="B259" s="2" t="s">
        <v>517</v>
      </c>
    </row>
    <row r="260" spans="1:2" x14ac:dyDescent="0.2">
      <c r="A260" s="2" t="s">
        <v>518</v>
      </c>
      <c r="B260" s="2" t="s">
        <v>519</v>
      </c>
    </row>
    <row r="261" spans="1:2" x14ac:dyDescent="0.2">
      <c r="A261" s="2" t="s">
        <v>520</v>
      </c>
      <c r="B261" s="2" t="s">
        <v>521</v>
      </c>
    </row>
    <row r="262" spans="1:2" x14ac:dyDescent="0.2">
      <c r="A262" s="2" t="s">
        <v>522</v>
      </c>
      <c r="B262" s="2" t="s">
        <v>523</v>
      </c>
    </row>
    <row r="263" spans="1:2" x14ac:dyDescent="0.2">
      <c r="A263" s="2" t="s">
        <v>524</v>
      </c>
      <c r="B263" s="2" t="s">
        <v>525</v>
      </c>
    </row>
    <row r="264" spans="1:2" x14ac:dyDescent="0.2">
      <c r="A264" s="2" t="s">
        <v>526</v>
      </c>
      <c r="B264" s="2" t="s">
        <v>527</v>
      </c>
    </row>
    <row r="265" spans="1:2" ht="32" x14ac:dyDescent="0.2">
      <c r="A265" s="2" t="s">
        <v>528</v>
      </c>
      <c r="B265" s="2" t="s">
        <v>529</v>
      </c>
    </row>
    <row r="266" spans="1:2" x14ac:dyDescent="0.2">
      <c r="A266" s="2" t="s">
        <v>530</v>
      </c>
      <c r="B266" s="2" t="s">
        <v>531</v>
      </c>
    </row>
    <row r="267" spans="1:2" x14ac:dyDescent="0.2">
      <c r="A267" s="2" t="s">
        <v>532</v>
      </c>
      <c r="B267" s="2" t="s">
        <v>533</v>
      </c>
    </row>
    <row r="268" spans="1:2" ht="32" x14ac:dyDescent="0.2">
      <c r="A268" s="2" t="s">
        <v>534</v>
      </c>
      <c r="B268" s="2" t="s">
        <v>535</v>
      </c>
    </row>
    <row r="269" spans="1:2" x14ac:dyDescent="0.2">
      <c r="A269" s="2" t="s">
        <v>536</v>
      </c>
      <c r="B269" s="2" t="s">
        <v>537</v>
      </c>
    </row>
    <row r="270" spans="1:2" x14ac:dyDescent="0.2">
      <c r="A270" s="2" t="s">
        <v>538</v>
      </c>
      <c r="B270" s="2" t="s">
        <v>539</v>
      </c>
    </row>
    <row r="271" spans="1:2" x14ac:dyDescent="0.2">
      <c r="A271" s="2" t="s">
        <v>540</v>
      </c>
      <c r="B271" s="2" t="s">
        <v>541</v>
      </c>
    </row>
    <row r="272" spans="1:2" x14ac:dyDescent="0.2">
      <c r="A272" s="2" t="s">
        <v>542</v>
      </c>
      <c r="B272" s="2" t="s">
        <v>543</v>
      </c>
    </row>
    <row r="273" spans="1:2" x14ac:dyDescent="0.2">
      <c r="A273" s="2" t="s">
        <v>544</v>
      </c>
      <c r="B273" s="2" t="s">
        <v>545</v>
      </c>
    </row>
    <row r="274" spans="1:2" x14ac:dyDescent="0.2">
      <c r="A274" s="2" t="s">
        <v>546</v>
      </c>
      <c r="B274" s="2" t="s">
        <v>547</v>
      </c>
    </row>
    <row r="275" spans="1:2" x14ac:dyDescent="0.2">
      <c r="A275" s="2" t="s">
        <v>548</v>
      </c>
      <c r="B275" s="2" t="s">
        <v>549</v>
      </c>
    </row>
    <row r="276" spans="1:2" x14ac:dyDescent="0.2">
      <c r="A276" s="2" t="s">
        <v>550</v>
      </c>
      <c r="B276" s="2" t="s">
        <v>551</v>
      </c>
    </row>
    <row r="277" spans="1:2" x14ac:dyDescent="0.2">
      <c r="A277" s="2" t="s">
        <v>552</v>
      </c>
      <c r="B277" s="2" t="s">
        <v>553</v>
      </c>
    </row>
    <row r="278" spans="1:2" x14ac:dyDescent="0.2">
      <c r="A278" s="2" t="s">
        <v>554</v>
      </c>
      <c r="B278" s="2" t="s">
        <v>555</v>
      </c>
    </row>
    <row r="279" spans="1:2" ht="32" x14ac:dyDescent="0.2">
      <c r="A279" s="2" t="s">
        <v>556</v>
      </c>
      <c r="B279" s="2" t="s">
        <v>557</v>
      </c>
    </row>
    <row r="280" spans="1:2" x14ac:dyDescent="0.2">
      <c r="A280" s="2" t="s">
        <v>558</v>
      </c>
      <c r="B280" s="2" t="s">
        <v>559</v>
      </c>
    </row>
    <row r="281" spans="1:2" x14ac:dyDescent="0.2">
      <c r="A281" s="2" t="s">
        <v>560</v>
      </c>
      <c r="B281" s="2" t="s">
        <v>561</v>
      </c>
    </row>
    <row r="282" spans="1:2" x14ac:dyDescent="0.2">
      <c r="A282" s="2" t="s">
        <v>562</v>
      </c>
      <c r="B282" s="2" t="s">
        <v>563</v>
      </c>
    </row>
    <row r="283" spans="1:2" x14ac:dyDescent="0.2">
      <c r="A283" s="2" t="s">
        <v>564</v>
      </c>
      <c r="B283" s="2" t="s">
        <v>565</v>
      </c>
    </row>
    <row r="284" spans="1:2" ht="32" x14ac:dyDescent="0.2">
      <c r="A284" s="2" t="s">
        <v>566</v>
      </c>
      <c r="B284" s="2" t="s">
        <v>567</v>
      </c>
    </row>
    <row r="285" spans="1:2" x14ac:dyDescent="0.2">
      <c r="A285" s="2" t="s">
        <v>568</v>
      </c>
      <c r="B285" s="2" t="s">
        <v>569</v>
      </c>
    </row>
    <row r="286" spans="1:2" ht="32" x14ac:dyDescent="0.2">
      <c r="A286" s="2" t="s">
        <v>570</v>
      </c>
      <c r="B286" s="2" t="s">
        <v>571</v>
      </c>
    </row>
    <row r="287" spans="1:2" x14ac:dyDescent="0.2">
      <c r="A287" s="2" t="s">
        <v>572</v>
      </c>
      <c r="B287" s="2" t="s">
        <v>573</v>
      </c>
    </row>
    <row r="288" spans="1:2" x14ac:dyDescent="0.2">
      <c r="A288" s="2" t="s">
        <v>574</v>
      </c>
      <c r="B288" s="2" t="s">
        <v>575</v>
      </c>
    </row>
    <row r="289" spans="1:2" x14ac:dyDescent="0.2">
      <c r="A289" s="2" t="s">
        <v>576</v>
      </c>
      <c r="B289" s="2" t="s">
        <v>577</v>
      </c>
    </row>
    <row r="290" spans="1:2" x14ac:dyDescent="0.2">
      <c r="A290" s="2" t="s">
        <v>578</v>
      </c>
      <c r="B290" s="2" t="s">
        <v>579</v>
      </c>
    </row>
    <row r="291" spans="1:2" x14ac:dyDescent="0.2">
      <c r="A291" s="2" t="s">
        <v>580</v>
      </c>
      <c r="B291" s="2" t="s">
        <v>581</v>
      </c>
    </row>
    <row r="292" spans="1:2" x14ac:dyDescent="0.2">
      <c r="A292" s="2" t="s">
        <v>582</v>
      </c>
      <c r="B292" s="2" t="s">
        <v>583</v>
      </c>
    </row>
    <row r="293" spans="1:2" x14ac:dyDescent="0.2">
      <c r="A293" s="2" t="s">
        <v>584</v>
      </c>
      <c r="B293" s="2" t="s">
        <v>585</v>
      </c>
    </row>
    <row r="294" spans="1:2" x14ac:dyDescent="0.2">
      <c r="A294" s="2" t="s">
        <v>586</v>
      </c>
      <c r="B294" s="2" t="s">
        <v>587</v>
      </c>
    </row>
    <row r="295" spans="1:2" ht="32" x14ac:dyDescent="0.2">
      <c r="A295" s="2" t="s">
        <v>588</v>
      </c>
      <c r="B295" s="2" t="s">
        <v>589</v>
      </c>
    </row>
    <row r="296" spans="1:2" x14ac:dyDescent="0.2">
      <c r="A296" s="2" t="s">
        <v>590</v>
      </c>
      <c r="B296" s="2" t="s">
        <v>591</v>
      </c>
    </row>
    <row r="297" spans="1:2" x14ac:dyDescent="0.2">
      <c r="A297" s="2" t="s">
        <v>592</v>
      </c>
      <c r="B297" s="2" t="s">
        <v>593</v>
      </c>
    </row>
    <row r="298" spans="1:2" x14ac:dyDescent="0.2">
      <c r="A298" s="2" t="s">
        <v>594</v>
      </c>
      <c r="B298" s="2" t="s">
        <v>595</v>
      </c>
    </row>
    <row r="299" spans="1:2" x14ac:dyDescent="0.2">
      <c r="A299" s="2" t="s">
        <v>596</v>
      </c>
      <c r="B299" s="2" t="s">
        <v>597</v>
      </c>
    </row>
    <row r="300" spans="1:2" x14ac:dyDescent="0.2">
      <c r="A300" s="2" t="s">
        <v>598</v>
      </c>
      <c r="B300" s="2" t="s">
        <v>599</v>
      </c>
    </row>
    <row r="301" spans="1:2" x14ac:dyDescent="0.2">
      <c r="A301" s="2" t="s">
        <v>600</v>
      </c>
      <c r="B301" s="2" t="s">
        <v>601</v>
      </c>
    </row>
    <row r="302" spans="1:2" x14ac:dyDescent="0.2">
      <c r="A302" s="2" t="s">
        <v>602</v>
      </c>
      <c r="B302" s="2" t="s">
        <v>603</v>
      </c>
    </row>
    <row r="303" spans="1:2" x14ac:dyDescent="0.2">
      <c r="A303" s="2" t="s">
        <v>604</v>
      </c>
      <c r="B303" s="2" t="s">
        <v>605</v>
      </c>
    </row>
    <row r="304" spans="1:2" x14ac:dyDescent="0.2">
      <c r="A304" s="2" t="s">
        <v>606</v>
      </c>
      <c r="B304" s="2" t="s">
        <v>607</v>
      </c>
    </row>
    <row r="305" spans="1:2" x14ac:dyDescent="0.2">
      <c r="A305" s="2" t="s">
        <v>608</v>
      </c>
      <c r="B305" s="2" t="s">
        <v>609</v>
      </c>
    </row>
    <row r="306" spans="1:2" x14ac:dyDescent="0.2">
      <c r="A306" s="2" t="s">
        <v>610</v>
      </c>
      <c r="B306" s="2" t="s">
        <v>611</v>
      </c>
    </row>
    <row r="307" spans="1:2" x14ac:dyDescent="0.2">
      <c r="A307" s="2" t="s">
        <v>612</v>
      </c>
      <c r="B307" s="2" t="s">
        <v>613</v>
      </c>
    </row>
    <row r="308" spans="1:2" x14ac:dyDescent="0.2">
      <c r="A308" s="2" t="s">
        <v>614</v>
      </c>
      <c r="B308" s="2" t="s">
        <v>615</v>
      </c>
    </row>
    <row r="309" spans="1:2" x14ac:dyDescent="0.2">
      <c r="A309" s="2" t="s">
        <v>616</v>
      </c>
      <c r="B309" s="2" t="s">
        <v>617</v>
      </c>
    </row>
    <row r="310" spans="1:2" x14ac:dyDescent="0.2">
      <c r="A310" s="2" t="s">
        <v>618</v>
      </c>
      <c r="B310" s="2" t="s">
        <v>619</v>
      </c>
    </row>
    <row r="311" spans="1:2" x14ac:dyDescent="0.2">
      <c r="A311" s="2" t="s">
        <v>620</v>
      </c>
      <c r="B311" s="2" t="s">
        <v>621</v>
      </c>
    </row>
    <row r="312" spans="1:2" x14ac:dyDescent="0.2">
      <c r="A312" s="2" t="s">
        <v>622</v>
      </c>
      <c r="B312" s="2" t="s">
        <v>623</v>
      </c>
    </row>
    <row r="313" spans="1:2" ht="32" x14ac:dyDescent="0.2">
      <c r="A313" s="2" t="s">
        <v>624</v>
      </c>
      <c r="B313" s="2" t="s">
        <v>625</v>
      </c>
    </row>
    <row r="314" spans="1:2" x14ac:dyDescent="0.2">
      <c r="A314" s="2" t="s">
        <v>626</v>
      </c>
      <c r="B314" s="2" t="s">
        <v>627</v>
      </c>
    </row>
    <row r="315" spans="1:2" x14ac:dyDescent="0.2">
      <c r="A315" s="2" t="s">
        <v>628</v>
      </c>
      <c r="B315" s="2" t="s">
        <v>629</v>
      </c>
    </row>
    <row r="316" spans="1:2" x14ac:dyDescent="0.2">
      <c r="A316" s="2" t="s">
        <v>630</v>
      </c>
      <c r="B316" s="2" t="s">
        <v>631</v>
      </c>
    </row>
    <row r="317" spans="1:2" x14ac:dyDescent="0.2">
      <c r="A317" s="2" t="s">
        <v>632</v>
      </c>
      <c r="B317" s="2" t="s">
        <v>633</v>
      </c>
    </row>
    <row r="318" spans="1:2" x14ac:dyDescent="0.2">
      <c r="A318" s="2" t="s">
        <v>634</v>
      </c>
      <c r="B318" s="2" t="s">
        <v>635</v>
      </c>
    </row>
    <row r="319" spans="1:2" ht="32" x14ac:dyDescent="0.2">
      <c r="A319" s="2" t="s">
        <v>636</v>
      </c>
      <c r="B319" s="2" t="s">
        <v>637</v>
      </c>
    </row>
    <row r="320" spans="1:2" x14ac:dyDescent="0.2">
      <c r="A320" s="2" t="s">
        <v>638</v>
      </c>
      <c r="B320" s="2" t="s">
        <v>639</v>
      </c>
    </row>
    <row r="321" spans="1:2" x14ac:dyDescent="0.2">
      <c r="A321" s="2" t="s">
        <v>640</v>
      </c>
      <c r="B321" s="2" t="s">
        <v>641</v>
      </c>
    </row>
    <row r="322" spans="1:2" x14ac:dyDescent="0.2">
      <c r="A322" s="2" t="s">
        <v>642</v>
      </c>
      <c r="B322" s="2" t="s">
        <v>643</v>
      </c>
    </row>
    <row r="323" spans="1:2" ht="32" x14ac:dyDescent="0.2">
      <c r="A323" s="2" t="s">
        <v>644</v>
      </c>
      <c r="B323" s="2" t="s">
        <v>645</v>
      </c>
    </row>
    <row r="324" spans="1:2" x14ac:dyDescent="0.2">
      <c r="A324" s="2" t="s">
        <v>646</v>
      </c>
      <c r="B324" s="2" t="s">
        <v>647</v>
      </c>
    </row>
    <row r="325" spans="1:2" x14ac:dyDescent="0.2">
      <c r="A325" s="2" t="s">
        <v>648</v>
      </c>
      <c r="B325" s="2" t="s">
        <v>649</v>
      </c>
    </row>
    <row r="326" spans="1:2" x14ac:dyDescent="0.2">
      <c r="A326" s="2" t="s">
        <v>650</v>
      </c>
      <c r="B326" s="2" t="s">
        <v>651</v>
      </c>
    </row>
    <row r="327" spans="1:2" x14ac:dyDescent="0.2">
      <c r="A327" s="2" t="s">
        <v>652</v>
      </c>
      <c r="B327" s="2" t="s">
        <v>653</v>
      </c>
    </row>
    <row r="328" spans="1:2" x14ac:dyDescent="0.2">
      <c r="A328" s="2" t="s">
        <v>654</v>
      </c>
      <c r="B328" s="2" t="s">
        <v>655</v>
      </c>
    </row>
    <row r="329" spans="1:2" x14ac:dyDescent="0.2">
      <c r="A329" s="2" t="s">
        <v>656</v>
      </c>
      <c r="B329" s="2" t="s">
        <v>657</v>
      </c>
    </row>
    <row r="330" spans="1:2" x14ac:dyDescent="0.2">
      <c r="A330" s="2" t="s">
        <v>658</v>
      </c>
      <c r="B330" s="2" t="s">
        <v>659</v>
      </c>
    </row>
    <row r="331" spans="1:2" x14ac:dyDescent="0.2">
      <c r="A331" s="2" t="s">
        <v>660</v>
      </c>
      <c r="B331" s="2" t="s">
        <v>661</v>
      </c>
    </row>
    <row r="332" spans="1:2" x14ac:dyDescent="0.2">
      <c r="A332" s="2" t="s">
        <v>662</v>
      </c>
      <c r="B332" s="2" t="s">
        <v>663</v>
      </c>
    </row>
    <row r="333" spans="1:2" x14ac:dyDescent="0.2">
      <c r="A333" s="2" t="s">
        <v>664</v>
      </c>
      <c r="B333" s="2" t="s">
        <v>665</v>
      </c>
    </row>
    <row r="334" spans="1:2" x14ac:dyDescent="0.2">
      <c r="A334" s="2" t="s">
        <v>666</v>
      </c>
      <c r="B334" s="2" t="s">
        <v>667</v>
      </c>
    </row>
    <row r="335" spans="1:2" x14ac:dyDescent="0.2">
      <c r="A335" s="2" t="s">
        <v>668</v>
      </c>
      <c r="B335" s="2" t="s">
        <v>669</v>
      </c>
    </row>
    <row r="336" spans="1:2" x14ac:dyDescent="0.2">
      <c r="A336" s="2" t="s">
        <v>670</v>
      </c>
      <c r="B336" s="2" t="s">
        <v>671</v>
      </c>
    </row>
    <row r="337" spans="1:2" x14ac:dyDescent="0.2">
      <c r="A337" s="2" t="s">
        <v>672</v>
      </c>
      <c r="B337" s="2" t="s">
        <v>673</v>
      </c>
    </row>
    <row r="338" spans="1:2" x14ac:dyDescent="0.2">
      <c r="A338" s="2" t="s">
        <v>674</v>
      </c>
      <c r="B338" s="2" t="s">
        <v>675</v>
      </c>
    </row>
    <row r="339" spans="1:2" x14ac:dyDescent="0.2">
      <c r="A339" s="2" t="s">
        <v>676</v>
      </c>
      <c r="B339" s="2" t="s">
        <v>677</v>
      </c>
    </row>
    <row r="340" spans="1:2" x14ac:dyDescent="0.2">
      <c r="A340" s="2" t="s">
        <v>678</v>
      </c>
      <c r="B340" s="2" t="s">
        <v>679</v>
      </c>
    </row>
    <row r="341" spans="1:2" ht="32" x14ac:dyDescent="0.2">
      <c r="A341" s="2" t="s">
        <v>680</v>
      </c>
      <c r="B341" s="2" t="s">
        <v>681</v>
      </c>
    </row>
    <row r="342" spans="1:2" x14ac:dyDescent="0.2">
      <c r="A342" s="2" t="s">
        <v>682</v>
      </c>
      <c r="B342" s="2" t="s">
        <v>683</v>
      </c>
    </row>
    <row r="343" spans="1:2" x14ac:dyDescent="0.2">
      <c r="A343" s="2" t="s">
        <v>684</v>
      </c>
      <c r="B343" s="2" t="s">
        <v>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Calculation</vt:lpstr>
      <vt:lpstr>BAG_dakoppervlak_woningen</vt:lpstr>
      <vt:lpstr>BAG_dakoppervlak_gebouwen</vt:lpstr>
      <vt:lpstr>CBS_gemeenten_alfabetisch_2023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von Meijenfeldt</dc:creator>
  <cp:lastModifiedBy>Charlotte von Meijenfeldt</cp:lastModifiedBy>
  <dcterms:created xsi:type="dcterms:W3CDTF">2025-08-01T09:31:44Z</dcterms:created>
  <dcterms:modified xsi:type="dcterms:W3CDTF">2025-08-05T14:42:45Z</dcterms:modified>
</cp:coreProperties>
</file>