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5309987034600347392/WOPIServiceId_TP_DROPBOX_PLUS/WOPIUserId_-/"/>
    </mc:Choice>
  </mc:AlternateContent>
  <xr:revisionPtr revIDLastSave="2" documentId="8_{5ABCB421-F90B-4F43-B1DF-5BF45275C05B}" xr6:coauthVersionLast="47" xr6:coauthVersionMax="47" xr10:uidLastSave="{14C0CF34-3EA5-4E4D-B044-34D26DCB84A3}"/>
  <bookViews>
    <workbookView xWindow="0" yWindow="500" windowWidth="28800" windowHeight="15680" xr2:uid="{00000000-000D-0000-FFFF-FFFF00000000}"/>
  </bookViews>
  <sheets>
    <sheet name="Data" sheetId="3" r:id="rId1"/>
    <sheet name="Calculation" sheetId="2" r:id="rId2"/>
    <sheet name="Energieverbruik in TJ Gemeente" sheetId="1" r:id="rId3"/>
  </sheets>
  <definedNames>
    <definedName name="_xlnm._FilterDatabase" localSheetId="1" hidden="1">Calculation!$A$2:$C$2</definedName>
    <definedName name="_xlnm._FilterDatabase" localSheetId="0" hidden="1">Data!$A$1:$B$343</definedName>
    <definedName name="_xlnm._FilterDatabase" localSheetId="2" hidden="1">'Energieverbruik in TJ Gemeente'!$A$3:$Q$347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9" i="3" l="1"/>
  <c r="B272" i="3"/>
  <c r="B105" i="3"/>
  <c r="B44" i="3"/>
  <c r="B7" i="3"/>
  <c r="B140" i="3"/>
  <c r="B170" i="3"/>
  <c r="B106" i="3"/>
  <c r="B24" i="3"/>
  <c r="B3" i="3"/>
  <c r="B141" i="3"/>
  <c r="B288" i="3"/>
  <c r="B331" i="3"/>
  <c r="B8" i="3"/>
  <c r="B85" i="3"/>
  <c r="B107" i="3"/>
  <c r="B108" i="3"/>
  <c r="B45" i="3"/>
  <c r="B46" i="3"/>
  <c r="B19" i="3"/>
  <c r="B192" i="3"/>
  <c r="B193" i="3"/>
  <c r="B86" i="3"/>
  <c r="B142" i="3"/>
  <c r="B47" i="3"/>
  <c r="B234" i="3"/>
  <c r="B329" i="3"/>
  <c r="B235" i="3"/>
  <c r="B324" i="3"/>
  <c r="B289" i="3"/>
  <c r="B236" i="3"/>
  <c r="B109" i="3"/>
  <c r="B194" i="3"/>
  <c r="B303" i="3"/>
  <c r="B287" i="3"/>
  <c r="B195" i="3"/>
  <c r="B48" i="3"/>
  <c r="B110" i="3"/>
  <c r="B290" i="3"/>
  <c r="B111" i="3"/>
  <c r="B112" i="3"/>
  <c r="B313" i="3"/>
  <c r="B196" i="3"/>
  <c r="B273" i="3"/>
  <c r="B25" i="3"/>
  <c r="B179" i="3"/>
  <c r="B197" i="3"/>
  <c r="B198" i="3"/>
  <c r="B304" i="3"/>
  <c r="B49" i="3"/>
  <c r="B237" i="3"/>
  <c r="B88" i="3"/>
  <c r="B89" i="3"/>
  <c r="B50" i="3"/>
  <c r="B144" i="3"/>
  <c r="B113" i="3"/>
  <c r="B20" i="3"/>
  <c r="B281" i="3"/>
  <c r="B51" i="3"/>
  <c r="B26" i="3"/>
  <c r="B307" i="3"/>
  <c r="B87" i="3"/>
  <c r="B322" i="3"/>
  <c r="B190" i="3"/>
  <c r="B274" i="3"/>
  <c r="B145" i="3"/>
  <c r="B122" i="3"/>
  <c r="B199" i="3"/>
  <c r="B27" i="3"/>
  <c r="B114" i="3"/>
  <c r="B340" i="3"/>
  <c r="B300" i="3"/>
  <c r="B52" i="3"/>
  <c r="B53" i="3"/>
  <c r="B201" i="3"/>
  <c r="B146" i="3"/>
  <c r="B143" i="3"/>
  <c r="B286" i="3"/>
  <c r="B84" i="3"/>
  <c r="B54" i="3"/>
  <c r="B55" i="3"/>
  <c r="B284" i="3"/>
  <c r="B115" i="3"/>
  <c r="B56" i="3"/>
  <c r="B90" i="3"/>
  <c r="B339" i="3"/>
  <c r="B202" i="3"/>
  <c r="B314" i="3"/>
  <c r="B203" i="3"/>
  <c r="B57" i="3"/>
  <c r="B21" i="3"/>
  <c r="B116" i="3"/>
  <c r="B28" i="3"/>
  <c r="B58" i="3"/>
  <c r="B59" i="3"/>
  <c r="B204" i="3"/>
  <c r="B205" i="3"/>
  <c r="B298" i="3"/>
  <c r="B264" i="3"/>
  <c r="B238" i="3"/>
  <c r="B206" i="3"/>
  <c r="B318" i="3"/>
  <c r="B180" i="3"/>
  <c r="B207" i="3"/>
  <c r="B323" i="3"/>
  <c r="B147" i="3"/>
  <c r="B148" i="3"/>
  <c r="B2" i="3"/>
  <c r="B291" i="3"/>
  <c r="B29" i="3"/>
  <c r="B117" i="3"/>
  <c r="B118" i="3"/>
  <c r="B265" i="3"/>
  <c r="B30" i="3"/>
  <c r="B60" i="3"/>
  <c r="B150" i="3"/>
  <c r="B9" i="3"/>
  <c r="B61" i="3"/>
  <c r="B119" i="3"/>
  <c r="B120" i="3"/>
  <c r="B62" i="3"/>
  <c r="B10" i="3"/>
  <c r="B239" i="3"/>
  <c r="B266" i="3"/>
  <c r="B121" i="3"/>
  <c r="B31" i="3"/>
  <c r="B208" i="3"/>
  <c r="B151" i="3"/>
  <c r="B32" i="3"/>
  <c r="B335" i="3"/>
  <c r="B63" i="3"/>
  <c r="B210" i="3"/>
  <c r="B153" i="3"/>
  <c r="B211" i="3"/>
  <c r="B123" i="3"/>
  <c r="B334" i="3"/>
  <c r="B295" i="3"/>
  <c r="B316" i="3"/>
  <c r="B22" i="3"/>
  <c r="B124" i="3"/>
  <c r="B255" i="3"/>
  <c r="B91" i="3"/>
  <c r="B125" i="3"/>
  <c r="B182" i="3"/>
  <c r="B102" i="3"/>
  <c r="B306" i="3"/>
  <c r="B33" i="3"/>
  <c r="B183" i="3"/>
  <c r="B154" i="3"/>
  <c r="B240" i="3"/>
  <c r="B260" i="3"/>
  <c r="B155" i="3"/>
  <c r="B321" i="3"/>
  <c r="B267" i="3"/>
  <c r="B341" i="3"/>
  <c r="B233" i="3"/>
  <c r="B126" i="3"/>
  <c r="B261" i="3"/>
  <c r="B127" i="3"/>
  <c r="B11" i="3"/>
  <c r="B156" i="3"/>
  <c r="B157" i="3"/>
  <c r="B317" i="3"/>
  <c r="B254" i="3"/>
  <c r="B262" i="3"/>
  <c r="B92" i="3"/>
  <c r="B280" i="3"/>
  <c r="B158" i="3"/>
  <c r="B64" i="3"/>
  <c r="B212" i="3"/>
  <c r="B93" i="3"/>
  <c r="B34" i="3"/>
  <c r="B65" i="3"/>
  <c r="B263" i="3"/>
  <c r="B342" i="3"/>
  <c r="B159" i="3"/>
  <c r="B241" i="3"/>
  <c r="B128" i="3"/>
  <c r="B242" i="3"/>
  <c r="B325" i="3"/>
  <c r="B23" i="3"/>
  <c r="B184" i="3"/>
  <c r="B302" i="3"/>
  <c r="B293" i="3"/>
  <c r="B328" i="3"/>
  <c r="B283" i="3"/>
  <c r="B338" i="3"/>
  <c r="B330" i="3"/>
  <c r="B94" i="3"/>
  <c r="B243" i="3"/>
  <c r="B296" i="3"/>
  <c r="B244" i="3"/>
  <c r="B104" i="3"/>
  <c r="B160" i="3"/>
  <c r="B66" i="3"/>
  <c r="B67" i="3"/>
  <c r="B320" i="3"/>
  <c r="B337" i="3"/>
  <c r="B275" i="3"/>
  <c r="B277" i="3"/>
  <c r="B35" i="3"/>
  <c r="B161" i="3"/>
  <c r="B213" i="3"/>
  <c r="B83" i="3"/>
  <c r="B162" i="3"/>
  <c r="B214" i="3"/>
  <c r="B215" i="3"/>
  <c r="B310" i="3"/>
  <c r="B68" i="3"/>
  <c r="B36" i="3"/>
  <c r="B299" i="3"/>
  <c r="B37" i="3"/>
  <c r="B259" i="3"/>
  <c r="B216" i="3"/>
  <c r="B12" i="3"/>
  <c r="B129" i="3"/>
  <c r="B130" i="3"/>
  <c r="B13" i="3"/>
  <c r="B217" i="3"/>
  <c r="B256" i="3"/>
  <c r="B131" i="3"/>
  <c r="B163" i="3"/>
  <c r="B294" i="3"/>
  <c r="B164" i="3"/>
  <c r="B309" i="3"/>
  <c r="B200" i="3"/>
  <c r="B319" i="3"/>
  <c r="B132" i="3"/>
  <c r="B69" i="3"/>
  <c r="B38" i="3"/>
  <c r="B185" i="3"/>
  <c r="B70" i="3"/>
  <c r="B95" i="3"/>
  <c r="B268" i="3"/>
  <c r="B71" i="3"/>
  <c r="B96" i="3"/>
  <c r="B165" i="3"/>
  <c r="B297" i="3"/>
  <c r="B167" i="3"/>
  <c r="B269" i="3"/>
  <c r="B245" i="3"/>
  <c r="B270" i="3"/>
  <c r="B166" i="3"/>
  <c r="B72" i="3"/>
  <c r="B218" i="3"/>
  <c r="B133" i="3"/>
  <c r="B73" i="3"/>
  <c r="B168" i="3"/>
  <c r="B14" i="3"/>
  <c r="B271" i="3"/>
  <c r="B246" i="3"/>
  <c r="B219" i="3"/>
  <c r="B305" i="3"/>
  <c r="B169" i="3"/>
  <c r="B285" i="3"/>
  <c r="B15" i="3"/>
  <c r="B97" i="3"/>
  <c r="B220" i="3"/>
  <c r="B221" i="3"/>
  <c r="B4" i="3"/>
  <c r="B39" i="3"/>
  <c r="B152" i="3"/>
  <c r="B222" i="3"/>
  <c r="B282" i="3"/>
  <c r="B247" i="3"/>
  <c r="B315" i="3"/>
  <c r="B312" i="3"/>
  <c r="B186" i="3"/>
  <c r="B16" i="3"/>
  <c r="B134" i="3"/>
  <c r="B257" i="3"/>
  <c r="B187" i="3"/>
  <c r="B74" i="3"/>
  <c r="B224" i="3"/>
  <c r="B40" i="3"/>
  <c r="B278" i="3"/>
  <c r="B292" i="3"/>
  <c r="B191" i="3"/>
  <c r="B135" i="3"/>
  <c r="B136" i="3"/>
  <c r="B41" i="3"/>
  <c r="B98" i="3"/>
  <c r="B258" i="3"/>
  <c r="B248" i="3"/>
  <c r="B253" i="3"/>
  <c r="B225" i="3"/>
  <c r="B5" i="3"/>
  <c r="B99" i="3"/>
  <c r="B188" i="3"/>
  <c r="B226" i="3"/>
  <c r="B137" i="3"/>
  <c r="B249" i="3"/>
  <c r="B250" i="3"/>
  <c r="B333" i="3"/>
  <c r="B171" i="3"/>
  <c r="B17" i="3"/>
  <c r="B189" i="3"/>
  <c r="B251" i="3"/>
  <c r="B343" i="3"/>
  <c r="B172" i="3"/>
  <c r="B75" i="3"/>
  <c r="B227" i="3"/>
  <c r="B326" i="3"/>
  <c r="B228" i="3"/>
  <c r="B229" i="3"/>
  <c r="B173" i="3"/>
  <c r="B76" i="3"/>
  <c r="B174" i="3"/>
  <c r="B223" i="3"/>
  <c r="B252" i="3"/>
  <c r="B332" i="3"/>
  <c r="B181" i="3"/>
  <c r="B336" i="3"/>
  <c r="B279" i="3"/>
  <c r="B77" i="3"/>
  <c r="B327" i="3"/>
  <c r="B301" i="3"/>
  <c r="B18" i="3"/>
  <c r="B42" i="3"/>
  <c r="B79" i="3"/>
  <c r="B276" i="3"/>
  <c r="B101" i="3"/>
  <c r="B78" i="3"/>
  <c r="B230" i="3"/>
  <c r="B175" i="3"/>
  <c r="B232" i="3"/>
  <c r="B100" i="3"/>
  <c r="B139" i="3"/>
  <c r="B80" i="3"/>
  <c r="B138" i="3"/>
  <c r="B6" i="3"/>
  <c r="B103" i="3"/>
  <c r="B81" i="3"/>
  <c r="B176" i="3"/>
  <c r="B177" i="3"/>
  <c r="B308" i="3"/>
  <c r="B231" i="3"/>
  <c r="B82" i="3"/>
  <c r="B311" i="3"/>
  <c r="B178" i="3"/>
  <c r="B43" i="3"/>
  <c r="B149" i="3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" i="2"/>
  <c r="W4" i="2"/>
  <c r="X4" i="2"/>
  <c r="W5" i="2"/>
  <c r="X5" i="2"/>
  <c r="W6" i="2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36" i="2"/>
  <c r="X36" i="2"/>
  <c r="W37" i="2"/>
  <c r="X37" i="2"/>
  <c r="W38" i="2"/>
  <c r="X38" i="2"/>
  <c r="W39" i="2"/>
  <c r="X39" i="2"/>
  <c r="W40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W70" i="2"/>
  <c r="X70" i="2"/>
  <c r="W71" i="2"/>
  <c r="X71" i="2"/>
  <c r="W72" i="2"/>
  <c r="X72" i="2"/>
  <c r="W73" i="2"/>
  <c r="X73" i="2"/>
  <c r="W74" i="2"/>
  <c r="X74" i="2"/>
  <c r="W75" i="2"/>
  <c r="X75" i="2"/>
  <c r="W76" i="2"/>
  <c r="X76" i="2"/>
  <c r="W77" i="2"/>
  <c r="X77" i="2"/>
  <c r="W78" i="2"/>
  <c r="X78" i="2"/>
  <c r="W79" i="2"/>
  <c r="X79" i="2"/>
  <c r="W80" i="2"/>
  <c r="X80" i="2"/>
  <c r="W81" i="2"/>
  <c r="X81" i="2"/>
  <c r="W82" i="2"/>
  <c r="X82" i="2"/>
  <c r="W83" i="2"/>
  <c r="X83" i="2"/>
  <c r="W84" i="2"/>
  <c r="X84" i="2"/>
  <c r="W85" i="2"/>
  <c r="X85" i="2"/>
  <c r="W86" i="2"/>
  <c r="X86" i="2"/>
  <c r="W87" i="2"/>
  <c r="X87" i="2"/>
  <c r="W88" i="2"/>
  <c r="X88" i="2"/>
  <c r="W89" i="2"/>
  <c r="X89" i="2"/>
  <c r="W90" i="2"/>
  <c r="X90" i="2"/>
  <c r="W91" i="2"/>
  <c r="X91" i="2"/>
  <c r="W92" i="2"/>
  <c r="X92" i="2"/>
  <c r="W93" i="2"/>
  <c r="X93" i="2"/>
  <c r="W94" i="2"/>
  <c r="X94" i="2"/>
  <c r="W95" i="2"/>
  <c r="X95" i="2"/>
  <c r="W96" i="2"/>
  <c r="X96" i="2"/>
  <c r="W97" i="2"/>
  <c r="X97" i="2"/>
  <c r="W98" i="2"/>
  <c r="X98" i="2"/>
  <c r="W99" i="2"/>
  <c r="X99" i="2"/>
  <c r="W100" i="2"/>
  <c r="X100" i="2"/>
  <c r="W101" i="2"/>
  <c r="X101" i="2"/>
  <c r="W102" i="2"/>
  <c r="X102" i="2"/>
  <c r="W103" i="2"/>
  <c r="X103" i="2"/>
  <c r="W104" i="2"/>
  <c r="X104" i="2"/>
  <c r="W105" i="2"/>
  <c r="X105" i="2"/>
  <c r="W106" i="2"/>
  <c r="X106" i="2"/>
  <c r="W107" i="2"/>
  <c r="X107" i="2"/>
  <c r="W108" i="2"/>
  <c r="X108" i="2"/>
  <c r="W109" i="2"/>
  <c r="X109" i="2"/>
  <c r="W110" i="2"/>
  <c r="X110" i="2"/>
  <c r="W111" i="2"/>
  <c r="X111" i="2"/>
  <c r="W112" i="2"/>
  <c r="X112" i="2"/>
  <c r="W113" i="2"/>
  <c r="X113" i="2"/>
  <c r="W114" i="2"/>
  <c r="X114" i="2"/>
  <c r="W115" i="2"/>
  <c r="X115" i="2"/>
  <c r="W116" i="2"/>
  <c r="X116" i="2"/>
  <c r="W117" i="2"/>
  <c r="X117" i="2"/>
  <c r="W118" i="2"/>
  <c r="X118" i="2"/>
  <c r="W119" i="2"/>
  <c r="X119" i="2"/>
  <c r="W120" i="2"/>
  <c r="X120" i="2"/>
  <c r="W121" i="2"/>
  <c r="X121" i="2"/>
  <c r="W122" i="2"/>
  <c r="X122" i="2"/>
  <c r="W123" i="2"/>
  <c r="X123" i="2"/>
  <c r="W124" i="2"/>
  <c r="X124" i="2"/>
  <c r="W125" i="2"/>
  <c r="X125" i="2"/>
  <c r="W126" i="2"/>
  <c r="X126" i="2"/>
  <c r="W127" i="2"/>
  <c r="X127" i="2"/>
  <c r="W128" i="2"/>
  <c r="X128" i="2"/>
  <c r="W129" i="2"/>
  <c r="X129" i="2"/>
  <c r="W130" i="2"/>
  <c r="X130" i="2"/>
  <c r="W131" i="2"/>
  <c r="X131" i="2"/>
  <c r="W132" i="2"/>
  <c r="X132" i="2"/>
  <c r="W133" i="2"/>
  <c r="X133" i="2"/>
  <c r="W134" i="2"/>
  <c r="X134" i="2"/>
  <c r="W135" i="2"/>
  <c r="X135" i="2"/>
  <c r="W136" i="2"/>
  <c r="X136" i="2"/>
  <c r="W137" i="2"/>
  <c r="X137" i="2"/>
  <c r="W138" i="2"/>
  <c r="X138" i="2"/>
  <c r="W139" i="2"/>
  <c r="X139" i="2"/>
  <c r="W140" i="2"/>
  <c r="X140" i="2"/>
  <c r="W141" i="2"/>
  <c r="X141" i="2"/>
  <c r="W142" i="2"/>
  <c r="X142" i="2"/>
  <c r="W143" i="2"/>
  <c r="X143" i="2"/>
  <c r="W144" i="2"/>
  <c r="X144" i="2"/>
  <c r="W145" i="2"/>
  <c r="X145" i="2"/>
  <c r="W146" i="2"/>
  <c r="X146" i="2"/>
  <c r="W147" i="2"/>
  <c r="X147" i="2"/>
  <c r="W148" i="2"/>
  <c r="X148" i="2"/>
  <c r="W149" i="2"/>
  <c r="X149" i="2"/>
  <c r="W150" i="2"/>
  <c r="X150" i="2"/>
  <c r="W151" i="2"/>
  <c r="X151" i="2"/>
  <c r="W152" i="2"/>
  <c r="X152" i="2"/>
  <c r="W153" i="2"/>
  <c r="X153" i="2"/>
  <c r="W154" i="2"/>
  <c r="X154" i="2"/>
  <c r="W155" i="2"/>
  <c r="X155" i="2"/>
  <c r="W156" i="2"/>
  <c r="X156" i="2"/>
  <c r="W157" i="2"/>
  <c r="X157" i="2"/>
  <c r="W158" i="2"/>
  <c r="X158" i="2"/>
  <c r="W159" i="2"/>
  <c r="X159" i="2"/>
  <c r="W160" i="2"/>
  <c r="X160" i="2"/>
  <c r="W161" i="2"/>
  <c r="X161" i="2"/>
  <c r="W162" i="2"/>
  <c r="X162" i="2"/>
  <c r="W163" i="2"/>
  <c r="X163" i="2"/>
  <c r="W164" i="2"/>
  <c r="X164" i="2"/>
  <c r="W165" i="2"/>
  <c r="X165" i="2"/>
  <c r="W166" i="2"/>
  <c r="X166" i="2"/>
  <c r="W167" i="2"/>
  <c r="X167" i="2"/>
  <c r="W168" i="2"/>
  <c r="X168" i="2"/>
  <c r="W169" i="2"/>
  <c r="X169" i="2"/>
  <c r="W170" i="2"/>
  <c r="X170" i="2"/>
  <c r="W171" i="2"/>
  <c r="X171" i="2"/>
  <c r="W172" i="2"/>
  <c r="X172" i="2"/>
  <c r="W173" i="2"/>
  <c r="X173" i="2"/>
  <c r="W174" i="2"/>
  <c r="X174" i="2"/>
  <c r="W175" i="2"/>
  <c r="X175" i="2"/>
  <c r="W176" i="2"/>
  <c r="X176" i="2"/>
  <c r="W177" i="2"/>
  <c r="X177" i="2"/>
  <c r="W178" i="2"/>
  <c r="X178" i="2"/>
  <c r="W179" i="2"/>
  <c r="X179" i="2"/>
  <c r="W180" i="2"/>
  <c r="X180" i="2"/>
  <c r="W181" i="2"/>
  <c r="X181" i="2"/>
  <c r="W182" i="2"/>
  <c r="X182" i="2"/>
  <c r="W183" i="2"/>
  <c r="X183" i="2"/>
  <c r="W184" i="2"/>
  <c r="X184" i="2"/>
  <c r="W185" i="2"/>
  <c r="X185" i="2"/>
  <c r="W186" i="2"/>
  <c r="X186" i="2"/>
  <c r="W187" i="2"/>
  <c r="X187" i="2"/>
  <c r="W188" i="2"/>
  <c r="X188" i="2"/>
  <c r="W189" i="2"/>
  <c r="X189" i="2"/>
  <c r="W190" i="2"/>
  <c r="X190" i="2"/>
  <c r="W191" i="2"/>
  <c r="X191" i="2"/>
  <c r="W192" i="2"/>
  <c r="X192" i="2"/>
  <c r="W193" i="2"/>
  <c r="X193" i="2"/>
  <c r="W194" i="2"/>
  <c r="X194" i="2"/>
  <c r="W195" i="2"/>
  <c r="X195" i="2"/>
  <c r="W196" i="2"/>
  <c r="X196" i="2"/>
  <c r="W197" i="2"/>
  <c r="X197" i="2"/>
  <c r="W198" i="2"/>
  <c r="X198" i="2"/>
  <c r="W199" i="2"/>
  <c r="X199" i="2"/>
  <c r="W200" i="2"/>
  <c r="X200" i="2"/>
  <c r="W201" i="2"/>
  <c r="X201" i="2"/>
  <c r="W202" i="2"/>
  <c r="X202" i="2"/>
  <c r="W203" i="2"/>
  <c r="X203" i="2"/>
  <c r="W204" i="2"/>
  <c r="X204" i="2"/>
  <c r="W205" i="2"/>
  <c r="X205" i="2"/>
  <c r="W206" i="2"/>
  <c r="X206" i="2"/>
  <c r="W207" i="2"/>
  <c r="X207" i="2"/>
  <c r="W208" i="2"/>
  <c r="X208" i="2"/>
  <c r="W209" i="2"/>
  <c r="X209" i="2"/>
  <c r="W210" i="2"/>
  <c r="X210" i="2"/>
  <c r="W211" i="2"/>
  <c r="X211" i="2"/>
  <c r="W212" i="2"/>
  <c r="X212" i="2"/>
  <c r="W213" i="2"/>
  <c r="X213" i="2"/>
  <c r="W214" i="2"/>
  <c r="X214" i="2"/>
  <c r="W215" i="2"/>
  <c r="X215" i="2"/>
  <c r="W216" i="2"/>
  <c r="X216" i="2"/>
  <c r="W217" i="2"/>
  <c r="X217" i="2"/>
  <c r="W218" i="2"/>
  <c r="X218" i="2"/>
  <c r="W219" i="2"/>
  <c r="X219" i="2"/>
  <c r="W220" i="2"/>
  <c r="X220" i="2"/>
  <c r="W221" i="2"/>
  <c r="X221" i="2"/>
  <c r="W222" i="2"/>
  <c r="X222" i="2"/>
  <c r="W223" i="2"/>
  <c r="X223" i="2"/>
  <c r="W224" i="2"/>
  <c r="X224" i="2"/>
  <c r="W225" i="2"/>
  <c r="X225" i="2"/>
  <c r="W226" i="2"/>
  <c r="X226" i="2"/>
  <c r="W227" i="2"/>
  <c r="X227" i="2"/>
  <c r="W228" i="2"/>
  <c r="X228" i="2"/>
  <c r="W229" i="2"/>
  <c r="X229" i="2"/>
  <c r="W230" i="2"/>
  <c r="X230" i="2"/>
  <c r="W231" i="2"/>
  <c r="X231" i="2"/>
  <c r="W232" i="2"/>
  <c r="X232" i="2"/>
  <c r="W233" i="2"/>
  <c r="X233" i="2"/>
  <c r="W234" i="2"/>
  <c r="X234" i="2"/>
  <c r="W235" i="2"/>
  <c r="X235" i="2"/>
  <c r="W236" i="2"/>
  <c r="X236" i="2"/>
  <c r="W237" i="2"/>
  <c r="X237" i="2"/>
  <c r="W238" i="2"/>
  <c r="X238" i="2"/>
  <c r="W239" i="2"/>
  <c r="X239" i="2"/>
  <c r="W240" i="2"/>
  <c r="X240" i="2"/>
  <c r="W241" i="2"/>
  <c r="X241" i="2"/>
  <c r="W242" i="2"/>
  <c r="X242" i="2"/>
  <c r="W243" i="2"/>
  <c r="X243" i="2"/>
  <c r="W244" i="2"/>
  <c r="X244" i="2"/>
  <c r="W245" i="2"/>
  <c r="X245" i="2"/>
  <c r="W246" i="2"/>
  <c r="X246" i="2"/>
  <c r="W247" i="2"/>
  <c r="X247" i="2"/>
  <c r="W248" i="2"/>
  <c r="X248" i="2"/>
  <c r="W249" i="2"/>
  <c r="X249" i="2"/>
  <c r="W250" i="2"/>
  <c r="X250" i="2"/>
  <c r="W251" i="2"/>
  <c r="X251" i="2"/>
  <c r="W252" i="2"/>
  <c r="X252" i="2"/>
  <c r="W253" i="2"/>
  <c r="X253" i="2"/>
  <c r="W254" i="2"/>
  <c r="X254" i="2"/>
  <c r="W255" i="2"/>
  <c r="X255" i="2"/>
  <c r="W256" i="2"/>
  <c r="X256" i="2"/>
  <c r="W257" i="2"/>
  <c r="X257" i="2"/>
  <c r="W258" i="2"/>
  <c r="X258" i="2"/>
  <c r="W259" i="2"/>
  <c r="X259" i="2"/>
  <c r="W260" i="2"/>
  <c r="X260" i="2"/>
  <c r="W261" i="2"/>
  <c r="X261" i="2"/>
  <c r="W262" i="2"/>
  <c r="X262" i="2"/>
  <c r="W263" i="2"/>
  <c r="X263" i="2"/>
  <c r="W264" i="2"/>
  <c r="X264" i="2"/>
  <c r="W265" i="2"/>
  <c r="X265" i="2"/>
  <c r="W266" i="2"/>
  <c r="X266" i="2"/>
  <c r="W267" i="2"/>
  <c r="X267" i="2"/>
  <c r="W268" i="2"/>
  <c r="X268" i="2"/>
  <c r="W269" i="2"/>
  <c r="X269" i="2"/>
  <c r="W270" i="2"/>
  <c r="X270" i="2"/>
  <c r="W271" i="2"/>
  <c r="X271" i="2"/>
  <c r="W272" i="2"/>
  <c r="X272" i="2"/>
  <c r="W273" i="2"/>
  <c r="X273" i="2"/>
  <c r="W274" i="2"/>
  <c r="X274" i="2"/>
  <c r="W275" i="2"/>
  <c r="X275" i="2"/>
  <c r="W276" i="2"/>
  <c r="X276" i="2"/>
  <c r="W277" i="2"/>
  <c r="X277" i="2"/>
  <c r="W278" i="2"/>
  <c r="X278" i="2"/>
  <c r="W279" i="2"/>
  <c r="X279" i="2"/>
  <c r="W280" i="2"/>
  <c r="X280" i="2"/>
  <c r="W281" i="2"/>
  <c r="X281" i="2"/>
  <c r="W282" i="2"/>
  <c r="X282" i="2"/>
  <c r="W283" i="2"/>
  <c r="X283" i="2"/>
  <c r="W284" i="2"/>
  <c r="X284" i="2"/>
  <c r="W285" i="2"/>
  <c r="X285" i="2"/>
  <c r="W286" i="2"/>
  <c r="X286" i="2"/>
  <c r="W287" i="2"/>
  <c r="X287" i="2"/>
  <c r="W288" i="2"/>
  <c r="X288" i="2"/>
  <c r="W289" i="2"/>
  <c r="X289" i="2"/>
  <c r="W290" i="2"/>
  <c r="X290" i="2"/>
  <c r="W291" i="2"/>
  <c r="X291" i="2"/>
  <c r="W292" i="2"/>
  <c r="X292" i="2"/>
  <c r="W293" i="2"/>
  <c r="X293" i="2"/>
  <c r="W294" i="2"/>
  <c r="X294" i="2"/>
  <c r="W295" i="2"/>
  <c r="X295" i="2"/>
  <c r="W296" i="2"/>
  <c r="X296" i="2"/>
  <c r="W297" i="2"/>
  <c r="X297" i="2"/>
  <c r="W298" i="2"/>
  <c r="X298" i="2"/>
  <c r="W299" i="2"/>
  <c r="X299" i="2"/>
  <c r="W300" i="2"/>
  <c r="X300" i="2"/>
  <c r="W301" i="2"/>
  <c r="X301" i="2"/>
  <c r="W302" i="2"/>
  <c r="X302" i="2"/>
  <c r="W303" i="2"/>
  <c r="X303" i="2"/>
  <c r="W304" i="2"/>
  <c r="X304" i="2"/>
  <c r="W305" i="2"/>
  <c r="X305" i="2"/>
  <c r="W306" i="2"/>
  <c r="X306" i="2"/>
  <c r="W307" i="2"/>
  <c r="X307" i="2"/>
  <c r="W308" i="2"/>
  <c r="X308" i="2"/>
  <c r="W309" i="2"/>
  <c r="X309" i="2"/>
  <c r="W310" i="2"/>
  <c r="X310" i="2"/>
  <c r="W311" i="2"/>
  <c r="X311" i="2"/>
  <c r="W312" i="2"/>
  <c r="X312" i="2"/>
  <c r="W313" i="2"/>
  <c r="X313" i="2"/>
  <c r="W314" i="2"/>
  <c r="X314" i="2"/>
  <c r="W315" i="2"/>
  <c r="X315" i="2"/>
  <c r="W316" i="2"/>
  <c r="X316" i="2"/>
  <c r="W317" i="2"/>
  <c r="X317" i="2"/>
  <c r="W318" i="2"/>
  <c r="X318" i="2"/>
  <c r="W319" i="2"/>
  <c r="X319" i="2"/>
  <c r="W320" i="2"/>
  <c r="X320" i="2"/>
  <c r="W321" i="2"/>
  <c r="X321" i="2"/>
  <c r="W322" i="2"/>
  <c r="X322" i="2"/>
  <c r="W323" i="2"/>
  <c r="X323" i="2"/>
  <c r="W324" i="2"/>
  <c r="X324" i="2"/>
  <c r="W325" i="2"/>
  <c r="X325" i="2"/>
  <c r="W326" i="2"/>
  <c r="X326" i="2"/>
  <c r="W327" i="2"/>
  <c r="X327" i="2"/>
  <c r="W328" i="2"/>
  <c r="X328" i="2"/>
  <c r="W329" i="2"/>
  <c r="X329" i="2"/>
  <c r="W330" i="2"/>
  <c r="X330" i="2"/>
  <c r="W331" i="2"/>
  <c r="X331" i="2"/>
  <c r="W332" i="2"/>
  <c r="X332" i="2"/>
  <c r="W333" i="2"/>
  <c r="X333" i="2"/>
  <c r="W334" i="2"/>
  <c r="X334" i="2"/>
  <c r="W335" i="2"/>
  <c r="X335" i="2"/>
  <c r="W336" i="2"/>
  <c r="X336" i="2"/>
  <c r="W337" i="2"/>
  <c r="X337" i="2"/>
  <c r="W338" i="2"/>
  <c r="X338" i="2"/>
  <c r="W339" i="2"/>
  <c r="X339" i="2"/>
  <c r="W340" i="2"/>
  <c r="X340" i="2"/>
  <c r="W341" i="2"/>
  <c r="X341" i="2"/>
  <c r="W342" i="2"/>
  <c r="X342" i="2"/>
  <c r="W343" i="2"/>
  <c r="X343" i="2"/>
  <c r="W344" i="2"/>
  <c r="X344" i="2"/>
  <c r="X3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" i="2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/>
  <c r="S10" i="2" a="1"/>
  <c r="S10" i="2"/>
  <c r="S11" i="2" a="1"/>
  <c r="S11" i="2"/>
  <c r="S12" i="2" a="1"/>
  <c r="S12" i="2" s="1"/>
  <c r="S13" i="2" a="1"/>
  <c r="S13" i="2" s="1"/>
  <c r="S14" i="2" a="1"/>
  <c r="S14" i="2"/>
  <c r="S15" i="2" a="1"/>
  <c r="S15" i="2" s="1"/>
  <c r="S16" i="2" a="1"/>
  <c r="S16" i="2" s="1"/>
  <c r="S17" i="2" a="1"/>
  <c r="S17" i="2" s="1"/>
  <c r="S18" i="2" a="1"/>
  <c r="S18" i="2" s="1"/>
  <c r="S19" i="2" a="1"/>
  <c r="S19" i="2"/>
  <c r="S20" i="2" a="1"/>
  <c r="S20" i="2" s="1"/>
  <c r="S21" i="2" a="1"/>
  <c r="S21" i="2"/>
  <c r="S22" i="2" a="1"/>
  <c r="S22" i="2"/>
  <c r="S23" i="2" a="1"/>
  <c r="S23" i="2"/>
  <c r="S24" i="2" a="1"/>
  <c r="S24" i="2" s="1"/>
  <c r="S25" i="2" a="1"/>
  <c r="S25" i="2"/>
  <c r="S26" i="2" a="1"/>
  <c r="S26" i="2" s="1"/>
  <c r="S27" i="2" a="1"/>
  <c r="S27" i="2" s="1"/>
  <c r="S28" i="2" a="1"/>
  <c r="S28" i="2" s="1"/>
  <c r="S29" i="2" a="1"/>
  <c r="S29" i="2" s="1"/>
  <c r="S30" i="2" a="1"/>
  <c r="S30" i="2"/>
  <c r="S31" i="2" a="1"/>
  <c r="S31" i="2"/>
  <c r="S32" i="2" a="1"/>
  <c r="S32" i="2" s="1"/>
  <c r="S33" i="2" a="1"/>
  <c r="S33" i="2"/>
  <c r="S34" i="2" a="1"/>
  <c r="S34" i="2"/>
  <c r="S35" i="2" a="1"/>
  <c r="S35" i="2" s="1"/>
  <c r="S36" i="2" a="1"/>
  <c r="S36" i="2" s="1"/>
  <c r="S37" i="2" a="1"/>
  <c r="S37" i="2"/>
  <c r="S38" i="2" a="1"/>
  <c r="S38" i="2" s="1"/>
  <c r="S39" i="2" a="1"/>
  <c r="S39" i="2"/>
  <c r="S40" i="2" a="1"/>
  <c r="S40" i="2" s="1"/>
  <c r="S41" i="2" a="1"/>
  <c r="S41" i="2" s="1"/>
  <c r="S42" i="2" a="1"/>
  <c r="S42" i="2"/>
  <c r="S43" i="2" a="1"/>
  <c r="S43" i="2"/>
  <c r="S44" i="2" a="1"/>
  <c r="S44" i="2" s="1"/>
  <c r="S45" i="2" a="1"/>
  <c r="S45" i="2"/>
  <c r="S46" i="2" a="1"/>
  <c r="S46" i="2"/>
  <c r="S47" i="2" a="1"/>
  <c r="S47" i="2" s="1"/>
  <c r="S48" i="2" a="1"/>
  <c r="S48" i="2" s="1"/>
  <c r="S49" i="2" a="1"/>
  <c r="S49" i="2" s="1"/>
  <c r="S50" i="2" a="1"/>
  <c r="S50" i="2" s="1"/>
  <c r="S51" i="2" a="1"/>
  <c r="S51" i="2"/>
  <c r="S52" i="2" a="1"/>
  <c r="S52" i="2" s="1"/>
  <c r="S53" i="2" a="1"/>
  <c r="S53" i="2"/>
  <c r="S54" i="2" a="1"/>
  <c r="S54" i="2"/>
  <c r="S55" i="2" a="1"/>
  <c r="S55" i="2"/>
  <c r="S56" i="2" a="1"/>
  <c r="S56" i="2" s="1"/>
  <c r="S57" i="2" a="1"/>
  <c r="S57" i="2"/>
  <c r="S58" i="2" a="1"/>
  <c r="S58" i="2" s="1"/>
  <c r="S59" i="2" a="1"/>
  <c r="S59" i="2" s="1"/>
  <c r="S60" i="2" a="1"/>
  <c r="S60" i="2" s="1"/>
  <c r="S61" i="2" a="1"/>
  <c r="S61" i="2" s="1"/>
  <c r="S62" i="2" a="1"/>
  <c r="S62" i="2"/>
  <c r="S63" i="2" a="1"/>
  <c r="S63" i="2"/>
  <c r="S64" i="2" a="1"/>
  <c r="S64" i="2" s="1"/>
  <c r="S65" i="2" a="1"/>
  <c r="S65" i="2"/>
  <c r="S66" i="2" a="1"/>
  <c r="S66" i="2"/>
  <c r="S67" i="2" a="1"/>
  <c r="S67" i="2" s="1"/>
  <c r="S68" i="2" a="1"/>
  <c r="S68" i="2" s="1"/>
  <c r="S69" i="2" a="1"/>
  <c r="S69" i="2"/>
  <c r="S70" i="2" a="1"/>
  <c r="S70" i="2" s="1"/>
  <c r="S71" i="2" a="1"/>
  <c r="S71" i="2"/>
  <c r="S72" i="2" a="1"/>
  <c r="S72" i="2" s="1"/>
  <c r="S73" i="2" a="1"/>
  <c r="S73" i="2" s="1"/>
  <c r="S74" i="2" a="1"/>
  <c r="S74" i="2"/>
  <c r="S75" i="2" a="1"/>
  <c r="S75" i="2"/>
  <c r="S76" i="2" a="1"/>
  <c r="S76" i="2" s="1"/>
  <c r="S77" i="2" a="1"/>
  <c r="S77" i="2"/>
  <c r="S78" i="2" a="1"/>
  <c r="S78" i="2"/>
  <c r="S79" i="2" a="1"/>
  <c r="S79" i="2" s="1"/>
  <c r="S80" i="2" a="1"/>
  <c r="S80" i="2" s="1"/>
  <c r="S81" i="2" a="1"/>
  <c r="S81" i="2" s="1"/>
  <c r="S82" i="2" a="1"/>
  <c r="S82" i="2" s="1"/>
  <c r="S83" i="2" a="1"/>
  <c r="S83" i="2"/>
  <c r="S84" i="2" a="1"/>
  <c r="S84" i="2" s="1"/>
  <c r="S85" i="2" a="1"/>
  <c r="S85" i="2"/>
  <c r="S86" i="2" a="1"/>
  <c r="S86" i="2"/>
  <c r="S87" i="2" a="1"/>
  <c r="S87" i="2"/>
  <c r="S88" i="2" a="1"/>
  <c r="S88" i="2" s="1"/>
  <c r="S89" i="2" a="1"/>
  <c r="S89" i="2"/>
  <c r="S90" i="2" a="1"/>
  <c r="S90" i="2" s="1"/>
  <c r="S91" i="2" a="1"/>
  <c r="S91" i="2" s="1"/>
  <c r="S92" i="2" a="1"/>
  <c r="S92" i="2" s="1"/>
  <c r="S93" i="2" a="1"/>
  <c r="S93" i="2" s="1"/>
  <c r="S94" i="2" a="1"/>
  <c r="S94" i="2"/>
  <c r="S95" i="2" a="1"/>
  <c r="S95" i="2"/>
  <c r="S96" i="2" a="1"/>
  <c r="S96" i="2" s="1"/>
  <c r="S97" i="2" a="1"/>
  <c r="S97" i="2"/>
  <c r="S98" i="2" a="1"/>
  <c r="S98" i="2"/>
  <c r="S99" i="2" a="1"/>
  <c r="S99" i="2" s="1"/>
  <c r="S100" i="2" a="1"/>
  <c r="S100" i="2" s="1"/>
  <c r="S101" i="2" a="1"/>
  <c r="S101" i="2"/>
  <c r="S102" i="2" a="1"/>
  <c r="S102" i="2" s="1"/>
  <c r="S103" i="2" a="1"/>
  <c r="S103" i="2"/>
  <c r="S104" i="2" a="1"/>
  <c r="S104" i="2" s="1"/>
  <c r="S105" i="2" a="1"/>
  <c r="S105" i="2" s="1"/>
  <c r="S106" i="2" a="1"/>
  <c r="S106" i="2"/>
  <c r="S107" i="2" a="1"/>
  <c r="S107" i="2"/>
  <c r="S108" i="2" a="1"/>
  <c r="S108" i="2" s="1"/>
  <c r="S109" i="2" a="1"/>
  <c r="S109" i="2"/>
  <c r="S110" i="2" a="1"/>
  <c r="S110" i="2"/>
  <c r="S111" i="2" a="1"/>
  <c r="S111" i="2" s="1"/>
  <c r="S112" i="2" a="1"/>
  <c r="S112" i="2" s="1"/>
  <c r="S113" i="2" a="1"/>
  <c r="S113" i="2" s="1"/>
  <c r="S114" i="2" a="1"/>
  <c r="S114" i="2" s="1"/>
  <c r="S115" i="2" a="1"/>
  <c r="S115" i="2"/>
  <c r="S116" i="2" a="1"/>
  <c r="S116" i="2" s="1"/>
  <c r="S117" i="2" a="1"/>
  <c r="S117" i="2"/>
  <c r="S118" i="2" a="1"/>
  <c r="S118" i="2"/>
  <c r="S119" i="2" a="1"/>
  <c r="S119" i="2"/>
  <c r="S120" i="2" a="1"/>
  <c r="S120" i="2" s="1"/>
  <c r="S121" i="2" a="1"/>
  <c r="S121" i="2"/>
  <c r="S122" i="2" a="1"/>
  <c r="S122" i="2" s="1"/>
  <c r="S123" i="2" a="1"/>
  <c r="S123" i="2" s="1"/>
  <c r="S124" i="2" a="1"/>
  <c r="S124" i="2" s="1"/>
  <c r="S125" i="2" a="1"/>
  <c r="S125" i="2" s="1"/>
  <c r="S126" i="2" a="1"/>
  <c r="S126" i="2"/>
  <c r="S127" i="2" a="1"/>
  <c r="S127" i="2"/>
  <c r="S128" i="2" a="1"/>
  <c r="S128" i="2" s="1"/>
  <c r="S129" i="2" a="1"/>
  <c r="S129" i="2"/>
  <c r="S130" i="2" a="1"/>
  <c r="S130" i="2"/>
  <c r="S131" i="2" a="1"/>
  <c r="S131" i="2" s="1"/>
  <c r="S132" i="2" a="1"/>
  <c r="S132" i="2" s="1"/>
  <c r="S133" i="2" a="1"/>
  <c r="S133" i="2"/>
  <c r="S134" i="2" a="1"/>
  <c r="S134" i="2" s="1"/>
  <c r="S135" i="2" a="1"/>
  <c r="S135" i="2"/>
  <c r="S136" i="2" a="1"/>
  <c r="S136" i="2" s="1"/>
  <c r="S137" i="2" a="1"/>
  <c r="S137" i="2" s="1"/>
  <c r="S138" i="2" a="1"/>
  <c r="S138" i="2"/>
  <c r="S139" i="2" a="1"/>
  <c r="S139" i="2"/>
  <c r="S140" i="2" a="1"/>
  <c r="S140" i="2" s="1"/>
  <c r="S141" i="2" a="1"/>
  <c r="S141" i="2"/>
  <c r="S142" i="2" a="1"/>
  <c r="S142" i="2"/>
  <c r="S143" i="2" a="1"/>
  <c r="S143" i="2" s="1"/>
  <c r="S144" i="2" a="1"/>
  <c r="S144" i="2" s="1"/>
  <c r="S145" i="2" a="1"/>
  <c r="S145" i="2" s="1"/>
  <c r="S146" i="2" a="1"/>
  <c r="S146" i="2" s="1"/>
  <c r="S147" i="2" a="1"/>
  <c r="S147" i="2"/>
  <c r="S148" i="2" a="1"/>
  <c r="S148" i="2" s="1"/>
  <c r="S149" i="2" a="1"/>
  <c r="S149" i="2"/>
  <c r="S150" i="2" a="1"/>
  <c r="S150" i="2"/>
  <c r="S151" i="2" a="1"/>
  <c r="S151" i="2"/>
  <c r="S152" i="2" a="1"/>
  <c r="S152" i="2" s="1"/>
  <c r="S153" i="2" a="1"/>
  <c r="S153" i="2"/>
  <c r="S154" i="2" a="1"/>
  <c r="S154" i="2" s="1"/>
  <c r="S155" i="2" a="1"/>
  <c r="S155" i="2" s="1"/>
  <c r="S156" i="2" a="1"/>
  <c r="S156" i="2" s="1"/>
  <c r="S157" i="2" a="1"/>
  <c r="S157" i="2" s="1"/>
  <c r="S158" i="2" a="1"/>
  <c r="S158" i="2"/>
  <c r="S159" i="2" a="1"/>
  <c r="S159" i="2"/>
  <c r="S160" i="2" a="1"/>
  <c r="S160" i="2" s="1"/>
  <c r="S161" i="2" a="1"/>
  <c r="S161" i="2"/>
  <c r="S162" i="2" a="1"/>
  <c r="S162" i="2"/>
  <c r="S163" i="2" a="1"/>
  <c r="S163" i="2" s="1"/>
  <c r="S164" i="2" a="1"/>
  <c r="S164" i="2" s="1"/>
  <c r="S165" i="2" a="1"/>
  <c r="S165" i="2" s="1"/>
  <c r="S166" i="2" a="1"/>
  <c r="S166" i="2" s="1"/>
  <c r="S167" i="2" a="1"/>
  <c r="S167" i="2"/>
  <c r="S168" i="2" a="1"/>
  <c r="S168" i="2" s="1"/>
  <c r="S169" i="2" a="1"/>
  <c r="S169" i="2"/>
  <c r="S170" i="2" a="1"/>
  <c r="S170" i="2"/>
  <c r="S171" i="2" a="1"/>
  <c r="S171" i="2"/>
  <c r="S172" i="2" a="1"/>
  <c r="S172" i="2" s="1"/>
  <c r="S173" i="2" a="1"/>
  <c r="S173" i="2"/>
  <c r="S174" i="2" a="1"/>
  <c r="S174" i="2" s="1"/>
  <c r="S175" i="2" a="1"/>
  <c r="S175" i="2" s="1"/>
  <c r="S176" i="2" a="1"/>
  <c r="S176" i="2" s="1"/>
  <c r="S177" i="2" a="1"/>
  <c r="S177" i="2" s="1"/>
  <c r="S178" i="2" a="1"/>
  <c r="S178" i="2"/>
  <c r="S179" i="2" a="1"/>
  <c r="S179" i="2"/>
  <c r="S180" i="2" a="1"/>
  <c r="S180" i="2" s="1"/>
  <c r="S181" i="2" a="1"/>
  <c r="S181" i="2"/>
  <c r="S182" i="2" a="1"/>
  <c r="S182" i="2"/>
  <c r="S183" i="2" a="1"/>
  <c r="S183" i="2" s="1"/>
  <c r="S184" i="2" a="1"/>
  <c r="S184" i="2" s="1"/>
  <c r="S185" i="2" a="1"/>
  <c r="S185" i="2"/>
  <c r="S186" i="2" a="1"/>
  <c r="S186" i="2" s="1"/>
  <c r="S187" i="2" a="1"/>
  <c r="S187" i="2"/>
  <c r="S188" i="2" a="1"/>
  <c r="S188" i="2" s="1"/>
  <c r="S189" i="2" a="1"/>
  <c r="S189" i="2" s="1"/>
  <c r="S190" i="2" a="1"/>
  <c r="S190" i="2"/>
  <c r="S191" i="2" a="1"/>
  <c r="S191" i="2"/>
  <c r="S192" i="2" a="1"/>
  <c r="S192" i="2" s="1"/>
  <c r="S193" i="2" a="1"/>
  <c r="S193" i="2"/>
  <c r="S194" i="2" a="1"/>
  <c r="S194" i="2"/>
  <c r="S195" i="2" a="1"/>
  <c r="S195" i="2" s="1"/>
  <c r="S196" i="2" a="1"/>
  <c r="S196" i="2" s="1"/>
  <c r="S197" i="2" a="1"/>
  <c r="S197" i="2" s="1"/>
  <c r="S198" i="2" a="1"/>
  <c r="S198" i="2" s="1"/>
  <c r="S199" i="2" a="1"/>
  <c r="S199" i="2"/>
  <c r="S200" i="2" a="1"/>
  <c r="S200" i="2" s="1"/>
  <c r="S201" i="2" a="1"/>
  <c r="S201" i="2"/>
  <c r="S202" i="2" a="1"/>
  <c r="S202" i="2"/>
  <c r="S203" i="2" a="1"/>
  <c r="S203" i="2"/>
  <c r="S204" i="2" a="1"/>
  <c r="S204" i="2" s="1"/>
  <c r="S205" i="2" a="1"/>
  <c r="S205" i="2"/>
  <c r="S206" i="2" a="1"/>
  <c r="S206" i="2" s="1"/>
  <c r="S207" i="2" a="1"/>
  <c r="S207" i="2" s="1"/>
  <c r="S208" i="2" a="1"/>
  <c r="S208" i="2" s="1"/>
  <c r="S209" i="2" a="1"/>
  <c r="S209" i="2" s="1"/>
  <c r="S210" i="2" a="1"/>
  <c r="S210" i="2"/>
  <c r="S211" i="2" a="1"/>
  <c r="S211" i="2"/>
  <c r="S212" i="2" a="1"/>
  <c r="S212" i="2" s="1"/>
  <c r="S213" i="2" a="1"/>
  <c r="S213" i="2"/>
  <c r="S214" i="2" a="1"/>
  <c r="S214" i="2"/>
  <c r="S215" i="2" a="1"/>
  <c r="S215" i="2" s="1"/>
  <c r="S216" i="2" a="1"/>
  <c r="S216" i="2" s="1"/>
  <c r="S217" i="2" a="1"/>
  <c r="S217" i="2" s="1"/>
  <c r="S218" i="2" a="1"/>
  <c r="S218" i="2" s="1"/>
  <c r="S219" i="2" a="1"/>
  <c r="S219" i="2"/>
  <c r="S220" i="2" a="1"/>
  <c r="S220" i="2" s="1"/>
  <c r="S221" i="2" a="1"/>
  <c r="S221" i="2"/>
  <c r="S222" i="2" a="1"/>
  <c r="S222" i="2"/>
  <c r="S223" i="2" a="1"/>
  <c r="S223" i="2"/>
  <c r="S224" i="2" a="1"/>
  <c r="S224" i="2" s="1"/>
  <c r="S225" i="2" a="1"/>
  <c r="S225" i="2"/>
  <c r="S226" i="2" a="1"/>
  <c r="S226" i="2" s="1"/>
  <c r="S227" i="2" a="1"/>
  <c r="S227" i="2" s="1"/>
  <c r="S228" i="2" a="1"/>
  <c r="S228" i="2" s="1"/>
  <c r="S229" i="2" a="1"/>
  <c r="S229" i="2" s="1"/>
  <c r="S230" i="2" a="1"/>
  <c r="S230" i="2"/>
  <c r="S231" i="2" a="1"/>
  <c r="S231" i="2"/>
  <c r="S232" i="2" a="1"/>
  <c r="S232" i="2" s="1"/>
  <c r="S233" i="2" a="1"/>
  <c r="S233" i="2"/>
  <c r="S234" i="2" a="1"/>
  <c r="S234" i="2"/>
  <c r="S235" i="2" a="1"/>
  <c r="S235" i="2" s="1"/>
  <c r="S236" i="2" a="1"/>
  <c r="S236" i="2" s="1"/>
  <c r="S237" i="2" a="1"/>
  <c r="S237" i="2"/>
  <c r="S238" i="2" a="1"/>
  <c r="S238" i="2" s="1"/>
  <c r="S239" i="2" a="1"/>
  <c r="S239" i="2"/>
  <c r="S240" i="2" a="1"/>
  <c r="S240" i="2" s="1"/>
  <c r="S241" i="2" a="1"/>
  <c r="S241" i="2" s="1"/>
  <c r="S242" i="2" a="1"/>
  <c r="S242" i="2"/>
  <c r="S243" i="2" a="1"/>
  <c r="S243" i="2"/>
  <c r="S244" i="2" a="1"/>
  <c r="S244" i="2" s="1"/>
  <c r="S245" i="2" a="1"/>
  <c r="S245" i="2"/>
  <c r="S246" i="2" a="1"/>
  <c r="S246" i="2"/>
  <c r="S247" i="2" a="1"/>
  <c r="S247" i="2" s="1"/>
  <c r="S248" i="2" a="1"/>
  <c r="S248" i="2" s="1"/>
  <c r="S249" i="2" a="1"/>
  <c r="S249" i="2" s="1"/>
  <c r="S250" i="2" a="1"/>
  <c r="S250" i="2" s="1"/>
  <c r="S251" i="2" a="1"/>
  <c r="S251" i="2"/>
  <c r="S252" i="2" a="1"/>
  <c r="S252" i="2" s="1"/>
  <c r="S253" i="2" a="1"/>
  <c r="S253" i="2"/>
  <c r="S254" i="2" a="1"/>
  <c r="S254" i="2"/>
  <c r="S255" i="2" a="1"/>
  <c r="S255" i="2"/>
  <c r="S256" i="2" a="1"/>
  <c r="S256" i="2" s="1"/>
  <c r="S257" i="2" a="1"/>
  <c r="S257" i="2"/>
  <c r="S258" i="2" a="1"/>
  <c r="S258" i="2" s="1"/>
  <c r="S259" i="2" a="1"/>
  <c r="S259" i="2" s="1"/>
  <c r="S260" i="2" a="1"/>
  <c r="S260" i="2" s="1"/>
  <c r="S261" i="2" a="1"/>
  <c r="S261" i="2" s="1"/>
  <c r="S262" i="2" a="1"/>
  <c r="S262" i="2"/>
  <c r="S263" i="2" a="1"/>
  <c r="S263" i="2"/>
  <c r="S264" i="2" a="1"/>
  <c r="S264" i="2" s="1"/>
  <c r="S265" i="2" a="1"/>
  <c r="S265" i="2"/>
  <c r="S266" i="2" a="1"/>
  <c r="S266" i="2"/>
  <c r="S267" i="2" a="1"/>
  <c r="S267" i="2" s="1"/>
  <c r="S268" i="2" a="1"/>
  <c r="S268" i="2" s="1"/>
  <c r="S269" i="2" a="1"/>
  <c r="S269" i="2"/>
  <c r="S270" i="2" a="1"/>
  <c r="S270" i="2" s="1"/>
  <c r="S271" i="2" a="1"/>
  <c r="S271" i="2"/>
  <c r="S272" i="2" a="1"/>
  <c r="S272" i="2" s="1"/>
  <c r="S273" i="2" a="1"/>
  <c r="S273" i="2" s="1"/>
  <c r="S274" i="2" a="1"/>
  <c r="S274" i="2"/>
  <c r="S275" i="2" a="1"/>
  <c r="S275" i="2"/>
  <c r="S276" i="2" a="1"/>
  <c r="S276" i="2" s="1"/>
  <c r="S277" i="2" a="1"/>
  <c r="S277" i="2"/>
  <c r="S278" i="2" a="1"/>
  <c r="S278" i="2"/>
  <c r="S279" i="2" a="1"/>
  <c r="S279" i="2" s="1"/>
  <c r="S280" i="2" a="1"/>
  <c r="S280" i="2" s="1"/>
  <c r="S281" i="2" a="1"/>
  <c r="S281" i="2" s="1"/>
  <c r="S282" i="2" a="1"/>
  <c r="S282" i="2" s="1"/>
  <c r="S283" i="2" a="1"/>
  <c r="S283" i="2"/>
  <c r="S284" i="2" a="1"/>
  <c r="S284" i="2" s="1"/>
  <c r="S285" i="2" a="1"/>
  <c r="S285" i="2"/>
  <c r="S286" i="2" a="1"/>
  <c r="S286" i="2"/>
  <c r="S287" i="2" a="1"/>
  <c r="S287" i="2"/>
  <c r="S288" i="2" a="1"/>
  <c r="S288" i="2" s="1"/>
  <c r="S289" i="2" a="1"/>
  <c r="S289" i="2"/>
  <c r="S290" i="2" a="1"/>
  <c r="S290" i="2" s="1"/>
  <c r="S291" i="2" a="1"/>
  <c r="S291" i="2" s="1"/>
  <c r="S292" i="2" a="1"/>
  <c r="S292" i="2" s="1"/>
  <c r="S293" i="2" a="1"/>
  <c r="S293" i="2" s="1"/>
  <c r="S294" i="2" a="1"/>
  <c r="S294" i="2"/>
  <c r="S295" i="2" a="1"/>
  <c r="S295" i="2"/>
  <c r="S296" i="2" a="1"/>
  <c r="S296" i="2" s="1"/>
  <c r="S297" i="2" a="1"/>
  <c r="S297" i="2"/>
  <c r="S298" i="2" a="1"/>
  <c r="S298" i="2"/>
  <c r="S299" i="2" a="1"/>
  <c r="S299" i="2" s="1"/>
  <c r="S300" i="2" a="1"/>
  <c r="S300" i="2" s="1"/>
  <c r="S301" i="2" a="1"/>
  <c r="S301" i="2"/>
  <c r="S302" i="2" a="1"/>
  <c r="S302" i="2" s="1"/>
  <c r="S303" i="2" a="1"/>
  <c r="S303" i="2"/>
  <c r="S304" i="2" a="1"/>
  <c r="S304" i="2" s="1"/>
  <c r="S305" i="2" a="1"/>
  <c r="S305" i="2" s="1"/>
  <c r="S306" i="2" a="1"/>
  <c r="S306" i="2"/>
  <c r="S307" i="2" a="1"/>
  <c r="S307" i="2"/>
  <c r="S308" i="2" a="1"/>
  <c r="S308" i="2" s="1"/>
  <c r="S309" i="2" a="1"/>
  <c r="S309" i="2"/>
  <c r="S310" i="2" a="1"/>
  <c r="S310" i="2"/>
  <c r="S311" i="2" a="1"/>
  <c r="S311" i="2" s="1"/>
  <c r="S312" i="2" a="1"/>
  <c r="S312" i="2" s="1"/>
  <c r="S313" i="2" a="1"/>
  <c r="S313" i="2" s="1"/>
  <c r="S314" i="2" a="1"/>
  <c r="S314" i="2" s="1"/>
  <c r="S315" i="2" a="1"/>
  <c r="S315" i="2"/>
  <c r="S316" i="2" a="1"/>
  <c r="S316" i="2" s="1"/>
  <c r="S317" i="2" a="1"/>
  <c r="S317" i="2"/>
  <c r="S318" i="2" a="1"/>
  <c r="S318" i="2" s="1"/>
  <c r="S319" i="2" a="1"/>
  <c r="S319" i="2"/>
  <c r="S320" i="2" a="1"/>
  <c r="S320" i="2" s="1"/>
  <c r="S321" i="2" a="1"/>
  <c r="S321" i="2"/>
  <c r="S322" i="2" a="1"/>
  <c r="S322" i="2"/>
  <c r="S323" i="2" a="1"/>
  <c r="S323" i="2" s="1"/>
  <c r="S324" i="2" a="1"/>
  <c r="S324" i="2" s="1"/>
  <c r="S325" i="2" a="1"/>
  <c r="S325" i="2" s="1"/>
  <c r="S326" i="2" a="1"/>
  <c r="S326" i="2"/>
  <c r="S327" i="2" a="1"/>
  <c r="S327" i="2"/>
  <c r="S328" i="2" a="1"/>
  <c r="S328" i="2" s="1"/>
  <c r="S329" i="2" a="1"/>
  <c r="S329" i="2"/>
  <c r="S330" i="2" a="1"/>
  <c r="S330" i="2"/>
  <c r="S331" i="2" a="1"/>
  <c r="S331" i="2"/>
  <c r="S332" i="2" a="1"/>
  <c r="S332" i="2" s="1"/>
  <c r="S333" i="2" a="1"/>
  <c r="S333" i="2"/>
  <c r="S334" i="2" a="1"/>
  <c r="S334" i="2" s="1"/>
  <c r="S335" i="2" a="1"/>
  <c r="S335" i="2"/>
  <c r="S336" i="2" a="1"/>
  <c r="S336" i="2" s="1"/>
  <c r="S337" i="2" a="1"/>
  <c r="S337" i="2" s="1"/>
  <c r="S338" i="2" a="1"/>
  <c r="S338" i="2"/>
  <c r="S339" i="2" a="1"/>
  <c r="S339" i="2"/>
  <c r="S340" i="2" a="1"/>
  <c r="S340" i="2" s="1"/>
  <c r="S341" i="2" a="1"/>
  <c r="S341" i="2"/>
  <c r="S342" i="2" a="1"/>
  <c r="S342" i="2"/>
  <c r="S343" i="2" a="1"/>
  <c r="S343" i="2" s="1"/>
  <c r="S344" i="2" a="1"/>
  <c r="S344" i="2"/>
  <c r="S3" i="2" a="1"/>
  <c r="S3" i="2" s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D5" i="2"/>
  <c r="E5" i="2"/>
  <c r="F5" i="2"/>
  <c r="G5" i="2"/>
  <c r="H5" i="2"/>
  <c r="I5" i="2"/>
  <c r="T5" i="2" s="1" a="1"/>
  <c r="T5" i="2" s="1"/>
  <c r="J5" i="2"/>
  <c r="K5" i="2"/>
  <c r="L5" i="2"/>
  <c r="M5" i="2"/>
  <c r="N5" i="2"/>
  <c r="O5" i="2"/>
  <c r="P5" i="2"/>
  <c r="Q5" i="2"/>
  <c r="R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D7" i="2"/>
  <c r="E7" i="2"/>
  <c r="F7" i="2"/>
  <c r="G7" i="2"/>
  <c r="H7" i="2"/>
  <c r="I7" i="2"/>
  <c r="U7" i="2" s="1" a="1"/>
  <c r="U7" i="2" s="1"/>
  <c r="J7" i="2"/>
  <c r="K7" i="2"/>
  <c r="L7" i="2"/>
  <c r="M7" i="2"/>
  <c r="N7" i="2"/>
  <c r="O7" i="2"/>
  <c r="P7" i="2"/>
  <c r="Q7" i="2"/>
  <c r="R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D9" i="2"/>
  <c r="E9" i="2"/>
  <c r="F9" i="2"/>
  <c r="G9" i="2"/>
  <c r="H9" i="2"/>
  <c r="I9" i="2"/>
  <c r="T9" i="2" s="1" a="1"/>
  <c r="T9" i="2" s="1"/>
  <c r="J9" i="2"/>
  <c r="K9" i="2"/>
  <c r="L9" i="2"/>
  <c r="M9" i="2"/>
  <c r="N9" i="2"/>
  <c r="O9" i="2"/>
  <c r="P9" i="2"/>
  <c r="Q9" i="2"/>
  <c r="R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D11" i="2"/>
  <c r="E11" i="2"/>
  <c r="F11" i="2"/>
  <c r="G11" i="2"/>
  <c r="H11" i="2"/>
  <c r="I11" i="2"/>
  <c r="U11" i="2" s="1" a="1"/>
  <c r="U11" i="2" s="1"/>
  <c r="J11" i="2"/>
  <c r="K11" i="2"/>
  <c r="L11" i="2"/>
  <c r="M11" i="2"/>
  <c r="N11" i="2"/>
  <c r="O11" i="2"/>
  <c r="P11" i="2"/>
  <c r="Q11" i="2"/>
  <c r="R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D13" i="2"/>
  <c r="E13" i="2"/>
  <c r="F13" i="2"/>
  <c r="G13" i="2"/>
  <c r="H13" i="2"/>
  <c r="I13" i="2"/>
  <c r="U13" i="2" s="1" a="1"/>
  <c r="U13" i="2" s="1"/>
  <c r="J13" i="2"/>
  <c r="K13" i="2"/>
  <c r="L13" i="2"/>
  <c r="M13" i="2"/>
  <c r="N13" i="2"/>
  <c r="O13" i="2"/>
  <c r="P13" i="2"/>
  <c r="Q13" i="2"/>
  <c r="R13" i="2"/>
  <c r="D14" i="2"/>
  <c r="E14" i="2"/>
  <c r="F14" i="2"/>
  <c r="G14" i="2"/>
  <c r="H14" i="2"/>
  <c r="I14" i="2"/>
  <c r="T14" i="2" s="1" a="1"/>
  <c r="T14" i="2" s="1"/>
  <c r="J14" i="2"/>
  <c r="K14" i="2"/>
  <c r="L14" i="2"/>
  <c r="M14" i="2"/>
  <c r="N14" i="2"/>
  <c r="O14" i="2"/>
  <c r="P14" i="2"/>
  <c r="Q14" i="2"/>
  <c r="R14" i="2"/>
  <c r="D15" i="2"/>
  <c r="E15" i="2"/>
  <c r="F15" i="2"/>
  <c r="G15" i="2"/>
  <c r="H15" i="2"/>
  <c r="I15" i="2"/>
  <c r="U15" i="2" s="1" a="1"/>
  <c r="U15" i="2" s="1"/>
  <c r="J15" i="2"/>
  <c r="K15" i="2"/>
  <c r="L15" i="2"/>
  <c r="M15" i="2"/>
  <c r="N15" i="2"/>
  <c r="O15" i="2"/>
  <c r="P15" i="2"/>
  <c r="Q15" i="2"/>
  <c r="R15" i="2"/>
  <c r="D16" i="2"/>
  <c r="E16" i="2"/>
  <c r="F16" i="2"/>
  <c r="G16" i="2"/>
  <c r="H16" i="2"/>
  <c r="I16" i="2"/>
  <c r="T16" i="2" s="1" a="1"/>
  <c r="T16" i="2" s="1"/>
  <c r="J16" i="2"/>
  <c r="K16" i="2"/>
  <c r="L16" i="2"/>
  <c r="M16" i="2"/>
  <c r="N16" i="2"/>
  <c r="O16" i="2"/>
  <c r="P16" i="2"/>
  <c r="Q16" i="2"/>
  <c r="R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D18" i="2"/>
  <c r="E18" i="2"/>
  <c r="F18" i="2"/>
  <c r="G18" i="2"/>
  <c r="H18" i="2"/>
  <c r="I18" i="2"/>
  <c r="T18" i="2" s="1" a="1"/>
  <c r="T18" i="2" s="1"/>
  <c r="J18" i="2"/>
  <c r="K18" i="2"/>
  <c r="L18" i="2"/>
  <c r="M18" i="2"/>
  <c r="N18" i="2"/>
  <c r="O18" i="2"/>
  <c r="P18" i="2"/>
  <c r="Q18" i="2"/>
  <c r="R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D20" i="2"/>
  <c r="E20" i="2"/>
  <c r="F20" i="2"/>
  <c r="G20" i="2"/>
  <c r="H20" i="2"/>
  <c r="I20" i="2"/>
  <c r="T20" i="2" s="1" a="1"/>
  <c r="T20" i="2" s="1"/>
  <c r="J20" i="2"/>
  <c r="K20" i="2"/>
  <c r="L20" i="2"/>
  <c r="M20" i="2"/>
  <c r="N20" i="2"/>
  <c r="O20" i="2"/>
  <c r="P20" i="2"/>
  <c r="Q20" i="2"/>
  <c r="R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D22" i="2"/>
  <c r="E22" i="2"/>
  <c r="F22" i="2"/>
  <c r="G22" i="2"/>
  <c r="H22" i="2"/>
  <c r="I22" i="2"/>
  <c r="T22" i="2" s="1" a="1"/>
  <c r="T22" i="2" s="1"/>
  <c r="J22" i="2"/>
  <c r="K22" i="2"/>
  <c r="L22" i="2"/>
  <c r="M22" i="2"/>
  <c r="N22" i="2"/>
  <c r="O22" i="2"/>
  <c r="P22" i="2"/>
  <c r="Q22" i="2"/>
  <c r="R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D24" i="2"/>
  <c r="E24" i="2"/>
  <c r="F24" i="2"/>
  <c r="G24" i="2"/>
  <c r="H24" i="2"/>
  <c r="I24" i="2"/>
  <c r="T24" i="2" s="1" a="1"/>
  <c r="T24" i="2" s="1"/>
  <c r="J24" i="2"/>
  <c r="K24" i="2"/>
  <c r="L24" i="2"/>
  <c r="M24" i="2"/>
  <c r="N24" i="2"/>
  <c r="O24" i="2"/>
  <c r="P24" i="2"/>
  <c r="Q24" i="2"/>
  <c r="R24" i="2"/>
  <c r="D25" i="2"/>
  <c r="E25" i="2"/>
  <c r="F25" i="2"/>
  <c r="G25" i="2"/>
  <c r="H25" i="2"/>
  <c r="I25" i="2"/>
  <c r="T25" i="2" s="1" a="1"/>
  <c r="T25" i="2" s="1"/>
  <c r="J25" i="2"/>
  <c r="K25" i="2"/>
  <c r="L25" i="2"/>
  <c r="M25" i="2"/>
  <c r="N25" i="2"/>
  <c r="O25" i="2"/>
  <c r="P25" i="2"/>
  <c r="Q25" i="2"/>
  <c r="R25" i="2"/>
  <c r="D26" i="2"/>
  <c r="E26" i="2"/>
  <c r="F26" i="2"/>
  <c r="G26" i="2"/>
  <c r="H26" i="2"/>
  <c r="I26" i="2"/>
  <c r="U26" i="2" s="1" a="1"/>
  <c r="U26" i="2" s="1"/>
  <c r="J26" i="2"/>
  <c r="K26" i="2"/>
  <c r="L26" i="2"/>
  <c r="M26" i="2"/>
  <c r="N26" i="2"/>
  <c r="O26" i="2"/>
  <c r="P26" i="2"/>
  <c r="Q26" i="2"/>
  <c r="R26" i="2"/>
  <c r="D27" i="2"/>
  <c r="E27" i="2"/>
  <c r="F27" i="2"/>
  <c r="G27" i="2"/>
  <c r="H27" i="2"/>
  <c r="I27" i="2"/>
  <c r="T27" i="2" s="1" a="1"/>
  <c r="T27" i="2" s="1"/>
  <c r="J27" i="2"/>
  <c r="K27" i="2"/>
  <c r="L27" i="2"/>
  <c r="M27" i="2"/>
  <c r="N27" i="2"/>
  <c r="O27" i="2"/>
  <c r="P27" i="2"/>
  <c r="Q27" i="2"/>
  <c r="R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D29" i="2"/>
  <c r="E29" i="2"/>
  <c r="F29" i="2"/>
  <c r="G29" i="2"/>
  <c r="H29" i="2"/>
  <c r="I29" i="2"/>
  <c r="T29" i="2" s="1" a="1"/>
  <c r="T29" i="2" s="1"/>
  <c r="J29" i="2"/>
  <c r="K29" i="2"/>
  <c r="L29" i="2"/>
  <c r="M29" i="2"/>
  <c r="N29" i="2"/>
  <c r="O29" i="2"/>
  <c r="P29" i="2"/>
  <c r="Q29" i="2"/>
  <c r="R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D31" i="2"/>
  <c r="E31" i="2"/>
  <c r="F31" i="2"/>
  <c r="G31" i="2"/>
  <c r="H31" i="2"/>
  <c r="I31" i="2"/>
  <c r="U31" i="2" s="1" a="1"/>
  <c r="U31" i="2" s="1"/>
  <c r="J31" i="2"/>
  <c r="K31" i="2"/>
  <c r="L31" i="2"/>
  <c r="M31" i="2"/>
  <c r="N31" i="2"/>
  <c r="O31" i="2"/>
  <c r="P31" i="2"/>
  <c r="Q31" i="2"/>
  <c r="R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D33" i="2"/>
  <c r="E33" i="2"/>
  <c r="F33" i="2"/>
  <c r="G33" i="2"/>
  <c r="H33" i="2"/>
  <c r="I33" i="2"/>
  <c r="U33" i="2" s="1" a="1"/>
  <c r="U33" i="2" s="1"/>
  <c r="J33" i="2"/>
  <c r="K33" i="2"/>
  <c r="L33" i="2"/>
  <c r="M33" i="2"/>
  <c r="N33" i="2"/>
  <c r="O33" i="2"/>
  <c r="P33" i="2"/>
  <c r="Q33" i="2"/>
  <c r="R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D35" i="2"/>
  <c r="E35" i="2"/>
  <c r="F35" i="2"/>
  <c r="G35" i="2"/>
  <c r="H35" i="2"/>
  <c r="I35" i="2"/>
  <c r="U35" i="2" s="1" a="1"/>
  <c r="U35" i="2" s="1"/>
  <c r="J35" i="2"/>
  <c r="K35" i="2"/>
  <c r="L35" i="2"/>
  <c r="M35" i="2"/>
  <c r="N35" i="2"/>
  <c r="O35" i="2"/>
  <c r="P35" i="2"/>
  <c r="Q35" i="2"/>
  <c r="R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D37" i="2"/>
  <c r="E37" i="2"/>
  <c r="F37" i="2"/>
  <c r="G37" i="2"/>
  <c r="H37" i="2"/>
  <c r="I37" i="2"/>
  <c r="U37" i="2" s="1" a="1"/>
  <c r="U37" i="2" s="1"/>
  <c r="J37" i="2"/>
  <c r="K37" i="2"/>
  <c r="L37" i="2"/>
  <c r="M37" i="2"/>
  <c r="N37" i="2"/>
  <c r="O37" i="2"/>
  <c r="P37" i="2"/>
  <c r="Q37" i="2"/>
  <c r="R37" i="2"/>
  <c r="D38" i="2"/>
  <c r="E38" i="2"/>
  <c r="F38" i="2"/>
  <c r="G38" i="2"/>
  <c r="H38" i="2"/>
  <c r="I38" i="2"/>
  <c r="T38" i="2" s="1" a="1"/>
  <c r="T38" i="2" s="1"/>
  <c r="J38" i="2"/>
  <c r="K38" i="2"/>
  <c r="L38" i="2"/>
  <c r="M38" i="2"/>
  <c r="N38" i="2"/>
  <c r="O38" i="2"/>
  <c r="P38" i="2"/>
  <c r="Q38" i="2"/>
  <c r="R38" i="2"/>
  <c r="D39" i="2"/>
  <c r="E39" i="2"/>
  <c r="F39" i="2"/>
  <c r="G39" i="2"/>
  <c r="H39" i="2"/>
  <c r="I39" i="2"/>
  <c r="U39" i="2" s="1" a="1"/>
  <c r="U39" i="2" s="1"/>
  <c r="J39" i="2"/>
  <c r="K39" i="2"/>
  <c r="L39" i="2"/>
  <c r="M39" i="2"/>
  <c r="N39" i="2"/>
  <c r="O39" i="2"/>
  <c r="P39" i="2"/>
  <c r="Q39" i="2"/>
  <c r="R39" i="2"/>
  <c r="D40" i="2"/>
  <c r="E40" i="2"/>
  <c r="F40" i="2"/>
  <c r="G40" i="2"/>
  <c r="H40" i="2"/>
  <c r="I40" i="2"/>
  <c r="T40" i="2" s="1" a="1"/>
  <c r="T40" i="2" s="1"/>
  <c r="J40" i="2"/>
  <c r="K40" i="2"/>
  <c r="L40" i="2"/>
  <c r="M40" i="2"/>
  <c r="N40" i="2"/>
  <c r="O40" i="2"/>
  <c r="P40" i="2"/>
  <c r="Q40" i="2"/>
  <c r="R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D42" i="2"/>
  <c r="E42" i="2"/>
  <c r="F42" i="2"/>
  <c r="G42" i="2"/>
  <c r="H42" i="2"/>
  <c r="I42" i="2"/>
  <c r="U42" i="2" s="1" a="1"/>
  <c r="U42" i="2" s="1"/>
  <c r="J42" i="2"/>
  <c r="K42" i="2"/>
  <c r="L42" i="2"/>
  <c r="M42" i="2"/>
  <c r="N42" i="2"/>
  <c r="O42" i="2"/>
  <c r="P42" i="2"/>
  <c r="Q42" i="2"/>
  <c r="R42" i="2"/>
  <c r="D43" i="2"/>
  <c r="E43" i="2"/>
  <c r="F43" i="2"/>
  <c r="G43" i="2"/>
  <c r="H43" i="2"/>
  <c r="I43" i="2"/>
  <c r="T43" i="2" s="1" a="1"/>
  <c r="T43" i="2" s="1"/>
  <c r="J43" i="2"/>
  <c r="K43" i="2"/>
  <c r="L43" i="2"/>
  <c r="M43" i="2"/>
  <c r="N43" i="2"/>
  <c r="O43" i="2"/>
  <c r="P43" i="2"/>
  <c r="Q43" i="2"/>
  <c r="R43" i="2"/>
  <c r="D44" i="2"/>
  <c r="E44" i="2"/>
  <c r="F44" i="2"/>
  <c r="G44" i="2"/>
  <c r="H44" i="2"/>
  <c r="I44" i="2"/>
  <c r="U44" i="2" s="1" a="1"/>
  <c r="U44" i="2" s="1"/>
  <c r="J44" i="2"/>
  <c r="K44" i="2"/>
  <c r="L44" i="2"/>
  <c r="M44" i="2"/>
  <c r="N44" i="2"/>
  <c r="O44" i="2"/>
  <c r="P44" i="2"/>
  <c r="Q44" i="2"/>
  <c r="R44" i="2"/>
  <c r="D45" i="2"/>
  <c r="E45" i="2"/>
  <c r="F45" i="2"/>
  <c r="G45" i="2"/>
  <c r="H45" i="2"/>
  <c r="I45" i="2"/>
  <c r="T45" i="2" s="1" a="1"/>
  <c r="T45" i="2" s="1"/>
  <c r="J45" i="2"/>
  <c r="K45" i="2"/>
  <c r="L45" i="2"/>
  <c r="M45" i="2"/>
  <c r="N45" i="2"/>
  <c r="O45" i="2"/>
  <c r="P45" i="2"/>
  <c r="Q45" i="2"/>
  <c r="R45" i="2"/>
  <c r="D46" i="2"/>
  <c r="E46" i="2"/>
  <c r="F46" i="2"/>
  <c r="G46" i="2"/>
  <c r="H46" i="2"/>
  <c r="I46" i="2"/>
  <c r="U46" i="2" s="1" a="1"/>
  <c r="U46" i="2" s="1"/>
  <c r="J46" i="2"/>
  <c r="K46" i="2"/>
  <c r="L46" i="2"/>
  <c r="M46" i="2"/>
  <c r="N46" i="2"/>
  <c r="O46" i="2"/>
  <c r="P46" i="2"/>
  <c r="Q46" i="2"/>
  <c r="R46" i="2"/>
  <c r="D47" i="2"/>
  <c r="E47" i="2"/>
  <c r="F47" i="2"/>
  <c r="G47" i="2"/>
  <c r="H47" i="2"/>
  <c r="I47" i="2"/>
  <c r="T47" i="2" s="1" a="1"/>
  <c r="T47" i="2" s="1"/>
  <c r="J47" i="2"/>
  <c r="K47" i="2"/>
  <c r="L47" i="2"/>
  <c r="M47" i="2"/>
  <c r="N47" i="2"/>
  <c r="O47" i="2"/>
  <c r="P47" i="2"/>
  <c r="Q47" i="2"/>
  <c r="R47" i="2"/>
  <c r="D48" i="2"/>
  <c r="E48" i="2"/>
  <c r="F48" i="2"/>
  <c r="G48" i="2"/>
  <c r="H48" i="2"/>
  <c r="I48" i="2"/>
  <c r="U48" i="2" s="1" a="1"/>
  <c r="U48" i="2" s="1"/>
  <c r="J48" i="2"/>
  <c r="K48" i="2"/>
  <c r="L48" i="2"/>
  <c r="M48" i="2"/>
  <c r="N48" i="2"/>
  <c r="O48" i="2"/>
  <c r="P48" i="2"/>
  <c r="Q48" i="2"/>
  <c r="R48" i="2"/>
  <c r="D49" i="2"/>
  <c r="E49" i="2"/>
  <c r="F49" i="2"/>
  <c r="G49" i="2"/>
  <c r="H49" i="2"/>
  <c r="I49" i="2"/>
  <c r="T49" i="2" s="1" a="1"/>
  <c r="T49" i="2" s="1"/>
  <c r="J49" i="2"/>
  <c r="K49" i="2"/>
  <c r="L49" i="2"/>
  <c r="M49" i="2"/>
  <c r="N49" i="2"/>
  <c r="O49" i="2"/>
  <c r="P49" i="2"/>
  <c r="Q49" i="2"/>
  <c r="R49" i="2"/>
  <c r="D50" i="2"/>
  <c r="E50" i="2"/>
  <c r="F50" i="2"/>
  <c r="G50" i="2"/>
  <c r="H50" i="2"/>
  <c r="I50" i="2"/>
  <c r="U50" i="2" s="1" a="1"/>
  <c r="U50" i="2" s="1"/>
  <c r="J50" i="2"/>
  <c r="K50" i="2"/>
  <c r="L50" i="2"/>
  <c r="M50" i="2"/>
  <c r="N50" i="2"/>
  <c r="O50" i="2"/>
  <c r="P50" i="2"/>
  <c r="Q50" i="2"/>
  <c r="R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D52" i="2"/>
  <c r="E52" i="2"/>
  <c r="F52" i="2"/>
  <c r="G52" i="2"/>
  <c r="H52" i="2"/>
  <c r="I52" i="2"/>
  <c r="U52" i="2" s="1" a="1"/>
  <c r="U52" i="2" s="1"/>
  <c r="J52" i="2"/>
  <c r="K52" i="2"/>
  <c r="L52" i="2"/>
  <c r="M52" i="2"/>
  <c r="N52" i="2"/>
  <c r="O52" i="2"/>
  <c r="P52" i="2"/>
  <c r="Q52" i="2"/>
  <c r="R52" i="2"/>
  <c r="D53" i="2"/>
  <c r="E53" i="2"/>
  <c r="F53" i="2"/>
  <c r="G53" i="2"/>
  <c r="H53" i="2"/>
  <c r="I53" i="2"/>
  <c r="T53" i="2" s="1" a="1"/>
  <c r="T53" i="2" s="1"/>
  <c r="J53" i="2"/>
  <c r="K53" i="2"/>
  <c r="L53" i="2"/>
  <c r="M53" i="2"/>
  <c r="N53" i="2"/>
  <c r="O53" i="2"/>
  <c r="P53" i="2"/>
  <c r="Q53" i="2"/>
  <c r="R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D55" i="2"/>
  <c r="E55" i="2"/>
  <c r="F55" i="2"/>
  <c r="G55" i="2"/>
  <c r="H55" i="2"/>
  <c r="I55" i="2"/>
  <c r="T55" i="2" s="1" a="1"/>
  <c r="T55" i="2" s="1"/>
  <c r="J55" i="2"/>
  <c r="K55" i="2"/>
  <c r="L55" i="2"/>
  <c r="M55" i="2"/>
  <c r="N55" i="2"/>
  <c r="O55" i="2"/>
  <c r="P55" i="2"/>
  <c r="Q55" i="2"/>
  <c r="R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D57" i="2"/>
  <c r="E57" i="2"/>
  <c r="F57" i="2"/>
  <c r="G57" i="2"/>
  <c r="H57" i="2"/>
  <c r="I57" i="2"/>
  <c r="T57" i="2" s="1" a="1"/>
  <c r="T57" i="2" s="1"/>
  <c r="J57" i="2"/>
  <c r="K57" i="2"/>
  <c r="L57" i="2"/>
  <c r="M57" i="2"/>
  <c r="N57" i="2"/>
  <c r="O57" i="2"/>
  <c r="P57" i="2"/>
  <c r="Q57" i="2"/>
  <c r="R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D59" i="2"/>
  <c r="E59" i="2"/>
  <c r="F59" i="2"/>
  <c r="G59" i="2"/>
  <c r="H59" i="2"/>
  <c r="I59" i="2"/>
  <c r="U59" i="2" s="1" a="1"/>
  <c r="U59" i="2" s="1"/>
  <c r="J59" i="2"/>
  <c r="K59" i="2"/>
  <c r="L59" i="2"/>
  <c r="M59" i="2"/>
  <c r="N59" i="2"/>
  <c r="O59" i="2"/>
  <c r="P59" i="2"/>
  <c r="Q59" i="2"/>
  <c r="R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D61" i="2"/>
  <c r="E61" i="2"/>
  <c r="F61" i="2"/>
  <c r="G61" i="2"/>
  <c r="H61" i="2"/>
  <c r="I61" i="2"/>
  <c r="T61" i="2" s="1" a="1"/>
  <c r="T61" i="2" s="1"/>
  <c r="J61" i="2"/>
  <c r="K61" i="2"/>
  <c r="L61" i="2"/>
  <c r="M61" i="2"/>
  <c r="N61" i="2"/>
  <c r="O61" i="2"/>
  <c r="P61" i="2"/>
  <c r="Q61" i="2"/>
  <c r="R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D63" i="2"/>
  <c r="E63" i="2"/>
  <c r="F63" i="2"/>
  <c r="G63" i="2"/>
  <c r="H63" i="2"/>
  <c r="I63" i="2"/>
  <c r="T63" i="2" s="1" a="1"/>
  <c r="T63" i="2" s="1"/>
  <c r="J63" i="2"/>
  <c r="K63" i="2"/>
  <c r="L63" i="2"/>
  <c r="M63" i="2"/>
  <c r="N63" i="2"/>
  <c r="O63" i="2"/>
  <c r="P63" i="2"/>
  <c r="Q63" i="2"/>
  <c r="R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D65" i="2"/>
  <c r="E65" i="2"/>
  <c r="F65" i="2"/>
  <c r="G65" i="2"/>
  <c r="H65" i="2"/>
  <c r="I65" i="2"/>
  <c r="T65" i="2" s="1" a="1"/>
  <c r="T65" i="2" s="1"/>
  <c r="J65" i="2"/>
  <c r="K65" i="2"/>
  <c r="L65" i="2"/>
  <c r="M65" i="2"/>
  <c r="N65" i="2"/>
  <c r="O65" i="2"/>
  <c r="P65" i="2"/>
  <c r="Q65" i="2"/>
  <c r="R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D67" i="2"/>
  <c r="E67" i="2"/>
  <c r="F67" i="2"/>
  <c r="G67" i="2"/>
  <c r="H67" i="2"/>
  <c r="I67" i="2"/>
  <c r="T67" i="2" s="1" a="1"/>
  <c r="T67" i="2" s="1"/>
  <c r="J67" i="2"/>
  <c r="K67" i="2"/>
  <c r="L67" i="2"/>
  <c r="M67" i="2"/>
  <c r="N67" i="2"/>
  <c r="O67" i="2"/>
  <c r="P67" i="2"/>
  <c r="Q67" i="2"/>
  <c r="R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D69" i="2"/>
  <c r="E69" i="2"/>
  <c r="F69" i="2"/>
  <c r="G69" i="2"/>
  <c r="H69" i="2"/>
  <c r="I69" i="2"/>
  <c r="T69" i="2" s="1" a="1"/>
  <c r="T69" i="2" s="1"/>
  <c r="J69" i="2"/>
  <c r="K69" i="2"/>
  <c r="L69" i="2"/>
  <c r="M69" i="2"/>
  <c r="N69" i="2"/>
  <c r="O69" i="2"/>
  <c r="P69" i="2"/>
  <c r="Q69" i="2"/>
  <c r="R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D71" i="2"/>
  <c r="E71" i="2"/>
  <c r="F71" i="2"/>
  <c r="G71" i="2"/>
  <c r="H71" i="2"/>
  <c r="I71" i="2"/>
  <c r="T71" i="2" s="1" a="1"/>
  <c r="T71" i="2" s="1"/>
  <c r="J71" i="2"/>
  <c r="K71" i="2"/>
  <c r="L71" i="2"/>
  <c r="M71" i="2"/>
  <c r="N71" i="2"/>
  <c r="O71" i="2"/>
  <c r="P71" i="2"/>
  <c r="Q71" i="2"/>
  <c r="R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D73" i="2"/>
  <c r="E73" i="2"/>
  <c r="F73" i="2"/>
  <c r="G73" i="2"/>
  <c r="H73" i="2"/>
  <c r="I73" i="2"/>
  <c r="T73" i="2" s="1" a="1"/>
  <c r="T73" i="2" s="1"/>
  <c r="J73" i="2"/>
  <c r="K73" i="2"/>
  <c r="L73" i="2"/>
  <c r="M73" i="2"/>
  <c r="N73" i="2"/>
  <c r="O73" i="2"/>
  <c r="P73" i="2"/>
  <c r="Q73" i="2"/>
  <c r="R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D75" i="2"/>
  <c r="E75" i="2"/>
  <c r="F75" i="2"/>
  <c r="G75" i="2"/>
  <c r="H75" i="2"/>
  <c r="I75" i="2"/>
  <c r="T75" i="2" s="1" a="1"/>
  <c r="T75" i="2" s="1"/>
  <c r="J75" i="2"/>
  <c r="K75" i="2"/>
  <c r="L75" i="2"/>
  <c r="M75" i="2"/>
  <c r="N75" i="2"/>
  <c r="O75" i="2"/>
  <c r="P75" i="2"/>
  <c r="Q75" i="2"/>
  <c r="R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D77" i="2"/>
  <c r="E77" i="2"/>
  <c r="F77" i="2"/>
  <c r="G77" i="2"/>
  <c r="H77" i="2"/>
  <c r="I77" i="2"/>
  <c r="T77" i="2" s="1" a="1"/>
  <c r="T77" i="2" s="1"/>
  <c r="J77" i="2"/>
  <c r="K77" i="2"/>
  <c r="L77" i="2"/>
  <c r="M77" i="2"/>
  <c r="N77" i="2"/>
  <c r="O77" i="2"/>
  <c r="P77" i="2"/>
  <c r="Q77" i="2"/>
  <c r="R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D79" i="2"/>
  <c r="E79" i="2"/>
  <c r="F79" i="2"/>
  <c r="G79" i="2"/>
  <c r="H79" i="2"/>
  <c r="I79" i="2"/>
  <c r="T79" i="2" s="1" a="1"/>
  <c r="T79" i="2" s="1"/>
  <c r="J79" i="2"/>
  <c r="K79" i="2"/>
  <c r="L79" i="2"/>
  <c r="M79" i="2"/>
  <c r="N79" i="2"/>
  <c r="O79" i="2"/>
  <c r="P79" i="2"/>
  <c r="Q79" i="2"/>
  <c r="R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D81" i="2"/>
  <c r="E81" i="2"/>
  <c r="F81" i="2"/>
  <c r="G81" i="2"/>
  <c r="H81" i="2"/>
  <c r="I81" i="2"/>
  <c r="T81" i="2" s="1" a="1"/>
  <c r="T81" i="2" s="1"/>
  <c r="J81" i="2"/>
  <c r="K81" i="2"/>
  <c r="L81" i="2"/>
  <c r="M81" i="2"/>
  <c r="N81" i="2"/>
  <c r="O81" i="2"/>
  <c r="P81" i="2"/>
  <c r="Q81" i="2"/>
  <c r="R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D83" i="2"/>
  <c r="E83" i="2"/>
  <c r="F83" i="2"/>
  <c r="G83" i="2"/>
  <c r="H83" i="2"/>
  <c r="I83" i="2"/>
  <c r="T83" i="2" s="1" a="1"/>
  <c r="T83" i="2" s="1"/>
  <c r="J83" i="2"/>
  <c r="K83" i="2"/>
  <c r="L83" i="2"/>
  <c r="M83" i="2"/>
  <c r="N83" i="2"/>
  <c r="O83" i="2"/>
  <c r="P83" i="2"/>
  <c r="Q83" i="2"/>
  <c r="R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D85" i="2"/>
  <c r="E85" i="2"/>
  <c r="F85" i="2"/>
  <c r="G85" i="2"/>
  <c r="H85" i="2"/>
  <c r="I85" i="2"/>
  <c r="T85" i="2" s="1" a="1"/>
  <c r="T85" i="2" s="1"/>
  <c r="J85" i="2"/>
  <c r="K85" i="2"/>
  <c r="L85" i="2"/>
  <c r="M85" i="2"/>
  <c r="N85" i="2"/>
  <c r="O85" i="2"/>
  <c r="P85" i="2"/>
  <c r="Q85" i="2"/>
  <c r="R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D87" i="2"/>
  <c r="E87" i="2"/>
  <c r="F87" i="2"/>
  <c r="G87" i="2"/>
  <c r="H87" i="2"/>
  <c r="I87" i="2"/>
  <c r="T87" i="2" s="1" a="1"/>
  <c r="T87" i="2" s="1"/>
  <c r="J87" i="2"/>
  <c r="K87" i="2"/>
  <c r="L87" i="2"/>
  <c r="M87" i="2"/>
  <c r="N87" i="2"/>
  <c r="O87" i="2"/>
  <c r="P87" i="2"/>
  <c r="Q87" i="2"/>
  <c r="R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D89" i="2"/>
  <c r="E89" i="2"/>
  <c r="F89" i="2"/>
  <c r="G89" i="2"/>
  <c r="H89" i="2"/>
  <c r="I89" i="2"/>
  <c r="T89" i="2" s="1" a="1"/>
  <c r="T89" i="2" s="1"/>
  <c r="J89" i="2"/>
  <c r="K89" i="2"/>
  <c r="L89" i="2"/>
  <c r="M89" i="2"/>
  <c r="N89" i="2"/>
  <c r="O89" i="2"/>
  <c r="P89" i="2"/>
  <c r="Q89" i="2"/>
  <c r="R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D91" i="2"/>
  <c r="E91" i="2"/>
  <c r="F91" i="2"/>
  <c r="G91" i="2"/>
  <c r="H91" i="2"/>
  <c r="I91" i="2"/>
  <c r="T91" i="2" s="1" a="1"/>
  <c r="T91" i="2" s="1"/>
  <c r="J91" i="2"/>
  <c r="K91" i="2"/>
  <c r="L91" i="2"/>
  <c r="M91" i="2"/>
  <c r="N91" i="2"/>
  <c r="O91" i="2"/>
  <c r="P91" i="2"/>
  <c r="Q91" i="2"/>
  <c r="R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D93" i="2"/>
  <c r="E93" i="2"/>
  <c r="F93" i="2"/>
  <c r="G93" i="2"/>
  <c r="H93" i="2"/>
  <c r="I93" i="2"/>
  <c r="U93" i="2" s="1" a="1"/>
  <c r="U93" i="2" s="1"/>
  <c r="J93" i="2"/>
  <c r="K93" i="2"/>
  <c r="L93" i="2"/>
  <c r="M93" i="2"/>
  <c r="N93" i="2"/>
  <c r="O93" i="2"/>
  <c r="P93" i="2"/>
  <c r="Q93" i="2"/>
  <c r="R93" i="2"/>
  <c r="D94" i="2"/>
  <c r="E94" i="2"/>
  <c r="F94" i="2"/>
  <c r="G94" i="2"/>
  <c r="H94" i="2"/>
  <c r="I94" i="2"/>
  <c r="T94" i="2" s="1" a="1"/>
  <c r="T94" i="2" s="1"/>
  <c r="J94" i="2"/>
  <c r="K94" i="2"/>
  <c r="L94" i="2"/>
  <c r="M94" i="2"/>
  <c r="N94" i="2"/>
  <c r="O94" i="2"/>
  <c r="P94" i="2"/>
  <c r="Q94" i="2"/>
  <c r="R94" i="2"/>
  <c r="D95" i="2"/>
  <c r="E95" i="2"/>
  <c r="F95" i="2"/>
  <c r="G95" i="2"/>
  <c r="H95" i="2"/>
  <c r="I95" i="2"/>
  <c r="U95" i="2" s="1" a="1"/>
  <c r="U95" i="2" s="1"/>
  <c r="J95" i="2"/>
  <c r="K95" i="2"/>
  <c r="L95" i="2"/>
  <c r="M95" i="2"/>
  <c r="N95" i="2"/>
  <c r="O95" i="2"/>
  <c r="P95" i="2"/>
  <c r="Q95" i="2"/>
  <c r="R95" i="2"/>
  <c r="D96" i="2"/>
  <c r="E96" i="2"/>
  <c r="F96" i="2"/>
  <c r="G96" i="2"/>
  <c r="H96" i="2"/>
  <c r="I96" i="2"/>
  <c r="T96" i="2" s="1" a="1"/>
  <c r="T96" i="2" s="1"/>
  <c r="J96" i="2"/>
  <c r="K96" i="2"/>
  <c r="L96" i="2"/>
  <c r="M96" i="2"/>
  <c r="N96" i="2"/>
  <c r="O96" i="2"/>
  <c r="P96" i="2"/>
  <c r="Q96" i="2"/>
  <c r="R96" i="2"/>
  <c r="D97" i="2"/>
  <c r="E97" i="2"/>
  <c r="F97" i="2"/>
  <c r="G97" i="2"/>
  <c r="H97" i="2"/>
  <c r="I97" i="2"/>
  <c r="U97" i="2" s="1" a="1"/>
  <c r="U97" i="2" s="1"/>
  <c r="J97" i="2"/>
  <c r="K97" i="2"/>
  <c r="L97" i="2"/>
  <c r="M97" i="2"/>
  <c r="N97" i="2"/>
  <c r="O97" i="2"/>
  <c r="P97" i="2"/>
  <c r="Q97" i="2"/>
  <c r="R97" i="2"/>
  <c r="D98" i="2"/>
  <c r="E98" i="2"/>
  <c r="F98" i="2"/>
  <c r="G98" i="2"/>
  <c r="H98" i="2"/>
  <c r="I98" i="2"/>
  <c r="U98" i="2" s="1" a="1"/>
  <c r="U98" i="2" s="1"/>
  <c r="J98" i="2"/>
  <c r="K98" i="2"/>
  <c r="L98" i="2"/>
  <c r="M98" i="2"/>
  <c r="N98" i="2"/>
  <c r="O98" i="2"/>
  <c r="P98" i="2"/>
  <c r="Q98" i="2"/>
  <c r="R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D100" i="2"/>
  <c r="E100" i="2"/>
  <c r="F100" i="2"/>
  <c r="G100" i="2"/>
  <c r="H100" i="2"/>
  <c r="I100" i="2"/>
  <c r="T100" i="2" s="1" a="1"/>
  <c r="T100" i="2" s="1"/>
  <c r="J100" i="2"/>
  <c r="K100" i="2"/>
  <c r="L100" i="2"/>
  <c r="M100" i="2"/>
  <c r="N100" i="2"/>
  <c r="O100" i="2"/>
  <c r="P100" i="2"/>
  <c r="Q100" i="2"/>
  <c r="R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D102" i="2"/>
  <c r="E102" i="2"/>
  <c r="F102" i="2"/>
  <c r="G102" i="2"/>
  <c r="H102" i="2"/>
  <c r="I102" i="2"/>
  <c r="T102" i="2" s="1" a="1"/>
  <c r="T102" i="2" s="1"/>
  <c r="J102" i="2"/>
  <c r="K102" i="2"/>
  <c r="L102" i="2"/>
  <c r="M102" i="2"/>
  <c r="N102" i="2"/>
  <c r="O102" i="2"/>
  <c r="P102" i="2"/>
  <c r="Q102" i="2"/>
  <c r="R102" i="2"/>
  <c r="D103" i="2"/>
  <c r="E103" i="2"/>
  <c r="F103" i="2"/>
  <c r="G103" i="2"/>
  <c r="H103" i="2"/>
  <c r="I103" i="2"/>
  <c r="U103" i="2" s="1" a="1"/>
  <c r="U103" i="2" s="1"/>
  <c r="J103" i="2"/>
  <c r="K103" i="2"/>
  <c r="L103" i="2"/>
  <c r="M103" i="2"/>
  <c r="N103" i="2"/>
  <c r="O103" i="2"/>
  <c r="P103" i="2"/>
  <c r="Q103" i="2"/>
  <c r="R103" i="2"/>
  <c r="D104" i="2"/>
  <c r="E104" i="2"/>
  <c r="F104" i="2"/>
  <c r="G104" i="2"/>
  <c r="H104" i="2"/>
  <c r="I104" i="2"/>
  <c r="T104" i="2" s="1" a="1"/>
  <c r="T104" i="2" s="1"/>
  <c r="J104" i="2"/>
  <c r="K104" i="2"/>
  <c r="L104" i="2"/>
  <c r="M104" i="2"/>
  <c r="N104" i="2"/>
  <c r="O104" i="2"/>
  <c r="P104" i="2"/>
  <c r="Q104" i="2"/>
  <c r="R104" i="2"/>
  <c r="D105" i="2"/>
  <c r="E105" i="2"/>
  <c r="F105" i="2"/>
  <c r="G105" i="2"/>
  <c r="H105" i="2"/>
  <c r="I105" i="2"/>
  <c r="U105" i="2" s="1" a="1"/>
  <c r="U105" i="2" s="1"/>
  <c r="J105" i="2"/>
  <c r="K105" i="2"/>
  <c r="L105" i="2"/>
  <c r="M105" i="2"/>
  <c r="N105" i="2"/>
  <c r="O105" i="2"/>
  <c r="P105" i="2"/>
  <c r="Q105" i="2"/>
  <c r="R105" i="2"/>
  <c r="D106" i="2"/>
  <c r="E106" i="2"/>
  <c r="F106" i="2"/>
  <c r="G106" i="2"/>
  <c r="H106" i="2"/>
  <c r="I106" i="2"/>
  <c r="T106" i="2" s="1" a="1"/>
  <c r="T106" i="2" s="1"/>
  <c r="J106" i="2"/>
  <c r="K106" i="2"/>
  <c r="L106" i="2"/>
  <c r="M106" i="2"/>
  <c r="N106" i="2"/>
  <c r="O106" i="2"/>
  <c r="P106" i="2"/>
  <c r="Q106" i="2"/>
  <c r="R106" i="2"/>
  <c r="D107" i="2"/>
  <c r="E107" i="2"/>
  <c r="F107" i="2"/>
  <c r="G107" i="2"/>
  <c r="H107" i="2"/>
  <c r="I107" i="2"/>
  <c r="U107" i="2" s="1" a="1"/>
  <c r="U107" i="2" s="1"/>
  <c r="J107" i="2"/>
  <c r="K107" i="2"/>
  <c r="L107" i="2"/>
  <c r="M107" i="2"/>
  <c r="N107" i="2"/>
  <c r="O107" i="2"/>
  <c r="P107" i="2"/>
  <c r="Q107" i="2"/>
  <c r="R107" i="2"/>
  <c r="D108" i="2"/>
  <c r="E108" i="2"/>
  <c r="F108" i="2"/>
  <c r="G108" i="2"/>
  <c r="H108" i="2"/>
  <c r="I108" i="2"/>
  <c r="T108" i="2" s="1" a="1"/>
  <c r="T108" i="2" s="1"/>
  <c r="J108" i="2"/>
  <c r="K108" i="2"/>
  <c r="L108" i="2"/>
  <c r="M108" i="2"/>
  <c r="N108" i="2"/>
  <c r="O108" i="2"/>
  <c r="P108" i="2"/>
  <c r="Q108" i="2"/>
  <c r="R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D110" i="2"/>
  <c r="E110" i="2"/>
  <c r="F110" i="2"/>
  <c r="G110" i="2"/>
  <c r="H110" i="2"/>
  <c r="I110" i="2"/>
  <c r="T110" i="2" s="1" a="1"/>
  <c r="T110" i="2" s="1"/>
  <c r="J110" i="2"/>
  <c r="K110" i="2"/>
  <c r="L110" i="2"/>
  <c r="M110" i="2"/>
  <c r="N110" i="2"/>
  <c r="O110" i="2"/>
  <c r="P110" i="2"/>
  <c r="Q110" i="2"/>
  <c r="R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D112" i="2"/>
  <c r="E112" i="2"/>
  <c r="F112" i="2"/>
  <c r="G112" i="2"/>
  <c r="H112" i="2"/>
  <c r="I112" i="2"/>
  <c r="T112" i="2" s="1" a="1"/>
  <c r="T112" i="2" s="1"/>
  <c r="J112" i="2"/>
  <c r="K112" i="2"/>
  <c r="L112" i="2"/>
  <c r="M112" i="2"/>
  <c r="N112" i="2"/>
  <c r="O112" i="2"/>
  <c r="P112" i="2"/>
  <c r="Q112" i="2"/>
  <c r="R112" i="2"/>
  <c r="D113" i="2"/>
  <c r="E113" i="2"/>
  <c r="F113" i="2"/>
  <c r="G113" i="2"/>
  <c r="H113" i="2"/>
  <c r="I113" i="2"/>
  <c r="T113" i="2" s="1" a="1"/>
  <c r="T113" i="2" s="1"/>
  <c r="J113" i="2"/>
  <c r="K113" i="2"/>
  <c r="L113" i="2"/>
  <c r="M113" i="2"/>
  <c r="N113" i="2"/>
  <c r="O113" i="2"/>
  <c r="P113" i="2"/>
  <c r="Q113" i="2"/>
  <c r="R113" i="2"/>
  <c r="D114" i="2"/>
  <c r="E114" i="2"/>
  <c r="F114" i="2"/>
  <c r="G114" i="2"/>
  <c r="H114" i="2"/>
  <c r="I114" i="2"/>
  <c r="U114" i="2" s="1" a="1"/>
  <c r="U114" i="2" s="1"/>
  <c r="J114" i="2"/>
  <c r="K114" i="2"/>
  <c r="L114" i="2"/>
  <c r="M114" i="2"/>
  <c r="N114" i="2"/>
  <c r="O114" i="2"/>
  <c r="P114" i="2"/>
  <c r="Q114" i="2"/>
  <c r="R114" i="2"/>
  <c r="D115" i="2"/>
  <c r="E115" i="2"/>
  <c r="F115" i="2"/>
  <c r="G115" i="2"/>
  <c r="H115" i="2"/>
  <c r="I115" i="2"/>
  <c r="T115" i="2" s="1" a="1"/>
  <c r="T115" i="2" s="1"/>
  <c r="J115" i="2"/>
  <c r="K115" i="2"/>
  <c r="L115" i="2"/>
  <c r="M115" i="2"/>
  <c r="N115" i="2"/>
  <c r="O115" i="2"/>
  <c r="P115" i="2"/>
  <c r="Q115" i="2"/>
  <c r="R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D117" i="2"/>
  <c r="E117" i="2"/>
  <c r="F117" i="2"/>
  <c r="G117" i="2"/>
  <c r="H117" i="2"/>
  <c r="I117" i="2"/>
  <c r="T117" i="2" s="1" a="1"/>
  <c r="T117" i="2" s="1"/>
  <c r="J117" i="2"/>
  <c r="K117" i="2"/>
  <c r="L117" i="2"/>
  <c r="M117" i="2"/>
  <c r="N117" i="2"/>
  <c r="O117" i="2"/>
  <c r="P117" i="2"/>
  <c r="Q117" i="2"/>
  <c r="R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D119" i="2"/>
  <c r="E119" i="2"/>
  <c r="F119" i="2"/>
  <c r="G119" i="2"/>
  <c r="H119" i="2"/>
  <c r="I119" i="2"/>
  <c r="T119" i="2" s="1" a="1"/>
  <c r="T119" i="2" s="1"/>
  <c r="J119" i="2"/>
  <c r="K119" i="2"/>
  <c r="L119" i="2"/>
  <c r="M119" i="2"/>
  <c r="N119" i="2"/>
  <c r="O119" i="2"/>
  <c r="P119" i="2"/>
  <c r="Q119" i="2"/>
  <c r="R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D121" i="2"/>
  <c r="E121" i="2"/>
  <c r="F121" i="2"/>
  <c r="G121" i="2"/>
  <c r="H121" i="2"/>
  <c r="I121" i="2"/>
  <c r="T121" i="2" s="1" a="1"/>
  <c r="T121" i="2" s="1"/>
  <c r="J121" i="2"/>
  <c r="K121" i="2"/>
  <c r="L121" i="2"/>
  <c r="M121" i="2"/>
  <c r="N121" i="2"/>
  <c r="O121" i="2"/>
  <c r="P121" i="2"/>
  <c r="Q121" i="2"/>
  <c r="R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D123" i="2"/>
  <c r="E123" i="2"/>
  <c r="F123" i="2"/>
  <c r="G123" i="2"/>
  <c r="H123" i="2"/>
  <c r="I123" i="2"/>
  <c r="T123" i="2" s="1" a="1"/>
  <c r="T123" i="2" s="1"/>
  <c r="J123" i="2"/>
  <c r="K123" i="2"/>
  <c r="L123" i="2"/>
  <c r="M123" i="2"/>
  <c r="N123" i="2"/>
  <c r="O123" i="2"/>
  <c r="P123" i="2"/>
  <c r="Q123" i="2"/>
  <c r="R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D125" i="2"/>
  <c r="E125" i="2"/>
  <c r="F125" i="2"/>
  <c r="G125" i="2"/>
  <c r="H125" i="2"/>
  <c r="I125" i="2"/>
  <c r="T125" i="2" s="1" a="1"/>
  <c r="T125" i="2" s="1"/>
  <c r="J125" i="2"/>
  <c r="K125" i="2"/>
  <c r="L125" i="2"/>
  <c r="M125" i="2"/>
  <c r="N125" i="2"/>
  <c r="O125" i="2"/>
  <c r="P125" i="2"/>
  <c r="Q125" i="2"/>
  <c r="R125" i="2"/>
  <c r="D126" i="2"/>
  <c r="E126" i="2"/>
  <c r="F126" i="2"/>
  <c r="G126" i="2"/>
  <c r="H126" i="2"/>
  <c r="I126" i="2"/>
  <c r="T126" i="2" s="1" a="1"/>
  <c r="T126" i="2" s="1"/>
  <c r="J126" i="2"/>
  <c r="K126" i="2"/>
  <c r="L126" i="2"/>
  <c r="M126" i="2"/>
  <c r="N126" i="2"/>
  <c r="O126" i="2"/>
  <c r="P126" i="2"/>
  <c r="Q126" i="2"/>
  <c r="R126" i="2"/>
  <c r="D127" i="2"/>
  <c r="E127" i="2"/>
  <c r="F127" i="2"/>
  <c r="G127" i="2"/>
  <c r="H127" i="2"/>
  <c r="I127" i="2"/>
  <c r="U127" i="2" s="1" a="1"/>
  <c r="U127" i="2" s="1"/>
  <c r="J127" i="2"/>
  <c r="K127" i="2"/>
  <c r="L127" i="2"/>
  <c r="M127" i="2"/>
  <c r="N127" i="2"/>
  <c r="O127" i="2"/>
  <c r="P127" i="2"/>
  <c r="Q127" i="2"/>
  <c r="R127" i="2"/>
  <c r="D128" i="2"/>
  <c r="E128" i="2"/>
  <c r="F128" i="2"/>
  <c r="G128" i="2"/>
  <c r="H128" i="2"/>
  <c r="I128" i="2"/>
  <c r="T128" i="2" s="1" a="1"/>
  <c r="T128" i="2" s="1"/>
  <c r="J128" i="2"/>
  <c r="K128" i="2"/>
  <c r="L128" i="2"/>
  <c r="M128" i="2"/>
  <c r="N128" i="2"/>
  <c r="O128" i="2"/>
  <c r="P128" i="2"/>
  <c r="Q128" i="2"/>
  <c r="R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D130" i="2"/>
  <c r="E130" i="2"/>
  <c r="F130" i="2"/>
  <c r="G130" i="2"/>
  <c r="H130" i="2"/>
  <c r="I130" i="2"/>
  <c r="T130" i="2" s="1" a="1"/>
  <c r="T130" i="2" s="1"/>
  <c r="J130" i="2"/>
  <c r="K130" i="2"/>
  <c r="L130" i="2"/>
  <c r="M130" i="2"/>
  <c r="N130" i="2"/>
  <c r="O130" i="2"/>
  <c r="P130" i="2"/>
  <c r="Q130" i="2"/>
  <c r="R130" i="2"/>
  <c r="D131" i="2"/>
  <c r="E131" i="2"/>
  <c r="F131" i="2"/>
  <c r="G131" i="2"/>
  <c r="H131" i="2"/>
  <c r="I131" i="2"/>
  <c r="U131" i="2" s="1" a="1"/>
  <c r="U131" i="2" s="1"/>
  <c r="J131" i="2"/>
  <c r="K131" i="2"/>
  <c r="L131" i="2"/>
  <c r="M131" i="2"/>
  <c r="N131" i="2"/>
  <c r="O131" i="2"/>
  <c r="P131" i="2"/>
  <c r="Q131" i="2"/>
  <c r="R131" i="2"/>
  <c r="D132" i="2"/>
  <c r="E132" i="2"/>
  <c r="F132" i="2"/>
  <c r="G132" i="2"/>
  <c r="H132" i="2"/>
  <c r="I132" i="2"/>
  <c r="T132" i="2" s="1" a="1"/>
  <c r="T132" i="2" s="1"/>
  <c r="J132" i="2"/>
  <c r="K132" i="2"/>
  <c r="L132" i="2"/>
  <c r="M132" i="2"/>
  <c r="N132" i="2"/>
  <c r="O132" i="2"/>
  <c r="P132" i="2"/>
  <c r="Q132" i="2"/>
  <c r="R132" i="2"/>
  <c r="D133" i="2"/>
  <c r="E133" i="2"/>
  <c r="F133" i="2"/>
  <c r="G133" i="2"/>
  <c r="H133" i="2"/>
  <c r="I133" i="2"/>
  <c r="U133" i="2" s="1" a="1"/>
  <c r="U133" i="2" s="1"/>
  <c r="J133" i="2"/>
  <c r="K133" i="2"/>
  <c r="L133" i="2"/>
  <c r="M133" i="2"/>
  <c r="N133" i="2"/>
  <c r="O133" i="2"/>
  <c r="P133" i="2"/>
  <c r="Q133" i="2"/>
  <c r="R133" i="2"/>
  <c r="D134" i="2"/>
  <c r="E134" i="2"/>
  <c r="F134" i="2"/>
  <c r="G134" i="2"/>
  <c r="H134" i="2"/>
  <c r="I134" i="2"/>
  <c r="T134" i="2" s="1" a="1"/>
  <c r="T134" i="2" s="1"/>
  <c r="J134" i="2"/>
  <c r="K134" i="2"/>
  <c r="L134" i="2"/>
  <c r="M134" i="2"/>
  <c r="N134" i="2"/>
  <c r="O134" i="2"/>
  <c r="P134" i="2"/>
  <c r="Q134" i="2"/>
  <c r="R134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D136" i="2"/>
  <c r="E136" i="2"/>
  <c r="F136" i="2"/>
  <c r="G136" i="2"/>
  <c r="H136" i="2"/>
  <c r="I136" i="2"/>
  <c r="T136" i="2" s="1" a="1"/>
  <c r="T136" i="2" s="1"/>
  <c r="J136" i="2"/>
  <c r="K136" i="2"/>
  <c r="L136" i="2"/>
  <c r="M136" i="2"/>
  <c r="N136" i="2"/>
  <c r="O136" i="2"/>
  <c r="P136" i="2"/>
  <c r="Q136" i="2"/>
  <c r="R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D138" i="2"/>
  <c r="E138" i="2"/>
  <c r="F138" i="2"/>
  <c r="G138" i="2"/>
  <c r="H138" i="2"/>
  <c r="I138" i="2"/>
  <c r="U138" i="2" s="1" a="1"/>
  <c r="U138" i="2" s="1"/>
  <c r="J138" i="2"/>
  <c r="K138" i="2"/>
  <c r="L138" i="2"/>
  <c r="M138" i="2"/>
  <c r="N138" i="2"/>
  <c r="O138" i="2"/>
  <c r="P138" i="2"/>
  <c r="Q138" i="2"/>
  <c r="R138" i="2"/>
  <c r="D139" i="2"/>
  <c r="E139" i="2"/>
  <c r="F139" i="2"/>
  <c r="G139" i="2"/>
  <c r="H139" i="2"/>
  <c r="I139" i="2"/>
  <c r="T139" i="2" s="1" a="1"/>
  <c r="T139" i="2" s="1"/>
  <c r="J139" i="2"/>
  <c r="K139" i="2"/>
  <c r="L139" i="2"/>
  <c r="M139" i="2"/>
  <c r="N139" i="2"/>
  <c r="O139" i="2"/>
  <c r="P139" i="2"/>
  <c r="Q139" i="2"/>
  <c r="R139" i="2"/>
  <c r="D140" i="2"/>
  <c r="E140" i="2"/>
  <c r="F140" i="2"/>
  <c r="G140" i="2"/>
  <c r="H140" i="2"/>
  <c r="I140" i="2"/>
  <c r="U140" i="2" s="1" a="1"/>
  <c r="U140" i="2" s="1"/>
  <c r="J140" i="2"/>
  <c r="K140" i="2"/>
  <c r="L140" i="2"/>
  <c r="M140" i="2"/>
  <c r="N140" i="2"/>
  <c r="O140" i="2"/>
  <c r="P140" i="2"/>
  <c r="Q140" i="2"/>
  <c r="R140" i="2"/>
  <c r="D141" i="2"/>
  <c r="E141" i="2"/>
  <c r="F141" i="2"/>
  <c r="G141" i="2"/>
  <c r="H141" i="2"/>
  <c r="I141" i="2"/>
  <c r="T141" i="2" s="1" a="1"/>
  <c r="T141" i="2" s="1"/>
  <c r="J141" i="2"/>
  <c r="K141" i="2"/>
  <c r="L141" i="2"/>
  <c r="M141" i="2"/>
  <c r="N141" i="2"/>
  <c r="O141" i="2"/>
  <c r="P141" i="2"/>
  <c r="Q141" i="2"/>
  <c r="R141" i="2"/>
  <c r="D142" i="2"/>
  <c r="E142" i="2"/>
  <c r="F142" i="2"/>
  <c r="G142" i="2"/>
  <c r="H142" i="2"/>
  <c r="I142" i="2"/>
  <c r="U142" i="2" s="1" a="1"/>
  <c r="U142" i="2" s="1"/>
  <c r="J142" i="2"/>
  <c r="K142" i="2"/>
  <c r="L142" i="2"/>
  <c r="M142" i="2"/>
  <c r="N142" i="2"/>
  <c r="O142" i="2"/>
  <c r="P142" i="2"/>
  <c r="Q142" i="2"/>
  <c r="R142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D144" i="2"/>
  <c r="E144" i="2"/>
  <c r="F144" i="2"/>
  <c r="G144" i="2"/>
  <c r="H144" i="2"/>
  <c r="I144" i="2"/>
  <c r="T144" i="2" s="1" a="1"/>
  <c r="T144" i="2" s="1"/>
  <c r="J144" i="2"/>
  <c r="K144" i="2"/>
  <c r="L144" i="2"/>
  <c r="M144" i="2"/>
  <c r="N144" i="2"/>
  <c r="O144" i="2"/>
  <c r="P144" i="2"/>
  <c r="Q144" i="2"/>
  <c r="R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D146" i="2"/>
  <c r="E146" i="2"/>
  <c r="F146" i="2"/>
  <c r="G146" i="2"/>
  <c r="H146" i="2"/>
  <c r="I146" i="2"/>
  <c r="T146" i="2" s="1" a="1"/>
  <c r="T146" i="2" s="1"/>
  <c r="J146" i="2"/>
  <c r="K146" i="2"/>
  <c r="L146" i="2"/>
  <c r="M146" i="2"/>
  <c r="N146" i="2"/>
  <c r="O146" i="2"/>
  <c r="P146" i="2"/>
  <c r="Q146" i="2"/>
  <c r="R146" i="2"/>
  <c r="D147" i="2"/>
  <c r="E147" i="2"/>
  <c r="F147" i="2"/>
  <c r="G147" i="2"/>
  <c r="H147" i="2"/>
  <c r="I147" i="2"/>
  <c r="T147" i="2" s="1" a="1"/>
  <c r="T147" i="2" s="1"/>
  <c r="J147" i="2"/>
  <c r="K147" i="2"/>
  <c r="L147" i="2"/>
  <c r="M147" i="2"/>
  <c r="N147" i="2"/>
  <c r="O147" i="2"/>
  <c r="P147" i="2"/>
  <c r="Q147" i="2"/>
  <c r="R147" i="2"/>
  <c r="D148" i="2"/>
  <c r="E148" i="2"/>
  <c r="F148" i="2"/>
  <c r="G148" i="2"/>
  <c r="H148" i="2"/>
  <c r="I148" i="2"/>
  <c r="U148" i="2" s="1" a="1"/>
  <c r="U148" i="2" s="1"/>
  <c r="J148" i="2"/>
  <c r="K148" i="2"/>
  <c r="L148" i="2"/>
  <c r="M148" i="2"/>
  <c r="N148" i="2"/>
  <c r="O148" i="2"/>
  <c r="P148" i="2"/>
  <c r="Q148" i="2"/>
  <c r="R148" i="2"/>
  <c r="D149" i="2"/>
  <c r="E149" i="2"/>
  <c r="F149" i="2"/>
  <c r="G149" i="2"/>
  <c r="H149" i="2"/>
  <c r="I149" i="2"/>
  <c r="U149" i="2" s="1" a="1"/>
  <c r="U149" i="2" s="1"/>
  <c r="J149" i="2"/>
  <c r="K149" i="2"/>
  <c r="L149" i="2"/>
  <c r="M149" i="2"/>
  <c r="N149" i="2"/>
  <c r="O149" i="2"/>
  <c r="P149" i="2"/>
  <c r="Q149" i="2"/>
  <c r="R149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D151" i="2"/>
  <c r="E151" i="2"/>
  <c r="F151" i="2"/>
  <c r="G151" i="2"/>
  <c r="H151" i="2"/>
  <c r="I151" i="2"/>
  <c r="T151" i="2" s="1" a="1"/>
  <c r="T151" i="2" s="1"/>
  <c r="J151" i="2"/>
  <c r="K151" i="2"/>
  <c r="L151" i="2"/>
  <c r="M151" i="2"/>
  <c r="N151" i="2"/>
  <c r="O151" i="2"/>
  <c r="P151" i="2"/>
  <c r="Q151" i="2"/>
  <c r="R151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D153" i="2"/>
  <c r="E153" i="2"/>
  <c r="F153" i="2"/>
  <c r="G153" i="2"/>
  <c r="H153" i="2"/>
  <c r="I153" i="2"/>
  <c r="T153" i="2" s="1" a="1"/>
  <c r="T153" i="2" s="1"/>
  <c r="J153" i="2"/>
  <c r="K153" i="2"/>
  <c r="L153" i="2"/>
  <c r="M153" i="2"/>
  <c r="N153" i="2"/>
  <c r="O153" i="2"/>
  <c r="P153" i="2"/>
  <c r="Q153" i="2"/>
  <c r="R153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D155" i="2"/>
  <c r="E155" i="2"/>
  <c r="F155" i="2"/>
  <c r="G155" i="2"/>
  <c r="H155" i="2"/>
  <c r="I155" i="2"/>
  <c r="T155" i="2" s="1" a="1"/>
  <c r="T155" i="2" s="1"/>
  <c r="J155" i="2"/>
  <c r="K155" i="2"/>
  <c r="L155" i="2"/>
  <c r="M155" i="2"/>
  <c r="N155" i="2"/>
  <c r="O155" i="2"/>
  <c r="P155" i="2"/>
  <c r="Q155" i="2"/>
  <c r="R155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D157" i="2"/>
  <c r="E157" i="2"/>
  <c r="F157" i="2"/>
  <c r="G157" i="2"/>
  <c r="H157" i="2"/>
  <c r="I157" i="2"/>
  <c r="T157" i="2" s="1" a="1"/>
  <c r="T157" i="2" s="1"/>
  <c r="J157" i="2"/>
  <c r="K157" i="2"/>
  <c r="L157" i="2"/>
  <c r="M157" i="2"/>
  <c r="N157" i="2"/>
  <c r="O157" i="2"/>
  <c r="P157" i="2"/>
  <c r="Q157" i="2"/>
  <c r="R157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D159" i="2"/>
  <c r="E159" i="2"/>
  <c r="F159" i="2"/>
  <c r="G159" i="2"/>
  <c r="H159" i="2"/>
  <c r="I159" i="2"/>
  <c r="T159" i="2" s="1" a="1"/>
  <c r="T159" i="2" s="1"/>
  <c r="J159" i="2"/>
  <c r="K159" i="2"/>
  <c r="L159" i="2"/>
  <c r="M159" i="2"/>
  <c r="N159" i="2"/>
  <c r="O159" i="2"/>
  <c r="P159" i="2"/>
  <c r="Q159" i="2"/>
  <c r="R159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D161" i="2"/>
  <c r="E161" i="2"/>
  <c r="F161" i="2"/>
  <c r="G161" i="2"/>
  <c r="H161" i="2"/>
  <c r="I161" i="2"/>
  <c r="T161" i="2" s="1" a="1"/>
  <c r="T161" i="2" s="1"/>
  <c r="J161" i="2"/>
  <c r="K161" i="2"/>
  <c r="L161" i="2"/>
  <c r="M161" i="2"/>
  <c r="N161" i="2"/>
  <c r="O161" i="2"/>
  <c r="P161" i="2"/>
  <c r="Q161" i="2"/>
  <c r="R161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D163" i="2"/>
  <c r="E163" i="2"/>
  <c r="F163" i="2"/>
  <c r="G163" i="2"/>
  <c r="H163" i="2"/>
  <c r="I163" i="2"/>
  <c r="U163" i="2" s="1" a="1"/>
  <c r="U163" i="2" s="1"/>
  <c r="J163" i="2"/>
  <c r="K163" i="2"/>
  <c r="L163" i="2"/>
  <c r="M163" i="2"/>
  <c r="N163" i="2"/>
  <c r="O163" i="2"/>
  <c r="P163" i="2"/>
  <c r="Q163" i="2"/>
  <c r="R163" i="2"/>
  <c r="D164" i="2"/>
  <c r="E164" i="2"/>
  <c r="F164" i="2"/>
  <c r="G164" i="2"/>
  <c r="H164" i="2"/>
  <c r="I164" i="2"/>
  <c r="T164" i="2" s="1" a="1"/>
  <c r="T164" i="2" s="1"/>
  <c r="J164" i="2"/>
  <c r="K164" i="2"/>
  <c r="L164" i="2"/>
  <c r="M164" i="2"/>
  <c r="N164" i="2"/>
  <c r="O164" i="2"/>
  <c r="P164" i="2"/>
  <c r="Q164" i="2"/>
  <c r="R164" i="2"/>
  <c r="D165" i="2"/>
  <c r="E165" i="2"/>
  <c r="F165" i="2"/>
  <c r="G165" i="2"/>
  <c r="H165" i="2"/>
  <c r="I165" i="2"/>
  <c r="U165" i="2" s="1" a="1"/>
  <c r="U165" i="2" s="1"/>
  <c r="J165" i="2"/>
  <c r="K165" i="2"/>
  <c r="L165" i="2"/>
  <c r="M165" i="2"/>
  <c r="N165" i="2"/>
  <c r="O165" i="2"/>
  <c r="P165" i="2"/>
  <c r="Q165" i="2"/>
  <c r="R165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D167" i="2"/>
  <c r="E167" i="2"/>
  <c r="F167" i="2"/>
  <c r="G167" i="2"/>
  <c r="H167" i="2"/>
  <c r="I167" i="2"/>
  <c r="T167" i="2" s="1" a="1"/>
  <c r="T167" i="2" s="1"/>
  <c r="J167" i="2"/>
  <c r="K167" i="2"/>
  <c r="L167" i="2"/>
  <c r="M167" i="2"/>
  <c r="N167" i="2"/>
  <c r="O167" i="2"/>
  <c r="P167" i="2"/>
  <c r="Q167" i="2"/>
  <c r="R167" i="2"/>
  <c r="D168" i="2"/>
  <c r="E168" i="2"/>
  <c r="F168" i="2"/>
  <c r="G168" i="2"/>
  <c r="H168" i="2"/>
  <c r="I168" i="2"/>
  <c r="T168" i="2" s="1" a="1"/>
  <c r="T168" i="2" s="1"/>
  <c r="J168" i="2"/>
  <c r="K168" i="2"/>
  <c r="L168" i="2"/>
  <c r="M168" i="2"/>
  <c r="N168" i="2"/>
  <c r="O168" i="2"/>
  <c r="P168" i="2"/>
  <c r="Q168" i="2"/>
  <c r="R168" i="2"/>
  <c r="D169" i="2"/>
  <c r="E169" i="2"/>
  <c r="F169" i="2"/>
  <c r="G169" i="2"/>
  <c r="H169" i="2"/>
  <c r="I169" i="2"/>
  <c r="U169" i="2" s="1" a="1"/>
  <c r="U169" i="2" s="1"/>
  <c r="J169" i="2"/>
  <c r="K169" i="2"/>
  <c r="L169" i="2"/>
  <c r="M169" i="2"/>
  <c r="N169" i="2"/>
  <c r="O169" i="2"/>
  <c r="P169" i="2"/>
  <c r="Q169" i="2"/>
  <c r="R169" i="2"/>
  <c r="D170" i="2"/>
  <c r="E170" i="2"/>
  <c r="F170" i="2"/>
  <c r="G170" i="2"/>
  <c r="H170" i="2"/>
  <c r="I170" i="2"/>
  <c r="T170" i="2" s="1" a="1"/>
  <c r="T170" i="2" s="1"/>
  <c r="J170" i="2"/>
  <c r="K170" i="2"/>
  <c r="L170" i="2"/>
  <c r="M170" i="2"/>
  <c r="N170" i="2"/>
  <c r="O170" i="2"/>
  <c r="P170" i="2"/>
  <c r="Q170" i="2"/>
  <c r="R170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D172" i="2"/>
  <c r="E172" i="2"/>
  <c r="F172" i="2"/>
  <c r="G172" i="2"/>
  <c r="H172" i="2"/>
  <c r="I172" i="2"/>
  <c r="U172" i="2" s="1" a="1"/>
  <c r="U172" i="2" s="1"/>
  <c r="J172" i="2"/>
  <c r="K172" i="2"/>
  <c r="L172" i="2"/>
  <c r="M172" i="2"/>
  <c r="N172" i="2"/>
  <c r="O172" i="2"/>
  <c r="P172" i="2"/>
  <c r="Q172" i="2"/>
  <c r="R172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D174" i="2"/>
  <c r="E174" i="2"/>
  <c r="F174" i="2"/>
  <c r="G174" i="2"/>
  <c r="H174" i="2"/>
  <c r="I174" i="2"/>
  <c r="T174" i="2" s="1" a="1"/>
  <c r="T174" i="2" s="1"/>
  <c r="J174" i="2"/>
  <c r="K174" i="2"/>
  <c r="L174" i="2"/>
  <c r="M174" i="2"/>
  <c r="N174" i="2"/>
  <c r="O174" i="2"/>
  <c r="P174" i="2"/>
  <c r="Q174" i="2"/>
  <c r="R174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D176" i="2"/>
  <c r="E176" i="2"/>
  <c r="F176" i="2"/>
  <c r="G176" i="2"/>
  <c r="H176" i="2"/>
  <c r="I176" i="2"/>
  <c r="T176" i="2" s="1" a="1"/>
  <c r="T176" i="2" s="1"/>
  <c r="J176" i="2"/>
  <c r="K176" i="2"/>
  <c r="L176" i="2"/>
  <c r="M176" i="2"/>
  <c r="N176" i="2"/>
  <c r="O176" i="2"/>
  <c r="P176" i="2"/>
  <c r="Q176" i="2"/>
  <c r="R176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D178" i="2"/>
  <c r="E178" i="2"/>
  <c r="F178" i="2"/>
  <c r="G178" i="2"/>
  <c r="H178" i="2"/>
  <c r="I178" i="2"/>
  <c r="T178" i="2" s="1" a="1"/>
  <c r="T178" i="2" s="1"/>
  <c r="J178" i="2"/>
  <c r="K178" i="2"/>
  <c r="L178" i="2"/>
  <c r="M178" i="2"/>
  <c r="N178" i="2"/>
  <c r="O178" i="2"/>
  <c r="P178" i="2"/>
  <c r="Q178" i="2"/>
  <c r="R178" i="2"/>
  <c r="D179" i="2"/>
  <c r="E179" i="2"/>
  <c r="F179" i="2"/>
  <c r="G179" i="2"/>
  <c r="H179" i="2"/>
  <c r="I179" i="2"/>
  <c r="T179" i="2" s="1" a="1"/>
  <c r="T179" i="2" s="1"/>
  <c r="J179" i="2"/>
  <c r="K179" i="2"/>
  <c r="L179" i="2"/>
  <c r="M179" i="2"/>
  <c r="N179" i="2"/>
  <c r="O179" i="2"/>
  <c r="P179" i="2"/>
  <c r="Q179" i="2"/>
  <c r="R179" i="2"/>
  <c r="D180" i="2"/>
  <c r="E180" i="2"/>
  <c r="F180" i="2"/>
  <c r="G180" i="2"/>
  <c r="H180" i="2"/>
  <c r="I180" i="2"/>
  <c r="U180" i="2" s="1" a="1"/>
  <c r="U180" i="2" s="1"/>
  <c r="J180" i="2"/>
  <c r="K180" i="2"/>
  <c r="L180" i="2"/>
  <c r="M180" i="2"/>
  <c r="N180" i="2"/>
  <c r="O180" i="2"/>
  <c r="P180" i="2"/>
  <c r="Q180" i="2"/>
  <c r="R180" i="2"/>
  <c r="D181" i="2"/>
  <c r="E181" i="2"/>
  <c r="F181" i="2"/>
  <c r="G181" i="2"/>
  <c r="H181" i="2"/>
  <c r="I181" i="2"/>
  <c r="T181" i="2" s="1" a="1"/>
  <c r="T181" i="2" s="1"/>
  <c r="J181" i="2"/>
  <c r="K181" i="2"/>
  <c r="L181" i="2"/>
  <c r="M181" i="2"/>
  <c r="N181" i="2"/>
  <c r="O181" i="2"/>
  <c r="P181" i="2"/>
  <c r="Q181" i="2"/>
  <c r="R181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D183" i="2"/>
  <c r="E183" i="2"/>
  <c r="F183" i="2"/>
  <c r="G183" i="2"/>
  <c r="H183" i="2"/>
  <c r="I183" i="2"/>
  <c r="T183" i="2" s="1" a="1"/>
  <c r="T183" i="2" s="1"/>
  <c r="J183" i="2"/>
  <c r="K183" i="2"/>
  <c r="L183" i="2"/>
  <c r="M183" i="2"/>
  <c r="N183" i="2"/>
  <c r="O183" i="2"/>
  <c r="P183" i="2"/>
  <c r="Q183" i="2"/>
  <c r="R183" i="2"/>
  <c r="D184" i="2"/>
  <c r="E184" i="2"/>
  <c r="F184" i="2"/>
  <c r="G184" i="2"/>
  <c r="H184" i="2"/>
  <c r="I184" i="2"/>
  <c r="U184" i="2" s="1" a="1"/>
  <c r="U184" i="2" s="1"/>
  <c r="J184" i="2"/>
  <c r="K184" i="2"/>
  <c r="L184" i="2"/>
  <c r="M184" i="2"/>
  <c r="N184" i="2"/>
  <c r="O184" i="2"/>
  <c r="P184" i="2"/>
  <c r="Q184" i="2"/>
  <c r="R184" i="2"/>
  <c r="D185" i="2"/>
  <c r="E185" i="2"/>
  <c r="F185" i="2"/>
  <c r="G185" i="2"/>
  <c r="H185" i="2"/>
  <c r="I185" i="2"/>
  <c r="T185" i="2" s="1" a="1"/>
  <c r="T185" i="2" s="1"/>
  <c r="J185" i="2"/>
  <c r="K185" i="2"/>
  <c r="L185" i="2"/>
  <c r="M185" i="2"/>
  <c r="N185" i="2"/>
  <c r="O185" i="2"/>
  <c r="P185" i="2"/>
  <c r="Q185" i="2"/>
  <c r="R185" i="2"/>
  <c r="D186" i="2"/>
  <c r="E186" i="2"/>
  <c r="F186" i="2"/>
  <c r="G186" i="2"/>
  <c r="H186" i="2"/>
  <c r="I186" i="2"/>
  <c r="U186" i="2" s="1" a="1"/>
  <c r="U186" i="2" s="1"/>
  <c r="J186" i="2"/>
  <c r="K186" i="2"/>
  <c r="L186" i="2"/>
  <c r="M186" i="2"/>
  <c r="N186" i="2"/>
  <c r="O186" i="2"/>
  <c r="P186" i="2"/>
  <c r="Q186" i="2"/>
  <c r="R186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D188" i="2"/>
  <c r="E188" i="2"/>
  <c r="F188" i="2"/>
  <c r="G188" i="2"/>
  <c r="H188" i="2"/>
  <c r="I188" i="2"/>
  <c r="U188" i="2" s="1" a="1"/>
  <c r="U188" i="2" s="1"/>
  <c r="J188" i="2"/>
  <c r="K188" i="2"/>
  <c r="L188" i="2"/>
  <c r="M188" i="2"/>
  <c r="N188" i="2"/>
  <c r="O188" i="2"/>
  <c r="P188" i="2"/>
  <c r="Q188" i="2"/>
  <c r="R188" i="2"/>
  <c r="D189" i="2"/>
  <c r="E189" i="2"/>
  <c r="F189" i="2"/>
  <c r="G189" i="2"/>
  <c r="H189" i="2"/>
  <c r="I189" i="2"/>
  <c r="T189" i="2" s="1" a="1"/>
  <c r="T189" i="2" s="1"/>
  <c r="J189" i="2"/>
  <c r="K189" i="2"/>
  <c r="L189" i="2"/>
  <c r="M189" i="2"/>
  <c r="N189" i="2"/>
  <c r="O189" i="2"/>
  <c r="P189" i="2"/>
  <c r="Q189" i="2"/>
  <c r="R189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D191" i="2"/>
  <c r="E191" i="2"/>
  <c r="F191" i="2"/>
  <c r="G191" i="2"/>
  <c r="H191" i="2"/>
  <c r="I191" i="2"/>
  <c r="T191" i="2" s="1" a="1"/>
  <c r="T191" i="2" s="1"/>
  <c r="J191" i="2"/>
  <c r="K191" i="2"/>
  <c r="L191" i="2"/>
  <c r="M191" i="2"/>
  <c r="N191" i="2"/>
  <c r="O191" i="2"/>
  <c r="P191" i="2"/>
  <c r="Q191" i="2"/>
  <c r="R191" i="2"/>
  <c r="D192" i="2"/>
  <c r="E192" i="2"/>
  <c r="F192" i="2"/>
  <c r="G192" i="2"/>
  <c r="H192" i="2"/>
  <c r="I192" i="2"/>
  <c r="T192" i="2" s="1" a="1"/>
  <c r="T192" i="2" s="1"/>
  <c r="J192" i="2"/>
  <c r="K192" i="2"/>
  <c r="L192" i="2"/>
  <c r="M192" i="2"/>
  <c r="N192" i="2"/>
  <c r="O192" i="2"/>
  <c r="P192" i="2"/>
  <c r="Q192" i="2"/>
  <c r="R192" i="2"/>
  <c r="D193" i="2"/>
  <c r="E193" i="2"/>
  <c r="F193" i="2"/>
  <c r="G193" i="2"/>
  <c r="H193" i="2"/>
  <c r="I193" i="2"/>
  <c r="U193" i="2" s="1" a="1"/>
  <c r="U193" i="2" s="1"/>
  <c r="J193" i="2"/>
  <c r="K193" i="2"/>
  <c r="L193" i="2"/>
  <c r="M193" i="2"/>
  <c r="N193" i="2"/>
  <c r="O193" i="2"/>
  <c r="P193" i="2"/>
  <c r="Q193" i="2"/>
  <c r="R193" i="2"/>
  <c r="D194" i="2"/>
  <c r="E194" i="2"/>
  <c r="F194" i="2"/>
  <c r="G194" i="2"/>
  <c r="H194" i="2"/>
  <c r="I194" i="2"/>
  <c r="T194" i="2" s="1" a="1"/>
  <c r="T194" i="2" s="1"/>
  <c r="J194" i="2"/>
  <c r="K194" i="2"/>
  <c r="L194" i="2"/>
  <c r="M194" i="2"/>
  <c r="N194" i="2"/>
  <c r="O194" i="2"/>
  <c r="P194" i="2"/>
  <c r="Q194" i="2"/>
  <c r="R194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D196" i="2"/>
  <c r="E196" i="2"/>
  <c r="F196" i="2"/>
  <c r="G196" i="2"/>
  <c r="H196" i="2"/>
  <c r="I196" i="2"/>
  <c r="T196" i="2" s="1" a="1"/>
  <c r="T196" i="2" s="1"/>
  <c r="J196" i="2"/>
  <c r="K196" i="2"/>
  <c r="L196" i="2"/>
  <c r="M196" i="2"/>
  <c r="N196" i="2"/>
  <c r="O196" i="2"/>
  <c r="P196" i="2"/>
  <c r="Q196" i="2"/>
  <c r="R196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D198" i="2"/>
  <c r="E198" i="2"/>
  <c r="F198" i="2"/>
  <c r="G198" i="2"/>
  <c r="H198" i="2"/>
  <c r="I198" i="2"/>
  <c r="T198" i="2" s="1" a="1"/>
  <c r="T198" i="2" s="1"/>
  <c r="J198" i="2"/>
  <c r="K198" i="2"/>
  <c r="L198" i="2"/>
  <c r="M198" i="2"/>
  <c r="N198" i="2"/>
  <c r="O198" i="2"/>
  <c r="P198" i="2"/>
  <c r="Q198" i="2"/>
  <c r="R198" i="2"/>
  <c r="D199" i="2"/>
  <c r="E199" i="2"/>
  <c r="F199" i="2"/>
  <c r="G199" i="2"/>
  <c r="H199" i="2"/>
  <c r="I199" i="2"/>
  <c r="T199" i="2" s="1" a="1"/>
  <c r="T199" i="2" s="1"/>
  <c r="J199" i="2"/>
  <c r="K199" i="2"/>
  <c r="L199" i="2"/>
  <c r="M199" i="2"/>
  <c r="N199" i="2"/>
  <c r="O199" i="2"/>
  <c r="P199" i="2"/>
  <c r="Q199" i="2"/>
  <c r="R199" i="2"/>
  <c r="D200" i="2"/>
  <c r="E200" i="2"/>
  <c r="F200" i="2"/>
  <c r="G200" i="2"/>
  <c r="H200" i="2"/>
  <c r="I200" i="2"/>
  <c r="U200" i="2" s="1" a="1"/>
  <c r="U200" i="2" s="1"/>
  <c r="J200" i="2"/>
  <c r="K200" i="2"/>
  <c r="L200" i="2"/>
  <c r="M200" i="2"/>
  <c r="N200" i="2"/>
  <c r="O200" i="2"/>
  <c r="P200" i="2"/>
  <c r="Q200" i="2"/>
  <c r="R200" i="2"/>
  <c r="D201" i="2"/>
  <c r="E201" i="2"/>
  <c r="F201" i="2"/>
  <c r="G201" i="2"/>
  <c r="H201" i="2"/>
  <c r="I201" i="2"/>
  <c r="T201" i="2" s="1" a="1"/>
  <c r="T201" i="2" s="1"/>
  <c r="J201" i="2"/>
  <c r="K201" i="2"/>
  <c r="L201" i="2"/>
  <c r="M201" i="2"/>
  <c r="N201" i="2"/>
  <c r="O201" i="2"/>
  <c r="P201" i="2"/>
  <c r="Q201" i="2"/>
  <c r="R201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D203" i="2"/>
  <c r="E203" i="2"/>
  <c r="F203" i="2"/>
  <c r="G203" i="2"/>
  <c r="H203" i="2"/>
  <c r="I203" i="2"/>
  <c r="T203" i="2" s="1" a="1"/>
  <c r="T203" i="2" s="1"/>
  <c r="J203" i="2"/>
  <c r="K203" i="2"/>
  <c r="L203" i="2"/>
  <c r="M203" i="2"/>
  <c r="N203" i="2"/>
  <c r="O203" i="2"/>
  <c r="P203" i="2"/>
  <c r="Q203" i="2"/>
  <c r="R203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D205" i="2"/>
  <c r="E205" i="2"/>
  <c r="F205" i="2"/>
  <c r="G205" i="2"/>
  <c r="H205" i="2"/>
  <c r="I205" i="2"/>
  <c r="U205" i="2" s="1" a="1"/>
  <c r="U205" i="2" s="1"/>
  <c r="J205" i="2"/>
  <c r="K205" i="2"/>
  <c r="L205" i="2"/>
  <c r="M205" i="2"/>
  <c r="N205" i="2"/>
  <c r="O205" i="2"/>
  <c r="P205" i="2"/>
  <c r="Q205" i="2"/>
  <c r="R205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D207" i="2"/>
  <c r="E207" i="2"/>
  <c r="F207" i="2"/>
  <c r="G207" i="2"/>
  <c r="H207" i="2"/>
  <c r="I207" i="2"/>
  <c r="T207" i="2" s="1" a="1"/>
  <c r="T207" i="2" s="1"/>
  <c r="J207" i="2"/>
  <c r="K207" i="2"/>
  <c r="L207" i="2"/>
  <c r="M207" i="2"/>
  <c r="N207" i="2"/>
  <c r="O207" i="2"/>
  <c r="P207" i="2"/>
  <c r="Q207" i="2"/>
  <c r="R207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D209" i="2"/>
  <c r="E209" i="2"/>
  <c r="F209" i="2"/>
  <c r="G209" i="2"/>
  <c r="H209" i="2"/>
  <c r="I209" i="2"/>
  <c r="T209" i="2" s="1" a="1"/>
  <c r="T209" i="2" s="1"/>
  <c r="J209" i="2"/>
  <c r="K209" i="2"/>
  <c r="L209" i="2"/>
  <c r="M209" i="2"/>
  <c r="N209" i="2"/>
  <c r="O209" i="2"/>
  <c r="P209" i="2"/>
  <c r="Q209" i="2"/>
  <c r="R209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D211" i="2"/>
  <c r="E211" i="2"/>
  <c r="F211" i="2"/>
  <c r="G211" i="2"/>
  <c r="H211" i="2"/>
  <c r="I211" i="2"/>
  <c r="U211" i="2" s="1" a="1"/>
  <c r="U211" i="2" s="1"/>
  <c r="J211" i="2"/>
  <c r="K211" i="2"/>
  <c r="L211" i="2"/>
  <c r="M211" i="2"/>
  <c r="N211" i="2"/>
  <c r="O211" i="2"/>
  <c r="P211" i="2"/>
  <c r="Q211" i="2"/>
  <c r="R211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D213" i="2"/>
  <c r="E213" i="2"/>
  <c r="F213" i="2"/>
  <c r="G213" i="2"/>
  <c r="H213" i="2"/>
  <c r="I213" i="2"/>
  <c r="T213" i="2" s="1" a="1"/>
  <c r="T213" i="2" s="1"/>
  <c r="J213" i="2"/>
  <c r="K213" i="2"/>
  <c r="L213" i="2"/>
  <c r="M213" i="2"/>
  <c r="N213" i="2"/>
  <c r="O213" i="2"/>
  <c r="P213" i="2"/>
  <c r="Q213" i="2"/>
  <c r="R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D215" i="2"/>
  <c r="E215" i="2"/>
  <c r="F215" i="2"/>
  <c r="G215" i="2"/>
  <c r="H215" i="2"/>
  <c r="I215" i="2"/>
  <c r="T215" i="2" s="1" a="1"/>
  <c r="T215" i="2" s="1"/>
  <c r="J215" i="2"/>
  <c r="K215" i="2"/>
  <c r="L215" i="2"/>
  <c r="M215" i="2"/>
  <c r="N215" i="2"/>
  <c r="O215" i="2"/>
  <c r="P215" i="2"/>
  <c r="Q215" i="2"/>
  <c r="R215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D217" i="2"/>
  <c r="E217" i="2"/>
  <c r="F217" i="2"/>
  <c r="G217" i="2"/>
  <c r="H217" i="2"/>
  <c r="I217" i="2"/>
  <c r="T217" i="2" s="1" a="1"/>
  <c r="T217" i="2" s="1"/>
  <c r="J217" i="2"/>
  <c r="K217" i="2"/>
  <c r="L217" i="2"/>
  <c r="M217" i="2"/>
  <c r="N217" i="2"/>
  <c r="O217" i="2"/>
  <c r="P217" i="2"/>
  <c r="Q217" i="2"/>
  <c r="R217" i="2"/>
  <c r="D218" i="2"/>
  <c r="E218" i="2"/>
  <c r="F218" i="2"/>
  <c r="G218" i="2"/>
  <c r="H218" i="2"/>
  <c r="I218" i="2"/>
  <c r="T218" i="2" s="1" a="1"/>
  <c r="T218" i="2" s="1"/>
  <c r="J218" i="2"/>
  <c r="K218" i="2"/>
  <c r="L218" i="2"/>
  <c r="M218" i="2"/>
  <c r="N218" i="2"/>
  <c r="O218" i="2"/>
  <c r="P218" i="2"/>
  <c r="Q218" i="2"/>
  <c r="R218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D220" i="2"/>
  <c r="E220" i="2"/>
  <c r="F220" i="2"/>
  <c r="G220" i="2"/>
  <c r="H220" i="2"/>
  <c r="I220" i="2"/>
  <c r="T220" i="2" s="1" a="1"/>
  <c r="T220" i="2" s="1"/>
  <c r="J220" i="2"/>
  <c r="K220" i="2"/>
  <c r="L220" i="2"/>
  <c r="M220" i="2"/>
  <c r="N220" i="2"/>
  <c r="O220" i="2"/>
  <c r="P220" i="2"/>
  <c r="Q220" i="2"/>
  <c r="R220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D222" i="2"/>
  <c r="E222" i="2"/>
  <c r="F222" i="2"/>
  <c r="G222" i="2"/>
  <c r="H222" i="2"/>
  <c r="I222" i="2"/>
  <c r="T222" i="2" s="1" a="1"/>
  <c r="T222" i="2" s="1"/>
  <c r="J222" i="2"/>
  <c r="K222" i="2"/>
  <c r="L222" i="2"/>
  <c r="M222" i="2"/>
  <c r="N222" i="2"/>
  <c r="O222" i="2"/>
  <c r="P222" i="2"/>
  <c r="Q222" i="2"/>
  <c r="R222" i="2"/>
  <c r="D223" i="2"/>
  <c r="E223" i="2"/>
  <c r="F223" i="2"/>
  <c r="G223" i="2"/>
  <c r="H223" i="2"/>
  <c r="I223" i="2"/>
  <c r="U223" i="2" s="1" a="1"/>
  <c r="U223" i="2" s="1"/>
  <c r="J223" i="2"/>
  <c r="K223" i="2"/>
  <c r="L223" i="2"/>
  <c r="M223" i="2"/>
  <c r="N223" i="2"/>
  <c r="O223" i="2"/>
  <c r="P223" i="2"/>
  <c r="Q223" i="2"/>
  <c r="R223" i="2"/>
  <c r="D224" i="2"/>
  <c r="E224" i="2"/>
  <c r="F224" i="2"/>
  <c r="G224" i="2"/>
  <c r="H224" i="2"/>
  <c r="I224" i="2"/>
  <c r="T224" i="2" s="1" a="1"/>
  <c r="T224" i="2" s="1"/>
  <c r="J224" i="2"/>
  <c r="K224" i="2"/>
  <c r="L224" i="2"/>
  <c r="M224" i="2"/>
  <c r="N224" i="2"/>
  <c r="O224" i="2"/>
  <c r="P224" i="2"/>
  <c r="Q224" i="2"/>
  <c r="R224" i="2"/>
  <c r="D225" i="2"/>
  <c r="E225" i="2"/>
  <c r="F225" i="2"/>
  <c r="G225" i="2"/>
  <c r="H225" i="2"/>
  <c r="I225" i="2"/>
  <c r="T225" i="2" s="1" a="1"/>
  <c r="T225" i="2" s="1"/>
  <c r="J225" i="2"/>
  <c r="K225" i="2"/>
  <c r="L225" i="2"/>
  <c r="M225" i="2"/>
  <c r="N225" i="2"/>
  <c r="O225" i="2"/>
  <c r="P225" i="2"/>
  <c r="Q225" i="2"/>
  <c r="R225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D227" i="2"/>
  <c r="E227" i="2"/>
  <c r="F227" i="2"/>
  <c r="G227" i="2"/>
  <c r="H227" i="2"/>
  <c r="I227" i="2"/>
  <c r="U227" i="2" s="1" a="1"/>
  <c r="U227" i="2" s="1"/>
  <c r="J227" i="2"/>
  <c r="K227" i="2"/>
  <c r="L227" i="2"/>
  <c r="M227" i="2"/>
  <c r="N227" i="2"/>
  <c r="O227" i="2"/>
  <c r="P227" i="2"/>
  <c r="Q227" i="2"/>
  <c r="R227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D229" i="2"/>
  <c r="E229" i="2"/>
  <c r="F229" i="2"/>
  <c r="G229" i="2"/>
  <c r="H229" i="2"/>
  <c r="I229" i="2"/>
  <c r="T229" i="2" s="1" a="1"/>
  <c r="T229" i="2" s="1"/>
  <c r="J229" i="2"/>
  <c r="K229" i="2"/>
  <c r="L229" i="2"/>
  <c r="M229" i="2"/>
  <c r="N229" i="2"/>
  <c r="O229" i="2"/>
  <c r="P229" i="2"/>
  <c r="Q229" i="2"/>
  <c r="R229" i="2"/>
  <c r="D230" i="2"/>
  <c r="E230" i="2"/>
  <c r="F230" i="2"/>
  <c r="G230" i="2"/>
  <c r="H230" i="2"/>
  <c r="I230" i="2"/>
  <c r="U230" i="2" s="1" a="1"/>
  <c r="U230" i="2" s="1"/>
  <c r="J230" i="2"/>
  <c r="K230" i="2"/>
  <c r="L230" i="2"/>
  <c r="M230" i="2"/>
  <c r="N230" i="2"/>
  <c r="O230" i="2"/>
  <c r="P230" i="2"/>
  <c r="Q230" i="2"/>
  <c r="R230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D232" i="2"/>
  <c r="E232" i="2"/>
  <c r="F232" i="2"/>
  <c r="G232" i="2"/>
  <c r="H232" i="2"/>
  <c r="I232" i="2"/>
  <c r="T232" i="2" s="1" a="1"/>
  <c r="T232" i="2" s="1"/>
  <c r="J232" i="2"/>
  <c r="K232" i="2"/>
  <c r="L232" i="2"/>
  <c r="M232" i="2"/>
  <c r="N232" i="2"/>
  <c r="O232" i="2"/>
  <c r="P232" i="2"/>
  <c r="Q232" i="2"/>
  <c r="R232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D234" i="2"/>
  <c r="E234" i="2"/>
  <c r="F234" i="2"/>
  <c r="G234" i="2"/>
  <c r="H234" i="2"/>
  <c r="I234" i="2"/>
  <c r="T234" i="2" s="1" a="1"/>
  <c r="T234" i="2" s="1"/>
  <c r="J234" i="2"/>
  <c r="K234" i="2"/>
  <c r="L234" i="2"/>
  <c r="M234" i="2"/>
  <c r="N234" i="2"/>
  <c r="O234" i="2"/>
  <c r="P234" i="2"/>
  <c r="Q234" i="2"/>
  <c r="R234" i="2"/>
  <c r="D235" i="2"/>
  <c r="E235" i="2"/>
  <c r="F235" i="2"/>
  <c r="G235" i="2"/>
  <c r="H235" i="2"/>
  <c r="I235" i="2"/>
  <c r="U235" i="2" s="1" a="1"/>
  <c r="U235" i="2" s="1"/>
  <c r="J235" i="2"/>
  <c r="K235" i="2"/>
  <c r="L235" i="2"/>
  <c r="M235" i="2"/>
  <c r="N235" i="2"/>
  <c r="O235" i="2"/>
  <c r="P235" i="2"/>
  <c r="Q235" i="2"/>
  <c r="R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D237" i="2"/>
  <c r="E237" i="2"/>
  <c r="F237" i="2"/>
  <c r="G237" i="2"/>
  <c r="H237" i="2"/>
  <c r="I237" i="2"/>
  <c r="T237" i="2" s="1" a="1"/>
  <c r="T237" i="2" s="1"/>
  <c r="J237" i="2"/>
  <c r="K237" i="2"/>
  <c r="L237" i="2"/>
  <c r="M237" i="2"/>
  <c r="N237" i="2"/>
  <c r="O237" i="2"/>
  <c r="P237" i="2"/>
  <c r="Q237" i="2"/>
  <c r="R237" i="2"/>
  <c r="D238" i="2"/>
  <c r="E238" i="2"/>
  <c r="F238" i="2"/>
  <c r="G238" i="2"/>
  <c r="H238" i="2"/>
  <c r="I238" i="2"/>
  <c r="U238" i="2" s="1" a="1"/>
  <c r="U238" i="2" s="1"/>
  <c r="J238" i="2"/>
  <c r="K238" i="2"/>
  <c r="L238" i="2"/>
  <c r="M238" i="2"/>
  <c r="N238" i="2"/>
  <c r="O238" i="2"/>
  <c r="P238" i="2"/>
  <c r="Q238" i="2"/>
  <c r="R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D240" i="2"/>
  <c r="E240" i="2"/>
  <c r="F240" i="2"/>
  <c r="G240" i="2"/>
  <c r="H240" i="2"/>
  <c r="I240" i="2"/>
  <c r="T240" i="2" s="1" a="1"/>
  <c r="T240" i="2" s="1"/>
  <c r="J240" i="2"/>
  <c r="K240" i="2"/>
  <c r="L240" i="2"/>
  <c r="M240" i="2"/>
  <c r="N240" i="2"/>
  <c r="O240" i="2"/>
  <c r="P240" i="2"/>
  <c r="Q240" i="2"/>
  <c r="R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D242" i="2"/>
  <c r="E242" i="2"/>
  <c r="F242" i="2"/>
  <c r="G242" i="2"/>
  <c r="H242" i="2"/>
  <c r="I242" i="2"/>
  <c r="T242" i="2" s="1" a="1"/>
  <c r="T242" i="2" s="1"/>
  <c r="J242" i="2"/>
  <c r="K242" i="2"/>
  <c r="L242" i="2"/>
  <c r="M242" i="2"/>
  <c r="N242" i="2"/>
  <c r="O242" i="2"/>
  <c r="P242" i="2"/>
  <c r="Q242" i="2"/>
  <c r="R242" i="2"/>
  <c r="D243" i="2"/>
  <c r="E243" i="2"/>
  <c r="F243" i="2"/>
  <c r="G243" i="2"/>
  <c r="H243" i="2"/>
  <c r="I243" i="2"/>
  <c r="T243" i="2" s="1" a="1"/>
  <c r="T243" i="2" s="1"/>
  <c r="J243" i="2"/>
  <c r="K243" i="2"/>
  <c r="L243" i="2"/>
  <c r="M243" i="2"/>
  <c r="N243" i="2"/>
  <c r="O243" i="2"/>
  <c r="P243" i="2"/>
  <c r="Q243" i="2"/>
  <c r="R243" i="2"/>
  <c r="D244" i="2"/>
  <c r="E244" i="2"/>
  <c r="F244" i="2"/>
  <c r="G244" i="2"/>
  <c r="H244" i="2"/>
  <c r="I244" i="2"/>
  <c r="T244" i="2" s="1" a="1"/>
  <c r="T244" i="2" s="1"/>
  <c r="J244" i="2"/>
  <c r="K244" i="2"/>
  <c r="L244" i="2"/>
  <c r="M244" i="2"/>
  <c r="N244" i="2"/>
  <c r="O244" i="2"/>
  <c r="P244" i="2"/>
  <c r="Q244" i="2"/>
  <c r="R244" i="2"/>
  <c r="D245" i="2"/>
  <c r="E245" i="2"/>
  <c r="F245" i="2"/>
  <c r="G245" i="2"/>
  <c r="H245" i="2"/>
  <c r="I245" i="2"/>
  <c r="T245" i="2" s="1" a="1"/>
  <c r="T245" i="2" s="1"/>
  <c r="J245" i="2"/>
  <c r="K245" i="2"/>
  <c r="L245" i="2"/>
  <c r="M245" i="2"/>
  <c r="N245" i="2"/>
  <c r="O245" i="2"/>
  <c r="P245" i="2"/>
  <c r="Q245" i="2"/>
  <c r="R245" i="2"/>
  <c r="D246" i="2"/>
  <c r="E246" i="2"/>
  <c r="F246" i="2"/>
  <c r="G246" i="2"/>
  <c r="H246" i="2"/>
  <c r="I246" i="2"/>
  <c r="T246" i="2" s="1" a="1"/>
  <c r="T246" i="2" s="1"/>
  <c r="J246" i="2"/>
  <c r="K246" i="2"/>
  <c r="L246" i="2"/>
  <c r="M246" i="2"/>
  <c r="N246" i="2"/>
  <c r="O246" i="2"/>
  <c r="P246" i="2"/>
  <c r="Q246" i="2"/>
  <c r="R246" i="2"/>
  <c r="D247" i="2"/>
  <c r="E247" i="2"/>
  <c r="F247" i="2"/>
  <c r="G247" i="2"/>
  <c r="H247" i="2"/>
  <c r="I247" i="2"/>
  <c r="T247" i="2" s="1" a="1"/>
  <c r="T247" i="2" s="1"/>
  <c r="J247" i="2"/>
  <c r="K247" i="2"/>
  <c r="L247" i="2"/>
  <c r="M247" i="2"/>
  <c r="N247" i="2"/>
  <c r="O247" i="2"/>
  <c r="P247" i="2"/>
  <c r="Q247" i="2"/>
  <c r="R247" i="2"/>
  <c r="D248" i="2"/>
  <c r="E248" i="2"/>
  <c r="F248" i="2"/>
  <c r="G248" i="2"/>
  <c r="H248" i="2"/>
  <c r="I248" i="2"/>
  <c r="U248" i="2" s="1" a="1"/>
  <c r="U248" i="2" s="1"/>
  <c r="J248" i="2"/>
  <c r="K248" i="2"/>
  <c r="L248" i="2"/>
  <c r="M248" i="2"/>
  <c r="N248" i="2"/>
  <c r="O248" i="2"/>
  <c r="P248" i="2"/>
  <c r="Q248" i="2"/>
  <c r="R248" i="2"/>
  <c r="D249" i="2"/>
  <c r="E249" i="2"/>
  <c r="F249" i="2"/>
  <c r="G249" i="2"/>
  <c r="H249" i="2"/>
  <c r="I249" i="2"/>
  <c r="T249" i="2" s="1" a="1"/>
  <c r="T249" i="2" s="1"/>
  <c r="J249" i="2"/>
  <c r="K249" i="2"/>
  <c r="L249" i="2"/>
  <c r="M249" i="2"/>
  <c r="N249" i="2"/>
  <c r="O249" i="2"/>
  <c r="P249" i="2"/>
  <c r="Q249" i="2"/>
  <c r="R249" i="2"/>
  <c r="D250" i="2"/>
  <c r="E250" i="2"/>
  <c r="F250" i="2"/>
  <c r="G250" i="2"/>
  <c r="H250" i="2"/>
  <c r="I250" i="2"/>
  <c r="T250" i="2" s="1" a="1"/>
  <c r="T250" i="2" s="1"/>
  <c r="J250" i="2"/>
  <c r="K250" i="2"/>
  <c r="L250" i="2"/>
  <c r="M250" i="2"/>
  <c r="N250" i="2"/>
  <c r="O250" i="2"/>
  <c r="P250" i="2"/>
  <c r="Q250" i="2"/>
  <c r="R250" i="2"/>
  <c r="D251" i="2"/>
  <c r="E251" i="2"/>
  <c r="F251" i="2"/>
  <c r="G251" i="2"/>
  <c r="H251" i="2"/>
  <c r="I251" i="2"/>
  <c r="T251" i="2" s="1" a="1"/>
  <c r="T251" i="2" s="1"/>
  <c r="J251" i="2"/>
  <c r="K251" i="2"/>
  <c r="L251" i="2"/>
  <c r="M251" i="2"/>
  <c r="N251" i="2"/>
  <c r="O251" i="2"/>
  <c r="P251" i="2"/>
  <c r="Q251" i="2"/>
  <c r="R251" i="2"/>
  <c r="D252" i="2"/>
  <c r="E252" i="2"/>
  <c r="F252" i="2"/>
  <c r="G252" i="2"/>
  <c r="H252" i="2"/>
  <c r="I252" i="2"/>
  <c r="T252" i="2" s="1" a="1"/>
  <c r="T252" i="2" s="1"/>
  <c r="J252" i="2"/>
  <c r="K252" i="2"/>
  <c r="L252" i="2"/>
  <c r="M252" i="2"/>
  <c r="N252" i="2"/>
  <c r="O252" i="2"/>
  <c r="P252" i="2"/>
  <c r="Q252" i="2"/>
  <c r="R252" i="2"/>
  <c r="D253" i="2"/>
  <c r="E253" i="2"/>
  <c r="F253" i="2"/>
  <c r="G253" i="2"/>
  <c r="H253" i="2"/>
  <c r="I253" i="2"/>
  <c r="T253" i="2" s="1" a="1"/>
  <c r="T253" i="2" s="1"/>
  <c r="J253" i="2"/>
  <c r="K253" i="2"/>
  <c r="L253" i="2"/>
  <c r="M253" i="2"/>
  <c r="N253" i="2"/>
  <c r="O253" i="2"/>
  <c r="P253" i="2"/>
  <c r="Q253" i="2"/>
  <c r="R253" i="2"/>
  <c r="D254" i="2"/>
  <c r="E254" i="2"/>
  <c r="F254" i="2"/>
  <c r="G254" i="2"/>
  <c r="H254" i="2"/>
  <c r="I254" i="2"/>
  <c r="T254" i="2" s="1" a="1"/>
  <c r="T254" i="2" s="1"/>
  <c r="J254" i="2"/>
  <c r="K254" i="2"/>
  <c r="L254" i="2"/>
  <c r="M254" i="2"/>
  <c r="N254" i="2"/>
  <c r="O254" i="2"/>
  <c r="P254" i="2"/>
  <c r="Q254" i="2"/>
  <c r="R254" i="2"/>
  <c r="D255" i="2"/>
  <c r="E255" i="2"/>
  <c r="F255" i="2"/>
  <c r="G255" i="2"/>
  <c r="H255" i="2"/>
  <c r="I255" i="2"/>
  <c r="T255" i="2" s="1" a="1"/>
  <c r="T255" i="2" s="1"/>
  <c r="J255" i="2"/>
  <c r="K255" i="2"/>
  <c r="L255" i="2"/>
  <c r="M255" i="2"/>
  <c r="N255" i="2"/>
  <c r="O255" i="2"/>
  <c r="P255" i="2"/>
  <c r="Q255" i="2"/>
  <c r="R255" i="2"/>
  <c r="D256" i="2"/>
  <c r="E256" i="2"/>
  <c r="F256" i="2"/>
  <c r="G256" i="2"/>
  <c r="H256" i="2"/>
  <c r="I256" i="2"/>
  <c r="U256" i="2" s="1" a="1"/>
  <c r="U256" i="2" s="1"/>
  <c r="J256" i="2"/>
  <c r="K256" i="2"/>
  <c r="L256" i="2"/>
  <c r="M256" i="2"/>
  <c r="N256" i="2"/>
  <c r="O256" i="2"/>
  <c r="P256" i="2"/>
  <c r="Q256" i="2"/>
  <c r="R256" i="2"/>
  <c r="D257" i="2"/>
  <c r="E257" i="2"/>
  <c r="F257" i="2"/>
  <c r="G257" i="2"/>
  <c r="H257" i="2"/>
  <c r="I257" i="2"/>
  <c r="T257" i="2" s="1" a="1"/>
  <c r="T257" i="2" s="1"/>
  <c r="J257" i="2"/>
  <c r="K257" i="2"/>
  <c r="L257" i="2"/>
  <c r="M257" i="2"/>
  <c r="N257" i="2"/>
  <c r="O257" i="2"/>
  <c r="P257" i="2"/>
  <c r="Q257" i="2"/>
  <c r="R257" i="2"/>
  <c r="D258" i="2"/>
  <c r="E258" i="2"/>
  <c r="F258" i="2"/>
  <c r="G258" i="2"/>
  <c r="H258" i="2"/>
  <c r="I258" i="2"/>
  <c r="T258" i="2" s="1" a="1"/>
  <c r="T258" i="2" s="1"/>
  <c r="J258" i="2"/>
  <c r="K258" i="2"/>
  <c r="L258" i="2"/>
  <c r="M258" i="2"/>
  <c r="N258" i="2"/>
  <c r="O258" i="2"/>
  <c r="P258" i="2"/>
  <c r="Q258" i="2"/>
  <c r="R258" i="2"/>
  <c r="D259" i="2"/>
  <c r="E259" i="2"/>
  <c r="F259" i="2"/>
  <c r="G259" i="2"/>
  <c r="H259" i="2"/>
  <c r="I259" i="2"/>
  <c r="T259" i="2" s="1" a="1"/>
  <c r="T259" i="2" s="1"/>
  <c r="J259" i="2"/>
  <c r="K259" i="2"/>
  <c r="L259" i="2"/>
  <c r="M259" i="2"/>
  <c r="N259" i="2"/>
  <c r="O259" i="2"/>
  <c r="P259" i="2"/>
  <c r="Q259" i="2"/>
  <c r="R259" i="2"/>
  <c r="D260" i="2"/>
  <c r="E260" i="2"/>
  <c r="F260" i="2"/>
  <c r="G260" i="2"/>
  <c r="H260" i="2"/>
  <c r="I260" i="2"/>
  <c r="T260" i="2" s="1" a="1"/>
  <c r="T260" i="2" s="1"/>
  <c r="J260" i="2"/>
  <c r="K260" i="2"/>
  <c r="L260" i="2"/>
  <c r="M260" i="2"/>
  <c r="N260" i="2"/>
  <c r="O260" i="2"/>
  <c r="P260" i="2"/>
  <c r="Q260" i="2"/>
  <c r="R260" i="2"/>
  <c r="D261" i="2"/>
  <c r="E261" i="2"/>
  <c r="F261" i="2"/>
  <c r="G261" i="2"/>
  <c r="H261" i="2"/>
  <c r="I261" i="2"/>
  <c r="T261" i="2" s="1" a="1"/>
  <c r="T261" i="2" s="1"/>
  <c r="J261" i="2"/>
  <c r="K261" i="2"/>
  <c r="L261" i="2"/>
  <c r="M261" i="2"/>
  <c r="N261" i="2"/>
  <c r="O261" i="2"/>
  <c r="P261" i="2"/>
  <c r="Q261" i="2"/>
  <c r="R261" i="2"/>
  <c r="D262" i="2"/>
  <c r="E262" i="2"/>
  <c r="F262" i="2"/>
  <c r="G262" i="2"/>
  <c r="H262" i="2"/>
  <c r="I262" i="2"/>
  <c r="T262" i="2" s="1" a="1"/>
  <c r="T262" i="2" s="1"/>
  <c r="J262" i="2"/>
  <c r="K262" i="2"/>
  <c r="L262" i="2"/>
  <c r="M262" i="2"/>
  <c r="N262" i="2"/>
  <c r="O262" i="2"/>
  <c r="P262" i="2"/>
  <c r="Q262" i="2"/>
  <c r="R262" i="2"/>
  <c r="D263" i="2"/>
  <c r="E263" i="2"/>
  <c r="F263" i="2"/>
  <c r="G263" i="2"/>
  <c r="H263" i="2"/>
  <c r="I263" i="2"/>
  <c r="T263" i="2" s="1" a="1"/>
  <c r="T263" i="2" s="1"/>
  <c r="J263" i="2"/>
  <c r="K263" i="2"/>
  <c r="L263" i="2"/>
  <c r="M263" i="2"/>
  <c r="N263" i="2"/>
  <c r="O263" i="2"/>
  <c r="P263" i="2"/>
  <c r="Q263" i="2"/>
  <c r="R263" i="2"/>
  <c r="D264" i="2"/>
  <c r="E264" i="2"/>
  <c r="F264" i="2"/>
  <c r="G264" i="2"/>
  <c r="H264" i="2"/>
  <c r="I264" i="2"/>
  <c r="U264" i="2" s="1" a="1"/>
  <c r="U264" i="2" s="1"/>
  <c r="J264" i="2"/>
  <c r="K264" i="2"/>
  <c r="L264" i="2"/>
  <c r="M264" i="2"/>
  <c r="N264" i="2"/>
  <c r="O264" i="2"/>
  <c r="P264" i="2"/>
  <c r="Q264" i="2"/>
  <c r="R264" i="2"/>
  <c r="D265" i="2"/>
  <c r="E265" i="2"/>
  <c r="F265" i="2"/>
  <c r="G265" i="2"/>
  <c r="H265" i="2"/>
  <c r="I265" i="2"/>
  <c r="T265" i="2" s="1" a="1"/>
  <c r="T265" i="2" s="1"/>
  <c r="J265" i="2"/>
  <c r="K265" i="2"/>
  <c r="L265" i="2"/>
  <c r="M265" i="2"/>
  <c r="N265" i="2"/>
  <c r="O265" i="2"/>
  <c r="P265" i="2"/>
  <c r="Q265" i="2"/>
  <c r="R265" i="2"/>
  <c r="D266" i="2"/>
  <c r="E266" i="2"/>
  <c r="F266" i="2"/>
  <c r="G266" i="2"/>
  <c r="H266" i="2"/>
  <c r="I266" i="2"/>
  <c r="T266" i="2" s="1" a="1"/>
  <c r="T266" i="2" s="1"/>
  <c r="J266" i="2"/>
  <c r="K266" i="2"/>
  <c r="L266" i="2"/>
  <c r="M266" i="2"/>
  <c r="N266" i="2"/>
  <c r="O266" i="2"/>
  <c r="P266" i="2"/>
  <c r="Q266" i="2"/>
  <c r="R266" i="2"/>
  <c r="D267" i="2"/>
  <c r="E267" i="2"/>
  <c r="F267" i="2"/>
  <c r="G267" i="2"/>
  <c r="H267" i="2"/>
  <c r="I267" i="2"/>
  <c r="T267" i="2" s="1" a="1"/>
  <c r="T267" i="2" s="1"/>
  <c r="J267" i="2"/>
  <c r="K267" i="2"/>
  <c r="L267" i="2"/>
  <c r="M267" i="2"/>
  <c r="N267" i="2"/>
  <c r="O267" i="2"/>
  <c r="P267" i="2"/>
  <c r="Q267" i="2"/>
  <c r="R267" i="2"/>
  <c r="D268" i="2"/>
  <c r="E268" i="2"/>
  <c r="F268" i="2"/>
  <c r="G268" i="2"/>
  <c r="H268" i="2"/>
  <c r="I268" i="2"/>
  <c r="T268" i="2" s="1" a="1"/>
  <c r="T268" i="2" s="1"/>
  <c r="J268" i="2"/>
  <c r="K268" i="2"/>
  <c r="L268" i="2"/>
  <c r="M268" i="2"/>
  <c r="N268" i="2"/>
  <c r="O268" i="2"/>
  <c r="P268" i="2"/>
  <c r="Q268" i="2"/>
  <c r="R268" i="2"/>
  <c r="D269" i="2"/>
  <c r="E269" i="2"/>
  <c r="F269" i="2"/>
  <c r="G269" i="2"/>
  <c r="H269" i="2"/>
  <c r="I269" i="2"/>
  <c r="T269" i="2" s="1" a="1"/>
  <c r="T269" i="2" s="1"/>
  <c r="J269" i="2"/>
  <c r="K269" i="2"/>
  <c r="L269" i="2"/>
  <c r="M269" i="2"/>
  <c r="N269" i="2"/>
  <c r="O269" i="2"/>
  <c r="P269" i="2"/>
  <c r="Q269" i="2"/>
  <c r="R269" i="2"/>
  <c r="D270" i="2"/>
  <c r="E270" i="2"/>
  <c r="F270" i="2"/>
  <c r="G270" i="2"/>
  <c r="H270" i="2"/>
  <c r="I270" i="2"/>
  <c r="T270" i="2" s="1" a="1"/>
  <c r="T270" i="2" s="1"/>
  <c r="J270" i="2"/>
  <c r="K270" i="2"/>
  <c r="L270" i="2"/>
  <c r="M270" i="2"/>
  <c r="N270" i="2"/>
  <c r="O270" i="2"/>
  <c r="P270" i="2"/>
  <c r="Q270" i="2"/>
  <c r="R270" i="2"/>
  <c r="D271" i="2"/>
  <c r="E271" i="2"/>
  <c r="F271" i="2"/>
  <c r="G271" i="2"/>
  <c r="H271" i="2"/>
  <c r="I271" i="2"/>
  <c r="T271" i="2" s="1" a="1"/>
  <c r="T271" i="2" s="1"/>
  <c r="J271" i="2"/>
  <c r="K271" i="2"/>
  <c r="L271" i="2"/>
  <c r="M271" i="2"/>
  <c r="N271" i="2"/>
  <c r="O271" i="2"/>
  <c r="P271" i="2"/>
  <c r="Q271" i="2"/>
  <c r="R271" i="2"/>
  <c r="D272" i="2"/>
  <c r="E272" i="2"/>
  <c r="F272" i="2"/>
  <c r="G272" i="2"/>
  <c r="H272" i="2"/>
  <c r="I272" i="2"/>
  <c r="U272" i="2" s="1" a="1"/>
  <c r="U272" i="2" s="1"/>
  <c r="J272" i="2"/>
  <c r="K272" i="2"/>
  <c r="L272" i="2"/>
  <c r="M272" i="2"/>
  <c r="N272" i="2"/>
  <c r="O272" i="2"/>
  <c r="P272" i="2"/>
  <c r="Q272" i="2"/>
  <c r="R272" i="2"/>
  <c r="D273" i="2"/>
  <c r="E273" i="2"/>
  <c r="F273" i="2"/>
  <c r="G273" i="2"/>
  <c r="H273" i="2"/>
  <c r="I273" i="2"/>
  <c r="T273" i="2" s="1" a="1"/>
  <c r="T273" i="2" s="1"/>
  <c r="J273" i="2"/>
  <c r="K273" i="2"/>
  <c r="L273" i="2"/>
  <c r="M273" i="2"/>
  <c r="N273" i="2"/>
  <c r="O273" i="2"/>
  <c r="P273" i="2"/>
  <c r="Q273" i="2"/>
  <c r="R273" i="2"/>
  <c r="D274" i="2"/>
  <c r="E274" i="2"/>
  <c r="F274" i="2"/>
  <c r="G274" i="2"/>
  <c r="H274" i="2"/>
  <c r="I274" i="2"/>
  <c r="T274" i="2" s="1" a="1"/>
  <c r="T274" i="2" s="1"/>
  <c r="J274" i="2"/>
  <c r="K274" i="2"/>
  <c r="L274" i="2"/>
  <c r="M274" i="2"/>
  <c r="N274" i="2"/>
  <c r="O274" i="2"/>
  <c r="P274" i="2"/>
  <c r="Q274" i="2"/>
  <c r="R274" i="2"/>
  <c r="D275" i="2"/>
  <c r="E275" i="2"/>
  <c r="F275" i="2"/>
  <c r="G275" i="2"/>
  <c r="H275" i="2"/>
  <c r="I275" i="2"/>
  <c r="T275" i="2" s="1" a="1"/>
  <c r="T275" i="2" s="1"/>
  <c r="J275" i="2"/>
  <c r="K275" i="2"/>
  <c r="L275" i="2"/>
  <c r="M275" i="2"/>
  <c r="N275" i="2"/>
  <c r="O275" i="2"/>
  <c r="P275" i="2"/>
  <c r="Q275" i="2"/>
  <c r="R275" i="2"/>
  <c r="D276" i="2"/>
  <c r="E276" i="2"/>
  <c r="F276" i="2"/>
  <c r="G276" i="2"/>
  <c r="H276" i="2"/>
  <c r="I276" i="2"/>
  <c r="T276" i="2" s="1" a="1"/>
  <c r="T276" i="2" s="1"/>
  <c r="J276" i="2"/>
  <c r="K276" i="2"/>
  <c r="L276" i="2"/>
  <c r="M276" i="2"/>
  <c r="N276" i="2"/>
  <c r="O276" i="2"/>
  <c r="P276" i="2"/>
  <c r="Q276" i="2"/>
  <c r="R276" i="2"/>
  <c r="D277" i="2"/>
  <c r="E277" i="2"/>
  <c r="F277" i="2"/>
  <c r="G277" i="2"/>
  <c r="H277" i="2"/>
  <c r="I277" i="2"/>
  <c r="T277" i="2" s="1" a="1"/>
  <c r="T277" i="2" s="1"/>
  <c r="J277" i="2"/>
  <c r="K277" i="2"/>
  <c r="L277" i="2"/>
  <c r="M277" i="2"/>
  <c r="N277" i="2"/>
  <c r="O277" i="2"/>
  <c r="P277" i="2"/>
  <c r="Q277" i="2"/>
  <c r="R277" i="2"/>
  <c r="D278" i="2"/>
  <c r="E278" i="2"/>
  <c r="F278" i="2"/>
  <c r="G278" i="2"/>
  <c r="H278" i="2"/>
  <c r="I278" i="2"/>
  <c r="T278" i="2" s="1" a="1"/>
  <c r="T278" i="2" s="1"/>
  <c r="J278" i="2"/>
  <c r="K278" i="2"/>
  <c r="L278" i="2"/>
  <c r="M278" i="2"/>
  <c r="N278" i="2"/>
  <c r="O278" i="2"/>
  <c r="P278" i="2"/>
  <c r="Q278" i="2"/>
  <c r="R278" i="2"/>
  <c r="D279" i="2"/>
  <c r="E279" i="2"/>
  <c r="F279" i="2"/>
  <c r="G279" i="2"/>
  <c r="H279" i="2"/>
  <c r="I279" i="2"/>
  <c r="T279" i="2" s="1" a="1"/>
  <c r="T279" i="2" s="1"/>
  <c r="J279" i="2"/>
  <c r="K279" i="2"/>
  <c r="L279" i="2"/>
  <c r="M279" i="2"/>
  <c r="N279" i="2"/>
  <c r="O279" i="2"/>
  <c r="P279" i="2"/>
  <c r="Q279" i="2"/>
  <c r="R279" i="2"/>
  <c r="D280" i="2"/>
  <c r="E280" i="2"/>
  <c r="F280" i="2"/>
  <c r="G280" i="2"/>
  <c r="H280" i="2"/>
  <c r="I280" i="2"/>
  <c r="U280" i="2" s="1" a="1"/>
  <c r="U280" i="2" s="1"/>
  <c r="J280" i="2"/>
  <c r="K280" i="2"/>
  <c r="L280" i="2"/>
  <c r="M280" i="2"/>
  <c r="N280" i="2"/>
  <c r="O280" i="2"/>
  <c r="P280" i="2"/>
  <c r="Q280" i="2"/>
  <c r="R280" i="2"/>
  <c r="D281" i="2"/>
  <c r="E281" i="2"/>
  <c r="F281" i="2"/>
  <c r="G281" i="2"/>
  <c r="H281" i="2"/>
  <c r="I281" i="2"/>
  <c r="T281" i="2" s="1" a="1"/>
  <c r="T281" i="2" s="1"/>
  <c r="J281" i="2"/>
  <c r="K281" i="2"/>
  <c r="L281" i="2"/>
  <c r="M281" i="2"/>
  <c r="N281" i="2"/>
  <c r="O281" i="2"/>
  <c r="P281" i="2"/>
  <c r="Q281" i="2"/>
  <c r="R281" i="2"/>
  <c r="D282" i="2"/>
  <c r="E282" i="2"/>
  <c r="F282" i="2"/>
  <c r="G282" i="2"/>
  <c r="H282" i="2"/>
  <c r="I282" i="2"/>
  <c r="T282" i="2" s="1" a="1"/>
  <c r="T282" i="2" s="1"/>
  <c r="J282" i="2"/>
  <c r="K282" i="2"/>
  <c r="L282" i="2"/>
  <c r="M282" i="2"/>
  <c r="N282" i="2"/>
  <c r="O282" i="2"/>
  <c r="P282" i="2"/>
  <c r="Q282" i="2"/>
  <c r="R282" i="2"/>
  <c r="D283" i="2"/>
  <c r="E283" i="2"/>
  <c r="F283" i="2"/>
  <c r="G283" i="2"/>
  <c r="H283" i="2"/>
  <c r="I283" i="2"/>
  <c r="T283" i="2" s="1" a="1"/>
  <c r="T283" i="2" s="1"/>
  <c r="J283" i="2"/>
  <c r="K283" i="2"/>
  <c r="L283" i="2"/>
  <c r="M283" i="2"/>
  <c r="N283" i="2"/>
  <c r="O283" i="2"/>
  <c r="P283" i="2"/>
  <c r="Q283" i="2"/>
  <c r="R283" i="2"/>
  <c r="D284" i="2"/>
  <c r="E284" i="2"/>
  <c r="F284" i="2"/>
  <c r="G284" i="2"/>
  <c r="H284" i="2"/>
  <c r="I284" i="2"/>
  <c r="T284" i="2" s="1" a="1"/>
  <c r="T284" i="2" s="1"/>
  <c r="J284" i="2"/>
  <c r="K284" i="2"/>
  <c r="L284" i="2"/>
  <c r="M284" i="2"/>
  <c r="N284" i="2"/>
  <c r="O284" i="2"/>
  <c r="P284" i="2"/>
  <c r="Q284" i="2"/>
  <c r="R284" i="2"/>
  <c r="D285" i="2"/>
  <c r="E285" i="2"/>
  <c r="F285" i="2"/>
  <c r="G285" i="2"/>
  <c r="H285" i="2"/>
  <c r="I285" i="2"/>
  <c r="T285" i="2" s="1" a="1"/>
  <c r="T285" i="2" s="1"/>
  <c r="J285" i="2"/>
  <c r="K285" i="2"/>
  <c r="L285" i="2"/>
  <c r="M285" i="2"/>
  <c r="N285" i="2"/>
  <c r="O285" i="2"/>
  <c r="P285" i="2"/>
  <c r="Q285" i="2"/>
  <c r="R285" i="2"/>
  <c r="D286" i="2"/>
  <c r="E286" i="2"/>
  <c r="F286" i="2"/>
  <c r="G286" i="2"/>
  <c r="H286" i="2"/>
  <c r="I286" i="2"/>
  <c r="T286" i="2" s="1" a="1"/>
  <c r="T286" i="2" s="1"/>
  <c r="J286" i="2"/>
  <c r="K286" i="2"/>
  <c r="L286" i="2"/>
  <c r="M286" i="2"/>
  <c r="N286" i="2"/>
  <c r="O286" i="2"/>
  <c r="P286" i="2"/>
  <c r="Q286" i="2"/>
  <c r="R286" i="2"/>
  <c r="D287" i="2"/>
  <c r="E287" i="2"/>
  <c r="F287" i="2"/>
  <c r="G287" i="2"/>
  <c r="H287" i="2"/>
  <c r="I287" i="2"/>
  <c r="T287" i="2" s="1" a="1"/>
  <c r="T287" i="2" s="1"/>
  <c r="J287" i="2"/>
  <c r="K287" i="2"/>
  <c r="L287" i="2"/>
  <c r="M287" i="2"/>
  <c r="N287" i="2"/>
  <c r="O287" i="2"/>
  <c r="P287" i="2"/>
  <c r="Q287" i="2"/>
  <c r="R287" i="2"/>
  <c r="D288" i="2"/>
  <c r="E288" i="2"/>
  <c r="F288" i="2"/>
  <c r="G288" i="2"/>
  <c r="H288" i="2"/>
  <c r="I288" i="2"/>
  <c r="U288" i="2" s="1" a="1"/>
  <c r="U288" i="2" s="1"/>
  <c r="J288" i="2"/>
  <c r="K288" i="2"/>
  <c r="L288" i="2"/>
  <c r="M288" i="2"/>
  <c r="N288" i="2"/>
  <c r="O288" i="2"/>
  <c r="P288" i="2"/>
  <c r="Q288" i="2"/>
  <c r="R288" i="2"/>
  <c r="D289" i="2"/>
  <c r="E289" i="2"/>
  <c r="F289" i="2"/>
  <c r="G289" i="2"/>
  <c r="H289" i="2"/>
  <c r="I289" i="2"/>
  <c r="T289" i="2" s="1" a="1"/>
  <c r="T289" i="2" s="1"/>
  <c r="J289" i="2"/>
  <c r="K289" i="2"/>
  <c r="L289" i="2"/>
  <c r="M289" i="2"/>
  <c r="N289" i="2"/>
  <c r="O289" i="2"/>
  <c r="P289" i="2"/>
  <c r="Q289" i="2"/>
  <c r="R289" i="2"/>
  <c r="D290" i="2"/>
  <c r="E290" i="2"/>
  <c r="F290" i="2"/>
  <c r="G290" i="2"/>
  <c r="H290" i="2"/>
  <c r="I290" i="2"/>
  <c r="T290" i="2" s="1" a="1"/>
  <c r="T290" i="2" s="1"/>
  <c r="J290" i="2"/>
  <c r="K290" i="2"/>
  <c r="L290" i="2"/>
  <c r="M290" i="2"/>
  <c r="N290" i="2"/>
  <c r="O290" i="2"/>
  <c r="P290" i="2"/>
  <c r="Q290" i="2"/>
  <c r="R290" i="2"/>
  <c r="D291" i="2"/>
  <c r="E291" i="2"/>
  <c r="F291" i="2"/>
  <c r="G291" i="2"/>
  <c r="H291" i="2"/>
  <c r="I291" i="2"/>
  <c r="T291" i="2" s="1" a="1"/>
  <c r="T291" i="2" s="1"/>
  <c r="J291" i="2"/>
  <c r="K291" i="2"/>
  <c r="L291" i="2"/>
  <c r="M291" i="2"/>
  <c r="N291" i="2"/>
  <c r="O291" i="2"/>
  <c r="P291" i="2"/>
  <c r="Q291" i="2"/>
  <c r="R291" i="2"/>
  <c r="D292" i="2"/>
  <c r="E292" i="2"/>
  <c r="F292" i="2"/>
  <c r="G292" i="2"/>
  <c r="H292" i="2"/>
  <c r="I292" i="2"/>
  <c r="T292" i="2" s="1" a="1"/>
  <c r="T292" i="2" s="1"/>
  <c r="J292" i="2"/>
  <c r="K292" i="2"/>
  <c r="L292" i="2"/>
  <c r="M292" i="2"/>
  <c r="N292" i="2"/>
  <c r="O292" i="2"/>
  <c r="P292" i="2"/>
  <c r="Q292" i="2"/>
  <c r="R292" i="2"/>
  <c r="D293" i="2"/>
  <c r="E293" i="2"/>
  <c r="F293" i="2"/>
  <c r="G293" i="2"/>
  <c r="H293" i="2"/>
  <c r="I293" i="2"/>
  <c r="T293" i="2" s="1" a="1"/>
  <c r="T293" i="2" s="1"/>
  <c r="J293" i="2"/>
  <c r="K293" i="2"/>
  <c r="L293" i="2"/>
  <c r="M293" i="2"/>
  <c r="N293" i="2"/>
  <c r="O293" i="2"/>
  <c r="P293" i="2"/>
  <c r="Q293" i="2"/>
  <c r="R293" i="2"/>
  <c r="D294" i="2"/>
  <c r="E294" i="2"/>
  <c r="F294" i="2"/>
  <c r="G294" i="2"/>
  <c r="H294" i="2"/>
  <c r="I294" i="2"/>
  <c r="T294" i="2" s="1" a="1"/>
  <c r="T294" i="2" s="1"/>
  <c r="J294" i="2"/>
  <c r="K294" i="2"/>
  <c r="L294" i="2"/>
  <c r="M294" i="2"/>
  <c r="N294" i="2"/>
  <c r="O294" i="2"/>
  <c r="P294" i="2"/>
  <c r="Q294" i="2"/>
  <c r="R294" i="2"/>
  <c r="D295" i="2"/>
  <c r="E295" i="2"/>
  <c r="F295" i="2"/>
  <c r="G295" i="2"/>
  <c r="H295" i="2"/>
  <c r="I295" i="2"/>
  <c r="T295" i="2" s="1" a="1"/>
  <c r="T295" i="2" s="1"/>
  <c r="J295" i="2"/>
  <c r="K295" i="2"/>
  <c r="L295" i="2"/>
  <c r="M295" i="2"/>
  <c r="N295" i="2"/>
  <c r="O295" i="2"/>
  <c r="P295" i="2"/>
  <c r="Q295" i="2"/>
  <c r="R295" i="2"/>
  <c r="D296" i="2"/>
  <c r="E296" i="2"/>
  <c r="F296" i="2"/>
  <c r="G296" i="2"/>
  <c r="H296" i="2"/>
  <c r="I296" i="2"/>
  <c r="U296" i="2" s="1" a="1"/>
  <c r="U296" i="2" s="1"/>
  <c r="J296" i="2"/>
  <c r="K296" i="2"/>
  <c r="L296" i="2"/>
  <c r="M296" i="2"/>
  <c r="N296" i="2"/>
  <c r="O296" i="2"/>
  <c r="P296" i="2"/>
  <c r="Q296" i="2"/>
  <c r="R296" i="2"/>
  <c r="D297" i="2"/>
  <c r="E297" i="2"/>
  <c r="F297" i="2"/>
  <c r="G297" i="2"/>
  <c r="H297" i="2"/>
  <c r="I297" i="2"/>
  <c r="T297" i="2" s="1" a="1"/>
  <c r="T297" i="2" s="1"/>
  <c r="J297" i="2"/>
  <c r="K297" i="2"/>
  <c r="L297" i="2"/>
  <c r="M297" i="2"/>
  <c r="N297" i="2"/>
  <c r="O297" i="2"/>
  <c r="P297" i="2"/>
  <c r="Q297" i="2"/>
  <c r="R297" i="2"/>
  <c r="D298" i="2"/>
  <c r="E298" i="2"/>
  <c r="F298" i="2"/>
  <c r="G298" i="2"/>
  <c r="H298" i="2"/>
  <c r="I298" i="2"/>
  <c r="T298" i="2" s="1" a="1"/>
  <c r="T298" i="2" s="1"/>
  <c r="J298" i="2"/>
  <c r="K298" i="2"/>
  <c r="L298" i="2"/>
  <c r="M298" i="2"/>
  <c r="N298" i="2"/>
  <c r="O298" i="2"/>
  <c r="P298" i="2"/>
  <c r="Q298" i="2"/>
  <c r="R298" i="2"/>
  <c r="D299" i="2"/>
  <c r="E299" i="2"/>
  <c r="F299" i="2"/>
  <c r="G299" i="2"/>
  <c r="H299" i="2"/>
  <c r="I299" i="2"/>
  <c r="T299" i="2" s="1" a="1"/>
  <c r="T299" i="2" s="1"/>
  <c r="J299" i="2"/>
  <c r="K299" i="2"/>
  <c r="L299" i="2"/>
  <c r="M299" i="2"/>
  <c r="N299" i="2"/>
  <c r="O299" i="2"/>
  <c r="P299" i="2"/>
  <c r="Q299" i="2"/>
  <c r="R299" i="2"/>
  <c r="D300" i="2"/>
  <c r="E300" i="2"/>
  <c r="F300" i="2"/>
  <c r="G300" i="2"/>
  <c r="H300" i="2"/>
  <c r="I300" i="2"/>
  <c r="T300" i="2" s="1" a="1"/>
  <c r="T300" i="2" s="1"/>
  <c r="J300" i="2"/>
  <c r="K300" i="2"/>
  <c r="L300" i="2"/>
  <c r="M300" i="2"/>
  <c r="N300" i="2"/>
  <c r="O300" i="2"/>
  <c r="P300" i="2"/>
  <c r="Q300" i="2"/>
  <c r="R300" i="2"/>
  <c r="D301" i="2"/>
  <c r="E301" i="2"/>
  <c r="F301" i="2"/>
  <c r="G301" i="2"/>
  <c r="H301" i="2"/>
  <c r="I301" i="2"/>
  <c r="T301" i="2" s="1" a="1"/>
  <c r="T301" i="2" s="1"/>
  <c r="J301" i="2"/>
  <c r="K301" i="2"/>
  <c r="L301" i="2"/>
  <c r="M301" i="2"/>
  <c r="N301" i="2"/>
  <c r="O301" i="2"/>
  <c r="P301" i="2"/>
  <c r="Q301" i="2"/>
  <c r="R301" i="2"/>
  <c r="D302" i="2"/>
  <c r="E302" i="2"/>
  <c r="F302" i="2"/>
  <c r="G302" i="2"/>
  <c r="H302" i="2"/>
  <c r="I302" i="2"/>
  <c r="T302" i="2" s="1" a="1"/>
  <c r="T302" i="2" s="1"/>
  <c r="J302" i="2"/>
  <c r="K302" i="2"/>
  <c r="L302" i="2"/>
  <c r="M302" i="2"/>
  <c r="N302" i="2"/>
  <c r="O302" i="2"/>
  <c r="P302" i="2"/>
  <c r="Q302" i="2"/>
  <c r="R302" i="2"/>
  <c r="D303" i="2"/>
  <c r="E303" i="2"/>
  <c r="F303" i="2"/>
  <c r="G303" i="2"/>
  <c r="H303" i="2"/>
  <c r="I303" i="2"/>
  <c r="T303" i="2" s="1" a="1"/>
  <c r="T303" i="2" s="1"/>
  <c r="J303" i="2"/>
  <c r="K303" i="2"/>
  <c r="L303" i="2"/>
  <c r="M303" i="2"/>
  <c r="N303" i="2"/>
  <c r="O303" i="2"/>
  <c r="P303" i="2"/>
  <c r="Q303" i="2"/>
  <c r="R303" i="2"/>
  <c r="D304" i="2"/>
  <c r="E304" i="2"/>
  <c r="F304" i="2"/>
  <c r="G304" i="2"/>
  <c r="H304" i="2"/>
  <c r="I304" i="2"/>
  <c r="U304" i="2" s="1" a="1"/>
  <c r="U304" i="2" s="1"/>
  <c r="J304" i="2"/>
  <c r="K304" i="2"/>
  <c r="L304" i="2"/>
  <c r="M304" i="2"/>
  <c r="N304" i="2"/>
  <c r="O304" i="2"/>
  <c r="P304" i="2"/>
  <c r="Q304" i="2"/>
  <c r="R304" i="2"/>
  <c r="D305" i="2"/>
  <c r="E305" i="2"/>
  <c r="F305" i="2"/>
  <c r="G305" i="2"/>
  <c r="H305" i="2"/>
  <c r="I305" i="2"/>
  <c r="T305" i="2" s="1" a="1"/>
  <c r="T305" i="2" s="1"/>
  <c r="J305" i="2"/>
  <c r="K305" i="2"/>
  <c r="L305" i="2"/>
  <c r="M305" i="2"/>
  <c r="N305" i="2"/>
  <c r="O305" i="2"/>
  <c r="P305" i="2"/>
  <c r="Q305" i="2"/>
  <c r="R305" i="2"/>
  <c r="D306" i="2"/>
  <c r="E306" i="2"/>
  <c r="F306" i="2"/>
  <c r="G306" i="2"/>
  <c r="H306" i="2"/>
  <c r="I306" i="2"/>
  <c r="T306" i="2" s="1" a="1"/>
  <c r="T306" i="2" s="1"/>
  <c r="J306" i="2"/>
  <c r="K306" i="2"/>
  <c r="L306" i="2"/>
  <c r="M306" i="2"/>
  <c r="N306" i="2"/>
  <c r="O306" i="2"/>
  <c r="P306" i="2"/>
  <c r="Q306" i="2"/>
  <c r="R306" i="2"/>
  <c r="D307" i="2"/>
  <c r="E307" i="2"/>
  <c r="F307" i="2"/>
  <c r="G307" i="2"/>
  <c r="H307" i="2"/>
  <c r="I307" i="2"/>
  <c r="T307" i="2" s="1" a="1"/>
  <c r="T307" i="2" s="1"/>
  <c r="J307" i="2"/>
  <c r="K307" i="2"/>
  <c r="L307" i="2"/>
  <c r="M307" i="2"/>
  <c r="N307" i="2"/>
  <c r="O307" i="2"/>
  <c r="P307" i="2"/>
  <c r="Q307" i="2"/>
  <c r="R307" i="2"/>
  <c r="D308" i="2"/>
  <c r="E308" i="2"/>
  <c r="F308" i="2"/>
  <c r="G308" i="2"/>
  <c r="H308" i="2"/>
  <c r="I308" i="2"/>
  <c r="T308" i="2" s="1" a="1"/>
  <c r="T308" i="2" s="1"/>
  <c r="J308" i="2"/>
  <c r="K308" i="2"/>
  <c r="L308" i="2"/>
  <c r="M308" i="2"/>
  <c r="N308" i="2"/>
  <c r="O308" i="2"/>
  <c r="P308" i="2"/>
  <c r="Q308" i="2"/>
  <c r="R308" i="2"/>
  <c r="D309" i="2"/>
  <c r="E309" i="2"/>
  <c r="F309" i="2"/>
  <c r="G309" i="2"/>
  <c r="H309" i="2"/>
  <c r="I309" i="2"/>
  <c r="T309" i="2" s="1" a="1"/>
  <c r="T309" i="2" s="1"/>
  <c r="J309" i="2"/>
  <c r="K309" i="2"/>
  <c r="L309" i="2"/>
  <c r="M309" i="2"/>
  <c r="N309" i="2"/>
  <c r="O309" i="2"/>
  <c r="P309" i="2"/>
  <c r="Q309" i="2"/>
  <c r="R309" i="2"/>
  <c r="D310" i="2"/>
  <c r="E310" i="2"/>
  <c r="F310" i="2"/>
  <c r="G310" i="2"/>
  <c r="H310" i="2"/>
  <c r="I310" i="2"/>
  <c r="T310" i="2" s="1" a="1"/>
  <c r="T310" i="2" s="1"/>
  <c r="J310" i="2"/>
  <c r="K310" i="2"/>
  <c r="L310" i="2"/>
  <c r="M310" i="2"/>
  <c r="N310" i="2"/>
  <c r="O310" i="2"/>
  <c r="P310" i="2"/>
  <c r="Q310" i="2"/>
  <c r="R310" i="2"/>
  <c r="D311" i="2"/>
  <c r="E311" i="2"/>
  <c r="F311" i="2"/>
  <c r="G311" i="2"/>
  <c r="H311" i="2"/>
  <c r="I311" i="2"/>
  <c r="T311" i="2" s="1" a="1"/>
  <c r="T311" i="2" s="1"/>
  <c r="J311" i="2"/>
  <c r="K311" i="2"/>
  <c r="L311" i="2"/>
  <c r="M311" i="2"/>
  <c r="N311" i="2"/>
  <c r="O311" i="2"/>
  <c r="P311" i="2"/>
  <c r="Q311" i="2"/>
  <c r="R311" i="2"/>
  <c r="D312" i="2"/>
  <c r="E312" i="2"/>
  <c r="F312" i="2"/>
  <c r="G312" i="2"/>
  <c r="H312" i="2"/>
  <c r="I312" i="2"/>
  <c r="T312" i="2" s="1" a="1"/>
  <c r="T312" i="2" s="1"/>
  <c r="J312" i="2"/>
  <c r="K312" i="2"/>
  <c r="L312" i="2"/>
  <c r="M312" i="2"/>
  <c r="N312" i="2"/>
  <c r="O312" i="2"/>
  <c r="P312" i="2"/>
  <c r="Q312" i="2"/>
  <c r="R312" i="2"/>
  <c r="D313" i="2"/>
  <c r="E313" i="2"/>
  <c r="F313" i="2"/>
  <c r="G313" i="2"/>
  <c r="H313" i="2"/>
  <c r="I313" i="2"/>
  <c r="T313" i="2" s="1" a="1"/>
  <c r="T313" i="2" s="1"/>
  <c r="J313" i="2"/>
  <c r="K313" i="2"/>
  <c r="L313" i="2"/>
  <c r="M313" i="2"/>
  <c r="N313" i="2"/>
  <c r="O313" i="2"/>
  <c r="P313" i="2"/>
  <c r="Q313" i="2"/>
  <c r="R313" i="2"/>
  <c r="D314" i="2"/>
  <c r="E314" i="2"/>
  <c r="F314" i="2"/>
  <c r="G314" i="2"/>
  <c r="H314" i="2"/>
  <c r="I314" i="2"/>
  <c r="T314" i="2" s="1" a="1"/>
  <c r="T314" i="2" s="1"/>
  <c r="J314" i="2"/>
  <c r="K314" i="2"/>
  <c r="L314" i="2"/>
  <c r="M314" i="2"/>
  <c r="N314" i="2"/>
  <c r="O314" i="2"/>
  <c r="P314" i="2"/>
  <c r="Q314" i="2"/>
  <c r="R314" i="2"/>
  <c r="D315" i="2"/>
  <c r="E315" i="2"/>
  <c r="F315" i="2"/>
  <c r="G315" i="2"/>
  <c r="H315" i="2"/>
  <c r="I315" i="2"/>
  <c r="T315" i="2" s="1" a="1"/>
  <c r="T315" i="2" s="1"/>
  <c r="J315" i="2"/>
  <c r="K315" i="2"/>
  <c r="L315" i="2"/>
  <c r="M315" i="2"/>
  <c r="N315" i="2"/>
  <c r="O315" i="2"/>
  <c r="P315" i="2"/>
  <c r="Q315" i="2"/>
  <c r="R315" i="2"/>
  <c r="D316" i="2"/>
  <c r="E316" i="2"/>
  <c r="F316" i="2"/>
  <c r="G316" i="2"/>
  <c r="H316" i="2"/>
  <c r="I316" i="2"/>
  <c r="T316" i="2" s="1" a="1"/>
  <c r="T316" i="2" s="1"/>
  <c r="J316" i="2"/>
  <c r="K316" i="2"/>
  <c r="L316" i="2"/>
  <c r="M316" i="2"/>
  <c r="N316" i="2"/>
  <c r="O316" i="2"/>
  <c r="P316" i="2"/>
  <c r="Q316" i="2"/>
  <c r="R316" i="2"/>
  <c r="D317" i="2"/>
  <c r="E317" i="2"/>
  <c r="F317" i="2"/>
  <c r="G317" i="2"/>
  <c r="H317" i="2"/>
  <c r="I317" i="2"/>
  <c r="T317" i="2" s="1" a="1"/>
  <c r="T317" i="2" s="1"/>
  <c r="J317" i="2"/>
  <c r="K317" i="2"/>
  <c r="L317" i="2"/>
  <c r="M317" i="2"/>
  <c r="N317" i="2"/>
  <c r="O317" i="2"/>
  <c r="P317" i="2"/>
  <c r="Q317" i="2"/>
  <c r="R317" i="2"/>
  <c r="D318" i="2"/>
  <c r="E318" i="2"/>
  <c r="F318" i="2"/>
  <c r="G318" i="2"/>
  <c r="H318" i="2"/>
  <c r="I318" i="2"/>
  <c r="T318" i="2" s="1" a="1"/>
  <c r="T318" i="2" s="1"/>
  <c r="J318" i="2"/>
  <c r="K318" i="2"/>
  <c r="L318" i="2"/>
  <c r="M318" i="2"/>
  <c r="N318" i="2"/>
  <c r="O318" i="2"/>
  <c r="P318" i="2"/>
  <c r="Q318" i="2"/>
  <c r="R318" i="2"/>
  <c r="D319" i="2"/>
  <c r="E319" i="2"/>
  <c r="F319" i="2"/>
  <c r="G319" i="2"/>
  <c r="H319" i="2"/>
  <c r="I319" i="2"/>
  <c r="T319" i="2" s="1" a="1"/>
  <c r="T319" i="2" s="1"/>
  <c r="J319" i="2"/>
  <c r="K319" i="2"/>
  <c r="L319" i="2"/>
  <c r="M319" i="2"/>
  <c r="N319" i="2"/>
  <c r="O319" i="2"/>
  <c r="P319" i="2"/>
  <c r="Q319" i="2"/>
  <c r="R319" i="2"/>
  <c r="D320" i="2"/>
  <c r="E320" i="2"/>
  <c r="F320" i="2"/>
  <c r="G320" i="2"/>
  <c r="H320" i="2"/>
  <c r="I320" i="2"/>
  <c r="T320" i="2" s="1" a="1"/>
  <c r="T320" i="2" s="1"/>
  <c r="J320" i="2"/>
  <c r="K320" i="2"/>
  <c r="L320" i="2"/>
  <c r="M320" i="2"/>
  <c r="N320" i="2"/>
  <c r="O320" i="2"/>
  <c r="P320" i="2"/>
  <c r="Q320" i="2"/>
  <c r="R320" i="2"/>
  <c r="D321" i="2"/>
  <c r="E321" i="2"/>
  <c r="F321" i="2"/>
  <c r="G321" i="2"/>
  <c r="H321" i="2"/>
  <c r="I321" i="2"/>
  <c r="T321" i="2" s="1" a="1"/>
  <c r="T321" i="2" s="1"/>
  <c r="J321" i="2"/>
  <c r="K321" i="2"/>
  <c r="L321" i="2"/>
  <c r="M321" i="2"/>
  <c r="N321" i="2"/>
  <c r="O321" i="2"/>
  <c r="P321" i="2"/>
  <c r="Q321" i="2"/>
  <c r="R321" i="2"/>
  <c r="D322" i="2"/>
  <c r="E322" i="2"/>
  <c r="F322" i="2"/>
  <c r="G322" i="2"/>
  <c r="H322" i="2"/>
  <c r="I322" i="2"/>
  <c r="U322" i="2" s="1" a="1"/>
  <c r="U322" i="2" s="1"/>
  <c r="J322" i="2"/>
  <c r="K322" i="2"/>
  <c r="L322" i="2"/>
  <c r="M322" i="2"/>
  <c r="N322" i="2"/>
  <c r="O322" i="2"/>
  <c r="P322" i="2"/>
  <c r="Q322" i="2"/>
  <c r="R322" i="2"/>
  <c r="D323" i="2"/>
  <c r="E323" i="2"/>
  <c r="F323" i="2"/>
  <c r="G323" i="2"/>
  <c r="H323" i="2"/>
  <c r="I323" i="2"/>
  <c r="T323" i="2" s="1" a="1"/>
  <c r="T323" i="2" s="1"/>
  <c r="J323" i="2"/>
  <c r="K323" i="2"/>
  <c r="L323" i="2"/>
  <c r="M323" i="2"/>
  <c r="N323" i="2"/>
  <c r="O323" i="2"/>
  <c r="P323" i="2"/>
  <c r="Q323" i="2"/>
  <c r="R323" i="2"/>
  <c r="D324" i="2"/>
  <c r="E324" i="2"/>
  <c r="F324" i="2"/>
  <c r="G324" i="2"/>
  <c r="H324" i="2"/>
  <c r="I324" i="2"/>
  <c r="U324" i="2" s="1" a="1"/>
  <c r="U324" i="2" s="1"/>
  <c r="J324" i="2"/>
  <c r="K324" i="2"/>
  <c r="L324" i="2"/>
  <c r="M324" i="2"/>
  <c r="N324" i="2"/>
  <c r="O324" i="2"/>
  <c r="P324" i="2"/>
  <c r="Q324" i="2"/>
  <c r="R324" i="2"/>
  <c r="D325" i="2"/>
  <c r="E325" i="2"/>
  <c r="F325" i="2"/>
  <c r="G325" i="2"/>
  <c r="H325" i="2"/>
  <c r="I325" i="2"/>
  <c r="T325" i="2" s="1" a="1"/>
  <c r="T325" i="2" s="1"/>
  <c r="J325" i="2"/>
  <c r="K325" i="2"/>
  <c r="L325" i="2"/>
  <c r="M325" i="2"/>
  <c r="N325" i="2"/>
  <c r="O325" i="2"/>
  <c r="P325" i="2"/>
  <c r="Q325" i="2"/>
  <c r="R325" i="2"/>
  <c r="D326" i="2"/>
  <c r="E326" i="2"/>
  <c r="F326" i="2"/>
  <c r="G326" i="2"/>
  <c r="H326" i="2"/>
  <c r="I326" i="2"/>
  <c r="T326" i="2" s="1" a="1"/>
  <c r="T326" i="2" s="1"/>
  <c r="J326" i="2"/>
  <c r="K326" i="2"/>
  <c r="L326" i="2"/>
  <c r="M326" i="2"/>
  <c r="N326" i="2"/>
  <c r="O326" i="2"/>
  <c r="P326" i="2"/>
  <c r="Q326" i="2"/>
  <c r="R326" i="2"/>
  <c r="D327" i="2"/>
  <c r="E327" i="2"/>
  <c r="F327" i="2"/>
  <c r="G327" i="2"/>
  <c r="H327" i="2"/>
  <c r="I327" i="2"/>
  <c r="T327" i="2" s="1" a="1"/>
  <c r="T327" i="2" s="1"/>
  <c r="J327" i="2"/>
  <c r="K327" i="2"/>
  <c r="L327" i="2"/>
  <c r="M327" i="2"/>
  <c r="N327" i="2"/>
  <c r="O327" i="2"/>
  <c r="P327" i="2"/>
  <c r="Q327" i="2"/>
  <c r="R327" i="2"/>
  <c r="D328" i="2"/>
  <c r="E328" i="2"/>
  <c r="F328" i="2"/>
  <c r="G328" i="2"/>
  <c r="H328" i="2"/>
  <c r="I328" i="2"/>
  <c r="U328" i="2" s="1" a="1"/>
  <c r="U328" i="2" s="1"/>
  <c r="J328" i="2"/>
  <c r="K328" i="2"/>
  <c r="L328" i="2"/>
  <c r="M328" i="2"/>
  <c r="N328" i="2"/>
  <c r="O328" i="2"/>
  <c r="P328" i="2"/>
  <c r="Q328" i="2"/>
  <c r="R328" i="2"/>
  <c r="D329" i="2"/>
  <c r="E329" i="2"/>
  <c r="F329" i="2"/>
  <c r="G329" i="2"/>
  <c r="H329" i="2"/>
  <c r="I329" i="2"/>
  <c r="T329" i="2" s="1" a="1"/>
  <c r="T329" i="2" s="1"/>
  <c r="J329" i="2"/>
  <c r="K329" i="2"/>
  <c r="L329" i="2"/>
  <c r="M329" i="2"/>
  <c r="N329" i="2"/>
  <c r="O329" i="2"/>
  <c r="P329" i="2"/>
  <c r="Q329" i="2"/>
  <c r="R329" i="2"/>
  <c r="D330" i="2"/>
  <c r="E330" i="2"/>
  <c r="F330" i="2"/>
  <c r="G330" i="2"/>
  <c r="H330" i="2"/>
  <c r="I330" i="2"/>
  <c r="U330" i="2" s="1" a="1"/>
  <c r="U330" i="2" s="1"/>
  <c r="J330" i="2"/>
  <c r="K330" i="2"/>
  <c r="L330" i="2"/>
  <c r="M330" i="2"/>
  <c r="N330" i="2"/>
  <c r="O330" i="2"/>
  <c r="P330" i="2"/>
  <c r="Q330" i="2"/>
  <c r="R330" i="2"/>
  <c r="D331" i="2"/>
  <c r="E331" i="2"/>
  <c r="F331" i="2"/>
  <c r="G331" i="2"/>
  <c r="H331" i="2"/>
  <c r="I331" i="2"/>
  <c r="T331" i="2" s="1" a="1"/>
  <c r="T331" i="2" s="1"/>
  <c r="J331" i="2"/>
  <c r="K331" i="2"/>
  <c r="L331" i="2"/>
  <c r="M331" i="2"/>
  <c r="N331" i="2"/>
  <c r="O331" i="2"/>
  <c r="P331" i="2"/>
  <c r="Q331" i="2"/>
  <c r="R331" i="2"/>
  <c r="D332" i="2"/>
  <c r="E332" i="2"/>
  <c r="F332" i="2"/>
  <c r="G332" i="2"/>
  <c r="H332" i="2"/>
  <c r="I332" i="2"/>
  <c r="U332" i="2" s="1" a="1"/>
  <c r="U332" i="2" s="1"/>
  <c r="J332" i="2"/>
  <c r="K332" i="2"/>
  <c r="L332" i="2"/>
  <c r="M332" i="2"/>
  <c r="N332" i="2"/>
  <c r="O332" i="2"/>
  <c r="P332" i="2"/>
  <c r="Q332" i="2"/>
  <c r="R332" i="2"/>
  <c r="D333" i="2"/>
  <c r="E333" i="2"/>
  <c r="F333" i="2"/>
  <c r="G333" i="2"/>
  <c r="H333" i="2"/>
  <c r="I333" i="2"/>
  <c r="T333" i="2" s="1" a="1"/>
  <c r="T333" i="2" s="1"/>
  <c r="J333" i="2"/>
  <c r="K333" i="2"/>
  <c r="L333" i="2"/>
  <c r="M333" i="2"/>
  <c r="N333" i="2"/>
  <c r="O333" i="2"/>
  <c r="P333" i="2"/>
  <c r="Q333" i="2"/>
  <c r="R333" i="2"/>
  <c r="D334" i="2"/>
  <c r="E334" i="2"/>
  <c r="F334" i="2"/>
  <c r="G334" i="2"/>
  <c r="H334" i="2"/>
  <c r="I334" i="2"/>
  <c r="T334" i="2" s="1" a="1"/>
  <c r="T334" i="2" s="1"/>
  <c r="J334" i="2"/>
  <c r="K334" i="2"/>
  <c r="L334" i="2"/>
  <c r="M334" i="2"/>
  <c r="N334" i="2"/>
  <c r="O334" i="2"/>
  <c r="P334" i="2"/>
  <c r="Q334" i="2"/>
  <c r="R334" i="2"/>
  <c r="D335" i="2"/>
  <c r="E335" i="2"/>
  <c r="F335" i="2"/>
  <c r="G335" i="2"/>
  <c r="H335" i="2"/>
  <c r="I335" i="2"/>
  <c r="T335" i="2" s="1" a="1"/>
  <c r="T335" i="2" s="1"/>
  <c r="J335" i="2"/>
  <c r="K335" i="2"/>
  <c r="L335" i="2"/>
  <c r="M335" i="2"/>
  <c r="N335" i="2"/>
  <c r="O335" i="2"/>
  <c r="P335" i="2"/>
  <c r="Q335" i="2"/>
  <c r="R335" i="2"/>
  <c r="D336" i="2"/>
  <c r="E336" i="2"/>
  <c r="F336" i="2"/>
  <c r="G336" i="2"/>
  <c r="H336" i="2"/>
  <c r="I336" i="2"/>
  <c r="T336" i="2" s="1" a="1"/>
  <c r="T336" i="2" s="1"/>
  <c r="J336" i="2"/>
  <c r="K336" i="2"/>
  <c r="L336" i="2"/>
  <c r="M336" i="2"/>
  <c r="N336" i="2"/>
  <c r="O336" i="2"/>
  <c r="P336" i="2"/>
  <c r="Q336" i="2"/>
  <c r="R336" i="2"/>
  <c r="D337" i="2"/>
  <c r="E337" i="2"/>
  <c r="F337" i="2"/>
  <c r="G337" i="2"/>
  <c r="H337" i="2"/>
  <c r="I337" i="2"/>
  <c r="T337" i="2" s="1" a="1"/>
  <c r="T337" i="2" s="1"/>
  <c r="J337" i="2"/>
  <c r="K337" i="2"/>
  <c r="L337" i="2"/>
  <c r="M337" i="2"/>
  <c r="N337" i="2"/>
  <c r="O337" i="2"/>
  <c r="P337" i="2"/>
  <c r="Q337" i="2"/>
  <c r="R337" i="2"/>
  <c r="D338" i="2"/>
  <c r="E338" i="2"/>
  <c r="F338" i="2"/>
  <c r="G338" i="2"/>
  <c r="H338" i="2"/>
  <c r="I338" i="2"/>
  <c r="T338" i="2" s="1" a="1"/>
  <c r="T338" i="2" s="1"/>
  <c r="J338" i="2"/>
  <c r="K338" i="2"/>
  <c r="L338" i="2"/>
  <c r="M338" i="2"/>
  <c r="N338" i="2"/>
  <c r="O338" i="2"/>
  <c r="P338" i="2"/>
  <c r="Q338" i="2"/>
  <c r="R338" i="2"/>
  <c r="D339" i="2"/>
  <c r="E339" i="2"/>
  <c r="F339" i="2"/>
  <c r="G339" i="2"/>
  <c r="H339" i="2"/>
  <c r="I339" i="2"/>
  <c r="T339" i="2" s="1" a="1"/>
  <c r="T339" i="2" s="1"/>
  <c r="J339" i="2"/>
  <c r="K339" i="2"/>
  <c r="L339" i="2"/>
  <c r="M339" i="2"/>
  <c r="N339" i="2"/>
  <c r="O339" i="2"/>
  <c r="P339" i="2"/>
  <c r="Q339" i="2"/>
  <c r="R339" i="2"/>
  <c r="D340" i="2"/>
  <c r="E340" i="2"/>
  <c r="F340" i="2"/>
  <c r="G340" i="2"/>
  <c r="H340" i="2"/>
  <c r="I340" i="2"/>
  <c r="T340" i="2" s="1" a="1"/>
  <c r="T340" i="2" s="1"/>
  <c r="J340" i="2"/>
  <c r="K340" i="2"/>
  <c r="L340" i="2"/>
  <c r="M340" i="2"/>
  <c r="N340" i="2"/>
  <c r="O340" i="2"/>
  <c r="P340" i="2"/>
  <c r="Q340" i="2"/>
  <c r="R340" i="2"/>
  <c r="D341" i="2"/>
  <c r="E341" i="2"/>
  <c r="F341" i="2"/>
  <c r="G341" i="2"/>
  <c r="H341" i="2"/>
  <c r="I341" i="2"/>
  <c r="T341" i="2" s="1" a="1"/>
  <c r="T341" i="2" s="1"/>
  <c r="J341" i="2"/>
  <c r="K341" i="2"/>
  <c r="L341" i="2"/>
  <c r="M341" i="2"/>
  <c r="N341" i="2"/>
  <c r="O341" i="2"/>
  <c r="P341" i="2"/>
  <c r="Q341" i="2"/>
  <c r="R341" i="2"/>
  <c r="D342" i="2"/>
  <c r="E342" i="2"/>
  <c r="F342" i="2"/>
  <c r="G342" i="2"/>
  <c r="H342" i="2"/>
  <c r="I342" i="2"/>
  <c r="T342" i="2" s="1" a="1"/>
  <c r="T342" i="2" s="1"/>
  <c r="J342" i="2"/>
  <c r="K342" i="2"/>
  <c r="L342" i="2"/>
  <c r="M342" i="2"/>
  <c r="N342" i="2"/>
  <c r="O342" i="2"/>
  <c r="P342" i="2"/>
  <c r="Q342" i="2"/>
  <c r="R342" i="2"/>
  <c r="D343" i="2"/>
  <c r="E343" i="2"/>
  <c r="F343" i="2"/>
  <c r="G343" i="2"/>
  <c r="H343" i="2"/>
  <c r="I343" i="2"/>
  <c r="T343" i="2" s="1" a="1"/>
  <c r="T343" i="2" s="1"/>
  <c r="J343" i="2"/>
  <c r="K343" i="2"/>
  <c r="L343" i="2"/>
  <c r="M343" i="2"/>
  <c r="N343" i="2"/>
  <c r="O343" i="2"/>
  <c r="P343" i="2"/>
  <c r="Q343" i="2"/>
  <c r="R343" i="2"/>
  <c r="D344" i="2"/>
  <c r="E344" i="2"/>
  <c r="F344" i="2"/>
  <c r="G344" i="2"/>
  <c r="H344" i="2"/>
  <c r="I344" i="2"/>
  <c r="T344" i="2" s="1" a="1"/>
  <c r="T344" i="2" s="1"/>
  <c r="J344" i="2"/>
  <c r="K344" i="2"/>
  <c r="L344" i="2"/>
  <c r="M344" i="2"/>
  <c r="N344" i="2"/>
  <c r="O344" i="2"/>
  <c r="P344" i="2"/>
  <c r="Q344" i="2"/>
  <c r="R344" i="2"/>
  <c r="E3" i="2"/>
  <c r="F3" i="2"/>
  <c r="G3" i="2"/>
  <c r="H3" i="2"/>
  <c r="I3" i="2"/>
  <c r="T3" i="2" s="1" a="1"/>
  <c r="T3" i="2" s="1"/>
  <c r="J3" i="2"/>
  <c r="K3" i="2"/>
  <c r="L3" i="2"/>
  <c r="M3" i="2"/>
  <c r="N3" i="2"/>
  <c r="O3" i="2"/>
  <c r="P3" i="2"/>
  <c r="Q3" i="2"/>
  <c r="R3" i="2"/>
  <c r="D3" i="2"/>
  <c r="Q4" i="1"/>
  <c r="D4" i="1"/>
  <c r="E4" i="1"/>
  <c r="F4" i="1"/>
  <c r="G4" i="1"/>
  <c r="H4" i="1"/>
  <c r="I4" i="1"/>
  <c r="J4" i="1"/>
  <c r="K4" i="1"/>
  <c r="L4" i="1"/>
  <c r="M4" i="1"/>
  <c r="N4" i="1"/>
  <c r="O4" i="1"/>
  <c r="P4" i="1"/>
  <c r="C4" i="1"/>
  <c r="T212" i="2" l="1" a="1"/>
  <c r="T212" i="2" s="1"/>
  <c r="U212" i="2" a="1"/>
  <c r="U212" i="2" s="1"/>
  <c r="T241" i="2" a="1"/>
  <c r="T241" i="2" s="1"/>
  <c r="U241" i="2" a="1"/>
  <c r="U241" i="2" s="1"/>
  <c r="T233" i="2" a="1"/>
  <c r="T233" i="2" s="1"/>
  <c r="U233" i="2" a="1"/>
  <c r="U233" i="2" s="1"/>
  <c r="T177" i="2" a="1"/>
  <c r="T177" i="2" s="1"/>
  <c r="U177" i="2" a="1"/>
  <c r="U177" i="2" s="1"/>
  <c r="T145" i="2" a="1"/>
  <c r="T145" i="2" s="1"/>
  <c r="U145" i="2" a="1"/>
  <c r="U145" i="2" s="1"/>
  <c r="T137" i="2" a="1"/>
  <c r="T137" i="2" s="1"/>
  <c r="U137" i="2" a="1"/>
  <c r="U137" i="2" s="1"/>
  <c r="T129" i="2" a="1"/>
  <c r="T129" i="2" s="1"/>
  <c r="U129" i="2" a="1"/>
  <c r="U129" i="2" s="1"/>
  <c r="T41" i="2" a="1"/>
  <c r="T41" i="2" s="1"/>
  <c r="U41" i="2" a="1"/>
  <c r="U41" i="2" s="1"/>
  <c r="T17" i="2" a="1"/>
  <c r="T17" i="2" s="1"/>
  <c r="U17" i="2" a="1"/>
  <c r="U17" i="2" s="1"/>
  <c r="U3" i="2" a="1"/>
  <c r="U3" i="2" s="1"/>
  <c r="U343" i="2" a="1"/>
  <c r="U343" i="2" s="1"/>
  <c r="T332" i="2" a="1"/>
  <c r="T332" i="2" s="1"/>
  <c r="T330" i="2" a="1"/>
  <c r="T330" i="2" s="1"/>
  <c r="T328" i="2" a="1"/>
  <c r="T328" i="2" s="1"/>
  <c r="U326" i="2" a="1"/>
  <c r="U326" i="2" s="1"/>
  <c r="T322" i="2" a="1"/>
  <c r="T322" i="2" s="1"/>
  <c r="U320" i="2" a="1"/>
  <c r="U320" i="2" s="1"/>
  <c r="U314" i="2" a="1"/>
  <c r="U314" i="2" s="1"/>
  <c r="T304" i="2" a="1"/>
  <c r="T304" i="2" s="1"/>
  <c r="U301" i="2" a="1"/>
  <c r="U301" i="2" s="1"/>
  <c r="T296" i="2" a="1"/>
  <c r="T296" i="2" s="1"/>
  <c r="U293" i="2" a="1"/>
  <c r="U293" i="2" s="1"/>
  <c r="T288" i="2" a="1"/>
  <c r="T288" i="2" s="1"/>
  <c r="U285" i="2" a="1"/>
  <c r="U285" i="2" s="1"/>
  <c r="T280" i="2" a="1"/>
  <c r="T280" i="2" s="1"/>
  <c r="U277" i="2" a="1"/>
  <c r="U277" i="2" s="1"/>
  <c r="T272" i="2" a="1"/>
  <c r="T272" i="2" s="1"/>
  <c r="U269" i="2" a="1"/>
  <c r="U269" i="2" s="1"/>
  <c r="T264" i="2" a="1"/>
  <c r="T264" i="2" s="1"/>
  <c r="U261" i="2" a="1"/>
  <c r="U261" i="2" s="1"/>
  <c r="T256" i="2" a="1"/>
  <c r="T256" i="2" s="1"/>
  <c r="U253" i="2" a="1"/>
  <c r="U253" i="2" s="1"/>
  <c r="T248" i="2" a="1"/>
  <c r="T248" i="2" s="1"/>
  <c r="U245" i="2" a="1"/>
  <c r="U245" i="2" s="1"/>
  <c r="T235" i="2" a="1"/>
  <c r="T235" i="2" s="1"/>
  <c r="T227" i="2" a="1"/>
  <c r="T227" i="2" s="1"/>
  <c r="U220" i="2" a="1"/>
  <c r="U220" i="2" s="1"/>
  <c r="U217" i="2" a="1"/>
  <c r="U217" i="2" s="1"/>
  <c r="T211" i="2" a="1"/>
  <c r="T211" i="2" s="1"/>
  <c r="T205" i="2" a="1"/>
  <c r="T205" i="2" s="1"/>
  <c r="U199" i="2" a="1"/>
  <c r="U199" i="2" s="1"/>
  <c r="U194" i="2" a="1"/>
  <c r="U194" i="2" s="1"/>
  <c r="U191" i="2" a="1"/>
  <c r="U191" i="2" s="1"/>
  <c r="U189" i="2" a="1"/>
  <c r="U189" i="2" s="1"/>
  <c r="T186" i="2" a="1"/>
  <c r="T186" i="2" s="1"/>
  <c r="T172" i="2" a="1"/>
  <c r="T172" i="2" s="1"/>
  <c r="T169" i="2" a="1"/>
  <c r="T169" i="2" s="1"/>
  <c r="U155" i="2" a="1"/>
  <c r="U155" i="2" s="1"/>
  <c r="U151" i="2" a="1"/>
  <c r="U151" i="2" s="1"/>
  <c r="T149" i="2" a="1"/>
  <c r="T149" i="2" s="1"/>
  <c r="U146" i="2" a="1"/>
  <c r="U146" i="2" s="1"/>
  <c r="U126" i="2" a="1"/>
  <c r="U126" i="2" s="1"/>
  <c r="U115" i="2" a="1"/>
  <c r="U115" i="2" s="1"/>
  <c r="T98" i="2" a="1"/>
  <c r="T98" i="2" s="1"/>
  <c r="U77" i="2" a="1"/>
  <c r="U77" i="2" s="1"/>
  <c r="U71" i="2" a="1"/>
  <c r="U71" i="2" s="1"/>
  <c r="U61" i="2" a="1"/>
  <c r="U61" i="2" s="1"/>
  <c r="T42" i="2" a="1"/>
  <c r="T42" i="2" s="1"/>
  <c r="T39" i="2" a="1"/>
  <c r="T39" i="2" s="1"/>
  <c r="T31" i="2" a="1"/>
  <c r="T31" i="2" s="1"/>
  <c r="U25" i="2" a="1"/>
  <c r="U25" i="2" s="1"/>
  <c r="T226" i="2" a="1"/>
  <c r="T226" i="2" s="1"/>
  <c r="U226" i="2" a="1"/>
  <c r="U226" i="2" s="1"/>
  <c r="T210" i="2" a="1"/>
  <c r="T210" i="2" s="1"/>
  <c r="U210" i="2" a="1"/>
  <c r="U210" i="2" s="1"/>
  <c r="T202" i="2" a="1"/>
  <c r="T202" i="2" s="1"/>
  <c r="U202" i="2" a="1"/>
  <c r="U202" i="2" s="1"/>
  <c r="T162" i="2" a="1"/>
  <c r="T162" i="2" s="1"/>
  <c r="U162" i="2" a="1"/>
  <c r="U162" i="2" s="1"/>
  <c r="T154" i="2" a="1"/>
  <c r="T154" i="2" s="1"/>
  <c r="U154" i="2" a="1"/>
  <c r="U154" i="2" s="1"/>
  <c r="T122" i="2" a="1"/>
  <c r="T122" i="2" s="1"/>
  <c r="U122" i="2" a="1"/>
  <c r="U122" i="2" s="1"/>
  <c r="T90" i="2" a="1"/>
  <c r="T90" i="2" s="1"/>
  <c r="U90" i="2" a="1"/>
  <c r="U90" i="2" s="1"/>
  <c r="T82" i="2" a="1"/>
  <c r="T82" i="2" s="1"/>
  <c r="U82" i="2" a="1"/>
  <c r="U82" i="2" s="1"/>
  <c r="T74" i="2" a="1"/>
  <c r="T74" i="2" s="1"/>
  <c r="U74" i="2" a="1"/>
  <c r="U74" i="2" s="1"/>
  <c r="T66" i="2" a="1"/>
  <c r="T66" i="2" s="1"/>
  <c r="U66" i="2" a="1"/>
  <c r="U66" i="2" s="1"/>
  <c r="T58" i="2" a="1"/>
  <c r="T58" i="2" s="1"/>
  <c r="U58" i="2" a="1"/>
  <c r="U58" i="2" s="1"/>
  <c r="T34" i="2" a="1"/>
  <c r="T34" i="2" s="1"/>
  <c r="U34" i="2" a="1"/>
  <c r="U34" i="2" s="1"/>
  <c r="T10" i="2" a="1"/>
  <c r="T10" i="2" s="1"/>
  <c r="U10" i="2" a="1"/>
  <c r="U10" i="2" s="1"/>
  <c r="U335" i="2" a="1"/>
  <c r="U335" i="2" s="1"/>
  <c r="T324" i="2" a="1"/>
  <c r="T324" i="2" s="1"/>
  <c r="U318" i="2" a="1"/>
  <c r="U318" i="2" s="1"/>
  <c r="U316" i="2" a="1"/>
  <c r="U316" i="2" s="1"/>
  <c r="U312" i="2" a="1"/>
  <c r="U312" i="2" s="1"/>
  <c r="U308" i="2" a="1"/>
  <c r="U308" i="2" s="1"/>
  <c r="U306" i="2" a="1"/>
  <c r="U306" i="2" s="1"/>
  <c r="U298" i="2" a="1"/>
  <c r="U298" i="2" s="1"/>
  <c r="U290" i="2" a="1"/>
  <c r="U290" i="2" s="1"/>
  <c r="U282" i="2" a="1"/>
  <c r="U282" i="2" s="1"/>
  <c r="U274" i="2" a="1"/>
  <c r="U274" i="2" s="1"/>
  <c r="U266" i="2" a="1"/>
  <c r="U266" i="2" s="1"/>
  <c r="U258" i="2" a="1"/>
  <c r="U258" i="2" s="1"/>
  <c r="U250" i="2" a="1"/>
  <c r="U250" i="2" s="1"/>
  <c r="U242" i="2" a="1"/>
  <c r="U242" i="2" s="1"/>
  <c r="T238" i="2" a="1"/>
  <c r="T238" i="2" s="1"/>
  <c r="T230" i="2" a="1"/>
  <c r="T230" i="2" s="1"/>
  <c r="T223" i="2" a="1"/>
  <c r="T223" i="2" s="1"/>
  <c r="U207" i="2" a="1"/>
  <c r="U207" i="2" s="1"/>
  <c r="U196" i="2" a="1"/>
  <c r="U196" i="2" s="1"/>
  <c r="U179" i="2" a="1"/>
  <c r="U179" i="2" s="1"/>
  <c r="U174" i="2" a="1"/>
  <c r="U174" i="2" s="1"/>
  <c r="T163" i="2" a="1"/>
  <c r="T163" i="2" s="1"/>
  <c r="U139" i="2" a="1"/>
  <c r="U139" i="2" s="1"/>
  <c r="U134" i="2" a="1"/>
  <c r="U134" i="2" s="1"/>
  <c r="U123" i="2" a="1"/>
  <c r="U123" i="2" s="1"/>
  <c r="U112" i="2" a="1"/>
  <c r="U112" i="2" s="1"/>
  <c r="T107" i="2" a="1"/>
  <c r="T107" i="2" s="1"/>
  <c r="U104" i="2" a="1"/>
  <c r="U104" i="2" s="1"/>
  <c r="T95" i="2" a="1"/>
  <c r="T95" i="2" s="1"/>
  <c r="U89" i="2" a="1"/>
  <c r="U89" i="2" s="1"/>
  <c r="U73" i="2" a="1"/>
  <c r="U73" i="2" s="1"/>
  <c r="U67" i="2" a="1"/>
  <c r="U67" i="2" s="1"/>
  <c r="T59" i="2" a="1"/>
  <c r="T59" i="2" s="1"/>
  <c r="U53" i="2" a="1"/>
  <c r="U53" i="2" s="1"/>
  <c r="U47" i="2" a="1"/>
  <c r="U47" i="2" s="1"/>
  <c r="T44" i="2" a="1"/>
  <c r="T44" i="2" s="1"/>
  <c r="T33" i="2" a="1"/>
  <c r="T33" i="2" s="1"/>
  <c r="U22" i="2" a="1"/>
  <c r="U22" i="2" s="1"/>
  <c r="U16" i="2" a="1"/>
  <c r="U16" i="2" s="1"/>
  <c r="T13" i="2" a="1"/>
  <c r="T13" i="2" s="1"/>
  <c r="T7" i="2" a="1"/>
  <c r="T7" i="2" s="1"/>
  <c r="T219" i="2" a="1"/>
  <c r="T219" i="2" s="1"/>
  <c r="U219" i="2" a="1"/>
  <c r="U219" i="2" s="1"/>
  <c r="T195" i="2" a="1"/>
  <c r="T195" i="2" s="1"/>
  <c r="U195" i="2" a="1"/>
  <c r="U195" i="2" s="1"/>
  <c r="T187" i="2" a="1"/>
  <c r="T187" i="2" s="1"/>
  <c r="U187" i="2" a="1"/>
  <c r="U187" i="2" s="1"/>
  <c r="T171" i="2" a="1"/>
  <c r="T171" i="2" s="1"/>
  <c r="U171" i="2" a="1"/>
  <c r="U171" i="2" s="1"/>
  <c r="T99" i="2" a="1"/>
  <c r="T99" i="2" s="1"/>
  <c r="U99" i="2" a="1"/>
  <c r="U99" i="2" s="1"/>
  <c r="T51" i="2" a="1"/>
  <c r="T51" i="2" s="1"/>
  <c r="U51" i="2" a="1"/>
  <c r="U51" i="2" s="1"/>
  <c r="T19" i="2" a="1"/>
  <c r="T19" i="2" s="1"/>
  <c r="U19" i="2" a="1"/>
  <c r="U19" i="2" s="1"/>
  <c r="U341" i="2" a="1"/>
  <c r="U341" i="2" s="1"/>
  <c r="U339" i="2" a="1"/>
  <c r="U339" i="2" s="1"/>
  <c r="U337" i="2" a="1"/>
  <c r="U337" i="2" s="1"/>
  <c r="U333" i="2" a="1"/>
  <c r="U333" i="2" s="1"/>
  <c r="U310" i="2" a="1"/>
  <c r="U310" i="2" s="1"/>
  <c r="U303" i="2" a="1"/>
  <c r="U303" i="2" s="1"/>
  <c r="U295" i="2" a="1"/>
  <c r="U295" i="2" s="1"/>
  <c r="U287" i="2" a="1"/>
  <c r="U287" i="2" s="1"/>
  <c r="U279" i="2" a="1"/>
  <c r="U279" i="2" s="1"/>
  <c r="U271" i="2" a="1"/>
  <c r="U271" i="2" s="1"/>
  <c r="U263" i="2" a="1"/>
  <c r="U263" i="2" s="1"/>
  <c r="U255" i="2" a="1"/>
  <c r="U255" i="2" s="1"/>
  <c r="U247" i="2" a="1"/>
  <c r="U247" i="2" s="1"/>
  <c r="U234" i="2" a="1"/>
  <c r="U234" i="2" s="1"/>
  <c r="U213" i="2" a="1"/>
  <c r="U213" i="2" s="1"/>
  <c r="T193" i="2" a="1"/>
  <c r="T193" i="2" s="1"/>
  <c r="U185" i="2" a="1"/>
  <c r="U185" i="2" s="1"/>
  <c r="U176" i="2" a="1"/>
  <c r="U176" i="2" s="1"/>
  <c r="T148" i="2" a="1"/>
  <c r="T148" i="2" s="1"/>
  <c r="T142" i="2" a="1"/>
  <c r="T142" i="2" s="1"/>
  <c r="U136" i="2" a="1"/>
  <c r="U136" i="2" s="1"/>
  <c r="T131" i="2" a="1"/>
  <c r="T131" i="2" s="1"/>
  <c r="U128" i="2" a="1"/>
  <c r="U128" i="2" s="1"/>
  <c r="U117" i="2" a="1"/>
  <c r="U117" i="2" s="1"/>
  <c r="U100" i="2" a="1"/>
  <c r="U100" i="2" s="1"/>
  <c r="U83" i="2" a="1"/>
  <c r="U83" i="2" s="1"/>
  <c r="U38" i="2" a="1"/>
  <c r="U38" i="2" s="1"/>
  <c r="U27" i="2" a="1"/>
  <c r="U27" i="2" s="1"/>
  <c r="U18" i="2" a="1"/>
  <c r="U18" i="2" s="1"/>
  <c r="U9" i="2" a="1"/>
  <c r="U9" i="2" s="1"/>
  <c r="T156" i="2" a="1"/>
  <c r="T156" i="2" s="1"/>
  <c r="U156" i="2" a="1"/>
  <c r="U156" i="2" s="1"/>
  <c r="T124" i="2" a="1"/>
  <c r="T124" i="2" s="1"/>
  <c r="U124" i="2" a="1"/>
  <c r="U124" i="2" s="1"/>
  <c r="T116" i="2" a="1"/>
  <c r="T116" i="2" s="1"/>
  <c r="U116" i="2" a="1"/>
  <c r="U116" i="2" s="1"/>
  <c r="T92" i="2" a="1"/>
  <c r="T92" i="2" s="1"/>
  <c r="U92" i="2" a="1"/>
  <c r="U92" i="2" s="1"/>
  <c r="T84" i="2" a="1"/>
  <c r="T84" i="2" s="1"/>
  <c r="U84" i="2" a="1"/>
  <c r="U84" i="2" s="1"/>
  <c r="T76" i="2" a="1"/>
  <c r="T76" i="2" s="1"/>
  <c r="U76" i="2" a="1"/>
  <c r="U76" i="2" s="1"/>
  <c r="T68" i="2" a="1"/>
  <c r="T68" i="2" s="1"/>
  <c r="U68" i="2" a="1"/>
  <c r="U68" i="2" s="1"/>
  <c r="T60" i="2" a="1"/>
  <c r="T60" i="2" s="1"/>
  <c r="U60" i="2" a="1"/>
  <c r="U60" i="2" s="1"/>
  <c r="T36" i="2" a="1"/>
  <c r="T36" i="2" s="1"/>
  <c r="U36" i="2" a="1"/>
  <c r="U36" i="2" s="1"/>
  <c r="T28" i="2" a="1"/>
  <c r="T28" i="2" s="1"/>
  <c r="U28" i="2" a="1"/>
  <c r="U28" i="2" s="1"/>
  <c r="T12" i="2" a="1"/>
  <c r="T12" i="2" s="1"/>
  <c r="U12" i="2" a="1"/>
  <c r="U12" i="2" s="1"/>
  <c r="T4" i="2" a="1"/>
  <c r="T4" i="2" s="1"/>
  <c r="U4" i="2" a="1"/>
  <c r="U4" i="2" s="1"/>
  <c r="U331" i="2" a="1"/>
  <c r="U331" i="2" s="1"/>
  <c r="U329" i="2" a="1"/>
  <c r="U329" i="2" s="1"/>
  <c r="U327" i="2" a="1"/>
  <c r="U327" i="2" s="1"/>
  <c r="U325" i="2" a="1"/>
  <c r="U325" i="2" s="1"/>
  <c r="U323" i="2" a="1"/>
  <c r="U323" i="2" s="1"/>
  <c r="U300" i="2" a="1"/>
  <c r="U300" i="2" s="1"/>
  <c r="U292" i="2" a="1"/>
  <c r="U292" i="2" s="1"/>
  <c r="U284" i="2" a="1"/>
  <c r="U284" i="2" s="1"/>
  <c r="U276" i="2" a="1"/>
  <c r="U276" i="2" s="1"/>
  <c r="U268" i="2" a="1"/>
  <c r="U268" i="2" s="1"/>
  <c r="U260" i="2" a="1"/>
  <c r="U260" i="2" s="1"/>
  <c r="U252" i="2" a="1"/>
  <c r="U252" i="2" s="1"/>
  <c r="U244" i="2" a="1"/>
  <c r="U244" i="2" s="1"/>
  <c r="U237" i="2" a="1"/>
  <c r="U237" i="2" s="1"/>
  <c r="U222" i="2" a="1"/>
  <c r="U222" i="2" s="1"/>
  <c r="U215" i="2" a="1"/>
  <c r="U215" i="2" s="1"/>
  <c r="U203" i="2" a="1"/>
  <c r="U203" i="2" s="1"/>
  <c r="U201" i="2" a="1"/>
  <c r="U201" i="2" s="1"/>
  <c r="U198" i="2" a="1"/>
  <c r="U198" i="2" s="1"/>
  <c r="T188" i="2" a="1"/>
  <c r="T188" i="2" s="1"/>
  <c r="U168" i="2" a="1"/>
  <c r="U168" i="2" s="1"/>
  <c r="U159" i="2" a="1"/>
  <c r="U159" i="2" s="1"/>
  <c r="U157" i="2" a="1"/>
  <c r="U157" i="2" s="1"/>
  <c r="U125" i="2" a="1"/>
  <c r="U125" i="2" s="1"/>
  <c r="T114" i="2" a="1"/>
  <c r="T114" i="2" s="1"/>
  <c r="T97" i="2" a="1"/>
  <c r="T97" i="2" s="1"/>
  <c r="U91" i="2" a="1"/>
  <c r="U91" i="2" s="1"/>
  <c r="U85" i="2" a="1"/>
  <c r="U85" i="2" s="1"/>
  <c r="U79" i="2" a="1"/>
  <c r="U79" i="2" s="1"/>
  <c r="U55" i="2" a="1"/>
  <c r="U55" i="2" s="1"/>
  <c r="T50" i="2" a="1"/>
  <c r="T50" i="2" s="1"/>
  <c r="U29" i="2" a="1"/>
  <c r="U29" i="2" s="1"/>
  <c r="U24" i="2" a="1"/>
  <c r="U24" i="2" s="1"/>
  <c r="T109" i="2" a="1"/>
  <c r="T109" i="2" s="1"/>
  <c r="U109" i="2" a="1"/>
  <c r="U109" i="2" s="1"/>
  <c r="T101" i="2" a="1"/>
  <c r="T101" i="2" s="1"/>
  <c r="U101" i="2" a="1"/>
  <c r="U101" i="2" s="1"/>
  <c r="T21" i="2" a="1"/>
  <c r="T21" i="2" s="1"/>
  <c r="U21" i="2" a="1"/>
  <c r="U21" i="2" s="1"/>
  <c r="U321" i="2" a="1"/>
  <c r="U321" i="2" s="1"/>
  <c r="U319" i="2" a="1"/>
  <c r="U319" i="2" s="1"/>
  <c r="U317" i="2" a="1"/>
  <c r="U317" i="2" s="1"/>
  <c r="U311" i="2" a="1"/>
  <c r="U311" i="2" s="1"/>
  <c r="U305" i="2" a="1"/>
  <c r="U305" i="2" s="1"/>
  <c r="U297" i="2" a="1"/>
  <c r="U297" i="2" s="1"/>
  <c r="U289" i="2" a="1"/>
  <c r="U289" i="2" s="1"/>
  <c r="U281" i="2" a="1"/>
  <c r="U281" i="2" s="1"/>
  <c r="U273" i="2" a="1"/>
  <c r="U273" i="2" s="1"/>
  <c r="U265" i="2" a="1"/>
  <c r="U265" i="2" s="1"/>
  <c r="U257" i="2" a="1"/>
  <c r="U257" i="2" s="1"/>
  <c r="U249" i="2" a="1"/>
  <c r="U249" i="2" s="1"/>
  <c r="U229" i="2" a="1"/>
  <c r="U229" i="2" s="1"/>
  <c r="U225" i="2" a="1"/>
  <c r="U225" i="2" s="1"/>
  <c r="T184" i="2" a="1"/>
  <c r="T184" i="2" s="1"/>
  <c r="U181" i="2" a="1"/>
  <c r="U181" i="2" s="1"/>
  <c r="U170" i="2" a="1"/>
  <c r="U170" i="2" s="1"/>
  <c r="T165" i="2" a="1"/>
  <c r="T165" i="2" s="1"/>
  <c r="U153" i="2" a="1"/>
  <c r="U153" i="2" s="1"/>
  <c r="U147" i="2" a="1"/>
  <c r="U147" i="2" s="1"/>
  <c r="T133" i="2" a="1"/>
  <c r="T133" i="2" s="1"/>
  <c r="U130" i="2" a="1"/>
  <c r="U130" i="2" s="1"/>
  <c r="U119" i="2" a="1"/>
  <c r="U119" i="2" s="1"/>
  <c r="U106" i="2" a="1"/>
  <c r="U106" i="2" s="1"/>
  <c r="T103" i="2" a="1"/>
  <c r="T103" i="2" s="1"/>
  <c r="U94" i="2" a="1"/>
  <c r="U94" i="2" s="1"/>
  <c r="U69" i="2" a="1"/>
  <c r="U69" i="2" s="1"/>
  <c r="U63" i="2" a="1"/>
  <c r="U63" i="2" s="1"/>
  <c r="T46" i="2" a="1"/>
  <c r="T46" i="2" s="1"/>
  <c r="U43" i="2" a="1"/>
  <c r="U43" i="2" s="1"/>
  <c r="U40" i="2" a="1"/>
  <c r="U40" i="2" s="1"/>
  <c r="T35" i="2" a="1"/>
  <c r="T35" i="2" s="1"/>
  <c r="T15" i="2" a="1"/>
  <c r="T15" i="2" s="1"/>
  <c r="T204" i="2" a="1"/>
  <c r="T204" i="2" s="1"/>
  <c r="U204" i="2" a="1"/>
  <c r="U204" i="2" s="1"/>
  <c r="T221" i="2" a="1"/>
  <c r="T221" i="2" s="1"/>
  <c r="U221" i="2" a="1"/>
  <c r="U221" i="2" s="1"/>
  <c r="T197" i="2" a="1"/>
  <c r="T197" i="2" s="1"/>
  <c r="U197" i="2" a="1"/>
  <c r="U197" i="2" s="1"/>
  <c r="T173" i="2" a="1"/>
  <c r="T173" i="2" s="1"/>
  <c r="U173" i="2" a="1"/>
  <c r="U173" i="2" s="1"/>
  <c r="T214" i="2" a="1"/>
  <c r="T214" i="2" s="1"/>
  <c r="U214" i="2" a="1"/>
  <c r="U214" i="2" s="1"/>
  <c r="T206" i="2" a="1"/>
  <c r="T206" i="2" s="1"/>
  <c r="U206" i="2" a="1"/>
  <c r="U206" i="2" s="1"/>
  <c r="T190" i="2" a="1"/>
  <c r="T190" i="2" s="1"/>
  <c r="U190" i="2" a="1"/>
  <c r="U190" i="2" s="1"/>
  <c r="T182" i="2" a="1"/>
  <c r="T182" i="2" s="1"/>
  <c r="U182" i="2" a="1"/>
  <c r="U182" i="2" s="1"/>
  <c r="T166" i="2" a="1"/>
  <c r="T166" i="2" s="1"/>
  <c r="U166" i="2" a="1"/>
  <c r="U166" i="2" s="1"/>
  <c r="T158" i="2" a="1"/>
  <c r="T158" i="2" s="1"/>
  <c r="U158" i="2" a="1"/>
  <c r="U158" i="2" s="1"/>
  <c r="T150" i="2" a="1"/>
  <c r="T150" i="2" s="1"/>
  <c r="U150" i="2" a="1"/>
  <c r="U150" i="2" s="1"/>
  <c r="T118" i="2" a="1"/>
  <c r="T118" i="2" s="1"/>
  <c r="U118" i="2" a="1"/>
  <c r="U118" i="2" s="1"/>
  <c r="T86" i="2" a="1"/>
  <c r="T86" i="2" s="1"/>
  <c r="U86" i="2" a="1"/>
  <c r="U86" i="2" s="1"/>
  <c r="T78" i="2" a="1"/>
  <c r="T78" i="2" s="1"/>
  <c r="U78" i="2" a="1"/>
  <c r="U78" i="2" s="1"/>
  <c r="T70" i="2" a="1"/>
  <c r="T70" i="2" s="1"/>
  <c r="U70" i="2" a="1"/>
  <c r="U70" i="2" s="1"/>
  <c r="T62" i="2" a="1"/>
  <c r="T62" i="2" s="1"/>
  <c r="U62" i="2" a="1"/>
  <c r="U62" i="2" s="1"/>
  <c r="T54" i="2" a="1"/>
  <c r="T54" i="2" s="1"/>
  <c r="U54" i="2" a="1"/>
  <c r="U54" i="2" s="1"/>
  <c r="T30" i="2" a="1"/>
  <c r="T30" i="2" s="1"/>
  <c r="U30" i="2" a="1"/>
  <c r="U30" i="2" s="1"/>
  <c r="T6" i="2" a="1"/>
  <c r="T6" i="2" s="1"/>
  <c r="U6" i="2" a="1"/>
  <c r="U6" i="2" s="1"/>
  <c r="U344" i="2" a="1"/>
  <c r="U344" i="2" s="1"/>
  <c r="U340" i="2" a="1"/>
  <c r="U340" i="2" s="1"/>
  <c r="U315" i="2" a="1"/>
  <c r="U315" i="2" s="1"/>
  <c r="U313" i="2" a="1"/>
  <c r="U313" i="2" s="1"/>
  <c r="U302" i="2" a="1"/>
  <c r="U302" i="2" s="1"/>
  <c r="U294" i="2" a="1"/>
  <c r="U294" i="2" s="1"/>
  <c r="U286" i="2" a="1"/>
  <c r="U286" i="2" s="1"/>
  <c r="U278" i="2" a="1"/>
  <c r="U278" i="2" s="1"/>
  <c r="U270" i="2" a="1"/>
  <c r="U270" i="2" s="1"/>
  <c r="U262" i="2" a="1"/>
  <c r="U262" i="2" s="1"/>
  <c r="U254" i="2" a="1"/>
  <c r="U254" i="2" s="1"/>
  <c r="U246" i="2" a="1"/>
  <c r="U246" i="2" s="1"/>
  <c r="U240" i="2" a="1"/>
  <c r="U240" i="2" s="1"/>
  <c r="U232" i="2" a="1"/>
  <c r="U232" i="2" s="1"/>
  <c r="U218" i="2" a="1"/>
  <c r="U218" i="2" s="1"/>
  <c r="U209" i="2" a="1"/>
  <c r="U209" i="2" s="1"/>
  <c r="U192" i="2" a="1"/>
  <c r="U192" i="2" s="1"/>
  <c r="U178" i="2" a="1"/>
  <c r="U178" i="2" s="1"/>
  <c r="U144" i="2" a="1"/>
  <c r="U144" i="2" s="1"/>
  <c r="U141" i="2" a="1"/>
  <c r="U141" i="2" s="1"/>
  <c r="T138" i="2" a="1"/>
  <c r="T138" i="2" s="1"/>
  <c r="T127" i="2" a="1"/>
  <c r="T127" i="2" s="1"/>
  <c r="U108" i="2" a="1"/>
  <c r="U108" i="2" s="1"/>
  <c r="U96" i="2" a="1"/>
  <c r="U96" i="2" s="1"/>
  <c r="U75" i="2" a="1"/>
  <c r="U75" i="2" s="1"/>
  <c r="U65" i="2" a="1"/>
  <c r="U65" i="2" s="1"/>
  <c r="U57" i="2" a="1"/>
  <c r="U57" i="2" s="1"/>
  <c r="T52" i="2" a="1"/>
  <c r="T52" i="2" s="1"/>
  <c r="U49" i="2" a="1"/>
  <c r="U49" i="2" s="1"/>
  <c r="T26" i="2" a="1"/>
  <c r="T26" i="2" s="1"/>
  <c r="U5" i="2" a="1"/>
  <c r="U5" i="2" s="1"/>
  <c r="T228" i="2" a="1"/>
  <c r="T228" i="2" s="1"/>
  <c r="U228" i="2" a="1"/>
  <c r="U228" i="2" s="1"/>
  <c r="T239" i="2" a="1"/>
  <c r="T239" i="2" s="1"/>
  <c r="U239" i="2" a="1"/>
  <c r="U239" i="2" s="1"/>
  <c r="T231" i="2" a="1"/>
  <c r="T231" i="2" s="1"/>
  <c r="U231" i="2" a="1"/>
  <c r="U231" i="2" s="1"/>
  <c r="T175" i="2" a="1"/>
  <c r="T175" i="2" s="1"/>
  <c r="U175" i="2" a="1"/>
  <c r="U175" i="2" s="1"/>
  <c r="T143" i="2" a="1"/>
  <c r="T143" i="2" s="1"/>
  <c r="U143" i="2" a="1"/>
  <c r="U143" i="2" s="1"/>
  <c r="T135" i="2" a="1"/>
  <c r="T135" i="2" s="1"/>
  <c r="U135" i="2" a="1"/>
  <c r="U135" i="2" s="1"/>
  <c r="T111" i="2" a="1"/>
  <c r="T111" i="2" s="1"/>
  <c r="U111" i="2" a="1"/>
  <c r="U111" i="2" s="1"/>
  <c r="T23" i="2" a="1"/>
  <c r="T23" i="2" s="1"/>
  <c r="U23" i="2" a="1"/>
  <c r="U23" i="2" s="1"/>
  <c r="U342" i="2" a="1"/>
  <c r="U342" i="2" s="1"/>
  <c r="U338" i="2" a="1"/>
  <c r="U338" i="2" s="1"/>
  <c r="U336" i="2" a="1"/>
  <c r="U336" i="2" s="1"/>
  <c r="U334" i="2" a="1"/>
  <c r="U334" i="2" s="1"/>
  <c r="U309" i="2" a="1"/>
  <c r="U309" i="2" s="1"/>
  <c r="U307" i="2" a="1"/>
  <c r="U307" i="2" s="1"/>
  <c r="U299" i="2" a="1"/>
  <c r="U299" i="2" s="1"/>
  <c r="U291" i="2" a="1"/>
  <c r="U291" i="2" s="1"/>
  <c r="U283" i="2" a="1"/>
  <c r="U283" i="2" s="1"/>
  <c r="U275" i="2" a="1"/>
  <c r="U275" i="2" s="1"/>
  <c r="U267" i="2" a="1"/>
  <c r="U267" i="2" s="1"/>
  <c r="U259" i="2" a="1"/>
  <c r="U259" i="2" s="1"/>
  <c r="U251" i="2" a="1"/>
  <c r="U251" i="2" s="1"/>
  <c r="U243" i="2" a="1"/>
  <c r="U243" i="2" s="1"/>
  <c r="T200" i="2" a="1"/>
  <c r="T200" i="2" s="1"/>
  <c r="U183" i="2" a="1"/>
  <c r="U183" i="2" s="1"/>
  <c r="U167" i="2" a="1"/>
  <c r="U167" i="2" s="1"/>
  <c r="U164" i="2" a="1"/>
  <c r="U164" i="2" s="1"/>
  <c r="U161" i="2" a="1"/>
  <c r="U161" i="2" s="1"/>
  <c r="U132" i="2" a="1"/>
  <c r="U132" i="2" s="1"/>
  <c r="U121" i="2" a="1"/>
  <c r="U121" i="2" s="1"/>
  <c r="U113" i="2" a="1"/>
  <c r="U113" i="2" s="1"/>
  <c r="U110" i="2" a="1"/>
  <c r="U110" i="2" s="1"/>
  <c r="T105" i="2" a="1"/>
  <c r="T105" i="2" s="1"/>
  <c r="U102" i="2" a="1"/>
  <c r="U102" i="2" s="1"/>
  <c r="U87" i="2" a="1"/>
  <c r="U87" i="2" s="1"/>
  <c r="U45" i="2" a="1"/>
  <c r="U45" i="2" s="1"/>
  <c r="T37" i="2" a="1"/>
  <c r="T37" i="2" s="1"/>
  <c r="U20" i="2" a="1"/>
  <c r="U20" i="2" s="1"/>
  <c r="U14" i="2" a="1"/>
  <c r="U14" i="2" s="1"/>
  <c r="T236" i="2" a="1"/>
  <c r="T236" i="2" s="1"/>
  <c r="U236" i="2" a="1"/>
  <c r="U236" i="2" s="1"/>
  <c r="T216" i="2" a="1"/>
  <c r="T216" i="2" s="1"/>
  <c r="U216" i="2" a="1"/>
  <c r="U216" i="2" s="1"/>
  <c r="T208" i="2" a="1"/>
  <c r="T208" i="2" s="1"/>
  <c r="U208" i="2" a="1"/>
  <c r="U208" i="2" s="1"/>
  <c r="T160" i="2" a="1"/>
  <c r="T160" i="2" s="1"/>
  <c r="U160" i="2" a="1"/>
  <c r="U160" i="2" s="1"/>
  <c r="T152" i="2" a="1"/>
  <c r="T152" i="2" s="1"/>
  <c r="U152" i="2" a="1"/>
  <c r="U152" i="2" s="1"/>
  <c r="T120" i="2" a="1"/>
  <c r="T120" i="2" s="1"/>
  <c r="U120" i="2" a="1"/>
  <c r="U120" i="2" s="1"/>
  <c r="T88" i="2" a="1"/>
  <c r="T88" i="2" s="1"/>
  <c r="U88" i="2" a="1"/>
  <c r="U88" i="2" s="1"/>
  <c r="T80" i="2" a="1"/>
  <c r="T80" i="2" s="1"/>
  <c r="U80" i="2" a="1"/>
  <c r="U80" i="2" s="1"/>
  <c r="T72" i="2" a="1"/>
  <c r="T72" i="2" s="1"/>
  <c r="U72" i="2" a="1"/>
  <c r="U72" i="2" s="1"/>
  <c r="T64" i="2" a="1"/>
  <c r="T64" i="2" s="1"/>
  <c r="U64" i="2" a="1"/>
  <c r="U64" i="2" s="1"/>
  <c r="T56" i="2" a="1"/>
  <c r="T56" i="2" s="1"/>
  <c r="U56" i="2" a="1"/>
  <c r="U56" i="2" s="1"/>
  <c r="T32" i="2" a="1"/>
  <c r="T32" i="2" s="1"/>
  <c r="U32" i="2" a="1"/>
  <c r="U32" i="2" s="1"/>
  <c r="T8" i="2" a="1"/>
  <c r="T8" i="2" s="1"/>
  <c r="U8" i="2" a="1"/>
  <c r="U8" i="2" s="1"/>
  <c r="U224" i="2" a="1"/>
  <c r="U224" i="2" s="1"/>
  <c r="T180" i="2" a="1"/>
  <c r="T180" i="2" s="1"/>
  <c r="T140" i="2" a="1"/>
  <c r="T140" i="2" s="1"/>
  <c r="T93" i="2" a="1"/>
  <c r="T93" i="2" s="1"/>
  <c r="U81" i="2" a="1"/>
  <c r="U81" i="2" s="1"/>
  <c r="T48" i="2" a="1"/>
  <c r="T48" i="2" s="1"/>
  <c r="T11" i="2" a="1"/>
  <c r="T1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<sst xmlns="http://schemas.openxmlformats.org/spreadsheetml/2006/main" count="3023" uniqueCount="1068">
  <si>
    <t>Energieverbruik (in TJ) - Gemeenten van Nederland</t>
  </si>
  <si>
    <t/>
  </si>
  <si>
    <t>Aardgasverbruik Gebouwde omgeving</t>
  </si>
  <si>
    <t>Totaal bekend aardgasverbruik Industrie, Energie, Afval en Water (excl. Energievoorziening, SBI D)</t>
  </si>
  <si>
    <t>Aardgas geleverd aan Landbouw, bosbouw en visserij (SBI A)</t>
  </si>
  <si>
    <t>?</t>
  </si>
  <si>
    <t>Speciale waarden</t>
  </si>
  <si>
    <t>? Ontbreekt</t>
  </si>
  <si>
    <t>Eenheid</t>
  </si>
  <si>
    <t>TJ</t>
  </si>
  <si>
    <t>Bron</t>
  </si>
  <si>
    <t>Omrekening energiedragers naar TeraJoules (TJ)</t>
  </si>
  <si>
    <t>CBS - Statistiek energieverbruik bedrijven en instellingen</t>
  </si>
  <si>
    <t>klimaatmonitor.databank.nl</t>
  </si>
  <si>
    <t>Datum export</t>
  </si>
  <si>
    <t>woensdag 6 augustus 2025</t>
  </si>
  <si>
    <t>Gemeentecode</t>
  </si>
  <si>
    <t>GemeentecodeGM</t>
  </si>
  <si>
    <t>Gemeentenaam</t>
  </si>
  <si>
    <t>1680</t>
  </si>
  <si>
    <t>GM1680</t>
  </si>
  <si>
    <t>Aa en Hunze</t>
  </si>
  <si>
    <t>0358</t>
  </si>
  <si>
    <t>GM0358</t>
  </si>
  <si>
    <t>Aalsmeer</t>
  </si>
  <si>
    <t>0197</t>
  </si>
  <si>
    <t>GM0197</t>
  </si>
  <si>
    <t>Aalten</t>
  </si>
  <si>
    <t>0059</t>
  </si>
  <si>
    <t>GM0059</t>
  </si>
  <si>
    <t>Achtkarspelen</t>
  </si>
  <si>
    <t>0482</t>
  </si>
  <si>
    <t>GM0482</t>
  </si>
  <si>
    <t>Alblasserdam</t>
  </si>
  <si>
    <t>0613</t>
  </si>
  <si>
    <t>GM0613</t>
  </si>
  <si>
    <t>Albrandswaard</t>
  </si>
  <si>
    <t>0361</t>
  </si>
  <si>
    <t>GM0361</t>
  </si>
  <si>
    <t>Alkmaar</t>
  </si>
  <si>
    <t>0141</t>
  </si>
  <si>
    <t>GM0141</t>
  </si>
  <si>
    <t>Almelo</t>
  </si>
  <si>
    <t>0034</t>
  </si>
  <si>
    <t>GM0034</t>
  </si>
  <si>
    <t>Almere</t>
  </si>
  <si>
    <t>0484</t>
  </si>
  <si>
    <t>GM0484</t>
  </si>
  <si>
    <t>Alphen aan den Rijn</t>
  </si>
  <si>
    <t>1723</t>
  </si>
  <si>
    <t>GM1723</t>
  </si>
  <si>
    <t>Alphen-Chaam</t>
  </si>
  <si>
    <t>1959</t>
  </si>
  <si>
    <t>GM1959</t>
  </si>
  <si>
    <t>Altena</t>
  </si>
  <si>
    <t>0060</t>
  </si>
  <si>
    <t>GM0060</t>
  </si>
  <si>
    <t>Ameland</t>
  </si>
  <si>
    <t>0307</t>
  </si>
  <si>
    <t>GM0307</t>
  </si>
  <si>
    <t>Amersfoort</t>
  </si>
  <si>
    <t>Utrecht</t>
  </si>
  <si>
    <t>0362</t>
  </si>
  <si>
    <t>GM0362</t>
  </si>
  <si>
    <t>Amstelveen</t>
  </si>
  <si>
    <t>0363</t>
  </si>
  <si>
    <t>GM0363</t>
  </si>
  <si>
    <t>Amsterdam</t>
  </si>
  <si>
    <t>0200</t>
  </si>
  <si>
    <t>GM0200</t>
  </si>
  <si>
    <t>Apeldoorn</t>
  </si>
  <si>
    <t>0202</t>
  </si>
  <si>
    <t>GM0202</t>
  </si>
  <si>
    <t>Arnhem</t>
  </si>
  <si>
    <t>0106</t>
  </si>
  <si>
    <t>GM0106</t>
  </si>
  <si>
    <t>Assen</t>
  </si>
  <si>
    <t>0743</t>
  </si>
  <si>
    <t>GM0743</t>
  </si>
  <si>
    <t>Asten</t>
  </si>
  <si>
    <t>0744</t>
  </si>
  <si>
    <t>GM0744</t>
  </si>
  <si>
    <t>Baarle-Nassau</t>
  </si>
  <si>
    <t>0308</t>
  </si>
  <si>
    <t>GM0308</t>
  </si>
  <si>
    <t>Baarn</t>
  </si>
  <si>
    <t>0489</t>
  </si>
  <si>
    <t>GM0489</t>
  </si>
  <si>
    <t>Barendrecht</t>
  </si>
  <si>
    <t>0203</t>
  </si>
  <si>
    <t>GM0203</t>
  </si>
  <si>
    <t>Barneveld</t>
  </si>
  <si>
    <t>0888</t>
  </si>
  <si>
    <t>GM0888</t>
  </si>
  <si>
    <t>Beek</t>
  </si>
  <si>
    <t>1954</t>
  </si>
  <si>
    <t>GM1954</t>
  </si>
  <si>
    <t>Beekdaelen</t>
  </si>
  <si>
    <t>0889</t>
  </si>
  <si>
    <t>GM0889</t>
  </si>
  <si>
    <t>Beesel</t>
  </si>
  <si>
    <t>1945</t>
  </si>
  <si>
    <t>GM1945</t>
  </si>
  <si>
    <t>Berg en Dal</t>
  </si>
  <si>
    <t>1724</t>
  </si>
  <si>
    <t>GM1724</t>
  </si>
  <si>
    <t>Bergeijk</t>
  </si>
  <si>
    <t>0893</t>
  </si>
  <si>
    <t>GM0893</t>
  </si>
  <si>
    <t>Bergen (L.)</t>
  </si>
  <si>
    <t>0373</t>
  </si>
  <si>
    <t>GM0373</t>
  </si>
  <si>
    <t>Bergen (NH.)</t>
  </si>
  <si>
    <t>0748</t>
  </si>
  <si>
    <t>GM0748</t>
  </si>
  <si>
    <t>Bergen op Zoom</t>
  </si>
  <si>
    <t>1859</t>
  </si>
  <si>
    <t>GM1859</t>
  </si>
  <si>
    <t>Berkelland</t>
  </si>
  <si>
    <t>1721</t>
  </si>
  <si>
    <t>GM1721</t>
  </si>
  <si>
    <t>Bernheze</t>
  </si>
  <si>
    <t>0753</t>
  </si>
  <si>
    <t>GM0753</t>
  </si>
  <si>
    <t>Best</t>
  </si>
  <si>
    <t>0209</t>
  </si>
  <si>
    <t>GM0209</t>
  </si>
  <si>
    <t>Beuningen</t>
  </si>
  <si>
    <t>0375</t>
  </si>
  <si>
    <t>GM0375</t>
  </si>
  <si>
    <t>Beverwijk</t>
  </si>
  <si>
    <t>0310</t>
  </si>
  <si>
    <t>GM0310</t>
  </si>
  <si>
    <t>De Bilt</t>
  </si>
  <si>
    <t>1728</t>
  </si>
  <si>
    <t>GM1728</t>
  </si>
  <si>
    <t>Bladel</t>
  </si>
  <si>
    <t>0376</t>
  </si>
  <si>
    <t>GM0376</t>
  </si>
  <si>
    <t>Blaricum</t>
  </si>
  <si>
    <t>0377</t>
  </si>
  <si>
    <t>GM0377</t>
  </si>
  <si>
    <t>Bloemendaal</t>
  </si>
  <si>
    <t>1901</t>
  </si>
  <si>
    <t>GM1901</t>
  </si>
  <si>
    <t>Bodegraven-Reeuwijk</t>
  </si>
  <si>
    <t>0755</t>
  </si>
  <si>
    <t>GM0755</t>
  </si>
  <si>
    <t>Boekel</t>
  </si>
  <si>
    <t>1681</t>
  </si>
  <si>
    <t>GM1681</t>
  </si>
  <si>
    <t>Borger-Odoorn</t>
  </si>
  <si>
    <t>0147</t>
  </si>
  <si>
    <t>GM0147</t>
  </si>
  <si>
    <t>Borne</t>
  </si>
  <si>
    <t>0654</t>
  </si>
  <si>
    <t>GM0654</t>
  </si>
  <si>
    <t>Borsele</t>
  </si>
  <si>
    <t>0757</t>
  </si>
  <si>
    <t>GM0757</t>
  </si>
  <si>
    <t>Boxtel</t>
  </si>
  <si>
    <t>0758</t>
  </si>
  <si>
    <t>GM0758</t>
  </si>
  <si>
    <t>Breda</t>
  </si>
  <si>
    <t>1876</t>
  </si>
  <si>
    <t>GM1876</t>
  </si>
  <si>
    <t>Bronckhorst</t>
  </si>
  <si>
    <t>0213</t>
  </si>
  <si>
    <t>GM0213</t>
  </si>
  <si>
    <t>Brummen</t>
  </si>
  <si>
    <t>0899</t>
  </si>
  <si>
    <t>GM0899</t>
  </si>
  <si>
    <t>Brunssum</t>
  </si>
  <si>
    <t>0312</t>
  </si>
  <si>
    <t>GM0312</t>
  </si>
  <si>
    <t>Bunnik</t>
  </si>
  <si>
    <t>0313</t>
  </si>
  <si>
    <t>GM0313</t>
  </si>
  <si>
    <t>Bunschoten</t>
  </si>
  <si>
    <t>0214</t>
  </si>
  <si>
    <t>GM0214</t>
  </si>
  <si>
    <t>Buren</t>
  </si>
  <si>
    <t>0502</t>
  </si>
  <si>
    <t>GM0502</t>
  </si>
  <si>
    <t>Capelle aan den IJssel</t>
  </si>
  <si>
    <t>0383</t>
  </si>
  <si>
    <t>GM0383</t>
  </si>
  <si>
    <t>Castricum</t>
  </si>
  <si>
    <t>0109</t>
  </si>
  <si>
    <t>GM0109</t>
  </si>
  <si>
    <t>Coevorden</t>
  </si>
  <si>
    <t>1706</t>
  </si>
  <si>
    <t>GM1706</t>
  </si>
  <si>
    <t>Cranendonck</t>
  </si>
  <si>
    <t>0216</t>
  </si>
  <si>
    <t>GM0216</t>
  </si>
  <si>
    <t>Culemborg</t>
  </si>
  <si>
    <t>0148</t>
  </si>
  <si>
    <t>GM0148</t>
  </si>
  <si>
    <t>Dalfsen</t>
  </si>
  <si>
    <t>1891</t>
  </si>
  <si>
    <t>GM1891</t>
  </si>
  <si>
    <t>Dantumadiel</t>
  </si>
  <si>
    <t>0503</t>
  </si>
  <si>
    <t>GM0503</t>
  </si>
  <si>
    <t>Delft</t>
  </si>
  <si>
    <t>0762</t>
  </si>
  <si>
    <t>GM0762</t>
  </si>
  <si>
    <t>Deurne</t>
  </si>
  <si>
    <t>0150</t>
  </si>
  <si>
    <t>GM0150</t>
  </si>
  <si>
    <t>Deventer</t>
  </si>
  <si>
    <t>0384</t>
  </si>
  <si>
    <t>GM0384</t>
  </si>
  <si>
    <t>Diemen</t>
  </si>
  <si>
    <t>1980</t>
  </si>
  <si>
    <t>GM1980</t>
  </si>
  <si>
    <t>Dijk en Waard</t>
  </si>
  <si>
    <t>1774</t>
  </si>
  <si>
    <t>GM1774</t>
  </si>
  <si>
    <t>Dinkelland</t>
  </si>
  <si>
    <t>0221</t>
  </si>
  <si>
    <t>GM0221</t>
  </si>
  <si>
    <t>Doesburg</t>
  </si>
  <si>
    <t>0222</t>
  </si>
  <si>
    <t>GM0222</t>
  </si>
  <si>
    <t>Doetinchem</t>
  </si>
  <si>
    <t>0766</t>
  </si>
  <si>
    <t>GM0766</t>
  </si>
  <si>
    <t>Dongen</t>
  </si>
  <si>
    <t>0505</t>
  </si>
  <si>
    <t>GM0505</t>
  </si>
  <si>
    <t>Dordrecht</t>
  </si>
  <si>
    <t>0498</t>
  </si>
  <si>
    <t>GM0498</t>
  </si>
  <si>
    <t>Drechterland</t>
  </si>
  <si>
    <t>1719</t>
  </si>
  <si>
    <t>GM1719</t>
  </si>
  <si>
    <t>Drimmelen</t>
  </si>
  <si>
    <t>0303</t>
  </si>
  <si>
    <t>GM0303</t>
  </si>
  <si>
    <t>Dronten</t>
  </si>
  <si>
    <t>0225</t>
  </si>
  <si>
    <t>GM0225</t>
  </si>
  <si>
    <t>Druten</t>
  </si>
  <si>
    <t>0226</t>
  </si>
  <si>
    <t>GM0226</t>
  </si>
  <si>
    <t>Duiven</t>
  </si>
  <si>
    <t>1711</t>
  </si>
  <si>
    <t>GM1711</t>
  </si>
  <si>
    <t>Echt-Susteren</t>
  </si>
  <si>
    <t>0385</t>
  </si>
  <si>
    <t>GM0385</t>
  </si>
  <si>
    <t>Edam-Volendam</t>
  </si>
  <si>
    <t>0228</t>
  </si>
  <si>
    <t>GM0228</t>
  </si>
  <si>
    <t>Ede</t>
  </si>
  <si>
    <t>0317</t>
  </si>
  <si>
    <t>GM0317</t>
  </si>
  <si>
    <t>Eemnes</t>
  </si>
  <si>
    <t>1979</t>
  </si>
  <si>
    <t>GM1979</t>
  </si>
  <si>
    <t>Eemsdelta</t>
  </si>
  <si>
    <t>Groningen</t>
  </si>
  <si>
    <t>0770</t>
  </si>
  <si>
    <t>GM0770</t>
  </si>
  <si>
    <t>Eersel</t>
  </si>
  <si>
    <t>1903</t>
  </si>
  <si>
    <t>GM1903</t>
  </si>
  <si>
    <t>Eijsden-Margraten</t>
  </si>
  <si>
    <t>0772</t>
  </si>
  <si>
    <t>GM0772</t>
  </si>
  <si>
    <t>Eindhoven</t>
  </si>
  <si>
    <t>0230</t>
  </si>
  <si>
    <t>GM0230</t>
  </si>
  <si>
    <t>Elburg</t>
  </si>
  <si>
    <t>0114</t>
  </si>
  <si>
    <t>GM0114</t>
  </si>
  <si>
    <t>Emmen</t>
  </si>
  <si>
    <t>0388</t>
  </si>
  <si>
    <t>GM0388</t>
  </si>
  <si>
    <t>Enkhuizen</t>
  </si>
  <si>
    <t>0153</t>
  </si>
  <si>
    <t>GM0153</t>
  </si>
  <si>
    <t>Enschede</t>
  </si>
  <si>
    <t>0232</t>
  </si>
  <si>
    <t>GM0232</t>
  </si>
  <si>
    <t>Epe</t>
  </si>
  <si>
    <t>0233</t>
  </si>
  <si>
    <t>GM0233</t>
  </si>
  <si>
    <t>Ermelo</t>
  </si>
  <si>
    <t>0777</t>
  </si>
  <si>
    <t>GM0777</t>
  </si>
  <si>
    <t>Etten-Leur</t>
  </si>
  <si>
    <t>1940</t>
  </si>
  <si>
    <t>GM1940</t>
  </si>
  <si>
    <t>De Fryske Marren</t>
  </si>
  <si>
    <t>0779</t>
  </si>
  <si>
    <t>GM0779</t>
  </si>
  <si>
    <t>Geertruidenberg</t>
  </si>
  <si>
    <t>1771</t>
  </si>
  <si>
    <t>GM1771</t>
  </si>
  <si>
    <t>Geldrop-Mierlo</t>
  </si>
  <si>
    <t>1652</t>
  </si>
  <si>
    <t>GM1652</t>
  </si>
  <si>
    <t>Gemert-Bakel</t>
  </si>
  <si>
    <t>0907</t>
  </si>
  <si>
    <t>GM0907</t>
  </si>
  <si>
    <t>Gennep</t>
  </si>
  <si>
    <t>0784</t>
  </si>
  <si>
    <t>GM0784</t>
  </si>
  <si>
    <t>Gilze en Rijen</t>
  </si>
  <si>
    <t>1924</t>
  </si>
  <si>
    <t>GM1924</t>
  </si>
  <si>
    <t>Goeree-Overflakkee</t>
  </si>
  <si>
    <t>0664</t>
  </si>
  <si>
    <t>GM0664</t>
  </si>
  <si>
    <t>Goes</t>
  </si>
  <si>
    <t>0785</t>
  </si>
  <si>
    <t>GM0785</t>
  </si>
  <si>
    <t>Goirle</t>
  </si>
  <si>
    <t>1942</t>
  </si>
  <si>
    <t>GM1942</t>
  </si>
  <si>
    <t>Gooise Meren</t>
  </si>
  <si>
    <t>0512</t>
  </si>
  <si>
    <t>GM0512</t>
  </si>
  <si>
    <t>Gorinchem</t>
  </si>
  <si>
    <t>0513</t>
  </si>
  <si>
    <t>GM0513</t>
  </si>
  <si>
    <t>Gouda</t>
  </si>
  <si>
    <t>0518</t>
  </si>
  <si>
    <t>GM0518</t>
  </si>
  <si>
    <t>0014</t>
  </si>
  <si>
    <t>GM0014</t>
  </si>
  <si>
    <t>1729</t>
  </si>
  <si>
    <t>GM1729</t>
  </si>
  <si>
    <t>Gulpen-Wittem</t>
  </si>
  <si>
    <t>0158</t>
  </si>
  <si>
    <t>GM0158</t>
  </si>
  <si>
    <t>Haaksbergen</t>
  </si>
  <si>
    <t>0392</t>
  </si>
  <si>
    <t>GM0392</t>
  </si>
  <si>
    <t>Haarlem</t>
  </si>
  <si>
    <t>0394</t>
  </si>
  <si>
    <t>GM0394</t>
  </si>
  <si>
    <t>Haarlemmermeer</t>
  </si>
  <si>
    <t>1655</t>
  </si>
  <si>
    <t>GM1655</t>
  </si>
  <si>
    <t>Halderberge</t>
  </si>
  <si>
    <t>0160</t>
  </si>
  <si>
    <t>GM0160</t>
  </si>
  <si>
    <t>Hardenberg</t>
  </si>
  <si>
    <t>0243</t>
  </si>
  <si>
    <t>GM0243</t>
  </si>
  <si>
    <t>Harderwijk</t>
  </si>
  <si>
    <t>0523</t>
  </si>
  <si>
    <t>GM0523</t>
  </si>
  <si>
    <t>Hardinxveld-Giessendam</t>
  </si>
  <si>
    <t>0072</t>
  </si>
  <si>
    <t>GM0072</t>
  </si>
  <si>
    <t>Harlingen</t>
  </si>
  <si>
    <t>0244</t>
  </si>
  <si>
    <t>GM0244</t>
  </si>
  <si>
    <t>Hattem</t>
  </si>
  <si>
    <t>0396</t>
  </si>
  <si>
    <t>GM0396</t>
  </si>
  <si>
    <t>Heemskerk</t>
  </si>
  <si>
    <t>0397</t>
  </si>
  <si>
    <t>GM0397</t>
  </si>
  <si>
    <t>Heemstede</t>
  </si>
  <si>
    <t>0246</t>
  </si>
  <si>
    <t>GM0246</t>
  </si>
  <si>
    <t>Heerde</t>
  </si>
  <si>
    <t>0074</t>
  </si>
  <si>
    <t>GM0074</t>
  </si>
  <si>
    <t>Heerenveen</t>
  </si>
  <si>
    <t>0917</t>
  </si>
  <si>
    <t>GM0917</t>
  </si>
  <si>
    <t>Heerlen</t>
  </si>
  <si>
    <t>1658</t>
  </si>
  <si>
    <t>GM1658</t>
  </si>
  <si>
    <t>Heeze-Leende</t>
  </si>
  <si>
    <t>0399</t>
  </si>
  <si>
    <t>GM0399</t>
  </si>
  <si>
    <t>Heiloo</t>
  </si>
  <si>
    <t>0400</t>
  </si>
  <si>
    <t>GM0400</t>
  </si>
  <si>
    <t>Den Helder</t>
  </si>
  <si>
    <t>0163</t>
  </si>
  <si>
    <t>GM0163</t>
  </si>
  <si>
    <t>Hellendoorn</t>
  </si>
  <si>
    <t>0794</t>
  </si>
  <si>
    <t>GM0794</t>
  </si>
  <si>
    <t>Helmond</t>
  </si>
  <si>
    <t>0531</t>
  </si>
  <si>
    <t>GM0531</t>
  </si>
  <si>
    <t>Hendrik-Ido-Ambacht</t>
  </si>
  <si>
    <t>0164</t>
  </si>
  <si>
    <t>GM0164</t>
  </si>
  <si>
    <t>Hengelo</t>
  </si>
  <si>
    <t>0796</t>
  </si>
  <si>
    <t>GM0796</t>
  </si>
  <si>
    <t>0252</t>
  </si>
  <si>
    <t>GM0252</t>
  </si>
  <si>
    <t>Heumen</t>
  </si>
  <si>
    <t>0797</t>
  </si>
  <si>
    <t>GM0797</t>
  </si>
  <si>
    <t>Heusden</t>
  </si>
  <si>
    <t>0534</t>
  </si>
  <si>
    <t>GM0534</t>
  </si>
  <si>
    <t>Hillegom</t>
  </si>
  <si>
    <t>0798</t>
  </si>
  <si>
    <t>GM0798</t>
  </si>
  <si>
    <t>Hilvarenbeek</t>
  </si>
  <si>
    <t>0402</t>
  </si>
  <si>
    <t>GM0402</t>
  </si>
  <si>
    <t>Hilversum</t>
  </si>
  <si>
    <t>1963</t>
  </si>
  <si>
    <t>GM1963</t>
  </si>
  <si>
    <t>Hoeksche Waard</t>
  </si>
  <si>
    <t>1735</t>
  </si>
  <si>
    <t>GM1735</t>
  </si>
  <si>
    <t>Hof van Twente</t>
  </si>
  <si>
    <t>1966</t>
  </si>
  <si>
    <t>GM1966</t>
  </si>
  <si>
    <t>Het Hogeland</t>
  </si>
  <si>
    <t>1911</t>
  </si>
  <si>
    <t>GM1911</t>
  </si>
  <si>
    <t>Hollands Kroon</t>
  </si>
  <si>
    <t>0118</t>
  </si>
  <si>
    <t>GM0118</t>
  </si>
  <si>
    <t>Hoogeveen</t>
  </si>
  <si>
    <t>0405</t>
  </si>
  <si>
    <t>GM0405</t>
  </si>
  <si>
    <t>Hoorn</t>
  </si>
  <si>
    <t>1507</t>
  </si>
  <si>
    <t>GM1507</t>
  </si>
  <si>
    <t>Horst aan de Maas</t>
  </si>
  <si>
    <t>0321</t>
  </si>
  <si>
    <t>GM0321</t>
  </si>
  <si>
    <t>Houten</t>
  </si>
  <si>
    <t>0406</t>
  </si>
  <si>
    <t>GM0406</t>
  </si>
  <si>
    <t>Huizen</t>
  </si>
  <si>
    <t>0677</t>
  </si>
  <si>
    <t>GM0677</t>
  </si>
  <si>
    <t>Hulst</t>
  </si>
  <si>
    <t>0353</t>
  </si>
  <si>
    <t>GM0353</t>
  </si>
  <si>
    <t>IJsselstein</t>
  </si>
  <si>
    <t>1884</t>
  </si>
  <si>
    <t>GM1884</t>
  </si>
  <si>
    <t>Kaag en Braassem</t>
  </si>
  <si>
    <t>0166</t>
  </si>
  <si>
    <t>GM0166</t>
  </si>
  <si>
    <t>Kampen</t>
  </si>
  <si>
    <t>0678</t>
  </si>
  <si>
    <t>GM0678</t>
  </si>
  <si>
    <t>Kapelle</t>
  </si>
  <si>
    <t>0537</t>
  </si>
  <si>
    <t>GM0537</t>
  </si>
  <si>
    <t>Katwijk</t>
  </si>
  <si>
    <t>0928</t>
  </si>
  <si>
    <t>GM0928</t>
  </si>
  <si>
    <t>Kerkrade</t>
  </si>
  <si>
    <t>1598</t>
  </si>
  <si>
    <t>GM1598</t>
  </si>
  <si>
    <t>Koggenland</t>
  </si>
  <si>
    <t>0542</t>
  </si>
  <si>
    <t>GM0542</t>
  </si>
  <si>
    <t>Krimpen aan den IJssel</t>
  </si>
  <si>
    <t>1931</t>
  </si>
  <si>
    <t>GM1931</t>
  </si>
  <si>
    <t>Krimpenerwaard</t>
  </si>
  <si>
    <t>1659</t>
  </si>
  <si>
    <t>GM1659</t>
  </si>
  <si>
    <t>Laarbeek</t>
  </si>
  <si>
    <t>1982</t>
  </si>
  <si>
    <t>GM1982</t>
  </si>
  <si>
    <t>Land van Cuijk</t>
  </si>
  <si>
    <t>0882</t>
  </si>
  <si>
    <t>GM0882</t>
  </si>
  <si>
    <t>Landgraaf</t>
  </si>
  <si>
    <t>0415</t>
  </si>
  <si>
    <t>GM0415</t>
  </si>
  <si>
    <t>Landsmeer</t>
  </si>
  <si>
    <t>1621</t>
  </si>
  <si>
    <t>GM1621</t>
  </si>
  <si>
    <t>Lansingerland</t>
  </si>
  <si>
    <t>0417</t>
  </si>
  <si>
    <t>GM0417</t>
  </si>
  <si>
    <t>Laren</t>
  </si>
  <si>
    <t>0080</t>
  </si>
  <si>
    <t>GM0080</t>
  </si>
  <si>
    <t>Leeuwarden</t>
  </si>
  <si>
    <t>0546</t>
  </si>
  <si>
    <t>GM0546</t>
  </si>
  <si>
    <t>Leiden</t>
  </si>
  <si>
    <t>0547</t>
  </si>
  <si>
    <t>GM0547</t>
  </si>
  <si>
    <t>Leiderdorp</t>
  </si>
  <si>
    <t>1916</t>
  </si>
  <si>
    <t>GM1916</t>
  </si>
  <si>
    <t>Leidschendam-Voorburg</t>
  </si>
  <si>
    <t>0995</t>
  </si>
  <si>
    <t>GM0995</t>
  </si>
  <si>
    <t>Lelystad</t>
  </si>
  <si>
    <t>1640</t>
  </si>
  <si>
    <t>GM1640</t>
  </si>
  <si>
    <t>Leudal</t>
  </si>
  <si>
    <t>0327</t>
  </si>
  <si>
    <t>GM0327</t>
  </si>
  <si>
    <t>Leusden</t>
  </si>
  <si>
    <t>1705</t>
  </si>
  <si>
    <t>GM1705</t>
  </si>
  <si>
    <t>Lingewaard</t>
  </si>
  <si>
    <t>0553</t>
  </si>
  <si>
    <t>GM0553</t>
  </si>
  <si>
    <t>Lisse</t>
  </si>
  <si>
    <t>0262</t>
  </si>
  <si>
    <t>GM0262</t>
  </si>
  <si>
    <t>Lochem</t>
  </si>
  <si>
    <t>0809</t>
  </si>
  <si>
    <t>GM0809</t>
  </si>
  <si>
    <t>Loon op Zand</t>
  </si>
  <si>
    <t>0331</t>
  </si>
  <si>
    <t>GM0331</t>
  </si>
  <si>
    <t>Lopik</t>
  </si>
  <si>
    <t>0168</t>
  </si>
  <si>
    <t>GM0168</t>
  </si>
  <si>
    <t>Losser</t>
  </si>
  <si>
    <t>0263</t>
  </si>
  <si>
    <t>GM0263</t>
  </si>
  <si>
    <t>Maasdriel</t>
  </si>
  <si>
    <t>1641</t>
  </si>
  <si>
    <t>GM1641</t>
  </si>
  <si>
    <t>Maasgouw</t>
  </si>
  <si>
    <t>1991</t>
  </si>
  <si>
    <t>GM1991</t>
  </si>
  <si>
    <t>Maashorst</t>
  </si>
  <si>
    <t>0556</t>
  </si>
  <si>
    <t>GM0556</t>
  </si>
  <si>
    <t>Maassluis</t>
  </si>
  <si>
    <t>0935</t>
  </si>
  <si>
    <t>GM0935</t>
  </si>
  <si>
    <t>Maastricht</t>
  </si>
  <si>
    <t>0420</t>
  </si>
  <si>
    <t>GM0420</t>
  </si>
  <si>
    <t>Medemblik</t>
  </si>
  <si>
    <t>0938</t>
  </si>
  <si>
    <t>GM0938</t>
  </si>
  <si>
    <t>Meerssen</t>
  </si>
  <si>
    <t>1948</t>
  </si>
  <si>
    <t>GM1948</t>
  </si>
  <si>
    <t>Meierijstad</t>
  </si>
  <si>
    <t>0119</t>
  </si>
  <si>
    <t>GM0119</t>
  </si>
  <si>
    <t>Meppel</t>
  </si>
  <si>
    <t>0687</t>
  </si>
  <si>
    <t>GM0687</t>
  </si>
  <si>
    <t>Middelburg</t>
  </si>
  <si>
    <t>1842</t>
  </si>
  <si>
    <t>GM1842</t>
  </si>
  <si>
    <t>Midden-Delfland</t>
  </si>
  <si>
    <t>1731</t>
  </si>
  <si>
    <t>GM1731</t>
  </si>
  <si>
    <t>Midden-Drenthe</t>
  </si>
  <si>
    <t>1952</t>
  </si>
  <si>
    <t>GM1952</t>
  </si>
  <si>
    <t>Midden-Groningen</t>
  </si>
  <si>
    <t>1709</t>
  </si>
  <si>
    <t>GM1709</t>
  </si>
  <si>
    <t>Moerdijk</t>
  </si>
  <si>
    <t>1978</t>
  </si>
  <si>
    <t>GM1978</t>
  </si>
  <si>
    <t>Molenlanden</t>
  </si>
  <si>
    <t>1955</t>
  </si>
  <si>
    <t>GM1955</t>
  </si>
  <si>
    <t>Montferland</t>
  </si>
  <si>
    <t>0335</t>
  </si>
  <si>
    <t>GM0335</t>
  </si>
  <si>
    <t>Montfoort</t>
  </si>
  <si>
    <t>0944</t>
  </si>
  <si>
    <t>GM0944</t>
  </si>
  <si>
    <t>Mook en Middelaar</t>
  </si>
  <si>
    <t>1740</t>
  </si>
  <si>
    <t>GM1740</t>
  </si>
  <si>
    <t>Neder-Betuwe</t>
  </si>
  <si>
    <t>0946</t>
  </si>
  <si>
    <t>GM0946</t>
  </si>
  <si>
    <t>Nederweert</t>
  </si>
  <si>
    <t>0356</t>
  </si>
  <si>
    <t>GM0356</t>
  </si>
  <si>
    <t>Nieuwegein</t>
  </si>
  <si>
    <t>0569</t>
  </si>
  <si>
    <t>GM0569</t>
  </si>
  <si>
    <t>Nieuwkoop</t>
  </si>
  <si>
    <t>0267</t>
  </si>
  <si>
    <t>GM0267</t>
  </si>
  <si>
    <t>Nijkerk</t>
  </si>
  <si>
    <t>0268</t>
  </si>
  <si>
    <t>GM0268</t>
  </si>
  <si>
    <t>Nijmegen</t>
  </si>
  <si>
    <t>1930</t>
  </si>
  <si>
    <t>GM1930</t>
  </si>
  <si>
    <t>Nissewaard</t>
  </si>
  <si>
    <t>1970</t>
  </si>
  <si>
    <t>GM1970</t>
  </si>
  <si>
    <t>Noardeast-Fryslân</t>
  </si>
  <si>
    <t>1695</t>
  </si>
  <si>
    <t>GM1695</t>
  </si>
  <si>
    <t>Noord-Beveland</t>
  </si>
  <si>
    <t>1699</t>
  </si>
  <si>
    <t>GM1699</t>
  </si>
  <si>
    <t>Noordenveld</t>
  </si>
  <si>
    <t>0171</t>
  </si>
  <si>
    <t>GM0171</t>
  </si>
  <si>
    <t>Noordoostpolder</t>
  </si>
  <si>
    <t>0575</t>
  </si>
  <si>
    <t>GM0575</t>
  </si>
  <si>
    <t>Noordwijk</t>
  </si>
  <si>
    <t>0820</t>
  </si>
  <si>
    <t>GM0820</t>
  </si>
  <si>
    <t>0302</t>
  </si>
  <si>
    <t>GM0302</t>
  </si>
  <si>
    <t>Nunspeet</t>
  </si>
  <si>
    <t>0579</t>
  </si>
  <si>
    <t>GM0579</t>
  </si>
  <si>
    <t>Oegstgeest</t>
  </si>
  <si>
    <t>0823</t>
  </si>
  <si>
    <t>GM0823</t>
  </si>
  <si>
    <t>Oirschot</t>
  </si>
  <si>
    <t>0824</t>
  </si>
  <si>
    <t>GM0824</t>
  </si>
  <si>
    <t>Oisterwijk</t>
  </si>
  <si>
    <t>1895</t>
  </si>
  <si>
    <t>GM1895</t>
  </si>
  <si>
    <t>Oldambt</t>
  </si>
  <si>
    <t>0269</t>
  </si>
  <si>
    <t>GM0269</t>
  </si>
  <si>
    <t>Oldebroek</t>
  </si>
  <si>
    <t>0173</t>
  </si>
  <si>
    <t>GM0173</t>
  </si>
  <si>
    <t>Oldenzaal</t>
  </si>
  <si>
    <t>1773</t>
  </si>
  <si>
    <t>GM1773</t>
  </si>
  <si>
    <t>Olst-Wijhe</t>
  </si>
  <si>
    <t>0175</t>
  </si>
  <si>
    <t>GM0175</t>
  </si>
  <si>
    <t>Ommen</t>
  </si>
  <si>
    <t>1586</t>
  </si>
  <si>
    <t>GM1586</t>
  </si>
  <si>
    <t>Oost Gelre</t>
  </si>
  <si>
    <t>0826</t>
  </si>
  <si>
    <t>GM0826</t>
  </si>
  <si>
    <t>Oosterhout</t>
  </si>
  <si>
    <t>0085</t>
  </si>
  <si>
    <t>GM0085</t>
  </si>
  <si>
    <t>Ooststellingwerf</t>
  </si>
  <si>
    <t>0431</t>
  </si>
  <si>
    <t>GM0431</t>
  </si>
  <si>
    <t>Oostzaan</t>
  </si>
  <si>
    <t>0432</t>
  </si>
  <si>
    <t>GM0432</t>
  </si>
  <si>
    <t>Opmeer</t>
  </si>
  <si>
    <t>0086</t>
  </si>
  <si>
    <t>GM0086</t>
  </si>
  <si>
    <t>Opsterland</t>
  </si>
  <si>
    <t>0828</t>
  </si>
  <si>
    <t>GM0828</t>
  </si>
  <si>
    <t>Oss</t>
  </si>
  <si>
    <t>1509</t>
  </si>
  <si>
    <t>GM1509</t>
  </si>
  <si>
    <t>Oude IJsselstreek</t>
  </si>
  <si>
    <t>0437</t>
  </si>
  <si>
    <t>GM0437</t>
  </si>
  <si>
    <t>Ouder-Amstel</t>
  </si>
  <si>
    <t>0589</t>
  </si>
  <si>
    <t>GM0589</t>
  </si>
  <si>
    <t>Oudewater</t>
  </si>
  <si>
    <t>1734</t>
  </si>
  <si>
    <t>GM1734</t>
  </si>
  <si>
    <t>Overbetuwe</t>
  </si>
  <si>
    <t>0590</t>
  </si>
  <si>
    <t>GM0590</t>
  </si>
  <si>
    <t>Papendrecht</t>
  </si>
  <si>
    <t>1894</t>
  </si>
  <si>
    <t>GM1894</t>
  </si>
  <si>
    <t>Peel en Maas</t>
  </si>
  <si>
    <t>0765</t>
  </si>
  <si>
    <t>GM0765</t>
  </si>
  <si>
    <t>Pekela</t>
  </si>
  <si>
    <t>1926</t>
  </si>
  <si>
    <t>GM1926</t>
  </si>
  <si>
    <t>Pijnacker-Nootdorp</t>
  </si>
  <si>
    <t>0439</t>
  </si>
  <si>
    <t>GM0439</t>
  </si>
  <si>
    <t>Purmerend</t>
  </si>
  <si>
    <t>0273</t>
  </si>
  <si>
    <t>GM0273</t>
  </si>
  <si>
    <t>Putten</t>
  </si>
  <si>
    <t>0177</t>
  </si>
  <si>
    <t>GM0177</t>
  </si>
  <si>
    <t>Raalte</t>
  </si>
  <si>
    <t>0703</t>
  </si>
  <si>
    <t>GM0703</t>
  </si>
  <si>
    <t>Reimerswaal</t>
  </si>
  <si>
    <t>0274</t>
  </si>
  <si>
    <t>GM0274</t>
  </si>
  <si>
    <t>Renkum</t>
  </si>
  <si>
    <t>0339</t>
  </si>
  <si>
    <t>GM0339</t>
  </si>
  <si>
    <t>Renswoude</t>
  </si>
  <si>
    <t>1667</t>
  </si>
  <si>
    <t>GM1667</t>
  </si>
  <si>
    <t>Reusel-De Mierden</t>
  </si>
  <si>
    <t>0275</t>
  </si>
  <si>
    <t>GM0275</t>
  </si>
  <si>
    <t>Rheden</t>
  </si>
  <si>
    <t>0340</t>
  </si>
  <si>
    <t>GM0340</t>
  </si>
  <si>
    <t>Rhenen</t>
  </si>
  <si>
    <t>0597</t>
  </si>
  <si>
    <t>GM0597</t>
  </si>
  <si>
    <t>Ridderkerk</t>
  </si>
  <si>
    <t>1742</t>
  </si>
  <si>
    <t>GM1742</t>
  </si>
  <si>
    <t>Rijssen-Holten</t>
  </si>
  <si>
    <t>0603</t>
  </si>
  <si>
    <t>GM0603</t>
  </si>
  <si>
    <t>Rijswijk</t>
  </si>
  <si>
    <t>1669</t>
  </si>
  <si>
    <t>GM1669</t>
  </si>
  <si>
    <t>Roerdalen</t>
  </si>
  <si>
    <t>0957</t>
  </si>
  <si>
    <t>GM0957</t>
  </si>
  <si>
    <t>Roermond</t>
  </si>
  <si>
    <t>0736</t>
  </si>
  <si>
    <t>GM0736</t>
  </si>
  <si>
    <t>De Ronde Venen</t>
  </si>
  <si>
    <t>1674</t>
  </si>
  <si>
    <t>GM1674</t>
  </si>
  <si>
    <t>Roosendaal</t>
  </si>
  <si>
    <t>0599</t>
  </si>
  <si>
    <t>GM0599</t>
  </si>
  <si>
    <t>Rotterdam</t>
  </si>
  <si>
    <t>0277</t>
  </si>
  <si>
    <t>GM0277</t>
  </si>
  <si>
    <t>Rozendaal</t>
  </si>
  <si>
    <t>0840</t>
  </si>
  <si>
    <t>GM0840</t>
  </si>
  <si>
    <t>Rucphen</t>
  </si>
  <si>
    <t>0441</t>
  </si>
  <si>
    <t>GM0441</t>
  </si>
  <si>
    <t>Schagen</t>
  </si>
  <si>
    <t>0279</t>
  </si>
  <si>
    <t>GM0279</t>
  </si>
  <si>
    <t>Scherpenzeel</t>
  </si>
  <si>
    <t>0606</t>
  </si>
  <si>
    <t>GM0606</t>
  </si>
  <si>
    <t>Schiedam</t>
  </si>
  <si>
    <t>0088</t>
  </si>
  <si>
    <t>GM0088</t>
  </si>
  <si>
    <t>Schiermonnikoog</t>
  </si>
  <si>
    <t>1676</t>
  </si>
  <si>
    <t>GM1676</t>
  </si>
  <si>
    <t>Schouwen-Duiveland</t>
  </si>
  <si>
    <t>0965</t>
  </si>
  <si>
    <t>GM0965</t>
  </si>
  <si>
    <t>Simpelveld</t>
  </si>
  <si>
    <t>0845</t>
  </si>
  <si>
    <t>GM0845</t>
  </si>
  <si>
    <t>Sint-Michielsgestel</t>
  </si>
  <si>
    <t>1883</t>
  </si>
  <si>
    <t>GM1883</t>
  </si>
  <si>
    <t>Sittard-Geleen</t>
  </si>
  <si>
    <t>0610</t>
  </si>
  <si>
    <t>GM0610</t>
  </si>
  <si>
    <t>Sliedrecht</t>
  </si>
  <si>
    <t>1714</t>
  </si>
  <si>
    <t>GM1714</t>
  </si>
  <si>
    <t>Sluis</t>
  </si>
  <si>
    <t>0090</t>
  </si>
  <si>
    <t>GM0090</t>
  </si>
  <si>
    <t>Smallingerland</t>
  </si>
  <si>
    <t>0342</t>
  </si>
  <si>
    <t>GM0342</t>
  </si>
  <si>
    <t>Soest</t>
  </si>
  <si>
    <t>0847</t>
  </si>
  <si>
    <t>GM0847</t>
  </si>
  <si>
    <t>Someren</t>
  </si>
  <si>
    <t>0848</t>
  </si>
  <si>
    <t>GM0848</t>
  </si>
  <si>
    <t>Son en Breugel</t>
  </si>
  <si>
    <t>0037</t>
  </si>
  <si>
    <t>GM0037</t>
  </si>
  <si>
    <t>Stadskanaal</t>
  </si>
  <si>
    <t>0180</t>
  </si>
  <si>
    <t>GM0180</t>
  </si>
  <si>
    <t>Staphorst</t>
  </si>
  <si>
    <t>0532</t>
  </si>
  <si>
    <t>GM0532</t>
  </si>
  <si>
    <t>Stede Broec</t>
  </si>
  <si>
    <t>0851</t>
  </si>
  <si>
    <t>GM0851</t>
  </si>
  <si>
    <t>Steenbergen</t>
  </si>
  <si>
    <t>1708</t>
  </si>
  <si>
    <t>GM1708</t>
  </si>
  <si>
    <t>Steenwijkerland</t>
  </si>
  <si>
    <t>0971</t>
  </si>
  <si>
    <t>GM0971</t>
  </si>
  <si>
    <t>Stein</t>
  </si>
  <si>
    <t>1904</t>
  </si>
  <si>
    <t>GM1904</t>
  </si>
  <si>
    <t>Stichtse Vecht</t>
  </si>
  <si>
    <t>1900</t>
  </si>
  <si>
    <t>GM1900</t>
  </si>
  <si>
    <t>Súdwest-Fryslân</t>
  </si>
  <si>
    <t>0715</t>
  </si>
  <si>
    <t>GM0715</t>
  </si>
  <si>
    <t>Terneuzen</t>
  </si>
  <si>
    <t>0093</t>
  </si>
  <si>
    <t>GM0093</t>
  </si>
  <si>
    <t>Terschelling</t>
  </si>
  <si>
    <t>0448</t>
  </si>
  <si>
    <t>GM0448</t>
  </si>
  <si>
    <t>Texel</t>
  </si>
  <si>
    <t>1525</t>
  </si>
  <si>
    <t>GM1525</t>
  </si>
  <si>
    <t>Teylingen</t>
  </si>
  <si>
    <t>0716</t>
  </si>
  <si>
    <t>GM0716</t>
  </si>
  <si>
    <t>Tholen</t>
  </si>
  <si>
    <t>0281</t>
  </si>
  <si>
    <t>GM0281</t>
  </si>
  <si>
    <t>Tiel</t>
  </si>
  <si>
    <t>0855</t>
  </si>
  <si>
    <t>GM0855</t>
  </si>
  <si>
    <t>Tilburg</t>
  </si>
  <si>
    <t>0183</t>
  </si>
  <si>
    <t>GM0183</t>
  </si>
  <si>
    <t>Tubbergen</t>
  </si>
  <si>
    <t>1700</t>
  </si>
  <si>
    <t>GM1700</t>
  </si>
  <si>
    <t>Twenterand</t>
  </si>
  <si>
    <t>1730</t>
  </si>
  <si>
    <t>GM1730</t>
  </si>
  <si>
    <t>Tynaarlo</t>
  </si>
  <si>
    <t>0737</t>
  </si>
  <si>
    <t>GM0737</t>
  </si>
  <si>
    <t>Tytsjerksteradiel</t>
  </si>
  <si>
    <t>0450</t>
  </si>
  <si>
    <t>GM0450</t>
  </si>
  <si>
    <t>Uitgeest</t>
  </si>
  <si>
    <t>0451</t>
  </si>
  <si>
    <t>GM0451</t>
  </si>
  <si>
    <t>Uithoorn</t>
  </si>
  <si>
    <t>0184</t>
  </si>
  <si>
    <t>GM0184</t>
  </si>
  <si>
    <t>Urk</t>
  </si>
  <si>
    <t>0344</t>
  </si>
  <si>
    <t>GM0344</t>
  </si>
  <si>
    <t>1581</t>
  </si>
  <si>
    <t>GM1581</t>
  </si>
  <si>
    <t>Utrechtse Heuvelrug</t>
  </si>
  <si>
    <t>0981</t>
  </si>
  <si>
    <t>GM0981</t>
  </si>
  <si>
    <t>Vaals</t>
  </si>
  <si>
    <t>0994</t>
  </si>
  <si>
    <t>GM0994</t>
  </si>
  <si>
    <t>Valkenburg aan de Geul</t>
  </si>
  <si>
    <t>0858</t>
  </si>
  <si>
    <t>GM0858</t>
  </si>
  <si>
    <t>Valkenswaard</t>
  </si>
  <si>
    <t>0047</t>
  </si>
  <si>
    <t>GM0047</t>
  </si>
  <si>
    <t>Veendam</t>
  </si>
  <si>
    <t>0345</t>
  </si>
  <si>
    <t>GM0345</t>
  </si>
  <si>
    <t>Veenendaal</t>
  </si>
  <si>
    <t>0717</t>
  </si>
  <si>
    <t>GM0717</t>
  </si>
  <si>
    <t>Veere</t>
  </si>
  <si>
    <t>0861</t>
  </si>
  <si>
    <t>GM0861</t>
  </si>
  <si>
    <t>Veldhoven</t>
  </si>
  <si>
    <t>0453</t>
  </si>
  <si>
    <t>GM0453</t>
  </si>
  <si>
    <t>Velsen</t>
  </si>
  <si>
    <t>0983</t>
  </si>
  <si>
    <t>GM0983</t>
  </si>
  <si>
    <t>Venlo</t>
  </si>
  <si>
    <t>0984</t>
  </si>
  <si>
    <t>GM0984</t>
  </si>
  <si>
    <t>Venray</t>
  </si>
  <si>
    <t>1961</t>
  </si>
  <si>
    <t>GM1961</t>
  </si>
  <si>
    <t>Vijfheerenlanden</t>
  </si>
  <si>
    <t>0622</t>
  </si>
  <si>
    <t>GM0622</t>
  </si>
  <si>
    <t>Vlaardingen</t>
  </si>
  <si>
    <t>0096</t>
  </si>
  <si>
    <t>GM0096</t>
  </si>
  <si>
    <t>Vlieland</t>
  </si>
  <si>
    <t>0718</t>
  </si>
  <si>
    <t>GM0718</t>
  </si>
  <si>
    <t>Vlissingen</t>
  </si>
  <si>
    <t>0986</t>
  </si>
  <si>
    <t>GM0986</t>
  </si>
  <si>
    <t>Voerendaal</t>
  </si>
  <si>
    <t>1992</t>
  </si>
  <si>
    <t>GM1992</t>
  </si>
  <si>
    <t>Voorne aan Zee</t>
  </si>
  <si>
    <t>0626</t>
  </si>
  <si>
    <t>GM0626</t>
  </si>
  <si>
    <t>Voorschoten</t>
  </si>
  <si>
    <t>0285</t>
  </si>
  <si>
    <t>GM0285</t>
  </si>
  <si>
    <t>Voorst</t>
  </si>
  <si>
    <t>0865</t>
  </si>
  <si>
    <t>GM0865</t>
  </si>
  <si>
    <t>Vught</t>
  </si>
  <si>
    <t>1949</t>
  </si>
  <si>
    <t>GM1949</t>
  </si>
  <si>
    <t>Waadhoeke</t>
  </si>
  <si>
    <t>0866</t>
  </si>
  <si>
    <t>GM0866</t>
  </si>
  <si>
    <t>Waalre</t>
  </si>
  <si>
    <t>0867</t>
  </si>
  <si>
    <t>GM0867</t>
  </si>
  <si>
    <t>Waalwijk</t>
  </si>
  <si>
    <t>0627</t>
  </si>
  <si>
    <t>GM0627</t>
  </si>
  <si>
    <t>Waddinxveen</t>
  </si>
  <si>
    <t>0289</t>
  </si>
  <si>
    <t>GM0289</t>
  </si>
  <si>
    <t>Wageningen</t>
  </si>
  <si>
    <t>0629</t>
  </si>
  <si>
    <t>GM0629</t>
  </si>
  <si>
    <t>Wassenaar</t>
  </si>
  <si>
    <t>0852</t>
  </si>
  <si>
    <t>GM0852</t>
  </si>
  <si>
    <t>Waterland</t>
  </si>
  <si>
    <t>0988</t>
  </si>
  <si>
    <t>GM0988</t>
  </si>
  <si>
    <t>Weert</t>
  </si>
  <si>
    <t>1960</t>
  </si>
  <si>
    <t>GM1960</t>
  </si>
  <si>
    <t>West Betuwe</t>
  </si>
  <si>
    <t>0668</t>
  </si>
  <si>
    <t>GM0668</t>
  </si>
  <si>
    <t>West Maas en Waal</t>
  </si>
  <si>
    <t>1969</t>
  </si>
  <si>
    <t>GM1969</t>
  </si>
  <si>
    <t>Westerkwartier</t>
  </si>
  <si>
    <t>1701</t>
  </si>
  <si>
    <t>GM1701</t>
  </si>
  <si>
    <t>Westerveld</t>
  </si>
  <si>
    <t>0293</t>
  </si>
  <si>
    <t>GM0293</t>
  </si>
  <si>
    <t>Westervoort</t>
  </si>
  <si>
    <t>1950</t>
  </si>
  <si>
    <t>GM1950</t>
  </si>
  <si>
    <t>Westerwolde</t>
  </si>
  <si>
    <t>1783</t>
  </si>
  <si>
    <t>GM1783</t>
  </si>
  <si>
    <t>Westland</t>
  </si>
  <si>
    <t>0098</t>
  </si>
  <si>
    <t>GM0098</t>
  </si>
  <si>
    <t>Weststellingwerf</t>
  </si>
  <si>
    <t>0189</t>
  </si>
  <si>
    <t>GM0189</t>
  </si>
  <si>
    <t>Wierden</t>
  </si>
  <si>
    <t>0296</t>
  </si>
  <si>
    <t>GM0296</t>
  </si>
  <si>
    <t>Wijchen</t>
  </si>
  <si>
    <t>1696</t>
  </si>
  <si>
    <t>GM1696</t>
  </si>
  <si>
    <t>Wijdemeren</t>
  </si>
  <si>
    <t>0352</t>
  </si>
  <si>
    <t>GM0352</t>
  </si>
  <si>
    <t>Wijk bij Duurstede</t>
  </si>
  <si>
    <t>0294</t>
  </si>
  <si>
    <t>GM0294</t>
  </si>
  <si>
    <t>Winterswijk</t>
  </si>
  <si>
    <t>0873</t>
  </si>
  <si>
    <t>GM0873</t>
  </si>
  <si>
    <t>Woensdrecht</t>
  </si>
  <si>
    <t>0632</t>
  </si>
  <si>
    <t>GM0632</t>
  </si>
  <si>
    <t>Woerden</t>
  </si>
  <si>
    <t>1690</t>
  </si>
  <si>
    <t>GM1690</t>
  </si>
  <si>
    <t>De Wolden</t>
  </si>
  <si>
    <t>0880</t>
  </si>
  <si>
    <t>GM0880</t>
  </si>
  <si>
    <t>Wormerland</t>
  </si>
  <si>
    <t>0351</t>
  </si>
  <si>
    <t>GM0351</t>
  </si>
  <si>
    <t>Woudenberg</t>
  </si>
  <si>
    <t>0479</t>
  </si>
  <si>
    <t>GM0479</t>
  </si>
  <si>
    <t>Zaanstad</t>
  </si>
  <si>
    <t>0297</t>
  </si>
  <si>
    <t>GM0297</t>
  </si>
  <si>
    <t>Zaltbommel</t>
  </si>
  <si>
    <t>0473</t>
  </si>
  <si>
    <t>GM0473</t>
  </si>
  <si>
    <t>Zandvoort</t>
  </si>
  <si>
    <t>0050</t>
  </si>
  <si>
    <t>GM0050</t>
  </si>
  <si>
    <t>Zeewolde</t>
  </si>
  <si>
    <t>0355</t>
  </si>
  <si>
    <t>GM0355</t>
  </si>
  <si>
    <t>Zeist</t>
  </si>
  <si>
    <t>0299</t>
  </si>
  <si>
    <t>GM0299</t>
  </si>
  <si>
    <t>Zevenaar</t>
  </si>
  <si>
    <t>0637</t>
  </si>
  <si>
    <t>GM0637</t>
  </si>
  <si>
    <t>Zoetermeer</t>
  </si>
  <si>
    <t>0638</t>
  </si>
  <si>
    <t>GM0638</t>
  </si>
  <si>
    <t>Zoeterwoude</t>
  </si>
  <si>
    <t>1892</t>
  </si>
  <si>
    <t>GM1892</t>
  </si>
  <si>
    <t>Zuidplas</t>
  </si>
  <si>
    <t>0879</t>
  </si>
  <si>
    <t>GM0879</t>
  </si>
  <si>
    <t>Zundert</t>
  </si>
  <si>
    <t>0301</t>
  </si>
  <si>
    <t>GM0301</t>
  </si>
  <si>
    <t>Zutphen</t>
  </si>
  <si>
    <t>1896</t>
  </si>
  <si>
    <t>GM1896</t>
  </si>
  <si>
    <t>Zwartewaterland</t>
  </si>
  <si>
    <t>0642</t>
  </si>
  <si>
    <t>GM0642</t>
  </si>
  <si>
    <t>Zwijndrecht</t>
  </si>
  <si>
    <t>0193</t>
  </si>
  <si>
    <t>GM0193</t>
  </si>
  <si>
    <t>Zwolle</t>
  </si>
  <si>
    <t>Nederland</t>
  </si>
  <si>
    <t>Aardgasverbruik Gebouwde omgeving_2019</t>
  </si>
  <si>
    <t>Totaal bekend aardgasverbruik Industrie, Energie, Afval en Water (excl. Energievoorziening, SBI D)_2019</t>
  </si>
  <si>
    <t>Aardgas geleverd aan Landbouw, bosbouw en visserij (SBI A)_2019</t>
  </si>
  <si>
    <t>Aardgasverbruik Gebouwde omgeving_2020</t>
  </si>
  <si>
    <t>Totaal bekend aardgasverbruik Industrie, Energie, Afval en Water (excl. Energievoorziening, SBI D)_2020</t>
  </si>
  <si>
    <t>Aardgas geleverd aan Landbouw, bosbouw en visserij (SBI A)_2020</t>
  </si>
  <si>
    <t>Aardgasverbruik Gebouwde omgeving_2021</t>
  </si>
  <si>
    <t>Totaal bekend aardgasverbruik Industrie, Energie, Afval en Water (excl. Energievoorziening, SBI D)_2021</t>
  </si>
  <si>
    <t>Aardgas geleverd aan Landbouw, bosbouw en visserij (SBI A)_2021</t>
  </si>
  <si>
    <t>Aardgasverbruik Gebouwde omgeving_2022</t>
  </si>
  <si>
    <t>Totaal bekend aardgasverbruik Industrie, Energie, Afval en Water (excl. Energievoorziening, SBI D)_2022</t>
  </si>
  <si>
    <t>Aardgas geleverd aan Landbouw, bosbouw en visserij (SBI A)_2022</t>
  </si>
  <si>
    <t>Aardgasverbruik Gebouwde omgeving_2023</t>
  </si>
  <si>
    <t>Totaal bekend aardgasverbruik Industrie, Energie, Afval en Water (excl. Energievoorziening, SBI D)_2023</t>
  </si>
  <si>
    <t>Aardgas geleverd aan Landbouw, bosbouw en visserij (SBI A)_2023</t>
  </si>
  <si>
    <t>Den Haag</t>
  </si>
  <si>
    <t>Nuenen</t>
  </si>
  <si>
    <t>Onbekend</t>
  </si>
  <si>
    <t>s-Hertogenbosch</t>
  </si>
  <si>
    <t>jaartal</t>
  </si>
  <si>
    <t>value</t>
  </si>
  <si>
    <t>optelling</t>
  </si>
  <si>
    <t>Totaal aardgasverbruik</t>
  </si>
  <si>
    <t>share_gas_demand</t>
  </si>
  <si>
    <t>uitkomst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</si>
</sst>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none">
        <fgColor rgb="FFDCDCDC"/>
      </patternFill>
    </fill>
    <fill>
      <patternFill patternType="solid">
        <fgColor rgb="FFDCDCDC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2" borderId="0"/>
  </cellStyleXfs>
  <cellXfs count="14">
    <xf numFmtId="0" fontId="0" fillId="0" borderId="0" xfId="0"/>
    <xf numFmtId="0" fontId="1" fillId="3" borderId="1" xfId="0" applyFont="1" applyFill="1" applyBorder="1"/>
    <xf numFmtId="0" fontId="0" fillId="0" borderId="2" xfId="0" applyBorder="1"/>
    <xf numFmtId="0" fontId="3" fillId="5" borderId="3" xfId="1" applyFont="1" applyFill="1" applyBorder="1" applyAlignment="1">
      <alignment horizontal="center"/>
    </xf>
    <xf numFmtId="0" fontId="3" fillId="2" borderId="4" xfId="1" applyFont="1" applyBorder="1" applyAlignment="1">
      <alignment wrapText="1"/>
    </xf>
    <xf numFmtId="0" fontId="1" fillId="3" borderId="0" xfId="0" applyFont="1" applyFill="1"/>
    <xf numFmtId="2" fontId="0" fillId="0" borderId="0" xfId="0" applyNumberFormat="1"/>
    <xf numFmtId="0" fontId="5" fillId="6" borderId="1" xfId="0" applyFont="1" applyFill="1" applyBorder="1"/>
    <xf numFmtId="0" fontId="6" fillId="6" borderId="0" xfId="0" applyFont="1" applyFill="1"/>
    <xf numFmtId="0" fontId="7" fillId="4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8" fillId="10" borderId="0" xfId="0" applyFont="1" applyFill="1"/>
  </cellXfs>
  <cellStyles count="2">
    <cellStyle name="Normal" xfId="0" builtinId="0"/>
    <cellStyle name="Standaard_Gemeenten_alfabetisch_2022" xfId="1" xr:uid="{14CF0DA3-7DDD-2343-ACE1-42DAEF1F23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9913-8B21-AD45-BECB-019D43C26A00}">
  <sheetPr>
    <tabColor theme="9" tint="0.39997558519241921"/>
  </sheetPr>
  <dimension ref="A1:B343"/>
  <sheetViews>
    <sheetView tabSelected="1" workbookViewId="0">
      <selection activeCell="B1" sqref="B1:B343"/>
    </sheetView>
  </sheetViews>
  <sheetFormatPr baseColWidth="10" defaultRowHeight="15" x14ac:dyDescent="0.2"/>
  <cols>
    <col min="1" max="1" width="15.1640625" bestFit="1" customWidth="1"/>
    <col min="2" max="2" width="20.83203125" customWidth="1"/>
  </cols>
  <sheetData>
    <row r="1" spans="1:2" x14ac:dyDescent="0.2">
      <c r="A1" s="3" t="s">
        <v>17</v>
      </c>
      <c r="B1" s="13" t="s">
        <v>1066</v>
      </c>
    </row>
    <row r="2" spans="1:2" ht="16" x14ac:dyDescent="0.2">
      <c r="A2" s="4" t="s">
        <v>333</v>
      </c>
      <c r="B2">
        <f>INDEX(Calculation!$Z:$Z,MATCH($A2,Calculation!$B:$B,0))</f>
        <v>1.1806351897093285E-2</v>
      </c>
    </row>
    <row r="3" spans="1:2" ht="16" x14ac:dyDescent="0.2">
      <c r="A3" s="4" t="s">
        <v>44</v>
      </c>
      <c r="B3">
        <f>INDEX(Calculation!$Z:$Z,MATCH($A3,Calculation!$B:$B,0))</f>
        <v>2.8103239101892937E-3</v>
      </c>
    </row>
    <row r="4" spans="1:2" ht="16" x14ac:dyDescent="0.2">
      <c r="A4" s="4" t="s">
        <v>795</v>
      </c>
      <c r="B4">
        <f>INDEX(Calculation!$Z:$Z,MATCH($A4,Calculation!$B:$B,0))</f>
        <v>1.2248425321168004E-3</v>
      </c>
    </row>
    <row r="5" spans="1:2" ht="16" x14ac:dyDescent="0.2">
      <c r="A5" s="4" t="s">
        <v>875</v>
      </c>
      <c r="B5">
        <f>INDEX(Calculation!$Z:$Z,MATCH($A5,Calculation!$B:$B,0))</f>
        <v>1.0104535407422181E-3</v>
      </c>
    </row>
    <row r="6" spans="1:2" ht="16" x14ac:dyDescent="0.2">
      <c r="A6" s="4" t="s">
        <v>1010</v>
      </c>
      <c r="B6">
        <f>INDEX(Calculation!$Z:$Z,MATCH($A6,Calculation!$B:$B,0))</f>
        <v>1.1317744428379118E-3</v>
      </c>
    </row>
    <row r="7" spans="1:2" ht="16" x14ac:dyDescent="0.2">
      <c r="A7" s="4" t="s">
        <v>29</v>
      </c>
      <c r="B7">
        <f>INDEX(Calculation!$Z:$Z,MATCH($A7,Calculation!$B:$B,0))</f>
        <v>1.3195725515613833E-3</v>
      </c>
    </row>
    <row r="8" spans="1:2" ht="16" x14ac:dyDescent="0.2">
      <c r="A8" s="4" t="s">
        <v>56</v>
      </c>
      <c r="B8">
        <f>INDEX(Calculation!$Z:$Z,MATCH($A8,Calculation!$B:$B,0))</f>
        <v>3.1576673148194314E-4</v>
      </c>
    </row>
    <row r="9" spans="1:2" ht="16" x14ac:dyDescent="0.2">
      <c r="A9" s="4" t="s">
        <v>359</v>
      </c>
      <c r="B9">
        <f>INDEX(Calculation!$Z:$Z,MATCH($A9,Calculation!$B:$B,0))</f>
        <v>5.0190291003972016E-4</v>
      </c>
    </row>
    <row r="10" spans="1:2" ht="16" x14ac:dyDescent="0.2">
      <c r="A10" s="4" t="s">
        <v>374</v>
      </c>
      <c r="B10">
        <f>INDEX(Calculation!$Z:$Z,MATCH($A10,Calculation!$B:$B,0))</f>
        <v>3.1377241528310982E-3</v>
      </c>
    </row>
    <row r="11" spans="1:2" ht="16" x14ac:dyDescent="0.2">
      <c r="A11" s="4" t="s">
        <v>493</v>
      </c>
      <c r="B11">
        <f>INDEX(Calculation!$Z:$Z,MATCH($A11,Calculation!$B:$B,0))</f>
        <v>6.3735021854381679E-3</v>
      </c>
    </row>
    <row r="12" spans="1:2" ht="16" x14ac:dyDescent="0.2">
      <c r="A12" s="4" t="s">
        <v>657</v>
      </c>
      <c r="B12">
        <f>INDEX(Calculation!$Z:$Z,MATCH($A12,Calculation!$B:$B,0))</f>
        <v>1.0237489820677736E-3</v>
      </c>
    </row>
    <row r="13" spans="1:2" ht="16" x14ac:dyDescent="0.2">
      <c r="A13" s="4" t="s">
        <v>666</v>
      </c>
      <c r="B13">
        <f>INDEX(Calculation!$Z:$Z,MATCH($A13,Calculation!$B:$B,0))</f>
        <v>1.0470160043874956E-3</v>
      </c>
    </row>
    <row r="14" spans="1:2" ht="16" x14ac:dyDescent="0.2">
      <c r="A14" s="4" t="s">
        <v>762</v>
      </c>
      <c r="B14">
        <f>INDEX(Calculation!$Z:$Z,MATCH($A14,Calculation!$B:$B,0))</f>
        <v>8.6420368616110755E-5</v>
      </c>
    </row>
    <row r="15" spans="1:2" ht="16" x14ac:dyDescent="0.2">
      <c r="A15" s="4" t="s">
        <v>783</v>
      </c>
      <c r="B15">
        <f>INDEX(Calculation!$Z:$Z,MATCH($A15,Calculation!$B:$B,0))</f>
        <v>2.2319722125276296E-3</v>
      </c>
    </row>
    <row r="16" spans="1:2" ht="16" x14ac:dyDescent="0.2">
      <c r="A16" s="4" t="s">
        <v>822</v>
      </c>
      <c r="B16">
        <f>INDEX(Calculation!$Z:$Z,MATCH($A16,Calculation!$B:$B,0))</f>
        <v>2.9748549965930433E-4</v>
      </c>
    </row>
    <row r="17" spans="1:2" ht="16" x14ac:dyDescent="0.2">
      <c r="A17" s="4" t="s">
        <v>902</v>
      </c>
      <c r="B17">
        <f>INDEX(Calculation!$Z:$Z,MATCH($A17,Calculation!$B:$B,0))</f>
        <v>8.8082298781805193E-5</v>
      </c>
    </row>
    <row r="18" spans="1:2" ht="16" x14ac:dyDescent="0.2">
      <c r="A18" s="4" t="s">
        <v>968</v>
      </c>
      <c r="B18">
        <f>INDEX(Calculation!$Z:$Z,MATCH($A18,Calculation!$B:$B,0))</f>
        <v>9.9383423908527358E-4</v>
      </c>
    </row>
    <row r="19" spans="1:2" ht="16" x14ac:dyDescent="0.2">
      <c r="A19" s="4" t="s">
        <v>75</v>
      </c>
      <c r="B19">
        <f>INDEX(Calculation!$Z:$Z,MATCH($A19,Calculation!$B:$B,0))</f>
        <v>2.4646424357248507E-3</v>
      </c>
    </row>
    <row r="20" spans="1:2" ht="16" x14ac:dyDescent="0.2">
      <c r="A20" s="4" t="s">
        <v>189</v>
      </c>
      <c r="B20">
        <f>INDEX(Calculation!$Z:$Z,MATCH($A20,Calculation!$B:$B,0))</f>
        <v>2.6690598461052667E-3</v>
      </c>
    </row>
    <row r="21" spans="1:2" ht="16" x14ac:dyDescent="0.2">
      <c r="A21" s="4" t="s">
        <v>277</v>
      </c>
      <c r="B21">
        <f>INDEX(Calculation!$Z:$Z,MATCH($A21,Calculation!$B:$B,0))</f>
        <v>9.2419936514267671E-3</v>
      </c>
    </row>
    <row r="22" spans="1:2" ht="16" x14ac:dyDescent="0.2">
      <c r="A22" s="4" t="s">
        <v>430</v>
      </c>
      <c r="B22">
        <f>INDEX(Calculation!$Z:$Z,MATCH($A22,Calculation!$B:$B,0))</f>
        <v>3.7127519901613733E-3</v>
      </c>
    </row>
    <row r="23" spans="1:2" ht="16" x14ac:dyDescent="0.2">
      <c r="A23" s="4" t="s">
        <v>556</v>
      </c>
      <c r="B23">
        <f>INDEX(Calculation!$Z:$Z,MATCH($A23,Calculation!$B:$B,0))</f>
        <v>2.0691030562895747E-3</v>
      </c>
    </row>
    <row r="24" spans="1:2" ht="16" x14ac:dyDescent="0.2">
      <c r="A24" s="4" t="s">
        <v>41</v>
      </c>
      <c r="B24">
        <f>INDEX(Calculation!$Z:$Z,MATCH($A24,Calculation!$B:$B,0))</f>
        <v>3.3604227950341527E-3</v>
      </c>
    </row>
    <row r="25" spans="1:2" ht="16" x14ac:dyDescent="0.2">
      <c r="A25" s="4" t="s">
        <v>153</v>
      </c>
      <c r="B25">
        <f>INDEX(Calculation!$Z:$Z,MATCH($A25,Calculation!$B:$B,0))</f>
        <v>6.9136294892888604E-4</v>
      </c>
    </row>
    <row r="26" spans="1:2" ht="16" x14ac:dyDescent="0.2">
      <c r="A26" s="4" t="s">
        <v>198</v>
      </c>
      <c r="B26">
        <f>INDEX(Calculation!$Z:$Z,MATCH($A26,Calculation!$B:$B,0))</f>
        <v>1.1201409316780508E-3</v>
      </c>
    </row>
    <row r="27" spans="1:2" ht="16" x14ac:dyDescent="0.2">
      <c r="A27" s="4" t="s">
        <v>210</v>
      </c>
      <c r="B27">
        <f>INDEX(Calculation!$Z:$Z,MATCH($A27,Calculation!$B:$B,0))</f>
        <v>3.6662179455219292E-3</v>
      </c>
    </row>
    <row r="28" spans="1:2" ht="16" x14ac:dyDescent="0.2">
      <c r="A28" s="4" t="s">
        <v>283</v>
      </c>
      <c r="B28">
        <f>INDEX(Calculation!$Z:$Z,MATCH($A28,Calculation!$B:$B,0))</f>
        <v>5.2151368599491453E-3</v>
      </c>
    </row>
    <row r="29" spans="1:2" ht="16" x14ac:dyDescent="0.2">
      <c r="A29" s="4" t="s">
        <v>338</v>
      </c>
      <c r="B29">
        <f>INDEX(Calculation!$Z:$Z,MATCH($A29,Calculation!$B:$B,0))</f>
        <v>8.708514068238853E-4</v>
      </c>
    </row>
    <row r="30" spans="1:2" ht="16" x14ac:dyDescent="0.2">
      <c r="A30" s="4" t="s">
        <v>350</v>
      </c>
      <c r="B30">
        <f>INDEX(Calculation!$Z:$Z,MATCH($A30,Calculation!$B:$B,0))</f>
        <v>2.4131226005883232E-3</v>
      </c>
    </row>
    <row r="31" spans="1:2" ht="16" x14ac:dyDescent="0.2">
      <c r="A31" s="4" t="s">
        <v>389</v>
      </c>
      <c r="B31">
        <f>INDEX(Calculation!$Z:$Z,MATCH($A31,Calculation!$B:$B,0))</f>
        <v>1.6286915623805489E-3</v>
      </c>
    </row>
    <row r="32" spans="1:2" ht="16" x14ac:dyDescent="0.2">
      <c r="A32" s="4" t="s">
        <v>398</v>
      </c>
      <c r="B32">
        <f>INDEX(Calculation!$Z:$Z,MATCH($A32,Calculation!$B:$B,0))</f>
        <v>3.1659769656479037E-3</v>
      </c>
    </row>
    <row r="33" spans="1:2" ht="16" x14ac:dyDescent="0.2">
      <c r="A33" s="4" t="s">
        <v>454</v>
      </c>
      <c r="B33">
        <f>INDEX(Calculation!$Z:$Z,MATCH($A33,Calculation!$B:$B,0))</f>
        <v>4.2744843861660933E-3</v>
      </c>
    </row>
    <row r="34" spans="1:2" ht="16" x14ac:dyDescent="0.2">
      <c r="A34" s="4" t="s">
        <v>529</v>
      </c>
      <c r="B34">
        <f>INDEX(Calculation!$Z:$Z,MATCH($A34,Calculation!$B:$B,0))</f>
        <v>9.0907580063485731E-4</v>
      </c>
    </row>
    <row r="35" spans="1:2" ht="16" x14ac:dyDescent="0.2">
      <c r="A35" s="4" t="s">
        <v>616</v>
      </c>
      <c r="B35">
        <f>INDEX(Calculation!$Z:$Z,MATCH($A35,Calculation!$B:$B,0))</f>
        <v>2.2469295840188796E-3</v>
      </c>
    </row>
    <row r="36" spans="1:2" ht="16" x14ac:dyDescent="0.2">
      <c r="A36" s="4" t="s">
        <v>642</v>
      </c>
      <c r="B36">
        <f>INDEX(Calculation!$Z:$Z,MATCH($A36,Calculation!$B:$B,0))</f>
        <v>1.7300693024879094E-3</v>
      </c>
    </row>
    <row r="37" spans="1:2" ht="16" x14ac:dyDescent="0.2">
      <c r="A37" s="4" t="s">
        <v>648</v>
      </c>
      <c r="B37">
        <f>INDEX(Calculation!$Z:$Z,MATCH($A37,Calculation!$B:$B,0))</f>
        <v>8.6586561632680194E-4</v>
      </c>
    </row>
    <row r="38" spans="1:2" ht="16" x14ac:dyDescent="0.2">
      <c r="A38" s="4" t="s">
        <v>702</v>
      </c>
      <c r="B38">
        <f>INDEX(Calculation!$Z:$Z,MATCH($A38,Calculation!$B:$B,0))</f>
        <v>1.5771717272440211E-3</v>
      </c>
    </row>
    <row r="39" spans="1:2" ht="16" x14ac:dyDescent="0.2">
      <c r="A39" s="4" t="s">
        <v>798</v>
      </c>
      <c r="B39">
        <f>INDEX(Calculation!$Z:$Z,MATCH($A39,Calculation!$B:$B,0))</f>
        <v>7.6614980638513568E-4</v>
      </c>
    </row>
    <row r="40" spans="1:2" ht="16" x14ac:dyDescent="0.2">
      <c r="A40" s="4" t="s">
        <v>840</v>
      </c>
      <c r="B40">
        <f>INDEX(Calculation!$Z:$Z,MATCH($A40,Calculation!$B:$B,0))</f>
        <v>8.2265543201874656E-4</v>
      </c>
    </row>
    <row r="41" spans="1:2" ht="16" x14ac:dyDescent="0.2">
      <c r="A41" s="4" t="s">
        <v>858</v>
      </c>
      <c r="B41">
        <f>INDEX(Calculation!$Z:$Z,MATCH($A41,Calculation!$B:$B,0))</f>
        <v>5.4178923401638666E-4</v>
      </c>
    </row>
    <row r="42" spans="1:2" ht="16" x14ac:dyDescent="0.2">
      <c r="A42" s="4" t="s">
        <v>971</v>
      </c>
      <c r="B42">
        <f>INDEX(Calculation!$Z:$Z,MATCH($A42,Calculation!$B:$B,0))</f>
        <v>1.0453540742218013E-3</v>
      </c>
    </row>
    <row r="43" spans="1:2" ht="16" x14ac:dyDescent="0.2">
      <c r="A43" s="4" t="s">
        <v>1040</v>
      </c>
      <c r="B43">
        <f>INDEX(Calculation!$Z:$Z,MATCH($A43,Calculation!$B:$B,0))</f>
        <v>4.8345548520051188E-3</v>
      </c>
    </row>
    <row r="44" spans="1:2" ht="16" x14ac:dyDescent="0.2">
      <c r="A44" s="4" t="s">
        <v>26</v>
      </c>
      <c r="B44">
        <f>INDEX(Calculation!$Z:$Z,MATCH($A44,Calculation!$B:$B,0))</f>
        <v>8.9744228947499631E-4</v>
      </c>
    </row>
    <row r="45" spans="1:2" ht="16" x14ac:dyDescent="0.2">
      <c r="A45" s="4" t="s">
        <v>69</v>
      </c>
      <c r="B45">
        <f>INDEX(Calculation!$Z:$Z,MATCH($A45,Calculation!$B:$B,0))</f>
        <v>7.4288278406541355E-3</v>
      </c>
    </row>
    <row r="46" spans="1:2" ht="16" x14ac:dyDescent="0.2">
      <c r="A46" s="4" t="s">
        <v>72</v>
      </c>
      <c r="B46">
        <f>INDEX(Calculation!$Z:$Z,MATCH($A46,Calculation!$B:$B,0))</f>
        <v>6.0893121271044194E-3</v>
      </c>
    </row>
    <row r="47" spans="1:2" ht="16" x14ac:dyDescent="0.2">
      <c r="A47" s="4" t="s">
        <v>90</v>
      </c>
      <c r="B47">
        <f>INDEX(Calculation!$Z:$Z,MATCH($A47,Calculation!$B:$B,0))</f>
        <v>2.3815459274401291E-3</v>
      </c>
    </row>
    <row r="48" spans="1:2" ht="16" x14ac:dyDescent="0.2">
      <c r="A48" s="4" t="s">
        <v>126</v>
      </c>
      <c r="B48">
        <f>INDEX(Calculation!$Z:$Z,MATCH($A48,Calculation!$B:$B,0))</f>
        <v>1.0470160043874956E-3</v>
      </c>
    </row>
    <row r="49" spans="1:2" ht="16" x14ac:dyDescent="0.2">
      <c r="A49" s="4" t="s">
        <v>168</v>
      </c>
      <c r="B49">
        <f>INDEX(Calculation!$Z:$Z,MATCH($A49,Calculation!$B:$B,0))</f>
        <v>4.9359325921124794E-3</v>
      </c>
    </row>
    <row r="50" spans="1:2" ht="16" x14ac:dyDescent="0.2">
      <c r="A50" s="4" t="s">
        <v>180</v>
      </c>
      <c r="B50">
        <f>INDEX(Calculation!$Z:$Z,MATCH($A50,Calculation!$B:$B,0))</f>
        <v>9.1406159113194068E-4</v>
      </c>
    </row>
    <row r="51" spans="1:2" ht="16" x14ac:dyDescent="0.2">
      <c r="A51" s="4" t="s">
        <v>195</v>
      </c>
      <c r="B51">
        <f>INDEX(Calculation!$Z:$Z,MATCH($A51,Calculation!$B:$B,0))</f>
        <v>1.0470160043874956E-3</v>
      </c>
    </row>
    <row r="52" spans="1:2" ht="16" x14ac:dyDescent="0.2">
      <c r="A52" s="4" t="s">
        <v>222</v>
      </c>
      <c r="B52">
        <f>INDEX(Calculation!$Z:$Z,MATCH($A52,Calculation!$B:$B,0))</f>
        <v>3.5399112529291521E-4</v>
      </c>
    </row>
    <row r="53" spans="1:2" ht="16" x14ac:dyDescent="0.2">
      <c r="A53" s="4" t="s">
        <v>225</v>
      </c>
      <c r="B53">
        <f>INDEX(Calculation!$Z:$Z,MATCH($A53,Calculation!$B:$B,0))</f>
        <v>2.8452244436688772E-3</v>
      </c>
    </row>
    <row r="54" spans="1:2" ht="16" x14ac:dyDescent="0.2">
      <c r="A54" s="4" t="s">
        <v>243</v>
      </c>
      <c r="B54">
        <f>INDEX(Calculation!$Z:$Z,MATCH($A54,Calculation!$B:$B,0))</f>
        <v>9.0409001013777406E-4</v>
      </c>
    </row>
    <row r="55" spans="1:2" ht="16" x14ac:dyDescent="0.2">
      <c r="A55" s="4" t="s">
        <v>246</v>
      </c>
      <c r="B55">
        <f>INDEX(Calculation!$Z:$Z,MATCH($A55,Calculation!$B:$B,0))</f>
        <v>4.154825414236094E-4</v>
      </c>
    </row>
    <row r="56" spans="1:2" ht="16" x14ac:dyDescent="0.2">
      <c r="A56" s="4" t="s">
        <v>255</v>
      </c>
      <c r="B56">
        <f>INDEX(Calculation!$Z:$Z,MATCH($A56,Calculation!$B:$B,0))</f>
        <v>5.1187449103388674E-3</v>
      </c>
    </row>
    <row r="57" spans="1:2" ht="16" x14ac:dyDescent="0.2">
      <c r="A57" s="4" t="s">
        <v>274</v>
      </c>
      <c r="B57">
        <f>INDEX(Calculation!$Z:$Z,MATCH($A57,Calculation!$B:$B,0))</f>
        <v>8.4758438450416318E-4</v>
      </c>
    </row>
    <row r="58" spans="1:2" ht="16" x14ac:dyDescent="0.2">
      <c r="A58" s="4" t="s">
        <v>286</v>
      </c>
      <c r="B58">
        <f>INDEX(Calculation!$Z:$Z,MATCH($A58,Calculation!$B:$B,0))</f>
        <v>1.5106945206162436E-3</v>
      </c>
    </row>
    <row r="59" spans="1:2" ht="16" x14ac:dyDescent="0.2">
      <c r="A59" s="4" t="s">
        <v>289</v>
      </c>
      <c r="B59">
        <f>INDEX(Calculation!$Z:$Z,MATCH($A59,Calculation!$B:$B,0))</f>
        <v>1.7583221153047149E-3</v>
      </c>
    </row>
    <row r="60" spans="1:2" ht="16" x14ac:dyDescent="0.2">
      <c r="A60" s="4" t="s">
        <v>353</v>
      </c>
      <c r="B60">
        <f>INDEX(Calculation!$Z:$Z,MATCH($A60,Calculation!$B:$B,0))</f>
        <v>1.9660633860165196E-3</v>
      </c>
    </row>
    <row r="61" spans="1:2" ht="16" x14ac:dyDescent="0.2">
      <c r="A61" s="4" t="s">
        <v>362</v>
      </c>
      <c r="B61">
        <f>INDEX(Calculation!$Z:$Z,MATCH($A61,Calculation!$B:$B,0))</f>
        <v>3.9055358893819284E-4</v>
      </c>
    </row>
    <row r="62" spans="1:2" ht="16" x14ac:dyDescent="0.2">
      <c r="A62" s="4" t="s">
        <v>371</v>
      </c>
      <c r="B62">
        <f>INDEX(Calculation!$Z:$Z,MATCH($A62,Calculation!$B:$B,0))</f>
        <v>7.2958734273985805E-4</v>
      </c>
    </row>
    <row r="63" spans="1:2" ht="16" x14ac:dyDescent="0.2">
      <c r="A63" s="4" t="s">
        <v>403</v>
      </c>
      <c r="B63">
        <f>INDEX(Calculation!$Z:$Z,MATCH($A63,Calculation!$B:$B,0))</f>
        <v>4.9193132904555353E-4</v>
      </c>
    </row>
    <row r="64" spans="1:2" ht="16" x14ac:dyDescent="0.2">
      <c r="A64" s="4" t="s">
        <v>520</v>
      </c>
      <c r="B64">
        <f>INDEX(Calculation!$Z:$Z,MATCH($A64,Calculation!$B:$B,0))</f>
        <v>2.0890462182779081E-3</v>
      </c>
    </row>
    <row r="65" spans="1:2" ht="16" x14ac:dyDescent="0.2">
      <c r="A65" s="4" t="s">
        <v>532</v>
      </c>
      <c r="B65">
        <f>INDEX(Calculation!$Z:$Z,MATCH($A65,Calculation!$B:$B,0))</f>
        <v>1.8181516012697146E-3</v>
      </c>
    </row>
    <row r="66" spans="1:2" ht="16" x14ac:dyDescent="0.2">
      <c r="A66" s="4" t="s">
        <v>598</v>
      </c>
      <c r="B66">
        <f>INDEX(Calculation!$Z:$Z,MATCH($A66,Calculation!$B:$B,0))</f>
        <v>1.8430805537551311E-3</v>
      </c>
    </row>
    <row r="67" spans="1:2" ht="16" x14ac:dyDescent="0.2">
      <c r="A67" s="4" t="s">
        <v>601</v>
      </c>
      <c r="B67">
        <f>INDEX(Calculation!$Z:$Z,MATCH($A67,Calculation!$B:$B,0))</f>
        <v>6.3253062106330294E-3</v>
      </c>
    </row>
    <row r="68" spans="1:2" ht="16" x14ac:dyDescent="0.2">
      <c r="A68" s="4" t="s">
        <v>639</v>
      </c>
      <c r="B68">
        <f>INDEX(Calculation!$Z:$Z,MATCH($A68,Calculation!$B:$B,0))</f>
        <v>1.0387063535590236E-3</v>
      </c>
    </row>
    <row r="69" spans="1:2" ht="16" x14ac:dyDescent="0.2">
      <c r="A69" s="4" t="s">
        <v>699</v>
      </c>
      <c r="B69">
        <f>INDEX(Calculation!$Z:$Z,MATCH($A69,Calculation!$B:$B,0))</f>
        <v>9.6558142626846819E-4</v>
      </c>
    </row>
    <row r="70" spans="1:2" ht="16" x14ac:dyDescent="0.2">
      <c r="A70" s="4" t="s">
        <v>708</v>
      </c>
      <c r="B70">
        <f>INDEX(Calculation!$Z:$Z,MATCH($A70,Calculation!$B:$B,0))</f>
        <v>0</v>
      </c>
    </row>
    <row r="71" spans="1:2" ht="16" x14ac:dyDescent="0.2">
      <c r="A71" s="4" t="s">
        <v>717</v>
      </c>
      <c r="B71">
        <f>INDEX(Calculation!$Z:$Z,MATCH($A71,Calculation!$B:$B,0))</f>
        <v>1.6203819115520766E-3</v>
      </c>
    </row>
    <row r="72" spans="1:2" ht="16" x14ac:dyDescent="0.2">
      <c r="A72" s="4" t="s">
        <v>747</v>
      </c>
      <c r="B72">
        <f>INDEX(Calculation!$Z:$Z,MATCH($A72,Calculation!$B:$B,0))</f>
        <v>7.9772647953333005E-5</v>
      </c>
    </row>
    <row r="73" spans="1:2" ht="16" x14ac:dyDescent="0.2">
      <c r="A73" s="4" t="s">
        <v>756</v>
      </c>
      <c r="B73">
        <f>INDEX(Calculation!$Z:$Z,MATCH($A73,Calculation!$B:$B,0))</f>
        <v>3.8556779844110952E-4</v>
      </c>
    </row>
    <row r="74" spans="1:2" ht="16" x14ac:dyDescent="0.2">
      <c r="A74" s="4" t="s">
        <v>834</v>
      </c>
      <c r="B74">
        <f>INDEX(Calculation!$Z:$Z,MATCH($A74,Calculation!$B:$B,0))</f>
        <v>2.4014890894284622E-3</v>
      </c>
    </row>
    <row r="75" spans="1:2" ht="16" x14ac:dyDescent="0.2">
      <c r="A75" s="4" t="s">
        <v>917</v>
      </c>
      <c r="B75">
        <f>INDEX(Calculation!$Z:$Z,MATCH($A75,Calculation!$B:$B,0))</f>
        <v>9.8552458825680155E-4</v>
      </c>
    </row>
    <row r="76" spans="1:2" ht="16" x14ac:dyDescent="0.2">
      <c r="A76" s="4" t="s">
        <v>935</v>
      </c>
      <c r="B76">
        <f>INDEX(Calculation!$Z:$Z,MATCH($A76,Calculation!$B:$B,0))</f>
        <v>1.6536205148659654E-3</v>
      </c>
    </row>
    <row r="77" spans="1:2" ht="16" x14ac:dyDescent="0.2">
      <c r="A77" s="4" t="s">
        <v>959</v>
      </c>
      <c r="B77">
        <f>INDEX(Calculation!$Z:$Z,MATCH($A77,Calculation!$B:$B,0))</f>
        <v>1.1633511159861063E-5</v>
      </c>
    </row>
    <row r="78" spans="1:2" ht="16" x14ac:dyDescent="0.2">
      <c r="A78" s="4" t="s">
        <v>983</v>
      </c>
      <c r="B78">
        <f>INDEX(Calculation!$Z:$Z,MATCH($A78,Calculation!$B:$B,0))</f>
        <v>1.2547572750993003E-3</v>
      </c>
    </row>
    <row r="79" spans="1:2" ht="16" x14ac:dyDescent="0.2">
      <c r="A79" s="4" t="s">
        <v>974</v>
      </c>
      <c r="B79">
        <f>INDEX(Calculation!$Z:$Z,MATCH($A79,Calculation!$B:$B,0))</f>
        <v>1.9993019893304082E-3</v>
      </c>
    </row>
    <row r="80" spans="1:2" ht="16" x14ac:dyDescent="0.2">
      <c r="A80" s="4" t="s">
        <v>1004</v>
      </c>
      <c r="B80">
        <f>INDEX(Calculation!$Z:$Z,MATCH($A80,Calculation!$B:$B,0))</f>
        <v>9.212078908444268E-3</v>
      </c>
    </row>
    <row r="81" spans="1:2" ht="16" x14ac:dyDescent="0.2">
      <c r="A81" s="4" t="s">
        <v>1016</v>
      </c>
      <c r="B81">
        <f>INDEX(Calculation!$Z:$Z,MATCH($A81,Calculation!$B:$B,0))</f>
        <v>3.3039171694005417E-3</v>
      </c>
    </row>
    <row r="82" spans="1:2" ht="16" x14ac:dyDescent="0.2">
      <c r="A82" s="4" t="s">
        <v>1031</v>
      </c>
      <c r="B82">
        <f>INDEX(Calculation!$Z:$Z,MATCH($A82,Calculation!$B:$B,0))</f>
        <v>1.6702398165229096E-3</v>
      </c>
    </row>
    <row r="83" spans="1:2" ht="16" x14ac:dyDescent="0.2">
      <c r="A83" s="4" t="s">
        <v>624</v>
      </c>
      <c r="B83">
        <f>INDEX(Calculation!$Z:$Z,MATCH($A83,Calculation!$B:$B,0))</f>
        <v>1.5173422412790214E-3</v>
      </c>
    </row>
    <row r="84" spans="1:2" ht="16" x14ac:dyDescent="0.2">
      <c r="A84" s="4" t="s">
        <v>240</v>
      </c>
      <c r="B84">
        <f>INDEX(Calculation!$Z:$Z,MATCH($A84,Calculation!$B:$B,0))</f>
        <v>1.4209502916687441E-3</v>
      </c>
    </row>
    <row r="85" spans="1:2" ht="16" x14ac:dyDescent="0.2">
      <c r="A85" s="4" t="s">
        <v>59</v>
      </c>
      <c r="B85">
        <f>INDEX(Calculation!$Z:$Z,MATCH($A85,Calculation!$B:$B,0))</f>
        <v>4.3725382659420648E-3</v>
      </c>
    </row>
    <row r="86" spans="1:2" ht="16" x14ac:dyDescent="0.2">
      <c r="A86" s="4" t="s">
        <v>84</v>
      </c>
      <c r="B86">
        <f>INDEX(Calculation!$Z:$Z,MATCH($A86,Calculation!$B:$B,0))</f>
        <v>1.0004819597480513E-3</v>
      </c>
    </row>
    <row r="87" spans="1:2" ht="16" x14ac:dyDescent="0.2">
      <c r="A87" s="4" t="s">
        <v>132</v>
      </c>
      <c r="B87">
        <f>INDEX(Calculation!$Z:$Z,MATCH($A87,Calculation!$B:$B,0))</f>
        <v>1.4359076631599941E-3</v>
      </c>
    </row>
    <row r="88" spans="1:2" ht="16" x14ac:dyDescent="0.2">
      <c r="A88" s="4" t="s">
        <v>174</v>
      </c>
      <c r="B88">
        <f>INDEX(Calculation!$Z:$Z,MATCH($A88,Calculation!$B:$B,0))</f>
        <v>6.1325223114124742E-4</v>
      </c>
    </row>
    <row r="89" spans="1:2" ht="16" x14ac:dyDescent="0.2">
      <c r="A89" s="4" t="s">
        <v>177</v>
      </c>
      <c r="B89">
        <f>INDEX(Calculation!$Z:$Z,MATCH($A89,Calculation!$B:$B,0))</f>
        <v>1.0486779345531901E-3</v>
      </c>
    </row>
    <row r="90" spans="1:2" ht="16" x14ac:dyDescent="0.2">
      <c r="A90" s="4" t="s">
        <v>258</v>
      </c>
      <c r="B90">
        <f>INDEX(Calculation!$Z:$Z,MATCH($A90,Calculation!$B:$B,0))</f>
        <v>3.6728656661847071E-4</v>
      </c>
    </row>
    <row r="91" spans="1:2" ht="16" x14ac:dyDescent="0.2">
      <c r="A91" s="4" t="s">
        <v>439</v>
      </c>
      <c r="B91">
        <f>INDEX(Calculation!$Z:$Z,MATCH($A91,Calculation!$B:$B,0))</f>
        <v>1.8663475760748534E-3</v>
      </c>
    </row>
    <row r="92" spans="1:2" ht="16" x14ac:dyDescent="0.2">
      <c r="A92" s="4" t="s">
        <v>511</v>
      </c>
      <c r="B92">
        <f>INDEX(Calculation!$Z:$Z,MATCH($A92,Calculation!$B:$B,0))</f>
        <v>9.1239966096624619E-4</v>
      </c>
    </row>
    <row r="93" spans="1:2" ht="16" x14ac:dyDescent="0.2">
      <c r="A93" s="4" t="s">
        <v>526</v>
      </c>
      <c r="B93">
        <f>INDEX(Calculation!$Z:$Z,MATCH($A93,Calculation!$B:$B,0))</f>
        <v>4.5038307490319259E-4</v>
      </c>
    </row>
    <row r="94" spans="1:2" ht="16" x14ac:dyDescent="0.2">
      <c r="A94" s="4" t="s">
        <v>580</v>
      </c>
      <c r="B94">
        <f>INDEX(Calculation!$Z:$Z,MATCH($A94,Calculation!$B:$B,0))</f>
        <v>4.3210184308055378E-4</v>
      </c>
    </row>
    <row r="95" spans="1:2" ht="16" x14ac:dyDescent="0.2">
      <c r="A95" s="4" t="s">
        <v>711</v>
      </c>
      <c r="B95">
        <f>INDEX(Calculation!$Z:$Z,MATCH($A95,Calculation!$B:$B,0))</f>
        <v>1.7117880706652707E-4</v>
      </c>
    </row>
    <row r="96" spans="1:2" ht="16" x14ac:dyDescent="0.2">
      <c r="A96" s="4" t="s">
        <v>720</v>
      </c>
      <c r="B96">
        <f>INDEX(Calculation!$Z:$Z,MATCH($A96,Calculation!$B:$B,0))</f>
        <v>8.2265543201874656E-4</v>
      </c>
    </row>
    <row r="97" spans="1:2" ht="16" x14ac:dyDescent="0.2">
      <c r="A97" s="4" t="s">
        <v>786</v>
      </c>
      <c r="B97">
        <f>INDEX(Calculation!$Z:$Z,MATCH($A97,Calculation!$B:$B,0))</f>
        <v>1.7367170231506871E-3</v>
      </c>
    </row>
    <row r="98" spans="1:2" ht="16" x14ac:dyDescent="0.2">
      <c r="A98" s="4" t="s">
        <v>861</v>
      </c>
      <c r="B98">
        <f>INDEX(Calculation!$Z:$Z,MATCH($A98,Calculation!$B:$B,0))</f>
        <v>8.5340114008409362E-3</v>
      </c>
    </row>
    <row r="99" spans="1:2" ht="16" x14ac:dyDescent="0.2">
      <c r="A99" s="4" t="s">
        <v>878</v>
      </c>
      <c r="B99">
        <f>INDEX(Calculation!$Z:$Z,MATCH($A99,Calculation!$B:$B,0))</f>
        <v>1.9477821541938809E-3</v>
      </c>
    </row>
    <row r="100" spans="1:2" ht="16" x14ac:dyDescent="0.2">
      <c r="A100" s="4" t="s">
        <v>998</v>
      </c>
      <c r="B100">
        <f>INDEX(Calculation!$Z:$Z,MATCH($A100,Calculation!$B:$B,0))</f>
        <v>4.6700237656013697E-4</v>
      </c>
    </row>
    <row r="101" spans="1:2" ht="16" x14ac:dyDescent="0.2">
      <c r="A101" s="4" t="s">
        <v>980</v>
      </c>
      <c r="B101">
        <f>INDEX(Calculation!$Z:$Z,MATCH($A101,Calculation!$B:$B,0))</f>
        <v>6.298715327981918E-4</v>
      </c>
    </row>
    <row r="102" spans="1:2" ht="16" x14ac:dyDescent="0.2">
      <c r="A102" s="4" t="s">
        <v>448</v>
      </c>
      <c r="B102">
        <f>INDEX(Calculation!$Z:$Z,MATCH($A102,Calculation!$B:$B,0))</f>
        <v>9.3566668328596832E-4</v>
      </c>
    </row>
    <row r="103" spans="1:2" ht="16" x14ac:dyDescent="0.2">
      <c r="A103" s="4" t="s">
        <v>1013</v>
      </c>
      <c r="B103">
        <f>INDEX(Calculation!$Z:$Z,MATCH($A103,Calculation!$B:$B,0))</f>
        <v>2.5527247345066562E-3</v>
      </c>
    </row>
    <row r="104" spans="1:2" ht="16" x14ac:dyDescent="0.2">
      <c r="A104" s="4" t="s">
        <v>592</v>
      </c>
      <c r="B104">
        <f>INDEX(Calculation!$Z:$Z,MATCH($A104,Calculation!$B:$B,0))</f>
        <v>1.2065613002941616E-3</v>
      </c>
    </row>
    <row r="105" spans="1:2" ht="16" x14ac:dyDescent="0.2">
      <c r="A105" s="4" t="s">
        <v>23</v>
      </c>
      <c r="B105">
        <f>INDEX(Calculation!$Z:$Z,MATCH($A105,Calculation!$B:$B,0))</f>
        <v>2.0641172657924916E-3</v>
      </c>
    </row>
    <row r="106" spans="1:2" ht="16" x14ac:dyDescent="0.2">
      <c r="A106" s="4" t="s">
        <v>38</v>
      </c>
      <c r="B106">
        <f>INDEX(Calculation!$Z:$Z,MATCH($A106,Calculation!$B:$B,0))</f>
        <v>3.2989313789034583E-3</v>
      </c>
    </row>
    <row r="107" spans="1:2" ht="16" x14ac:dyDescent="0.2">
      <c r="A107" s="4" t="s">
        <v>63</v>
      </c>
      <c r="B107">
        <f>INDEX(Calculation!$Z:$Z,MATCH($A107,Calculation!$B:$B,0))</f>
        <v>3.0812185271974872E-3</v>
      </c>
    </row>
    <row r="108" spans="1:2" ht="16" x14ac:dyDescent="0.2">
      <c r="A108" s="4" t="s">
        <v>66</v>
      </c>
      <c r="B108">
        <f>INDEX(Calculation!$Z:$Z,MATCH($A108,Calculation!$B:$B,0))</f>
        <v>3.5005235080021936E-2</v>
      </c>
    </row>
    <row r="109" spans="1:2" ht="16" x14ac:dyDescent="0.2">
      <c r="A109" s="4" t="s">
        <v>111</v>
      </c>
      <c r="B109">
        <f>INDEX(Calculation!$Z:$Z,MATCH($A109,Calculation!$B:$B,0))</f>
        <v>1.3029532499044391E-3</v>
      </c>
    </row>
    <row r="110" spans="1:2" ht="16" x14ac:dyDescent="0.2">
      <c r="A110" s="4" t="s">
        <v>129</v>
      </c>
      <c r="B110">
        <f>INDEX(Calculation!$Z:$Z,MATCH($A110,Calculation!$B:$B,0))</f>
        <v>1.2846720180818001E-3</v>
      </c>
    </row>
    <row r="111" spans="1:2" ht="16" x14ac:dyDescent="0.2">
      <c r="A111" s="4" t="s">
        <v>138</v>
      </c>
      <c r="B111">
        <f>INDEX(Calculation!$Z:$Z,MATCH($A111,Calculation!$B:$B,0))</f>
        <v>4.1049675092652609E-4</v>
      </c>
    </row>
    <row r="112" spans="1:2" ht="16" x14ac:dyDescent="0.2">
      <c r="A112" s="4" t="s">
        <v>141</v>
      </c>
      <c r="B112">
        <f>INDEX(Calculation!$Z:$Z,MATCH($A112,Calculation!$B:$B,0))</f>
        <v>9.3234282295457944E-4</v>
      </c>
    </row>
    <row r="113" spans="1:2" ht="16" x14ac:dyDescent="0.2">
      <c r="A113" s="4" t="s">
        <v>186</v>
      </c>
      <c r="B113">
        <f>INDEX(Calculation!$Z:$Z,MATCH($A113,Calculation!$B:$B,0))</f>
        <v>1.1085074205181898E-3</v>
      </c>
    </row>
    <row r="114" spans="1:2" ht="16" x14ac:dyDescent="0.2">
      <c r="A114" s="4" t="s">
        <v>213</v>
      </c>
      <c r="B114">
        <f>INDEX(Calculation!$Z:$Z,MATCH($A114,Calculation!$B:$B,0))</f>
        <v>1.0503398647188846E-3</v>
      </c>
    </row>
    <row r="115" spans="1:2" ht="16" x14ac:dyDescent="0.2">
      <c r="A115" s="4" t="s">
        <v>252</v>
      </c>
      <c r="B115">
        <f>INDEX(Calculation!$Z:$Z,MATCH($A115,Calculation!$B:$B,0))</f>
        <v>1.2929816689102723E-3</v>
      </c>
    </row>
    <row r="116" spans="1:2" ht="16" x14ac:dyDescent="0.2">
      <c r="A116" s="4" t="s">
        <v>280</v>
      </c>
      <c r="B116">
        <f>INDEX(Calculation!$Z:$Z,MATCH($A116,Calculation!$B:$B,0))</f>
        <v>1.0520017948845791E-3</v>
      </c>
    </row>
    <row r="117" spans="1:2" ht="16" x14ac:dyDescent="0.2">
      <c r="A117" s="4" t="s">
        <v>341</v>
      </c>
      <c r="B117">
        <f>INDEX(Calculation!$Z:$Z,MATCH($A117,Calculation!$B:$B,0))</f>
        <v>5.2234465107776169E-3</v>
      </c>
    </row>
    <row r="118" spans="1:2" ht="16" x14ac:dyDescent="0.2">
      <c r="A118" s="4" t="s">
        <v>344</v>
      </c>
      <c r="B118">
        <f>INDEX(Calculation!$Z:$Z,MATCH($A118,Calculation!$B:$B,0))</f>
        <v>8.773329344700936E-3</v>
      </c>
    </row>
    <row r="119" spans="1:2" ht="16" x14ac:dyDescent="0.2">
      <c r="A119" s="4" t="s">
        <v>365</v>
      </c>
      <c r="B119">
        <f>INDEX(Calculation!$Z:$Z,MATCH($A119,Calculation!$B:$B,0))</f>
        <v>1.1384221635006896E-3</v>
      </c>
    </row>
    <row r="120" spans="1:2" ht="16" x14ac:dyDescent="0.2">
      <c r="A120" s="4" t="s">
        <v>368</v>
      </c>
      <c r="B120">
        <f>INDEX(Calculation!$Z:$Z,MATCH($A120,Calculation!$B:$B,0))</f>
        <v>0</v>
      </c>
    </row>
    <row r="121" spans="1:2" ht="16" x14ac:dyDescent="0.2">
      <c r="A121" s="4" t="s">
        <v>383</v>
      </c>
      <c r="B121">
        <f>INDEX(Calculation!$Z:$Z,MATCH($A121,Calculation!$B:$B,0))</f>
        <v>7.2626348240846918E-4</v>
      </c>
    </row>
    <row r="122" spans="1:2" ht="16" x14ac:dyDescent="0.2">
      <c r="A122" s="4" t="s">
        <v>386</v>
      </c>
      <c r="B122">
        <f>INDEX(Calculation!$Z:$Z,MATCH($A122,Calculation!$B:$B,0))</f>
        <v>2.2452676538531851E-3</v>
      </c>
    </row>
    <row r="123" spans="1:2" ht="16" x14ac:dyDescent="0.2">
      <c r="A123" s="4" t="s">
        <v>415</v>
      </c>
      <c r="B123">
        <f>INDEX(Calculation!$Z:$Z,MATCH($A123,Calculation!$B:$B,0))</f>
        <v>3.3421415632115137E-3</v>
      </c>
    </row>
    <row r="124" spans="1:2" ht="16" x14ac:dyDescent="0.2">
      <c r="A124" s="4" t="s">
        <v>433</v>
      </c>
      <c r="B124">
        <f>INDEX(Calculation!$Z:$Z,MATCH($A124,Calculation!$B:$B,0))</f>
        <v>2.2087051902079076E-3</v>
      </c>
    </row>
    <row r="125" spans="1:2" ht="16" x14ac:dyDescent="0.2">
      <c r="A125" s="4" t="s">
        <v>442</v>
      </c>
      <c r="B125">
        <f>INDEX(Calculation!$Z:$Z,MATCH($A125,Calculation!$B:$B,0))</f>
        <v>1.3245583420584666E-3</v>
      </c>
    </row>
    <row r="126" spans="1:2" ht="16" x14ac:dyDescent="0.2">
      <c r="A126" s="4" t="s">
        <v>484</v>
      </c>
      <c r="B126">
        <f>INDEX(Calculation!$Z:$Z,MATCH($A126,Calculation!$B:$B,0))</f>
        <v>0</v>
      </c>
    </row>
    <row r="127" spans="1:2" ht="16" x14ac:dyDescent="0.2">
      <c r="A127" s="4" t="s">
        <v>490</v>
      </c>
      <c r="B127">
        <f>INDEX(Calculation!$Z:$Z,MATCH($A127,Calculation!$B:$B,0))</f>
        <v>5.8499941832444204E-4</v>
      </c>
    </row>
    <row r="128" spans="1:2" ht="16" x14ac:dyDescent="0.2">
      <c r="A128" s="4" t="s">
        <v>547</v>
      </c>
      <c r="B128">
        <f>INDEX(Calculation!$Z:$Z,MATCH($A128,Calculation!$B:$B,0))</f>
        <v>4.4323677519070648E-3</v>
      </c>
    </row>
    <row r="129" spans="1:2" ht="16" x14ac:dyDescent="0.2">
      <c r="A129" s="4" t="s">
        <v>660</v>
      </c>
      <c r="B129">
        <f>INDEX(Calculation!$Z:$Z,MATCH($A129,Calculation!$B:$B,0))</f>
        <v>3.0247129015638764E-4</v>
      </c>
    </row>
    <row r="130" spans="1:2" ht="16" x14ac:dyDescent="0.2">
      <c r="A130" s="4" t="s">
        <v>663</v>
      </c>
      <c r="B130">
        <f>INDEX(Calculation!$Z:$Z,MATCH($A130,Calculation!$B:$B,0))</f>
        <v>4.5703079556597034E-4</v>
      </c>
    </row>
    <row r="131" spans="1:2" ht="16" x14ac:dyDescent="0.2">
      <c r="A131" s="4" t="s">
        <v>675</v>
      </c>
      <c r="B131">
        <f>INDEX(Calculation!$Z:$Z,MATCH($A131,Calculation!$B:$B,0))</f>
        <v>5.6173239600471991E-4</v>
      </c>
    </row>
    <row r="132" spans="1:2" ht="16" x14ac:dyDescent="0.2">
      <c r="A132" s="4" t="s">
        <v>696</v>
      </c>
      <c r="B132">
        <f>INDEX(Calculation!$Z:$Z,MATCH($A132,Calculation!$B:$B,0))</f>
        <v>1.1434079539977731E-3</v>
      </c>
    </row>
    <row r="133" spans="1:2" ht="16" x14ac:dyDescent="0.2">
      <c r="A133" s="4" t="s">
        <v>753</v>
      </c>
      <c r="B133">
        <f>INDEX(Calculation!$Z:$Z,MATCH($A133,Calculation!$B:$B,0))</f>
        <v>2.2087051902079076E-3</v>
      </c>
    </row>
    <row r="134" spans="1:2" ht="16" x14ac:dyDescent="0.2">
      <c r="A134" s="4" t="s">
        <v>825</v>
      </c>
      <c r="B134">
        <f>INDEX(Calculation!$Z:$Z,MATCH($A134,Calculation!$B:$B,0))</f>
        <v>8.2099350185305218E-4</v>
      </c>
    </row>
    <row r="135" spans="1:2" ht="16" x14ac:dyDescent="0.2">
      <c r="A135" s="4" t="s">
        <v>852</v>
      </c>
      <c r="B135">
        <f>INDEX(Calculation!$Z:$Z,MATCH($A135,Calculation!$B:$B,0))</f>
        <v>3.4568147446444302E-4</v>
      </c>
    </row>
    <row r="136" spans="1:2" ht="16" x14ac:dyDescent="0.2">
      <c r="A136" s="4" t="s">
        <v>855</v>
      </c>
      <c r="B136">
        <f>INDEX(Calculation!$Z:$Z,MATCH($A136,Calculation!$B:$B,0))</f>
        <v>1.1118312808495786E-3</v>
      </c>
    </row>
    <row r="137" spans="1:2" ht="16" x14ac:dyDescent="0.2">
      <c r="A137" s="4" t="s">
        <v>887</v>
      </c>
      <c r="B137">
        <f>INDEX(Calculation!$Z:$Z,MATCH($A137,Calculation!$B:$B,0))</f>
        <v>1.9893304083362416E-3</v>
      </c>
    </row>
    <row r="138" spans="1:2" ht="16" x14ac:dyDescent="0.2">
      <c r="A138" s="4" t="s">
        <v>1007</v>
      </c>
      <c r="B138">
        <f>INDEX(Calculation!$Z:$Z,MATCH($A138,Calculation!$B:$B,0))</f>
        <v>7.1462997124860817E-4</v>
      </c>
    </row>
    <row r="139" spans="1:2" ht="16" x14ac:dyDescent="0.2">
      <c r="A139" s="4" t="s">
        <v>1001</v>
      </c>
      <c r="B139">
        <f>INDEX(Calculation!$Z:$Z,MATCH($A139,Calculation!$B:$B,0))</f>
        <v>8.9827325455784351E-3</v>
      </c>
    </row>
    <row r="140" spans="1:2" ht="16" x14ac:dyDescent="0.2">
      <c r="A140" s="4" t="s">
        <v>32</v>
      </c>
      <c r="B140">
        <f>INDEX(Calculation!$Z:$Z,MATCH($A140,Calculation!$B:$B,0))</f>
        <v>1.0220870519020791E-3</v>
      </c>
    </row>
    <row r="141" spans="1:2" ht="16" x14ac:dyDescent="0.2">
      <c r="A141" s="4" t="s">
        <v>47</v>
      </c>
      <c r="B141">
        <f>INDEX(Calculation!$Z:$Z,MATCH($A141,Calculation!$B:$B,0))</f>
        <v>3.3504512140399862E-3</v>
      </c>
    </row>
    <row r="142" spans="1:2" ht="16" x14ac:dyDescent="0.2">
      <c r="A142" s="4" t="s">
        <v>87</v>
      </c>
      <c r="B142">
        <f>INDEX(Calculation!$Z:$Z,MATCH($A142,Calculation!$B:$B,0))</f>
        <v>1.6419870037061044E-3</v>
      </c>
    </row>
    <row r="143" spans="1:2" ht="16" x14ac:dyDescent="0.2">
      <c r="A143" s="4" t="s">
        <v>234</v>
      </c>
      <c r="B143">
        <f>INDEX(Calculation!$Z:$Z,MATCH($A143,Calculation!$B:$B,0))</f>
        <v>9.5560984527430157E-4</v>
      </c>
    </row>
    <row r="144" spans="1:2" ht="16" x14ac:dyDescent="0.2">
      <c r="A144" s="4" t="s">
        <v>183</v>
      </c>
      <c r="B144">
        <f>INDEX(Calculation!$Z:$Z,MATCH($A144,Calculation!$B:$B,0))</f>
        <v>1.3561350152066611E-3</v>
      </c>
    </row>
    <row r="145" spans="1:2" ht="16" x14ac:dyDescent="0.2">
      <c r="A145" s="4" t="s">
        <v>204</v>
      </c>
      <c r="B145">
        <f>INDEX(Calculation!$Z:$Z,MATCH($A145,Calculation!$B:$B,0))</f>
        <v>4.3841717771019263E-3</v>
      </c>
    </row>
    <row r="146" spans="1:2" ht="16" x14ac:dyDescent="0.2">
      <c r="A146" s="4" t="s">
        <v>231</v>
      </c>
      <c r="B146">
        <f>INDEX(Calculation!$Z:$Z,MATCH($A146,Calculation!$B:$B,0))</f>
        <v>3.6695418058533182E-3</v>
      </c>
    </row>
    <row r="147" spans="1:2" ht="16" x14ac:dyDescent="0.2">
      <c r="A147" s="4" t="s">
        <v>325</v>
      </c>
      <c r="B147">
        <f>INDEX(Calculation!$Z:$Z,MATCH($A147,Calculation!$B:$B,0))</f>
        <v>3.4385335128217912E-3</v>
      </c>
    </row>
    <row r="148" spans="1:2" ht="16" x14ac:dyDescent="0.2">
      <c r="A148" s="4" t="s">
        <v>328</v>
      </c>
      <c r="B148">
        <f>INDEX(Calculation!$Z:$Z,MATCH($A148,Calculation!$B:$B,0))</f>
        <v>3.1294145020026257E-3</v>
      </c>
    </row>
    <row r="149" spans="1:2" ht="16" x14ac:dyDescent="0.2">
      <c r="A149" s="4" t="s">
        <v>331</v>
      </c>
      <c r="B149">
        <f>INDEX(Calculation!$Z:$Z,MATCH($A149,Calculation!$B:$B,0))</f>
        <v>1.5101959415665354E-2</v>
      </c>
    </row>
    <row r="150" spans="1:2" ht="16" x14ac:dyDescent="0.2">
      <c r="A150" s="4" t="s">
        <v>356</v>
      </c>
      <c r="B150">
        <f>INDEX(Calculation!$Z:$Z,MATCH($A150,Calculation!$B:$B,0))</f>
        <v>5.2018414186235892E-4</v>
      </c>
    </row>
    <row r="151" spans="1:2" ht="16" x14ac:dyDescent="0.2">
      <c r="A151" s="4" t="s">
        <v>395</v>
      </c>
      <c r="B151">
        <f>INDEX(Calculation!$Z:$Z,MATCH($A151,Calculation!$B:$B,0))</f>
        <v>9.2569510229180169E-4</v>
      </c>
    </row>
    <row r="152" spans="1:2" ht="16" x14ac:dyDescent="0.2">
      <c r="A152" s="4" t="s">
        <v>801</v>
      </c>
      <c r="B152">
        <f>INDEX(Calculation!$Z:$Z,MATCH($A152,Calculation!$B:$B,0))</f>
        <v>8.4592245433846869E-4</v>
      </c>
    </row>
    <row r="153" spans="1:2" ht="16" x14ac:dyDescent="0.2">
      <c r="A153" s="4" t="s">
        <v>409</v>
      </c>
      <c r="B153">
        <f>INDEX(Calculation!$Z:$Z,MATCH($A153,Calculation!$B:$B,0))</f>
        <v>7.8443103820777455E-4</v>
      </c>
    </row>
    <row r="154" spans="1:2" ht="16" x14ac:dyDescent="0.2">
      <c r="A154" s="4" t="s">
        <v>460</v>
      </c>
      <c r="B154">
        <f>INDEX(Calculation!$Z:$Z,MATCH($A154,Calculation!$B:$B,0))</f>
        <v>2.5128384105299897E-3</v>
      </c>
    </row>
    <row r="155" spans="1:2" ht="16" x14ac:dyDescent="0.2">
      <c r="A155" s="4" t="s">
        <v>469</v>
      </c>
      <c r="B155">
        <f>INDEX(Calculation!$Z:$Z,MATCH($A155,Calculation!$B:$B,0))</f>
        <v>7.6947366671652456E-4</v>
      </c>
    </row>
    <row r="156" spans="1:2" ht="16" x14ac:dyDescent="0.2">
      <c r="A156" s="4" t="s">
        <v>496</v>
      </c>
      <c r="B156">
        <f>INDEX(Calculation!$Z:$Z,MATCH($A156,Calculation!$B:$B,0))</f>
        <v>3.8091439397716508E-3</v>
      </c>
    </row>
    <row r="157" spans="1:2" ht="16" x14ac:dyDescent="0.2">
      <c r="A157" s="4" t="s">
        <v>499</v>
      </c>
      <c r="B157">
        <f>INDEX(Calculation!$Z:$Z,MATCH($A157,Calculation!$B:$B,0))</f>
        <v>7.2460155224277479E-4</v>
      </c>
    </row>
    <row r="158" spans="1:2" ht="16" x14ac:dyDescent="0.2">
      <c r="A158" s="4" t="s">
        <v>517</v>
      </c>
      <c r="B158">
        <f>INDEX(Calculation!$Z:$Z,MATCH($A158,Calculation!$B:$B,0))</f>
        <v>7.096441807515248E-4</v>
      </c>
    </row>
    <row r="159" spans="1:2" ht="16" x14ac:dyDescent="0.2">
      <c r="A159" s="4" t="s">
        <v>541</v>
      </c>
      <c r="B159">
        <f>INDEX(Calculation!$Z:$Z,MATCH($A159,Calculation!$B:$B,0))</f>
        <v>7.8941682870485781E-4</v>
      </c>
    </row>
    <row r="160" spans="1:2" ht="16" x14ac:dyDescent="0.2">
      <c r="A160" s="4" t="s">
        <v>595</v>
      </c>
      <c r="B160">
        <f>INDEX(Calculation!$Z:$Z,MATCH($A160,Calculation!$B:$B,0))</f>
        <v>1.4924132887936049E-3</v>
      </c>
    </row>
    <row r="161" spans="1:2" ht="16" x14ac:dyDescent="0.2">
      <c r="A161" s="4" t="s">
        <v>619</v>
      </c>
      <c r="B161">
        <f>INDEX(Calculation!$Z:$Z,MATCH($A161,Calculation!$B:$B,0))</f>
        <v>1.7682936962988816E-3</v>
      </c>
    </row>
    <row r="162" spans="1:2" ht="16" x14ac:dyDescent="0.2">
      <c r="A162" s="4" t="s">
        <v>627</v>
      </c>
      <c r="B162">
        <f>INDEX(Calculation!$Z:$Z,MATCH($A162,Calculation!$B:$B,0))</f>
        <v>6.6809592660916392E-4</v>
      </c>
    </row>
    <row r="163" spans="1:2" ht="16" x14ac:dyDescent="0.2">
      <c r="A163" s="4" t="s">
        <v>678</v>
      </c>
      <c r="B163">
        <f>INDEX(Calculation!$Z:$Z,MATCH($A163,Calculation!$B:$B,0))</f>
        <v>3.0413322032208208E-4</v>
      </c>
    </row>
    <row r="164" spans="1:2" ht="16" x14ac:dyDescent="0.2">
      <c r="A164" s="4" t="s">
        <v>684</v>
      </c>
      <c r="B164">
        <f>INDEX(Calculation!$Z:$Z,MATCH($A164,Calculation!$B:$B,0))</f>
        <v>1.1683369064831896E-3</v>
      </c>
    </row>
    <row r="165" spans="1:2" ht="16" x14ac:dyDescent="0.2">
      <c r="A165" s="4" t="s">
        <v>723</v>
      </c>
      <c r="B165">
        <f>INDEX(Calculation!$Z:$Z,MATCH($A165,Calculation!$B:$B,0))</f>
        <v>1.5904671685695766E-3</v>
      </c>
    </row>
    <row r="166" spans="1:2" ht="16" x14ac:dyDescent="0.2">
      <c r="A166" s="4" t="s">
        <v>744</v>
      </c>
      <c r="B166">
        <f>INDEX(Calculation!$Z:$Z,MATCH($A166,Calculation!$B:$B,0))</f>
        <v>0.16649216399926875</v>
      </c>
    </row>
    <row r="167" spans="1:2" ht="16" x14ac:dyDescent="0.2">
      <c r="A167" s="4" t="s">
        <v>729</v>
      </c>
      <c r="B167">
        <f>INDEX(Calculation!$Z:$Z,MATCH($A167,Calculation!$B:$B,0))</f>
        <v>1.7749414169616594E-3</v>
      </c>
    </row>
    <row r="168" spans="1:2" ht="16" x14ac:dyDescent="0.2">
      <c r="A168" s="4" t="s">
        <v>759</v>
      </c>
      <c r="B168">
        <f>INDEX(Calculation!$Z:$Z,MATCH($A168,Calculation!$B:$B,0))</f>
        <v>2.2951255588240182E-3</v>
      </c>
    </row>
    <row r="169" spans="1:2" ht="16" x14ac:dyDescent="0.2">
      <c r="A169" s="4" t="s">
        <v>777</v>
      </c>
      <c r="B169">
        <f>INDEX(Calculation!$Z:$Z,MATCH($A169,Calculation!$B:$B,0))</f>
        <v>9.2901896262319057E-4</v>
      </c>
    </row>
    <row r="170" spans="1:2" ht="16" x14ac:dyDescent="0.2">
      <c r="A170" s="4" t="s">
        <v>35</v>
      </c>
      <c r="B170">
        <f>INDEX(Calculation!$Z:$Z,MATCH($A170,Calculation!$B:$B,0))</f>
        <v>8.9744228947499631E-4</v>
      </c>
    </row>
    <row r="171" spans="1:2" ht="16" x14ac:dyDescent="0.2">
      <c r="A171" s="4" t="s">
        <v>899</v>
      </c>
      <c r="B171">
        <f>INDEX(Calculation!$Z:$Z,MATCH($A171,Calculation!$B:$B,0))</f>
        <v>2.6241877316315167E-3</v>
      </c>
    </row>
    <row r="172" spans="1:2" ht="16" x14ac:dyDescent="0.2">
      <c r="A172" s="4" t="s">
        <v>914</v>
      </c>
      <c r="B172">
        <f>INDEX(Calculation!$Z:$Z,MATCH($A172,Calculation!$B:$B,0))</f>
        <v>6.963487394259693E-4</v>
      </c>
    </row>
    <row r="173" spans="1:2" ht="16" x14ac:dyDescent="0.2">
      <c r="A173" s="4" t="s">
        <v>932</v>
      </c>
      <c r="B173">
        <f>INDEX(Calculation!$Z:$Z,MATCH($A173,Calculation!$B:$B,0))</f>
        <v>2.8967442788054047E-3</v>
      </c>
    </row>
    <row r="174" spans="1:2" ht="16" x14ac:dyDescent="0.2">
      <c r="A174" s="4" t="s">
        <v>938</v>
      </c>
      <c r="B174">
        <f>INDEX(Calculation!$Z:$Z,MATCH($A174,Calculation!$B:$B,0))</f>
        <v>1.2165328812883283E-3</v>
      </c>
    </row>
    <row r="175" spans="1:2" ht="16" x14ac:dyDescent="0.2">
      <c r="A175" s="4" t="s">
        <v>989</v>
      </c>
      <c r="B175">
        <f>INDEX(Calculation!$Z:$Z,MATCH($A175,Calculation!$B:$B,0))</f>
        <v>1.9893304083362416E-3</v>
      </c>
    </row>
    <row r="176" spans="1:2" ht="16" x14ac:dyDescent="0.2">
      <c r="A176" s="4" t="s">
        <v>1019</v>
      </c>
      <c r="B176">
        <f>INDEX(Calculation!$Z:$Z,MATCH($A176,Calculation!$B:$B,0))</f>
        <v>3.3903375380166527E-3</v>
      </c>
    </row>
    <row r="177" spans="1:2" ht="16" x14ac:dyDescent="0.2">
      <c r="A177" s="4" t="s">
        <v>1022</v>
      </c>
      <c r="B177">
        <f>INDEX(Calculation!$Z:$Z,MATCH($A177,Calculation!$B:$B,0))</f>
        <v>0</v>
      </c>
    </row>
    <row r="178" spans="1:2" ht="16" x14ac:dyDescent="0.2">
      <c r="A178" s="4" t="s">
        <v>1037</v>
      </c>
      <c r="B178">
        <f>INDEX(Calculation!$Z:$Z,MATCH($A178,Calculation!$B:$B,0))</f>
        <v>2.9432783234448487E-3</v>
      </c>
    </row>
    <row r="179" spans="1:2" ht="16" x14ac:dyDescent="0.2">
      <c r="A179" s="4" t="s">
        <v>156</v>
      </c>
      <c r="B179">
        <f>INDEX(Calculation!$Z:$Z,MATCH($A179,Calculation!$B:$B,0))</f>
        <v>1.1533795349919396E-3</v>
      </c>
    </row>
    <row r="180" spans="1:2" ht="16" x14ac:dyDescent="0.2">
      <c r="A180" s="4" t="s">
        <v>316</v>
      </c>
      <c r="B180">
        <f>INDEX(Calculation!$Z:$Z,MATCH($A180,Calculation!$B:$B,0))</f>
        <v>1.8447424839208256E-3</v>
      </c>
    </row>
    <row r="181" spans="1:2" ht="16" x14ac:dyDescent="0.2">
      <c r="A181" s="4" t="s">
        <v>950</v>
      </c>
      <c r="B181">
        <f>INDEX(Calculation!$Z:$Z,MATCH($A181,Calculation!$B:$B,0))</f>
        <v>6.298715327981918E-4</v>
      </c>
    </row>
    <row r="182" spans="1:2" ht="16" x14ac:dyDescent="0.2">
      <c r="A182" s="4" t="s">
        <v>445</v>
      </c>
      <c r="B182">
        <f>INDEX(Calculation!$Z:$Z,MATCH($A182,Calculation!$B:$B,0))</f>
        <v>1.0985358395240231E-3</v>
      </c>
    </row>
    <row r="183" spans="1:2" ht="16" x14ac:dyDescent="0.2">
      <c r="A183" s="4" t="s">
        <v>457</v>
      </c>
      <c r="B183">
        <f>INDEX(Calculation!$Z:$Z,MATCH($A183,Calculation!$B:$B,0))</f>
        <v>4.0883482076083165E-4</v>
      </c>
    </row>
    <row r="184" spans="1:2" ht="16" x14ac:dyDescent="0.2">
      <c r="A184" s="4" t="s">
        <v>559</v>
      </c>
      <c r="B184">
        <f>INDEX(Calculation!$Z:$Z,MATCH($A184,Calculation!$B:$B,0))</f>
        <v>1.7583221153047149E-3</v>
      </c>
    </row>
    <row r="185" spans="1:2" ht="16" x14ac:dyDescent="0.2">
      <c r="A185" s="4" t="s">
        <v>705</v>
      </c>
      <c r="B185">
        <f>INDEX(Calculation!$Z:$Z,MATCH($A185,Calculation!$B:$B,0))</f>
        <v>2.2253244918648517E-3</v>
      </c>
    </row>
    <row r="186" spans="1:2" ht="16" x14ac:dyDescent="0.2">
      <c r="A186" s="4" t="s">
        <v>819</v>
      </c>
      <c r="B186">
        <f>INDEX(Calculation!$Z:$Z,MATCH($A186,Calculation!$B:$B,0))</f>
        <v>1.8081800202755481E-3</v>
      </c>
    </row>
    <row r="187" spans="1:2" ht="16" x14ac:dyDescent="0.2">
      <c r="A187" s="4" t="s">
        <v>831</v>
      </c>
      <c r="B187">
        <f>INDEX(Calculation!$Z:$Z,MATCH($A187,Calculation!$B:$B,0))</f>
        <v>1.3810639676920776E-3</v>
      </c>
    </row>
    <row r="188" spans="1:2" ht="16" x14ac:dyDescent="0.2">
      <c r="A188" s="4" t="s">
        <v>881</v>
      </c>
      <c r="B188">
        <f>INDEX(Calculation!$Z:$Z,MATCH($A188,Calculation!$B:$B,0))</f>
        <v>9.6558142626846819E-4</v>
      </c>
    </row>
    <row r="189" spans="1:2" ht="16" x14ac:dyDescent="0.2">
      <c r="A189" s="4" t="s">
        <v>905</v>
      </c>
      <c r="B189">
        <f>INDEX(Calculation!$Z:$Z,MATCH($A189,Calculation!$B:$B,0))</f>
        <v>1.7051403500024929E-3</v>
      </c>
    </row>
    <row r="190" spans="1:2" ht="16" x14ac:dyDescent="0.2">
      <c r="A190" s="4" t="s">
        <v>738</v>
      </c>
      <c r="B190">
        <f>INDEX(Calculation!$Z:$Z,MATCH($A190,Calculation!$B:$B,0))</f>
        <v>1.6901829785112429E-3</v>
      </c>
    </row>
    <row r="191" spans="1:2" ht="16" x14ac:dyDescent="0.2">
      <c r="A191" s="4" t="s">
        <v>849</v>
      </c>
      <c r="B191">
        <f>INDEX(Calculation!$Z:$Z,MATCH($A191,Calculation!$B:$B,0))</f>
        <v>2.5028668295358227E-3</v>
      </c>
    </row>
    <row r="192" spans="1:2" ht="16" x14ac:dyDescent="0.2">
      <c r="A192" s="4" t="s">
        <v>78</v>
      </c>
      <c r="B192">
        <f>INDEX(Calculation!$Z:$Z,MATCH($A192,Calculation!$B:$B,0))</f>
        <v>2.3848697877715177E-3</v>
      </c>
    </row>
    <row r="193" spans="1:2" ht="16" x14ac:dyDescent="0.2">
      <c r="A193" s="4" t="s">
        <v>81</v>
      </c>
      <c r="B193">
        <f>INDEX(Calculation!$Z:$Z,MATCH($A193,Calculation!$B:$B,0))</f>
        <v>4.4872114473749815E-4</v>
      </c>
    </row>
    <row r="194" spans="1:2" ht="16" x14ac:dyDescent="0.2">
      <c r="A194" s="4" t="s">
        <v>114</v>
      </c>
      <c r="B194">
        <f>INDEX(Calculation!$Z:$Z,MATCH($A194,Calculation!$B:$B,0))</f>
        <v>1.5155141180967576E-2</v>
      </c>
    </row>
    <row r="195" spans="1:2" ht="16" x14ac:dyDescent="0.2">
      <c r="A195" s="4" t="s">
        <v>123</v>
      </c>
      <c r="B195">
        <f>INDEX(Calculation!$Z:$Z,MATCH($A195,Calculation!$B:$B,0))</f>
        <v>1.0686210965415233E-3</v>
      </c>
    </row>
    <row r="196" spans="1:2" ht="16" x14ac:dyDescent="0.2">
      <c r="A196" s="4" t="s">
        <v>147</v>
      </c>
      <c r="B196">
        <f>INDEX(Calculation!$Z:$Z,MATCH($A196,Calculation!$B:$B,0))</f>
        <v>7.5784015555666355E-4</v>
      </c>
    </row>
    <row r="197" spans="1:2" ht="16" x14ac:dyDescent="0.2">
      <c r="A197" s="4" t="s">
        <v>159</v>
      </c>
      <c r="B197">
        <f>INDEX(Calculation!$Z:$Z,MATCH($A197,Calculation!$B:$B,0))</f>
        <v>1.2780242974190224E-3</v>
      </c>
    </row>
    <row r="198" spans="1:2" ht="16" x14ac:dyDescent="0.2">
      <c r="A198" s="4" t="s">
        <v>162</v>
      </c>
      <c r="B198">
        <f>INDEX(Calculation!$Z:$Z,MATCH($A198,Calculation!$B:$B,0))</f>
        <v>6.0510877332934469E-3</v>
      </c>
    </row>
    <row r="199" spans="1:2" ht="16" x14ac:dyDescent="0.2">
      <c r="A199" s="4" t="s">
        <v>207</v>
      </c>
      <c r="B199">
        <f>INDEX(Calculation!$Z:$Z,MATCH($A199,Calculation!$B:$B,0))</f>
        <v>1.4940752189592994E-3</v>
      </c>
    </row>
    <row r="200" spans="1:2" ht="16" x14ac:dyDescent="0.2">
      <c r="A200" s="4" t="s">
        <v>690</v>
      </c>
      <c r="B200">
        <f>INDEX(Calculation!$Z:$Z,MATCH($A200,Calculation!$B:$B,0))</f>
        <v>9.1904738162902394E-4</v>
      </c>
    </row>
    <row r="201" spans="1:2" ht="16" x14ac:dyDescent="0.2">
      <c r="A201" s="4" t="s">
        <v>228</v>
      </c>
      <c r="B201">
        <f>INDEX(Calculation!$Z:$Z,MATCH($A201,Calculation!$B:$B,0))</f>
        <v>3.5797975769058183E-3</v>
      </c>
    </row>
    <row r="202" spans="1:2" ht="16" x14ac:dyDescent="0.2">
      <c r="A202" s="4" t="s">
        <v>265</v>
      </c>
      <c r="B202">
        <f>INDEX(Calculation!$Z:$Z,MATCH($A202,Calculation!$B:$B,0))</f>
        <v>7.3955892373402468E-4</v>
      </c>
    </row>
    <row r="203" spans="1:2" ht="16" x14ac:dyDescent="0.2">
      <c r="A203" s="4" t="s">
        <v>271</v>
      </c>
      <c r="B203">
        <f>INDEX(Calculation!$Z:$Z,MATCH($A203,Calculation!$B:$B,0))</f>
        <v>1.0667929733592594E-2</v>
      </c>
    </row>
    <row r="204" spans="1:2" ht="16" x14ac:dyDescent="0.2">
      <c r="A204" s="4" t="s">
        <v>292</v>
      </c>
      <c r="B204">
        <f>INDEX(Calculation!$Z:$Z,MATCH($A204,Calculation!$B:$B,0))</f>
        <v>4.1614731348988713E-3</v>
      </c>
    </row>
    <row r="205" spans="1:2" ht="16" x14ac:dyDescent="0.2">
      <c r="A205" s="4" t="s">
        <v>298</v>
      </c>
      <c r="B205">
        <f>INDEX(Calculation!$Z:$Z,MATCH($A205,Calculation!$B:$B,0))</f>
        <v>0</v>
      </c>
    </row>
    <row r="206" spans="1:2" ht="16" x14ac:dyDescent="0.2">
      <c r="A206" s="4" t="s">
        <v>310</v>
      </c>
      <c r="B206">
        <f>INDEX(Calculation!$Z:$Z,MATCH($A206,Calculation!$B:$B,0))</f>
        <v>1.0054677502451348E-3</v>
      </c>
    </row>
    <row r="207" spans="1:2" ht="16" x14ac:dyDescent="0.2">
      <c r="A207" s="4" t="s">
        <v>319</v>
      </c>
      <c r="B207">
        <f>INDEX(Calculation!$Z:$Z,MATCH($A207,Calculation!$B:$B,0))</f>
        <v>6.5812434561499729E-4</v>
      </c>
    </row>
    <row r="208" spans="1:2" ht="16" x14ac:dyDescent="0.2">
      <c r="A208" s="4" t="s">
        <v>392</v>
      </c>
      <c r="B208">
        <f>INDEX(Calculation!$Z:$Z,MATCH($A208,Calculation!$B:$B,0))</f>
        <v>4.2761463163317878E-3</v>
      </c>
    </row>
    <row r="209" spans="1:2" ht="16" x14ac:dyDescent="0.2">
      <c r="A209" s="4" t="s">
        <v>401</v>
      </c>
      <c r="B209">
        <f>INDEX(Calculation!$Z:$Z,MATCH($A209,Calculation!$B:$B,0))</f>
        <v>5.3896395273470609E-3</v>
      </c>
    </row>
    <row r="210" spans="1:2" ht="16" x14ac:dyDescent="0.2">
      <c r="A210" s="4" t="s">
        <v>406</v>
      </c>
      <c r="B210">
        <f>INDEX(Calculation!$Z:$Z,MATCH($A210,Calculation!$B:$B,0))</f>
        <v>3.2174968007844312E-3</v>
      </c>
    </row>
    <row r="211" spans="1:2" ht="16" x14ac:dyDescent="0.2">
      <c r="A211" s="4" t="s">
        <v>412</v>
      </c>
      <c r="B211">
        <f>INDEX(Calculation!$Z:$Z,MATCH($A211,Calculation!$B:$B,0))</f>
        <v>5.4677502451346992E-4</v>
      </c>
    </row>
    <row r="212" spans="1:2" ht="16" x14ac:dyDescent="0.2">
      <c r="A212" s="4" t="s">
        <v>523</v>
      </c>
      <c r="B212">
        <f>INDEX(Calculation!$Z:$Z,MATCH($A212,Calculation!$B:$B,0))</f>
        <v>7.5451629522527467E-4</v>
      </c>
    </row>
    <row r="213" spans="1:2" ht="16" x14ac:dyDescent="0.2">
      <c r="A213" s="4" t="s">
        <v>622</v>
      </c>
      <c r="B213">
        <f>INDEX(Calculation!$Z:$Z,MATCH($A213,Calculation!$B:$B,0))</f>
        <v>8.1600771135596881E-4</v>
      </c>
    </row>
    <row r="214" spans="1:2" ht="16" x14ac:dyDescent="0.2">
      <c r="A214" s="4" t="s">
        <v>630</v>
      </c>
      <c r="B214">
        <f>INDEX(Calculation!$Z:$Z,MATCH($A214,Calculation!$B:$B,0))</f>
        <v>4.5370693523458147E-4</v>
      </c>
    </row>
    <row r="215" spans="1:2" ht="16" x14ac:dyDescent="0.2">
      <c r="A215" s="4" t="s">
        <v>633</v>
      </c>
      <c r="B215">
        <f>INDEX(Calculation!$Z:$Z,MATCH($A215,Calculation!$B:$B,0))</f>
        <v>1.2331521829452726E-3</v>
      </c>
    </row>
    <row r="216" spans="1:2" ht="16" x14ac:dyDescent="0.2">
      <c r="A216" s="4" t="s">
        <v>654</v>
      </c>
      <c r="B216">
        <f>INDEX(Calculation!$Z:$Z,MATCH($A216,Calculation!$B:$B,0))</f>
        <v>0</v>
      </c>
    </row>
    <row r="217" spans="1:2" ht="16" x14ac:dyDescent="0.2">
      <c r="A217" s="4" t="s">
        <v>669</v>
      </c>
      <c r="B217">
        <f>INDEX(Calculation!$Z:$Z,MATCH($A217,Calculation!$B:$B,0))</f>
        <v>4.6384470924531749E-3</v>
      </c>
    </row>
    <row r="218" spans="1:2" ht="16" x14ac:dyDescent="0.2">
      <c r="A218" s="4" t="s">
        <v>750</v>
      </c>
      <c r="B218">
        <f>INDEX(Calculation!$Z:$Z,MATCH($A218,Calculation!$B:$B,0))</f>
        <v>8.9411842914360743E-4</v>
      </c>
    </row>
    <row r="219" spans="1:2" ht="16" x14ac:dyDescent="0.2">
      <c r="A219" s="4" t="s">
        <v>771</v>
      </c>
      <c r="B219">
        <f>INDEX(Calculation!$Z:$Z,MATCH($A219,Calculation!$B:$B,0))</f>
        <v>8.9411842914360743E-4</v>
      </c>
    </row>
    <row r="220" spans="1:2" ht="16" x14ac:dyDescent="0.2">
      <c r="A220" s="4" t="s">
        <v>789</v>
      </c>
      <c r="B220">
        <f>INDEX(Calculation!$Z:$Z,MATCH($A220,Calculation!$B:$B,0))</f>
        <v>2.8851107676455437E-3</v>
      </c>
    </row>
    <row r="221" spans="1:2" ht="16" x14ac:dyDescent="0.2">
      <c r="A221" s="4" t="s">
        <v>792</v>
      </c>
      <c r="B221">
        <f>INDEX(Calculation!$Z:$Z,MATCH($A221,Calculation!$B:$B,0))</f>
        <v>2.0790746372837412E-3</v>
      </c>
    </row>
    <row r="222" spans="1:2" ht="16" x14ac:dyDescent="0.2">
      <c r="A222" s="4" t="s">
        <v>804</v>
      </c>
      <c r="B222">
        <f>INDEX(Calculation!$Z:$Z,MATCH($A222,Calculation!$B:$B,0))</f>
        <v>9.6425188213591258E-3</v>
      </c>
    </row>
    <row r="223" spans="1:2" ht="16" x14ac:dyDescent="0.2">
      <c r="A223" s="4" t="s">
        <v>941</v>
      </c>
      <c r="B223">
        <f>INDEX(Calculation!$Z:$Z,MATCH($A223,Calculation!$B:$B,0))</f>
        <v>5.1686028153097004E-4</v>
      </c>
    </row>
    <row r="224" spans="1:2" ht="16" x14ac:dyDescent="0.2">
      <c r="A224" s="4" t="s">
        <v>837</v>
      </c>
      <c r="B224">
        <f>INDEX(Calculation!$Z:$Z,MATCH($A224,Calculation!$B:$B,0))</f>
        <v>8.7849628558607975E-3</v>
      </c>
    </row>
    <row r="225" spans="1:2" ht="16" x14ac:dyDescent="0.2">
      <c r="A225" s="4" t="s">
        <v>872</v>
      </c>
      <c r="B225">
        <f>INDEX(Calculation!$Z:$Z,MATCH($A225,Calculation!$B:$B,0))</f>
        <v>1.1766465573116618E-3</v>
      </c>
    </row>
    <row r="226" spans="1:2" ht="16" x14ac:dyDescent="0.2">
      <c r="A226" s="4" t="s">
        <v>884</v>
      </c>
      <c r="B226">
        <f>INDEX(Calculation!$Z:$Z,MATCH($A226,Calculation!$B:$B,0))</f>
        <v>1.7167738611623539E-3</v>
      </c>
    </row>
    <row r="227" spans="1:2" ht="16" x14ac:dyDescent="0.2">
      <c r="A227" s="4" t="s">
        <v>920</v>
      </c>
      <c r="B227">
        <f>INDEX(Calculation!$Z:$Z,MATCH($A227,Calculation!$B:$B,0))</f>
        <v>1.1384221635006896E-3</v>
      </c>
    </row>
    <row r="228" spans="1:2" ht="16" x14ac:dyDescent="0.2">
      <c r="A228" s="4" t="s">
        <v>926</v>
      </c>
      <c r="B228">
        <f>INDEX(Calculation!$Z:$Z,MATCH($A228,Calculation!$B:$B,0))</f>
        <v>5.7004204683319204E-4</v>
      </c>
    </row>
    <row r="229" spans="1:2" ht="16" x14ac:dyDescent="0.2">
      <c r="A229" s="4" t="s">
        <v>929</v>
      </c>
      <c r="B229">
        <f>INDEX(Calculation!$Z:$Z,MATCH($A229,Calculation!$B:$B,0))</f>
        <v>2.5327815725183227E-3</v>
      </c>
    </row>
    <row r="230" spans="1:2" ht="16" x14ac:dyDescent="0.2">
      <c r="A230" s="4" t="s">
        <v>986</v>
      </c>
      <c r="B230">
        <f>INDEX(Calculation!$Z:$Z,MATCH($A230,Calculation!$B:$B,0))</f>
        <v>1.0436921440561068E-3</v>
      </c>
    </row>
    <row r="231" spans="1:2" ht="16" x14ac:dyDescent="0.2">
      <c r="A231" s="4" t="s">
        <v>1028</v>
      </c>
      <c r="B231">
        <f>INDEX(Calculation!$Z:$Z,MATCH($A231,Calculation!$B:$B,0))</f>
        <v>1.1068454903524953E-3</v>
      </c>
    </row>
    <row r="232" spans="1:2" ht="16" x14ac:dyDescent="0.2">
      <c r="A232" s="4" t="s">
        <v>995</v>
      </c>
      <c r="B232">
        <f>INDEX(Calculation!$Z:$Z,MATCH($A232,Calculation!$B:$B,0))</f>
        <v>1.0021438899137458E-3</v>
      </c>
    </row>
    <row r="233" spans="1:2" ht="16" x14ac:dyDescent="0.2">
      <c r="A233" s="4" t="s">
        <v>481</v>
      </c>
      <c r="B233">
        <f>INDEX(Calculation!$Z:$Z,MATCH($A233,Calculation!$B:$B,0))</f>
        <v>1.2514334147679114E-3</v>
      </c>
    </row>
    <row r="234" spans="1:2" ht="16" x14ac:dyDescent="0.2">
      <c r="A234" s="4" t="s">
        <v>93</v>
      </c>
      <c r="B234">
        <f>INDEX(Calculation!$Z:$Z,MATCH($A234,Calculation!$B:$B,0))</f>
        <v>9.1406159113194068E-4</v>
      </c>
    </row>
    <row r="235" spans="1:2" ht="16" x14ac:dyDescent="0.2">
      <c r="A235" s="4" t="s">
        <v>99</v>
      </c>
      <c r="B235">
        <f>INDEX(Calculation!$Z:$Z,MATCH($A235,Calculation!$B:$B,0))</f>
        <v>6.0992837080985855E-4</v>
      </c>
    </row>
    <row r="236" spans="1:2" ht="16" x14ac:dyDescent="0.2">
      <c r="A236" s="4" t="s">
        <v>108</v>
      </c>
      <c r="B236">
        <f>INDEX(Calculation!$Z:$Z,MATCH($A236,Calculation!$B:$B,0))</f>
        <v>1.5389473334330491E-3</v>
      </c>
    </row>
    <row r="237" spans="1:2" ht="16" x14ac:dyDescent="0.2">
      <c r="A237" s="4" t="s">
        <v>171</v>
      </c>
      <c r="B237">
        <f>INDEX(Calculation!$Z:$Z,MATCH($A237,Calculation!$B:$B,0))</f>
        <v>1.1600272556547173E-3</v>
      </c>
    </row>
    <row r="238" spans="1:2" ht="16" x14ac:dyDescent="0.2">
      <c r="A238" s="4" t="s">
        <v>307</v>
      </c>
      <c r="B238">
        <f>INDEX(Calculation!$Z:$Z,MATCH($A238,Calculation!$B:$B,0))</f>
        <v>7.5285436505958018E-4</v>
      </c>
    </row>
    <row r="239" spans="1:2" ht="16" x14ac:dyDescent="0.2">
      <c r="A239" s="4" t="s">
        <v>377</v>
      </c>
      <c r="B239">
        <f>INDEX(Calculation!$Z:$Z,MATCH($A239,Calculation!$B:$B,0))</f>
        <v>4.9309468016153959E-3</v>
      </c>
    </row>
    <row r="240" spans="1:2" ht="16" x14ac:dyDescent="0.2">
      <c r="A240" s="4" t="s">
        <v>463</v>
      </c>
      <c r="B240">
        <f>INDEX(Calculation!$Z:$Z,MATCH($A240,Calculation!$B:$B,0))</f>
        <v>2.5892871981519337E-3</v>
      </c>
    </row>
    <row r="241" spans="1:2" ht="16" x14ac:dyDescent="0.2">
      <c r="A241" s="4" t="s">
        <v>544</v>
      </c>
      <c r="B241">
        <f>INDEX(Calculation!$Z:$Z,MATCH($A241,Calculation!$B:$B,0))</f>
        <v>4.2794701766631768E-3</v>
      </c>
    </row>
    <row r="242" spans="1:2" ht="16" x14ac:dyDescent="0.2">
      <c r="A242" s="4" t="s">
        <v>550</v>
      </c>
      <c r="B242">
        <f>INDEX(Calculation!$Z:$Z,MATCH($A242,Calculation!$B:$B,0))</f>
        <v>6.0494258031277529E-4</v>
      </c>
    </row>
    <row r="243" spans="1:2" ht="16" x14ac:dyDescent="0.2">
      <c r="A243" s="4" t="s">
        <v>583</v>
      </c>
      <c r="B243">
        <f>INDEX(Calculation!$Z:$Z,MATCH($A243,Calculation!$B:$B,0))</f>
        <v>3.0247129015638764E-4</v>
      </c>
    </row>
    <row r="244" spans="1:2" ht="16" x14ac:dyDescent="0.2">
      <c r="A244" s="4" t="s">
        <v>589</v>
      </c>
      <c r="B244">
        <f>INDEX(Calculation!$Z:$Z,MATCH($A244,Calculation!$B:$B,0))</f>
        <v>6.8637715843180268E-4</v>
      </c>
    </row>
    <row r="245" spans="1:2" ht="16" x14ac:dyDescent="0.2">
      <c r="A245" s="4" t="s">
        <v>735</v>
      </c>
      <c r="B245">
        <f>INDEX(Calculation!$Z:$Z,MATCH($A245,Calculation!$B:$B,0))</f>
        <v>8.6619800235994086E-3</v>
      </c>
    </row>
    <row r="246" spans="1:2" ht="16" x14ac:dyDescent="0.2">
      <c r="A246" s="4" t="s">
        <v>768</v>
      </c>
      <c r="B246">
        <f>INDEX(Calculation!$Z:$Z,MATCH($A246,Calculation!$B:$B,0))</f>
        <v>3.4568147446444302E-4</v>
      </c>
    </row>
    <row r="247" spans="1:2" ht="16" x14ac:dyDescent="0.2">
      <c r="A247" s="4" t="s">
        <v>810</v>
      </c>
      <c r="B247">
        <f>INDEX(Calculation!$Z:$Z,MATCH($A247,Calculation!$B:$B,0))</f>
        <v>1.1949277891343006E-3</v>
      </c>
    </row>
    <row r="248" spans="1:2" ht="16" x14ac:dyDescent="0.2">
      <c r="A248" s="4" t="s">
        <v>866</v>
      </c>
      <c r="B248">
        <f>INDEX(Calculation!$Z:$Z,MATCH($A248,Calculation!$B:$B,0))</f>
        <v>4.420734240747204E-4</v>
      </c>
    </row>
    <row r="249" spans="1:2" ht="16" x14ac:dyDescent="0.2">
      <c r="A249" s="4" t="s">
        <v>890</v>
      </c>
      <c r="B249">
        <f>INDEX(Calculation!$Z:$Z,MATCH($A249,Calculation!$B:$B,0))</f>
        <v>8.7400907413870462E-3</v>
      </c>
    </row>
    <row r="250" spans="1:2" ht="16" x14ac:dyDescent="0.2">
      <c r="A250" s="4" t="s">
        <v>893</v>
      </c>
      <c r="B250">
        <f>INDEX(Calculation!$Z:$Z,MATCH($A250,Calculation!$B:$B,0))</f>
        <v>3.1859201276362367E-3</v>
      </c>
    </row>
    <row r="251" spans="1:2" ht="16" x14ac:dyDescent="0.2">
      <c r="A251" s="4" t="s">
        <v>908</v>
      </c>
      <c r="B251">
        <f>INDEX(Calculation!$Z:$Z,MATCH($A251,Calculation!$B:$B,0))</f>
        <v>3.9720130960097059E-4</v>
      </c>
    </row>
    <row r="252" spans="1:2" ht="16" x14ac:dyDescent="0.2">
      <c r="A252" s="4" t="s">
        <v>944</v>
      </c>
      <c r="B252">
        <f>INDEX(Calculation!$Z:$Z,MATCH($A252,Calculation!$B:$B,0))</f>
        <v>2.7039603795848497E-3</v>
      </c>
    </row>
    <row r="253" spans="1:2" ht="16" x14ac:dyDescent="0.2">
      <c r="A253" s="4" t="s">
        <v>869</v>
      </c>
      <c r="B253">
        <f>INDEX(Calculation!$Z:$Z,MATCH($A253,Calculation!$B:$B,0))</f>
        <v>7.7612138737930231E-4</v>
      </c>
    </row>
    <row r="254" spans="1:2" ht="16" x14ac:dyDescent="0.2">
      <c r="A254" s="4" t="s">
        <v>505</v>
      </c>
      <c r="B254">
        <f>INDEX(Calculation!$Z:$Z,MATCH($A254,Calculation!$B:$B,0))</f>
        <v>3.5864452975685962E-3</v>
      </c>
    </row>
    <row r="255" spans="1:2" ht="16" x14ac:dyDescent="0.2">
      <c r="A255" s="4" t="s">
        <v>436</v>
      </c>
      <c r="B255">
        <f>INDEX(Calculation!$Z:$Z,MATCH($A255,Calculation!$B:$B,0))</f>
        <v>5.5724518455734489E-3</v>
      </c>
    </row>
    <row r="256" spans="1:2" ht="16" x14ac:dyDescent="0.2">
      <c r="A256" s="4" t="s">
        <v>672</v>
      </c>
      <c r="B256">
        <f>INDEX(Calculation!$Z:$Z,MATCH($A256,Calculation!$B:$B,0))</f>
        <v>1.4774559173023549E-3</v>
      </c>
    </row>
    <row r="257" spans="1:2" ht="16" x14ac:dyDescent="0.2">
      <c r="A257" s="4" t="s">
        <v>828</v>
      </c>
      <c r="B257">
        <f>INDEX(Calculation!$Z:$Z,MATCH($A257,Calculation!$B:$B,0))</f>
        <v>1.2813481577504113E-3</v>
      </c>
    </row>
    <row r="258" spans="1:2" ht="16" x14ac:dyDescent="0.2">
      <c r="A258" s="4" t="s">
        <v>863</v>
      </c>
      <c r="B258">
        <f>INDEX(Calculation!$Z:$Z,MATCH($A258,Calculation!$B:$B,0))</f>
        <v>1.8364328330923534E-3</v>
      </c>
    </row>
    <row r="259" spans="1:2" ht="16" x14ac:dyDescent="0.2">
      <c r="A259" s="4" t="s">
        <v>651</v>
      </c>
      <c r="B259">
        <f>INDEX(Calculation!$Z:$Z,MATCH($A259,Calculation!$B:$B,0))</f>
        <v>1.2846720180818001E-3</v>
      </c>
    </row>
    <row r="260" spans="1:2" ht="16" x14ac:dyDescent="0.2">
      <c r="A260" s="4" t="s">
        <v>466</v>
      </c>
      <c r="B260">
        <f>INDEX(Calculation!$Z:$Z,MATCH($A260,Calculation!$B:$B,0))</f>
        <v>1.6037626098951321E-3</v>
      </c>
    </row>
    <row r="261" spans="1:2" ht="16" x14ac:dyDescent="0.2">
      <c r="A261" s="4" t="s">
        <v>487</v>
      </c>
      <c r="B261">
        <f>INDEX(Calculation!$Z:$Z,MATCH($A261,Calculation!$B:$B,0))</f>
        <v>1.6065878911768128E-2</v>
      </c>
    </row>
    <row r="262" spans="1:2" ht="16" x14ac:dyDescent="0.2">
      <c r="A262" s="4" t="s">
        <v>508</v>
      </c>
      <c r="B262">
        <f>INDEX(Calculation!$Z:$Z,MATCH($A262,Calculation!$B:$B,0))</f>
        <v>1.8031942297784646E-3</v>
      </c>
    </row>
    <row r="263" spans="1:2" ht="16" x14ac:dyDescent="0.2">
      <c r="A263" s="4" t="s">
        <v>535</v>
      </c>
      <c r="B263">
        <f>INDEX(Calculation!$Z:$Z,MATCH($A263,Calculation!$B:$B,0))</f>
        <v>1.1350983031693008E-3</v>
      </c>
    </row>
    <row r="264" spans="1:2" ht="16" x14ac:dyDescent="0.2">
      <c r="A264" s="4" t="s">
        <v>304</v>
      </c>
      <c r="B264">
        <f>INDEX(Calculation!$Z:$Z,MATCH($A264,Calculation!$B:$B,0))</f>
        <v>1.2447856941051336E-3</v>
      </c>
    </row>
    <row r="265" spans="1:2" ht="16" x14ac:dyDescent="0.2">
      <c r="A265" s="4" t="s">
        <v>347</v>
      </c>
      <c r="B265">
        <f>INDEX(Calculation!$Z:$Z,MATCH($A265,Calculation!$B:$B,0))</f>
        <v>1.2963055292416613E-3</v>
      </c>
    </row>
    <row r="266" spans="1:2" ht="16" x14ac:dyDescent="0.2">
      <c r="A266" s="4" t="s">
        <v>380</v>
      </c>
      <c r="B266">
        <f>INDEX(Calculation!$Z:$Z,MATCH($A266,Calculation!$B:$B,0))</f>
        <v>6.8803908859749717E-4</v>
      </c>
    </row>
    <row r="267" spans="1:2" ht="16" x14ac:dyDescent="0.2">
      <c r="A267" s="4" t="s">
        <v>475</v>
      </c>
      <c r="B267">
        <f>INDEX(Calculation!$Z:$Z,MATCH($A267,Calculation!$B:$B,0))</f>
        <v>2.5327815725183227E-3</v>
      </c>
    </row>
    <row r="268" spans="1:2" ht="16" x14ac:dyDescent="0.2">
      <c r="A268" s="4" t="s">
        <v>714</v>
      </c>
      <c r="B268">
        <f>INDEX(Calculation!$Z:$Z,MATCH($A268,Calculation!$B:$B,0))</f>
        <v>4.4373535424041484E-4</v>
      </c>
    </row>
    <row r="269" spans="1:2" ht="16" x14ac:dyDescent="0.2">
      <c r="A269" s="4" t="s">
        <v>732</v>
      </c>
      <c r="B269">
        <f>INDEX(Calculation!$Z:$Z,MATCH($A269,Calculation!$B:$B,0))</f>
        <v>9.3566668328596832E-4</v>
      </c>
    </row>
    <row r="270" spans="1:2" ht="16" x14ac:dyDescent="0.2">
      <c r="A270" s="4" t="s">
        <v>741</v>
      </c>
      <c r="B270">
        <f>INDEX(Calculation!$Z:$Z,MATCH($A270,Calculation!$B:$B,0))</f>
        <v>3.6944707583387347E-3</v>
      </c>
    </row>
    <row r="271" spans="1:2" ht="16" x14ac:dyDescent="0.2">
      <c r="A271" s="4" t="s">
        <v>765</v>
      </c>
      <c r="B271">
        <f>INDEX(Calculation!$Z:$Z,MATCH($A271,Calculation!$B:$B,0))</f>
        <v>2.0275548021472137E-3</v>
      </c>
    </row>
    <row r="272" spans="1:2" ht="16" x14ac:dyDescent="0.2">
      <c r="A272" s="4" t="s">
        <v>20</v>
      </c>
      <c r="B272">
        <f>INDEX(Calculation!$Z:$Z,MATCH($A272,Calculation!$B:$B,0))</f>
        <v>1.5422711937644381E-3</v>
      </c>
    </row>
    <row r="273" spans="1:2" ht="16" x14ac:dyDescent="0.2">
      <c r="A273" s="4" t="s">
        <v>150</v>
      </c>
      <c r="B273">
        <f>INDEX(Calculation!$Z:$Z,MATCH($A273,Calculation!$B:$B,0))</f>
        <v>1.1733226969802728E-3</v>
      </c>
    </row>
    <row r="274" spans="1:2" ht="16" x14ac:dyDescent="0.2">
      <c r="A274" s="4" t="s">
        <v>992</v>
      </c>
      <c r="B274">
        <f>INDEX(Calculation!$Z:$Z,MATCH($A274,Calculation!$B:$B,0))</f>
        <v>8.9910421964069069E-4</v>
      </c>
    </row>
    <row r="275" spans="1:2" ht="16" x14ac:dyDescent="0.2">
      <c r="A275" s="4" t="s">
        <v>610</v>
      </c>
      <c r="B275">
        <f>INDEX(Calculation!$Z:$Z,MATCH($A275,Calculation!$B:$B,0))</f>
        <v>3.8556779844110952E-4</v>
      </c>
    </row>
    <row r="276" spans="1:2" ht="16" x14ac:dyDescent="0.2">
      <c r="A276" s="4" t="s">
        <v>977</v>
      </c>
      <c r="B276">
        <f>INDEX(Calculation!$Z:$Z,MATCH($A276,Calculation!$B:$B,0))</f>
        <v>8.6087982582971868E-4</v>
      </c>
    </row>
    <row r="277" spans="1:2" ht="16" x14ac:dyDescent="0.2">
      <c r="A277" s="4" t="s">
        <v>613</v>
      </c>
      <c r="B277">
        <f>INDEX(Calculation!$Z:$Z,MATCH($A277,Calculation!$B:$B,0))</f>
        <v>1.2364760432766616E-3</v>
      </c>
    </row>
    <row r="278" spans="1:2" ht="16" x14ac:dyDescent="0.2">
      <c r="A278" s="4" t="s">
        <v>843</v>
      </c>
      <c r="B278">
        <f>INDEX(Calculation!$Z:$Z,MATCH($A278,Calculation!$B:$B,0))</f>
        <v>1.3378537833840221E-3</v>
      </c>
    </row>
    <row r="279" spans="1:2" ht="16" x14ac:dyDescent="0.2">
      <c r="A279" s="4" t="s">
        <v>956</v>
      </c>
      <c r="B279">
        <f>INDEX(Calculation!$Z:$Z,MATCH($A279,Calculation!$B:$B,0))</f>
        <v>8.2764122251582993E-4</v>
      </c>
    </row>
    <row r="280" spans="1:2" ht="16" x14ac:dyDescent="0.2">
      <c r="A280" s="4" t="s">
        <v>514</v>
      </c>
      <c r="B280">
        <f>INDEX(Calculation!$Z:$Z,MATCH($A280,Calculation!$B:$B,0))</f>
        <v>2.5610343853351282E-3</v>
      </c>
    </row>
    <row r="281" spans="1:2" ht="16" x14ac:dyDescent="0.2">
      <c r="A281" s="4" t="s">
        <v>192</v>
      </c>
      <c r="B281">
        <f>INDEX(Calculation!$Z:$Z,MATCH($A281,Calculation!$B:$B,0))</f>
        <v>1.1683369064831896E-3</v>
      </c>
    </row>
    <row r="282" spans="1:2" ht="16" x14ac:dyDescent="0.2">
      <c r="A282" s="4" t="s">
        <v>807</v>
      </c>
      <c r="B282">
        <f>INDEX(Calculation!$Z:$Z,MATCH($A282,Calculation!$B:$B,0))</f>
        <v>1.5838194479067989E-3</v>
      </c>
    </row>
    <row r="283" spans="1:2" ht="16" x14ac:dyDescent="0.2">
      <c r="A283" s="4" t="s">
        <v>571</v>
      </c>
      <c r="B283">
        <f>INDEX(Calculation!$Z:$Z,MATCH($A283,Calculation!$B:$B,0))</f>
        <v>1.2861677552309252E-2</v>
      </c>
    </row>
    <row r="284" spans="1:2" ht="16" x14ac:dyDescent="0.2">
      <c r="A284" s="4" t="s">
        <v>249</v>
      </c>
      <c r="B284">
        <f>INDEX(Calculation!$Z:$Z,MATCH($A284,Calculation!$B:$B,0))</f>
        <v>1.4043309900117996E-3</v>
      </c>
    </row>
    <row r="285" spans="1:2" ht="16" x14ac:dyDescent="0.2">
      <c r="A285" s="4" t="s">
        <v>780</v>
      </c>
      <c r="B285">
        <f>INDEX(Calculation!$Z:$Z,MATCH($A285,Calculation!$B:$B,0))</f>
        <v>1.2481095544365226E-3</v>
      </c>
    </row>
    <row r="286" spans="1:2" ht="16" x14ac:dyDescent="0.2">
      <c r="A286" s="4" t="s">
        <v>237</v>
      </c>
      <c r="B286">
        <f>INDEX(Calculation!$Z:$Z,MATCH($A286,Calculation!$B:$B,0))</f>
        <v>2.2552392348473517E-3</v>
      </c>
    </row>
    <row r="287" spans="1:2" ht="16" x14ac:dyDescent="0.2">
      <c r="A287" s="4" t="s">
        <v>120</v>
      </c>
      <c r="B287">
        <f>INDEX(Calculation!$Z:$Z,MATCH($A287,Calculation!$B:$B,0))</f>
        <v>1.0054677502451348E-3</v>
      </c>
    </row>
    <row r="288" spans="1:2" ht="16" x14ac:dyDescent="0.2">
      <c r="A288" s="4" t="s">
        <v>50</v>
      </c>
      <c r="B288">
        <f>INDEX(Calculation!$Z:$Z,MATCH($A288,Calculation!$B:$B,0))</f>
        <v>4.2379219225208159E-4</v>
      </c>
    </row>
    <row r="289" spans="1:2" ht="16" x14ac:dyDescent="0.2">
      <c r="A289" s="4" t="s">
        <v>105</v>
      </c>
      <c r="B289">
        <f>INDEX(Calculation!$Z:$Z,MATCH($A289,Calculation!$B:$B,0))</f>
        <v>7.9938840969902443E-4</v>
      </c>
    </row>
    <row r="290" spans="1:2" ht="16" x14ac:dyDescent="0.2">
      <c r="A290" s="4" t="s">
        <v>135</v>
      </c>
      <c r="B290">
        <f>INDEX(Calculation!$Z:$Z,MATCH($A290,Calculation!$B:$B,0))</f>
        <v>9.0575194030346844E-4</v>
      </c>
    </row>
    <row r="291" spans="1:2" ht="16" x14ac:dyDescent="0.2">
      <c r="A291" s="4" t="s">
        <v>335</v>
      </c>
      <c r="B291">
        <f>INDEX(Calculation!$Z:$Z,MATCH($A291,Calculation!$B:$B,0))</f>
        <v>6.1159030097555304E-4</v>
      </c>
    </row>
    <row r="292" spans="1:2" ht="16" x14ac:dyDescent="0.2">
      <c r="A292" s="4" t="s">
        <v>846</v>
      </c>
      <c r="B292">
        <f>INDEX(Calculation!$Z:$Z,MATCH($A292,Calculation!$B:$B,0))</f>
        <v>1.2813481577504113E-3</v>
      </c>
    </row>
    <row r="293" spans="1:2" ht="16" x14ac:dyDescent="0.2">
      <c r="A293" s="4" t="s">
        <v>565</v>
      </c>
      <c r="B293">
        <f>INDEX(Calculation!$Z:$Z,MATCH($A293,Calculation!$B:$B,0))</f>
        <v>3.2673547057552642E-3</v>
      </c>
    </row>
    <row r="294" spans="1:2" ht="16" x14ac:dyDescent="0.2">
      <c r="A294" s="4" t="s">
        <v>681</v>
      </c>
      <c r="B294">
        <f>INDEX(Calculation!$Z:$Z,MATCH($A294,Calculation!$B:$B,0))</f>
        <v>1.9627395256851306E-3</v>
      </c>
    </row>
    <row r="295" spans="1:2" ht="16" x14ac:dyDescent="0.2">
      <c r="A295" s="4" t="s">
        <v>421</v>
      </c>
      <c r="B295">
        <f>INDEX(Calculation!$Z:$Z,MATCH($A295,Calculation!$B:$B,0))</f>
        <v>1.7616459756361039E-3</v>
      </c>
    </row>
    <row r="296" spans="1:2" ht="16" x14ac:dyDescent="0.2">
      <c r="A296" s="4" t="s">
        <v>586</v>
      </c>
      <c r="B296">
        <f>INDEX(Calculation!$Z:$Z,MATCH($A296,Calculation!$B:$B,0))</f>
        <v>1.4043309900117996E-3</v>
      </c>
    </row>
    <row r="297" spans="1:2" ht="16" x14ac:dyDescent="0.2">
      <c r="A297" s="4" t="s">
        <v>726</v>
      </c>
      <c r="B297">
        <f>INDEX(Calculation!$Z:$Z,MATCH($A297,Calculation!$B:$B,0))</f>
        <v>1.4093167805088831E-3</v>
      </c>
    </row>
    <row r="298" spans="1:2" ht="16" x14ac:dyDescent="0.2">
      <c r="A298" s="4" t="s">
        <v>301</v>
      </c>
      <c r="B298">
        <f>INDEX(Calculation!$Z:$Z,MATCH($A298,Calculation!$B:$B,0))</f>
        <v>1.5106945206162436E-3</v>
      </c>
    </row>
    <row r="299" spans="1:2" ht="16" x14ac:dyDescent="0.2">
      <c r="A299" s="4" t="s">
        <v>645</v>
      </c>
      <c r="B299">
        <f>INDEX(Calculation!$Z:$Z,MATCH($A299,Calculation!$B:$B,0))</f>
        <v>6.7806750760333054E-4</v>
      </c>
    </row>
    <row r="300" spans="1:2" ht="16" x14ac:dyDescent="0.2">
      <c r="A300" s="4" t="s">
        <v>219</v>
      </c>
      <c r="B300">
        <f>INDEX(Calculation!$Z:$Z,MATCH($A300,Calculation!$B:$B,0))</f>
        <v>1.1816323478087451E-3</v>
      </c>
    </row>
    <row r="301" spans="1:2" ht="16" x14ac:dyDescent="0.2">
      <c r="A301" s="4" t="s">
        <v>965</v>
      </c>
      <c r="B301">
        <f>INDEX(Calculation!$Z:$Z,MATCH($A301,Calculation!$B:$B,0))</f>
        <v>4.1589802396503298E-2</v>
      </c>
    </row>
    <row r="302" spans="1:2" ht="16" x14ac:dyDescent="0.2">
      <c r="A302" s="4" t="s">
        <v>562</v>
      </c>
      <c r="B302">
        <f>INDEX(Calculation!$Z:$Z,MATCH($A302,Calculation!$B:$B,0))</f>
        <v>5.1337022818301178E-3</v>
      </c>
    </row>
    <row r="303" spans="1:2" ht="16" x14ac:dyDescent="0.2">
      <c r="A303" s="4" t="s">
        <v>117</v>
      </c>
      <c r="B303">
        <f>INDEX(Calculation!$Z:$Z,MATCH($A303,Calculation!$B:$B,0))</f>
        <v>3.0263748317295707E-3</v>
      </c>
    </row>
    <row r="304" spans="1:2" ht="16" x14ac:dyDescent="0.2">
      <c r="A304" s="4" t="s">
        <v>165</v>
      </c>
      <c r="B304">
        <f>INDEX(Calculation!$Z:$Z,MATCH($A304,Calculation!$B:$B,0))</f>
        <v>3.3172126107260972E-3</v>
      </c>
    </row>
    <row r="305" spans="1:2" ht="16" x14ac:dyDescent="0.2">
      <c r="A305" s="4" t="s">
        <v>774</v>
      </c>
      <c r="B305">
        <f>INDEX(Calculation!$Z:$Z,MATCH($A305,Calculation!$B:$B,0))</f>
        <v>3.1211048511741537E-3</v>
      </c>
    </row>
    <row r="306" spans="1:2" ht="16" x14ac:dyDescent="0.2">
      <c r="A306" s="4" t="s">
        <v>451</v>
      </c>
      <c r="B306">
        <f>INDEX(Calculation!$Z:$Z,MATCH($A306,Calculation!$B:$B,0))</f>
        <v>1.5522427747586046E-3</v>
      </c>
    </row>
    <row r="307" spans="1:2" ht="16" x14ac:dyDescent="0.2">
      <c r="A307" s="4" t="s">
        <v>201</v>
      </c>
      <c r="B307">
        <f>INDEX(Calculation!$Z:$Z,MATCH($A307,Calculation!$B:$B,0))</f>
        <v>5.7502783733027541E-4</v>
      </c>
    </row>
    <row r="308" spans="1:2" ht="16" x14ac:dyDescent="0.2">
      <c r="A308" s="4" t="s">
        <v>1025</v>
      </c>
      <c r="B308">
        <f>INDEX(Calculation!$Z:$Z,MATCH($A308,Calculation!$B:$B,0))</f>
        <v>4.8528360838277574E-3</v>
      </c>
    </row>
    <row r="309" spans="1:2" ht="16" x14ac:dyDescent="0.2">
      <c r="A309" s="4" t="s">
        <v>687</v>
      </c>
      <c r="B309">
        <f>INDEX(Calculation!$Z:$Z,MATCH($A309,Calculation!$B:$B,0))</f>
        <v>2.6291735221286002E-3</v>
      </c>
    </row>
    <row r="310" spans="1:2" ht="16" x14ac:dyDescent="0.2">
      <c r="A310" s="4" t="s">
        <v>636</v>
      </c>
      <c r="B310">
        <f>INDEX(Calculation!$Z:$Z,MATCH($A310,Calculation!$B:$B,0))</f>
        <v>2.5793156171577672E-3</v>
      </c>
    </row>
    <row r="311" spans="1:2" ht="16" x14ac:dyDescent="0.2">
      <c r="A311" s="4" t="s">
        <v>1034</v>
      </c>
      <c r="B311">
        <f>INDEX(Calculation!$Z:$Z,MATCH($A311,Calculation!$B:$B,0))</f>
        <v>1.6669159561915209E-3</v>
      </c>
    </row>
    <row r="312" spans="1:2" ht="16" x14ac:dyDescent="0.2">
      <c r="A312" s="4" t="s">
        <v>816</v>
      </c>
      <c r="B312">
        <f>INDEX(Calculation!$Z:$Z,MATCH($A312,Calculation!$B:$B,0))</f>
        <v>4.5536886540027584E-3</v>
      </c>
    </row>
    <row r="313" spans="1:2" ht="16" x14ac:dyDescent="0.2">
      <c r="A313" s="4" t="s">
        <v>144</v>
      </c>
      <c r="B313">
        <f>INDEX(Calculation!$Z:$Z,MATCH($A313,Calculation!$B:$B,0))</f>
        <v>1.0935500490269398E-3</v>
      </c>
    </row>
    <row r="314" spans="1:2" ht="16" x14ac:dyDescent="0.2">
      <c r="A314" s="4" t="s">
        <v>268</v>
      </c>
      <c r="B314">
        <f>INDEX(Calculation!$Z:$Z,MATCH($A314,Calculation!$B:$B,0))</f>
        <v>1.2198567416197171E-3</v>
      </c>
    </row>
    <row r="315" spans="1:2" ht="16" x14ac:dyDescent="0.2">
      <c r="A315" s="4" t="s">
        <v>813</v>
      </c>
      <c r="B315">
        <f>INDEX(Calculation!$Z:$Z,MATCH($A315,Calculation!$B:$B,0))</f>
        <v>2.0774127071180471E-3</v>
      </c>
    </row>
    <row r="316" spans="1:2" ht="16" x14ac:dyDescent="0.2">
      <c r="A316" s="4" t="s">
        <v>427</v>
      </c>
      <c r="B316">
        <f>INDEX(Calculation!$Z:$Z,MATCH($A316,Calculation!$B:$B,0))</f>
        <v>1.0544946901331205E-2</v>
      </c>
    </row>
    <row r="317" spans="1:2" ht="16" x14ac:dyDescent="0.2">
      <c r="A317" s="4" t="s">
        <v>502</v>
      </c>
      <c r="B317">
        <f>INDEX(Calculation!$Z:$Z,MATCH($A317,Calculation!$B:$B,0))</f>
        <v>2.2452676538531851E-3</v>
      </c>
    </row>
    <row r="318" spans="1:2" ht="16" x14ac:dyDescent="0.2">
      <c r="A318" s="4" t="s">
        <v>313</v>
      </c>
      <c r="B318">
        <f>INDEX(Calculation!$Z:$Z,MATCH($A318,Calculation!$B:$B,0))</f>
        <v>2.3616027654517957E-3</v>
      </c>
    </row>
    <row r="319" spans="1:2" ht="16" x14ac:dyDescent="0.2">
      <c r="A319" s="4" t="s">
        <v>693</v>
      </c>
      <c r="B319">
        <f>INDEX(Calculation!$Z:$Z,MATCH($A319,Calculation!$B:$B,0))</f>
        <v>5.4710741054660884E-3</v>
      </c>
    </row>
    <row r="320" spans="1:2" ht="16" x14ac:dyDescent="0.2">
      <c r="A320" s="4" t="s">
        <v>604</v>
      </c>
      <c r="B320">
        <f>INDEX(Calculation!$Z:$Z,MATCH($A320,Calculation!$B:$B,0))</f>
        <v>2.1455518439115187E-3</v>
      </c>
    </row>
    <row r="321" spans="1:2" ht="16" x14ac:dyDescent="0.2">
      <c r="A321" s="4" t="s">
        <v>472</v>
      </c>
      <c r="B321">
        <f>INDEX(Calculation!$Z:$Z,MATCH($A321,Calculation!$B:$B,0))</f>
        <v>1.6702398165229096E-3</v>
      </c>
    </row>
    <row r="322" spans="1:2" ht="16" x14ac:dyDescent="0.2">
      <c r="A322" s="4" t="s">
        <v>295</v>
      </c>
      <c r="B322">
        <f>INDEX(Calculation!$Z:$Z,MATCH($A322,Calculation!$B:$B,0))</f>
        <v>3.3238603313888752E-3</v>
      </c>
    </row>
    <row r="323" spans="1:2" ht="16" x14ac:dyDescent="0.2">
      <c r="A323" s="4" t="s">
        <v>322</v>
      </c>
      <c r="B323">
        <f>INDEX(Calculation!$Z:$Z,MATCH($A323,Calculation!$B:$B,0))</f>
        <v>2.2535773046816572E-3</v>
      </c>
    </row>
    <row r="324" spans="1:2" ht="16" x14ac:dyDescent="0.2">
      <c r="A324" s="4" t="s">
        <v>102</v>
      </c>
      <c r="B324">
        <f>INDEX(Calculation!$Z:$Z,MATCH($A324,Calculation!$B:$B,0))</f>
        <v>1.5605524255870769E-3</v>
      </c>
    </row>
    <row r="325" spans="1:2" ht="16" x14ac:dyDescent="0.2">
      <c r="A325" s="4" t="s">
        <v>553</v>
      </c>
      <c r="B325">
        <f>INDEX(Calculation!$Z:$Z,MATCH($A325,Calculation!$B:$B,0))</f>
        <v>6.1491416130694185E-3</v>
      </c>
    </row>
    <row r="326" spans="1:2" ht="16" x14ac:dyDescent="0.2">
      <c r="A326" s="4" t="s">
        <v>923</v>
      </c>
      <c r="B326">
        <f>INDEX(Calculation!$Z:$Z,MATCH($A326,Calculation!$B:$B,0))</f>
        <v>3.5648402054145683E-3</v>
      </c>
    </row>
    <row r="327" spans="1:2" ht="16" x14ac:dyDescent="0.2">
      <c r="A327" s="4" t="s">
        <v>962</v>
      </c>
      <c r="B327">
        <f>INDEX(Calculation!$Z:$Z,MATCH($A327,Calculation!$B:$B,0))</f>
        <v>1.0287347725648568E-3</v>
      </c>
    </row>
    <row r="328" spans="1:2" ht="16" x14ac:dyDescent="0.2">
      <c r="A328" s="4" t="s">
        <v>568</v>
      </c>
      <c r="B328">
        <f>INDEX(Calculation!$Z:$Z,MATCH($A328,Calculation!$B:$B,0))</f>
        <v>5.2334180917717838E-3</v>
      </c>
    </row>
    <row r="329" spans="1:2" ht="16" x14ac:dyDescent="0.2">
      <c r="A329" s="4" t="s">
        <v>96</v>
      </c>
      <c r="B329">
        <f>INDEX(Calculation!$Z:$Z,MATCH($A329,Calculation!$B:$B,0))</f>
        <v>1.3428395738811056E-3</v>
      </c>
    </row>
    <row r="330" spans="1:2" ht="16" x14ac:dyDescent="0.2">
      <c r="A330" s="4" t="s">
        <v>577</v>
      </c>
      <c r="B330">
        <f>INDEX(Calculation!$Z:$Z,MATCH($A330,Calculation!$B:$B,0))</f>
        <v>1.2996293895730501E-3</v>
      </c>
    </row>
    <row r="331" spans="1:2" ht="16" x14ac:dyDescent="0.2">
      <c r="A331" s="4" t="s">
        <v>53</v>
      </c>
      <c r="B331">
        <f>INDEX(Calculation!$Z:$Z,MATCH($A331,Calculation!$B:$B,0))</f>
        <v>2.0674411261238802E-3</v>
      </c>
    </row>
    <row r="332" spans="1:2" ht="16" x14ac:dyDescent="0.2">
      <c r="A332" s="4" t="s">
        <v>947</v>
      </c>
      <c r="B332">
        <f>INDEX(Calculation!$Z:$Z,MATCH($A332,Calculation!$B:$B,0))</f>
        <v>4.8877366173073408E-3</v>
      </c>
    </row>
    <row r="333" spans="1:2" ht="16" x14ac:dyDescent="0.2">
      <c r="A333" s="4" t="s">
        <v>896</v>
      </c>
      <c r="B333">
        <f>INDEX(Calculation!$Z:$Z,MATCH($A333,Calculation!$B:$B,0))</f>
        <v>4.3542570341194263E-3</v>
      </c>
    </row>
    <row r="334" spans="1:2" ht="16" x14ac:dyDescent="0.2">
      <c r="A334" s="4" t="s">
        <v>418</v>
      </c>
      <c r="B334">
        <f>INDEX(Calculation!$Z:$Z,MATCH($A334,Calculation!$B:$B,0))</f>
        <v>3.0047697395755432E-3</v>
      </c>
    </row>
    <row r="335" spans="1:2" ht="16" x14ac:dyDescent="0.2">
      <c r="A335" s="4" t="s">
        <v>424</v>
      </c>
      <c r="B335">
        <f>INDEX(Calculation!$Z:$Z,MATCH($A335,Calculation!$B:$B,0))</f>
        <v>4.7531202738860913E-3</v>
      </c>
    </row>
    <row r="336" spans="1:2" ht="16" x14ac:dyDescent="0.2">
      <c r="A336" s="4" t="s">
        <v>953</v>
      </c>
      <c r="B336">
        <f>INDEX(Calculation!$Z:$Z,MATCH($A336,Calculation!$B:$B,0))</f>
        <v>2.5859633378205447E-3</v>
      </c>
    </row>
    <row r="337" spans="1:2" ht="16" x14ac:dyDescent="0.2">
      <c r="A337" s="4" t="s">
        <v>607</v>
      </c>
      <c r="B337">
        <f>INDEX(Calculation!$Z:$Z,MATCH($A337,Calculation!$B:$B,0))</f>
        <v>1.8480663442522146E-3</v>
      </c>
    </row>
    <row r="338" spans="1:2" ht="16" x14ac:dyDescent="0.2">
      <c r="A338" s="4" t="s">
        <v>574</v>
      </c>
      <c r="B338">
        <f>INDEX(Calculation!$Z:$Z,MATCH($A338,Calculation!$B:$B,0))</f>
        <v>1.5339615429359659E-3</v>
      </c>
    </row>
    <row r="339" spans="1:2" ht="16" x14ac:dyDescent="0.2">
      <c r="A339" s="4" t="s">
        <v>261</v>
      </c>
      <c r="B339">
        <f>INDEX(Calculation!$Z:$Z,MATCH($A339,Calculation!$B:$B,0))</f>
        <v>1.8065180901098536E-3</v>
      </c>
    </row>
    <row r="340" spans="1:2" ht="16" x14ac:dyDescent="0.2">
      <c r="A340" s="4" t="s">
        <v>216</v>
      </c>
      <c r="B340">
        <f>INDEX(Calculation!$Z:$Z,MATCH($A340,Calculation!$B:$B,0))</f>
        <v>3.9637034451812337E-3</v>
      </c>
    </row>
    <row r="341" spans="1:2" ht="16" x14ac:dyDescent="0.2">
      <c r="A341" s="4" t="s">
        <v>478</v>
      </c>
      <c r="B341">
        <f>INDEX(Calculation!$Z:$Z,MATCH($A341,Calculation!$B:$B,0))</f>
        <v>5.3929633876784499E-3</v>
      </c>
    </row>
    <row r="342" spans="1:2" ht="16" x14ac:dyDescent="0.2">
      <c r="A342" s="4" t="s">
        <v>538</v>
      </c>
      <c r="B342">
        <f>INDEX(Calculation!$Z:$Z,MATCH($A342,Calculation!$B:$B,0))</f>
        <v>2.4978810390387397E-3</v>
      </c>
    </row>
    <row r="343" spans="1:2" ht="16" x14ac:dyDescent="0.2">
      <c r="A343" s="4" t="s">
        <v>911</v>
      </c>
      <c r="B343">
        <f>INDEX(Calculation!$Z:$Z,MATCH($A343,Calculation!$B:$B,0))</f>
        <v>2.5626963155008227E-3</v>
      </c>
    </row>
  </sheetData>
  <autoFilter ref="A1:B343" xr:uid="{50FF9913-8B21-AD45-BECB-019D43C26A00}">
    <sortState xmlns:xlrd2="http://schemas.microsoft.com/office/spreadsheetml/2017/richdata2" ref="A2:B343">
      <sortCondition ref="A1:A3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18E4-A72A-624B-BF84-F930349E3A3D}">
  <sheetPr>
    <tabColor theme="8" tint="0.39997558519241921"/>
  </sheetPr>
  <dimension ref="A1:Z344"/>
  <sheetViews>
    <sheetView workbookViewId="0">
      <selection activeCell="R11" sqref="R11"/>
    </sheetView>
  </sheetViews>
  <sheetFormatPr baseColWidth="10" defaultRowHeight="15" x14ac:dyDescent="0.2"/>
  <cols>
    <col min="4" max="4" width="25.6640625" customWidth="1"/>
    <col min="5" max="7" width="33.1640625" bestFit="1" customWidth="1"/>
    <col min="8" max="8" width="41.6640625" customWidth="1"/>
  </cols>
  <sheetData>
    <row r="1" spans="1:26" x14ac:dyDescent="0.2">
      <c r="D1">
        <v>2019</v>
      </c>
      <c r="E1">
        <v>2020</v>
      </c>
      <c r="F1">
        <v>2021</v>
      </c>
      <c r="G1">
        <v>2022</v>
      </c>
      <c r="H1">
        <v>2023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2019</v>
      </c>
      <c r="O1">
        <v>2020</v>
      </c>
      <c r="P1">
        <v>2021</v>
      </c>
      <c r="Q1">
        <v>2022</v>
      </c>
      <c r="R1">
        <v>2023</v>
      </c>
      <c r="S1" t="s">
        <v>1062</v>
      </c>
      <c r="T1" t="s">
        <v>1062</v>
      </c>
      <c r="U1" t="s">
        <v>1062</v>
      </c>
      <c r="V1" t="s">
        <v>1063</v>
      </c>
      <c r="W1" t="s">
        <v>1063</v>
      </c>
      <c r="X1" t="s">
        <v>1063</v>
      </c>
      <c r="Y1" t="s">
        <v>1064</v>
      </c>
      <c r="Z1" t="s">
        <v>1067</v>
      </c>
    </row>
    <row r="2" spans="1:26" x14ac:dyDescent="0.2">
      <c r="A2" s="3" t="s">
        <v>16</v>
      </c>
      <c r="B2" s="3" t="s">
        <v>17</v>
      </c>
      <c r="C2" s="3" t="s">
        <v>18</v>
      </c>
      <c r="D2" s="7" t="s">
        <v>1043</v>
      </c>
      <c r="E2" s="7" t="s">
        <v>1046</v>
      </c>
      <c r="F2" s="8" t="s">
        <v>1049</v>
      </c>
      <c r="G2" s="8" t="s">
        <v>1052</v>
      </c>
      <c r="H2" s="8" t="s">
        <v>1055</v>
      </c>
      <c r="I2" s="7" t="s">
        <v>1044</v>
      </c>
      <c r="J2" s="7" t="s">
        <v>1047</v>
      </c>
      <c r="K2" s="8" t="s">
        <v>1050</v>
      </c>
      <c r="L2" s="8" t="s">
        <v>1053</v>
      </c>
      <c r="M2" s="8" t="s">
        <v>1056</v>
      </c>
      <c r="N2" s="7" t="s">
        <v>1045</v>
      </c>
      <c r="O2" s="8" t="s">
        <v>1048</v>
      </c>
      <c r="P2" s="8" t="s">
        <v>1051</v>
      </c>
      <c r="Q2" s="8" t="s">
        <v>1054</v>
      </c>
      <c r="R2" s="8" t="s">
        <v>1057</v>
      </c>
      <c r="S2" s="9" t="s">
        <v>2</v>
      </c>
      <c r="T2" s="9" t="s">
        <v>3</v>
      </c>
      <c r="U2" s="9" t="s">
        <v>4</v>
      </c>
      <c r="V2" s="11" t="s">
        <v>2</v>
      </c>
      <c r="W2" s="11" t="s">
        <v>3</v>
      </c>
      <c r="X2" s="11" t="s">
        <v>4</v>
      </c>
      <c r="Y2" s="12" t="s">
        <v>1065</v>
      </c>
      <c r="Z2" s="10" t="s">
        <v>1066</v>
      </c>
    </row>
    <row r="3" spans="1:26" ht="16" x14ac:dyDescent="0.2">
      <c r="A3" s="4" t="s">
        <v>330</v>
      </c>
      <c r="B3" s="4" t="s">
        <v>331</v>
      </c>
      <c r="C3" s="4" t="s">
        <v>1058</v>
      </c>
      <c r="D3">
        <f>INDEX('Energieverbruik in TJ Gemeente'!$B$4:$Q$347,MATCH($C3,'Energieverbruik in TJ Gemeente'!$B$4:$B$347,0),MATCH(D$2,'Energieverbruik in TJ Gemeente'!$B$4:$Q$4,0))</f>
        <v>11688</v>
      </c>
      <c r="E3">
        <f>INDEX('Energieverbruik in TJ Gemeente'!$B$4:$Q$347,MATCH($C3,'Energieverbruik in TJ Gemeente'!$B$4:$B$347,0),MATCH(E$2,'Energieverbruik in TJ Gemeente'!$B$4:$Q$4,0))</f>
        <v>11297</v>
      </c>
      <c r="F3">
        <f>INDEX('Energieverbruik in TJ Gemeente'!$B$4:$Q$347,MATCH($C3,'Energieverbruik in TJ Gemeente'!$B$4:$B$347,0),MATCH(F$2,'Energieverbruik in TJ Gemeente'!$B$4:$Q$4,0))</f>
        <v>11499</v>
      </c>
      <c r="G3">
        <f>INDEX('Energieverbruik in TJ Gemeente'!$B$4:$Q$347,MATCH($C3,'Energieverbruik in TJ Gemeente'!$B$4:$B$347,0),MATCH(G$2,'Energieverbruik in TJ Gemeente'!$B$4:$Q$4,0))</f>
        <v>10186</v>
      </c>
      <c r="H3">
        <f>INDEX('Energieverbruik in TJ Gemeente'!$B$4:$Q$347,MATCH($C3,'Energieverbruik in TJ Gemeente'!$B$4:$B$347,0),MATCH(H$2,'Energieverbruik in TJ Gemeente'!$B$4:$Q$4,0))</f>
        <v>8940</v>
      </c>
      <c r="I3">
        <f>INDEX('Energieverbruik in TJ Gemeente'!$B$4:$Q$347,MATCH($C3,'Energieverbruik in TJ Gemeente'!$B$4:$B$347,0),MATCH(I$2,'Energieverbruik in TJ Gemeente'!$B$4:$Q$4,0))</f>
        <v>225</v>
      </c>
      <c r="J3">
        <f>INDEX('Energieverbruik in TJ Gemeente'!$B$4:$Q$347,MATCH($C3,'Energieverbruik in TJ Gemeente'!$B$4:$B$347,0),MATCH(J$2,'Energieverbruik in TJ Gemeente'!$B$4:$Q$4,0))</f>
        <v>195</v>
      </c>
      <c r="K3">
        <f>INDEX('Energieverbruik in TJ Gemeente'!$B$4:$Q$347,MATCH($C3,'Energieverbruik in TJ Gemeente'!$B$4:$B$347,0),MATCH(K$2,'Energieverbruik in TJ Gemeente'!$B$4:$Q$4,0))</f>
        <v>185</v>
      </c>
      <c r="L3">
        <f>INDEX('Energieverbruik in TJ Gemeente'!$B$4:$Q$347,MATCH($C3,'Energieverbruik in TJ Gemeente'!$B$4:$B$347,0),MATCH(L$2,'Energieverbruik in TJ Gemeente'!$B$4:$Q$4,0))</f>
        <v>128</v>
      </c>
      <c r="M3">
        <f>INDEX('Energieverbruik in TJ Gemeente'!$B$4:$Q$347,MATCH($C3,'Energieverbruik in TJ Gemeente'!$B$4:$B$347,0),MATCH(M$2,'Energieverbruik in TJ Gemeente'!$B$4:$Q$4,0))</f>
        <v>129</v>
      </c>
      <c r="N3">
        <f>INDEX('Energieverbruik in TJ Gemeente'!$B$4:$Q$347,MATCH($C3,'Energieverbruik in TJ Gemeente'!$B$4:$B$347,0),MATCH(N$2,'Energieverbruik in TJ Gemeente'!$B$4:$Q$4,0))</f>
        <v>18</v>
      </c>
      <c r="O3">
        <f>INDEX('Energieverbruik in TJ Gemeente'!$B$4:$Q$347,MATCH($C3,'Energieverbruik in TJ Gemeente'!$B$4:$B$347,0),MATCH(O$2,'Energieverbruik in TJ Gemeente'!$B$4:$Q$4,0))</f>
        <v>14</v>
      </c>
      <c r="P3">
        <f>INDEX('Energieverbruik in TJ Gemeente'!$B$4:$Q$347,MATCH($C3,'Energieverbruik in TJ Gemeente'!$B$4:$B$347,0),MATCH(P$2,'Energieverbruik in TJ Gemeente'!$B$4:$Q$4,0))</f>
        <v>15</v>
      </c>
      <c r="Q3">
        <f>INDEX('Energieverbruik in TJ Gemeente'!$B$4:$Q$347,MATCH($C3,'Energieverbruik in TJ Gemeente'!$B$4:$B$347,0),MATCH(Q$2,'Energieverbruik in TJ Gemeente'!$B$4:$Q$4,0))</f>
        <v>14</v>
      </c>
      <c r="R3">
        <f>INDEX('Energieverbruik in TJ Gemeente'!$B$4:$Q$347,MATCH($C3,'Energieverbruik in TJ Gemeente'!$B$4:$B$347,0),MATCH(R$2,'Energieverbruik in TJ Gemeente'!$B$4:$Q$4,0))</f>
        <v>18</v>
      </c>
      <c r="S3" cm="1">
        <f t="array" ref="S3">MAX(_xlfn._xlws.FILTER(D$1:H$1, D3:H3&lt;&gt;"?"))</f>
        <v>2023</v>
      </c>
      <c r="T3" cm="1">
        <f t="array" ref="T3">MAX(_xlfn._xlws.FILTER(I$1:M$1, I3:M3&lt;&gt;"?"))</f>
        <v>2023</v>
      </c>
      <c r="U3" cm="1">
        <f t="array" ref="U3">MAX(_xlfn._xlws.FILTER(F$1:J$1, F3:J3&lt;&gt;"?"))</f>
        <v>2023</v>
      </c>
      <c r="V3">
        <f>IFERROR(INDEX($D3:$H3,MATCH(S3,$D$1:$H$1,0)),0)</f>
        <v>8940</v>
      </c>
      <c r="W3">
        <f>IFERROR(INDEX($I3:$M3,MATCH(T3,$I$1:$M$1,0)),0)</f>
        <v>129</v>
      </c>
      <c r="X3">
        <f>IFERROR(INDEX($N3:$R3,MATCH(U3,$N$1:$R$1,0)),0)</f>
        <v>18</v>
      </c>
      <c r="Y3">
        <f>SUM(V3:X3)</f>
        <v>9087</v>
      </c>
      <c r="Z3">
        <f>Y3/SUM($Y$3:$Y$344)</f>
        <v>1.5101959415665354E-2</v>
      </c>
    </row>
    <row r="4" spans="1:26" ht="48" x14ac:dyDescent="0.2">
      <c r="A4" s="4" t="s">
        <v>400</v>
      </c>
      <c r="B4" s="4" t="s">
        <v>401</v>
      </c>
      <c r="C4" s="4" t="s">
        <v>1061</v>
      </c>
      <c r="D4">
        <f>INDEX('Energieverbruik in TJ Gemeente'!$B$4:$Q$347,MATCH($C4,'Energieverbruik in TJ Gemeente'!$B$4:$B$347,0),MATCH(D$2,'Energieverbruik in TJ Gemeente'!$B$4:$Q$4,0))</f>
        <v>3861</v>
      </c>
      <c r="E4">
        <f>INDEX('Energieverbruik in TJ Gemeente'!$B$4:$Q$347,MATCH($C4,'Energieverbruik in TJ Gemeente'!$B$4:$B$347,0),MATCH(E$2,'Energieverbruik in TJ Gemeente'!$B$4:$Q$4,0))</f>
        <v>3738</v>
      </c>
      <c r="F4">
        <f>INDEX('Energieverbruik in TJ Gemeente'!$B$4:$Q$347,MATCH($C4,'Energieverbruik in TJ Gemeente'!$B$4:$B$347,0),MATCH(F$2,'Energieverbruik in TJ Gemeente'!$B$4:$Q$4,0))</f>
        <v>3797</v>
      </c>
      <c r="G4">
        <f>INDEX('Energieverbruik in TJ Gemeente'!$B$4:$Q$347,MATCH($C4,'Energieverbruik in TJ Gemeente'!$B$4:$B$347,0),MATCH(G$2,'Energieverbruik in TJ Gemeente'!$B$4:$Q$4,0))</f>
        <v>3316</v>
      </c>
      <c r="H4">
        <f>INDEX('Energieverbruik in TJ Gemeente'!$B$4:$Q$347,MATCH($C4,'Energieverbruik in TJ Gemeente'!$B$4:$B$347,0),MATCH(H$2,'Energieverbruik in TJ Gemeente'!$B$4:$Q$4,0))</f>
        <v>2828</v>
      </c>
      <c r="I4">
        <f>INDEX('Energieverbruik in TJ Gemeente'!$B$4:$Q$347,MATCH($C4,'Energieverbruik in TJ Gemeente'!$B$4:$B$347,0),MATCH(I$2,'Energieverbruik in TJ Gemeente'!$B$4:$Q$4,0))</f>
        <v>559</v>
      </c>
      <c r="J4">
        <f>INDEX('Energieverbruik in TJ Gemeente'!$B$4:$Q$347,MATCH($C4,'Energieverbruik in TJ Gemeente'!$B$4:$B$347,0),MATCH(J$2,'Energieverbruik in TJ Gemeente'!$B$4:$Q$4,0))</f>
        <v>537</v>
      </c>
      <c r="K4">
        <f>INDEX('Energieverbruik in TJ Gemeente'!$B$4:$Q$347,MATCH($C4,'Energieverbruik in TJ Gemeente'!$B$4:$B$347,0),MATCH(K$2,'Energieverbruik in TJ Gemeente'!$B$4:$Q$4,0))</f>
        <v>513</v>
      </c>
      <c r="L4">
        <f>INDEX('Energieverbruik in TJ Gemeente'!$B$4:$Q$347,MATCH($C4,'Energieverbruik in TJ Gemeente'!$B$4:$B$347,0),MATCH(L$2,'Energieverbruik in TJ Gemeente'!$B$4:$Q$4,0))</f>
        <v>469</v>
      </c>
      <c r="M4">
        <f>INDEX('Energieverbruik in TJ Gemeente'!$B$4:$Q$347,MATCH($C4,'Energieverbruik in TJ Gemeente'!$B$4:$B$347,0),MATCH(M$2,'Energieverbruik in TJ Gemeente'!$B$4:$Q$4,0))</f>
        <v>399</v>
      </c>
      <c r="N4">
        <f>INDEX('Energieverbruik in TJ Gemeente'!$B$4:$Q$347,MATCH($C4,'Energieverbruik in TJ Gemeente'!$B$4:$B$347,0),MATCH(N$2,'Energieverbruik in TJ Gemeente'!$B$4:$Q$4,0))</f>
        <v>24</v>
      </c>
      <c r="O4">
        <f>INDEX('Energieverbruik in TJ Gemeente'!$B$4:$Q$347,MATCH($C4,'Energieverbruik in TJ Gemeente'!$B$4:$B$347,0),MATCH(O$2,'Energieverbruik in TJ Gemeente'!$B$4:$Q$4,0))</f>
        <v>20</v>
      </c>
      <c r="P4">
        <f>INDEX('Energieverbruik in TJ Gemeente'!$B$4:$Q$347,MATCH($C4,'Energieverbruik in TJ Gemeente'!$B$4:$B$347,0),MATCH(P$2,'Energieverbruik in TJ Gemeente'!$B$4:$Q$4,0))</f>
        <v>22</v>
      </c>
      <c r="Q4">
        <f>INDEX('Energieverbruik in TJ Gemeente'!$B$4:$Q$347,MATCH($C4,'Energieverbruik in TJ Gemeente'!$B$4:$B$347,0),MATCH(Q$2,'Energieverbruik in TJ Gemeente'!$B$4:$Q$4,0))</f>
        <v>18</v>
      </c>
      <c r="R4">
        <f>INDEX('Energieverbruik in TJ Gemeente'!$B$4:$Q$347,MATCH($C4,'Energieverbruik in TJ Gemeente'!$B$4:$B$347,0),MATCH(R$2,'Energieverbruik in TJ Gemeente'!$B$4:$Q$4,0))</f>
        <v>16</v>
      </c>
      <c r="S4" cm="1">
        <f t="array" ref="S4">MAX(_xlfn._xlws.FILTER(D$1:H$1, D4:H4&lt;&gt;"?"))</f>
        <v>2023</v>
      </c>
      <c r="T4" cm="1">
        <f t="array" ref="T4">MAX(_xlfn._xlws.FILTER(I$1:M$1, I4:M4&lt;&gt;"?"))</f>
        <v>2023</v>
      </c>
      <c r="U4" cm="1">
        <f t="array" ref="U4">MAX(_xlfn._xlws.FILTER(F$1:J$1, F4:J4&lt;&gt;"?"))</f>
        <v>2023</v>
      </c>
      <c r="V4">
        <f t="shared" ref="V4:V67" si="0">IFERROR(INDEX($D4:$H4,MATCH(S4,$D$1:$H$1,0)),0)</f>
        <v>2828</v>
      </c>
      <c r="W4">
        <f t="shared" ref="W4:W67" si="1">IFERROR(INDEX($I4:$M4,MATCH(T4,$I$1:$M$1,0)),0)</f>
        <v>399</v>
      </c>
      <c r="X4">
        <f t="shared" ref="X4:X67" si="2">IFERROR(INDEX($N4:$R4,MATCH(U4,$N$1:$R$1,0)),0)</f>
        <v>16</v>
      </c>
      <c r="Y4">
        <f t="shared" ref="Y4:Y67" si="3">SUM(V4:X4)</f>
        <v>3243</v>
      </c>
      <c r="Z4">
        <f t="shared" ref="Z4:Z67" si="4">Y4/SUM($Y$3:$Y$344)</f>
        <v>5.3896395273470609E-3</v>
      </c>
    </row>
    <row r="5" spans="1:26" ht="16" x14ac:dyDescent="0.2">
      <c r="A5" s="4" t="s">
        <v>19</v>
      </c>
      <c r="B5" s="4" t="s">
        <v>20</v>
      </c>
      <c r="C5" s="4" t="s">
        <v>21</v>
      </c>
      <c r="D5">
        <f>INDEX('Energieverbruik in TJ Gemeente'!$B$4:$Q$347,MATCH($C5,'Energieverbruik in TJ Gemeente'!$B$4:$B$347,0),MATCH(D$2,'Energieverbruik in TJ Gemeente'!$B$4:$Q$4,0))</f>
        <v>928</v>
      </c>
      <c r="E5" t="str">
        <f>INDEX('Energieverbruik in TJ Gemeente'!$B$4:$Q$347,MATCH($C5,'Energieverbruik in TJ Gemeente'!$B$4:$B$347,0),MATCH(E$2,'Energieverbruik in TJ Gemeente'!$B$4:$Q$4,0))</f>
        <v>?</v>
      </c>
      <c r="F5" t="str">
        <f>INDEX('Energieverbruik in TJ Gemeente'!$B$4:$Q$347,MATCH($C5,'Energieverbruik in TJ Gemeente'!$B$4:$B$347,0),MATCH(F$2,'Energieverbruik in TJ Gemeente'!$B$4:$Q$4,0))</f>
        <v>?</v>
      </c>
      <c r="G5" t="str">
        <f>INDEX('Energieverbruik in TJ Gemeente'!$B$4:$Q$347,MATCH($C5,'Energieverbruik in TJ Gemeente'!$B$4:$B$347,0),MATCH(G$2,'Energieverbruik in TJ Gemeente'!$B$4:$Q$4,0))</f>
        <v>?</v>
      </c>
      <c r="H5" t="str">
        <f>INDEX('Energieverbruik in TJ Gemeente'!$B$4:$Q$347,MATCH($C5,'Energieverbruik in TJ Gemeente'!$B$4:$B$347,0),MATCH(H$2,'Energieverbruik in TJ Gemeente'!$B$4:$Q$4,0))</f>
        <v>?</v>
      </c>
      <c r="I5" t="str">
        <f>INDEX('Energieverbruik in TJ Gemeente'!$B$4:$Q$347,MATCH($C5,'Energieverbruik in TJ Gemeente'!$B$4:$B$347,0),MATCH(I$2,'Energieverbruik in TJ Gemeente'!$B$4:$Q$4,0))</f>
        <v>?</v>
      </c>
      <c r="J5" t="str">
        <f>INDEX('Energieverbruik in TJ Gemeente'!$B$4:$Q$347,MATCH($C5,'Energieverbruik in TJ Gemeente'!$B$4:$B$347,0),MATCH(J$2,'Energieverbruik in TJ Gemeente'!$B$4:$Q$4,0))</f>
        <v>?</v>
      </c>
      <c r="K5" t="str">
        <f>INDEX('Energieverbruik in TJ Gemeente'!$B$4:$Q$347,MATCH($C5,'Energieverbruik in TJ Gemeente'!$B$4:$B$347,0),MATCH(K$2,'Energieverbruik in TJ Gemeente'!$B$4:$Q$4,0))</f>
        <v>?</v>
      </c>
      <c r="L5" t="str">
        <f>INDEX('Energieverbruik in TJ Gemeente'!$B$4:$Q$347,MATCH($C5,'Energieverbruik in TJ Gemeente'!$B$4:$B$347,0),MATCH(L$2,'Energieverbruik in TJ Gemeente'!$B$4:$Q$4,0))</f>
        <v>?</v>
      </c>
      <c r="M5" t="str">
        <f>INDEX('Energieverbruik in TJ Gemeente'!$B$4:$Q$347,MATCH($C5,'Energieverbruik in TJ Gemeente'!$B$4:$B$347,0),MATCH(M$2,'Energieverbruik in TJ Gemeente'!$B$4:$Q$4,0))</f>
        <v>?</v>
      </c>
      <c r="N5">
        <f>INDEX('Energieverbruik in TJ Gemeente'!$B$4:$Q$347,MATCH($C5,'Energieverbruik in TJ Gemeente'!$B$4:$B$347,0),MATCH(N$2,'Energieverbruik in TJ Gemeente'!$B$4:$Q$4,0))</f>
        <v>38</v>
      </c>
      <c r="O5">
        <f>INDEX('Energieverbruik in TJ Gemeente'!$B$4:$Q$347,MATCH($C5,'Energieverbruik in TJ Gemeente'!$B$4:$B$347,0),MATCH(O$2,'Energieverbruik in TJ Gemeente'!$B$4:$Q$4,0))</f>
        <v>31</v>
      </c>
      <c r="P5">
        <f>INDEX('Energieverbruik in TJ Gemeente'!$B$4:$Q$347,MATCH($C5,'Energieverbruik in TJ Gemeente'!$B$4:$B$347,0),MATCH(P$2,'Energieverbruik in TJ Gemeente'!$B$4:$Q$4,0))</f>
        <v>33</v>
      </c>
      <c r="Q5">
        <f>INDEX('Energieverbruik in TJ Gemeente'!$B$4:$Q$347,MATCH($C5,'Energieverbruik in TJ Gemeente'!$B$4:$B$347,0),MATCH(Q$2,'Energieverbruik in TJ Gemeente'!$B$4:$Q$4,0))</f>
        <v>27</v>
      </c>
      <c r="R5">
        <f>INDEX('Energieverbruik in TJ Gemeente'!$B$4:$Q$347,MATCH($C5,'Energieverbruik in TJ Gemeente'!$B$4:$B$347,0),MATCH(R$2,'Energieverbruik in TJ Gemeente'!$B$4:$Q$4,0))</f>
        <v>22</v>
      </c>
      <c r="S5" cm="1">
        <f t="array" ref="S5">MAX(_xlfn._xlws.FILTER(D$1:H$1, D5:H5&lt;&gt;"?"))</f>
        <v>2019</v>
      </c>
      <c r="T5" t="e" cm="1" vm="1">
        <f t="array" ref="T5">MAX(_xlfn._xlws.FILTER(I$1:M$1, I5:M5&lt;&gt;"?"))</f>
        <v>#VALUE!</v>
      </c>
      <c r="U5" t="e" cm="1" vm="1">
        <f t="array" ref="U5">MAX(_xlfn._xlws.FILTER(F$1:J$1, F5:J5&lt;&gt;"?"))</f>
        <v>#VALUE!</v>
      </c>
      <c r="V5">
        <f t="shared" si="0"/>
        <v>928</v>
      </c>
      <c r="W5">
        <f t="shared" si="1"/>
        <v>0</v>
      </c>
      <c r="X5">
        <f t="shared" si="2"/>
        <v>0</v>
      </c>
      <c r="Y5">
        <f t="shared" si="3"/>
        <v>928</v>
      </c>
      <c r="Z5">
        <f t="shared" si="4"/>
        <v>1.5422711937644381E-3</v>
      </c>
    </row>
    <row r="6" spans="1:26" ht="16" x14ac:dyDescent="0.2">
      <c r="A6" s="4" t="s">
        <v>22</v>
      </c>
      <c r="B6" s="4" t="s">
        <v>23</v>
      </c>
      <c r="C6" s="4" t="s">
        <v>24</v>
      </c>
      <c r="D6" t="str">
        <f>INDEX('Energieverbruik in TJ Gemeente'!$B$4:$Q$347,MATCH($C6,'Energieverbruik in TJ Gemeente'!$B$4:$B$347,0),MATCH(D$2,'Energieverbruik in TJ Gemeente'!$B$4:$Q$4,0))</f>
        <v>?</v>
      </c>
      <c r="E6" t="str">
        <f>INDEX('Energieverbruik in TJ Gemeente'!$B$4:$Q$347,MATCH($C6,'Energieverbruik in TJ Gemeente'!$B$4:$B$347,0),MATCH(E$2,'Energieverbruik in TJ Gemeente'!$B$4:$Q$4,0))</f>
        <v>?</v>
      </c>
      <c r="F6" t="str">
        <f>INDEX('Energieverbruik in TJ Gemeente'!$B$4:$Q$347,MATCH($C6,'Energieverbruik in TJ Gemeente'!$B$4:$B$347,0),MATCH(F$2,'Energieverbruik in TJ Gemeente'!$B$4:$Q$4,0))</f>
        <v>?</v>
      </c>
      <c r="G6">
        <f>INDEX('Energieverbruik in TJ Gemeente'!$B$4:$Q$347,MATCH($C6,'Energieverbruik in TJ Gemeente'!$B$4:$B$347,0),MATCH(G$2,'Energieverbruik in TJ Gemeente'!$B$4:$Q$4,0))</f>
        <v>760</v>
      </c>
      <c r="H6" t="str">
        <f>INDEX('Energieverbruik in TJ Gemeente'!$B$4:$Q$347,MATCH($C6,'Energieverbruik in TJ Gemeente'!$B$4:$B$347,0),MATCH(H$2,'Energieverbruik in TJ Gemeente'!$B$4:$Q$4,0))</f>
        <v>?</v>
      </c>
      <c r="I6" t="str">
        <f>INDEX('Energieverbruik in TJ Gemeente'!$B$4:$Q$347,MATCH($C6,'Energieverbruik in TJ Gemeente'!$B$4:$B$347,0),MATCH(I$2,'Energieverbruik in TJ Gemeente'!$B$4:$Q$4,0))</f>
        <v>?</v>
      </c>
      <c r="J6" t="str">
        <f>INDEX('Energieverbruik in TJ Gemeente'!$B$4:$Q$347,MATCH($C6,'Energieverbruik in TJ Gemeente'!$B$4:$B$347,0),MATCH(J$2,'Energieverbruik in TJ Gemeente'!$B$4:$Q$4,0))</f>
        <v>?</v>
      </c>
      <c r="K6" t="str">
        <f>INDEX('Energieverbruik in TJ Gemeente'!$B$4:$Q$347,MATCH($C6,'Energieverbruik in TJ Gemeente'!$B$4:$B$347,0),MATCH(K$2,'Energieverbruik in TJ Gemeente'!$B$4:$Q$4,0))</f>
        <v>?</v>
      </c>
      <c r="L6" t="str">
        <f>INDEX('Energieverbruik in TJ Gemeente'!$B$4:$Q$347,MATCH($C6,'Energieverbruik in TJ Gemeente'!$B$4:$B$347,0),MATCH(L$2,'Energieverbruik in TJ Gemeente'!$B$4:$Q$4,0))</f>
        <v>?</v>
      </c>
      <c r="M6" t="str">
        <f>INDEX('Energieverbruik in TJ Gemeente'!$B$4:$Q$347,MATCH($C6,'Energieverbruik in TJ Gemeente'!$B$4:$B$347,0),MATCH(M$2,'Energieverbruik in TJ Gemeente'!$B$4:$Q$4,0))</f>
        <v>?</v>
      </c>
      <c r="N6">
        <f>INDEX('Energieverbruik in TJ Gemeente'!$B$4:$Q$347,MATCH($C6,'Energieverbruik in TJ Gemeente'!$B$4:$B$347,0),MATCH(N$2,'Energieverbruik in TJ Gemeente'!$B$4:$Q$4,0))</f>
        <v>710</v>
      </c>
      <c r="O6">
        <f>INDEX('Energieverbruik in TJ Gemeente'!$B$4:$Q$347,MATCH($C6,'Energieverbruik in TJ Gemeente'!$B$4:$B$347,0),MATCH(O$2,'Energieverbruik in TJ Gemeente'!$B$4:$Q$4,0))</f>
        <v>723</v>
      </c>
      <c r="P6">
        <f>INDEX('Energieverbruik in TJ Gemeente'!$B$4:$Q$347,MATCH($C6,'Energieverbruik in TJ Gemeente'!$B$4:$B$347,0),MATCH(P$2,'Energieverbruik in TJ Gemeente'!$B$4:$Q$4,0))</f>
        <v>758</v>
      </c>
      <c r="Q6">
        <f>INDEX('Energieverbruik in TJ Gemeente'!$B$4:$Q$347,MATCH($C6,'Energieverbruik in TJ Gemeente'!$B$4:$B$347,0),MATCH(Q$2,'Energieverbruik in TJ Gemeente'!$B$4:$Q$4,0))</f>
        <v>482</v>
      </c>
      <c r="R6">
        <f>INDEX('Energieverbruik in TJ Gemeente'!$B$4:$Q$347,MATCH($C6,'Energieverbruik in TJ Gemeente'!$B$4:$B$347,0),MATCH(R$2,'Energieverbruik in TJ Gemeente'!$B$4:$Q$4,0))</f>
        <v>514</v>
      </c>
      <c r="S6" cm="1">
        <f t="array" ref="S6">MAX(_xlfn._xlws.FILTER(D$1:H$1, D6:H6&lt;&gt;"?"))</f>
        <v>2022</v>
      </c>
      <c r="T6" t="e" cm="1" vm="1">
        <f t="array" ref="T6">MAX(_xlfn._xlws.FILTER(I$1:M$1, I6:M6&lt;&gt;"?"))</f>
        <v>#VALUE!</v>
      </c>
      <c r="U6" cm="1">
        <f t="array" ref="U6">MAX(_xlfn._xlws.FILTER(F$1:J$1, F6:J6&lt;&gt;"?"))</f>
        <v>2022</v>
      </c>
      <c r="V6">
        <f t="shared" si="0"/>
        <v>760</v>
      </c>
      <c r="W6">
        <f t="shared" si="1"/>
        <v>0</v>
      </c>
      <c r="X6">
        <f t="shared" si="2"/>
        <v>482</v>
      </c>
      <c r="Y6">
        <f t="shared" si="3"/>
        <v>1242</v>
      </c>
      <c r="Z6">
        <f t="shared" si="4"/>
        <v>2.0641172657924916E-3</v>
      </c>
    </row>
    <row r="7" spans="1:26" ht="16" x14ac:dyDescent="0.2">
      <c r="A7" s="4" t="s">
        <v>25</v>
      </c>
      <c r="B7" s="4" t="s">
        <v>26</v>
      </c>
      <c r="C7" s="4" t="s">
        <v>27</v>
      </c>
      <c r="D7" t="str">
        <f>INDEX('Energieverbruik in TJ Gemeente'!$B$4:$Q$347,MATCH($C7,'Energieverbruik in TJ Gemeente'!$B$4:$B$347,0),MATCH(D$2,'Energieverbruik in TJ Gemeente'!$B$4:$Q$4,0))</f>
        <v>?</v>
      </c>
      <c r="E7">
        <f>INDEX('Energieverbruik in TJ Gemeente'!$B$4:$Q$347,MATCH($C7,'Energieverbruik in TJ Gemeente'!$B$4:$B$347,0),MATCH(E$2,'Energieverbruik in TJ Gemeente'!$B$4:$Q$4,0))</f>
        <v>662</v>
      </c>
      <c r="F7">
        <f>INDEX('Energieverbruik in TJ Gemeente'!$B$4:$Q$347,MATCH($C7,'Energieverbruik in TJ Gemeente'!$B$4:$B$347,0),MATCH(F$2,'Energieverbruik in TJ Gemeente'!$B$4:$Q$4,0))</f>
        <v>665</v>
      </c>
      <c r="G7">
        <f>INDEX('Energieverbruik in TJ Gemeente'!$B$4:$Q$347,MATCH($C7,'Energieverbruik in TJ Gemeente'!$B$4:$B$347,0),MATCH(G$2,'Energieverbruik in TJ Gemeente'!$B$4:$Q$4,0))</f>
        <v>594</v>
      </c>
      <c r="H7">
        <f>INDEX('Energieverbruik in TJ Gemeente'!$B$4:$Q$347,MATCH($C7,'Energieverbruik in TJ Gemeente'!$B$4:$B$347,0),MATCH(H$2,'Energieverbruik in TJ Gemeente'!$B$4:$Q$4,0))</f>
        <v>477</v>
      </c>
      <c r="I7">
        <f>INDEX('Energieverbruik in TJ Gemeente'!$B$4:$Q$347,MATCH($C7,'Energieverbruik in TJ Gemeente'!$B$4:$B$347,0),MATCH(I$2,'Energieverbruik in TJ Gemeente'!$B$4:$Q$4,0))</f>
        <v>69</v>
      </c>
      <c r="J7">
        <f>INDEX('Energieverbruik in TJ Gemeente'!$B$4:$Q$347,MATCH($C7,'Energieverbruik in TJ Gemeente'!$B$4:$B$347,0),MATCH(J$2,'Energieverbruik in TJ Gemeente'!$B$4:$Q$4,0))</f>
        <v>64</v>
      </c>
      <c r="K7">
        <f>INDEX('Energieverbruik in TJ Gemeente'!$B$4:$Q$347,MATCH($C7,'Energieverbruik in TJ Gemeente'!$B$4:$B$347,0),MATCH(K$2,'Energieverbruik in TJ Gemeente'!$B$4:$Q$4,0))</f>
        <v>70</v>
      </c>
      <c r="L7">
        <f>INDEX('Energieverbruik in TJ Gemeente'!$B$4:$Q$347,MATCH($C7,'Energieverbruik in TJ Gemeente'!$B$4:$B$347,0),MATCH(L$2,'Energieverbruik in TJ Gemeente'!$B$4:$Q$4,0))</f>
        <v>57</v>
      </c>
      <c r="M7">
        <f>INDEX('Energieverbruik in TJ Gemeente'!$B$4:$Q$347,MATCH($C7,'Energieverbruik in TJ Gemeente'!$B$4:$B$347,0),MATCH(M$2,'Energieverbruik in TJ Gemeente'!$B$4:$Q$4,0))</f>
        <v>44</v>
      </c>
      <c r="N7">
        <f>INDEX('Energieverbruik in TJ Gemeente'!$B$4:$Q$347,MATCH($C7,'Energieverbruik in TJ Gemeente'!$B$4:$B$347,0),MATCH(N$2,'Energieverbruik in TJ Gemeente'!$B$4:$Q$4,0))</f>
        <v>49</v>
      </c>
      <c r="O7">
        <f>INDEX('Energieverbruik in TJ Gemeente'!$B$4:$Q$347,MATCH($C7,'Energieverbruik in TJ Gemeente'!$B$4:$B$347,0),MATCH(O$2,'Energieverbruik in TJ Gemeente'!$B$4:$Q$4,0))</f>
        <v>28</v>
      </c>
      <c r="P7">
        <f>INDEX('Energieverbruik in TJ Gemeente'!$B$4:$Q$347,MATCH($C7,'Energieverbruik in TJ Gemeente'!$B$4:$B$347,0),MATCH(P$2,'Energieverbruik in TJ Gemeente'!$B$4:$Q$4,0))</f>
        <v>31</v>
      </c>
      <c r="Q7">
        <f>INDEX('Energieverbruik in TJ Gemeente'!$B$4:$Q$347,MATCH($C7,'Energieverbruik in TJ Gemeente'!$B$4:$B$347,0),MATCH(Q$2,'Energieverbruik in TJ Gemeente'!$B$4:$Q$4,0))</f>
        <v>25</v>
      </c>
      <c r="R7">
        <f>INDEX('Energieverbruik in TJ Gemeente'!$B$4:$Q$347,MATCH($C7,'Energieverbruik in TJ Gemeente'!$B$4:$B$347,0),MATCH(R$2,'Energieverbruik in TJ Gemeente'!$B$4:$Q$4,0))</f>
        <v>19</v>
      </c>
      <c r="S7" cm="1">
        <f t="array" ref="S7">MAX(_xlfn._xlws.FILTER(D$1:H$1, D7:H7&lt;&gt;"?"))</f>
        <v>2023</v>
      </c>
      <c r="T7" cm="1">
        <f t="array" ref="T7">MAX(_xlfn._xlws.FILTER(I$1:M$1, I7:M7&lt;&gt;"?"))</f>
        <v>2023</v>
      </c>
      <c r="U7" cm="1">
        <f t="array" ref="U7">MAX(_xlfn._xlws.FILTER(F$1:J$1, F7:J7&lt;&gt;"?"))</f>
        <v>2023</v>
      </c>
      <c r="V7">
        <f t="shared" si="0"/>
        <v>477</v>
      </c>
      <c r="W7">
        <f t="shared" si="1"/>
        <v>44</v>
      </c>
      <c r="X7">
        <f t="shared" si="2"/>
        <v>19</v>
      </c>
      <c r="Y7">
        <f t="shared" si="3"/>
        <v>540</v>
      </c>
      <c r="Z7">
        <f t="shared" si="4"/>
        <v>8.9744228947499631E-4</v>
      </c>
    </row>
    <row r="8" spans="1:26" ht="32" x14ac:dyDescent="0.2">
      <c r="A8" s="4" t="s">
        <v>28</v>
      </c>
      <c r="B8" s="4" t="s">
        <v>29</v>
      </c>
      <c r="C8" s="4" t="s">
        <v>30</v>
      </c>
      <c r="D8">
        <f>INDEX('Energieverbruik in TJ Gemeente'!$B$4:$Q$347,MATCH($C8,'Energieverbruik in TJ Gemeente'!$B$4:$B$347,0),MATCH(D$2,'Energieverbruik in TJ Gemeente'!$B$4:$Q$4,0))</f>
        <v>725</v>
      </c>
      <c r="E8">
        <f>INDEX('Energieverbruik in TJ Gemeente'!$B$4:$Q$347,MATCH($C8,'Energieverbruik in TJ Gemeente'!$B$4:$B$347,0),MATCH(E$2,'Energieverbruik in TJ Gemeente'!$B$4:$Q$4,0))</f>
        <v>726</v>
      </c>
      <c r="F8">
        <f>INDEX('Energieverbruik in TJ Gemeente'!$B$4:$Q$347,MATCH($C8,'Energieverbruik in TJ Gemeente'!$B$4:$B$347,0),MATCH(F$2,'Energieverbruik in TJ Gemeente'!$B$4:$Q$4,0))</f>
        <v>723</v>
      </c>
      <c r="G8">
        <f>INDEX('Energieverbruik in TJ Gemeente'!$B$4:$Q$347,MATCH($C8,'Energieverbruik in TJ Gemeente'!$B$4:$B$347,0),MATCH(G$2,'Energieverbruik in TJ Gemeente'!$B$4:$Q$4,0))</f>
        <v>630</v>
      </c>
      <c r="H8">
        <f>INDEX('Energieverbruik in TJ Gemeente'!$B$4:$Q$347,MATCH($C8,'Energieverbruik in TJ Gemeente'!$B$4:$B$347,0),MATCH(H$2,'Energieverbruik in TJ Gemeente'!$B$4:$Q$4,0))</f>
        <v>508</v>
      </c>
      <c r="I8">
        <f>INDEX('Energieverbruik in TJ Gemeente'!$B$4:$Q$347,MATCH($C8,'Energieverbruik in TJ Gemeente'!$B$4:$B$347,0),MATCH(I$2,'Energieverbruik in TJ Gemeente'!$B$4:$Q$4,0))</f>
        <v>347</v>
      </c>
      <c r="J8">
        <f>INDEX('Energieverbruik in TJ Gemeente'!$B$4:$Q$347,MATCH($C8,'Energieverbruik in TJ Gemeente'!$B$4:$B$347,0),MATCH(J$2,'Energieverbruik in TJ Gemeente'!$B$4:$Q$4,0))</f>
        <v>319</v>
      </c>
      <c r="K8">
        <f>INDEX('Energieverbruik in TJ Gemeente'!$B$4:$Q$347,MATCH($C8,'Energieverbruik in TJ Gemeente'!$B$4:$B$347,0),MATCH(K$2,'Energieverbruik in TJ Gemeente'!$B$4:$Q$4,0))</f>
        <v>286</v>
      </c>
      <c r="L8">
        <f>INDEX('Energieverbruik in TJ Gemeente'!$B$4:$Q$347,MATCH($C8,'Energieverbruik in TJ Gemeente'!$B$4:$B$347,0),MATCH(L$2,'Energieverbruik in TJ Gemeente'!$B$4:$Q$4,0))</f>
        <v>282</v>
      </c>
      <c r="M8">
        <f>INDEX('Energieverbruik in TJ Gemeente'!$B$4:$Q$347,MATCH($C8,'Energieverbruik in TJ Gemeente'!$B$4:$B$347,0),MATCH(M$2,'Energieverbruik in TJ Gemeente'!$B$4:$Q$4,0))</f>
        <v>277</v>
      </c>
      <c r="N8">
        <f>INDEX('Energieverbruik in TJ Gemeente'!$B$4:$Q$347,MATCH($C8,'Energieverbruik in TJ Gemeente'!$B$4:$B$347,0),MATCH(N$2,'Energieverbruik in TJ Gemeente'!$B$4:$Q$4,0))</f>
        <v>23</v>
      </c>
      <c r="O8">
        <f>INDEX('Energieverbruik in TJ Gemeente'!$B$4:$Q$347,MATCH($C8,'Energieverbruik in TJ Gemeente'!$B$4:$B$347,0),MATCH(O$2,'Energieverbruik in TJ Gemeente'!$B$4:$Q$4,0))</f>
        <v>13</v>
      </c>
      <c r="P8">
        <f>INDEX('Energieverbruik in TJ Gemeente'!$B$4:$Q$347,MATCH($C8,'Energieverbruik in TJ Gemeente'!$B$4:$B$347,0),MATCH(P$2,'Energieverbruik in TJ Gemeente'!$B$4:$Q$4,0))</f>
        <v>14</v>
      </c>
      <c r="Q8">
        <f>INDEX('Energieverbruik in TJ Gemeente'!$B$4:$Q$347,MATCH($C8,'Energieverbruik in TJ Gemeente'!$B$4:$B$347,0),MATCH(Q$2,'Energieverbruik in TJ Gemeente'!$B$4:$Q$4,0))</f>
        <v>11</v>
      </c>
      <c r="R8">
        <f>INDEX('Energieverbruik in TJ Gemeente'!$B$4:$Q$347,MATCH($C8,'Energieverbruik in TJ Gemeente'!$B$4:$B$347,0),MATCH(R$2,'Energieverbruik in TJ Gemeente'!$B$4:$Q$4,0))</f>
        <v>9</v>
      </c>
      <c r="S8" cm="1">
        <f t="array" ref="S8">MAX(_xlfn._xlws.FILTER(D$1:H$1, D8:H8&lt;&gt;"?"))</f>
        <v>2023</v>
      </c>
      <c r="T8" cm="1">
        <f t="array" ref="T8">MAX(_xlfn._xlws.FILTER(I$1:M$1, I8:M8&lt;&gt;"?"))</f>
        <v>2023</v>
      </c>
      <c r="U8" cm="1">
        <f t="array" ref="U8">MAX(_xlfn._xlws.FILTER(F$1:J$1, F8:J8&lt;&gt;"?"))</f>
        <v>2023</v>
      </c>
      <c r="V8">
        <f t="shared" si="0"/>
        <v>508</v>
      </c>
      <c r="W8">
        <f t="shared" si="1"/>
        <v>277</v>
      </c>
      <c r="X8">
        <f t="shared" si="2"/>
        <v>9</v>
      </c>
      <c r="Y8">
        <f t="shared" si="3"/>
        <v>794</v>
      </c>
      <c r="Z8">
        <f t="shared" si="4"/>
        <v>1.3195725515613833E-3</v>
      </c>
    </row>
    <row r="9" spans="1:26" ht="32" x14ac:dyDescent="0.2">
      <c r="A9" s="4" t="s">
        <v>31</v>
      </c>
      <c r="B9" s="4" t="s">
        <v>32</v>
      </c>
      <c r="C9" s="4" t="s">
        <v>33</v>
      </c>
      <c r="D9" t="str">
        <f>INDEX('Energieverbruik in TJ Gemeente'!$B$4:$Q$347,MATCH($C9,'Energieverbruik in TJ Gemeente'!$B$4:$B$347,0),MATCH(D$2,'Energieverbruik in TJ Gemeente'!$B$4:$Q$4,0))</f>
        <v>?</v>
      </c>
      <c r="E9">
        <f>INDEX('Energieverbruik in TJ Gemeente'!$B$4:$Q$347,MATCH($C9,'Energieverbruik in TJ Gemeente'!$B$4:$B$347,0),MATCH(E$2,'Energieverbruik in TJ Gemeente'!$B$4:$Q$4,0))</f>
        <v>394</v>
      </c>
      <c r="F9">
        <f>INDEX('Energieverbruik in TJ Gemeente'!$B$4:$Q$347,MATCH($C9,'Energieverbruik in TJ Gemeente'!$B$4:$B$347,0),MATCH(F$2,'Energieverbruik in TJ Gemeente'!$B$4:$Q$4,0))</f>
        <v>399</v>
      </c>
      <c r="G9">
        <f>INDEX('Energieverbruik in TJ Gemeente'!$B$4:$Q$347,MATCH($C9,'Energieverbruik in TJ Gemeente'!$B$4:$B$347,0),MATCH(G$2,'Energieverbruik in TJ Gemeente'!$B$4:$Q$4,0))</f>
        <v>347</v>
      </c>
      <c r="H9">
        <f>INDEX('Energieverbruik in TJ Gemeente'!$B$4:$Q$347,MATCH($C9,'Energieverbruik in TJ Gemeente'!$B$4:$B$347,0),MATCH(H$2,'Energieverbruik in TJ Gemeente'!$B$4:$Q$4,0))</f>
        <v>280</v>
      </c>
      <c r="I9">
        <f>INDEX('Energieverbruik in TJ Gemeente'!$B$4:$Q$347,MATCH($C9,'Energieverbruik in TJ Gemeente'!$B$4:$B$347,0),MATCH(I$2,'Energieverbruik in TJ Gemeente'!$B$4:$Q$4,0))</f>
        <v>392</v>
      </c>
      <c r="J9">
        <f>INDEX('Energieverbruik in TJ Gemeente'!$B$4:$Q$347,MATCH($C9,'Energieverbruik in TJ Gemeente'!$B$4:$B$347,0),MATCH(J$2,'Energieverbruik in TJ Gemeente'!$B$4:$Q$4,0))</f>
        <v>372</v>
      </c>
      <c r="K9">
        <f>INDEX('Energieverbruik in TJ Gemeente'!$B$4:$Q$347,MATCH($C9,'Energieverbruik in TJ Gemeente'!$B$4:$B$347,0),MATCH(K$2,'Energieverbruik in TJ Gemeente'!$B$4:$Q$4,0))</f>
        <v>432</v>
      </c>
      <c r="L9">
        <f>INDEX('Energieverbruik in TJ Gemeente'!$B$4:$Q$347,MATCH($C9,'Energieverbruik in TJ Gemeente'!$B$4:$B$347,0),MATCH(L$2,'Energieverbruik in TJ Gemeente'!$B$4:$Q$4,0))</f>
        <v>348</v>
      </c>
      <c r="M9">
        <f>INDEX('Energieverbruik in TJ Gemeente'!$B$4:$Q$347,MATCH($C9,'Energieverbruik in TJ Gemeente'!$B$4:$B$347,0),MATCH(M$2,'Energieverbruik in TJ Gemeente'!$B$4:$Q$4,0))</f>
        <v>335</v>
      </c>
      <c r="N9" t="str">
        <f>INDEX('Energieverbruik in TJ Gemeente'!$B$4:$Q$347,MATCH($C9,'Energieverbruik in TJ Gemeente'!$B$4:$B$347,0),MATCH(N$2,'Energieverbruik in TJ Gemeente'!$B$4:$Q$4,0))</f>
        <v>?</v>
      </c>
      <c r="O9" t="str">
        <f>INDEX('Energieverbruik in TJ Gemeente'!$B$4:$Q$347,MATCH($C9,'Energieverbruik in TJ Gemeente'!$B$4:$B$347,0),MATCH(O$2,'Energieverbruik in TJ Gemeente'!$B$4:$Q$4,0))</f>
        <v>?</v>
      </c>
      <c r="P9" t="str">
        <f>INDEX('Energieverbruik in TJ Gemeente'!$B$4:$Q$347,MATCH($C9,'Energieverbruik in TJ Gemeente'!$B$4:$B$347,0),MATCH(P$2,'Energieverbruik in TJ Gemeente'!$B$4:$Q$4,0))</f>
        <v>?</v>
      </c>
      <c r="Q9" t="str">
        <f>INDEX('Energieverbruik in TJ Gemeente'!$B$4:$Q$347,MATCH($C9,'Energieverbruik in TJ Gemeente'!$B$4:$B$347,0),MATCH(Q$2,'Energieverbruik in TJ Gemeente'!$B$4:$Q$4,0))</f>
        <v>?</v>
      </c>
      <c r="R9" t="str">
        <f>INDEX('Energieverbruik in TJ Gemeente'!$B$4:$Q$347,MATCH($C9,'Energieverbruik in TJ Gemeente'!$B$4:$B$347,0),MATCH(R$2,'Energieverbruik in TJ Gemeente'!$B$4:$Q$4,0))</f>
        <v>?</v>
      </c>
      <c r="S9" cm="1">
        <f t="array" ref="S9">MAX(_xlfn._xlws.FILTER(D$1:H$1, D9:H9&lt;&gt;"?"))</f>
        <v>2023</v>
      </c>
      <c r="T9" cm="1">
        <f t="array" ref="T9">MAX(_xlfn._xlws.FILTER(I$1:M$1, I9:M9&lt;&gt;"?"))</f>
        <v>2023</v>
      </c>
      <c r="U9" cm="1">
        <f t="array" ref="U9">MAX(_xlfn._xlws.FILTER(F$1:J$1, F9:J9&lt;&gt;"?"))</f>
        <v>2023</v>
      </c>
      <c r="V9">
        <f t="shared" si="0"/>
        <v>280</v>
      </c>
      <c r="W9">
        <f t="shared" si="1"/>
        <v>335</v>
      </c>
      <c r="X9" t="str">
        <f t="shared" si="2"/>
        <v>?</v>
      </c>
      <c r="Y9">
        <f t="shared" si="3"/>
        <v>615</v>
      </c>
      <c r="Z9">
        <f t="shared" si="4"/>
        <v>1.0220870519020791E-3</v>
      </c>
    </row>
    <row r="10" spans="1:26" ht="32" x14ac:dyDescent="0.2">
      <c r="A10" s="4" t="s">
        <v>34</v>
      </c>
      <c r="B10" s="4" t="s">
        <v>35</v>
      </c>
      <c r="C10" s="4" t="s">
        <v>36</v>
      </c>
      <c r="D10">
        <f>INDEX('Energieverbruik in TJ Gemeente'!$B$4:$Q$347,MATCH($C10,'Energieverbruik in TJ Gemeente'!$B$4:$B$347,0),MATCH(D$2,'Energieverbruik in TJ Gemeente'!$B$4:$Q$4,0))</f>
        <v>533</v>
      </c>
      <c r="E10">
        <f>INDEX('Energieverbruik in TJ Gemeente'!$B$4:$Q$347,MATCH($C10,'Energieverbruik in TJ Gemeente'!$B$4:$B$347,0),MATCH(E$2,'Energieverbruik in TJ Gemeente'!$B$4:$Q$4,0))</f>
        <v>520</v>
      </c>
      <c r="F10">
        <f>INDEX('Energieverbruik in TJ Gemeente'!$B$4:$Q$347,MATCH($C10,'Energieverbruik in TJ Gemeente'!$B$4:$B$347,0),MATCH(F$2,'Energieverbruik in TJ Gemeente'!$B$4:$Q$4,0))</f>
        <v>527</v>
      </c>
      <c r="G10" t="str">
        <f>INDEX('Energieverbruik in TJ Gemeente'!$B$4:$Q$347,MATCH($C10,'Energieverbruik in TJ Gemeente'!$B$4:$B$347,0),MATCH(G$2,'Energieverbruik in TJ Gemeente'!$B$4:$Q$4,0))</f>
        <v>?</v>
      </c>
      <c r="H10" t="str">
        <f>INDEX('Energieverbruik in TJ Gemeente'!$B$4:$Q$347,MATCH($C10,'Energieverbruik in TJ Gemeente'!$B$4:$B$347,0),MATCH(H$2,'Energieverbruik in TJ Gemeente'!$B$4:$Q$4,0))</f>
        <v>?</v>
      </c>
      <c r="I10">
        <f>INDEX('Energieverbruik in TJ Gemeente'!$B$4:$Q$347,MATCH($C10,'Energieverbruik in TJ Gemeente'!$B$4:$B$347,0),MATCH(I$2,'Energieverbruik in TJ Gemeente'!$B$4:$Q$4,0))</f>
        <v>14</v>
      </c>
      <c r="J10">
        <f>INDEX('Energieverbruik in TJ Gemeente'!$B$4:$Q$347,MATCH($C10,'Energieverbruik in TJ Gemeente'!$B$4:$B$347,0),MATCH(J$2,'Energieverbruik in TJ Gemeente'!$B$4:$Q$4,0))</f>
        <v>11</v>
      </c>
      <c r="K10">
        <f>INDEX('Energieverbruik in TJ Gemeente'!$B$4:$Q$347,MATCH($C10,'Energieverbruik in TJ Gemeente'!$B$4:$B$347,0),MATCH(K$2,'Energieverbruik in TJ Gemeente'!$B$4:$Q$4,0))</f>
        <v>13</v>
      </c>
      <c r="L10" t="str">
        <f>INDEX('Energieverbruik in TJ Gemeente'!$B$4:$Q$347,MATCH($C10,'Energieverbruik in TJ Gemeente'!$B$4:$B$347,0),MATCH(L$2,'Energieverbruik in TJ Gemeente'!$B$4:$Q$4,0))</f>
        <v>?</v>
      </c>
      <c r="M10" t="str">
        <f>INDEX('Energieverbruik in TJ Gemeente'!$B$4:$Q$347,MATCH($C10,'Energieverbruik in TJ Gemeente'!$B$4:$B$347,0),MATCH(M$2,'Energieverbruik in TJ Gemeente'!$B$4:$Q$4,0))</f>
        <v>?</v>
      </c>
      <c r="N10">
        <f>INDEX('Energieverbruik in TJ Gemeente'!$B$4:$Q$347,MATCH($C10,'Energieverbruik in TJ Gemeente'!$B$4:$B$347,0),MATCH(N$2,'Energieverbruik in TJ Gemeente'!$B$4:$Q$4,0))</f>
        <v>36</v>
      </c>
      <c r="O10" t="str">
        <f>INDEX('Energieverbruik in TJ Gemeente'!$B$4:$Q$347,MATCH($C10,'Energieverbruik in TJ Gemeente'!$B$4:$B$347,0),MATCH(O$2,'Energieverbruik in TJ Gemeente'!$B$4:$Q$4,0))</f>
        <v>?</v>
      </c>
      <c r="P10" t="str">
        <f>INDEX('Energieverbruik in TJ Gemeente'!$B$4:$Q$347,MATCH($C10,'Energieverbruik in TJ Gemeente'!$B$4:$B$347,0),MATCH(P$2,'Energieverbruik in TJ Gemeente'!$B$4:$Q$4,0))</f>
        <v>?</v>
      </c>
      <c r="Q10" t="str">
        <f>INDEX('Energieverbruik in TJ Gemeente'!$B$4:$Q$347,MATCH($C10,'Energieverbruik in TJ Gemeente'!$B$4:$B$347,0),MATCH(Q$2,'Energieverbruik in TJ Gemeente'!$B$4:$Q$4,0))</f>
        <v>?</v>
      </c>
      <c r="R10" t="str">
        <f>INDEX('Energieverbruik in TJ Gemeente'!$B$4:$Q$347,MATCH($C10,'Energieverbruik in TJ Gemeente'!$B$4:$B$347,0),MATCH(R$2,'Energieverbruik in TJ Gemeente'!$B$4:$Q$4,0))</f>
        <v>?</v>
      </c>
      <c r="S10" cm="1">
        <f t="array" ref="S10">MAX(_xlfn._xlws.FILTER(D$1:H$1, D10:H10&lt;&gt;"?"))</f>
        <v>2021</v>
      </c>
      <c r="T10" cm="1">
        <f t="array" ref="T10">MAX(_xlfn._xlws.FILTER(I$1:M$1, I10:M10&lt;&gt;"?"))</f>
        <v>2021</v>
      </c>
      <c r="U10" cm="1">
        <f t="array" ref="U10">MAX(_xlfn._xlws.FILTER(F$1:J$1, F10:J10&lt;&gt;"?"))</f>
        <v>2021</v>
      </c>
      <c r="V10">
        <f t="shared" si="0"/>
        <v>527</v>
      </c>
      <c r="W10">
        <f t="shared" si="1"/>
        <v>13</v>
      </c>
      <c r="X10" t="str">
        <f t="shared" si="2"/>
        <v>?</v>
      </c>
      <c r="Y10">
        <f t="shared" si="3"/>
        <v>540</v>
      </c>
      <c r="Z10">
        <f t="shared" si="4"/>
        <v>8.9744228947499631E-4</v>
      </c>
    </row>
    <row r="11" spans="1:26" ht="16" x14ac:dyDescent="0.2">
      <c r="A11" s="4" t="s">
        <v>37</v>
      </c>
      <c r="B11" s="4" t="s">
        <v>38</v>
      </c>
      <c r="C11" s="4" t="s">
        <v>39</v>
      </c>
      <c r="D11">
        <f>INDEX('Energieverbruik in TJ Gemeente'!$B$4:$Q$347,MATCH($C11,'Energieverbruik in TJ Gemeente'!$B$4:$B$347,0),MATCH(D$2,'Energieverbruik in TJ Gemeente'!$B$4:$Q$4,0))</f>
        <v>2636</v>
      </c>
      <c r="E11">
        <f>INDEX('Energieverbruik in TJ Gemeente'!$B$4:$Q$347,MATCH($C11,'Energieverbruik in TJ Gemeente'!$B$4:$B$347,0),MATCH(E$2,'Energieverbruik in TJ Gemeente'!$B$4:$Q$4,0))</f>
        <v>2560</v>
      </c>
      <c r="F11">
        <f>INDEX('Energieverbruik in TJ Gemeente'!$B$4:$Q$347,MATCH($C11,'Energieverbruik in TJ Gemeente'!$B$4:$B$347,0),MATCH(F$2,'Energieverbruik in TJ Gemeente'!$B$4:$Q$4,0))</f>
        <v>2579</v>
      </c>
      <c r="G11">
        <f>INDEX('Energieverbruik in TJ Gemeente'!$B$4:$Q$347,MATCH($C11,'Energieverbruik in TJ Gemeente'!$B$4:$B$347,0),MATCH(G$2,'Energieverbruik in TJ Gemeente'!$B$4:$Q$4,0))</f>
        <v>2286</v>
      </c>
      <c r="H11">
        <f>INDEX('Energieverbruik in TJ Gemeente'!$B$4:$Q$347,MATCH($C11,'Energieverbruik in TJ Gemeente'!$B$4:$B$347,0),MATCH(H$2,'Energieverbruik in TJ Gemeente'!$B$4:$Q$4,0))</f>
        <v>1958</v>
      </c>
      <c r="I11" t="str">
        <f>INDEX('Energieverbruik in TJ Gemeente'!$B$4:$Q$347,MATCH($C11,'Energieverbruik in TJ Gemeente'!$B$4:$B$347,0),MATCH(I$2,'Energieverbruik in TJ Gemeente'!$B$4:$Q$4,0))</f>
        <v>?</v>
      </c>
      <c r="J11" t="str">
        <f>INDEX('Energieverbruik in TJ Gemeente'!$B$4:$Q$347,MATCH($C11,'Energieverbruik in TJ Gemeente'!$B$4:$B$347,0),MATCH(J$2,'Energieverbruik in TJ Gemeente'!$B$4:$Q$4,0))</f>
        <v>?</v>
      </c>
      <c r="K11" t="str">
        <f>INDEX('Energieverbruik in TJ Gemeente'!$B$4:$Q$347,MATCH($C11,'Energieverbruik in TJ Gemeente'!$B$4:$B$347,0),MATCH(K$2,'Energieverbruik in TJ Gemeente'!$B$4:$Q$4,0))</f>
        <v>?</v>
      </c>
      <c r="L11" t="str">
        <f>INDEX('Energieverbruik in TJ Gemeente'!$B$4:$Q$347,MATCH($C11,'Energieverbruik in TJ Gemeente'!$B$4:$B$347,0),MATCH(L$2,'Energieverbruik in TJ Gemeente'!$B$4:$Q$4,0))</f>
        <v>?</v>
      </c>
      <c r="M11" t="str">
        <f>INDEX('Energieverbruik in TJ Gemeente'!$B$4:$Q$347,MATCH($C11,'Energieverbruik in TJ Gemeente'!$B$4:$B$347,0),MATCH(M$2,'Energieverbruik in TJ Gemeente'!$B$4:$Q$4,0))</f>
        <v>?</v>
      </c>
      <c r="N11">
        <f>INDEX('Energieverbruik in TJ Gemeente'!$B$4:$Q$347,MATCH($C11,'Energieverbruik in TJ Gemeente'!$B$4:$B$347,0),MATCH(N$2,'Energieverbruik in TJ Gemeente'!$B$4:$Q$4,0))</f>
        <v>44</v>
      </c>
      <c r="O11">
        <f>INDEX('Energieverbruik in TJ Gemeente'!$B$4:$Q$347,MATCH($C11,'Energieverbruik in TJ Gemeente'!$B$4:$B$347,0),MATCH(O$2,'Energieverbruik in TJ Gemeente'!$B$4:$Q$4,0))</f>
        <v>39</v>
      </c>
      <c r="P11">
        <f>INDEX('Energieverbruik in TJ Gemeente'!$B$4:$Q$347,MATCH($C11,'Energieverbruik in TJ Gemeente'!$B$4:$B$347,0),MATCH(P$2,'Energieverbruik in TJ Gemeente'!$B$4:$Q$4,0))</f>
        <v>40</v>
      </c>
      <c r="Q11">
        <f>INDEX('Energieverbruik in TJ Gemeente'!$B$4:$Q$347,MATCH($C11,'Energieverbruik in TJ Gemeente'!$B$4:$B$347,0),MATCH(Q$2,'Energieverbruik in TJ Gemeente'!$B$4:$Q$4,0))</f>
        <v>30</v>
      </c>
      <c r="R11">
        <f>INDEX('Energieverbruik in TJ Gemeente'!$B$4:$Q$347,MATCH($C11,'Energieverbruik in TJ Gemeente'!$B$4:$B$347,0),MATCH(R$2,'Energieverbruik in TJ Gemeente'!$B$4:$Q$4,0))</f>
        <v>27</v>
      </c>
      <c r="S11" cm="1">
        <f t="array" ref="S11">MAX(_xlfn._xlws.FILTER(D$1:H$1, D11:H11&lt;&gt;"?"))</f>
        <v>2023</v>
      </c>
      <c r="T11" t="e" cm="1" vm="1">
        <f t="array" ref="T11">MAX(_xlfn._xlws.FILTER(I$1:M$1, I11:M11&lt;&gt;"?"))</f>
        <v>#VALUE!</v>
      </c>
      <c r="U11" cm="1">
        <f t="array" ref="U11">MAX(_xlfn._xlws.FILTER(F$1:J$1, F11:J11&lt;&gt;"?"))</f>
        <v>2023</v>
      </c>
      <c r="V11">
        <f t="shared" si="0"/>
        <v>1958</v>
      </c>
      <c r="W11">
        <f t="shared" si="1"/>
        <v>0</v>
      </c>
      <c r="X11">
        <f t="shared" si="2"/>
        <v>27</v>
      </c>
      <c r="Y11">
        <f t="shared" si="3"/>
        <v>1985</v>
      </c>
      <c r="Z11">
        <f t="shared" si="4"/>
        <v>3.2989313789034583E-3</v>
      </c>
    </row>
    <row r="12" spans="1:26" ht="16" x14ac:dyDescent="0.2">
      <c r="A12" s="4" t="s">
        <v>40</v>
      </c>
      <c r="B12" s="4" t="s">
        <v>41</v>
      </c>
      <c r="C12" s="4" t="s">
        <v>42</v>
      </c>
      <c r="D12" t="str">
        <f>INDEX('Energieverbruik in TJ Gemeente'!$B$4:$Q$347,MATCH($C12,'Energieverbruik in TJ Gemeente'!$B$4:$B$347,0),MATCH(D$2,'Energieverbruik in TJ Gemeente'!$B$4:$Q$4,0))</f>
        <v>?</v>
      </c>
      <c r="E12">
        <f>INDEX('Energieverbruik in TJ Gemeente'!$B$4:$Q$347,MATCH($C12,'Energieverbruik in TJ Gemeente'!$B$4:$B$347,0),MATCH(E$2,'Energieverbruik in TJ Gemeente'!$B$4:$Q$4,0))</f>
        <v>1880</v>
      </c>
      <c r="F12">
        <f>INDEX('Energieverbruik in TJ Gemeente'!$B$4:$Q$347,MATCH($C12,'Energieverbruik in TJ Gemeente'!$B$4:$B$347,0),MATCH(F$2,'Energieverbruik in TJ Gemeente'!$B$4:$Q$4,0))</f>
        <v>2027</v>
      </c>
      <c r="G12" t="str">
        <f>INDEX('Energieverbruik in TJ Gemeente'!$B$4:$Q$347,MATCH($C12,'Energieverbruik in TJ Gemeente'!$B$4:$B$347,0),MATCH(G$2,'Energieverbruik in TJ Gemeente'!$B$4:$Q$4,0))</f>
        <v>?</v>
      </c>
      <c r="H12">
        <f>INDEX('Energieverbruik in TJ Gemeente'!$B$4:$Q$347,MATCH($C12,'Energieverbruik in TJ Gemeente'!$B$4:$B$347,0),MATCH(H$2,'Energieverbruik in TJ Gemeente'!$B$4:$Q$4,0))</f>
        <v>1512</v>
      </c>
      <c r="I12" t="str">
        <f>INDEX('Energieverbruik in TJ Gemeente'!$B$4:$Q$347,MATCH($C12,'Energieverbruik in TJ Gemeente'!$B$4:$B$347,0),MATCH(I$2,'Energieverbruik in TJ Gemeente'!$B$4:$Q$4,0))</f>
        <v>?</v>
      </c>
      <c r="J12">
        <f>INDEX('Energieverbruik in TJ Gemeente'!$B$4:$Q$347,MATCH($C12,'Energieverbruik in TJ Gemeente'!$B$4:$B$347,0),MATCH(J$2,'Energieverbruik in TJ Gemeente'!$B$4:$Q$4,0))</f>
        <v>484</v>
      </c>
      <c r="K12">
        <f>INDEX('Energieverbruik in TJ Gemeente'!$B$4:$Q$347,MATCH($C12,'Energieverbruik in TJ Gemeente'!$B$4:$B$347,0),MATCH(K$2,'Energieverbruik in TJ Gemeente'!$B$4:$Q$4,0))</f>
        <v>615</v>
      </c>
      <c r="L12" t="str">
        <f>INDEX('Energieverbruik in TJ Gemeente'!$B$4:$Q$347,MATCH($C12,'Energieverbruik in TJ Gemeente'!$B$4:$B$347,0),MATCH(L$2,'Energieverbruik in TJ Gemeente'!$B$4:$Q$4,0))</f>
        <v>?</v>
      </c>
      <c r="M12">
        <f>INDEX('Energieverbruik in TJ Gemeente'!$B$4:$Q$347,MATCH($C12,'Energieverbruik in TJ Gemeente'!$B$4:$B$347,0),MATCH(M$2,'Energieverbruik in TJ Gemeente'!$B$4:$Q$4,0))</f>
        <v>499</v>
      </c>
      <c r="N12">
        <f>INDEX('Energieverbruik in TJ Gemeente'!$B$4:$Q$347,MATCH($C12,'Energieverbruik in TJ Gemeente'!$B$4:$B$347,0),MATCH(N$2,'Energieverbruik in TJ Gemeente'!$B$4:$Q$4,0))</f>
        <v>17</v>
      </c>
      <c r="O12">
        <f>INDEX('Energieverbruik in TJ Gemeente'!$B$4:$Q$347,MATCH($C12,'Energieverbruik in TJ Gemeente'!$B$4:$B$347,0),MATCH(O$2,'Energieverbruik in TJ Gemeente'!$B$4:$Q$4,0))</f>
        <v>13</v>
      </c>
      <c r="P12">
        <f>INDEX('Energieverbruik in TJ Gemeente'!$B$4:$Q$347,MATCH($C12,'Energieverbruik in TJ Gemeente'!$B$4:$B$347,0),MATCH(P$2,'Energieverbruik in TJ Gemeente'!$B$4:$Q$4,0))</f>
        <v>16</v>
      </c>
      <c r="Q12">
        <f>INDEX('Energieverbruik in TJ Gemeente'!$B$4:$Q$347,MATCH($C12,'Energieverbruik in TJ Gemeente'!$B$4:$B$347,0),MATCH(Q$2,'Energieverbruik in TJ Gemeente'!$B$4:$Q$4,0))</f>
        <v>13</v>
      </c>
      <c r="R12">
        <f>INDEX('Energieverbruik in TJ Gemeente'!$B$4:$Q$347,MATCH($C12,'Energieverbruik in TJ Gemeente'!$B$4:$B$347,0),MATCH(R$2,'Energieverbruik in TJ Gemeente'!$B$4:$Q$4,0))</f>
        <v>11</v>
      </c>
      <c r="S12" cm="1">
        <f t="array" ref="S12">MAX(_xlfn._xlws.FILTER(D$1:H$1, D12:H12&lt;&gt;"?"))</f>
        <v>2023</v>
      </c>
      <c r="T12" cm="1">
        <f t="array" ref="T12">MAX(_xlfn._xlws.FILTER(I$1:M$1, I12:M12&lt;&gt;"?"))</f>
        <v>2023</v>
      </c>
      <c r="U12" cm="1">
        <f t="array" ref="U12">MAX(_xlfn._xlws.FILTER(F$1:J$1, F12:J12&lt;&gt;"?"))</f>
        <v>2023</v>
      </c>
      <c r="V12">
        <f t="shared" si="0"/>
        <v>1512</v>
      </c>
      <c r="W12">
        <f t="shared" si="1"/>
        <v>499</v>
      </c>
      <c r="X12">
        <f t="shared" si="2"/>
        <v>11</v>
      </c>
      <c r="Y12">
        <f t="shared" si="3"/>
        <v>2022</v>
      </c>
      <c r="Z12">
        <f t="shared" si="4"/>
        <v>3.3604227950341527E-3</v>
      </c>
    </row>
    <row r="13" spans="1:26" ht="16" x14ac:dyDescent="0.2">
      <c r="A13" s="4" t="s">
        <v>43</v>
      </c>
      <c r="B13" s="4" t="s">
        <v>44</v>
      </c>
      <c r="C13" s="4" t="s">
        <v>45</v>
      </c>
      <c r="D13" t="str">
        <f>INDEX('Energieverbruik in TJ Gemeente'!$B$4:$Q$347,MATCH($C13,'Energieverbruik in TJ Gemeente'!$B$4:$B$347,0),MATCH(D$2,'Energieverbruik in TJ Gemeente'!$B$4:$Q$4,0))</f>
        <v>?</v>
      </c>
      <c r="E13" t="str">
        <f>INDEX('Energieverbruik in TJ Gemeente'!$B$4:$Q$347,MATCH($C13,'Energieverbruik in TJ Gemeente'!$B$4:$B$347,0),MATCH(E$2,'Energieverbruik in TJ Gemeente'!$B$4:$Q$4,0))</f>
        <v>?</v>
      </c>
      <c r="F13">
        <f>INDEX('Energieverbruik in TJ Gemeente'!$B$4:$Q$347,MATCH($C13,'Energieverbruik in TJ Gemeente'!$B$4:$B$347,0),MATCH(F$2,'Energieverbruik in TJ Gemeente'!$B$4:$Q$4,0))</f>
        <v>1585</v>
      </c>
      <c r="G13">
        <f>INDEX('Energieverbruik in TJ Gemeente'!$B$4:$Q$347,MATCH($C13,'Energieverbruik in TJ Gemeente'!$B$4:$B$347,0),MATCH(G$2,'Energieverbruik in TJ Gemeente'!$B$4:$Q$4,0))</f>
        <v>1363</v>
      </c>
      <c r="H13">
        <f>INDEX('Energieverbruik in TJ Gemeente'!$B$4:$Q$347,MATCH($C13,'Energieverbruik in TJ Gemeente'!$B$4:$B$347,0),MATCH(H$2,'Energieverbruik in TJ Gemeente'!$B$4:$Q$4,0))</f>
        <v>1174</v>
      </c>
      <c r="I13">
        <f>INDEX('Energieverbruik in TJ Gemeente'!$B$4:$Q$347,MATCH($C13,'Energieverbruik in TJ Gemeente'!$B$4:$B$347,0),MATCH(I$2,'Energieverbruik in TJ Gemeente'!$B$4:$Q$4,0))</f>
        <v>198</v>
      </c>
      <c r="J13">
        <f>INDEX('Energieverbruik in TJ Gemeente'!$B$4:$Q$347,MATCH($C13,'Energieverbruik in TJ Gemeente'!$B$4:$B$347,0),MATCH(J$2,'Energieverbruik in TJ Gemeente'!$B$4:$Q$4,0))</f>
        <v>202</v>
      </c>
      <c r="K13">
        <f>INDEX('Energieverbruik in TJ Gemeente'!$B$4:$Q$347,MATCH($C13,'Energieverbruik in TJ Gemeente'!$B$4:$B$347,0),MATCH(K$2,'Energieverbruik in TJ Gemeente'!$B$4:$Q$4,0))</f>
        <v>247</v>
      </c>
      <c r="L13">
        <f>INDEX('Energieverbruik in TJ Gemeente'!$B$4:$Q$347,MATCH($C13,'Energieverbruik in TJ Gemeente'!$B$4:$B$347,0),MATCH(L$2,'Energieverbruik in TJ Gemeente'!$B$4:$Q$4,0))</f>
        <v>194</v>
      </c>
      <c r="M13" t="str">
        <f>INDEX('Energieverbruik in TJ Gemeente'!$B$4:$Q$347,MATCH($C13,'Energieverbruik in TJ Gemeente'!$B$4:$B$347,0),MATCH(M$2,'Energieverbruik in TJ Gemeente'!$B$4:$Q$4,0))</f>
        <v>?</v>
      </c>
      <c r="N13">
        <f>INDEX('Energieverbruik in TJ Gemeente'!$B$4:$Q$347,MATCH($C13,'Energieverbruik in TJ Gemeente'!$B$4:$B$347,0),MATCH(N$2,'Energieverbruik in TJ Gemeente'!$B$4:$Q$4,0))</f>
        <v>386</v>
      </c>
      <c r="O13">
        <f>INDEX('Energieverbruik in TJ Gemeente'!$B$4:$Q$347,MATCH($C13,'Energieverbruik in TJ Gemeente'!$B$4:$B$347,0),MATCH(O$2,'Energieverbruik in TJ Gemeente'!$B$4:$Q$4,0))</f>
        <v>386</v>
      </c>
      <c r="P13">
        <f>INDEX('Energieverbruik in TJ Gemeente'!$B$4:$Q$347,MATCH($C13,'Energieverbruik in TJ Gemeente'!$B$4:$B$347,0),MATCH(P$2,'Energieverbruik in TJ Gemeente'!$B$4:$Q$4,0))</f>
        <v>419</v>
      </c>
      <c r="Q13">
        <f>INDEX('Energieverbruik in TJ Gemeente'!$B$4:$Q$347,MATCH($C13,'Energieverbruik in TJ Gemeente'!$B$4:$B$347,0),MATCH(Q$2,'Energieverbruik in TJ Gemeente'!$B$4:$Q$4,0))</f>
        <v>304</v>
      </c>
      <c r="R13">
        <f>INDEX('Energieverbruik in TJ Gemeente'!$B$4:$Q$347,MATCH($C13,'Energieverbruik in TJ Gemeente'!$B$4:$B$347,0),MATCH(R$2,'Energieverbruik in TJ Gemeente'!$B$4:$Q$4,0))</f>
        <v>323</v>
      </c>
      <c r="S13" cm="1">
        <f t="array" ref="S13">MAX(_xlfn._xlws.FILTER(D$1:H$1, D13:H13&lt;&gt;"?"))</f>
        <v>2023</v>
      </c>
      <c r="T13" cm="1">
        <f t="array" ref="T13">MAX(_xlfn._xlws.FILTER(I$1:M$1, I13:M13&lt;&gt;"?"))</f>
        <v>2022</v>
      </c>
      <c r="U13" cm="1">
        <f t="array" ref="U13">MAX(_xlfn._xlws.FILTER(F$1:J$1, F13:J13&lt;&gt;"?"))</f>
        <v>2023</v>
      </c>
      <c r="V13">
        <f t="shared" si="0"/>
        <v>1174</v>
      </c>
      <c r="W13">
        <f t="shared" si="1"/>
        <v>194</v>
      </c>
      <c r="X13">
        <f t="shared" si="2"/>
        <v>323</v>
      </c>
      <c r="Y13">
        <f t="shared" si="3"/>
        <v>1691</v>
      </c>
      <c r="Z13">
        <f t="shared" si="4"/>
        <v>2.8103239101892937E-3</v>
      </c>
    </row>
    <row r="14" spans="1:26" ht="32" x14ac:dyDescent="0.2">
      <c r="A14" s="4" t="s">
        <v>46</v>
      </c>
      <c r="B14" s="4" t="s">
        <v>47</v>
      </c>
      <c r="C14" s="4" t="s">
        <v>48</v>
      </c>
      <c r="D14" t="str">
        <f>INDEX('Energieverbruik in TJ Gemeente'!$B$4:$Q$347,MATCH($C14,'Energieverbruik in TJ Gemeente'!$B$4:$B$347,0),MATCH(D$2,'Energieverbruik in TJ Gemeente'!$B$4:$Q$4,0))</f>
        <v>?</v>
      </c>
      <c r="E14">
        <f>INDEX('Energieverbruik in TJ Gemeente'!$B$4:$Q$347,MATCH($C14,'Energieverbruik in TJ Gemeente'!$B$4:$B$347,0),MATCH(E$2,'Energieverbruik in TJ Gemeente'!$B$4:$Q$4,0))</f>
        <v>2352</v>
      </c>
      <c r="F14">
        <f>INDEX('Energieverbruik in TJ Gemeente'!$B$4:$Q$347,MATCH($C14,'Energieverbruik in TJ Gemeente'!$B$4:$B$347,0),MATCH(F$2,'Energieverbruik in TJ Gemeente'!$B$4:$Q$4,0))</f>
        <v>2381</v>
      </c>
      <c r="G14">
        <f>INDEX('Energieverbruik in TJ Gemeente'!$B$4:$Q$347,MATCH($C14,'Energieverbruik in TJ Gemeente'!$B$4:$B$347,0),MATCH(G$2,'Energieverbruik in TJ Gemeente'!$B$4:$Q$4,0))</f>
        <v>2068</v>
      </c>
      <c r="H14">
        <f>INDEX('Energieverbruik in TJ Gemeente'!$B$4:$Q$347,MATCH($C14,'Energieverbruik in TJ Gemeente'!$B$4:$B$347,0),MATCH(H$2,'Energieverbruik in TJ Gemeente'!$B$4:$Q$4,0))</f>
        <v>1782</v>
      </c>
      <c r="I14" t="str">
        <f>INDEX('Energieverbruik in TJ Gemeente'!$B$4:$Q$347,MATCH($C14,'Energieverbruik in TJ Gemeente'!$B$4:$B$347,0),MATCH(I$2,'Energieverbruik in TJ Gemeente'!$B$4:$Q$4,0))</f>
        <v>?</v>
      </c>
      <c r="J14">
        <f>INDEX('Energieverbruik in TJ Gemeente'!$B$4:$Q$347,MATCH($C14,'Energieverbruik in TJ Gemeente'!$B$4:$B$347,0),MATCH(J$2,'Energieverbruik in TJ Gemeente'!$B$4:$Q$4,0))</f>
        <v>172</v>
      </c>
      <c r="K14">
        <f>INDEX('Energieverbruik in TJ Gemeente'!$B$4:$Q$347,MATCH($C14,'Energieverbruik in TJ Gemeente'!$B$4:$B$347,0),MATCH(K$2,'Energieverbruik in TJ Gemeente'!$B$4:$Q$4,0))</f>
        <v>189</v>
      </c>
      <c r="L14">
        <f>INDEX('Energieverbruik in TJ Gemeente'!$B$4:$Q$347,MATCH($C14,'Energieverbruik in TJ Gemeente'!$B$4:$B$347,0),MATCH(L$2,'Energieverbruik in TJ Gemeente'!$B$4:$Q$4,0))</f>
        <v>171</v>
      </c>
      <c r="M14" t="str">
        <f>INDEX('Energieverbruik in TJ Gemeente'!$B$4:$Q$347,MATCH($C14,'Energieverbruik in TJ Gemeente'!$B$4:$B$347,0),MATCH(M$2,'Energieverbruik in TJ Gemeente'!$B$4:$Q$4,0))</f>
        <v>?</v>
      </c>
      <c r="N14">
        <f>INDEX('Energieverbruik in TJ Gemeente'!$B$4:$Q$347,MATCH($C14,'Energieverbruik in TJ Gemeente'!$B$4:$B$347,0),MATCH(N$2,'Energieverbruik in TJ Gemeente'!$B$4:$Q$4,0))</f>
        <v>104</v>
      </c>
      <c r="O14">
        <f>INDEX('Energieverbruik in TJ Gemeente'!$B$4:$Q$347,MATCH($C14,'Energieverbruik in TJ Gemeente'!$B$4:$B$347,0),MATCH(O$2,'Energieverbruik in TJ Gemeente'!$B$4:$Q$4,0))</f>
        <v>75</v>
      </c>
      <c r="P14">
        <f>INDEX('Energieverbruik in TJ Gemeente'!$B$4:$Q$347,MATCH($C14,'Energieverbruik in TJ Gemeente'!$B$4:$B$347,0),MATCH(P$2,'Energieverbruik in TJ Gemeente'!$B$4:$Q$4,0))</f>
        <v>89</v>
      </c>
      <c r="Q14">
        <f>INDEX('Energieverbruik in TJ Gemeente'!$B$4:$Q$347,MATCH($C14,'Energieverbruik in TJ Gemeente'!$B$4:$B$347,0),MATCH(Q$2,'Energieverbruik in TJ Gemeente'!$B$4:$Q$4,0))</f>
        <v>68</v>
      </c>
      <c r="R14">
        <f>INDEX('Energieverbruik in TJ Gemeente'!$B$4:$Q$347,MATCH($C14,'Energieverbruik in TJ Gemeente'!$B$4:$B$347,0),MATCH(R$2,'Energieverbruik in TJ Gemeente'!$B$4:$Q$4,0))</f>
        <v>63</v>
      </c>
      <c r="S14" cm="1">
        <f t="array" ref="S14">MAX(_xlfn._xlws.FILTER(D$1:H$1, D14:H14&lt;&gt;"?"))</f>
        <v>2023</v>
      </c>
      <c r="T14" cm="1">
        <f t="array" ref="T14">MAX(_xlfn._xlws.FILTER(I$1:M$1, I14:M14&lt;&gt;"?"))</f>
        <v>2022</v>
      </c>
      <c r="U14" cm="1">
        <f t="array" ref="U14">MAX(_xlfn._xlws.FILTER(F$1:J$1, F14:J14&lt;&gt;"?"))</f>
        <v>2023</v>
      </c>
      <c r="V14">
        <f t="shared" si="0"/>
        <v>1782</v>
      </c>
      <c r="W14">
        <f t="shared" si="1"/>
        <v>171</v>
      </c>
      <c r="X14">
        <f t="shared" si="2"/>
        <v>63</v>
      </c>
      <c r="Y14">
        <f t="shared" si="3"/>
        <v>2016</v>
      </c>
      <c r="Z14">
        <f t="shared" si="4"/>
        <v>3.3504512140399862E-3</v>
      </c>
    </row>
    <row r="15" spans="1:26" ht="32" x14ac:dyDescent="0.2">
      <c r="A15" s="4" t="s">
        <v>49</v>
      </c>
      <c r="B15" s="4" t="s">
        <v>50</v>
      </c>
      <c r="C15" s="4" t="s">
        <v>51</v>
      </c>
      <c r="D15" t="str">
        <f>INDEX('Energieverbruik in TJ Gemeente'!$B$4:$Q$347,MATCH($C15,'Energieverbruik in TJ Gemeente'!$B$4:$B$347,0),MATCH(D$2,'Energieverbruik in TJ Gemeente'!$B$4:$Q$4,0))</f>
        <v>?</v>
      </c>
      <c r="E15">
        <f>INDEX('Energieverbruik in TJ Gemeente'!$B$4:$Q$347,MATCH($C15,'Energieverbruik in TJ Gemeente'!$B$4:$B$347,0),MATCH(E$2,'Energieverbruik in TJ Gemeente'!$B$4:$Q$4,0))</f>
        <v>278</v>
      </c>
      <c r="F15">
        <f>INDEX('Energieverbruik in TJ Gemeente'!$B$4:$Q$347,MATCH($C15,'Energieverbruik in TJ Gemeente'!$B$4:$B$347,0),MATCH(F$2,'Energieverbruik in TJ Gemeente'!$B$4:$Q$4,0))</f>
        <v>281</v>
      </c>
      <c r="G15">
        <f>INDEX('Energieverbruik in TJ Gemeente'!$B$4:$Q$347,MATCH($C15,'Energieverbruik in TJ Gemeente'!$B$4:$B$347,0),MATCH(G$2,'Energieverbruik in TJ Gemeente'!$B$4:$Q$4,0))</f>
        <v>246</v>
      </c>
      <c r="H15">
        <f>INDEX('Energieverbruik in TJ Gemeente'!$B$4:$Q$347,MATCH($C15,'Energieverbruik in TJ Gemeente'!$B$4:$B$347,0),MATCH(H$2,'Energieverbruik in TJ Gemeente'!$B$4:$Q$4,0))</f>
        <v>199</v>
      </c>
      <c r="I15">
        <f>INDEX('Energieverbruik in TJ Gemeente'!$B$4:$Q$347,MATCH($C15,'Energieverbruik in TJ Gemeente'!$B$4:$B$347,0),MATCH(I$2,'Energieverbruik in TJ Gemeente'!$B$4:$Q$4,0))</f>
        <v>13</v>
      </c>
      <c r="J15">
        <f>INDEX('Energieverbruik in TJ Gemeente'!$B$4:$Q$347,MATCH($C15,'Energieverbruik in TJ Gemeente'!$B$4:$B$347,0),MATCH(J$2,'Energieverbruik in TJ Gemeente'!$B$4:$Q$4,0))</f>
        <v>13</v>
      </c>
      <c r="K15">
        <f>INDEX('Energieverbruik in TJ Gemeente'!$B$4:$Q$347,MATCH($C15,'Energieverbruik in TJ Gemeente'!$B$4:$B$347,0),MATCH(K$2,'Energieverbruik in TJ Gemeente'!$B$4:$Q$4,0))</f>
        <v>15</v>
      </c>
      <c r="L15">
        <f>INDEX('Energieverbruik in TJ Gemeente'!$B$4:$Q$347,MATCH($C15,'Energieverbruik in TJ Gemeente'!$B$4:$B$347,0),MATCH(L$2,'Energieverbruik in TJ Gemeente'!$B$4:$Q$4,0))</f>
        <v>14</v>
      </c>
      <c r="M15">
        <f>INDEX('Energieverbruik in TJ Gemeente'!$B$4:$Q$347,MATCH($C15,'Energieverbruik in TJ Gemeente'!$B$4:$B$347,0),MATCH(M$2,'Energieverbruik in TJ Gemeente'!$B$4:$Q$4,0))</f>
        <v>11</v>
      </c>
      <c r="N15">
        <f>INDEX('Energieverbruik in TJ Gemeente'!$B$4:$Q$347,MATCH($C15,'Energieverbruik in TJ Gemeente'!$B$4:$B$347,0),MATCH(N$2,'Energieverbruik in TJ Gemeente'!$B$4:$Q$4,0))</f>
        <v>98</v>
      </c>
      <c r="O15">
        <f>INDEX('Energieverbruik in TJ Gemeente'!$B$4:$Q$347,MATCH($C15,'Energieverbruik in TJ Gemeente'!$B$4:$B$347,0),MATCH(O$2,'Energieverbruik in TJ Gemeente'!$B$4:$Q$4,0))</f>
        <v>84</v>
      </c>
      <c r="P15">
        <f>INDEX('Energieverbruik in TJ Gemeente'!$B$4:$Q$347,MATCH($C15,'Energieverbruik in TJ Gemeente'!$B$4:$B$347,0),MATCH(P$2,'Energieverbruik in TJ Gemeente'!$B$4:$Q$4,0))</f>
        <v>83</v>
      </c>
      <c r="Q15">
        <f>INDEX('Energieverbruik in TJ Gemeente'!$B$4:$Q$347,MATCH($C15,'Energieverbruik in TJ Gemeente'!$B$4:$B$347,0),MATCH(Q$2,'Energieverbruik in TJ Gemeente'!$B$4:$Q$4,0))</f>
        <v>55</v>
      </c>
      <c r="R15">
        <f>INDEX('Energieverbruik in TJ Gemeente'!$B$4:$Q$347,MATCH($C15,'Energieverbruik in TJ Gemeente'!$B$4:$B$347,0),MATCH(R$2,'Energieverbruik in TJ Gemeente'!$B$4:$Q$4,0))</f>
        <v>45</v>
      </c>
      <c r="S15" cm="1">
        <f t="array" ref="S15">MAX(_xlfn._xlws.FILTER(D$1:H$1, D15:H15&lt;&gt;"?"))</f>
        <v>2023</v>
      </c>
      <c r="T15" cm="1">
        <f t="array" ref="T15">MAX(_xlfn._xlws.FILTER(I$1:M$1, I15:M15&lt;&gt;"?"))</f>
        <v>2023</v>
      </c>
      <c r="U15" cm="1">
        <f t="array" ref="U15">MAX(_xlfn._xlws.FILTER(F$1:J$1, F15:J15&lt;&gt;"?"))</f>
        <v>2023</v>
      </c>
      <c r="V15">
        <f t="shared" si="0"/>
        <v>199</v>
      </c>
      <c r="W15">
        <f t="shared" si="1"/>
        <v>11</v>
      </c>
      <c r="X15">
        <f t="shared" si="2"/>
        <v>45</v>
      </c>
      <c r="Y15">
        <f t="shared" si="3"/>
        <v>255</v>
      </c>
      <c r="Z15">
        <f t="shared" si="4"/>
        <v>4.2379219225208159E-4</v>
      </c>
    </row>
    <row r="16" spans="1:26" ht="16" x14ac:dyDescent="0.2">
      <c r="A16" s="4" t="s">
        <v>52</v>
      </c>
      <c r="B16" s="4" t="s">
        <v>53</v>
      </c>
      <c r="C16" s="4" t="s">
        <v>54</v>
      </c>
      <c r="D16">
        <f>INDEX('Energieverbruik in TJ Gemeente'!$B$4:$Q$347,MATCH($C16,'Energieverbruik in TJ Gemeente'!$B$4:$B$347,0),MATCH(D$2,'Energieverbruik in TJ Gemeente'!$B$4:$Q$4,0))</f>
        <v>1251</v>
      </c>
      <c r="E16">
        <f>INDEX('Energieverbruik in TJ Gemeente'!$B$4:$Q$347,MATCH($C16,'Energieverbruik in TJ Gemeente'!$B$4:$B$347,0),MATCH(E$2,'Energieverbruik in TJ Gemeente'!$B$4:$Q$4,0))</f>
        <v>1230</v>
      </c>
      <c r="F16">
        <f>INDEX('Energieverbruik in TJ Gemeente'!$B$4:$Q$347,MATCH($C16,'Energieverbruik in TJ Gemeente'!$B$4:$B$347,0),MATCH(F$2,'Energieverbruik in TJ Gemeente'!$B$4:$Q$4,0))</f>
        <v>1228</v>
      </c>
      <c r="G16">
        <f>INDEX('Energieverbruik in TJ Gemeente'!$B$4:$Q$347,MATCH($C16,'Energieverbruik in TJ Gemeente'!$B$4:$B$347,0),MATCH(G$2,'Energieverbruik in TJ Gemeente'!$B$4:$Q$4,0))</f>
        <v>1059</v>
      </c>
      <c r="H16">
        <f>INDEX('Energieverbruik in TJ Gemeente'!$B$4:$Q$347,MATCH($C16,'Energieverbruik in TJ Gemeente'!$B$4:$B$347,0),MATCH(H$2,'Energieverbruik in TJ Gemeente'!$B$4:$Q$4,0))</f>
        <v>923</v>
      </c>
      <c r="I16">
        <f>INDEX('Energieverbruik in TJ Gemeente'!$B$4:$Q$347,MATCH($C16,'Energieverbruik in TJ Gemeente'!$B$4:$B$347,0),MATCH(I$2,'Energieverbruik in TJ Gemeente'!$B$4:$Q$4,0))</f>
        <v>177</v>
      </c>
      <c r="J16">
        <f>INDEX('Energieverbruik in TJ Gemeente'!$B$4:$Q$347,MATCH($C16,'Energieverbruik in TJ Gemeente'!$B$4:$B$347,0),MATCH(J$2,'Energieverbruik in TJ Gemeente'!$B$4:$Q$4,0))</f>
        <v>200</v>
      </c>
      <c r="K16">
        <f>INDEX('Energieverbruik in TJ Gemeente'!$B$4:$Q$347,MATCH($C16,'Energieverbruik in TJ Gemeente'!$B$4:$B$347,0),MATCH(K$2,'Energieverbruik in TJ Gemeente'!$B$4:$Q$4,0))</f>
        <v>215</v>
      </c>
      <c r="L16">
        <f>INDEX('Energieverbruik in TJ Gemeente'!$B$4:$Q$347,MATCH($C16,'Energieverbruik in TJ Gemeente'!$B$4:$B$347,0),MATCH(L$2,'Energieverbruik in TJ Gemeente'!$B$4:$Q$4,0))</f>
        <v>186</v>
      </c>
      <c r="M16">
        <f>INDEX('Energieverbruik in TJ Gemeente'!$B$4:$Q$347,MATCH($C16,'Energieverbruik in TJ Gemeente'!$B$4:$B$347,0),MATCH(M$2,'Energieverbruik in TJ Gemeente'!$B$4:$Q$4,0))</f>
        <v>134</v>
      </c>
      <c r="N16">
        <f>INDEX('Energieverbruik in TJ Gemeente'!$B$4:$Q$347,MATCH($C16,'Energieverbruik in TJ Gemeente'!$B$4:$B$347,0),MATCH(N$2,'Energieverbruik in TJ Gemeente'!$B$4:$Q$4,0))</f>
        <v>184</v>
      </c>
      <c r="O16">
        <f>INDEX('Energieverbruik in TJ Gemeente'!$B$4:$Q$347,MATCH($C16,'Energieverbruik in TJ Gemeente'!$B$4:$B$347,0),MATCH(O$2,'Energieverbruik in TJ Gemeente'!$B$4:$Q$4,0))</f>
        <v>184</v>
      </c>
      <c r="P16">
        <f>INDEX('Energieverbruik in TJ Gemeente'!$B$4:$Q$347,MATCH($C16,'Energieverbruik in TJ Gemeente'!$B$4:$B$347,0),MATCH(P$2,'Energieverbruik in TJ Gemeente'!$B$4:$Q$4,0))</f>
        <v>255</v>
      </c>
      <c r="Q16">
        <f>INDEX('Energieverbruik in TJ Gemeente'!$B$4:$Q$347,MATCH($C16,'Energieverbruik in TJ Gemeente'!$B$4:$B$347,0),MATCH(Q$2,'Energieverbruik in TJ Gemeente'!$B$4:$Q$4,0))</f>
        <v>171</v>
      </c>
      <c r="R16">
        <f>INDEX('Energieverbruik in TJ Gemeente'!$B$4:$Q$347,MATCH($C16,'Energieverbruik in TJ Gemeente'!$B$4:$B$347,0),MATCH(R$2,'Energieverbruik in TJ Gemeente'!$B$4:$Q$4,0))</f>
        <v>187</v>
      </c>
      <c r="S16" cm="1">
        <f t="array" ref="S16">MAX(_xlfn._xlws.FILTER(D$1:H$1, D16:H16&lt;&gt;"?"))</f>
        <v>2023</v>
      </c>
      <c r="T16" cm="1">
        <f t="array" ref="T16">MAX(_xlfn._xlws.FILTER(I$1:M$1, I16:M16&lt;&gt;"?"))</f>
        <v>2023</v>
      </c>
      <c r="U16" cm="1">
        <f t="array" ref="U16">MAX(_xlfn._xlws.FILTER(F$1:J$1, F16:J16&lt;&gt;"?"))</f>
        <v>2023</v>
      </c>
      <c r="V16">
        <f t="shared" si="0"/>
        <v>923</v>
      </c>
      <c r="W16">
        <f t="shared" si="1"/>
        <v>134</v>
      </c>
      <c r="X16">
        <f t="shared" si="2"/>
        <v>187</v>
      </c>
      <c r="Y16">
        <f t="shared" si="3"/>
        <v>1244</v>
      </c>
      <c r="Z16">
        <f t="shared" si="4"/>
        <v>2.0674411261238802E-3</v>
      </c>
    </row>
    <row r="17" spans="1:26" ht="16" x14ac:dyDescent="0.2">
      <c r="A17" s="4" t="s">
        <v>55</v>
      </c>
      <c r="B17" s="4" t="s">
        <v>56</v>
      </c>
      <c r="C17" s="4" t="s">
        <v>57</v>
      </c>
      <c r="D17">
        <f>INDEX('Energieverbruik in TJ Gemeente'!$B$4:$Q$347,MATCH($C17,'Energieverbruik in TJ Gemeente'!$B$4:$B$347,0),MATCH(D$2,'Energieverbruik in TJ Gemeente'!$B$4:$Q$4,0))</f>
        <v>239</v>
      </c>
      <c r="E17">
        <f>INDEX('Energieverbruik in TJ Gemeente'!$B$4:$Q$347,MATCH($C17,'Energieverbruik in TJ Gemeente'!$B$4:$B$347,0),MATCH(E$2,'Energieverbruik in TJ Gemeente'!$B$4:$Q$4,0))</f>
        <v>229</v>
      </c>
      <c r="F17">
        <f>INDEX('Energieverbruik in TJ Gemeente'!$B$4:$Q$347,MATCH($C17,'Energieverbruik in TJ Gemeente'!$B$4:$B$347,0),MATCH(F$2,'Energieverbruik in TJ Gemeente'!$B$4:$Q$4,0))</f>
        <v>242</v>
      </c>
      <c r="G17">
        <f>INDEX('Energieverbruik in TJ Gemeente'!$B$4:$Q$347,MATCH($C17,'Energieverbruik in TJ Gemeente'!$B$4:$B$347,0),MATCH(G$2,'Energieverbruik in TJ Gemeente'!$B$4:$Q$4,0))</f>
        <v>211</v>
      </c>
      <c r="H17">
        <f>INDEX('Energieverbruik in TJ Gemeente'!$B$4:$Q$347,MATCH($C17,'Energieverbruik in TJ Gemeente'!$B$4:$B$347,0),MATCH(H$2,'Energieverbruik in TJ Gemeente'!$B$4:$Q$4,0))</f>
        <v>185</v>
      </c>
      <c r="I17">
        <f>INDEX('Energieverbruik in TJ Gemeente'!$B$4:$Q$347,MATCH($C17,'Energieverbruik in TJ Gemeente'!$B$4:$B$347,0),MATCH(I$2,'Energieverbruik in TJ Gemeente'!$B$4:$Q$4,0))</f>
        <v>4</v>
      </c>
      <c r="J17">
        <f>INDEX('Energieverbruik in TJ Gemeente'!$B$4:$Q$347,MATCH($C17,'Energieverbruik in TJ Gemeente'!$B$4:$B$347,0),MATCH(J$2,'Energieverbruik in TJ Gemeente'!$B$4:$Q$4,0))</f>
        <v>4</v>
      </c>
      <c r="K17">
        <f>INDEX('Energieverbruik in TJ Gemeente'!$B$4:$Q$347,MATCH($C17,'Energieverbruik in TJ Gemeente'!$B$4:$B$347,0),MATCH(K$2,'Energieverbruik in TJ Gemeente'!$B$4:$Q$4,0))</f>
        <v>4</v>
      </c>
      <c r="L17">
        <f>INDEX('Energieverbruik in TJ Gemeente'!$B$4:$Q$347,MATCH($C17,'Energieverbruik in TJ Gemeente'!$B$4:$B$347,0),MATCH(L$2,'Energieverbruik in TJ Gemeente'!$B$4:$Q$4,0))</f>
        <v>3</v>
      </c>
      <c r="M17">
        <f>INDEX('Energieverbruik in TJ Gemeente'!$B$4:$Q$347,MATCH($C17,'Energieverbruik in TJ Gemeente'!$B$4:$B$347,0),MATCH(M$2,'Energieverbruik in TJ Gemeente'!$B$4:$Q$4,0))</f>
        <v>3</v>
      </c>
      <c r="N17">
        <f>INDEX('Energieverbruik in TJ Gemeente'!$B$4:$Q$347,MATCH($C17,'Energieverbruik in TJ Gemeente'!$B$4:$B$347,0),MATCH(N$2,'Energieverbruik in TJ Gemeente'!$B$4:$Q$4,0))</f>
        <v>4</v>
      </c>
      <c r="O17">
        <f>INDEX('Energieverbruik in TJ Gemeente'!$B$4:$Q$347,MATCH($C17,'Energieverbruik in TJ Gemeente'!$B$4:$B$347,0),MATCH(O$2,'Energieverbruik in TJ Gemeente'!$B$4:$Q$4,0))</f>
        <v>2</v>
      </c>
      <c r="P17">
        <f>INDEX('Energieverbruik in TJ Gemeente'!$B$4:$Q$347,MATCH($C17,'Energieverbruik in TJ Gemeente'!$B$4:$B$347,0),MATCH(P$2,'Energieverbruik in TJ Gemeente'!$B$4:$Q$4,0))</f>
        <v>2</v>
      </c>
      <c r="Q17">
        <f>INDEX('Energieverbruik in TJ Gemeente'!$B$4:$Q$347,MATCH($C17,'Energieverbruik in TJ Gemeente'!$B$4:$B$347,0),MATCH(Q$2,'Energieverbruik in TJ Gemeente'!$B$4:$Q$4,0))</f>
        <v>2</v>
      </c>
      <c r="R17">
        <f>INDEX('Energieverbruik in TJ Gemeente'!$B$4:$Q$347,MATCH($C17,'Energieverbruik in TJ Gemeente'!$B$4:$B$347,0),MATCH(R$2,'Energieverbruik in TJ Gemeente'!$B$4:$Q$4,0))</f>
        <v>2</v>
      </c>
      <c r="S17" cm="1">
        <f t="array" ref="S17">MAX(_xlfn._xlws.FILTER(D$1:H$1, D17:H17&lt;&gt;"?"))</f>
        <v>2023</v>
      </c>
      <c r="T17" cm="1">
        <f t="array" ref="T17">MAX(_xlfn._xlws.FILTER(I$1:M$1, I17:M17&lt;&gt;"?"))</f>
        <v>2023</v>
      </c>
      <c r="U17" cm="1">
        <f t="array" ref="U17">MAX(_xlfn._xlws.FILTER(F$1:J$1, F17:J17&lt;&gt;"?"))</f>
        <v>2023</v>
      </c>
      <c r="V17">
        <f t="shared" si="0"/>
        <v>185</v>
      </c>
      <c r="W17">
        <f t="shared" si="1"/>
        <v>3</v>
      </c>
      <c r="X17">
        <f t="shared" si="2"/>
        <v>2</v>
      </c>
      <c r="Y17">
        <f t="shared" si="3"/>
        <v>190</v>
      </c>
      <c r="Z17">
        <f t="shared" si="4"/>
        <v>3.1576673148194314E-4</v>
      </c>
    </row>
    <row r="18" spans="1:26" ht="16" x14ac:dyDescent="0.2">
      <c r="A18" s="4" t="s">
        <v>58</v>
      </c>
      <c r="B18" s="4" t="s">
        <v>59</v>
      </c>
      <c r="C18" s="4" t="s">
        <v>60</v>
      </c>
      <c r="D18">
        <f>INDEX('Energieverbruik in TJ Gemeente'!$B$4:$Q$347,MATCH($C18,'Energieverbruik in TJ Gemeente'!$B$4:$B$347,0),MATCH(D$2,'Energieverbruik in TJ Gemeente'!$B$4:$Q$4,0))</f>
        <v>3390</v>
      </c>
      <c r="E18">
        <f>INDEX('Energieverbruik in TJ Gemeente'!$B$4:$Q$347,MATCH($C18,'Energieverbruik in TJ Gemeente'!$B$4:$B$347,0),MATCH(E$2,'Energieverbruik in TJ Gemeente'!$B$4:$Q$4,0))</f>
        <v>3316</v>
      </c>
      <c r="F18">
        <f>INDEX('Energieverbruik in TJ Gemeente'!$B$4:$Q$347,MATCH($C18,'Energieverbruik in TJ Gemeente'!$B$4:$B$347,0),MATCH(F$2,'Energieverbruik in TJ Gemeente'!$B$4:$Q$4,0))</f>
        <v>3378</v>
      </c>
      <c r="G18">
        <f>INDEX('Energieverbruik in TJ Gemeente'!$B$4:$Q$347,MATCH($C18,'Energieverbruik in TJ Gemeente'!$B$4:$B$347,0),MATCH(G$2,'Energieverbruik in TJ Gemeente'!$B$4:$Q$4,0))</f>
        <v>2932</v>
      </c>
      <c r="H18">
        <f>INDEX('Energieverbruik in TJ Gemeente'!$B$4:$Q$347,MATCH($C18,'Energieverbruik in TJ Gemeente'!$B$4:$B$347,0),MATCH(H$2,'Energieverbruik in TJ Gemeente'!$B$4:$Q$4,0))</f>
        <v>2532</v>
      </c>
      <c r="I18">
        <f>INDEX('Energieverbruik in TJ Gemeente'!$B$4:$Q$347,MATCH($C18,'Energieverbruik in TJ Gemeente'!$B$4:$B$347,0),MATCH(I$2,'Energieverbruik in TJ Gemeente'!$B$4:$Q$4,0))</f>
        <v>138</v>
      </c>
      <c r="J18">
        <f>INDEX('Energieverbruik in TJ Gemeente'!$B$4:$Q$347,MATCH($C18,'Energieverbruik in TJ Gemeente'!$B$4:$B$347,0),MATCH(J$2,'Energieverbruik in TJ Gemeente'!$B$4:$Q$4,0))</f>
        <v>122</v>
      </c>
      <c r="K18">
        <f>INDEX('Energieverbruik in TJ Gemeente'!$B$4:$Q$347,MATCH($C18,'Energieverbruik in TJ Gemeente'!$B$4:$B$347,0),MATCH(K$2,'Energieverbruik in TJ Gemeente'!$B$4:$Q$4,0))</f>
        <v>130</v>
      </c>
      <c r="L18">
        <f>INDEX('Energieverbruik in TJ Gemeente'!$B$4:$Q$347,MATCH($C18,'Energieverbruik in TJ Gemeente'!$B$4:$B$347,0),MATCH(L$2,'Energieverbruik in TJ Gemeente'!$B$4:$Q$4,0))</f>
        <v>104</v>
      </c>
      <c r="M18">
        <f>INDEX('Energieverbruik in TJ Gemeente'!$B$4:$Q$347,MATCH($C18,'Energieverbruik in TJ Gemeente'!$B$4:$B$347,0),MATCH(M$2,'Energieverbruik in TJ Gemeente'!$B$4:$Q$4,0))</f>
        <v>95</v>
      </c>
      <c r="N18">
        <f>INDEX('Energieverbruik in TJ Gemeente'!$B$4:$Q$347,MATCH($C18,'Energieverbruik in TJ Gemeente'!$B$4:$B$347,0),MATCH(N$2,'Energieverbruik in TJ Gemeente'!$B$4:$Q$4,0))</f>
        <v>5</v>
      </c>
      <c r="O18">
        <f>INDEX('Energieverbruik in TJ Gemeente'!$B$4:$Q$347,MATCH($C18,'Energieverbruik in TJ Gemeente'!$B$4:$B$347,0),MATCH(O$2,'Energieverbruik in TJ Gemeente'!$B$4:$Q$4,0))</f>
        <v>5</v>
      </c>
      <c r="P18">
        <f>INDEX('Energieverbruik in TJ Gemeente'!$B$4:$Q$347,MATCH($C18,'Energieverbruik in TJ Gemeente'!$B$4:$B$347,0),MATCH(P$2,'Energieverbruik in TJ Gemeente'!$B$4:$Q$4,0))</f>
        <v>5</v>
      </c>
      <c r="Q18">
        <f>INDEX('Energieverbruik in TJ Gemeente'!$B$4:$Q$347,MATCH($C18,'Energieverbruik in TJ Gemeente'!$B$4:$B$347,0),MATCH(Q$2,'Energieverbruik in TJ Gemeente'!$B$4:$Q$4,0))</f>
        <v>4</v>
      </c>
      <c r="R18">
        <f>INDEX('Energieverbruik in TJ Gemeente'!$B$4:$Q$347,MATCH($C18,'Energieverbruik in TJ Gemeente'!$B$4:$B$347,0),MATCH(R$2,'Energieverbruik in TJ Gemeente'!$B$4:$Q$4,0))</f>
        <v>4</v>
      </c>
      <c r="S18" cm="1">
        <f t="array" ref="S18">MAX(_xlfn._xlws.FILTER(D$1:H$1, D18:H18&lt;&gt;"?"))</f>
        <v>2023</v>
      </c>
      <c r="T18" cm="1">
        <f t="array" ref="T18">MAX(_xlfn._xlws.FILTER(I$1:M$1, I18:M18&lt;&gt;"?"))</f>
        <v>2023</v>
      </c>
      <c r="U18" cm="1">
        <f t="array" ref="U18">MAX(_xlfn._xlws.FILTER(F$1:J$1, F18:J18&lt;&gt;"?"))</f>
        <v>2023</v>
      </c>
      <c r="V18">
        <f t="shared" si="0"/>
        <v>2532</v>
      </c>
      <c r="W18">
        <f t="shared" si="1"/>
        <v>95</v>
      </c>
      <c r="X18">
        <f t="shared" si="2"/>
        <v>4</v>
      </c>
      <c r="Y18">
        <f t="shared" si="3"/>
        <v>2631</v>
      </c>
      <c r="Z18">
        <f t="shared" si="4"/>
        <v>4.3725382659420648E-3</v>
      </c>
    </row>
    <row r="19" spans="1:26" ht="16" x14ac:dyDescent="0.2">
      <c r="A19" s="4" t="s">
        <v>62</v>
      </c>
      <c r="B19" s="4" t="s">
        <v>63</v>
      </c>
      <c r="C19" s="4" t="s">
        <v>64</v>
      </c>
      <c r="D19">
        <f>INDEX('Energieverbruik in TJ Gemeente'!$B$4:$Q$347,MATCH($C19,'Energieverbruik in TJ Gemeente'!$B$4:$B$347,0),MATCH(D$2,'Energieverbruik in TJ Gemeente'!$B$4:$Q$4,0))</f>
        <v>2048</v>
      </c>
      <c r="E19">
        <f>INDEX('Energieverbruik in TJ Gemeente'!$B$4:$Q$347,MATCH($C19,'Energieverbruik in TJ Gemeente'!$B$4:$B$347,0),MATCH(E$2,'Energieverbruik in TJ Gemeente'!$B$4:$Q$4,0))</f>
        <v>1951</v>
      </c>
      <c r="F19">
        <f>INDEX('Energieverbruik in TJ Gemeente'!$B$4:$Q$347,MATCH($C19,'Energieverbruik in TJ Gemeente'!$B$4:$B$347,0),MATCH(F$2,'Energieverbruik in TJ Gemeente'!$B$4:$Q$4,0))</f>
        <v>1959</v>
      </c>
      <c r="G19">
        <f>INDEX('Energieverbruik in TJ Gemeente'!$B$4:$Q$347,MATCH($C19,'Energieverbruik in TJ Gemeente'!$B$4:$B$347,0),MATCH(G$2,'Energieverbruik in TJ Gemeente'!$B$4:$Q$4,0))</f>
        <v>1752</v>
      </c>
      <c r="H19">
        <f>INDEX('Energieverbruik in TJ Gemeente'!$B$4:$Q$347,MATCH($C19,'Energieverbruik in TJ Gemeente'!$B$4:$B$347,0),MATCH(H$2,'Energieverbruik in TJ Gemeente'!$B$4:$Q$4,0))</f>
        <v>1525</v>
      </c>
      <c r="I19">
        <f>INDEX('Energieverbruik in TJ Gemeente'!$B$4:$Q$347,MATCH($C19,'Energieverbruik in TJ Gemeente'!$B$4:$B$347,0),MATCH(I$2,'Energieverbruik in TJ Gemeente'!$B$4:$Q$4,0))</f>
        <v>34</v>
      </c>
      <c r="J19">
        <f>INDEX('Energieverbruik in TJ Gemeente'!$B$4:$Q$347,MATCH($C19,'Energieverbruik in TJ Gemeente'!$B$4:$B$347,0),MATCH(J$2,'Energieverbruik in TJ Gemeente'!$B$4:$Q$4,0))</f>
        <v>31</v>
      </c>
      <c r="K19">
        <f>INDEX('Energieverbruik in TJ Gemeente'!$B$4:$Q$347,MATCH($C19,'Energieverbruik in TJ Gemeente'!$B$4:$B$347,0),MATCH(K$2,'Energieverbruik in TJ Gemeente'!$B$4:$Q$4,0))</f>
        <v>43</v>
      </c>
      <c r="L19" t="str">
        <f>INDEX('Energieverbruik in TJ Gemeente'!$B$4:$Q$347,MATCH($C19,'Energieverbruik in TJ Gemeente'!$B$4:$B$347,0),MATCH(L$2,'Energieverbruik in TJ Gemeente'!$B$4:$Q$4,0))</f>
        <v>?</v>
      </c>
      <c r="M19">
        <f>INDEX('Energieverbruik in TJ Gemeente'!$B$4:$Q$347,MATCH($C19,'Energieverbruik in TJ Gemeente'!$B$4:$B$347,0),MATCH(M$2,'Energieverbruik in TJ Gemeente'!$B$4:$Q$4,0))</f>
        <v>29</v>
      </c>
      <c r="N19">
        <f>INDEX('Energieverbruik in TJ Gemeente'!$B$4:$Q$347,MATCH($C19,'Energieverbruik in TJ Gemeente'!$B$4:$B$347,0),MATCH(N$2,'Energieverbruik in TJ Gemeente'!$B$4:$Q$4,0))</f>
        <v>359</v>
      </c>
      <c r="O19">
        <f>INDEX('Energieverbruik in TJ Gemeente'!$B$4:$Q$347,MATCH($C19,'Energieverbruik in TJ Gemeente'!$B$4:$B$347,0),MATCH(O$2,'Energieverbruik in TJ Gemeente'!$B$4:$Q$4,0))</f>
        <v>337</v>
      </c>
      <c r="P19">
        <f>INDEX('Energieverbruik in TJ Gemeente'!$B$4:$Q$347,MATCH($C19,'Energieverbruik in TJ Gemeente'!$B$4:$B$347,0),MATCH(P$2,'Energieverbruik in TJ Gemeente'!$B$4:$Q$4,0))</f>
        <v>326</v>
      </c>
      <c r="Q19">
        <f>INDEX('Energieverbruik in TJ Gemeente'!$B$4:$Q$347,MATCH($C19,'Energieverbruik in TJ Gemeente'!$B$4:$B$347,0),MATCH(Q$2,'Energieverbruik in TJ Gemeente'!$B$4:$Q$4,0))</f>
        <v>268</v>
      </c>
      <c r="R19">
        <f>INDEX('Energieverbruik in TJ Gemeente'!$B$4:$Q$347,MATCH($C19,'Energieverbruik in TJ Gemeente'!$B$4:$B$347,0),MATCH(R$2,'Energieverbruik in TJ Gemeente'!$B$4:$Q$4,0))</f>
        <v>300</v>
      </c>
      <c r="S19" cm="1">
        <f t="array" ref="S19">MAX(_xlfn._xlws.FILTER(D$1:H$1, D19:H19&lt;&gt;"?"))</f>
        <v>2023</v>
      </c>
      <c r="T19" cm="1">
        <f t="array" ref="T19">MAX(_xlfn._xlws.FILTER(I$1:M$1, I19:M19&lt;&gt;"?"))</f>
        <v>2023</v>
      </c>
      <c r="U19" cm="1">
        <f t="array" ref="U19">MAX(_xlfn._xlws.FILTER(F$1:J$1, F19:J19&lt;&gt;"?"))</f>
        <v>2023</v>
      </c>
      <c r="V19">
        <f t="shared" si="0"/>
        <v>1525</v>
      </c>
      <c r="W19">
        <f t="shared" si="1"/>
        <v>29</v>
      </c>
      <c r="X19">
        <f t="shared" si="2"/>
        <v>300</v>
      </c>
      <c r="Y19">
        <f t="shared" si="3"/>
        <v>1854</v>
      </c>
      <c r="Z19">
        <f t="shared" si="4"/>
        <v>3.0812185271974872E-3</v>
      </c>
    </row>
    <row r="20" spans="1:26" ht="16" x14ac:dyDescent="0.2">
      <c r="A20" s="4" t="s">
        <v>65</v>
      </c>
      <c r="B20" s="4" t="s">
        <v>66</v>
      </c>
      <c r="C20" s="4" t="s">
        <v>67</v>
      </c>
      <c r="D20">
        <f>INDEX('Energieverbruik in TJ Gemeente'!$B$4:$Q$347,MATCH($C20,'Energieverbruik in TJ Gemeente'!$B$4:$B$347,0),MATCH(D$2,'Energieverbruik in TJ Gemeente'!$B$4:$Q$4,0))</f>
        <v>19783</v>
      </c>
      <c r="E20">
        <f>INDEX('Energieverbruik in TJ Gemeente'!$B$4:$Q$347,MATCH($C20,'Energieverbruik in TJ Gemeente'!$B$4:$B$347,0),MATCH(E$2,'Energieverbruik in TJ Gemeente'!$B$4:$Q$4,0))</f>
        <v>18783</v>
      </c>
      <c r="F20">
        <f>INDEX('Energieverbruik in TJ Gemeente'!$B$4:$Q$347,MATCH($C20,'Energieverbruik in TJ Gemeente'!$B$4:$B$347,0),MATCH(F$2,'Energieverbruik in TJ Gemeente'!$B$4:$Q$4,0))</f>
        <v>19016</v>
      </c>
      <c r="G20">
        <f>INDEX('Energieverbruik in TJ Gemeente'!$B$4:$Q$347,MATCH($C20,'Energieverbruik in TJ Gemeente'!$B$4:$B$347,0),MATCH(G$2,'Energieverbruik in TJ Gemeente'!$B$4:$Q$4,0))</f>
        <v>16764</v>
      </c>
      <c r="H20" t="str">
        <f>INDEX('Energieverbruik in TJ Gemeente'!$B$4:$Q$347,MATCH($C20,'Energieverbruik in TJ Gemeente'!$B$4:$B$347,0),MATCH(H$2,'Energieverbruik in TJ Gemeente'!$B$4:$Q$4,0))</f>
        <v>?</v>
      </c>
      <c r="I20">
        <f>INDEX('Energieverbruik in TJ Gemeente'!$B$4:$Q$347,MATCH($C20,'Energieverbruik in TJ Gemeente'!$B$4:$B$347,0),MATCH(I$2,'Energieverbruik in TJ Gemeente'!$B$4:$Q$4,0))</f>
        <v>4736</v>
      </c>
      <c r="J20">
        <f>INDEX('Energieverbruik in TJ Gemeente'!$B$4:$Q$347,MATCH($C20,'Energieverbruik in TJ Gemeente'!$B$4:$B$347,0),MATCH(J$2,'Energieverbruik in TJ Gemeente'!$B$4:$Q$4,0))</f>
        <v>4664</v>
      </c>
      <c r="K20">
        <f>INDEX('Energieverbruik in TJ Gemeente'!$B$4:$Q$347,MATCH($C20,'Energieverbruik in TJ Gemeente'!$B$4:$B$347,0),MATCH(K$2,'Energieverbruik in TJ Gemeente'!$B$4:$Q$4,0))</f>
        <v>4660</v>
      </c>
      <c r="L20" t="str">
        <f>INDEX('Energieverbruik in TJ Gemeente'!$B$4:$Q$347,MATCH($C20,'Energieverbruik in TJ Gemeente'!$B$4:$B$347,0),MATCH(L$2,'Energieverbruik in TJ Gemeente'!$B$4:$Q$4,0))</f>
        <v>?</v>
      </c>
      <c r="M20">
        <f>INDEX('Energieverbruik in TJ Gemeente'!$B$4:$Q$347,MATCH($C20,'Energieverbruik in TJ Gemeente'!$B$4:$B$347,0),MATCH(M$2,'Energieverbruik in TJ Gemeente'!$B$4:$Q$4,0))</f>
        <v>4299</v>
      </c>
      <c r="N20" t="str">
        <f>INDEX('Energieverbruik in TJ Gemeente'!$B$4:$Q$347,MATCH($C20,'Energieverbruik in TJ Gemeente'!$B$4:$B$347,0),MATCH(N$2,'Energieverbruik in TJ Gemeente'!$B$4:$Q$4,0))</f>
        <v>?</v>
      </c>
      <c r="O20" t="str">
        <f>INDEX('Energieverbruik in TJ Gemeente'!$B$4:$Q$347,MATCH($C20,'Energieverbruik in TJ Gemeente'!$B$4:$B$347,0),MATCH(O$2,'Energieverbruik in TJ Gemeente'!$B$4:$Q$4,0))</f>
        <v>?</v>
      </c>
      <c r="P20">
        <f>INDEX('Energieverbruik in TJ Gemeente'!$B$4:$Q$347,MATCH($C20,'Energieverbruik in TJ Gemeente'!$B$4:$B$347,0),MATCH(P$2,'Energieverbruik in TJ Gemeente'!$B$4:$Q$4,0))</f>
        <v>43</v>
      </c>
      <c r="Q20" t="str">
        <f>INDEX('Energieverbruik in TJ Gemeente'!$B$4:$Q$347,MATCH($C20,'Energieverbruik in TJ Gemeente'!$B$4:$B$347,0),MATCH(Q$2,'Energieverbruik in TJ Gemeente'!$B$4:$Q$4,0))</f>
        <v>?</v>
      </c>
      <c r="R20">
        <f>INDEX('Energieverbruik in TJ Gemeente'!$B$4:$Q$347,MATCH($C20,'Energieverbruik in TJ Gemeente'!$B$4:$B$347,0),MATCH(R$2,'Energieverbruik in TJ Gemeente'!$B$4:$Q$4,0))</f>
        <v>9</v>
      </c>
      <c r="S20" cm="1">
        <f t="array" ref="S20">MAX(_xlfn._xlws.FILTER(D$1:H$1, D20:H20&lt;&gt;"?"))</f>
        <v>2022</v>
      </c>
      <c r="T20" cm="1">
        <f t="array" ref="T20">MAX(_xlfn._xlws.FILTER(I$1:M$1, I20:M20&lt;&gt;"?"))</f>
        <v>2023</v>
      </c>
      <c r="U20" cm="1">
        <f t="array" ref="U20">MAX(_xlfn._xlws.FILTER(F$1:J$1, F20:J20&lt;&gt;"?"))</f>
        <v>2022</v>
      </c>
      <c r="V20">
        <f t="shared" si="0"/>
        <v>16764</v>
      </c>
      <c r="W20">
        <f t="shared" si="1"/>
        <v>4299</v>
      </c>
      <c r="X20" t="str">
        <f t="shared" si="2"/>
        <v>?</v>
      </c>
      <c r="Y20">
        <f t="shared" si="3"/>
        <v>21063</v>
      </c>
      <c r="Z20">
        <f t="shared" si="4"/>
        <v>3.5005235080021936E-2</v>
      </c>
    </row>
    <row r="21" spans="1:26" ht="16" x14ac:dyDescent="0.2">
      <c r="A21" s="4" t="s">
        <v>68</v>
      </c>
      <c r="B21" s="4" t="s">
        <v>69</v>
      </c>
      <c r="C21" s="4" t="s">
        <v>70</v>
      </c>
      <c r="D21">
        <f>INDEX('Energieverbruik in TJ Gemeente'!$B$4:$Q$347,MATCH($C21,'Energieverbruik in TJ Gemeente'!$B$4:$B$347,0),MATCH(D$2,'Energieverbruik in TJ Gemeente'!$B$4:$Q$4,0))</f>
        <v>4696</v>
      </c>
      <c r="E21">
        <f>INDEX('Energieverbruik in TJ Gemeente'!$B$4:$Q$347,MATCH($C21,'Energieverbruik in TJ Gemeente'!$B$4:$B$347,0),MATCH(E$2,'Energieverbruik in TJ Gemeente'!$B$4:$Q$4,0))</f>
        <v>4516</v>
      </c>
      <c r="F21">
        <f>INDEX('Energieverbruik in TJ Gemeente'!$B$4:$Q$347,MATCH($C21,'Energieverbruik in TJ Gemeente'!$B$4:$B$347,0),MATCH(F$2,'Energieverbruik in TJ Gemeente'!$B$4:$Q$4,0))</f>
        <v>4549</v>
      </c>
      <c r="G21">
        <f>INDEX('Energieverbruik in TJ Gemeente'!$B$4:$Q$347,MATCH($C21,'Energieverbruik in TJ Gemeente'!$B$4:$B$347,0),MATCH(G$2,'Energieverbruik in TJ Gemeente'!$B$4:$Q$4,0))</f>
        <v>4017</v>
      </c>
      <c r="H21">
        <f>INDEX('Energieverbruik in TJ Gemeente'!$B$4:$Q$347,MATCH($C21,'Energieverbruik in TJ Gemeente'!$B$4:$B$347,0),MATCH(H$2,'Energieverbruik in TJ Gemeente'!$B$4:$Q$4,0))</f>
        <v>3347</v>
      </c>
      <c r="I21">
        <f>INDEX('Energieverbruik in TJ Gemeente'!$B$4:$Q$347,MATCH($C21,'Energieverbruik in TJ Gemeente'!$B$4:$B$347,0),MATCH(I$2,'Energieverbruik in TJ Gemeente'!$B$4:$Q$4,0))</f>
        <v>1219</v>
      </c>
      <c r="J21">
        <f>INDEX('Energieverbruik in TJ Gemeente'!$B$4:$Q$347,MATCH($C21,'Energieverbruik in TJ Gemeente'!$B$4:$B$347,0),MATCH(J$2,'Energieverbruik in TJ Gemeente'!$B$4:$Q$4,0))</f>
        <v>1102</v>
      </c>
      <c r="K21">
        <f>INDEX('Energieverbruik in TJ Gemeente'!$B$4:$Q$347,MATCH($C21,'Energieverbruik in TJ Gemeente'!$B$4:$B$347,0),MATCH(K$2,'Energieverbruik in TJ Gemeente'!$B$4:$Q$4,0))</f>
        <v>1213</v>
      </c>
      <c r="L21">
        <f>INDEX('Energieverbruik in TJ Gemeente'!$B$4:$Q$347,MATCH($C21,'Energieverbruik in TJ Gemeente'!$B$4:$B$347,0),MATCH(L$2,'Energieverbruik in TJ Gemeente'!$B$4:$Q$4,0))</f>
        <v>1153</v>
      </c>
      <c r="M21">
        <f>INDEX('Energieverbruik in TJ Gemeente'!$B$4:$Q$347,MATCH($C21,'Energieverbruik in TJ Gemeente'!$B$4:$B$347,0),MATCH(M$2,'Energieverbruik in TJ Gemeente'!$B$4:$Q$4,0))</f>
        <v>1099</v>
      </c>
      <c r="N21">
        <f>INDEX('Energieverbruik in TJ Gemeente'!$B$4:$Q$347,MATCH($C21,'Energieverbruik in TJ Gemeente'!$B$4:$B$347,0),MATCH(N$2,'Energieverbruik in TJ Gemeente'!$B$4:$Q$4,0))</f>
        <v>50</v>
      </c>
      <c r="O21">
        <f>INDEX('Energieverbruik in TJ Gemeente'!$B$4:$Q$347,MATCH($C21,'Energieverbruik in TJ Gemeente'!$B$4:$B$347,0),MATCH(O$2,'Energieverbruik in TJ Gemeente'!$B$4:$Q$4,0))</f>
        <v>35</v>
      </c>
      <c r="P21">
        <f>INDEX('Energieverbruik in TJ Gemeente'!$B$4:$Q$347,MATCH($C21,'Energieverbruik in TJ Gemeente'!$B$4:$B$347,0),MATCH(P$2,'Energieverbruik in TJ Gemeente'!$B$4:$Q$4,0))</f>
        <v>39</v>
      </c>
      <c r="Q21">
        <f>INDEX('Energieverbruik in TJ Gemeente'!$B$4:$Q$347,MATCH($C21,'Energieverbruik in TJ Gemeente'!$B$4:$B$347,0),MATCH(Q$2,'Energieverbruik in TJ Gemeente'!$B$4:$Q$4,0))</f>
        <v>30</v>
      </c>
      <c r="R21">
        <f>INDEX('Energieverbruik in TJ Gemeente'!$B$4:$Q$347,MATCH($C21,'Energieverbruik in TJ Gemeente'!$B$4:$B$347,0),MATCH(R$2,'Energieverbruik in TJ Gemeente'!$B$4:$Q$4,0))</f>
        <v>24</v>
      </c>
      <c r="S21" cm="1">
        <f t="array" ref="S21">MAX(_xlfn._xlws.FILTER(D$1:H$1, D21:H21&lt;&gt;"?"))</f>
        <v>2023</v>
      </c>
      <c r="T21" cm="1">
        <f t="array" ref="T21">MAX(_xlfn._xlws.FILTER(I$1:M$1, I21:M21&lt;&gt;"?"))</f>
        <v>2023</v>
      </c>
      <c r="U21" cm="1">
        <f t="array" ref="U21">MAX(_xlfn._xlws.FILTER(F$1:J$1, F21:J21&lt;&gt;"?"))</f>
        <v>2023</v>
      </c>
      <c r="V21">
        <f t="shared" si="0"/>
        <v>3347</v>
      </c>
      <c r="W21">
        <f t="shared" si="1"/>
        <v>1099</v>
      </c>
      <c r="X21">
        <f t="shared" si="2"/>
        <v>24</v>
      </c>
      <c r="Y21">
        <f t="shared" si="3"/>
        <v>4470</v>
      </c>
      <c r="Z21">
        <f t="shared" si="4"/>
        <v>7.4288278406541355E-3</v>
      </c>
    </row>
    <row r="22" spans="1:26" ht="16" x14ac:dyDescent="0.2">
      <c r="A22" s="4" t="s">
        <v>71</v>
      </c>
      <c r="B22" s="4" t="s">
        <v>72</v>
      </c>
      <c r="C22" s="4" t="s">
        <v>73</v>
      </c>
      <c r="D22">
        <f>INDEX('Energieverbruik in TJ Gemeente'!$B$4:$Q$347,MATCH($C22,'Energieverbruik in TJ Gemeente'!$B$4:$B$347,0),MATCH(D$2,'Energieverbruik in TJ Gemeente'!$B$4:$Q$4,0))</f>
        <v>3976</v>
      </c>
      <c r="E22">
        <f>INDEX('Energieverbruik in TJ Gemeente'!$B$4:$Q$347,MATCH($C22,'Energieverbruik in TJ Gemeente'!$B$4:$B$347,0),MATCH(E$2,'Energieverbruik in TJ Gemeente'!$B$4:$Q$4,0))</f>
        <v>3786</v>
      </c>
      <c r="F22">
        <f>INDEX('Energieverbruik in TJ Gemeente'!$B$4:$Q$347,MATCH($C22,'Energieverbruik in TJ Gemeente'!$B$4:$B$347,0),MATCH(F$2,'Energieverbruik in TJ Gemeente'!$B$4:$Q$4,0))</f>
        <v>3918</v>
      </c>
      <c r="G22">
        <f>INDEX('Energieverbruik in TJ Gemeente'!$B$4:$Q$347,MATCH($C22,'Energieverbruik in TJ Gemeente'!$B$4:$B$347,0),MATCH(G$2,'Energieverbruik in TJ Gemeente'!$B$4:$Q$4,0))</f>
        <v>3441</v>
      </c>
      <c r="H22" t="str">
        <f>INDEX('Energieverbruik in TJ Gemeente'!$B$4:$Q$347,MATCH($C22,'Energieverbruik in TJ Gemeente'!$B$4:$B$347,0),MATCH(H$2,'Energieverbruik in TJ Gemeente'!$B$4:$Q$4,0))</f>
        <v>?</v>
      </c>
      <c r="I22">
        <f>INDEX('Energieverbruik in TJ Gemeente'!$B$4:$Q$347,MATCH($C22,'Energieverbruik in TJ Gemeente'!$B$4:$B$347,0),MATCH(I$2,'Energieverbruik in TJ Gemeente'!$B$4:$Q$4,0))</f>
        <v>223</v>
      </c>
      <c r="J22">
        <f>INDEX('Energieverbruik in TJ Gemeente'!$B$4:$Q$347,MATCH($C22,'Energieverbruik in TJ Gemeente'!$B$4:$B$347,0),MATCH(J$2,'Energieverbruik in TJ Gemeente'!$B$4:$Q$4,0))</f>
        <v>197</v>
      </c>
      <c r="K22">
        <f>INDEX('Energieverbruik in TJ Gemeente'!$B$4:$Q$347,MATCH($C22,'Energieverbruik in TJ Gemeente'!$B$4:$B$347,0),MATCH(K$2,'Energieverbruik in TJ Gemeente'!$B$4:$Q$4,0))</f>
        <v>214</v>
      </c>
      <c r="L22">
        <f>INDEX('Energieverbruik in TJ Gemeente'!$B$4:$Q$347,MATCH($C22,'Energieverbruik in TJ Gemeente'!$B$4:$B$347,0),MATCH(L$2,'Energieverbruik in TJ Gemeente'!$B$4:$Q$4,0))</f>
        <v>201</v>
      </c>
      <c r="M22">
        <f>INDEX('Energieverbruik in TJ Gemeente'!$B$4:$Q$347,MATCH($C22,'Energieverbruik in TJ Gemeente'!$B$4:$B$347,0),MATCH(M$2,'Energieverbruik in TJ Gemeente'!$B$4:$Q$4,0))</f>
        <v>207</v>
      </c>
      <c r="N22">
        <f>INDEX('Energieverbruik in TJ Gemeente'!$B$4:$Q$347,MATCH($C22,'Energieverbruik in TJ Gemeente'!$B$4:$B$347,0),MATCH(N$2,'Energieverbruik in TJ Gemeente'!$B$4:$Q$4,0))</f>
        <v>18</v>
      </c>
      <c r="O22">
        <f>INDEX('Energieverbruik in TJ Gemeente'!$B$4:$Q$347,MATCH($C22,'Energieverbruik in TJ Gemeente'!$B$4:$B$347,0),MATCH(O$2,'Energieverbruik in TJ Gemeente'!$B$4:$Q$4,0))</f>
        <v>17</v>
      </c>
      <c r="P22">
        <f>INDEX('Energieverbruik in TJ Gemeente'!$B$4:$Q$347,MATCH($C22,'Energieverbruik in TJ Gemeente'!$B$4:$B$347,0),MATCH(P$2,'Energieverbruik in TJ Gemeente'!$B$4:$Q$4,0))</f>
        <v>19</v>
      </c>
      <c r="Q22">
        <f>INDEX('Energieverbruik in TJ Gemeente'!$B$4:$Q$347,MATCH($C22,'Energieverbruik in TJ Gemeente'!$B$4:$B$347,0),MATCH(Q$2,'Energieverbruik in TJ Gemeente'!$B$4:$Q$4,0))</f>
        <v>16</v>
      </c>
      <c r="R22">
        <f>INDEX('Energieverbruik in TJ Gemeente'!$B$4:$Q$347,MATCH($C22,'Energieverbruik in TJ Gemeente'!$B$4:$B$347,0),MATCH(R$2,'Energieverbruik in TJ Gemeente'!$B$4:$Q$4,0))</f>
        <v>16</v>
      </c>
      <c r="S22" cm="1">
        <f t="array" ref="S22">MAX(_xlfn._xlws.FILTER(D$1:H$1, D22:H22&lt;&gt;"?"))</f>
        <v>2022</v>
      </c>
      <c r="T22" cm="1">
        <f t="array" ref="T22">MAX(_xlfn._xlws.FILTER(I$1:M$1, I22:M22&lt;&gt;"?"))</f>
        <v>2023</v>
      </c>
      <c r="U22" cm="1">
        <f t="array" ref="U22">MAX(_xlfn._xlws.FILTER(F$1:J$1, F22:J22&lt;&gt;"?"))</f>
        <v>2022</v>
      </c>
      <c r="V22">
        <f t="shared" si="0"/>
        <v>3441</v>
      </c>
      <c r="W22">
        <f t="shared" si="1"/>
        <v>207</v>
      </c>
      <c r="X22">
        <f t="shared" si="2"/>
        <v>16</v>
      </c>
      <c r="Y22">
        <f t="shared" si="3"/>
        <v>3664</v>
      </c>
      <c r="Z22">
        <f t="shared" si="4"/>
        <v>6.0893121271044194E-3</v>
      </c>
    </row>
    <row r="23" spans="1:26" ht="16" x14ac:dyDescent="0.2">
      <c r="A23" s="4" t="s">
        <v>74</v>
      </c>
      <c r="B23" s="4" t="s">
        <v>75</v>
      </c>
      <c r="C23" s="4" t="s">
        <v>76</v>
      </c>
      <c r="D23">
        <f>INDEX('Energieverbruik in TJ Gemeente'!$B$4:$Q$347,MATCH($C23,'Energieverbruik in TJ Gemeente'!$B$4:$B$347,0),MATCH(D$2,'Energieverbruik in TJ Gemeente'!$B$4:$Q$4,0))</f>
        <v>1859</v>
      </c>
      <c r="E23">
        <f>INDEX('Energieverbruik in TJ Gemeente'!$B$4:$Q$347,MATCH($C23,'Energieverbruik in TJ Gemeente'!$B$4:$B$347,0),MATCH(E$2,'Energieverbruik in TJ Gemeente'!$B$4:$Q$4,0))</f>
        <v>1837</v>
      </c>
      <c r="F23">
        <f>INDEX('Energieverbruik in TJ Gemeente'!$B$4:$Q$347,MATCH($C23,'Energieverbruik in TJ Gemeente'!$B$4:$B$347,0),MATCH(F$2,'Energieverbruik in TJ Gemeente'!$B$4:$Q$4,0))</f>
        <v>1865</v>
      </c>
      <c r="G23">
        <f>INDEX('Energieverbruik in TJ Gemeente'!$B$4:$Q$347,MATCH($C23,'Energieverbruik in TJ Gemeente'!$B$4:$B$347,0),MATCH(G$2,'Energieverbruik in TJ Gemeente'!$B$4:$Q$4,0))</f>
        <v>1644</v>
      </c>
      <c r="H23">
        <f>INDEX('Energieverbruik in TJ Gemeente'!$B$4:$Q$347,MATCH($C23,'Energieverbruik in TJ Gemeente'!$B$4:$B$347,0),MATCH(H$2,'Energieverbruik in TJ Gemeente'!$B$4:$Q$4,0))</f>
        <v>1419</v>
      </c>
      <c r="I23" t="str">
        <f>INDEX('Energieverbruik in TJ Gemeente'!$B$4:$Q$347,MATCH($C23,'Energieverbruik in TJ Gemeente'!$B$4:$B$347,0),MATCH(I$2,'Energieverbruik in TJ Gemeente'!$B$4:$Q$4,0))</f>
        <v>?</v>
      </c>
      <c r="J23" t="str">
        <f>INDEX('Energieverbruik in TJ Gemeente'!$B$4:$Q$347,MATCH($C23,'Energieverbruik in TJ Gemeente'!$B$4:$B$347,0),MATCH(J$2,'Energieverbruik in TJ Gemeente'!$B$4:$Q$4,0))</f>
        <v>?</v>
      </c>
      <c r="K23" t="str">
        <f>INDEX('Energieverbruik in TJ Gemeente'!$B$4:$Q$347,MATCH($C23,'Energieverbruik in TJ Gemeente'!$B$4:$B$347,0),MATCH(K$2,'Energieverbruik in TJ Gemeente'!$B$4:$Q$4,0))</f>
        <v>?</v>
      </c>
      <c r="L23" t="str">
        <f>INDEX('Energieverbruik in TJ Gemeente'!$B$4:$Q$347,MATCH($C23,'Energieverbruik in TJ Gemeente'!$B$4:$B$347,0),MATCH(L$2,'Energieverbruik in TJ Gemeente'!$B$4:$Q$4,0))</f>
        <v>?</v>
      </c>
      <c r="M23">
        <f>INDEX('Energieverbruik in TJ Gemeente'!$B$4:$Q$347,MATCH($C23,'Energieverbruik in TJ Gemeente'!$B$4:$B$347,0),MATCH(M$2,'Energieverbruik in TJ Gemeente'!$B$4:$Q$4,0))</f>
        <v>55</v>
      </c>
      <c r="N23">
        <f>INDEX('Energieverbruik in TJ Gemeente'!$B$4:$Q$347,MATCH($C23,'Energieverbruik in TJ Gemeente'!$B$4:$B$347,0),MATCH(N$2,'Energieverbruik in TJ Gemeente'!$B$4:$Q$4,0))</f>
        <v>11</v>
      </c>
      <c r="O23">
        <f>INDEX('Energieverbruik in TJ Gemeente'!$B$4:$Q$347,MATCH($C23,'Energieverbruik in TJ Gemeente'!$B$4:$B$347,0),MATCH(O$2,'Energieverbruik in TJ Gemeente'!$B$4:$Q$4,0))</f>
        <v>13</v>
      </c>
      <c r="P23">
        <f>INDEX('Energieverbruik in TJ Gemeente'!$B$4:$Q$347,MATCH($C23,'Energieverbruik in TJ Gemeente'!$B$4:$B$347,0),MATCH(P$2,'Energieverbruik in TJ Gemeente'!$B$4:$Q$4,0))</f>
        <v>13</v>
      </c>
      <c r="Q23">
        <f>INDEX('Energieverbruik in TJ Gemeente'!$B$4:$Q$347,MATCH($C23,'Energieverbruik in TJ Gemeente'!$B$4:$B$347,0),MATCH(Q$2,'Energieverbruik in TJ Gemeente'!$B$4:$Q$4,0))</f>
        <v>10</v>
      </c>
      <c r="R23">
        <f>INDEX('Energieverbruik in TJ Gemeente'!$B$4:$Q$347,MATCH($C23,'Energieverbruik in TJ Gemeente'!$B$4:$B$347,0),MATCH(R$2,'Energieverbruik in TJ Gemeente'!$B$4:$Q$4,0))</f>
        <v>9</v>
      </c>
      <c r="S23" cm="1">
        <f t="array" ref="S23">MAX(_xlfn._xlws.FILTER(D$1:H$1, D23:H23&lt;&gt;"?"))</f>
        <v>2023</v>
      </c>
      <c r="T23" cm="1">
        <f t="array" ref="T23">MAX(_xlfn._xlws.FILTER(I$1:M$1, I23:M23&lt;&gt;"?"))</f>
        <v>2023</v>
      </c>
      <c r="U23" cm="1">
        <f t="array" ref="U23">MAX(_xlfn._xlws.FILTER(F$1:J$1, F23:J23&lt;&gt;"?"))</f>
        <v>2023</v>
      </c>
      <c r="V23">
        <f t="shared" si="0"/>
        <v>1419</v>
      </c>
      <c r="W23">
        <f t="shared" si="1"/>
        <v>55</v>
      </c>
      <c r="X23">
        <f t="shared" si="2"/>
        <v>9</v>
      </c>
      <c r="Y23">
        <f t="shared" si="3"/>
        <v>1483</v>
      </c>
      <c r="Z23">
        <f t="shared" si="4"/>
        <v>2.4646424357248507E-3</v>
      </c>
    </row>
    <row r="24" spans="1:26" ht="16" x14ac:dyDescent="0.2">
      <c r="A24" s="4" t="s">
        <v>77</v>
      </c>
      <c r="B24" s="4" t="s">
        <v>78</v>
      </c>
      <c r="C24" s="4" t="s">
        <v>79</v>
      </c>
      <c r="D24">
        <f>INDEX('Energieverbruik in TJ Gemeente'!$B$4:$Q$347,MATCH($C24,'Energieverbruik in TJ Gemeente'!$B$4:$B$347,0),MATCH(D$2,'Energieverbruik in TJ Gemeente'!$B$4:$Q$4,0))</f>
        <v>426</v>
      </c>
      <c r="E24">
        <f>INDEX('Energieverbruik in TJ Gemeente'!$B$4:$Q$347,MATCH($C24,'Energieverbruik in TJ Gemeente'!$B$4:$B$347,0),MATCH(E$2,'Energieverbruik in TJ Gemeente'!$B$4:$Q$4,0))</f>
        <v>415</v>
      </c>
      <c r="F24">
        <f>INDEX('Energieverbruik in TJ Gemeente'!$B$4:$Q$347,MATCH($C24,'Energieverbruik in TJ Gemeente'!$B$4:$B$347,0),MATCH(F$2,'Energieverbruik in TJ Gemeente'!$B$4:$Q$4,0))</f>
        <v>414</v>
      </c>
      <c r="G24">
        <f>INDEX('Energieverbruik in TJ Gemeente'!$B$4:$Q$347,MATCH($C24,'Energieverbruik in TJ Gemeente'!$B$4:$B$347,0),MATCH(G$2,'Energieverbruik in TJ Gemeente'!$B$4:$Q$4,0))</f>
        <v>367</v>
      </c>
      <c r="H24">
        <f>INDEX('Energieverbruik in TJ Gemeente'!$B$4:$Q$347,MATCH($C24,'Energieverbruik in TJ Gemeente'!$B$4:$B$347,0),MATCH(H$2,'Energieverbruik in TJ Gemeente'!$B$4:$Q$4,0))</f>
        <v>303</v>
      </c>
      <c r="I24">
        <f>INDEX('Energieverbruik in TJ Gemeente'!$B$4:$Q$347,MATCH($C24,'Energieverbruik in TJ Gemeente'!$B$4:$B$347,0),MATCH(I$2,'Energieverbruik in TJ Gemeente'!$B$4:$Q$4,0))</f>
        <v>56</v>
      </c>
      <c r="J24">
        <f>INDEX('Energieverbruik in TJ Gemeente'!$B$4:$Q$347,MATCH($C24,'Energieverbruik in TJ Gemeente'!$B$4:$B$347,0),MATCH(J$2,'Energieverbruik in TJ Gemeente'!$B$4:$Q$4,0))</f>
        <v>56</v>
      </c>
      <c r="K24">
        <f>INDEX('Energieverbruik in TJ Gemeente'!$B$4:$Q$347,MATCH($C24,'Energieverbruik in TJ Gemeente'!$B$4:$B$347,0),MATCH(K$2,'Energieverbruik in TJ Gemeente'!$B$4:$Q$4,0))</f>
        <v>59</v>
      </c>
      <c r="L24">
        <f>INDEX('Energieverbruik in TJ Gemeente'!$B$4:$Q$347,MATCH($C24,'Energieverbruik in TJ Gemeente'!$B$4:$B$347,0),MATCH(L$2,'Energieverbruik in TJ Gemeente'!$B$4:$Q$4,0))</f>
        <v>55</v>
      </c>
      <c r="M24">
        <f>INDEX('Energieverbruik in TJ Gemeente'!$B$4:$Q$347,MATCH($C24,'Energieverbruik in TJ Gemeente'!$B$4:$B$347,0),MATCH(M$2,'Energieverbruik in TJ Gemeente'!$B$4:$Q$4,0))</f>
        <v>50</v>
      </c>
      <c r="N24">
        <f>INDEX('Energieverbruik in TJ Gemeente'!$B$4:$Q$347,MATCH($C24,'Energieverbruik in TJ Gemeente'!$B$4:$B$347,0),MATCH(N$2,'Energieverbruik in TJ Gemeente'!$B$4:$Q$4,0))</f>
        <v>1653</v>
      </c>
      <c r="O24">
        <f>INDEX('Energieverbruik in TJ Gemeente'!$B$4:$Q$347,MATCH($C24,'Energieverbruik in TJ Gemeente'!$B$4:$B$347,0),MATCH(O$2,'Energieverbruik in TJ Gemeente'!$B$4:$Q$4,0))</f>
        <v>1786</v>
      </c>
      <c r="P24">
        <f>INDEX('Energieverbruik in TJ Gemeente'!$B$4:$Q$347,MATCH($C24,'Energieverbruik in TJ Gemeente'!$B$4:$B$347,0),MATCH(P$2,'Energieverbruik in TJ Gemeente'!$B$4:$Q$4,0))</f>
        <v>1550</v>
      </c>
      <c r="Q24">
        <f>INDEX('Energieverbruik in TJ Gemeente'!$B$4:$Q$347,MATCH($C24,'Energieverbruik in TJ Gemeente'!$B$4:$B$347,0),MATCH(Q$2,'Energieverbruik in TJ Gemeente'!$B$4:$Q$4,0))</f>
        <v>941</v>
      </c>
      <c r="R24">
        <f>INDEX('Energieverbruik in TJ Gemeente'!$B$4:$Q$347,MATCH($C24,'Energieverbruik in TJ Gemeente'!$B$4:$B$347,0),MATCH(R$2,'Energieverbruik in TJ Gemeente'!$B$4:$Q$4,0))</f>
        <v>1082</v>
      </c>
      <c r="S24" cm="1">
        <f t="array" ref="S24">MAX(_xlfn._xlws.FILTER(D$1:H$1, D24:H24&lt;&gt;"?"))</f>
        <v>2023</v>
      </c>
      <c r="T24" cm="1">
        <f t="array" ref="T24">MAX(_xlfn._xlws.FILTER(I$1:M$1, I24:M24&lt;&gt;"?"))</f>
        <v>2023</v>
      </c>
      <c r="U24" cm="1">
        <f t="array" ref="U24">MAX(_xlfn._xlws.FILTER(F$1:J$1, F24:J24&lt;&gt;"?"))</f>
        <v>2023</v>
      </c>
      <c r="V24">
        <f t="shared" si="0"/>
        <v>303</v>
      </c>
      <c r="W24">
        <f t="shared" si="1"/>
        <v>50</v>
      </c>
      <c r="X24">
        <f t="shared" si="2"/>
        <v>1082</v>
      </c>
      <c r="Y24">
        <f t="shared" si="3"/>
        <v>1435</v>
      </c>
      <c r="Z24">
        <f t="shared" si="4"/>
        <v>2.3848697877715177E-3</v>
      </c>
    </row>
    <row r="25" spans="1:26" ht="32" x14ac:dyDescent="0.2">
      <c r="A25" s="4" t="s">
        <v>80</v>
      </c>
      <c r="B25" s="4" t="s">
        <v>81</v>
      </c>
      <c r="C25" s="4" t="s">
        <v>82</v>
      </c>
      <c r="D25">
        <f>INDEX('Energieverbruik in TJ Gemeente'!$B$4:$Q$347,MATCH($C25,'Energieverbruik in TJ Gemeente'!$B$4:$B$347,0),MATCH(D$2,'Energieverbruik in TJ Gemeente'!$B$4:$Q$4,0))</f>
        <v>204</v>
      </c>
      <c r="E25">
        <f>INDEX('Energieverbruik in TJ Gemeente'!$B$4:$Q$347,MATCH($C25,'Energieverbruik in TJ Gemeente'!$B$4:$B$347,0),MATCH(E$2,'Energieverbruik in TJ Gemeente'!$B$4:$Q$4,0))</f>
        <v>196</v>
      </c>
      <c r="F25">
        <f>INDEX('Energieverbruik in TJ Gemeente'!$B$4:$Q$347,MATCH($C25,'Energieverbruik in TJ Gemeente'!$B$4:$B$347,0),MATCH(F$2,'Energieverbruik in TJ Gemeente'!$B$4:$Q$4,0))</f>
        <v>198</v>
      </c>
      <c r="G25">
        <f>INDEX('Energieverbruik in TJ Gemeente'!$B$4:$Q$347,MATCH($C25,'Energieverbruik in TJ Gemeente'!$B$4:$B$347,0),MATCH(G$2,'Energieverbruik in TJ Gemeente'!$B$4:$Q$4,0))</f>
        <v>175</v>
      </c>
      <c r="H25">
        <f>INDEX('Energieverbruik in TJ Gemeente'!$B$4:$Q$347,MATCH($C25,'Energieverbruik in TJ Gemeente'!$B$4:$B$347,0),MATCH(H$2,'Energieverbruik in TJ Gemeente'!$B$4:$Q$4,0))</f>
        <v>145</v>
      </c>
      <c r="I25">
        <f>INDEX('Energieverbruik in TJ Gemeente'!$B$4:$Q$347,MATCH($C25,'Energieverbruik in TJ Gemeente'!$B$4:$B$347,0),MATCH(I$2,'Energieverbruik in TJ Gemeente'!$B$4:$Q$4,0))</f>
        <v>86</v>
      </c>
      <c r="J25">
        <f>INDEX('Energieverbruik in TJ Gemeente'!$B$4:$Q$347,MATCH($C25,'Energieverbruik in TJ Gemeente'!$B$4:$B$347,0),MATCH(J$2,'Energieverbruik in TJ Gemeente'!$B$4:$Q$4,0))</f>
        <v>88</v>
      </c>
      <c r="K25">
        <f>INDEX('Energieverbruik in TJ Gemeente'!$B$4:$Q$347,MATCH($C25,'Energieverbruik in TJ Gemeente'!$B$4:$B$347,0),MATCH(K$2,'Energieverbruik in TJ Gemeente'!$B$4:$Q$4,0))</f>
        <v>90</v>
      </c>
      <c r="L25">
        <f>INDEX('Energieverbruik in TJ Gemeente'!$B$4:$Q$347,MATCH($C25,'Energieverbruik in TJ Gemeente'!$B$4:$B$347,0),MATCH(L$2,'Energieverbruik in TJ Gemeente'!$B$4:$Q$4,0))</f>
        <v>84</v>
      </c>
      <c r="M25">
        <f>INDEX('Energieverbruik in TJ Gemeente'!$B$4:$Q$347,MATCH($C25,'Energieverbruik in TJ Gemeente'!$B$4:$B$347,0),MATCH(M$2,'Energieverbruik in TJ Gemeente'!$B$4:$Q$4,0))</f>
        <v>87</v>
      </c>
      <c r="N25">
        <f>INDEX('Energieverbruik in TJ Gemeente'!$B$4:$Q$347,MATCH($C25,'Energieverbruik in TJ Gemeente'!$B$4:$B$347,0),MATCH(N$2,'Energieverbruik in TJ Gemeente'!$B$4:$Q$4,0))</f>
        <v>61</v>
      </c>
      <c r="O25">
        <f>INDEX('Energieverbruik in TJ Gemeente'!$B$4:$Q$347,MATCH($C25,'Energieverbruik in TJ Gemeente'!$B$4:$B$347,0),MATCH(O$2,'Energieverbruik in TJ Gemeente'!$B$4:$Q$4,0))</f>
        <v>53</v>
      </c>
      <c r="P25">
        <f>INDEX('Energieverbruik in TJ Gemeente'!$B$4:$Q$347,MATCH($C25,'Energieverbruik in TJ Gemeente'!$B$4:$B$347,0),MATCH(P$2,'Energieverbruik in TJ Gemeente'!$B$4:$Q$4,0))</f>
        <v>56</v>
      </c>
      <c r="Q25">
        <f>INDEX('Energieverbruik in TJ Gemeente'!$B$4:$Q$347,MATCH($C25,'Energieverbruik in TJ Gemeente'!$B$4:$B$347,0),MATCH(Q$2,'Energieverbruik in TJ Gemeente'!$B$4:$Q$4,0))</f>
        <v>41</v>
      </c>
      <c r="R25">
        <f>INDEX('Energieverbruik in TJ Gemeente'!$B$4:$Q$347,MATCH($C25,'Energieverbruik in TJ Gemeente'!$B$4:$B$347,0),MATCH(R$2,'Energieverbruik in TJ Gemeente'!$B$4:$Q$4,0))</f>
        <v>38</v>
      </c>
      <c r="S25" cm="1">
        <f t="array" ref="S25">MAX(_xlfn._xlws.FILTER(D$1:H$1, D25:H25&lt;&gt;"?"))</f>
        <v>2023</v>
      </c>
      <c r="T25" cm="1">
        <f t="array" ref="T25">MAX(_xlfn._xlws.FILTER(I$1:M$1, I25:M25&lt;&gt;"?"))</f>
        <v>2023</v>
      </c>
      <c r="U25" cm="1">
        <f t="array" ref="U25">MAX(_xlfn._xlws.FILTER(F$1:J$1, F25:J25&lt;&gt;"?"))</f>
        <v>2023</v>
      </c>
      <c r="V25">
        <f t="shared" si="0"/>
        <v>145</v>
      </c>
      <c r="W25">
        <f t="shared" si="1"/>
        <v>87</v>
      </c>
      <c r="X25">
        <f t="shared" si="2"/>
        <v>38</v>
      </c>
      <c r="Y25">
        <f t="shared" si="3"/>
        <v>270</v>
      </c>
      <c r="Z25">
        <f t="shared" si="4"/>
        <v>4.4872114473749815E-4</v>
      </c>
    </row>
    <row r="26" spans="1:26" ht="16" x14ac:dyDescent="0.2">
      <c r="A26" s="4" t="s">
        <v>83</v>
      </c>
      <c r="B26" s="4" t="s">
        <v>84</v>
      </c>
      <c r="C26" s="4" t="s">
        <v>85</v>
      </c>
      <c r="D26">
        <f>INDEX('Energieverbruik in TJ Gemeente'!$B$4:$Q$347,MATCH($C26,'Energieverbruik in TJ Gemeente'!$B$4:$B$347,0),MATCH(D$2,'Energieverbruik in TJ Gemeente'!$B$4:$Q$4,0))</f>
        <v>762</v>
      </c>
      <c r="E26">
        <f>INDEX('Energieverbruik in TJ Gemeente'!$B$4:$Q$347,MATCH($C26,'Energieverbruik in TJ Gemeente'!$B$4:$B$347,0),MATCH(E$2,'Energieverbruik in TJ Gemeente'!$B$4:$Q$4,0))</f>
        <v>739</v>
      </c>
      <c r="F26">
        <f>INDEX('Energieverbruik in TJ Gemeente'!$B$4:$Q$347,MATCH($C26,'Energieverbruik in TJ Gemeente'!$B$4:$B$347,0),MATCH(F$2,'Energieverbruik in TJ Gemeente'!$B$4:$Q$4,0))</f>
        <v>756</v>
      </c>
      <c r="G26">
        <f>INDEX('Energieverbruik in TJ Gemeente'!$B$4:$Q$347,MATCH($C26,'Energieverbruik in TJ Gemeente'!$B$4:$B$347,0),MATCH(G$2,'Energieverbruik in TJ Gemeente'!$B$4:$Q$4,0))</f>
        <v>665</v>
      </c>
      <c r="H26">
        <f>INDEX('Energieverbruik in TJ Gemeente'!$B$4:$Q$347,MATCH($C26,'Energieverbruik in TJ Gemeente'!$B$4:$B$347,0),MATCH(H$2,'Energieverbruik in TJ Gemeente'!$B$4:$Q$4,0))</f>
        <v>569</v>
      </c>
      <c r="I26">
        <f>INDEX('Energieverbruik in TJ Gemeente'!$B$4:$Q$347,MATCH($C26,'Energieverbruik in TJ Gemeente'!$B$4:$B$347,0),MATCH(I$2,'Energieverbruik in TJ Gemeente'!$B$4:$Q$4,0))</f>
        <v>34</v>
      </c>
      <c r="J26">
        <f>INDEX('Energieverbruik in TJ Gemeente'!$B$4:$Q$347,MATCH($C26,'Energieverbruik in TJ Gemeente'!$B$4:$B$347,0),MATCH(J$2,'Energieverbruik in TJ Gemeente'!$B$4:$Q$4,0))</f>
        <v>33</v>
      </c>
      <c r="K26">
        <f>INDEX('Energieverbruik in TJ Gemeente'!$B$4:$Q$347,MATCH($C26,'Energieverbruik in TJ Gemeente'!$B$4:$B$347,0),MATCH(K$2,'Energieverbruik in TJ Gemeente'!$B$4:$Q$4,0))</f>
        <v>36</v>
      </c>
      <c r="L26">
        <f>INDEX('Energieverbruik in TJ Gemeente'!$B$4:$Q$347,MATCH($C26,'Energieverbruik in TJ Gemeente'!$B$4:$B$347,0),MATCH(L$2,'Energieverbruik in TJ Gemeente'!$B$4:$Q$4,0))</f>
        <v>33</v>
      </c>
      <c r="M26">
        <f>INDEX('Energieverbruik in TJ Gemeente'!$B$4:$Q$347,MATCH($C26,'Energieverbruik in TJ Gemeente'!$B$4:$B$347,0),MATCH(M$2,'Energieverbruik in TJ Gemeente'!$B$4:$Q$4,0))</f>
        <v>31</v>
      </c>
      <c r="N26">
        <f>INDEX('Energieverbruik in TJ Gemeente'!$B$4:$Q$347,MATCH($C26,'Energieverbruik in TJ Gemeente'!$B$4:$B$347,0),MATCH(N$2,'Energieverbruik in TJ Gemeente'!$B$4:$Q$4,0))</f>
        <v>3</v>
      </c>
      <c r="O26">
        <f>INDEX('Energieverbruik in TJ Gemeente'!$B$4:$Q$347,MATCH($C26,'Energieverbruik in TJ Gemeente'!$B$4:$B$347,0),MATCH(O$2,'Energieverbruik in TJ Gemeente'!$B$4:$Q$4,0))</f>
        <v>3</v>
      </c>
      <c r="P26">
        <f>INDEX('Energieverbruik in TJ Gemeente'!$B$4:$Q$347,MATCH($C26,'Energieverbruik in TJ Gemeente'!$B$4:$B$347,0),MATCH(P$2,'Energieverbruik in TJ Gemeente'!$B$4:$Q$4,0))</f>
        <v>3</v>
      </c>
      <c r="Q26">
        <f>INDEX('Energieverbruik in TJ Gemeente'!$B$4:$Q$347,MATCH($C26,'Energieverbruik in TJ Gemeente'!$B$4:$B$347,0),MATCH(Q$2,'Energieverbruik in TJ Gemeente'!$B$4:$Q$4,0))</f>
        <v>3</v>
      </c>
      <c r="R26">
        <f>INDEX('Energieverbruik in TJ Gemeente'!$B$4:$Q$347,MATCH($C26,'Energieverbruik in TJ Gemeente'!$B$4:$B$347,0),MATCH(R$2,'Energieverbruik in TJ Gemeente'!$B$4:$Q$4,0))</f>
        <v>2</v>
      </c>
      <c r="S26" cm="1">
        <f t="array" ref="S26">MAX(_xlfn._xlws.FILTER(D$1:H$1, D26:H26&lt;&gt;"?"))</f>
        <v>2023</v>
      </c>
      <c r="T26" cm="1">
        <f t="array" ref="T26">MAX(_xlfn._xlws.FILTER(I$1:M$1, I26:M26&lt;&gt;"?"))</f>
        <v>2023</v>
      </c>
      <c r="U26" cm="1">
        <f t="array" ref="U26">MAX(_xlfn._xlws.FILTER(F$1:J$1, F26:J26&lt;&gt;"?"))</f>
        <v>2023</v>
      </c>
      <c r="V26">
        <f t="shared" si="0"/>
        <v>569</v>
      </c>
      <c r="W26">
        <f t="shared" si="1"/>
        <v>31</v>
      </c>
      <c r="X26">
        <f t="shared" si="2"/>
        <v>2</v>
      </c>
      <c r="Y26">
        <f t="shared" si="3"/>
        <v>602</v>
      </c>
      <c r="Z26">
        <f t="shared" si="4"/>
        <v>1.0004819597480513E-3</v>
      </c>
    </row>
    <row r="27" spans="1:26" ht="16" x14ac:dyDescent="0.2">
      <c r="A27" s="4" t="s">
        <v>86</v>
      </c>
      <c r="B27" s="4" t="s">
        <v>87</v>
      </c>
      <c r="C27" s="4" t="s">
        <v>88</v>
      </c>
      <c r="D27">
        <f>INDEX('Energieverbruik in TJ Gemeente'!$B$4:$Q$347,MATCH($C27,'Energieverbruik in TJ Gemeente'!$B$4:$B$347,0),MATCH(D$2,'Energieverbruik in TJ Gemeente'!$B$4:$Q$4,0))</f>
        <v>889</v>
      </c>
      <c r="E27">
        <f>INDEX('Energieverbruik in TJ Gemeente'!$B$4:$Q$347,MATCH($C27,'Energieverbruik in TJ Gemeente'!$B$4:$B$347,0),MATCH(E$2,'Energieverbruik in TJ Gemeente'!$B$4:$Q$4,0))</f>
        <v>866</v>
      </c>
      <c r="F27">
        <f>INDEX('Energieverbruik in TJ Gemeente'!$B$4:$Q$347,MATCH($C27,'Energieverbruik in TJ Gemeente'!$B$4:$B$347,0),MATCH(F$2,'Energieverbruik in TJ Gemeente'!$B$4:$Q$4,0))</f>
        <v>902</v>
      </c>
      <c r="G27" t="str">
        <f>INDEX('Energieverbruik in TJ Gemeente'!$B$4:$Q$347,MATCH($C27,'Energieverbruik in TJ Gemeente'!$B$4:$B$347,0),MATCH(G$2,'Energieverbruik in TJ Gemeente'!$B$4:$Q$4,0))</f>
        <v>?</v>
      </c>
      <c r="H27" t="str">
        <f>INDEX('Energieverbruik in TJ Gemeente'!$B$4:$Q$347,MATCH($C27,'Energieverbruik in TJ Gemeente'!$B$4:$B$347,0),MATCH(H$2,'Energieverbruik in TJ Gemeente'!$B$4:$Q$4,0))</f>
        <v>?</v>
      </c>
      <c r="I27">
        <f>INDEX('Energieverbruik in TJ Gemeente'!$B$4:$Q$347,MATCH($C27,'Energieverbruik in TJ Gemeente'!$B$4:$B$347,0),MATCH(I$2,'Energieverbruik in TJ Gemeente'!$B$4:$Q$4,0))</f>
        <v>20</v>
      </c>
      <c r="J27" t="str">
        <f>INDEX('Energieverbruik in TJ Gemeente'!$B$4:$Q$347,MATCH($C27,'Energieverbruik in TJ Gemeente'!$B$4:$B$347,0),MATCH(J$2,'Energieverbruik in TJ Gemeente'!$B$4:$Q$4,0))</f>
        <v>?</v>
      </c>
      <c r="K27">
        <f>INDEX('Energieverbruik in TJ Gemeente'!$B$4:$Q$347,MATCH($C27,'Energieverbruik in TJ Gemeente'!$B$4:$B$347,0),MATCH(K$2,'Energieverbruik in TJ Gemeente'!$B$4:$Q$4,0))</f>
        <v>22</v>
      </c>
      <c r="L27" t="str">
        <f>INDEX('Energieverbruik in TJ Gemeente'!$B$4:$Q$347,MATCH($C27,'Energieverbruik in TJ Gemeente'!$B$4:$B$347,0),MATCH(L$2,'Energieverbruik in TJ Gemeente'!$B$4:$Q$4,0))</f>
        <v>?</v>
      </c>
      <c r="M27" t="str">
        <f>INDEX('Energieverbruik in TJ Gemeente'!$B$4:$Q$347,MATCH($C27,'Energieverbruik in TJ Gemeente'!$B$4:$B$347,0),MATCH(M$2,'Energieverbruik in TJ Gemeente'!$B$4:$Q$4,0))</f>
        <v>?</v>
      </c>
      <c r="N27">
        <f>INDEX('Energieverbruik in TJ Gemeente'!$B$4:$Q$347,MATCH($C27,'Energieverbruik in TJ Gemeente'!$B$4:$B$347,0),MATCH(N$2,'Energieverbruik in TJ Gemeente'!$B$4:$Q$4,0))</f>
        <v>70</v>
      </c>
      <c r="O27" t="str">
        <f>INDEX('Energieverbruik in TJ Gemeente'!$B$4:$Q$347,MATCH($C27,'Energieverbruik in TJ Gemeente'!$B$4:$B$347,0),MATCH(O$2,'Energieverbruik in TJ Gemeente'!$B$4:$Q$4,0))</f>
        <v>?</v>
      </c>
      <c r="P27">
        <f>INDEX('Energieverbruik in TJ Gemeente'!$B$4:$Q$347,MATCH($C27,'Energieverbruik in TJ Gemeente'!$B$4:$B$347,0),MATCH(P$2,'Energieverbruik in TJ Gemeente'!$B$4:$Q$4,0))</f>
        <v>64</v>
      </c>
      <c r="Q27">
        <f>INDEX('Energieverbruik in TJ Gemeente'!$B$4:$Q$347,MATCH($C27,'Energieverbruik in TJ Gemeente'!$B$4:$B$347,0),MATCH(Q$2,'Energieverbruik in TJ Gemeente'!$B$4:$Q$4,0))</f>
        <v>25</v>
      </c>
      <c r="R27" t="str">
        <f>INDEX('Energieverbruik in TJ Gemeente'!$B$4:$Q$347,MATCH($C27,'Energieverbruik in TJ Gemeente'!$B$4:$B$347,0),MATCH(R$2,'Energieverbruik in TJ Gemeente'!$B$4:$Q$4,0))</f>
        <v>?</v>
      </c>
      <c r="S27" cm="1">
        <f t="array" ref="S27">MAX(_xlfn._xlws.FILTER(D$1:H$1, D27:H27&lt;&gt;"?"))</f>
        <v>2021</v>
      </c>
      <c r="T27" cm="1">
        <f t="array" ref="T27">MAX(_xlfn._xlws.FILTER(I$1:M$1, I27:M27&lt;&gt;"?"))</f>
        <v>2021</v>
      </c>
      <c r="U27" cm="1">
        <f t="array" ref="U27">MAX(_xlfn._xlws.FILTER(F$1:J$1, F27:J27&lt;&gt;"?"))</f>
        <v>2021</v>
      </c>
      <c r="V27">
        <f t="shared" si="0"/>
        <v>902</v>
      </c>
      <c r="W27">
        <f t="shared" si="1"/>
        <v>22</v>
      </c>
      <c r="X27">
        <f t="shared" si="2"/>
        <v>64</v>
      </c>
      <c r="Y27">
        <f t="shared" si="3"/>
        <v>988</v>
      </c>
      <c r="Z27">
        <f t="shared" si="4"/>
        <v>1.6419870037061044E-3</v>
      </c>
    </row>
    <row r="28" spans="1:26" ht="16" x14ac:dyDescent="0.2">
      <c r="A28" s="4" t="s">
        <v>89</v>
      </c>
      <c r="B28" s="4" t="s">
        <v>90</v>
      </c>
      <c r="C28" s="4" t="s">
        <v>91</v>
      </c>
      <c r="D28">
        <f>INDEX('Energieverbruik in TJ Gemeente'!$B$4:$Q$347,MATCH($C28,'Energieverbruik in TJ Gemeente'!$B$4:$B$347,0),MATCH(D$2,'Energieverbruik in TJ Gemeente'!$B$4:$Q$4,0))</f>
        <v>1520</v>
      </c>
      <c r="E28">
        <f>INDEX('Energieverbruik in TJ Gemeente'!$B$4:$Q$347,MATCH($C28,'Energieverbruik in TJ Gemeente'!$B$4:$B$347,0),MATCH(E$2,'Energieverbruik in TJ Gemeente'!$B$4:$Q$4,0))</f>
        <v>1444</v>
      </c>
      <c r="F28">
        <f>INDEX('Energieverbruik in TJ Gemeente'!$B$4:$Q$347,MATCH($C28,'Energieverbruik in TJ Gemeente'!$B$4:$B$347,0),MATCH(F$2,'Energieverbruik in TJ Gemeente'!$B$4:$Q$4,0))</f>
        <v>1481</v>
      </c>
      <c r="G28">
        <f>INDEX('Energieverbruik in TJ Gemeente'!$B$4:$Q$347,MATCH($C28,'Energieverbruik in TJ Gemeente'!$B$4:$B$347,0),MATCH(G$2,'Energieverbruik in TJ Gemeente'!$B$4:$Q$4,0))</f>
        <v>1302</v>
      </c>
      <c r="H28">
        <f>INDEX('Energieverbruik in TJ Gemeente'!$B$4:$Q$347,MATCH($C28,'Energieverbruik in TJ Gemeente'!$B$4:$B$347,0),MATCH(H$2,'Energieverbruik in TJ Gemeente'!$B$4:$Q$4,0))</f>
        <v>1089</v>
      </c>
      <c r="I28">
        <f>INDEX('Energieverbruik in TJ Gemeente'!$B$4:$Q$347,MATCH($C28,'Energieverbruik in TJ Gemeente'!$B$4:$B$347,0),MATCH(I$2,'Energieverbruik in TJ Gemeente'!$B$4:$Q$4,0))</f>
        <v>314</v>
      </c>
      <c r="J28">
        <f>INDEX('Energieverbruik in TJ Gemeente'!$B$4:$Q$347,MATCH($C28,'Energieverbruik in TJ Gemeente'!$B$4:$B$347,0),MATCH(J$2,'Energieverbruik in TJ Gemeente'!$B$4:$Q$4,0))</f>
        <v>299</v>
      </c>
      <c r="K28">
        <f>INDEX('Energieverbruik in TJ Gemeente'!$B$4:$Q$347,MATCH($C28,'Energieverbruik in TJ Gemeente'!$B$4:$B$347,0),MATCH(K$2,'Energieverbruik in TJ Gemeente'!$B$4:$Q$4,0))</f>
        <v>332</v>
      </c>
      <c r="L28">
        <f>INDEX('Energieverbruik in TJ Gemeente'!$B$4:$Q$347,MATCH($C28,'Energieverbruik in TJ Gemeente'!$B$4:$B$347,0),MATCH(L$2,'Energieverbruik in TJ Gemeente'!$B$4:$Q$4,0))</f>
        <v>317</v>
      </c>
      <c r="M28">
        <f>INDEX('Energieverbruik in TJ Gemeente'!$B$4:$Q$347,MATCH($C28,'Energieverbruik in TJ Gemeente'!$B$4:$B$347,0),MATCH(M$2,'Energieverbruik in TJ Gemeente'!$B$4:$Q$4,0))</f>
        <v>305</v>
      </c>
      <c r="N28">
        <f>INDEX('Energieverbruik in TJ Gemeente'!$B$4:$Q$347,MATCH($C28,'Energieverbruik in TJ Gemeente'!$B$4:$B$347,0),MATCH(N$2,'Energieverbruik in TJ Gemeente'!$B$4:$Q$4,0))</f>
        <v>98</v>
      </c>
      <c r="O28" t="str">
        <f>INDEX('Energieverbruik in TJ Gemeente'!$B$4:$Q$347,MATCH($C28,'Energieverbruik in TJ Gemeente'!$B$4:$B$347,0),MATCH(O$2,'Energieverbruik in TJ Gemeente'!$B$4:$Q$4,0))</f>
        <v>?</v>
      </c>
      <c r="P28">
        <f>INDEX('Energieverbruik in TJ Gemeente'!$B$4:$Q$347,MATCH($C28,'Energieverbruik in TJ Gemeente'!$B$4:$B$347,0),MATCH(P$2,'Energieverbruik in TJ Gemeente'!$B$4:$Q$4,0))</f>
        <v>69</v>
      </c>
      <c r="Q28" t="str">
        <f>INDEX('Energieverbruik in TJ Gemeente'!$B$4:$Q$347,MATCH($C28,'Energieverbruik in TJ Gemeente'!$B$4:$B$347,0),MATCH(Q$2,'Energieverbruik in TJ Gemeente'!$B$4:$Q$4,0))</f>
        <v>?</v>
      </c>
      <c r="R28">
        <f>INDEX('Energieverbruik in TJ Gemeente'!$B$4:$Q$347,MATCH($C28,'Energieverbruik in TJ Gemeente'!$B$4:$B$347,0),MATCH(R$2,'Energieverbruik in TJ Gemeente'!$B$4:$Q$4,0))</f>
        <v>39</v>
      </c>
      <c r="S28" cm="1">
        <f t="array" ref="S28">MAX(_xlfn._xlws.FILTER(D$1:H$1, D28:H28&lt;&gt;"?"))</f>
        <v>2023</v>
      </c>
      <c r="T28" cm="1">
        <f t="array" ref="T28">MAX(_xlfn._xlws.FILTER(I$1:M$1, I28:M28&lt;&gt;"?"))</f>
        <v>2023</v>
      </c>
      <c r="U28" cm="1">
        <f t="array" ref="U28">MAX(_xlfn._xlws.FILTER(F$1:J$1, F28:J28&lt;&gt;"?"))</f>
        <v>2023</v>
      </c>
      <c r="V28">
        <f t="shared" si="0"/>
        <v>1089</v>
      </c>
      <c r="W28">
        <f t="shared" si="1"/>
        <v>305</v>
      </c>
      <c r="X28">
        <f t="shared" si="2"/>
        <v>39</v>
      </c>
      <c r="Y28">
        <f t="shared" si="3"/>
        <v>1433</v>
      </c>
      <c r="Z28">
        <f t="shared" si="4"/>
        <v>2.3815459274401291E-3</v>
      </c>
    </row>
    <row r="29" spans="1:26" ht="16" x14ac:dyDescent="0.2">
      <c r="A29" s="4" t="s">
        <v>92</v>
      </c>
      <c r="B29" s="4" t="s">
        <v>93</v>
      </c>
      <c r="C29" s="4" t="s">
        <v>94</v>
      </c>
      <c r="D29" t="str">
        <f>INDEX('Energieverbruik in TJ Gemeente'!$B$4:$Q$347,MATCH($C29,'Energieverbruik in TJ Gemeente'!$B$4:$B$347,0),MATCH(D$2,'Energieverbruik in TJ Gemeente'!$B$4:$Q$4,0))</f>
        <v>?</v>
      </c>
      <c r="E29" t="str">
        <f>INDEX('Energieverbruik in TJ Gemeente'!$B$4:$Q$347,MATCH($C29,'Energieverbruik in TJ Gemeente'!$B$4:$B$347,0),MATCH(E$2,'Energieverbruik in TJ Gemeente'!$B$4:$Q$4,0))</f>
        <v>?</v>
      </c>
      <c r="F29" t="str">
        <f>INDEX('Energieverbruik in TJ Gemeente'!$B$4:$Q$347,MATCH($C29,'Energieverbruik in TJ Gemeente'!$B$4:$B$347,0),MATCH(F$2,'Energieverbruik in TJ Gemeente'!$B$4:$Q$4,0))</f>
        <v>?</v>
      </c>
      <c r="G29">
        <f>INDEX('Energieverbruik in TJ Gemeente'!$B$4:$Q$347,MATCH($C29,'Energieverbruik in TJ Gemeente'!$B$4:$B$347,0),MATCH(G$2,'Energieverbruik in TJ Gemeente'!$B$4:$Q$4,0))</f>
        <v>411</v>
      </c>
      <c r="H29" t="str">
        <f>INDEX('Energieverbruik in TJ Gemeente'!$B$4:$Q$347,MATCH($C29,'Energieverbruik in TJ Gemeente'!$B$4:$B$347,0),MATCH(H$2,'Energieverbruik in TJ Gemeente'!$B$4:$Q$4,0))</f>
        <v>?</v>
      </c>
      <c r="I29" t="str">
        <f>INDEX('Energieverbruik in TJ Gemeente'!$B$4:$Q$347,MATCH($C29,'Energieverbruik in TJ Gemeente'!$B$4:$B$347,0),MATCH(I$2,'Energieverbruik in TJ Gemeente'!$B$4:$Q$4,0))</f>
        <v>?</v>
      </c>
      <c r="J29" t="str">
        <f>INDEX('Energieverbruik in TJ Gemeente'!$B$4:$Q$347,MATCH($C29,'Energieverbruik in TJ Gemeente'!$B$4:$B$347,0),MATCH(J$2,'Energieverbruik in TJ Gemeente'!$B$4:$Q$4,0))</f>
        <v>?</v>
      </c>
      <c r="K29">
        <f>INDEX('Energieverbruik in TJ Gemeente'!$B$4:$Q$347,MATCH($C29,'Energieverbruik in TJ Gemeente'!$B$4:$B$347,0),MATCH(K$2,'Energieverbruik in TJ Gemeente'!$B$4:$Q$4,0))</f>
        <v>147</v>
      </c>
      <c r="L29">
        <f>INDEX('Energieverbruik in TJ Gemeente'!$B$4:$Q$347,MATCH($C29,'Energieverbruik in TJ Gemeente'!$B$4:$B$347,0),MATCH(L$2,'Energieverbruik in TJ Gemeente'!$B$4:$Q$4,0))</f>
        <v>145</v>
      </c>
      <c r="M29">
        <f>INDEX('Energieverbruik in TJ Gemeente'!$B$4:$Q$347,MATCH($C29,'Energieverbruik in TJ Gemeente'!$B$4:$B$347,0),MATCH(M$2,'Energieverbruik in TJ Gemeente'!$B$4:$Q$4,0))</f>
        <v>137</v>
      </c>
      <c r="N29" t="str">
        <f>INDEX('Energieverbruik in TJ Gemeente'!$B$4:$Q$347,MATCH($C29,'Energieverbruik in TJ Gemeente'!$B$4:$B$347,0),MATCH(N$2,'Energieverbruik in TJ Gemeente'!$B$4:$Q$4,0))</f>
        <v>?</v>
      </c>
      <c r="O29">
        <f>INDEX('Energieverbruik in TJ Gemeente'!$B$4:$Q$347,MATCH($C29,'Energieverbruik in TJ Gemeente'!$B$4:$B$347,0),MATCH(O$2,'Energieverbruik in TJ Gemeente'!$B$4:$Q$4,0))</f>
        <v>3</v>
      </c>
      <c r="P29">
        <f>INDEX('Energieverbruik in TJ Gemeente'!$B$4:$Q$347,MATCH($C29,'Energieverbruik in TJ Gemeente'!$B$4:$B$347,0),MATCH(P$2,'Energieverbruik in TJ Gemeente'!$B$4:$Q$4,0))</f>
        <v>2</v>
      </c>
      <c r="Q29">
        <f>INDEX('Energieverbruik in TJ Gemeente'!$B$4:$Q$347,MATCH($C29,'Energieverbruik in TJ Gemeente'!$B$4:$B$347,0),MATCH(Q$2,'Energieverbruik in TJ Gemeente'!$B$4:$Q$4,0))</f>
        <v>2</v>
      </c>
      <c r="R29">
        <f>INDEX('Energieverbruik in TJ Gemeente'!$B$4:$Q$347,MATCH($C29,'Energieverbruik in TJ Gemeente'!$B$4:$B$347,0),MATCH(R$2,'Energieverbruik in TJ Gemeente'!$B$4:$Q$4,0))</f>
        <v>1</v>
      </c>
      <c r="S29" cm="1">
        <f t="array" ref="S29">MAX(_xlfn._xlws.FILTER(D$1:H$1, D29:H29&lt;&gt;"?"))</f>
        <v>2022</v>
      </c>
      <c r="T29" cm="1">
        <f t="array" ref="T29">MAX(_xlfn._xlws.FILTER(I$1:M$1, I29:M29&lt;&gt;"?"))</f>
        <v>2023</v>
      </c>
      <c r="U29" cm="1">
        <f t="array" ref="U29">MAX(_xlfn._xlws.FILTER(F$1:J$1, F29:J29&lt;&gt;"?"))</f>
        <v>2022</v>
      </c>
      <c r="V29">
        <f t="shared" si="0"/>
        <v>411</v>
      </c>
      <c r="W29">
        <f t="shared" si="1"/>
        <v>137</v>
      </c>
      <c r="X29">
        <f t="shared" si="2"/>
        <v>2</v>
      </c>
      <c r="Y29">
        <f t="shared" si="3"/>
        <v>550</v>
      </c>
      <c r="Z29">
        <f t="shared" si="4"/>
        <v>9.1406159113194068E-4</v>
      </c>
    </row>
    <row r="30" spans="1:26" ht="16" x14ac:dyDescent="0.2">
      <c r="A30" s="4" t="s">
        <v>95</v>
      </c>
      <c r="B30" s="4" t="s">
        <v>96</v>
      </c>
      <c r="C30" s="4" t="s">
        <v>97</v>
      </c>
      <c r="D30">
        <f>INDEX('Energieverbruik in TJ Gemeente'!$B$4:$Q$347,MATCH($C30,'Energieverbruik in TJ Gemeente'!$B$4:$B$347,0),MATCH(D$2,'Energieverbruik in TJ Gemeente'!$B$4:$Q$4,0))</f>
        <v>1029</v>
      </c>
      <c r="E30">
        <f>INDEX('Energieverbruik in TJ Gemeente'!$B$4:$Q$347,MATCH($C30,'Energieverbruik in TJ Gemeente'!$B$4:$B$347,0),MATCH(E$2,'Energieverbruik in TJ Gemeente'!$B$4:$Q$4,0))</f>
        <v>985</v>
      </c>
      <c r="F30">
        <f>INDEX('Energieverbruik in TJ Gemeente'!$B$4:$Q$347,MATCH($C30,'Energieverbruik in TJ Gemeente'!$B$4:$B$347,0),MATCH(F$2,'Energieverbruik in TJ Gemeente'!$B$4:$Q$4,0))</f>
        <v>988</v>
      </c>
      <c r="G30">
        <f>INDEX('Energieverbruik in TJ Gemeente'!$B$4:$Q$347,MATCH($C30,'Energieverbruik in TJ Gemeente'!$B$4:$B$347,0),MATCH(G$2,'Energieverbruik in TJ Gemeente'!$B$4:$Q$4,0))</f>
        <v>864</v>
      </c>
      <c r="H30">
        <f>INDEX('Energieverbruik in TJ Gemeente'!$B$4:$Q$347,MATCH($C30,'Energieverbruik in TJ Gemeente'!$B$4:$B$347,0),MATCH(H$2,'Energieverbruik in TJ Gemeente'!$B$4:$Q$4,0))</f>
        <v>687</v>
      </c>
      <c r="I30">
        <f>INDEX('Energieverbruik in TJ Gemeente'!$B$4:$Q$347,MATCH($C30,'Energieverbruik in TJ Gemeente'!$B$4:$B$347,0),MATCH(I$2,'Energieverbruik in TJ Gemeente'!$B$4:$Q$4,0))</f>
        <v>159</v>
      </c>
      <c r="J30">
        <f>INDEX('Energieverbruik in TJ Gemeente'!$B$4:$Q$347,MATCH($C30,'Energieverbruik in TJ Gemeente'!$B$4:$B$347,0),MATCH(J$2,'Energieverbruik in TJ Gemeente'!$B$4:$Q$4,0))</f>
        <v>143</v>
      </c>
      <c r="K30">
        <f>INDEX('Energieverbruik in TJ Gemeente'!$B$4:$Q$347,MATCH($C30,'Energieverbruik in TJ Gemeente'!$B$4:$B$347,0),MATCH(K$2,'Energieverbruik in TJ Gemeente'!$B$4:$Q$4,0))</f>
        <v>141</v>
      </c>
      <c r="L30">
        <f>INDEX('Energieverbruik in TJ Gemeente'!$B$4:$Q$347,MATCH($C30,'Energieverbruik in TJ Gemeente'!$B$4:$B$347,0),MATCH(L$2,'Energieverbruik in TJ Gemeente'!$B$4:$Q$4,0))</f>
        <v>130</v>
      </c>
      <c r="M30">
        <f>INDEX('Energieverbruik in TJ Gemeente'!$B$4:$Q$347,MATCH($C30,'Energieverbruik in TJ Gemeente'!$B$4:$B$347,0),MATCH(M$2,'Energieverbruik in TJ Gemeente'!$B$4:$Q$4,0))</f>
        <v>115</v>
      </c>
      <c r="N30">
        <f>INDEX('Energieverbruik in TJ Gemeente'!$B$4:$Q$347,MATCH($C30,'Energieverbruik in TJ Gemeente'!$B$4:$B$347,0),MATCH(N$2,'Energieverbruik in TJ Gemeente'!$B$4:$Q$4,0))</f>
        <v>9</v>
      </c>
      <c r="O30">
        <f>INDEX('Energieverbruik in TJ Gemeente'!$B$4:$Q$347,MATCH($C30,'Energieverbruik in TJ Gemeente'!$B$4:$B$347,0),MATCH(O$2,'Energieverbruik in TJ Gemeente'!$B$4:$Q$4,0))</f>
        <v>8</v>
      </c>
      <c r="P30">
        <f>INDEX('Energieverbruik in TJ Gemeente'!$B$4:$Q$347,MATCH($C30,'Energieverbruik in TJ Gemeente'!$B$4:$B$347,0),MATCH(P$2,'Energieverbruik in TJ Gemeente'!$B$4:$Q$4,0))</f>
        <v>9</v>
      </c>
      <c r="Q30">
        <f>INDEX('Energieverbruik in TJ Gemeente'!$B$4:$Q$347,MATCH($C30,'Energieverbruik in TJ Gemeente'!$B$4:$B$347,0),MATCH(Q$2,'Energieverbruik in TJ Gemeente'!$B$4:$Q$4,0))</f>
        <v>8</v>
      </c>
      <c r="R30">
        <f>INDEX('Energieverbruik in TJ Gemeente'!$B$4:$Q$347,MATCH($C30,'Energieverbruik in TJ Gemeente'!$B$4:$B$347,0),MATCH(R$2,'Energieverbruik in TJ Gemeente'!$B$4:$Q$4,0))</f>
        <v>6</v>
      </c>
      <c r="S30" cm="1">
        <f t="array" ref="S30">MAX(_xlfn._xlws.FILTER(D$1:H$1, D30:H30&lt;&gt;"?"))</f>
        <v>2023</v>
      </c>
      <c r="T30" cm="1">
        <f t="array" ref="T30">MAX(_xlfn._xlws.FILTER(I$1:M$1, I30:M30&lt;&gt;"?"))</f>
        <v>2023</v>
      </c>
      <c r="U30" cm="1">
        <f t="array" ref="U30">MAX(_xlfn._xlws.FILTER(F$1:J$1, F30:J30&lt;&gt;"?"))</f>
        <v>2023</v>
      </c>
      <c r="V30">
        <f t="shared" si="0"/>
        <v>687</v>
      </c>
      <c r="W30">
        <f t="shared" si="1"/>
        <v>115</v>
      </c>
      <c r="X30">
        <f t="shared" si="2"/>
        <v>6</v>
      </c>
      <c r="Y30">
        <f t="shared" si="3"/>
        <v>808</v>
      </c>
      <c r="Z30">
        <f t="shared" si="4"/>
        <v>1.3428395738811056E-3</v>
      </c>
    </row>
    <row r="31" spans="1:26" ht="16" x14ac:dyDescent="0.2">
      <c r="A31" s="4" t="s">
        <v>98</v>
      </c>
      <c r="B31" s="4" t="s">
        <v>99</v>
      </c>
      <c r="C31" s="4" t="s">
        <v>100</v>
      </c>
      <c r="D31">
        <f>INDEX('Energieverbruik in TJ Gemeente'!$B$4:$Q$347,MATCH($C31,'Energieverbruik in TJ Gemeente'!$B$4:$B$347,0),MATCH(D$2,'Energieverbruik in TJ Gemeente'!$B$4:$Q$4,0))</f>
        <v>346</v>
      </c>
      <c r="E31">
        <f>INDEX('Energieverbruik in TJ Gemeente'!$B$4:$Q$347,MATCH($C31,'Energieverbruik in TJ Gemeente'!$B$4:$B$347,0),MATCH(E$2,'Energieverbruik in TJ Gemeente'!$B$4:$Q$4,0))</f>
        <v>338</v>
      </c>
      <c r="F31">
        <f>INDEX('Energieverbruik in TJ Gemeente'!$B$4:$Q$347,MATCH($C31,'Energieverbruik in TJ Gemeente'!$B$4:$B$347,0),MATCH(F$2,'Energieverbruik in TJ Gemeente'!$B$4:$Q$4,0))</f>
        <v>334</v>
      </c>
      <c r="G31">
        <f>INDEX('Energieverbruik in TJ Gemeente'!$B$4:$Q$347,MATCH($C31,'Energieverbruik in TJ Gemeente'!$B$4:$B$347,0),MATCH(G$2,'Energieverbruik in TJ Gemeente'!$B$4:$Q$4,0))</f>
        <v>296</v>
      </c>
      <c r="H31">
        <f>INDEX('Energieverbruik in TJ Gemeente'!$B$4:$Q$347,MATCH($C31,'Energieverbruik in TJ Gemeente'!$B$4:$B$347,0),MATCH(H$2,'Energieverbruik in TJ Gemeente'!$B$4:$Q$4,0))</f>
        <v>243</v>
      </c>
      <c r="I31">
        <f>INDEX('Energieverbruik in TJ Gemeente'!$B$4:$Q$347,MATCH($C31,'Energieverbruik in TJ Gemeente'!$B$4:$B$347,0),MATCH(I$2,'Energieverbruik in TJ Gemeente'!$B$4:$Q$4,0))</f>
        <v>117</v>
      </c>
      <c r="J31">
        <f>INDEX('Energieverbruik in TJ Gemeente'!$B$4:$Q$347,MATCH($C31,'Energieverbruik in TJ Gemeente'!$B$4:$B$347,0),MATCH(J$2,'Energieverbruik in TJ Gemeente'!$B$4:$Q$4,0))</f>
        <v>111</v>
      </c>
      <c r="K31">
        <f>INDEX('Energieverbruik in TJ Gemeente'!$B$4:$Q$347,MATCH($C31,'Energieverbruik in TJ Gemeente'!$B$4:$B$347,0),MATCH(K$2,'Energieverbruik in TJ Gemeente'!$B$4:$Q$4,0))</f>
        <v>119</v>
      </c>
      <c r="L31">
        <f>INDEX('Energieverbruik in TJ Gemeente'!$B$4:$Q$347,MATCH($C31,'Energieverbruik in TJ Gemeente'!$B$4:$B$347,0),MATCH(L$2,'Energieverbruik in TJ Gemeente'!$B$4:$Q$4,0))</f>
        <v>104</v>
      </c>
      <c r="M31">
        <f>INDEX('Energieverbruik in TJ Gemeente'!$B$4:$Q$347,MATCH($C31,'Energieverbruik in TJ Gemeente'!$B$4:$B$347,0),MATCH(M$2,'Energieverbruik in TJ Gemeente'!$B$4:$Q$4,0))</f>
        <v>76</v>
      </c>
      <c r="N31">
        <f>INDEX('Energieverbruik in TJ Gemeente'!$B$4:$Q$347,MATCH($C31,'Energieverbruik in TJ Gemeente'!$B$4:$B$347,0),MATCH(N$2,'Energieverbruik in TJ Gemeente'!$B$4:$Q$4,0))</f>
        <v>31</v>
      </c>
      <c r="O31">
        <f>INDEX('Energieverbruik in TJ Gemeente'!$B$4:$Q$347,MATCH($C31,'Energieverbruik in TJ Gemeente'!$B$4:$B$347,0),MATCH(O$2,'Energieverbruik in TJ Gemeente'!$B$4:$Q$4,0))</f>
        <v>41</v>
      </c>
      <c r="P31">
        <f>INDEX('Energieverbruik in TJ Gemeente'!$B$4:$Q$347,MATCH($C31,'Energieverbruik in TJ Gemeente'!$B$4:$B$347,0),MATCH(P$2,'Energieverbruik in TJ Gemeente'!$B$4:$Q$4,0))</f>
        <v>45</v>
      </c>
      <c r="Q31">
        <f>INDEX('Energieverbruik in TJ Gemeente'!$B$4:$Q$347,MATCH($C31,'Energieverbruik in TJ Gemeente'!$B$4:$B$347,0),MATCH(Q$2,'Energieverbruik in TJ Gemeente'!$B$4:$Q$4,0))</f>
        <v>41</v>
      </c>
      <c r="R31">
        <f>INDEX('Energieverbruik in TJ Gemeente'!$B$4:$Q$347,MATCH($C31,'Energieverbruik in TJ Gemeente'!$B$4:$B$347,0),MATCH(R$2,'Energieverbruik in TJ Gemeente'!$B$4:$Q$4,0))</f>
        <v>48</v>
      </c>
      <c r="S31" cm="1">
        <f t="array" ref="S31">MAX(_xlfn._xlws.FILTER(D$1:H$1, D31:H31&lt;&gt;"?"))</f>
        <v>2023</v>
      </c>
      <c r="T31" cm="1">
        <f t="array" ref="T31">MAX(_xlfn._xlws.FILTER(I$1:M$1, I31:M31&lt;&gt;"?"))</f>
        <v>2023</v>
      </c>
      <c r="U31" cm="1">
        <f t="array" ref="U31">MAX(_xlfn._xlws.FILTER(F$1:J$1, F31:J31&lt;&gt;"?"))</f>
        <v>2023</v>
      </c>
      <c r="V31">
        <f t="shared" si="0"/>
        <v>243</v>
      </c>
      <c r="W31">
        <f t="shared" si="1"/>
        <v>76</v>
      </c>
      <c r="X31">
        <f t="shared" si="2"/>
        <v>48</v>
      </c>
      <c r="Y31">
        <f t="shared" si="3"/>
        <v>367</v>
      </c>
      <c r="Z31">
        <f t="shared" si="4"/>
        <v>6.0992837080985855E-4</v>
      </c>
    </row>
    <row r="32" spans="1:26" ht="16" x14ac:dyDescent="0.2">
      <c r="A32" s="4" t="s">
        <v>101</v>
      </c>
      <c r="B32" s="4" t="s">
        <v>102</v>
      </c>
      <c r="C32" s="4" t="s">
        <v>103</v>
      </c>
      <c r="D32" t="str">
        <f>INDEX('Energieverbruik in TJ Gemeente'!$B$4:$Q$347,MATCH($C32,'Energieverbruik in TJ Gemeente'!$B$4:$B$347,0),MATCH(D$2,'Energieverbruik in TJ Gemeente'!$B$4:$Q$4,0))</f>
        <v>?</v>
      </c>
      <c r="E32">
        <f>INDEX('Energieverbruik in TJ Gemeente'!$B$4:$Q$347,MATCH($C32,'Energieverbruik in TJ Gemeente'!$B$4:$B$347,0),MATCH(E$2,'Energieverbruik in TJ Gemeente'!$B$4:$Q$4,0))</f>
        <v>948</v>
      </c>
      <c r="F32">
        <f>INDEX('Energieverbruik in TJ Gemeente'!$B$4:$Q$347,MATCH($C32,'Energieverbruik in TJ Gemeente'!$B$4:$B$347,0),MATCH(F$2,'Energieverbruik in TJ Gemeente'!$B$4:$Q$4,0))</f>
        <v>929</v>
      </c>
      <c r="G32" t="str">
        <f>INDEX('Energieverbruik in TJ Gemeente'!$B$4:$Q$347,MATCH($C32,'Energieverbruik in TJ Gemeente'!$B$4:$B$347,0),MATCH(G$2,'Energieverbruik in TJ Gemeente'!$B$4:$Q$4,0))</f>
        <v>?</v>
      </c>
      <c r="H32" t="str">
        <f>INDEX('Energieverbruik in TJ Gemeente'!$B$4:$Q$347,MATCH($C32,'Energieverbruik in TJ Gemeente'!$B$4:$B$347,0),MATCH(H$2,'Energieverbruik in TJ Gemeente'!$B$4:$Q$4,0))</f>
        <v>?</v>
      </c>
      <c r="I32" t="str">
        <f>INDEX('Energieverbruik in TJ Gemeente'!$B$4:$Q$347,MATCH($C32,'Energieverbruik in TJ Gemeente'!$B$4:$B$347,0),MATCH(I$2,'Energieverbruik in TJ Gemeente'!$B$4:$Q$4,0))</f>
        <v>?</v>
      </c>
      <c r="J32" t="str">
        <f>INDEX('Energieverbruik in TJ Gemeente'!$B$4:$Q$347,MATCH($C32,'Energieverbruik in TJ Gemeente'!$B$4:$B$347,0),MATCH(J$2,'Energieverbruik in TJ Gemeente'!$B$4:$Q$4,0))</f>
        <v>?</v>
      </c>
      <c r="K32" t="str">
        <f>INDEX('Energieverbruik in TJ Gemeente'!$B$4:$Q$347,MATCH($C32,'Energieverbruik in TJ Gemeente'!$B$4:$B$347,0),MATCH(K$2,'Energieverbruik in TJ Gemeente'!$B$4:$Q$4,0))</f>
        <v>?</v>
      </c>
      <c r="L32" t="str">
        <f>INDEX('Energieverbruik in TJ Gemeente'!$B$4:$Q$347,MATCH($C32,'Energieverbruik in TJ Gemeente'!$B$4:$B$347,0),MATCH(L$2,'Energieverbruik in TJ Gemeente'!$B$4:$Q$4,0))</f>
        <v>?</v>
      </c>
      <c r="M32" t="str">
        <f>INDEX('Energieverbruik in TJ Gemeente'!$B$4:$Q$347,MATCH($C32,'Energieverbruik in TJ Gemeente'!$B$4:$B$347,0),MATCH(M$2,'Energieverbruik in TJ Gemeente'!$B$4:$Q$4,0))</f>
        <v>?</v>
      </c>
      <c r="N32">
        <f>INDEX('Energieverbruik in TJ Gemeente'!$B$4:$Q$347,MATCH($C32,'Energieverbruik in TJ Gemeente'!$B$4:$B$347,0),MATCH(N$2,'Energieverbruik in TJ Gemeente'!$B$4:$Q$4,0))</f>
        <v>16</v>
      </c>
      <c r="O32">
        <f>INDEX('Energieverbruik in TJ Gemeente'!$B$4:$Q$347,MATCH($C32,'Energieverbruik in TJ Gemeente'!$B$4:$B$347,0),MATCH(O$2,'Energieverbruik in TJ Gemeente'!$B$4:$Q$4,0))</f>
        <v>8</v>
      </c>
      <c r="P32">
        <f>INDEX('Energieverbruik in TJ Gemeente'!$B$4:$Q$347,MATCH($C32,'Energieverbruik in TJ Gemeente'!$B$4:$B$347,0),MATCH(P$2,'Energieverbruik in TJ Gemeente'!$B$4:$Q$4,0))</f>
        <v>10</v>
      </c>
      <c r="Q32">
        <f>INDEX('Energieverbruik in TJ Gemeente'!$B$4:$Q$347,MATCH($C32,'Energieverbruik in TJ Gemeente'!$B$4:$B$347,0),MATCH(Q$2,'Energieverbruik in TJ Gemeente'!$B$4:$Q$4,0))</f>
        <v>9</v>
      </c>
      <c r="R32" t="str">
        <f>INDEX('Energieverbruik in TJ Gemeente'!$B$4:$Q$347,MATCH($C32,'Energieverbruik in TJ Gemeente'!$B$4:$B$347,0),MATCH(R$2,'Energieverbruik in TJ Gemeente'!$B$4:$Q$4,0))</f>
        <v>?</v>
      </c>
      <c r="S32" cm="1">
        <f t="array" ref="S32">MAX(_xlfn._xlws.FILTER(D$1:H$1, D32:H32&lt;&gt;"?"))</f>
        <v>2021</v>
      </c>
      <c r="T32" t="e" cm="1" vm="1">
        <f t="array" ref="T32">MAX(_xlfn._xlws.FILTER(I$1:M$1, I32:M32&lt;&gt;"?"))</f>
        <v>#VALUE!</v>
      </c>
      <c r="U32" cm="1">
        <f t="array" ref="U32">MAX(_xlfn._xlws.FILTER(F$1:J$1, F32:J32&lt;&gt;"?"))</f>
        <v>2021</v>
      </c>
      <c r="V32">
        <f t="shared" si="0"/>
        <v>929</v>
      </c>
      <c r="W32">
        <f t="shared" si="1"/>
        <v>0</v>
      </c>
      <c r="X32">
        <f t="shared" si="2"/>
        <v>10</v>
      </c>
      <c r="Y32">
        <f t="shared" si="3"/>
        <v>939</v>
      </c>
      <c r="Z32">
        <f t="shared" si="4"/>
        <v>1.5605524255870769E-3</v>
      </c>
    </row>
    <row r="33" spans="1:26" ht="16" x14ac:dyDescent="0.2">
      <c r="A33" s="4" t="s">
        <v>104</v>
      </c>
      <c r="B33" s="4" t="s">
        <v>105</v>
      </c>
      <c r="C33" s="4" t="s">
        <v>106</v>
      </c>
      <c r="D33">
        <f>INDEX('Energieverbruik in TJ Gemeente'!$B$4:$Q$347,MATCH($C33,'Energieverbruik in TJ Gemeente'!$B$4:$B$347,0),MATCH(D$2,'Energieverbruik in TJ Gemeente'!$B$4:$Q$4,0))</f>
        <v>572</v>
      </c>
      <c r="E33">
        <f>INDEX('Energieverbruik in TJ Gemeente'!$B$4:$Q$347,MATCH($C33,'Energieverbruik in TJ Gemeente'!$B$4:$B$347,0),MATCH(E$2,'Energieverbruik in TJ Gemeente'!$B$4:$Q$4,0))</f>
        <v>549</v>
      </c>
      <c r="F33">
        <f>INDEX('Energieverbruik in TJ Gemeente'!$B$4:$Q$347,MATCH($C33,'Energieverbruik in TJ Gemeente'!$B$4:$B$347,0),MATCH(F$2,'Energieverbruik in TJ Gemeente'!$B$4:$Q$4,0))</f>
        <v>553</v>
      </c>
      <c r="G33">
        <f>INDEX('Energieverbruik in TJ Gemeente'!$B$4:$Q$347,MATCH($C33,'Energieverbruik in TJ Gemeente'!$B$4:$B$347,0),MATCH(G$2,'Energieverbruik in TJ Gemeente'!$B$4:$Q$4,0))</f>
        <v>490</v>
      </c>
      <c r="H33">
        <f>INDEX('Energieverbruik in TJ Gemeente'!$B$4:$Q$347,MATCH($C33,'Energieverbruik in TJ Gemeente'!$B$4:$B$347,0),MATCH(H$2,'Energieverbruik in TJ Gemeente'!$B$4:$Q$4,0))</f>
        <v>417</v>
      </c>
      <c r="I33">
        <f>INDEX('Energieverbruik in TJ Gemeente'!$B$4:$Q$347,MATCH($C33,'Energieverbruik in TJ Gemeente'!$B$4:$B$347,0),MATCH(I$2,'Energieverbruik in TJ Gemeente'!$B$4:$Q$4,0))</f>
        <v>50</v>
      </c>
      <c r="J33">
        <f>INDEX('Energieverbruik in TJ Gemeente'!$B$4:$Q$347,MATCH($C33,'Energieverbruik in TJ Gemeente'!$B$4:$B$347,0),MATCH(J$2,'Energieverbruik in TJ Gemeente'!$B$4:$Q$4,0))</f>
        <v>47</v>
      </c>
      <c r="K33">
        <f>INDEX('Energieverbruik in TJ Gemeente'!$B$4:$Q$347,MATCH($C33,'Energieverbruik in TJ Gemeente'!$B$4:$B$347,0),MATCH(K$2,'Energieverbruik in TJ Gemeente'!$B$4:$Q$4,0))</f>
        <v>54</v>
      </c>
      <c r="L33">
        <f>INDEX('Energieverbruik in TJ Gemeente'!$B$4:$Q$347,MATCH($C33,'Energieverbruik in TJ Gemeente'!$B$4:$B$347,0),MATCH(L$2,'Energieverbruik in TJ Gemeente'!$B$4:$Q$4,0))</f>
        <v>46</v>
      </c>
      <c r="M33">
        <f>INDEX('Energieverbruik in TJ Gemeente'!$B$4:$Q$347,MATCH($C33,'Energieverbruik in TJ Gemeente'!$B$4:$B$347,0),MATCH(M$2,'Energieverbruik in TJ Gemeente'!$B$4:$Q$4,0))</f>
        <v>45</v>
      </c>
      <c r="N33">
        <f>INDEX('Energieverbruik in TJ Gemeente'!$B$4:$Q$347,MATCH($C33,'Energieverbruik in TJ Gemeente'!$B$4:$B$347,0),MATCH(N$2,'Energieverbruik in TJ Gemeente'!$B$4:$Q$4,0))</f>
        <v>27</v>
      </c>
      <c r="O33">
        <f>INDEX('Energieverbruik in TJ Gemeente'!$B$4:$Q$347,MATCH($C33,'Energieverbruik in TJ Gemeente'!$B$4:$B$347,0),MATCH(O$2,'Energieverbruik in TJ Gemeente'!$B$4:$Q$4,0))</f>
        <v>19</v>
      </c>
      <c r="P33">
        <f>INDEX('Energieverbruik in TJ Gemeente'!$B$4:$Q$347,MATCH($C33,'Energieverbruik in TJ Gemeente'!$B$4:$B$347,0),MATCH(P$2,'Energieverbruik in TJ Gemeente'!$B$4:$Q$4,0))</f>
        <v>18</v>
      </c>
      <c r="Q33">
        <f>INDEX('Energieverbruik in TJ Gemeente'!$B$4:$Q$347,MATCH($C33,'Energieverbruik in TJ Gemeente'!$B$4:$B$347,0),MATCH(Q$2,'Energieverbruik in TJ Gemeente'!$B$4:$Q$4,0))</f>
        <v>15</v>
      </c>
      <c r="R33">
        <f>INDEX('Energieverbruik in TJ Gemeente'!$B$4:$Q$347,MATCH($C33,'Energieverbruik in TJ Gemeente'!$B$4:$B$347,0),MATCH(R$2,'Energieverbruik in TJ Gemeente'!$B$4:$Q$4,0))</f>
        <v>19</v>
      </c>
      <c r="S33" cm="1">
        <f t="array" ref="S33">MAX(_xlfn._xlws.FILTER(D$1:H$1, D33:H33&lt;&gt;"?"))</f>
        <v>2023</v>
      </c>
      <c r="T33" cm="1">
        <f t="array" ref="T33">MAX(_xlfn._xlws.FILTER(I$1:M$1, I33:M33&lt;&gt;"?"))</f>
        <v>2023</v>
      </c>
      <c r="U33" cm="1">
        <f t="array" ref="U33">MAX(_xlfn._xlws.FILTER(F$1:J$1, F33:J33&lt;&gt;"?"))</f>
        <v>2023</v>
      </c>
      <c r="V33">
        <f t="shared" si="0"/>
        <v>417</v>
      </c>
      <c r="W33">
        <f t="shared" si="1"/>
        <v>45</v>
      </c>
      <c r="X33">
        <f t="shared" si="2"/>
        <v>19</v>
      </c>
      <c r="Y33">
        <f t="shared" si="3"/>
        <v>481</v>
      </c>
      <c r="Z33">
        <f t="shared" si="4"/>
        <v>7.9938840969902443E-4</v>
      </c>
    </row>
    <row r="34" spans="1:26" ht="16" x14ac:dyDescent="0.2">
      <c r="A34" s="4" t="s">
        <v>107</v>
      </c>
      <c r="B34" s="4" t="s">
        <v>108</v>
      </c>
      <c r="C34" s="4" t="s">
        <v>109</v>
      </c>
      <c r="D34">
        <f>INDEX('Energieverbruik in TJ Gemeente'!$B$4:$Q$347,MATCH($C34,'Energieverbruik in TJ Gemeente'!$B$4:$B$347,0),MATCH(D$2,'Energieverbruik in TJ Gemeente'!$B$4:$Q$4,0))</f>
        <v>351</v>
      </c>
      <c r="E34">
        <f>INDEX('Energieverbruik in TJ Gemeente'!$B$4:$Q$347,MATCH($C34,'Energieverbruik in TJ Gemeente'!$B$4:$B$347,0),MATCH(E$2,'Energieverbruik in TJ Gemeente'!$B$4:$Q$4,0))</f>
        <v>342</v>
      </c>
      <c r="F34">
        <f>INDEX('Energieverbruik in TJ Gemeente'!$B$4:$Q$347,MATCH($C34,'Energieverbruik in TJ Gemeente'!$B$4:$B$347,0),MATCH(F$2,'Energieverbruik in TJ Gemeente'!$B$4:$Q$4,0))</f>
        <v>345</v>
      </c>
      <c r="G34" t="str">
        <f>INDEX('Energieverbruik in TJ Gemeente'!$B$4:$Q$347,MATCH($C34,'Energieverbruik in TJ Gemeente'!$B$4:$B$347,0),MATCH(G$2,'Energieverbruik in TJ Gemeente'!$B$4:$Q$4,0))</f>
        <v>?</v>
      </c>
      <c r="H34" t="str">
        <f>INDEX('Energieverbruik in TJ Gemeente'!$B$4:$Q$347,MATCH($C34,'Energieverbruik in TJ Gemeente'!$B$4:$B$347,0),MATCH(H$2,'Energieverbruik in TJ Gemeente'!$B$4:$Q$4,0))</f>
        <v>?</v>
      </c>
      <c r="I34">
        <f>INDEX('Energieverbruik in TJ Gemeente'!$B$4:$Q$347,MATCH($C34,'Energieverbruik in TJ Gemeente'!$B$4:$B$347,0),MATCH(I$2,'Energieverbruik in TJ Gemeente'!$B$4:$Q$4,0))</f>
        <v>94</v>
      </c>
      <c r="J34">
        <f>INDEX('Energieverbruik in TJ Gemeente'!$B$4:$Q$347,MATCH($C34,'Energieverbruik in TJ Gemeente'!$B$4:$B$347,0),MATCH(J$2,'Energieverbruik in TJ Gemeente'!$B$4:$Q$4,0))</f>
        <v>95</v>
      </c>
      <c r="K34">
        <f>INDEX('Energieverbruik in TJ Gemeente'!$B$4:$Q$347,MATCH($C34,'Energieverbruik in TJ Gemeente'!$B$4:$B$347,0),MATCH(K$2,'Energieverbruik in TJ Gemeente'!$B$4:$Q$4,0))</f>
        <v>99</v>
      </c>
      <c r="L34">
        <f>INDEX('Energieverbruik in TJ Gemeente'!$B$4:$Q$347,MATCH($C34,'Energieverbruik in TJ Gemeente'!$B$4:$B$347,0),MATCH(L$2,'Energieverbruik in TJ Gemeente'!$B$4:$Q$4,0))</f>
        <v>95</v>
      </c>
      <c r="M34">
        <f>INDEX('Energieverbruik in TJ Gemeente'!$B$4:$Q$347,MATCH($C34,'Energieverbruik in TJ Gemeente'!$B$4:$B$347,0),MATCH(M$2,'Energieverbruik in TJ Gemeente'!$B$4:$Q$4,0))</f>
        <v>90</v>
      </c>
      <c r="N34">
        <f>INDEX('Energieverbruik in TJ Gemeente'!$B$4:$Q$347,MATCH($C34,'Energieverbruik in TJ Gemeente'!$B$4:$B$347,0),MATCH(N$2,'Energieverbruik in TJ Gemeente'!$B$4:$Q$4,0))</f>
        <v>399</v>
      </c>
      <c r="O34">
        <f>INDEX('Energieverbruik in TJ Gemeente'!$B$4:$Q$347,MATCH($C34,'Energieverbruik in TJ Gemeente'!$B$4:$B$347,0),MATCH(O$2,'Energieverbruik in TJ Gemeente'!$B$4:$Q$4,0))</f>
        <v>461</v>
      </c>
      <c r="P34">
        <f>INDEX('Energieverbruik in TJ Gemeente'!$B$4:$Q$347,MATCH($C34,'Energieverbruik in TJ Gemeente'!$B$4:$B$347,0),MATCH(P$2,'Energieverbruik in TJ Gemeente'!$B$4:$Q$4,0))</f>
        <v>491</v>
      </c>
      <c r="Q34">
        <f>INDEX('Energieverbruik in TJ Gemeente'!$B$4:$Q$347,MATCH($C34,'Energieverbruik in TJ Gemeente'!$B$4:$B$347,0),MATCH(Q$2,'Energieverbruik in TJ Gemeente'!$B$4:$Q$4,0))</f>
        <v>361</v>
      </c>
      <c r="R34">
        <f>INDEX('Energieverbruik in TJ Gemeente'!$B$4:$Q$347,MATCH($C34,'Energieverbruik in TJ Gemeente'!$B$4:$B$347,0),MATCH(R$2,'Energieverbruik in TJ Gemeente'!$B$4:$Q$4,0))</f>
        <v>429</v>
      </c>
      <c r="S34" cm="1">
        <f t="array" ref="S34">MAX(_xlfn._xlws.FILTER(D$1:H$1, D34:H34&lt;&gt;"?"))</f>
        <v>2021</v>
      </c>
      <c r="T34" cm="1">
        <f t="array" ref="T34">MAX(_xlfn._xlws.FILTER(I$1:M$1, I34:M34&lt;&gt;"?"))</f>
        <v>2023</v>
      </c>
      <c r="U34" cm="1">
        <f t="array" ref="U34">MAX(_xlfn._xlws.FILTER(F$1:J$1, F34:J34&lt;&gt;"?"))</f>
        <v>2021</v>
      </c>
      <c r="V34">
        <f t="shared" si="0"/>
        <v>345</v>
      </c>
      <c r="W34">
        <f t="shared" si="1"/>
        <v>90</v>
      </c>
      <c r="X34">
        <f t="shared" si="2"/>
        <v>491</v>
      </c>
      <c r="Y34">
        <f t="shared" si="3"/>
        <v>926</v>
      </c>
      <c r="Z34">
        <f t="shared" si="4"/>
        <v>1.5389473334330491E-3</v>
      </c>
    </row>
    <row r="35" spans="1:26" ht="16" x14ac:dyDescent="0.2">
      <c r="A35" s="4" t="s">
        <v>110</v>
      </c>
      <c r="B35" s="4" t="s">
        <v>111</v>
      </c>
      <c r="C35" s="4" t="s">
        <v>112</v>
      </c>
      <c r="D35" t="str">
        <f>INDEX('Energieverbruik in TJ Gemeente'!$B$4:$Q$347,MATCH($C35,'Energieverbruik in TJ Gemeente'!$B$4:$B$347,0),MATCH(D$2,'Energieverbruik in TJ Gemeente'!$B$4:$Q$4,0))</f>
        <v>?</v>
      </c>
      <c r="E35">
        <f>INDEX('Energieverbruik in TJ Gemeente'!$B$4:$Q$347,MATCH($C35,'Energieverbruik in TJ Gemeente'!$B$4:$B$347,0),MATCH(E$2,'Energieverbruik in TJ Gemeente'!$B$4:$Q$4,0))</f>
        <v>974</v>
      </c>
      <c r="F35">
        <f>INDEX('Energieverbruik in TJ Gemeente'!$B$4:$Q$347,MATCH($C35,'Energieverbruik in TJ Gemeente'!$B$4:$B$347,0),MATCH(F$2,'Energieverbruik in TJ Gemeente'!$B$4:$Q$4,0))</f>
        <v>994</v>
      </c>
      <c r="G35">
        <f>INDEX('Energieverbruik in TJ Gemeente'!$B$4:$Q$347,MATCH($C35,'Energieverbruik in TJ Gemeente'!$B$4:$B$347,0),MATCH(G$2,'Energieverbruik in TJ Gemeente'!$B$4:$Q$4,0))</f>
        <v>865</v>
      </c>
      <c r="H35">
        <f>INDEX('Energieverbruik in TJ Gemeente'!$B$4:$Q$347,MATCH($C35,'Energieverbruik in TJ Gemeente'!$B$4:$B$347,0),MATCH(H$2,'Energieverbruik in TJ Gemeente'!$B$4:$Q$4,0))</f>
        <v>741</v>
      </c>
      <c r="I35" t="str">
        <f>INDEX('Energieverbruik in TJ Gemeente'!$B$4:$Q$347,MATCH($C35,'Energieverbruik in TJ Gemeente'!$B$4:$B$347,0),MATCH(I$2,'Energieverbruik in TJ Gemeente'!$B$4:$Q$4,0))</f>
        <v>?</v>
      </c>
      <c r="J35">
        <f>INDEX('Energieverbruik in TJ Gemeente'!$B$4:$Q$347,MATCH($C35,'Energieverbruik in TJ Gemeente'!$B$4:$B$347,0),MATCH(J$2,'Energieverbruik in TJ Gemeente'!$B$4:$Q$4,0))</f>
        <v>9</v>
      </c>
      <c r="K35">
        <f>INDEX('Energieverbruik in TJ Gemeente'!$B$4:$Q$347,MATCH($C35,'Energieverbruik in TJ Gemeente'!$B$4:$B$347,0),MATCH(K$2,'Energieverbruik in TJ Gemeente'!$B$4:$Q$4,0))</f>
        <v>10</v>
      </c>
      <c r="L35">
        <f>INDEX('Energieverbruik in TJ Gemeente'!$B$4:$Q$347,MATCH($C35,'Energieverbruik in TJ Gemeente'!$B$4:$B$347,0),MATCH(L$2,'Energieverbruik in TJ Gemeente'!$B$4:$Q$4,0))</f>
        <v>8</v>
      </c>
      <c r="M35">
        <f>INDEX('Energieverbruik in TJ Gemeente'!$B$4:$Q$347,MATCH($C35,'Energieverbruik in TJ Gemeente'!$B$4:$B$347,0),MATCH(M$2,'Energieverbruik in TJ Gemeente'!$B$4:$Q$4,0))</f>
        <v>7</v>
      </c>
      <c r="N35">
        <f>INDEX('Energieverbruik in TJ Gemeente'!$B$4:$Q$347,MATCH($C35,'Energieverbruik in TJ Gemeente'!$B$4:$B$347,0),MATCH(N$2,'Energieverbruik in TJ Gemeente'!$B$4:$Q$4,0))</f>
        <v>59</v>
      </c>
      <c r="O35">
        <f>INDEX('Energieverbruik in TJ Gemeente'!$B$4:$Q$347,MATCH($C35,'Energieverbruik in TJ Gemeente'!$B$4:$B$347,0),MATCH(O$2,'Energieverbruik in TJ Gemeente'!$B$4:$Q$4,0))</f>
        <v>50</v>
      </c>
      <c r="P35">
        <f>INDEX('Energieverbruik in TJ Gemeente'!$B$4:$Q$347,MATCH($C35,'Energieverbruik in TJ Gemeente'!$B$4:$B$347,0),MATCH(P$2,'Energieverbruik in TJ Gemeente'!$B$4:$Q$4,0))</f>
        <v>55</v>
      </c>
      <c r="Q35">
        <f>INDEX('Energieverbruik in TJ Gemeente'!$B$4:$Q$347,MATCH($C35,'Energieverbruik in TJ Gemeente'!$B$4:$B$347,0),MATCH(Q$2,'Energieverbruik in TJ Gemeente'!$B$4:$Q$4,0))</f>
        <v>38</v>
      </c>
      <c r="R35">
        <f>INDEX('Energieverbruik in TJ Gemeente'!$B$4:$Q$347,MATCH($C35,'Energieverbruik in TJ Gemeente'!$B$4:$B$347,0),MATCH(R$2,'Energieverbruik in TJ Gemeente'!$B$4:$Q$4,0))</f>
        <v>36</v>
      </c>
      <c r="S35" cm="1">
        <f t="array" ref="S35">MAX(_xlfn._xlws.FILTER(D$1:H$1, D35:H35&lt;&gt;"?"))</f>
        <v>2023</v>
      </c>
      <c r="T35" cm="1">
        <f t="array" ref="T35">MAX(_xlfn._xlws.FILTER(I$1:M$1, I35:M35&lt;&gt;"?"))</f>
        <v>2023</v>
      </c>
      <c r="U35" cm="1">
        <f t="array" ref="U35">MAX(_xlfn._xlws.FILTER(F$1:J$1, F35:J35&lt;&gt;"?"))</f>
        <v>2023</v>
      </c>
      <c r="V35">
        <f t="shared" si="0"/>
        <v>741</v>
      </c>
      <c r="W35">
        <f t="shared" si="1"/>
        <v>7</v>
      </c>
      <c r="X35">
        <f t="shared" si="2"/>
        <v>36</v>
      </c>
      <c r="Y35">
        <f t="shared" si="3"/>
        <v>784</v>
      </c>
      <c r="Z35">
        <f t="shared" si="4"/>
        <v>1.3029532499044391E-3</v>
      </c>
    </row>
    <row r="36" spans="1:26" ht="32" x14ac:dyDescent="0.2">
      <c r="A36" s="4" t="s">
        <v>113</v>
      </c>
      <c r="B36" s="4" t="s">
        <v>114</v>
      </c>
      <c r="C36" s="4" t="s">
        <v>115</v>
      </c>
      <c r="D36">
        <f>INDEX('Energieverbruik in TJ Gemeente'!$B$4:$Q$347,MATCH($C36,'Energieverbruik in TJ Gemeente'!$B$4:$B$347,0),MATCH(D$2,'Energieverbruik in TJ Gemeente'!$B$4:$Q$4,0))</f>
        <v>1535</v>
      </c>
      <c r="E36">
        <f>INDEX('Energieverbruik in TJ Gemeente'!$B$4:$Q$347,MATCH($C36,'Energieverbruik in TJ Gemeente'!$B$4:$B$347,0),MATCH(E$2,'Energieverbruik in TJ Gemeente'!$B$4:$Q$4,0))</f>
        <v>1567</v>
      </c>
      <c r="F36">
        <f>INDEX('Energieverbruik in TJ Gemeente'!$B$4:$Q$347,MATCH($C36,'Energieverbruik in TJ Gemeente'!$B$4:$B$347,0),MATCH(F$2,'Energieverbruik in TJ Gemeente'!$B$4:$Q$4,0))</f>
        <v>1460</v>
      </c>
      <c r="G36">
        <f>INDEX('Energieverbruik in TJ Gemeente'!$B$4:$Q$347,MATCH($C36,'Energieverbruik in TJ Gemeente'!$B$4:$B$347,0),MATCH(G$2,'Energieverbruik in TJ Gemeente'!$B$4:$Q$4,0))</f>
        <v>1369</v>
      </c>
      <c r="H36">
        <f>INDEX('Energieverbruik in TJ Gemeente'!$B$4:$Q$347,MATCH($C36,'Energieverbruik in TJ Gemeente'!$B$4:$B$347,0),MATCH(H$2,'Energieverbruik in TJ Gemeente'!$B$4:$Q$4,0))</f>
        <v>1181</v>
      </c>
      <c r="I36">
        <f>INDEX('Energieverbruik in TJ Gemeente'!$B$4:$Q$347,MATCH($C36,'Energieverbruik in TJ Gemeente'!$B$4:$B$347,0),MATCH(I$2,'Energieverbruik in TJ Gemeente'!$B$4:$Q$4,0))</f>
        <v>7413</v>
      </c>
      <c r="J36">
        <f>INDEX('Energieverbruik in TJ Gemeente'!$B$4:$Q$347,MATCH($C36,'Energieverbruik in TJ Gemeente'!$B$4:$B$347,0),MATCH(J$2,'Energieverbruik in TJ Gemeente'!$B$4:$Q$4,0))</f>
        <v>8335</v>
      </c>
      <c r="K36">
        <f>INDEX('Energieverbruik in TJ Gemeente'!$B$4:$Q$347,MATCH($C36,'Energieverbruik in TJ Gemeente'!$B$4:$B$347,0),MATCH(K$2,'Energieverbruik in TJ Gemeente'!$B$4:$Q$4,0))</f>
        <v>7995</v>
      </c>
      <c r="L36">
        <f>INDEX('Energieverbruik in TJ Gemeente'!$B$4:$Q$347,MATCH($C36,'Energieverbruik in TJ Gemeente'!$B$4:$B$347,0),MATCH(L$2,'Energieverbruik in TJ Gemeente'!$B$4:$Q$4,0))</f>
        <v>7498</v>
      </c>
      <c r="M36">
        <f>INDEX('Energieverbruik in TJ Gemeente'!$B$4:$Q$347,MATCH($C36,'Energieverbruik in TJ Gemeente'!$B$4:$B$347,0),MATCH(M$2,'Energieverbruik in TJ Gemeente'!$B$4:$Q$4,0))</f>
        <v>7682</v>
      </c>
      <c r="N36" t="str">
        <f>INDEX('Energieverbruik in TJ Gemeente'!$B$4:$Q$347,MATCH($C36,'Energieverbruik in TJ Gemeente'!$B$4:$B$347,0),MATCH(N$2,'Energieverbruik in TJ Gemeente'!$B$4:$Q$4,0))</f>
        <v>?</v>
      </c>
      <c r="O36">
        <f>INDEX('Energieverbruik in TJ Gemeente'!$B$4:$Q$347,MATCH($C36,'Energieverbruik in TJ Gemeente'!$B$4:$B$347,0),MATCH(O$2,'Energieverbruik in TJ Gemeente'!$B$4:$Q$4,0))</f>
        <v>336</v>
      </c>
      <c r="P36">
        <f>INDEX('Energieverbruik in TJ Gemeente'!$B$4:$Q$347,MATCH($C36,'Energieverbruik in TJ Gemeente'!$B$4:$B$347,0),MATCH(P$2,'Energieverbruik in TJ Gemeente'!$B$4:$Q$4,0))</f>
        <v>360</v>
      </c>
      <c r="Q36">
        <f>INDEX('Energieverbruik in TJ Gemeente'!$B$4:$Q$347,MATCH($C36,'Energieverbruik in TJ Gemeente'!$B$4:$B$347,0),MATCH(Q$2,'Energieverbruik in TJ Gemeente'!$B$4:$Q$4,0))</f>
        <v>251</v>
      </c>
      <c r="R36">
        <f>INDEX('Energieverbruik in TJ Gemeente'!$B$4:$Q$347,MATCH($C36,'Energieverbruik in TJ Gemeente'!$B$4:$B$347,0),MATCH(R$2,'Energieverbruik in TJ Gemeente'!$B$4:$Q$4,0))</f>
        <v>256</v>
      </c>
      <c r="S36" cm="1">
        <f t="array" ref="S36">MAX(_xlfn._xlws.FILTER(D$1:H$1, D36:H36&lt;&gt;"?"))</f>
        <v>2023</v>
      </c>
      <c r="T36" cm="1">
        <f t="array" ref="T36">MAX(_xlfn._xlws.FILTER(I$1:M$1, I36:M36&lt;&gt;"?"))</f>
        <v>2023</v>
      </c>
      <c r="U36" cm="1">
        <f t="array" ref="U36">MAX(_xlfn._xlws.FILTER(F$1:J$1, F36:J36&lt;&gt;"?"))</f>
        <v>2023</v>
      </c>
      <c r="V36">
        <f t="shared" si="0"/>
        <v>1181</v>
      </c>
      <c r="W36">
        <f t="shared" si="1"/>
        <v>7682</v>
      </c>
      <c r="X36">
        <f t="shared" si="2"/>
        <v>256</v>
      </c>
      <c r="Y36">
        <f t="shared" si="3"/>
        <v>9119</v>
      </c>
      <c r="Z36">
        <f t="shared" si="4"/>
        <v>1.5155141180967576E-2</v>
      </c>
    </row>
    <row r="37" spans="1:26" ht="16" x14ac:dyDescent="0.2">
      <c r="A37" s="4" t="s">
        <v>116</v>
      </c>
      <c r="B37" s="4" t="s">
        <v>117</v>
      </c>
      <c r="C37" s="4" t="s">
        <v>118</v>
      </c>
      <c r="D37">
        <f>INDEX('Energieverbruik in TJ Gemeente'!$B$4:$Q$347,MATCH($C37,'Energieverbruik in TJ Gemeente'!$B$4:$B$347,0),MATCH(D$2,'Energieverbruik in TJ Gemeente'!$B$4:$Q$4,0))</f>
        <v>1213</v>
      </c>
      <c r="E37">
        <f>INDEX('Energieverbruik in TJ Gemeente'!$B$4:$Q$347,MATCH($C37,'Energieverbruik in TJ Gemeente'!$B$4:$B$347,0),MATCH(E$2,'Energieverbruik in TJ Gemeente'!$B$4:$Q$4,0))</f>
        <v>1166</v>
      </c>
      <c r="F37">
        <f>INDEX('Energieverbruik in TJ Gemeente'!$B$4:$Q$347,MATCH($C37,'Energieverbruik in TJ Gemeente'!$B$4:$B$347,0),MATCH(F$2,'Energieverbruik in TJ Gemeente'!$B$4:$Q$4,0))</f>
        <v>1175</v>
      </c>
      <c r="G37">
        <f>INDEX('Energieverbruik in TJ Gemeente'!$B$4:$Q$347,MATCH($C37,'Energieverbruik in TJ Gemeente'!$B$4:$B$347,0),MATCH(G$2,'Energieverbruik in TJ Gemeente'!$B$4:$Q$4,0))</f>
        <v>1043</v>
      </c>
      <c r="H37">
        <f>INDEX('Energieverbruik in TJ Gemeente'!$B$4:$Q$347,MATCH($C37,'Energieverbruik in TJ Gemeente'!$B$4:$B$347,0),MATCH(H$2,'Energieverbruik in TJ Gemeente'!$B$4:$Q$4,0))</f>
        <v>851</v>
      </c>
      <c r="I37">
        <f>INDEX('Energieverbruik in TJ Gemeente'!$B$4:$Q$347,MATCH($C37,'Energieverbruik in TJ Gemeente'!$B$4:$B$347,0),MATCH(I$2,'Energieverbruik in TJ Gemeente'!$B$4:$Q$4,0))</f>
        <v>840</v>
      </c>
      <c r="J37">
        <f>INDEX('Energieverbruik in TJ Gemeente'!$B$4:$Q$347,MATCH($C37,'Energieverbruik in TJ Gemeente'!$B$4:$B$347,0),MATCH(J$2,'Energieverbruik in TJ Gemeente'!$B$4:$Q$4,0))</f>
        <v>724</v>
      </c>
      <c r="K37">
        <f>INDEX('Energieverbruik in TJ Gemeente'!$B$4:$Q$347,MATCH($C37,'Energieverbruik in TJ Gemeente'!$B$4:$B$347,0),MATCH(K$2,'Energieverbruik in TJ Gemeente'!$B$4:$Q$4,0))</f>
        <v>715</v>
      </c>
      <c r="L37">
        <f>INDEX('Energieverbruik in TJ Gemeente'!$B$4:$Q$347,MATCH($C37,'Energieverbruik in TJ Gemeente'!$B$4:$B$347,0),MATCH(L$2,'Energieverbruik in TJ Gemeente'!$B$4:$Q$4,0))</f>
        <v>848</v>
      </c>
      <c r="M37">
        <f>INDEX('Energieverbruik in TJ Gemeente'!$B$4:$Q$347,MATCH($C37,'Energieverbruik in TJ Gemeente'!$B$4:$B$347,0),MATCH(M$2,'Energieverbruik in TJ Gemeente'!$B$4:$Q$4,0))</f>
        <v>923</v>
      </c>
      <c r="N37">
        <f>INDEX('Energieverbruik in TJ Gemeente'!$B$4:$Q$347,MATCH($C37,'Energieverbruik in TJ Gemeente'!$B$4:$B$347,0),MATCH(N$2,'Energieverbruik in TJ Gemeente'!$B$4:$Q$4,0))</f>
        <v>106</v>
      </c>
      <c r="O37">
        <f>INDEX('Energieverbruik in TJ Gemeente'!$B$4:$Q$347,MATCH($C37,'Energieverbruik in TJ Gemeente'!$B$4:$B$347,0),MATCH(O$2,'Energieverbruik in TJ Gemeente'!$B$4:$Q$4,0))</f>
        <v>66</v>
      </c>
      <c r="P37">
        <f>INDEX('Energieverbruik in TJ Gemeente'!$B$4:$Q$347,MATCH($C37,'Energieverbruik in TJ Gemeente'!$B$4:$B$347,0),MATCH(P$2,'Energieverbruik in TJ Gemeente'!$B$4:$Q$4,0))</f>
        <v>75</v>
      </c>
      <c r="Q37">
        <f>INDEX('Energieverbruik in TJ Gemeente'!$B$4:$Q$347,MATCH($C37,'Energieverbruik in TJ Gemeente'!$B$4:$B$347,0),MATCH(Q$2,'Energieverbruik in TJ Gemeente'!$B$4:$Q$4,0))</f>
        <v>61</v>
      </c>
      <c r="R37">
        <f>INDEX('Energieverbruik in TJ Gemeente'!$B$4:$Q$347,MATCH($C37,'Energieverbruik in TJ Gemeente'!$B$4:$B$347,0),MATCH(R$2,'Energieverbruik in TJ Gemeente'!$B$4:$Q$4,0))</f>
        <v>47</v>
      </c>
      <c r="S37" cm="1">
        <f t="array" ref="S37">MAX(_xlfn._xlws.FILTER(D$1:H$1, D37:H37&lt;&gt;"?"))</f>
        <v>2023</v>
      </c>
      <c r="T37" cm="1">
        <f t="array" ref="T37">MAX(_xlfn._xlws.FILTER(I$1:M$1, I37:M37&lt;&gt;"?"))</f>
        <v>2023</v>
      </c>
      <c r="U37" cm="1">
        <f t="array" ref="U37">MAX(_xlfn._xlws.FILTER(F$1:J$1, F37:J37&lt;&gt;"?"))</f>
        <v>2023</v>
      </c>
      <c r="V37">
        <f t="shared" si="0"/>
        <v>851</v>
      </c>
      <c r="W37">
        <f t="shared" si="1"/>
        <v>923</v>
      </c>
      <c r="X37">
        <f t="shared" si="2"/>
        <v>47</v>
      </c>
      <c r="Y37">
        <f t="shared" si="3"/>
        <v>1821</v>
      </c>
      <c r="Z37">
        <f t="shared" si="4"/>
        <v>3.0263748317295707E-3</v>
      </c>
    </row>
    <row r="38" spans="1:26" ht="16" x14ac:dyDescent="0.2">
      <c r="A38" s="4" t="s">
        <v>119</v>
      </c>
      <c r="B38" s="4" t="s">
        <v>120</v>
      </c>
      <c r="C38" s="4" t="s">
        <v>121</v>
      </c>
      <c r="D38">
        <f>INDEX('Energieverbruik in TJ Gemeente'!$B$4:$Q$347,MATCH($C38,'Energieverbruik in TJ Gemeente'!$B$4:$B$347,0),MATCH(D$2,'Energieverbruik in TJ Gemeente'!$B$4:$Q$4,0))</f>
        <v>754</v>
      </c>
      <c r="E38">
        <f>INDEX('Energieverbruik in TJ Gemeente'!$B$4:$Q$347,MATCH($C38,'Energieverbruik in TJ Gemeente'!$B$4:$B$347,0),MATCH(E$2,'Energieverbruik in TJ Gemeente'!$B$4:$Q$4,0))</f>
        <v>731</v>
      </c>
      <c r="F38">
        <f>INDEX('Energieverbruik in TJ Gemeente'!$B$4:$Q$347,MATCH($C38,'Energieverbruik in TJ Gemeente'!$B$4:$B$347,0),MATCH(F$2,'Energieverbruik in TJ Gemeente'!$B$4:$Q$4,0))</f>
        <v>742</v>
      </c>
      <c r="G38">
        <f>INDEX('Energieverbruik in TJ Gemeente'!$B$4:$Q$347,MATCH($C38,'Energieverbruik in TJ Gemeente'!$B$4:$B$347,0),MATCH(G$2,'Energieverbruik in TJ Gemeente'!$B$4:$Q$4,0))</f>
        <v>654</v>
      </c>
      <c r="H38">
        <f>INDEX('Energieverbruik in TJ Gemeente'!$B$4:$Q$347,MATCH($C38,'Energieverbruik in TJ Gemeente'!$B$4:$B$347,0),MATCH(H$2,'Energieverbruik in TJ Gemeente'!$B$4:$Q$4,0))</f>
        <v>533</v>
      </c>
      <c r="I38">
        <f>INDEX('Energieverbruik in TJ Gemeente'!$B$4:$Q$347,MATCH($C38,'Energieverbruik in TJ Gemeente'!$B$4:$B$347,0),MATCH(I$2,'Energieverbruik in TJ Gemeente'!$B$4:$Q$4,0))</f>
        <v>35</v>
      </c>
      <c r="J38">
        <f>INDEX('Energieverbruik in TJ Gemeente'!$B$4:$Q$347,MATCH($C38,'Energieverbruik in TJ Gemeente'!$B$4:$B$347,0),MATCH(J$2,'Energieverbruik in TJ Gemeente'!$B$4:$Q$4,0))</f>
        <v>31</v>
      </c>
      <c r="K38">
        <f>INDEX('Energieverbruik in TJ Gemeente'!$B$4:$Q$347,MATCH($C38,'Energieverbruik in TJ Gemeente'!$B$4:$B$347,0),MATCH(K$2,'Energieverbruik in TJ Gemeente'!$B$4:$Q$4,0))</f>
        <v>35</v>
      </c>
      <c r="L38">
        <f>INDEX('Energieverbruik in TJ Gemeente'!$B$4:$Q$347,MATCH($C38,'Energieverbruik in TJ Gemeente'!$B$4:$B$347,0),MATCH(L$2,'Energieverbruik in TJ Gemeente'!$B$4:$Q$4,0))</f>
        <v>31</v>
      </c>
      <c r="M38">
        <f>INDEX('Energieverbruik in TJ Gemeente'!$B$4:$Q$347,MATCH($C38,'Energieverbruik in TJ Gemeente'!$B$4:$B$347,0),MATCH(M$2,'Energieverbruik in TJ Gemeente'!$B$4:$Q$4,0))</f>
        <v>34</v>
      </c>
      <c r="N38">
        <f>INDEX('Energieverbruik in TJ Gemeente'!$B$4:$Q$347,MATCH($C38,'Energieverbruik in TJ Gemeente'!$B$4:$B$347,0),MATCH(N$2,'Energieverbruik in TJ Gemeente'!$B$4:$Q$4,0))</f>
        <v>81</v>
      </c>
      <c r="O38">
        <f>INDEX('Energieverbruik in TJ Gemeente'!$B$4:$Q$347,MATCH($C38,'Energieverbruik in TJ Gemeente'!$B$4:$B$347,0),MATCH(O$2,'Energieverbruik in TJ Gemeente'!$B$4:$Q$4,0))</f>
        <v>61</v>
      </c>
      <c r="P38">
        <f>INDEX('Energieverbruik in TJ Gemeente'!$B$4:$Q$347,MATCH($C38,'Energieverbruik in TJ Gemeente'!$B$4:$B$347,0),MATCH(P$2,'Energieverbruik in TJ Gemeente'!$B$4:$Q$4,0))</f>
        <v>64</v>
      </c>
      <c r="Q38">
        <f>INDEX('Energieverbruik in TJ Gemeente'!$B$4:$Q$347,MATCH($C38,'Energieverbruik in TJ Gemeente'!$B$4:$B$347,0),MATCH(Q$2,'Energieverbruik in TJ Gemeente'!$B$4:$Q$4,0))</f>
        <v>50</v>
      </c>
      <c r="R38">
        <f>INDEX('Energieverbruik in TJ Gemeente'!$B$4:$Q$347,MATCH($C38,'Energieverbruik in TJ Gemeente'!$B$4:$B$347,0),MATCH(R$2,'Energieverbruik in TJ Gemeente'!$B$4:$Q$4,0))</f>
        <v>38</v>
      </c>
      <c r="S38" cm="1">
        <f t="array" ref="S38">MAX(_xlfn._xlws.FILTER(D$1:H$1, D38:H38&lt;&gt;"?"))</f>
        <v>2023</v>
      </c>
      <c r="T38" cm="1">
        <f t="array" ref="T38">MAX(_xlfn._xlws.FILTER(I$1:M$1, I38:M38&lt;&gt;"?"))</f>
        <v>2023</v>
      </c>
      <c r="U38" cm="1">
        <f t="array" ref="U38">MAX(_xlfn._xlws.FILTER(F$1:J$1, F38:J38&lt;&gt;"?"))</f>
        <v>2023</v>
      </c>
      <c r="V38">
        <f t="shared" si="0"/>
        <v>533</v>
      </c>
      <c r="W38">
        <f t="shared" si="1"/>
        <v>34</v>
      </c>
      <c r="X38">
        <f t="shared" si="2"/>
        <v>38</v>
      </c>
      <c r="Y38">
        <f t="shared" si="3"/>
        <v>605</v>
      </c>
      <c r="Z38">
        <f t="shared" si="4"/>
        <v>1.0054677502451348E-3</v>
      </c>
    </row>
    <row r="39" spans="1:26" ht="16" x14ac:dyDescent="0.2">
      <c r="A39" s="4" t="s">
        <v>122</v>
      </c>
      <c r="B39" s="4" t="s">
        <v>123</v>
      </c>
      <c r="C39" s="4" t="s">
        <v>124</v>
      </c>
      <c r="D39" t="str">
        <f>INDEX('Energieverbruik in TJ Gemeente'!$B$4:$Q$347,MATCH($C39,'Energieverbruik in TJ Gemeente'!$B$4:$B$347,0),MATCH(D$2,'Energieverbruik in TJ Gemeente'!$B$4:$Q$4,0))</f>
        <v>?</v>
      </c>
      <c r="E39" t="str">
        <f>INDEX('Energieverbruik in TJ Gemeente'!$B$4:$Q$347,MATCH($C39,'Energieverbruik in TJ Gemeente'!$B$4:$B$347,0),MATCH(E$2,'Energieverbruik in TJ Gemeente'!$B$4:$Q$4,0))</f>
        <v>?</v>
      </c>
      <c r="F39">
        <f>INDEX('Energieverbruik in TJ Gemeente'!$B$4:$Q$347,MATCH($C39,'Energieverbruik in TJ Gemeente'!$B$4:$B$347,0),MATCH(F$2,'Energieverbruik in TJ Gemeente'!$B$4:$Q$4,0))</f>
        <v>701</v>
      </c>
      <c r="G39">
        <f>INDEX('Energieverbruik in TJ Gemeente'!$B$4:$Q$347,MATCH($C39,'Energieverbruik in TJ Gemeente'!$B$4:$B$347,0),MATCH(G$2,'Energieverbruik in TJ Gemeente'!$B$4:$Q$4,0))</f>
        <v>615</v>
      </c>
      <c r="H39">
        <f>INDEX('Energieverbruik in TJ Gemeente'!$B$4:$Q$347,MATCH($C39,'Energieverbruik in TJ Gemeente'!$B$4:$B$347,0),MATCH(H$2,'Energieverbruik in TJ Gemeente'!$B$4:$Q$4,0))</f>
        <v>516</v>
      </c>
      <c r="I39">
        <f>INDEX('Energieverbruik in TJ Gemeente'!$B$4:$Q$347,MATCH($C39,'Energieverbruik in TJ Gemeente'!$B$4:$B$347,0),MATCH(I$2,'Energieverbruik in TJ Gemeente'!$B$4:$Q$4,0))</f>
        <v>131</v>
      </c>
      <c r="J39">
        <f>INDEX('Energieverbruik in TJ Gemeente'!$B$4:$Q$347,MATCH($C39,'Energieverbruik in TJ Gemeente'!$B$4:$B$347,0),MATCH(J$2,'Energieverbruik in TJ Gemeente'!$B$4:$Q$4,0))</f>
        <v>137</v>
      </c>
      <c r="K39">
        <f>INDEX('Energieverbruik in TJ Gemeente'!$B$4:$Q$347,MATCH($C39,'Energieverbruik in TJ Gemeente'!$B$4:$B$347,0),MATCH(K$2,'Energieverbruik in TJ Gemeente'!$B$4:$Q$4,0))</f>
        <v>141</v>
      </c>
      <c r="L39">
        <f>INDEX('Energieverbruik in TJ Gemeente'!$B$4:$Q$347,MATCH($C39,'Energieverbruik in TJ Gemeente'!$B$4:$B$347,0),MATCH(L$2,'Energieverbruik in TJ Gemeente'!$B$4:$Q$4,0))</f>
        <v>125</v>
      </c>
      <c r="M39">
        <f>INDEX('Energieverbruik in TJ Gemeente'!$B$4:$Q$347,MATCH($C39,'Energieverbruik in TJ Gemeente'!$B$4:$B$347,0),MATCH(M$2,'Energieverbruik in TJ Gemeente'!$B$4:$Q$4,0))</f>
        <v>121</v>
      </c>
      <c r="N39">
        <f>INDEX('Energieverbruik in TJ Gemeente'!$B$4:$Q$347,MATCH($C39,'Energieverbruik in TJ Gemeente'!$B$4:$B$347,0),MATCH(N$2,'Energieverbruik in TJ Gemeente'!$B$4:$Q$4,0))</f>
        <v>14</v>
      </c>
      <c r="O39">
        <f>INDEX('Energieverbruik in TJ Gemeente'!$B$4:$Q$347,MATCH($C39,'Energieverbruik in TJ Gemeente'!$B$4:$B$347,0),MATCH(O$2,'Energieverbruik in TJ Gemeente'!$B$4:$Q$4,0))</f>
        <v>9</v>
      </c>
      <c r="P39">
        <f>INDEX('Energieverbruik in TJ Gemeente'!$B$4:$Q$347,MATCH($C39,'Energieverbruik in TJ Gemeente'!$B$4:$B$347,0),MATCH(P$2,'Energieverbruik in TJ Gemeente'!$B$4:$Q$4,0))</f>
        <v>10</v>
      </c>
      <c r="Q39">
        <f>INDEX('Energieverbruik in TJ Gemeente'!$B$4:$Q$347,MATCH($C39,'Energieverbruik in TJ Gemeente'!$B$4:$B$347,0),MATCH(Q$2,'Energieverbruik in TJ Gemeente'!$B$4:$Q$4,0))</f>
        <v>8</v>
      </c>
      <c r="R39">
        <f>INDEX('Energieverbruik in TJ Gemeente'!$B$4:$Q$347,MATCH($C39,'Energieverbruik in TJ Gemeente'!$B$4:$B$347,0),MATCH(R$2,'Energieverbruik in TJ Gemeente'!$B$4:$Q$4,0))</f>
        <v>6</v>
      </c>
      <c r="S39" cm="1">
        <f t="array" ref="S39">MAX(_xlfn._xlws.FILTER(D$1:H$1, D39:H39&lt;&gt;"?"))</f>
        <v>2023</v>
      </c>
      <c r="T39" cm="1">
        <f t="array" ref="T39">MAX(_xlfn._xlws.FILTER(I$1:M$1, I39:M39&lt;&gt;"?"))</f>
        <v>2023</v>
      </c>
      <c r="U39" cm="1">
        <f t="array" ref="U39">MAX(_xlfn._xlws.FILTER(F$1:J$1, F39:J39&lt;&gt;"?"))</f>
        <v>2023</v>
      </c>
      <c r="V39">
        <f t="shared" si="0"/>
        <v>516</v>
      </c>
      <c r="W39">
        <f t="shared" si="1"/>
        <v>121</v>
      </c>
      <c r="X39">
        <f t="shared" si="2"/>
        <v>6</v>
      </c>
      <c r="Y39">
        <f t="shared" si="3"/>
        <v>643</v>
      </c>
      <c r="Z39">
        <f t="shared" si="4"/>
        <v>1.0686210965415233E-3</v>
      </c>
    </row>
    <row r="40" spans="1:26" ht="16" x14ac:dyDescent="0.2">
      <c r="A40" s="4" t="s">
        <v>125</v>
      </c>
      <c r="B40" s="4" t="s">
        <v>126</v>
      </c>
      <c r="C40" s="4" t="s">
        <v>127</v>
      </c>
      <c r="D40">
        <f>INDEX('Energieverbruik in TJ Gemeente'!$B$4:$Q$347,MATCH($C40,'Energieverbruik in TJ Gemeente'!$B$4:$B$347,0),MATCH(D$2,'Energieverbruik in TJ Gemeente'!$B$4:$Q$4,0))</f>
        <v>617</v>
      </c>
      <c r="E40">
        <f>INDEX('Energieverbruik in TJ Gemeente'!$B$4:$Q$347,MATCH($C40,'Energieverbruik in TJ Gemeente'!$B$4:$B$347,0),MATCH(E$2,'Energieverbruik in TJ Gemeente'!$B$4:$Q$4,0))</f>
        <v>571</v>
      </c>
      <c r="F40">
        <f>INDEX('Energieverbruik in TJ Gemeente'!$B$4:$Q$347,MATCH($C40,'Energieverbruik in TJ Gemeente'!$B$4:$B$347,0),MATCH(F$2,'Energieverbruik in TJ Gemeente'!$B$4:$Q$4,0))</f>
        <v>602</v>
      </c>
      <c r="G40">
        <f>INDEX('Energieverbruik in TJ Gemeente'!$B$4:$Q$347,MATCH($C40,'Energieverbruik in TJ Gemeente'!$B$4:$B$347,0),MATCH(G$2,'Energieverbruik in TJ Gemeente'!$B$4:$Q$4,0))</f>
        <v>508</v>
      </c>
      <c r="H40">
        <f>INDEX('Energieverbruik in TJ Gemeente'!$B$4:$Q$347,MATCH($C40,'Energieverbruik in TJ Gemeente'!$B$4:$B$347,0),MATCH(H$2,'Energieverbruik in TJ Gemeente'!$B$4:$Q$4,0))</f>
        <v>413</v>
      </c>
      <c r="I40" t="str">
        <f>INDEX('Energieverbruik in TJ Gemeente'!$B$4:$Q$347,MATCH($C40,'Energieverbruik in TJ Gemeente'!$B$4:$B$347,0),MATCH(I$2,'Energieverbruik in TJ Gemeente'!$B$4:$Q$4,0))</f>
        <v>?</v>
      </c>
      <c r="J40" t="str">
        <f>INDEX('Energieverbruik in TJ Gemeente'!$B$4:$Q$347,MATCH($C40,'Energieverbruik in TJ Gemeente'!$B$4:$B$347,0),MATCH(J$2,'Energieverbruik in TJ Gemeente'!$B$4:$Q$4,0))</f>
        <v>?</v>
      </c>
      <c r="K40" t="str">
        <f>INDEX('Energieverbruik in TJ Gemeente'!$B$4:$Q$347,MATCH($C40,'Energieverbruik in TJ Gemeente'!$B$4:$B$347,0),MATCH(K$2,'Energieverbruik in TJ Gemeente'!$B$4:$Q$4,0))</f>
        <v>?</v>
      </c>
      <c r="L40" t="str">
        <f>INDEX('Energieverbruik in TJ Gemeente'!$B$4:$Q$347,MATCH($C40,'Energieverbruik in TJ Gemeente'!$B$4:$B$347,0),MATCH(L$2,'Energieverbruik in TJ Gemeente'!$B$4:$Q$4,0))</f>
        <v>?</v>
      </c>
      <c r="M40">
        <f>INDEX('Energieverbruik in TJ Gemeente'!$B$4:$Q$347,MATCH($C40,'Energieverbruik in TJ Gemeente'!$B$4:$B$347,0),MATCH(M$2,'Energieverbruik in TJ Gemeente'!$B$4:$Q$4,0))</f>
        <v>210</v>
      </c>
      <c r="N40">
        <f>INDEX('Energieverbruik in TJ Gemeente'!$B$4:$Q$347,MATCH($C40,'Energieverbruik in TJ Gemeente'!$B$4:$B$347,0),MATCH(N$2,'Energieverbruik in TJ Gemeente'!$B$4:$Q$4,0))</f>
        <v>31</v>
      </c>
      <c r="O40">
        <f>INDEX('Energieverbruik in TJ Gemeente'!$B$4:$Q$347,MATCH($C40,'Energieverbruik in TJ Gemeente'!$B$4:$B$347,0),MATCH(O$2,'Energieverbruik in TJ Gemeente'!$B$4:$Q$4,0))</f>
        <v>25</v>
      </c>
      <c r="P40">
        <f>INDEX('Energieverbruik in TJ Gemeente'!$B$4:$Q$347,MATCH($C40,'Energieverbruik in TJ Gemeente'!$B$4:$B$347,0),MATCH(P$2,'Energieverbruik in TJ Gemeente'!$B$4:$Q$4,0))</f>
        <v>27</v>
      </c>
      <c r="Q40">
        <f>INDEX('Energieverbruik in TJ Gemeente'!$B$4:$Q$347,MATCH($C40,'Energieverbruik in TJ Gemeente'!$B$4:$B$347,0),MATCH(Q$2,'Energieverbruik in TJ Gemeente'!$B$4:$Q$4,0))</f>
        <v>10</v>
      </c>
      <c r="R40">
        <f>INDEX('Energieverbruik in TJ Gemeente'!$B$4:$Q$347,MATCH($C40,'Energieverbruik in TJ Gemeente'!$B$4:$B$347,0),MATCH(R$2,'Energieverbruik in TJ Gemeente'!$B$4:$Q$4,0))</f>
        <v>7</v>
      </c>
      <c r="S40" cm="1">
        <f t="array" ref="S40">MAX(_xlfn._xlws.FILTER(D$1:H$1, D40:H40&lt;&gt;"?"))</f>
        <v>2023</v>
      </c>
      <c r="T40" cm="1">
        <f t="array" ref="T40">MAX(_xlfn._xlws.FILTER(I$1:M$1, I40:M40&lt;&gt;"?"))</f>
        <v>2023</v>
      </c>
      <c r="U40" cm="1">
        <f t="array" ref="U40">MAX(_xlfn._xlws.FILTER(F$1:J$1, F40:J40&lt;&gt;"?"))</f>
        <v>2023</v>
      </c>
      <c r="V40">
        <f t="shared" si="0"/>
        <v>413</v>
      </c>
      <c r="W40">
        <f t="shared" si="1"/>
        <v>210</v>
      </c>
      <c r="X40">
        <f t="shared" si="2"/>
        <v>7</v>
      </c>
      <c r="Y40">
        <f t="shared" si="3"/>
        <v>630</v>
      </c>
      <c r="Z40">
        <f t="shared" si="4"/>
        <v>1.0470160043874956E-3</v>
      </c>
    </row>
    <row r="41" spans="1:26" ht="16" x14ac:dyDescent="0.2">
      <c r="A41" s="4" t="s">
        <v>128</v>
      </c>
      <c r="B41" s="4" t="s">
        <v>129</v>
      </c>
      <c r="C41" s="4" t="s">
        <v>130</v>
      </c>
      <c r="D41">
        <f>INDEX('Energieverbruik in TJ Gemeente'!$B$4:$Q$347,MATCH($C41,'Energieverbruik in TJ Gemeente'!$B$4:$B$347,0),MATCH(D$2,'Energieverbruik in TJ Gemeente'!$B$4:$Q$4,0))</f>
        <v>1053</v>
      </c>
      <c r="E41">
        <f>INDEX('Energieverbruik in TJ Gemeente'!$B$4:$Q$347,MATCH($C41,'Energieverbruik in TJ Gemeente'!$B$4:$B$347,0),MATCH(E$2,'Energieverbruik in TJ Gemeente'!$B$4:$Q$4,0))</f>
        <v>1030</v>
      </c>
      <c r="F41">
        <f>INDEX('Energieverbruik in TJ Gemeente'!$B$4:$Q$347,MATCH($C41,'Energieverbruik in TJ Gemeente'!$B$4:$B$347,0),MATCH(F$2,'Energieverbruik in TJ Gemeente'!$B$4:$Q$4,0))</f>
        <v>1008</v>
      </c>
      <c r="G41">
        <f>INDEX('Energieverbruik in TJ Gemeente'!$B$4:$Q$347,MATCH($C41,'Energieverbruik in TJ Gemeente'!$B$4:$B$347,0),MATCH(G$2,'Energieverbruik in TJ Gemeente'!$B$4:$Q$4,0))</f>
        <v>886</v>
      </c>
      <c r="H41">
        <f>INDEX('Energieverbruik in TJ Gemeente'!$B$4:$Q$347,MATCH($C41,'Energieverbruik in TJ Gemeente'!$B$4:$B$347,0),MATCH(H$2,'Energieverbruik in TJ Gemeente'!$B$4:$Q$4,0))</f>
        <v>772</v>
      </c>
      <c r="I41" t="str">
        <f>INDEX('Energieverbruik in TJ Gemeente'!$B$4:$Q$347,MATCH($C41,'Energieverbruik in TJ Gemeente'!$B$4:$B$347,0),MATCH(I$2,'Energieverbruik in TJ Gemeente'!$B$4:$Q$4,0))</f>
        <v>?</v>
      </c>
      <c r="J41" t="str">
        <f>INDEX('Energieverbruik in TJ Gemeente'!$B$4:$Q$347,MATCH($C41,'Energieverbruik in TJ Gemeente'!$B$4:$B$347,0),MATCH(J$2,'Energieverbruik in TJ Gemeente'!$B$4:$Q$4,0))</f>
        <v>?</v>
      </c>
      <c r="K41" t="str">
        <f>INDEX('Energieverbruik in TJ Gemeente'!$B$4:$Q$347,MATCH($C41,'Energieverbruik in TJ Gemeente'!$B$4:$B$347,0),MATCH(K$2,'Energieverbruik in TJ Gemeente'!$B$4:$Q$4,0))</f>
        <v>?</v>
      </c>
      <c r="L41" t="str">
        <f>INDEX('Energieverbruik in TJ Gemeente'!$B$4:$Q$347,MATCH($C41,'Energieverbruik in TJ Gemeente'!$B$4:$B$347,0),MATCH(L$2,'Energieverbruik in TJ Gemeente'!$B$4:$Q$4,0))</f>
        <v>?</v>
      </c>
      <c r="M41" t="str">
        <f>INDEX('Energieverbruik in TJ Gemeente'!$B$4:$Q$347,MATCH($C41,'Energieverbruik in TJ Gemeente'!$B$4:$B$347,0),MATCH(M$2,'Energieverbruik in TJ Gemeente'!$B$4:$Q$4,0))</f>
        <v>?</v>
      </c>
      <c r="N41" t="str">
        <f>INDEX('Energieverbruik in TJ Gemeente'!$B$4:$Q$347,MATCH($C41,'Energieverbruik in TJ Gemeente'!$B$4:$B$347,0),MATCH(N$2,'Energieverbruik in TJ Gemeente'!$B$4:$Q$4,0))</f>
        <v>?</v>
      </c>
      <c r="O41" t="str">
        <f>INDEX('Energieverbruik in TJ Gemeente'!$B$4:$Q$347,MATCH($C41,'Energieverbruik in TJ Gemeente'!$B$4:$B$347,0),MATCH(O$2,'Energieverbruik in TJ Gemeente'!$B$4:$Q$4,0))</f>
        <v>?</v>
      </c>
      <c r="P41">
        <f>INDEX('Energieverbruik in TJ Gemeente'!$B$4:$Q$347,MATCH($C41,'Energieverbruik in TJ Gemeente'!$B$4:$B$347,0),MATCH(P$2,'Energieverbruik in TJ Gemeente'!$B$4:$Q$4,0))</f>
        <v>2</v>
      </c>
      <c r="Q41">
        <f>INDEX('Energieverbruik in TJ Gemeente'!$B$4:$Q$347,MATCH($C41,'Energieverbruik in TJ Gemeente'!$B$4:$B$347,0),MATCH(Q$2,'Energieverbruik in TJ Gemeente'!$B$4:$Q$4,0))</f>
        <v>1</v>
      </c>
      <c r="R41">
        <f>INDEX('Energieverbruik in TJ Gemeente'!$B$4:$Q$347,MATCH($C41,'Energieverbruik in TJ Gemeente'!$B$4:$B$347,0),MATCH(R$2,'Energieverbruik in TJ Gemeente'!$B$4:$Q$4,0))</f>
        <v>1</v>
      </c>
      <c r="S41" cm="1">
        <f t="array" ref="S41">MAX(_xlfn._xlws.FILTER(D$1:H$1, D41:H41&lt;&gt;"?"))</f>
        <v>2023</v>
      </c>
      <c r="T41" t="e" cm="1" vm="1">
        <f t="array" ref="T41">MAX(_xlfn._xlws.FILTER(I$1:M$1, I41:M41&lt;&gt;"?"))</f>
        <v>#VALUE!</v>
      </c>
      <c r="U41" cm="1">
        <f t="array" ref="U41">MAX(_xlfn._xlws.FILTER(F$1:J$1, F41:J41&lt;&gt;"?"))</f>
        <v>2023</v>
      </c>
      <c r="V41">
        <f t="shared" si="0"/>
        <v>772</v>
      </c>
      <c r="W41">
        <f t="shared" si="1"/>
        <v>0</v>
      </c>
      <c r="X41">
        <f t="shared" si="2"/>
        <v>1</v>
      </c>
      <c r="Y41">
        <f t="shared" si="3"/>
        <v>773</v>
      </c>
      <c r="Z41">
        <f t="shared" si="4"/>
        <v>1.2846720180818001E-3</v>
      </c>
    </row>
    <row r="42" spans="1:26" ht="16" x14ac:dyDescent="0.2">
      <c r="A42" s="4" t="s">
        <v>134</v>
      </c>
      <c r="B42" s="4" t="s">
        <v>135</v>
      </c>
      <c r="C42" s="4" t="s">
        <v>136</v>
      </c>
      <c r="D42">
        <f>INDEX('Energieverbruik in TJ Gemeente'!$B$4:$Q$347,MATCH($C42,'Energieverbruik in TJ Gemeente'!$B$4:$B$347,0),MATCH(D$2,'Energieverbruik in TJ Gemeente'!$B$4:$Q$4,0))</f>
        <v>571</v>
      </c>
      <c r="E42">
        <f>INDEX('Energieverbruik in TJ Gemeente'!$B$4:$Q$347,MATCH($C42,'Energieverbruik in TJ Gemeente'!$B$4:$B$347,0),MATCH(E$2,'Energieverbruik in TJ Gemeente'!$B$4:$Q$4,0))</f>
        <v>557</v>
      </c>
      <c r="F42">
        <f>INDEX('Energieverbruik in TJ Gemeente'!$B$4:$Q$347,MATCH($C42,'Energieverbruik in TJ Gemeente'!$B$4:$B$347,0),MATCH(F$2,'Energieverbruik in TJ Gemeente'!$B$4:$Q$4,0))</f>
        <v>565</v>
      </c>
      <c r="G42">
        <f>INDEX('Energieverbruik in TJ Gemeente'!$B$4:$Q$347,MATCH($C42,'Energieverbruik in TJ Gemeente'!$B$4:$B$347,0),MATCH(G$2,'Energieverbruik in TJ Gemeente'!$B$4:$Q$4,0))</f>
        <v>505</v>
      </c>
      <c r="H42">
        <f>INDEX('Energieverbruik in TJ Gemeente'!$B$4:$Q$347,MATCH($C42,'Energieverbruik in TJ Gemeente'!$B$4:$B$347,0),MATCH(H$2,'Energieverbruik in TJ Gemeente'!$B$4:$Q$4,0))</f>
        <v>427</v>
      </c>
      <c r="I42">
        <f>INDEX('Energieverbruik in TJ Gemeente'!$B$4:$Q$347,MATCH($C42,'Energieverbruik in TJ Gemeente'!$B$4:$B$347,0),MATCH(I$2,'Energieverbruik in TJ Gemeente'!$B$4:$Q$4,0))</f>
        <v>124</v>
      </c>
      <c r="J42">
        <f>INDEX('Energieverbruik in TJ Gemeente'!$B$4:$Q$347,MATCH($C42,'Energieverbruik in TJ Gemeente'!$B$4:$B$347,0),MATCH(J$2,'Energieverbruik in TJ Gemeente'!$B$4:$Q$4,0))</f>
        <v>113</v>
      </c>
      <c r="K42">
        <f>INDEX('Energieverbruik in TJ Gemeente'!$B$4:$Q$347,MATCH($C42,'Energieverbruik in TJ Gemeente'!$B$4:$B$347,0),MATCH(K$2,'Energieverbruik in TJ Gemeente'!$B$4:$Q$4,0))</f>
        <v>127</v>
      </c>
      <c r="L42">
        <f>INDEX('Energieverbruik in TJ Gemeente'!$B$4:$Q$347,MATCH($C42,'Energieverbruik in TJ Gemeente'!$B$4:$B$347,0),MATCH(L$2,'Energieverbruik in TJ Gemeente'!$B$4:$Q$4,0))</f>
        <v>105</v>
      </c>
      <c r="M42">
        <f>INDEX('Energieverbruik in TJ Gemeente'!$B$4:$Q$347,MATCH($C42,'Energieverbruik in TJ Gemeente'!$B$4:$B$347,0),MATCH(M$2,'Energieverbruik in TJ Gemeente'!$B$4:$Q$4,0))</f>
        <v>100</v>
      </c>
      <c r="N42">
        <f>INDEX('Energieverbruik in TJ Gemeente'!$B$4:$Q$347,MATCH($C42,'Energieverbruik in TJ Gemeente'!$B$4:$B$347,0),MATCH(N$2,'Energieverbruik in TJ Gemeente'!$B$4:$Q$4,0))</f>
        <v>35</v>
      </c>
      <c r="O42">
        <f>INDEX('Energieverbruik in TJ Gemeente'!$B$4:$Q$347,MATCH($C42,'Energieverbruik in TJ Gemeente'!$B$4:$B$347,0),MATCH(O$2,'Energieverbruik in TJ Gemeente'!$B$4:$Q$4,0))</f>
        <v>26</v>
      </c>
      <c r="P42">
        <f>INDEX('Energieverbruik in TJ Gemeente'!$B$4:$Q$347,MATCH($C42,'Energieverbruik in TJ Gemeente'!$B$4:$B$347,0),MATCH(P$2,'Energieverbruik in TJ Gemeente'!$B$4:$Q$4,0))</f>
        <v>29</v>
      </c>
      <c r="Q42">
        <f>INDEX('Energieverbruik in TJ Gemeente'!$B$4:$Q$347,MATCH($C42,'Energieverbruik in TJ Gemeente'!$B$4:$B$347,0),MATCH(Q$2,'Energieverbruik in TJ Gemeente'!$B$4:$Q$4,0))</f>
        <v>21</v>
      </c>
      <c r="R42">
        <f>INDEX('Energieverbruik in TJ Gemeente'!$B$4:$Q$347,MATCH($C42,'Energieverbruik in TJ Gemeente'!$B$4:$B$347,0),MATCH(R$2,'Energieverbruik in TJ Gemeente'!$B$4:$Q$4,0))</f>
        <v>18</v>
      </c>
      <c r="S42" cm="1">
        <f t="array" ref="S42">MAX(_xlfn._xlws.FILTER(D$1:H$1, D42:H42&lt;&gt;"?"))</f>
        <v>2023</v>
      </c>
      <c r="T42" cm="1">
        <f t="array" ref="T42">MAX(_xlfn._xlws.FILTER(I$1:M$1, I42:M42&lt;&gt;"?"))</f>
        <v>2023</v>
      </c>
      <c r="U42" cm="1">
        <f t="array" ref="U42">MAX(_xlfn._xlws.FILTER(F$1:J$1, F42:J42&lt;&gt;"?"))</f>
        <v>2023</v>
      </c>
      <c r="V42">
        <f t="shared" si="0"/>
        <v>427</v>
      </c>
      <c r="W42">
        <f t="shared" si="1"/>
        <v>100</v>
      </c>
      <c r="X42">
        <f t="shared" si="2"/>
        <v>18</v>
      </c>
      <c r="Y42">
        <f t="shared" si="3"/>
        <v>545</v>
      </c>
      <c r="Z42">
        <f t="shared" si="4"/>
        <v>9.0575194030346844E-4</v>
      </c>
    </row>
    <row r="43" spans="1:26" ht="16" x14ac:dyDescent="0.2">
      <c r="A43" s="4" t="s">
        <v>137</v>
      </c>
      <c r="B43" s="4" t="s">
        <v>138</v>
      </c>
      <c r="C43" s="4" t="s">
        <v>139</v>
      </c>
      <c r="D43">
        <f>INDEX('Energieverbruik in TJ Gemeente'!$B$4:$Q$347,MATCH($C43,'Energieverbruik in TJ Gemeente'!$B$4:$B$347,0),MATCH(D$2,'Energieverbruik in TJ Gemeente'!$B$4:$Q$4,0))</f>
        <v>412</v>
      </c>
      <c r="E43">
        <f>INDEX('Energieverbruik in TJ Gemeente'!$B$4:$Q$347,MATCH($C43,'Energieverbruik in TJ Gemeente'!$B$4:$B$347,0),MATCH(E$2,'Energieverbruik in TJ Gemeente'!$B$4:$Q$4,0))</f>
        <v>363</v>
      </c>
      <c r="F43">
        <f>INDEX('Energieverbruik in TJ Gemeente'!$B$4:$Q$347,MATCH($C43,'Energieverbruik in TJ Gemeente'!$B$4:$B$347,0),MATCH(F$2,'Energieverbruik in TJ Gemeente'!$B$4:$Q$4,0))</f>
        <v>323</v>
      </c>
      <c r="G43">
        <f>INDEX('Energieverbruik in TJ Gemeente'!$B$4:$Q$347,MATCH($C43,'Energieverbruik in TJ Gemeente'!$B$4:$B$347,0),MATCH(G$2,'Energieverbruik in TJ Gemeente'!$B$4:$Q$4,0))</f>
        <v>286</v>
      </c>
      <c r="H43">
        <f>INDEX('Energieverbruik in TJ Gemeente'!$B$4:$Q$347,MATCH($C43,'Energieverbruik in TJ Gemeente'!$B$4:$B$347,0),MATCH(H$2,'Energieverbruik in TJ Gemeente'!$B$4:$Q$4,0))</f>
        <v>242</v>
      </c>
      <c r="I43">
        <f>INDEX('Energieverbruik in TJ Gemeente'!$B$4:$Q$347,MATCH($C43,'Energieverbruik in TJ Gemeente'!$B$4:$B$347,0),MATCH(I$2,'Energieverbruik in TJ Gemeente'!$B$4:$Q$4,0))</f>
        <v>5</v>
      </c>
      <c r="J43">
        <f>INDEX('Energieverbruik in TJ Gemeente'!$B$4:$Q$347,MATCH($C43,'Energieverbruik in TJ Gemeente'!$B$4:$B$347,0),MATCH(J$2,'Energieverbruik in TJ Gemeente'!$B$4:$Q$4,0))</f>
        <v>4</v>
      </c>
      <c r="K43">
        <f>INDEX('Energieverbruik in TJ Gemeente'!$B$4:$Q$347,MATCH($C43,'Energieverbruik in TJ Gemeente'!$B$4:$B$347,0),MATCH(K$2,'Energieverbruik in TJ Gemeente'!$B$4:$Q$4,0))</f>
        <v>4</v>
      </c>
      <c r="L43">
        <f>INDEX('Energieverbruik in TJ Gemeente'!$B$4:$Q$347,MATCH($C43,'Energieverbruik in TJ Gemeente'!$B$4:$B$347,0),MATCH(L$2,'Energieverbruik in TJ Gemeente'!$B$4:$Q$4,0))</f>
        <v>4</v>
      </c>
      <c r="M43">
        <f>INDEX('Energieverbruik in TJ Gemeente'!$B$4:$Q$347,MATCH($C43,'Energieverbruik in TJ Gemeente'!$B$4:$B$347,0),MATCH(M$2,'Energieverbruik in TJ Gemeente'!$B$4:$Q$4,0))</f>
        <v>3</v>
      </c>
      <c r="N43">
        <f>INDEX('Energieverbruik in TJ Gemeente'!$B$4:$Q$347,MATCH($C43,'Energieverbruik in TJ Gemeente'!$B$4:$B$347,0),MATCH(N$2,'Energieverbruik in TJ Gemeente'!$B$4:$Q$4,0))</f>
        <v>4</v>
      </c>
      <c r="O43">
        <f>INDEX('Energieverbruik in TJ Gemeente'!$B$4:$Q$347,MATCH($C43,'Energieverbruik in TJ Gemeente'!$B$4:$B$347,0),MATCH(O$2,'Energieverbruik in TJ Gemeente'!$B$4:$Q$4,0))</f>
        <v>3</v>
      </c>
      <c r="P43">
        <f>INDEX('Energieverbruik in TJ Gemeente'!$B$4:$Q$347,MATCH($C43,'Energieverbruik in TJ Gemeente'!$B$4:$B$347,0),MATCH(P$2,'Energieverbruik in TJ Gemeente'!$B$4:$Q$4,0))</f>
        <v>3</v>
      </c>
      <c r="Q43">
        <f>INDEX('Energieverbruik in TJ Gemeente'!$B$4:$Q$347,MATCH($C43,'Energieverbruik in TJ Gemeente'!$B$4:$B$347,0),MATCH(Q$2,'Energieverbruik in TJ Gemeente'!$B$4:$Q$4,0))</f>
        <v>3</v>
      </c>
      <c r="R43">
        <f>INDEX('Energieverbruik in TJ Gemeente'!$B$4:$Q$347,MATCH($C43,'Energieverbruik in TJ Gemeente'!$B$4:$B$347,0),MATCH(R$2,'Energieverbruik in TJ Gemeente'!$B$4:$Q$4,0))</f>
        <v>2</v>
      </c>
      <c r="S43" cm="1">
        <f t="array" ref="S43">MAX(_xlfn._xlws.FILTER(D$1:H$1, D43:H43&lt;&gt;"?"))</f>
        <v>2023</v>
      </c>
      <c r="T43" cm="1">
        <f t="array" ref="T43">MAX(_xlfn._xlws.FILTER(I$1:M$1, I43:M43&lt;&gt;"?"))</f>
        <v>2023</v>
      </c>
      <c r="U43" cm="1">
        <f t="array" ref="U43">MAX(_xlfn._xlws.FILTER(F$1:J$1, F43:J43&lt;&gt;"?"))</f>
        <v>2023</v>
      </c>
      <c r="V43">
        <f t="shared" si="0"/>
        <v>242</v>
      </c>
      <c r="W43">
        <f t="shared" si="1"/>
        <v>3</v>
      </c>
      <c r="X43">
        <f t="shared" si="2"/>
        <v>2</v>
      </c>
      <c r="Y43">
        <f t="shared" si="3"/>
        <v>247</v>
      </c>
      <c r="Z43">
        <f t="shared" si="4"/>
        <v>4.1049675092652609E-4</v>
      </c>
    </row>
    <row r="44" spans="1:26" ht="32" x14ac:dyDescent="0.2">
      <c r="A44" s="4" t="s">
        <v>140</v>
      </c>
      <c r="B44" s="4" t="s">
        <v>141</v>
      </c>
      <c r="C44" s="4" t="s">
        <v>142</v>
      </c>
      <c r="D44">
        <f>INDEX('Energieverbruik in TJ Gemeente'!$B$4:$Q$347,MATCH($C44,'Energieverbruik in TJ Gemeente'!$B$4:$B$347,0),MATCH(D$2,'Energieverbruik in TJ Gemeente'!$B$4:$Q$4,0))</f>
        <v>794</v>
      </c>
      <c r="E44">
        <f>INDEX('Energieverbruik in TJ Gemeente'!$B$4:$Q$347,MATCH($C44,'Energieverbruik in TJ Gemeente'!$B$4:$B$347,0),MATCH(E$2,'Energieverbruik in TJ Gemeente'!$B$4:$Q$4,0))</f>
        <v>740</v>
      </c>
      <c r="F44">
        <f>INDEX('Energieverbruik in TJ Gemeente'!$B$4:$Q$347,MATCH($C44,'Energieverbruik in TJ Gemeente'!$B$4:$B$347,0),MATCH(F$2,'Energieverbruik in TJ Gemeente'!$B$4:$Q$4,0))</f>
        <v>758</v>
      </c>
      <c r="G44">
        <f>INDEX('Energieverbruik in TJ Gemeente'!$B$4:$Q$347,MATCH($C44,'Energieverbruik in TJ Gemeente'!$B$4:$B$347,0),MATCH(G$2,'Energieverbruik in TJ Gemeente'!$B$4:$Q$4,0))</f>
        <v>661</v>
      </c>
      <c r="H44">
        <f>INDEX('Energieverbruik in TJ Gemeente'!$B$4:$Q$347,MATCH($C44,'Energieverbruik in TJ Gemeente'!$B$4:$B$347,0),MATCH(H$2,'Energieverbruik in TJ Gemeente'!$B$4:$Q$4,0))</f>
        <v>558</v>
      </c>
      <c r="I44">
        <f>INDEX('Energieverbruik in TJ Gemeente'!$B$4:$Q$347,MATCH($C44,'Energieverbruik in TJ Gemeente'!$B$4:$B$347,0),MATCH(I$2,'Energieverbruik in TJ Gemeente'!$B$4:$Q$4,0))</f>
        <v>8</v>
      </c>
      <c r="J44">
        <f>INDEX('Energieverbruik in TJ Gemeente'!$B$4:$Q$347,MATCH($C44,'Energieverbruik in TJ Gemeente'!$B$4:$B$347,0),MATCH(J$2,'Energieverbruik in TJ Gemeente'!$B$4:$Q$4,0))</f>
        <v>5</v>
      </c>
      <c r="K44">
        <f>INDEX('Energieverbruik in TJ Gemeente'!$B$4:$Q$347,MATCH($C44,'Energieverbruik in TJ Gemeente'!$B$4:$B$347,0),MATCH(K$2,'Energieverbruik in TJ Gemeente'!$B$4:$Q$4,0))</f>
        <v>6</v>
      </c>
      <c r="L44">
        <f>INDEX('Energieverbruik in TJ Gemeente'!$B$4:$Q$347,MATCH($C44,'Energieverbruik in TJ Gemeente'!$B$4:$B$347,0),MATCH(L$2,'Energieverbruik in TJ Gemeente'!$B$4:$Q$4,0))</f>
        <v>5</v>
      </c>
      <c r="M44">
        <f>INDEX('Energieverbruik in TJ Gemeente'!$B$4:$Q$347,MATCH($C44,'Energieverbruik in TJ Gemeente'!$B$4:$B$347,0),MATCH(M$2,'Energieverbruik in TJ Gemeente'!$B$4:$Q$4,0))</f>
        <v>3</v>
      </c>
      <c r="N44">
        <f>INDEX('Energieverbruik in TJ Gemeente'!$B$4:$Q$347,MATCH($C44,'Energieverbruik in TJ Gemeente'!$B$4:$B$347,0),MATCH(N$2,'Energieverbruik in TJ Gemeente'!$B$4:$Q$4,0))</f>
        <v>2</v>
      </c>
      <c r="O44">
        <f>INDEX('Energieverbruik in TJ Gemeente'!$B$4:$Q$347,MATCH($C44,'Energieverbruik in TJ Gemeente'!$B$4:$B$347,0),MATCH(O$2,'Energieverbruik in TJ Gemeente'!$B$4:$Q$4,0))</f>
        <v>2</v>
      </c>
      <c r="P44">
        <f>INDEX('Energieverbruik in TJ Gemeente'!$B$4:$Q$347,MATCH($C44,'Energieverbruik in TJ Gemeente'!$B$4:$B$347,0),MATCH(P$2,'Energieverbruik in TJ Gemeente'!$B$4:$Q$4,0))</f>
        <v>3</v>
      </c>
      <c r="Q44">
        <f>INDEX('Energieverbruik in TJ Gemeente'!$B$4:$Q$347,MATCH($C44,'Energieverbruik in TJ Gemeente'!$B$4:$B$347,0),MATCH(Q$2,'Energieverbruik in TJ Gemeente'!$B$4:$Q$4,0))</f>
        <v>2</v>
      </c>
      <c r="R44" t="str">
        <f>INDEX('Energieverbruik in TJ Gemeente'!$B$4:$Q$347,MATCH($C44,'Energieverbruik in TJ Gemeente'!$B$4:$B$347,0),MATCH(R$2,'Energieverbruik in TJ Gemeente'!$B$4:$Q$4,0))</f>
        <v>?</v>
      </c>
      <c r="S44" cm="1">
        <f t="array" ref="S44">MAX(_xlfn._xlws.FILTER(D$1:H$1, D44:H44&lt;&gt;"?"))</f>
        <v>2023</v>
      </c>
      <c r="T44" cm="1">
        <f t="array" ref="T44">MAX(_xlfn._xlws.FILTER(I$1:M$1, I44:M44&lt;&gt;"?"))</f>
        <v>2023</v>
      </c>
      <c r="U44" cm="1">
        <f t="array" ref="U44">MAX(_xlfn._xlws.FILTER(F$1:J$1, F44:J44&lt;&gt;"?"))</f>
        <v>2023</v>
      </c>
      <c r="V44">
        <f t="shared" si="0"/>
        <v>558</v>
      </c>
      <c r="W44">
        <f t="shared" si="1"/>
        <v>3</v>
      </c>
      <c r="X44" t="str">
        <f t="shared" si="2"/>
        <v>?</v>
      </c>
      <c r="Y44">
        <f t="shared" si="3"/>
        <v>561</v>
      </c>
      <c r="Z44">
        <f t="shared" si="4"/>
        <v>9.3234282295457944E-4</v>
      </c>
    </row>
    <row r="45" spans="1:26" ht="32" x14ac:dyDescent="0.2">
      <c r="A45" s="4" t="s">
        <v>143</v>
      </c>
      <c r="B45" s="4" t="s">
        <v>144</v>
      </c>
      <c r="C45" s="4" t="s">
        <v>145</v>
      </c>
      <c r="D45">
        <f>INDEX('Energieverbruik in TJ Gemeente'!$B$4:$Q$347,MATCH($C45,'Energieverbruik in TJ Gemeente'!$B$4:$B$347,0),MATCH(D$2,'Energieverbruik in TJ Gemeente'!$B$4:$Q$4,0))</f>
        <v>814</v>
      </c>
      <c r="E45">
        <f>INDEX('Energieverbruik in TJ Gemeente'!$B$4:$Q$347,MATCH($C45,'Energieverbruik in TJ Gemeente'!$B$4:$B$347,0),MATCH(E$2,'Energieverbruik in TJ Gemeente'!$B$4:$Q$4,0))</f>
        <v>747</v>
      </c>
      <c r="F45">
        <f>INDEX('Energieverbruik in TJ Gemeente'!$B$4:$Q$347,MATCH($C45,'Energieverbruik in TJ Gemeente'!$B$4:$B$347,0),MATCH(F$2,'Energieverbruik in TJ Gemeente'!$B$4:$Q$4,0))</f>
        <v>747</v>
      </c>
      <c r="G45">
        <f>INDEX('Energieverbruik in TJ Gemeente'!$B$4:$Q$347,MATCH($C45,'Energieverbruik in TJ Gemeente'!$B$4:$B$347,0),MATCH(G$2,'Energieverbruik in TJ Gemeente'!$B$4:$Q$4,0))</f>
        <v>639</v>
      </c>
      <c r="H45">
        <f>INDEX('Energieverbruik in TJ Gemeente'!$B$4:$Q$347,MATCH($C45,'Energieverbruik in TJ Gemeente'!$B$4:$B$347,0),MATCH(H$2,'Energieverbruik in TJ Gemeente'!$B$4:$Q$4,0))</f>
        <v>534</v>
      </c>
      <c r="I45">
        <f>INDEX('Energieverbruik in TJ Gemeente'!$B$4:$Q$347,MATCH($C45,'Energieverbruik in TJ Gemeente'!$B$4:$B$347,0),MATCH(I$2,'Energieverbruik in TJ Gemeente'!$B$4:$Q$4,0))</f>
        <v>123</v>
      </c>
      <c r="J45">
        <f>INDEX('Energieverbruik in TJ Gemeente'!$B$4:$Q$347,MATCH($C45,'Energieverbruik in TJ Gemeente'!$B$4:$B$347,0),MATCH(J$2,'Energieverbruik in TJ Gemeente'!$B$4:$Q$4,0))</f>
        <v>115</v>
      </c>
      <c r="K45">
        <f>INDEX('Energieverbruik in TJ Gemeente'!$B$4:$Q$347,MATCH($C45,'Energieverbruik in TJ Gemeente'!$B$4:$B$347,0),MATCH(K$2,'Energieverbruik in TJ Gemeente'!$B$4:$Q$4,0))</f>
        <v>117</v>
      </c>
      <c r="L45">
        <f>INDEX('Energieverbruik in TJ Gemeente'!$B$4:$Q$347,MATCH($C45,'Energieverbruik in TJ Gemeente'!$B$4:$B$347,0),MATCH(L$2,'Energieverbruik in TJ Gemeente'!$B$4:$Q$4,0))</f>
        <v>115</v>
      </c>
      <c r="M45">
        <f>INDEX('Energieverbruik in TJ Gemeente'!$B$4:$Q$347,MATCH($C45,'Energieverbruik in TJ Gemeente'!$B$4:$B$347,0),MATCH(M$2,'Energieverbruik in TJ Gemeente'!$B$4:$Q$4,0))</f>
        <v>113</v>
      </c>
      <c r="N45">
        <f>INDEX('Energieverbruik in TJ Gemeente'!$B$4:$Q$347,MATCH($C45,'Energieverbruik in TJ Gemeente'!$B$4:$B$347,0),MATCH(N$2,'Energieverbruik in TJ Gemeente'!$B$4:$Q$4,0))</f>
        <v>22</v>
      </c>
      <c r="O45">
        <f>INDEX('Energieverbruik in TJ Gemeente'!$B$4:$Q$347,MATCH($C45,'Energieverbruik in TJ Gemeente'!$B$4:$B$347,0),MATCH(O$2,'Energieverbruik in TJ Gemeente'!$B$4:$Q$4,0))</f>
        <v>18</v>
      </c>
      <c r="P45">
        <f>INDEX('Energieverbruik in TJ Gemeente'!$B$4:$Q$347,MATCH($C45,'Energieverbruik in TJ Gemeente'!$B$4:$B$347,0),MATCH(P$2,'Energieverbruik in TJ Gemeente'!$B$4:$Q$4,0))</f>
        <v>19</v>
      </c>
      <c r="Q45">
        <f>INDEX('Energieverbruik in TJ Gemeente'!$B$4:$Q$347,MATCH($C45,'Energieverbruik in TJ Gemeente'!$B$4:$B$347,0),MATCH(Q$2,'Energieverbruik in TJ Gemeente'!$B$4:$Q$4,0))</f>
        <v>15</v>
      </c>
      <c r="R45">
        <f>INDEX('Energieverbruik in TJ Gemeente'!$B$4:$Q$347,MATCH($C45,'Energieverbruik in TJ Gemeente'!$B$4:$B$347,0),MATCH(R$2,'Energieverbruik in TJ Gemeente'!$B$4:$Q$4,0))</f>
        <v>11</v>
      </c>
      <c r="S45" cm="1">
        <f t="array" ref="S45">MAX(_xlfn._xlws.FILTER(D$1:H$1, D45:H45&lt;&gt;"?"))</f>
        <v>2023</v>
      </c>
      <c r="T45" cm="1">
        <f t="array" ref="T45">MAX(_xlfn._xlws.FILTER(I$1:M$1, I45:M45&lt;&gt;"?"))</f>
        <v>2023</v>
      </c>
      <c r="U45" cm="1">
        <f t="array" ref="U45">MAX(_xlfn._xlws.FILTER(F$1:J$1, F45:J45&lt;&gt;"?"))</f>
        <v>2023</v>
      </c>
      <c r="V45">
        <f t="shared" si="0"/>
        <v>534</v>
      </c>
      <c r="W45">
        <f t="shared" si="1"/>
        <v>113</v>
      </c>
      <c r="X45">
        <f t="shared" si="2"/>
        <v>11</v>
      </c>
      <c r="Y45">
        <f t="shared" si="3"/>
        <v>658</v>
      </c>
      <c r="Z45">
        <f t="shared" si="4"/>
        <v>1.0935500490269398E-3</v>
      </c>
    </row>
    <row r="46" spans="1:26" ht="16" x14ac:dyDescent="0.2">
      <c r="A46" s="4" t="s">
        <v>146</v>
      </c>
      <c r="B46" s="4" t="s">
        <v>147</v>
      </c>
      <c r="C46" s="4" t="s">
        <v>148</v>
      </c>
      <c r="D46">
        <f>INDEX('Energieverbruik in TJ Gemeente'!$B$4:$Q$347,MATCH($C46,'Energieverbruik in TJ Gemeente'!$B$4:$B$347,0),MATCH(D$2,'Energieverbruik in TJ Gemeente'!$B$4:$Q$4,0))</f>
        <v>269</v>
      </c>
      <c r="E46">
        <f>INDEX('Energieverbruik in TJ Gemeente'!$B$4:$Q$347,MATCH($C46,'Energieverbruik in TJ Gemeente'!$B$4:$B$347,0),MATCH(E$2,'Energieverbruik in TJ Gemeente'!$B$4:$Q$4,0))</f>
        <v>266</v>
      </c>
      <c r="F46">
        <f>INDEX('Energieverbruik in TJ Gemeente'!$B$4:$Q$347,MATCH($C46,'Energieverbruik in TJ Gemeente'!$B$4:$B$347,0),MATCH(F$2,'Energieverbruik in TJ Gemeente'!$B$4:$Q$4,0))</f>
        <v>260</v>
      </c>
      <c r="G46">
        <f>INDEX('Energieverbruik in TJ Gemeente'!$B$4:$Q$347,MATCH($C46,'Energieverbruik in TJ Gemeente'!$B$4:$B$347,0),MATCH(G$2,'Energieverbruik in TJ Gemeente'!$B$4:$Q$4,0))</f>
        <v>217</v>
      </c>
      <c r="H46">
        <f>INDEX('Energieverbruik in TJ Gemeente'!$B$4:$Q$347,MATCH($C46,'Energieverbruik in TJ Gemeente'!$B$4:$B$347,0),MATCH(H$2,'Energieverbruik in TJ Gemeente'!$B$4:$Q$4,0))</f>
        <v>175</v>
      </c>
      <c r="I46">
        <f>INDEX('Energieverbruik in TJ Gemeente'!$B$4:$Q$347,MATCH($C46,'Energieverbruik in TJ Gemeente'!$B$4:$B$347,0),MATCH(I$2,'Energieverbruik in TJ Gemeente'!$B$4:$Q$4,0))</f>
        <v>16</v>
      </c>
      <c r="J46">
        <f>INDEX('Energieverbruik in TJ Gemeente'!$B$4:$Q$347,MATCH($C46,'Energieverbruik in TJ Gemeente'!$B$4:$B$347,0),MATCH(J$2,'Energieverbruik in TJ Gemeente'!$B$4:$Q$4,0))</f>
        <v>13</v>
      </c>
      <c r="K46">
        <f>INDEX('Energieverbruik in TJ Gemeente'!$B$4:$Q$347,MATCH($C46,'Energieverbruik in TJ Gemeente'!$B$4:$B$347,0),MATCH(K$2,'Energieverbruik in TJ Gemeente'!$B$4:$Q$4,0))</f>
        <v>15</v>
      </c>
      <c r="L46">
        <f>INDEX('Energieverbruik in TJ Gemeente'!$B$4:$Q$347,MATCH($C46,'Energieverbruik in TJ Gemeente'!$B$4:$B$347,0),MATCH(L$2,'Energieverbruik in TJ Gemeente'!$B$4:$Q$4,0))</f>
        <v>12</v>
      </c>
      <c r="M46">
        <f>INDEX('Energieverbruik in TJ Gemeente'!$B$4:$Q$347,MATCH($C46,'Energieverbruik in TJ Gemeente'!$B$4:$B$347,0),MATCH(M$2,'Energieverbruik in TJ Gemeente'!$B$4:$Q$4,0))</f>
        <v>11</v>
      </c>
      <c r="N46">
        <f>INDEX('Energieverbruik in TJ Gemeente'!$B$4:$Q$347,MATCH($C46,'Energieverbruik in TJ Gemeente'!$B$4:$B$347,0),MATCH(N$2,'Energieverbruik in TJ Gemeente'!$B$4:$Q$4,0))</f>
        <v>307</v>
      </c>
      <c r="O46">
        <f>INDEX('Energieverbruik in TJ Gemeente'!$B$4:$Q$347,MATCH($C46,'Energieverbruik in TJ Gemeente'!$B$4:$B$347,0),MATCH(O$2,'Energieverbruik in TJ Gemeente'!$B$4:$Q$4,0))</f>
        <v>351</v>
      </c>
      <c r="P46">
        <f>INDEX('Energieverbruik in TJ Gemeente'!$B$4:$Q$347,MATCH($C46,'Energieverbruik in TJ Gemeente'!$B$4:$B$347,0),MATCH(P$2,'Energieverbruik in TJ Gemeente'!$B$4:$Q$4,0))</f>
        <v>352</v>
      </c>
      <c r="Q46">
        <f>INDEX('Energieverbruik in TJ Gemeente'!$B$4:$Q$347,MATCH($C46,'Energieverbruik in TJ Gemeente'!$B$4:$B$347,0),MATCH(Q$2,'Energieverbruik in TJ Gemeente'!$B$4:$Q$4,0))</f>
        <v>244</v>
      </c>
      <c r="R46">
        <f>INDEX('Energieverbruik in TJ Gemeente'!$B$4:$Q$347,MATCH($C46,'Energieverbruik in TJ Gemeente'!$B$4:$B$347,0),MATCH(R$2,'Energieverbruik in TJ Gemeente'!$B$4:$Q$4,0))</f>
        <v>270</v>
      </c>
      <c r="S46" cm="1">
        <f t="array" ref="S46">MAX(_xlfn._xlws.FILTER(D$1:H$1, D46:H46&lt;&gt;"?"))</f>
        <v>2023</v>
      </c>
      <c r="T46" cm="1">
        <f t="array" ref="T46">MAX(_xlfn._xlws.FILTER(I$1:M$1, I46:M46&lt;&gt;"?"))</f>
        <v>2023</v>
      </c>
      <c r="U46" cm="1">
        <f t="array" ref="U46">MAX(_xlfn._xlws.FILTER(F$1:J$1, F46:J46&lt;&gt;"?"))</f>
        <v>2023</v>
      </c>
      <c r="V46">
        <f t="shared" si="0"/>
        <v>175</v>
      </c>
      <c r="W46">
        <f t="shared" si="1"/>
        <v>11</v>
      </c>
      <c r="X46">
        <f t="shared" si="2"/>
        <v>270</v>
      </c>
      <c r="Y46">
        <f t="shared" si="3"/>
        <v>456</v>
      </c>
      <c r="Z46">
        <f t="shared" si="4"/>
        <v>7.5784015555666355E-4</v>
      </c>
    </row>
    <row r="47" spans="1:26" ht="32" x14ac:dyDescent="0.2">
      <c r="A47" s="4" t="s">
        <v>149</v>
      </c>
      <c r="B47" s="4" t="s">
        <v>150</v>
      </c>
      <c r="C47" s="4" t="s">
        <v>151</v>
      </c>
      <c r="D47">
        <f>INDEX('Energieverbruik in TJ Gemeente'!$B$4:$Q$347,MATCH($C47,'Energieverbruik in TJ Gemeente'!$B$4:$B$347,0),MATCH(D$2,'Energieverbruik in TJ Gemeente'!$B$4:$Q$4,0))</f>
        <v>832</v>
      </c>
      <c r="E47" t="str">
        <f>INDEX('Energieverbruik in TJ Gemeente'!$B$4:$Q$347,MATCH($C47,'Energieverbruik in TJ Gemeente'!$B$4:$B$347,0),MATCH(E$2,'Energieverbruik in TJ Gemeente'!$B$4:$Q$4,0))</f>
        <v>?</v>
      </c>
      <c r="F47">
        <f>INDEX('Energieverbruik in TJ Gemeente'!$B$4:$Q$347,MATCH($C47,'Energieverbruik in TJ Gemeente'!$B$4:$B$347,0),MATCH(F$2,'Energieverbruik in TJ Gemeente'!$B$4:$Q$4,0))</f>
        <v>788</v>
      </c>
      <c r="G47">
        <f>INDEX('Energieverbruik in TJ Gemeente'!$B$4:$Q$347,MATCH($C47,'Energieverbruik in TJ Gemeente'!$B$4:$B$347,0),MATCH(G$2,'Energieverbruik in TJ Gemeente'!$B$4:$Q$4,0))</f>
        <v>692</v>
      </c>
      <c r="H47">
        <f>INDEX('Energieverbruik in TJ Gemeente'!$B$4:$Q$347,MATCH($C47,'Energieverbruik in TJ Gemeente'!$B$4:$B$347,0),MATCH(H$2,'Energieverbruik in TJ Gemeente'!$B$4:$Q$4,0))</f>
        <v>570</v>
      </c>
      <c r="I47">
        <f>INDEX('Energieverbruik in TJ Gemeente'!$B$4:$Q$347,MATCH($C47,'Energieverbruik in TJ Gemeente'!$B$4:$B$347,0),MATCH(I$2,'Energieverbruik in TJ Gemeente'!$B$4:$Q$4,0))</f>
        <v>55</v>
      </c>
      <c r="J47">
        <f>INDEX('Energieverbruik in TJ Gemeente'!$B$4:$Q$347,MATCH($C47,'Energieverbruik in TJ Gemeente'!$B$4:$B$347,0),MATCH(J$2,'Energieverbruik in TJ Gemeente'!$B$4:$Q$4,0))</f>
        <v>65</v>
      </c>
      <c r="K47">
        <f>INDEX('Energieverbruik in TJ Gemeente'!$B$4:$Q$347,MATCH($C47,'Energieverbruik in TJ Gemeente'!$B$4:$B$347,0),MATCH(K$2,'Energieverbruik in TJ Gemeente'!$B$4:$Q$4,0))</f>
        <v>60</v>
      </c>
      <c r="L47">
        <f>INDEX('Energieverbruik in TJ Gemeente'!$B$4:$Q$347,MATCH($C47,'Energieverbruik in TJ Gemeente'!$B$4:$B$347,0),MATCH(L$2,'Energieverbruik in TJ Gemeente'!$B$4:$Q$4,0))</f>
        <v>48</v>
      </c>
      <c r="M47">
        <f>INDEX('Energieverbruik in TJ Gemeente'!$B$4:$Q$347,MATCH($C47,'Energieverbruik in TJ Gemeente'!$B$4:$B$347,0),MATCH(M$2,'Energieverbruik in TJ Gemeente'!$B$4:$Q$4,0))</f>
        <v>102</v>
      </c>
      <c r="N47">
        <f>INDEX('Energieverbruik in TJ Gemeente'!$B$4:$Q$347,MATCH($C47,'Energieverbruik in TJ Gemeente'!$B$4:$B$347,0),MATCH(N$2,'Energieverbruik in TJ Gemeente'!$B$4:$Q$4,0))</f>
        <v>50</v>
      </c>
      <c r="O47">
        <f>INDEX('Energieverbruik in TJ Gemeente'!$B$4:$Q$347,MATCH($C47,'Energieverbruik in TJ Gemeente'!$B$4:$B$347,0),MATCH(O$2,'Energieverbruik in TJ Gemeente'!$B$4:$Q$4,0))</f>
        <v>45</v>
      </c>
      <c r="P47">
        <f>INDEX('Energieverbruik in TJ Gemeente'!$B$4:$Q$347,MATCH($C47,'Energieverbruik in TJ Gemeente'!$B$4:$B$347,0),MATCH(P$2,'Energieverbruik in TJ Gemeente'!$B$4:$Q$4,0))</f>
        <v>50</v>
      </c>
      <c r="Q47">
        <f>INDEX('Energieverbruik in TJ Gemeente'!$B$4:$Q$347,MATCH($C47,'Energieverbruik in TJ Gemeente'!$B$4:$B$347,0),MATCH(Q$2,'Energieverbruik in TJ Gemeente'!$B$4:$Q$4,0))</f>
        <v>39</v>
      </c>
      <c r="R47">
        <f>INDEX('Energieverbruik in TJ Gemeente'!$B$4:$Q$347,MATCH($C47,'Energieverbruik in TJ Gemeente'!$B$4:$B$347,0),MATCH(R$2,'Energieverbruik in TJ Gemeente'!$B$4:$Q$4,0))</f>
        <v>34</v>
      </c>
      <c r="S47" cm="1">
        <f t="array" ref="S47">MAX(_xlfn._xlws.FILTER(D$1:H$1, D47:H47&lt;&gt;"?"))</f>
        <v>2023</v>
      </c>
      <c r="T47" cm="1">
        <f t="array" ref="T47">MAX(_xlfn._xlws.FILTER(I$1:M$1, I47:M47&lt;&gt;"?"))</f>
        <v>2023</v>
      </c>
      <c r="U47" cm="1">
        <f t="array" ref="U47">MAX(_xlfn._xlws.FILTER(F$1:J$1, F47:J47&lt;&gt;"?"))</f>
        <v>2023</v>
      </c>
      <c r="V47">
        <f t="shared" si="0"/>
        <v>570</v>
      </c>
      <c r="W47">
        <f t="shared" si="1"/>
        <v>102</v>
      </c>
      <c r="X47">
        <f t="shared" si="2"/>
        <v>34</v>
      </c>
      <c r="Y47">
        <f t="shared" si="3"/>
        <v>706</v>
      </c>
      <c r="Z47">
        <f t="shared" si="4"/>
        <v>1.1733226969802728E-3</v>
      </c>
    </row>
    <row r="48" spans="1:26" ht="16" x14ac:dyDescent="0.2">
      <c r="A48" s="4" t="s">
        <v>152</v>
      </c>
      <c r="B48" s="4" t="s">
        <v>153</v>
      </c>
      <c r="C48" s="4" t="s">
        <v>154</v>
      </c>
      <c r="D48">
        <f>INDEX('Energieverbruik in TJ Gemeente'!$B$4:$Q$347,MATCH($C48,'Energieverbruik in TJ Gemeente'!$B$4:$B$347,0),MATCH(D$2,'Energieverbruik in TJ Gemeente'!$B$4:$Q$4,0))</f>
        <v>505</v>
      </c>
      <c r="E48">
        <f>INDEX('Energieverbruik in TJ Gemeente'!$B$4:$Q$347,MATCH($C48,'Energieverbruik in TJ Gemeente'!$B$4:$B$347,0),MATCH(E$2,'Energieverbruik in TJ Gemeente'!$B$4:$Q$4,0))</f>
        <v>506</v>
      </c>
      <c r="F48">
        <f>INDEX('Energieverbruik in TJ Gemeente'!$B$4:$Q$347,MATCH($C48,'Energieverbruik in TJ Gemeente'!$B$4:$B$347,0),MATCH(F$2,'Energieverbruik in TJ Gemeente'!$B$4:$Q$4,0))</f>
        <v>542</v>
      </c>
      <c r="G48">
        <f>INDEX('Energieverbruik in TJ Gemeente'!$B$4:$Q$347,MATCH($C48,'Energieverbruik in TJ Gemeente'!$B$4:$B$347,0),MATCH(G$2,'Energieverbruik in TJ Gemeente'!$B$4:$Q$4,0))</f>
        <v>479</v>
      </c>
      <c r="H48">
        <f>INDEX('Energieverbruik in TJ Gemeente'!$B$4:$Q$347,MATCH($C48,'Energieverbruik in TJ Gemeente'!$B$4:$B$347,0),MATCH(H$2,'Energieverbruik in TJ Gemeente'!$B$4:$Q$4,0))</f>
        <v>389</v>
      </c>
      <c r="I48">
        <f>INDEX('Energieverbruik in TJ Gemeente'!$B$4:$Q$347,MATCH($C48,'Energieverbruik in TJ Gemeente'!$B$4:$B$347,0),MATCH(I$2,'Energieverbruik in TJ Gemeente'!$B$4:$Q$4,0))</f>
        <v>23</v>
      </c>
      <c r="J48">
        <f>INDEX('Energieverbruik in TJ Gemeente'!$B$4:$Q$347,MATCH($C48,'Energieverbruik in TJ Gemeente'!$B$4:$B$347,0),MATCH(J$2,'Energieverbruik in TJ Gemeente'!$B$4:$Q$4,0))</f>
        <v>12</v>
      </c>
      <c r="K48">
        <f>INDEX('Energieverbruik in TJ Gemeente'!$B$4:$Q$347,MATCH($C48,'Energieverbruik in TJ Gemeente'!$B$4:$B$347,0),MATCH(K$2,'Energieverbruik in TJ Gemeente'!$B$4:$Q$4,0))</f>
        <v>23</v>
      </c>
      <c r="L48">
        <f>INDEX('Energieverbruik in TJ Gemeente'!$B$4:$Q$347,MATCH($C48,'Energieverbruik in TJ Gemeente'!$B$4:$B$347,0),MATCH(L$2,'Energieverbruik in TJ Gemeente'!$B$4:$Q$4,0))</f>
        <v>24</v>
      </c>
      <c r="M48" t="str">
        <f>INDEX('Energieverbruik in TJ Gemeente'!$B$4:$Q$347,MATCH($C48,'Energieverbruik in TJ Gemeente'!$B$4:$B$347,0),MATCH(M$2,'Energieverbruik in TJ Gemeente'!$B$4:$Q$4,0))</f>
        <v>?</v>
      </c>
      <c r="N48">
        <f>INDEX('Energieverbruik in TJ Gemeente'!$B$4:$Q$347,MATCH($C48,'Energieverbruik in TJ Gemeente'!$B$4:$B$347,0),MATCH(N$2,'Energieverbruik in TJ Gemeente'!$B$4:$Q$4,0))</f>
        <v>6</v>
      </c>
      <c r="O48">
        <f>INDEX('Energieverbruik in TJ Gemeente'!$B$4:$Q$347,MATCH($C48,'Energieverbruik in TJ Gemeente'!$B$4:$B$347,0),MATCH(O$2,'Energieverbruik in TJ Gemeente'!$B$4:$Q$4,0))</f>
        <v>3</v>
      </c>
      <c r="P48">
        <f>INDEX('Energieverbruik in TJ Gemeente'!$B$4:$Q$347,MATCH($C48,'Energieverbruik in TJ Gemeente'!$B$4:$B$347,0),MATCH(P$2,'Energieverbruik in TJ Gemeente'!$B$4:$Q$4,0))</f>
        <v>4</v>
      </c>
      <c r="Q48">
        <f>INDEX('Energieverbruik in TJ Gemeente'!$B$4:$Q$347,MATCH($C48,'Energieverbruik in TJ Gemeente'!$B$4:$B$347,0),MATCH(Q$2,'Energieverbruik in TJ Gemeente'!$B$4:$Q$4,0))</f>
        <v>3</v>
      </c>
      <c r="R48">
        <f>INDEX('Energieverbruik in TJ Gemeente'!$B$4:$Q$347,MATCH($C48,'Energieverbruik in TJ Gemeente'!$B$4:$B$347,0),MATCH(R$2,'Energieverbruik in TJ Gemeente'!$B$4:$Q$4,0))</f>
        <v>3</v>
      </c>
      <c r="S48" cm="1">
        <f t="array" ref="S48">MAX(_xlfn._xlws.FILTER(D$1:H$1, D48:H48&lt;&gt;"?"))</f>
        <v>2023</v>
      </c>
      <c r="T48" cm="1">
        <f t="array" ref="T48">MAX(_xlfn._xlws.FILTER(I$1:M$1, I48:M48&lt;&gt;"?"))</f>
        <v>2022</v>
      </c>
      <c r="U48" cm="1">
        <f t="array" ref="U48">MAX(_xlfn._xlws.FILTER(F$1:J$1, F48:J48&lt;&gt;"?"))</f>
        <v>2023</v>
      </c>
      <c r="V48">
        <f t="shared" si="0"/>
        <v>389</v>
      </c>
      <c r="W48">
        <f t="shared" si="1"/>
        <v>24</v>
      </c>
      <c r="X48">
        <f t="shared" si="2"/>
        <v>3</v>
      </c>
      <c r="Y48">
        <f t="shared" si="3"/>
        <v>416</v>
      </c>
      <c r="Z48">
        <f t="shared" si="4"/>
        <v>6.9136294892888604E-4</v>
      </c>
    </row>
    <row r="49" spans="1:26" ht="16" x14ac:dyDescent="0.2">
      <c r="A49" s="4" t="s">
        <v>155</v>
      </c>
      <c r="B49" s="4" t="s">
        <v>156</v>
      </c>
      <c r="C49" s="4" t="s">
        <v>157</v>
      </c>
      <c r="D49">
        <f>INDEX('Energieverbruik in TJ Gemeente'!$B$4:$Q$347,MATCH($C49,'Energieverbruik in TJ Gemeente'!$B$4:$B$347,0),MATCH(D$2,'Energieverbruik in TJ Gemeente'!$B$4:$Q$4,0))</f>
        <v>603</v>
      </c>
      <c r="E49" t="str">
        <f>INDEX('Energieverbruik in TJ Gemeente'!$B$4:$Q$347,MATCH($C49,'Energieverbruik in TJ Gemeente'!$B$4:$B$347,0),MATCH(E$2,'Energieverbruik in TJ Gemeente'!$B$4:$Q$4,0))</f>
        <v>?</v>
      </c>
      <c r="F49">
        <f>INDEX('Energieverbruik in TJ Gemeente'!$B$4:$Q$347,MATCH($C49,'Energieverbruik in TJ Gemeente'!$B$4:$B$347,0),MATCH(F$2,'Energieverbruik in TJ Gemeente'!$B$4:$Q$4,0))</f>
        <v>667</v>
      </c>
      <c r="G49" t="str">
        <f>INDEX('Energieverbruik in TJ Gemeente'!$B$4:$Q$347,MATCH($C49,'Energieverbruik in TJ Gemeente'!$B$4:$B$347,0),MATCH(G$2,'Energieverbruik in TJ Gemeente'!$B$4:$Q$4,0))</f>
        <v>?</v>
      </c>
      <c r="H49" t="str">
        <f>INDEX('Energieverbruik in TJ Gemeente'!$B$4:$Q$347,MATCH($C49,'Energieverbruik in TJ Gemeente'!$B$4:$B$347,0),MATCH(H$2,'Energieverbruik in TJ Gemeente'!$B$4:$Q$4,0))</f>
        <v>?</v>
      </c>
      <c r="I49" t="str">
        <f>INDEX('Energieverbruik in TJ Gemeente'!$B$4:$Q$347,MATCH($C49,'Energieverbruik in TJ Gemeente'!$B$4:$B$347,0),MATCH(I$2,'Energieverbruik in TJ Gemeente'!$B$4:$Q$4,0))</f>
        <v>?</v>
      </c>
      <c r="J49" t="str">
        <f>INDEX('Energieverbruik in TJ Gemeente'!$B$4:$Q$347,MATCH($C49,'Energieverbruik in TJ Gemeente'!$B$4:$B$347,0),MATCH(J$2,'Energieverbruik in TJ Gemeente'!$B$4:$Q$4,0))</f>
        <v>?</v>
      </c>
      <c r="K49" t="str">
        <f>INDEX('Energieverbruik in TJ Gemeente'!$B$4:$Q$347,MATCH($C49,'Energieverbruik in TJ Gemeente'!$B$4:$B$347,0),MATCH(K$2,'Energieverbruik in TJ Gemeente'!$B$4:$Q$4,0))</f>
        <v>?</v>
      </c>
      <c r="L49" t="str">
        <f>INDEX('Energieverbruik in TJ Gemeente'!$B$4:$Q$347,MATCH($C49,'Energieverbruik in TJ Gemeente'!$B$4:$B$347,0),MATCH(L$2,'Energieverbruik in TJ Gemeente'!$B$4:$Q$4,0))</f>
        <v>?</v>
      </c>
      <c r="M49" t="str">
        <f>INDEX('Energieverbruik in TJ Gemeente'!$B$4:$Q$347,MATCH($C49,'Energieverbruik in TJ Gemeente'!$B$4:$B$347,0),MATCH(M$2,'Energieverbruik in TJ Gemeente'!$B$4:$Q$4,0))</f>
        <v>?</v>
      </c>
      <c r="N49">
        <f>INDEX('Energieverbruik in TJ Gemeente'!$B$4:$Q$347,MATCH($C49,'Energieverbruik in TJ Gemeente'!$B$4:$B$347,0),MATCH(N$2,'Energieverbruik in TJ Gemeente'!$B$4:$Q$4,0))</f>
        <v>33</v>
      </c>
      <c r="O49">
        <f>INDEX('Energieverbruik in TJ Gemeente'!$B$4:$Q$347,MATCH($C49,'Energieverbruik in TJ Gemeente'!$B$4:$B$347,0),MATCH(O$2,'Energieverbruik in TJ Gemeente'!$B$4:$Q$4,0))</f>
        <v>17</v>
      </c>
      <c r="P49">
        <f>INDEX('Energieverbruik in TJ Gemeente'!$B$4:$Q$347,MATCH($C49,'Energieverbruik in TJ Gemeente'!$B$4:$B$347,0),MATCH(P$2,'Energieverbruik in TJ Gemeente'!$B$4:$Q$4,0))</f>
        <v>27</v>
      </c>
      <c r="Q49">
        <f>INDEX('Energieverbruik in TJ Gemeente'!$B$4:$Q$347,MATCH($C49,'Energieverbruik in TJ Gemeente'!$B$4:$B$347,0),MATCH(Q$2,'Energieverbruik in TJ Gemeente'!$B$4:$Q$4,0))</f>
        <v>16</v>
      </c>
      <c r="R49">
        <f>INDEX('Energieverbruik in TJ Gemeente'!$B$4:$Q$347,MATCH($C49,'Energieverbruik in TJ Gemeente'!$B$4:$B$347,0),MATCH(R$2,'Energieverbruik in TJ Gemeente'!$B$4:$Q$4,0))</f>
        <v>17</v>
      </c>
      <c r="S49" cm="1">
        <f t="array" ref="S49">MAX(_xlfn._xlws.FILTER(D$1:H$1, D49:H49&lt;&gt;"?"))</f>
        <v>2021</v>
      </c>
      <c r="T49" t="e" cm="1" vm="1">
        <f t="array" ref="T49">MAX(_xlfn._xlws.FILTER(I$1:M$1, I49:M49&lt;&gt;"?"))</f>
        <v>#VALUE!</v>
      </c>
      <c r="U49" cm="1">
        <f t="array" ref="U49">MAX(_xlfn._xlws.FILTER(F$1:J$1, F49:J49&lt;&gt;"?"))</f>
        <v>2021</v>
      </c>
      <c r="V49">
        <f t="shared" si="0"/>
        <v>667</v>
      </c>
      <c r="W49">
        <f t="shared" si="1"/>
        <v>0</v>
      </c>
      <c r="X49">
        <f t="shared" si="2"/>
        <v>27</v>
      </c>
      <c r="Y49">
        <f t="shared" si="3"/>
        <v>694</v>
      </c>
      <c r="Z49">
        <f t="shared" si="4"/>
        <v>1.1533795349919396E-3</v>
      </c>
    </row>
    <row r="50" spans="1:26" ht="16" x14ac:dyDescent="0.2">
      <c r="A50" s="4" t="s">
        <v>158</v>
      </c>
      <c r="B50" s="4" t="s">
        <v>159</v>
      </c>
      <c r="C50" s="4" t="s">
        <v>160</v>
      </c>
      <c r="D50">
        <f>INDEX('Energieverbruik in TJ Gemeente'!$B$4:$Q$347,MATCH($C50,'Energieverbruik in TJ Gemeente'!$B$4:$B$347,0),MATCH(D$2,'Energieverbruik in TJ Gemeente'!$B$4:$Q$4,0))</f>
        <v>791</v>
      </c>
      <c r="E50">
        <f>INDEX('Energieverbruik in TJ Gemeente'!$B$4:$Q$347,MATCH($C50,'Energieverbruik in TJ Gemeente'!$B$4:$B$347,0),MATCH(E$2,'Energieverbruik in TJ Gemeente'!$B$4:$Q$4,0))</f>
        <v>766</v>
      </c>
      <c r="F50">
        <f>INDEX('Energieverbruik in TJ Gemeente'!$B$4:$Q$347,MATCH($C50,'Energieverbruik in TJ Gemeente'!$B$4:$B$347,0),MATCH(F$2,'Energieverbruik in TJ Gemeente'!$B$4:$Q$4,0))</f>
        <v>785</v>
      </c>
      <c r="G50">
        <f>INDEX('Energieverbruik in TJ Gemeente'!$B$4:$Q$347,MATCH($C50,'Energieverbruik in TJ Gemeente'!$B$4:$B$347,0),MATCH(G$2,'Energieverbruik in TJ Gemeente'!$B$4:$Q$4,0))</f>
        <v>684</v>
      </c>
      <c r="H50">
        <f>INDEX('Energieverbruik in TJ Gemeente'!$B$4:$Q$347,MATCH($C50,'Energieverbruik in TJ Gemeente'!$B$4:$B$347,0),MATCH(H$2,'Energieverbruik in TJ Gemeente'!$B$4:$Q$4,0))</f>
        <v>557</v>
      </c>
      <c r="I50">
        <f>INDEX('Energieverbruik in TJ Gemeente'!$B$4:$Q$347,MATCH($C50,'Energieverbruik in TJ Gemeente'!$B$4:$B$347,0),MATCH(I$2,'Energieverbruik in TJ Gemeente'!$B$4:$Q$4,0))</f>
        <v>218</v>
      </c>
      <c r="J50">
        <f>INDEX('Energieverbruik in TJ Gemeente'!$B$4:$Q$347,MATCH($C50,'Energieverbruik in TJ Gemeente'!$B$4:$B$347,0),MATCH(J$2,'Energieverbruik in TJ Gemeente'!$B$4:$Q$4,0))</f>
        <v>223</v>
      </c>
      <c r="K50">
        <f>INDEX('Energieverbruik in TJ Gemeente'!$B$4:$Q$347,MATCH($C50,'Energieverbruik in TJ Gemeente'!$B$4:$B$347,0),MATCH(K$2,'Energieverbruik in TJ Gemeente'!$B$4:$Q$4,0))</f>
        <v>236</v>
      </c>
      <c r="L50">
        <f>INDEX('Energieverbruik in TJ Gemeente'!$B$4:$Q$347,MATCH($C50,'Energieverbruik in TJ Gemeente'!$B$4:$B$347,0),MATCH(L$2,'Energieverbruik in TJ Gemeente'!$B$4:$Q$4,0))</f>
        <v>218</v>
      </c>
      <c r="M50">
        <f>INDEX('Energieverbruik in TJ Gemeente'!$B$4:$Q$347,MATCH($C50,'Energieverbruik in TJ Gemeente'!$B$4:$B$347,0),MATCH(M$2,'Energieverbruik in TJ Gemeente'!$B$4:$Q$4,0))</f>
        <v>204</v>
      </c>
      <c r="N50">
        <f>INDEX('Energieverbruik in TJ Gemeente'!$B$4:$Q$347,MATCH($C50,'Energieverbruik in TJ Gemeente'!$B$4:$B$347,0),MATCH(N$2,'Energieverbruik in TJ Gemeente'!$B$4:$Q$4,0))</f>
        <v>35</v>
      </c>
      <c r="O50">
        <f>INDEX('Energieverbruik in TJ Gemeente'!$B$4:$Q$347,MATCH($C50,'Energieverbruik in TJ Gemeente'!$B$4:$B$347,0),MATCH(O$2,'Energieverbruik in TJ Gemeente'!$B$4:$Q$4,0))</f>
        <v>41</v>
      </c>
      <c r="P50">
        <f>INDEX('Energieverbruik in TJ Gemeente'!$B$4:$Q$347,MATCH($C50,'Energieverbruik in TJ Gemeente'!$B$4:$B$347,0),MATCH(P$2,'Energieverbruik in TJ Gemeente'!$B$4:$Q$4,0))</f>
        <v>30</v>
      </c>
      <c r="Q50">
        <f>INDEX('Energieverbruik in TJ Gemeente'!$B$4:$Q$347,MATCH($C50,'Energieverbruik in TJ Gemeente'!$B$4:$B$347,0),MATCH(Q$2,'Energieverbruik in TJ Gemeente'!$B$4:$Q$4,0))</f>
        <v>28</v>
      </c>
      <c r="R50">
        <f>INDEX('Energieverbruik in TJ Gemeente'!$B$4:$Q$347,MATCH($C50,'Energieverbruik in TJ Gemeente'!$B$4:$B$347,0),MATCH(R$2,'Energieverbruik in TJ Gemeente'!$B$4:$Q$4,0))</f>
        <v>8</v>
      </c>
      <c r="S50" cm="1">
        <f t="array" ref="S50">MAX(_xlfn._xlws.FILTER(D$1:H$1, D50:H50&lt;&gt;"?"))</f>
        <v>2023</v>
      </c>
      <c r="T50" cm="1">
        <f t="array" ref="T50">MAX(_xlfn._xlws.FILTER(I$1:M$1, I50:M50&lt;&gt;"?"))</f>
        <v>2023</v>
      </c>
      <c r="U50" cm="1">
        <f t="array" ref="U50">MAX(_xlfn._xlws.FILTER(F$1:J$1, F50:J50&lt;&gt;"?"))</f>
        <v>2023</v>
      </c>
      <c r="V50">
        <f t="shared" si="0"/>
        <v>557</v>
      </c>
      <c r="W50">
        <f t="shared" si="1"/>
        <v>204</v>
      </c>
      <c r="X50">
        <f t="shared" si="2"/>
        <v>8</v>
      </c>
      <c r="Y50">
        <f t="shared" si="3"/>
        <v>769</v>
      </c>
      <c r="Z50">
        <f t="shared" si="4"/>
        <v>1.2780242974190224E-3</v>
      </c>
    </row>
    <row r="51" spans="1:26" ht="16" x14ac:dyDescent="0.2">
      <c r="A51" s="4" t="s">
        <v>161</v>
      </c>
      <c r="B51" s="4" t="s">
        <v>162</v>
      </c>
      <c r="C51" s="4" t="s">
        <v>163</v>
      </c>
      <c r="D51">
        <f>INDEX('Energieverbruik in TJ Gemeente'!$B$4:$Q$347,MATCH($C51,'Energieverbruik in TJ Gemeente'!$B$4:$B$347,0),MATCH(D$2,'Energieverbruik in TJ Gemeente'!$B$4:$Q$4,0))</f>
        <v>3857</v>
      </c>
      <c r="E51">
        <f>INDEX('Energieverbruik in TJ Gemeente'!$B$4:$Q$347,MATCH($C51,'Energieverbruik in TJ Gemeente'!$B$4:$B$347,0),MATCH(E$2,'Energieverbruik in TJ Gemeente'!$B$4:$Q$4,0))</f>
        <v>3739</v>
      </c>
      <c r="F51">
        <f>INDEX('Energieverbruik in TJ Gemeente'!$B$4:$Q$347,MATCH($C51,'Energieverbruik in TJ Gemeente'!$B$4:$B$347,0),MATCH(F$2,'Energieverbruik in TJ Gemeente'!$B$4:$Q$4,0))</f>
        <v>3806</v>
      </c>
      <c r="G51">
        <f>INDEX('Energieverbruik in TJ Gemeente'!$B$4:$Q$347,MATCH($C51,'Energieverbruik in TJ Gemeente'!$B$4:$B$347,0),MATCH(G$2,'Energieverbruik in TJ Gemeente'!$B$4:$Q$4,0))</f>
        <v>3263</v>
      </c>
      <c r="H51">
        <f>INDEX('Energieverbruik in TJ Gemeente'!$B$4:$Q$347,MATCH($C51,'Energieverbruik in TJ Gemeente'!$B$4:$B$347,0),MATCH(H$2,'Energieverbruik in TJ Gemeente'!$B$4:$Q$4,0))</f>
        <v>2803</v>
      </c>
      <c r="I51">
        <f>INDEX('Energieverbruik in TJ Gemeente'!$B$4:$Q$347,MATCH($C51,'Energieverbruik in TJ Gemeente'!$B$4:$B$347,0),MATCH(I$2,'Energieverbruik in TJ Gemeente'!$B$4:$Q$4,0))</f>
        <v>363</v>
      </c>
      <c r="J51">
        <f>INDEX('Energieverbruik in TJ Gemeente'!$B$4:$Q$347,MATCH($C51,'Energieverbruik in TJ Gemeente'!$B$4:$B$347,0),MATCH(J$2,'Energieverbruik in TJ Gemeente'!$B$4:$Q$4,0))</f>
        <v>338</v>
      </c>
      <c r="K51">
        <f>INDEX('Energieverbruik in TJ Gemeente'!$B$4:$Q$347,MATCH($C51,'Energieverbruik in TJ Gemeente'!$B$4:$B$347,0),MATCH(K$2,'Energieverbruik in TJ Gemeente'!$B$4:$Q$4,0))</f>
        <v>341</v>
      </c>
      <c r="L51">
        <f>INDEX('Energieverbruik in TJ Gemeente'!$B$4:$Q$347,MATCH($C51,'Energieverbruik in TJ Gemeente'!$B$4:$B$347,0),MATCH(L$2,'Energieverbruik in TJ Gemeente'!$B$4:$Q$4,0))</f>
        <v>311</v>
      </c>
      <c r="M51">
        <f>INDEX('Energieverbruik in TJ Gemeente'!$B$4:$Q$347,MATCH($C51,'Energieverbruik in TJ Gemeente'!$B$4:$B$347,0),MATCH(M$2,'Energieverbruik in TJ Gemeente'!$B$4:$Q$4,0))</f>
        <v>306</v>
      </c>
      <c r="N51">
        <f>INDEX('Energieverbruik in TJ Gemeente'!$B$4:$Q$347,MATCH($C51,'Energieverbruik in TJ Gemeente'!$B$4:$B$347,0),MATCH(N$2,'Energieverbruik in TJ Gemeente'!$B$4:$Q$4,0))</f>
        <v>697</v>
      </c>
      <c r="O51">
        <f>INDEX('Energieverbruik in TJ Gemeente'!$B$4:$Q$347,MATCH($C51,'Energieverbruik in TJ Gemeente'!$B$4:$B$347,0),MATCH(O$2,'Energieverbruik in TJ Gemeente'!$B$4:$Q$4,0))</f>
        <v>815</v>
      </c>
      <c r="P51">
        <f>INDEX('Energieverbruik in TJ Gemeente'!$B$4:$Q$347,MATCH($C51,'Energieverbruik in TJ Gemeente'!$B$4:$B$347,0),MATCH(P$2,'Energieverbruik in TJ Gemeente'!$B$4:$Q$4,0))</f>
        <v>848</v>
      </c>
      <c r="Q51">
        <f>INDEX('Energieverbruik in TJ Gemeente'!$B$4:$Q$347,MATCH($C51,'Energieverbruik in TJ Gemeente'!$B$4:$B$347,0),MATCH(Q$2,'Energieverbruik in TJ Gemeente'!$B$4:$Q$4,0))</f>
        <v>531</v>
      </c>
      <c r="R51">
        <f>INDEX('Energieverbruik in TJ Gemeente'!$B$4:$Q$347,MATCH($C51,'Energieverbruik in TJ Gemeente'!$B$4:$B$347,0),MATCH(R$2,'Energieverbruik in TJ Gemeente'!$B$4:$Q$4,0))</f>
        <v>532</v>
      </c>
      <c r="S51" cm="1">
        <f t="array" ref="S51">MAX(_xlfn._xlws.FILTER(D$1:H$1, D51:H51&lt;&gt;"?"))</f>
        <v>2023</v>
      </c>
      <c r="T51" cm="1">
        <f t="array" ref="T51">MAX(_xlfn._xlws.FILTER(I$1:M$1, I51:M51&lt;&gt;"?"))</f>
        <v>2023</v>
      </c>
      <c r="U51" cm="1">
        <f t="array" ref="U51">MAX(_xlfn._xlws.FILTER(F$1:J$1, F51:J51&lt;&gt;"?"))</f>
        <v>2023</v>
      </c>
      <c r="V51">
        <f t="shared" si="0"/>
        <v>2803</v>
      </c>
      <c r="W51">
        <f t="shared" si="1"/>
        <v>306</v>
      </c>
      <c r="X51">
        <f t="shared" si="2"/>
        <v>532</v>
      </c>
      <c r="Y51">
        <f t="shared" si="3"/>
        <v>3641</v>
      </c>
      <c r="Z51">
        <f t="shared" si="4"/>
        <v>6.0510877332934469E-3</v>
      </c>
    </row>
    <row r="52" spans="1:26" ht="16" x14ac:dyDescent="0.2">
      <c r="A52" s="4" t="s">
        <v>164</v>
      </c>
      <c r="B52" s="4" t="s">
        <v>165</v>
      </c>
      <c r="C52" s="4" t="s">
        <v>166</v>
      </c>
      <c r="D52">
        <f>INDEX('Energieverbruik in TJ Gemeente'!$B$4:$Q$347,MATCH($C52,'Energieverbruik in TJ Gemeente'!$B$4:$B$347,0),MATCH(D$2,'Energieverbruik in TJ Gemeente'!$B$4:$Q$4,0))</f>
        <v>1047</v>
      </c>
      <c r="E52">
        <f>INDEX('Energieverbruik in TJ Gemeente'!$B$4:$Q$347,MATCH($C52,'Energieverbruik in TJ Gemeente'!$B$4:$B$347,0),MATCH(E$2,'Energieverbruik in TJ Gemeente'!$B$4:$Q$4,0))</f>
        <v>1009</v>
      </c>
      <c r="F52">
        <f>INDEX('Energieverbruik in TJ Gemeente'!$B$4:$Q$347,MATCH($C52,'Energieverbruik in TJ Gemeente'!$B$4:$B$347,0),MATCH(F$2,'Energieverbruik in TJ Gemeente'!$B$4:$Q$4,0))</f>
        <v>1018</v>
      </c>
      <c r="G52">
        <f>INDEX('Energieverbruik in TJ Gemeente'!$B$4:$Q$347,MATCH($C52,'Energieverbruik in TJ Gemeente'!$B$4:$B$347,0),MATCH(G$2,'Energieverbruik in TJ Gemeente'!$B$4:$Q$4,0))</f>
        <v>900</v>
      </c>
      <c r="H52">
        <f>INDEX('Energieverbruik in TJ Gemeente'!$B$4:$Q$347,MATCH($C52,'Energieverbruik in TJ Gemeente'!$B$4:$B$347,0),MATCH(H$2,'Energieverbruik in TJ Gemeente'!$B$4:$Q$4,0))</f>
        <v>715</v>
      </c>
      <c r="I52">
        <f>INDEX('Energieverbruik in TJ Gemeente'!$B$4:$Q$347,MATCH($C52,'Energieverbruik in TJ Gemeente'!$B$4:$B$347,0),MATCH(I$2,'Energieverbruik in TJ Gemeente'!$B$4:$Q$4,0))</f>
        <v>1336</v>
      </c>
      <c r="J52">
        <f>INDEX('Energieverbruik in TJ Gemeente'!$B$4:$Q$347,MATCH($C52,'Energieverbruik in TJ Gemeente'!$B$4:$B$347,0),MATCH(J$2,'Energieverbruik in TJ Gemeente'!$B$4:$Q$4,0))</f>
        <v>1212</v>
      </c>
      <c r="K52">
        <f>INDEX('Energieverbruik in TJ Gemeente'!$B$4:$Q$347,MATCH($C52,'Energieverbruik in TJ Gemeente'!$B$4:$B$347,0),MATCH(K$2,'Energieverbruik in TJ Gemeente'!$B$4:$Q$4,0))</f>
        <v>1287</v>
      </c>
      <c r="L52">
        <f>INDEX('Energieverbruik in TJ Gemeente'!$B$4:$Q$347,MATCH($C52,'Energieverbruik in TJ Gemeente'!$B$4:$B$347,0),MATCH(L$2,'Energieverbruik in TJ Gemeente'!$B$4:$Q$4,0))</f>
        <v>1270</v>
      </c>
      <c r="M52">
        <f>INDEX('Energieverbruik in TJ Gemeente'!$B$4:$Q$347,MATCH($C52,'Energieverbruik in TJ Gemeente'!$B$4:$B$347,0),MATCH(M$2,'Energieverbruik in TJ Gemeente'!$B$4:$Q$4,0))</f>
        <v>1245</v>
      </c>
      <c r="N52">
        <f>INDEX('Energieverbruik in TJ Gemeente'!$B$4:$Q$347,MATCH($C52,'Energieverbruik in TJ Gemeente'!$B$4:$B$347,0),MATCH(N$2,'Energieverbruik in TJ Gemeente'!$B$4:$Q$4,0))</f>
        <v>98</v>
      </c>
      <c r="O52">
        <f>INDEX('Energieverbruik in TJ Gemeente'!$B$4:$Q$347,MATCH($C52,'Energieverbruik in TJ Gemeente'!$B$4:$B$347,0),MATCH(O$2,'Energieverbruik in TJ Gemeente'!$B$4:$Q$4,0))</f>
        <v>46</v>
      </c>
      <c r="P52">
        <f>INDEX('Energieverbruik in TJ Gemeente'!$B$4:$Q$347,MATCH($C52,'Energieverbruik in TJ Gemeente'!$B$4:$B$347,0),MATCH(P$2,'Energieverbruik in TJ Gemeente'!$B$4:$Q$4,0))</f>
        <v>52</v>
      </c>
      <c r="Q52">
        <f>INDEX('Energieverbruik in TJ Gemeente'!$B$4:$Q$347,MATCH($C52,'Energieverbruik in TJ Gemeente'!$B$4:$B$347,0),MATCH(Q$2,'Energieverbruik in TJ Gemeente'!$B$4:$Q$4,0))</f>
        <v>44</v>
      </c>
      <c r="R52">
        <f>INDEX('Energieverbruik in TJ Gemeente'!$B$4:$Q$347,MATCH($C52,'Energieverbruik in TJ Gemeente'!$B$4:$B$347,0),MATCH(R$2,'Energieverbruik in TJ Gemeente'!$B$4:$Q$4,0))</f>
        <v>36</v>
      </c>
      <c r="S52" cm="1">
        <f t="array" ref="S52">MAX(_xlfn._xlws.FILTER(D$1:H$1, D52:H52&lt;&gt;"?"))</f>
        <v>2023</v>
      </c>
      <c r="T52" cm="1">
        <f t="array" ref="T52">MAX(_xlfn._xlws.FILTER(I$1:M$1, I52:M52&lt;&gt;"?"))</f>
        <v>2023</v>
      </c>
      <c r="U52" cm="1">
        <f t="array" ref="U52">MAX(_xlfn._xlws.FILTER(F$1:J$1, F52:J52&lt;&gt;"?"))</f>
        <v>2023</v>
      </c>
      <c r="V52">
        <f t="shared" si="0"/>
        <v>715</v>
      </c>
      <c r="W52">
        <f t="shared" si="1"/>
        <v>1245</v>
      </c>
      <c r="X52">
        <f t="shared" si="2"/>
        <v>36</v>
      </c>
      <c r="Y52">
        <f t="shared" si="3"/>
        <v>1996</v>
      </c>
      <c r="Z52">
        <f t="shared" si="4"/>
        <v>3.3172126107260972E-3</v>
      </c>
    </row>
    <row r="53" spans="1:26" ht="16" x14ac:dyDescent="0.2">
      <c r="A53" s="4" t="s">
        <v>167</v>
      </c>
      <c r="B53" s="4" t="s">
        <v>168</v>
      </c>
      <c r="C53" s="4" t="s">
        <v>169</v>
      </c>
      <c r="D53">
        <f>INDEX('Energieverbruik in TJ Gemeente'!$B$4:$Q$347,MATCH($C53,'Energieverbruik in TJ Gemeente'!$B$4:$B$347,0),MATCH(D$2,'Energieverbruik in TJ Gemeente'!$B$4:$Q$4,0))</f>
        <v>580</v>
      </c>
      <c r="E53">
        <f>INDEX('Energieverbruik in TJ Gemeente'!$B$4:$Q$347,MATCH($C53,'Energieverbruik in TJ Gemeente'!$B$4:$B$347,0),MATCH(E$2,'Energieverbruik in TJ Gemeente'!$B$4:$Q$4,0))</f>
        <v>555</v>
      </c>
      <c r="F53">
        <f>INDEX('Energieverbruik in TJ Gemeente'!$B$4:$Q$347,MATCH($C53,'Energieverbruik in TJ Gemeente'!$B$4:$B$347,0),MATCH(F$2,'Energieverbruik in TJ Gemeente'!$B$4:$Q$4,0))</f>
        <v>557</v>
      </c>
      <c r="G53">
        <f>INDEX('Energieverbruik in TJ Gemeente'!$B$4:$Q$347,MATCH($C53,'Energieverbruik in TJ Gemeente'!$B$4:$B$347,0),MATCH(G$2,'Energieverbruik in TJ Gemeente'!$B$4:$Q$4,0))</f>
        <v>488</v>
      </c>
      <c r="H53">
        <f>INDEX('Energieverbruik in TJ Gemeente'!$B$4:$Q$347,MATCH($C53,'Energieverbruik in TJ Gemeente'!$B$4:$B$347,0),MATCH(H$2,'Energieverbruik in TJ Gemeente'!$B$4:$Q$4,0))</f>
        <v>399</v>
      </c>
      <c r="I53">
        <f>INDEX('Energieverbruik in TJ Gemeente'!$B$4:$Q$347,MATCH($C53,'Energieverbruik in TJ Gemeente'!$B$4:$B$347,0),MATCH(I$2,'Energieverbruik in TJ Gemeente'!$B$4:$Q$4,0))</f>
        <v>4407</v>
      </c>
      <c r="J53">
        <f>INDEX('Energieverbruik in TJ Gemeente'!$B$4:$Q$347,MATCH($C53,'Energieverbruik in TJ Gemeente'!$B$4:$B$347,0),MATCH(J$2,'Energieverbruik in TJ Gemeente'!$B$4:$Q$4,0))</f>
        <v>4690</v>
      </c>
      <c r="K53">
        <f>INDEX('Energieverbruik in TJ Gemeente'!$B$4:$Q$347,MATCH($C53,'Energieverbruik in TJ Gemeente'!$B$4:$B$347,0),MATCH(K$2,'Energieverbruik in TJ Gemeente'!$B$4:$Q$4,0))</f>
        <v>4709</v>
      </c>
      <c r="L53">
        <f>INDEX('Energieverbruik in TJ Gemeente'!$B$4:$Q$347,MATCH($C53,'Energieverbruik in TJ Gemeente'!$B$4:$B$347,0),MATCH(L$2,'Energieverbruik in TJ Gemeente'!$B$4:$Q$4,0))</f>
        <v>4073</v>
      </c>
      <c r="M53">
        <f>INDEX('Energieverbruik in TJ Gemeente'!$B$4:$Q$347,MATCH($C53,'Energieverbruik in TJ Gemeente'!$B$4:$B$347,0),MATCH(M$2,'Energieverbruik in TJ Gemeente'!$B$4:$Q$4,0))</f>
        <v>2567</v>
      </c>
      <c r="N53">
        <f>INDEX('Energieverbruik in TJ Gemeente'!$B$4:$Q$347,MATCH($C53,'Energieverbruik in TJ Gemeente'!$B$4:$B$347,0),MATCH(N$2,'Energieverbruik in TJ Gemeente'!$B$4:$Q$4,0))</f>
        <v>7</v>
      </c>
      <c r="O53">
        <f>INDEX('Energieverbruik in TJ Gemeente'!$B$4:$Q$347,MATCH($C53,'Energieverbruik in TJ Gemeente'!$B$4:$B$347,0),MATCH(O$2,'Energieverbruik in TJ Gemeente'!$B$4:$Q$4,0))</f>
        <v>4</v>
      </c>
      <c r="P53">
        <f>INDEX('Energieverbruik in TJ Gemeente'!$B$4:$Q$347,MATCH($C53,'Energieverbruik in TJ Gemeente'!$B$4:$B$347,0),MATCH(P$2,'Energieverbruik in TJ Gemeente'!$B$4:$Q$4,0))</f>
        <v>5</v>
      </c>
      <c r="Q53">
        <f>INDEX('Energieverbruik in TJ Gemeente'!$B$4:$Q$347,MATCH($C53,'Energieverbruik in TJ Gemeente'!$B$4:$B$347,0),MATCH(Q$2,'Energieverbruik in TJ Gemeente'!$B$4:$Q$4,0))</f>
        <v>4</v>
      </c>
      <c r="R53">
        <f>INDEX('Energieverbruik in TJ Gemeente'!$B$4:$Q$347,MATCH($C53,'Energieverbruik in TJ Gemeente'!$B$4:$B$347,0),MATCH(R$2,'Energieverbruik in TJ Gemeente'!$B$4:$Q$4,0))</f>
        <v>4</v>
      </c>
      <c r="S53" cm="1">
        <f t="array" ref="S53">MAX(_xlfn._xlws.FILTER(D$1:H$1, D53:H53&lt;&gt;"?"))</f>
        <v>2023</v>
      </c>
      <c r="T53" cm="1">
        <f t="array" ref="T53">MAX(_xlfn._xlws.FILTER(I$1:M$1, I53:M53&lt;&gt;"?"))</f>
        <v>2023</v>
      </c>
      <c r="U53" cm="1">
        <f t="array" ref="U53">MAX(_xlfn._xlws.FILTER(F$1:J$1, F53:J53&lt;&gt;"?"))</f>
        <v>2023</v>
      </c>
      <c r="V53">
        <f t="shared" si="0"/>
        <v>399</v>
      </c>
      <c r="W53">
        <f t="shared" si="1"/>
        <v>2567</v>
      </c>
      <c r="X53">
        <f t="shared" si="2"/>
        <v>4</v>
      </c>
      <c r="Y53">
        <f t="shared" si="3"/>
        <v>2970</v>
      </c>
      <c r="Z53">
        <f t="shared" si="4"/>
        <v>4.9359325921124794E-3</v>
      </c>
    </row>
    <row r="54" spans="1:26" ht="16" x14ac:dyDescent="0.2">
      <c r="A54" s="4" t="s">
        <v>170</v>
      </c>
      <c r="B54" s="4" t="s">
        <v>171</v>
      </c>
      <c r="C54" s="4" t="s">
        <v>172</v>
      </c>
      <c r="D54">
        <f>INDEX('Energieverbruik in TJ Gemeente'!$B$4:$Q$347,MATCH($C54,'Energieverbruik in TJ Gemeente'!$B$4:$B$347,0),MATCH(D$2,'Energieverbruik in TJ Gemeente'!$B$4:$Q$4,0))</f>
        <v>717</v>
      </c>
      <c r="E54">
        <f>INDEX('Energieverbruik in TJ Gemeente'!$B$4:$Q$347,MATCH($C54,'Energieverbruik in TJ Gemeente'!$B$4:$B$347,0),MATCH(E$2,'Energieverbruik in TJ Gemeente'!$B$4:$Q$4,0))</f>
        <v>694</v>
      </c>
      <c r="F54">
        <f>INDEX('Energieverbruik in TJ Gemeente'!$B$4:$Q$347,MATCH($C54,'Energieverbruik in TJ Gemeente'!$B$4:$B$347,0),MATCH(F$2,'Energieverbruik in TJ Gemeente'!$B$4:$Q$4,0))</f>
        <v>697</v>
      </c>
      <c r="G54" t="str">
        <f>INDEX('Energieverbruik in TJ Gemeente'!$B$4:$Q$347,MATCH($C54,'Energieverbruik in TJ Gemeente'!$B$4:$B$347,0),MATCH(G$2,'Energieverbruik in TJ Gemeente'!$B$4:$Q$4,0))</f>
        <v>?</v>
      </c>
      <c r="H54" t="str">
        <f>INDEX('Energieverbruik in TJ Gemeente'!$B$4:$Q$347,MATCH($C54,'Energieverbruik in TJ Gemeente'!$B$4:$B$347,0),MATCH(H$2,'Energieverbruik in TJ Gemeente'!$B$4:$Q$4,0))</f>
        <v>?</v>
      </c>
      <c r="I54" t="str">
        <f>INDEX('Energieverbruik in TJ Gemeente'!$B$4:$Q$347,MATCH($C54,'Energieverbruik in TJ Gemeente'!$B$4:$B$347,0),MATCH(I$2,'Energieverbruik in TJ Gemeente'!$B$4:$Q$4,0))</f>
        <v>?</v>
      </c>
      <c r="J54" t="str">
        <f>INDEX('Energieverbruik in TJ Gemeente'!$B$4:$Q$347,MATCH($C54,'Energieverbruik in TJ Gemeente'!$B$4:$B$347,0),MATCH(J$2,'Energieverbruik in TJ Gemeente'!$B$4:$Q$4,0))</f>
        <v>?</v>
      </c>
      <c r="K54" t="str">
        <f>INDEX('Energieverbruik in TJ Gemeente'!$B$4:$Q$347,MATCH($C54,'Energieverbruik in TJ Gemeente'!$B$4:$B$347,0),MATCH(K$2,'Energieverbruik in TJ Gemeente'!$B$4:$Q$4,0))</f>
        <v>?</v>
      </c>
      <c r="L54" t="str">
        <f>INDEX('Energieverbruik in TJ Gemeente'!$B$4:$Q$347,MATCH($C54,'Energieverbruik in TJ Gemeente'!$B$4:$B$347,0),MATCH(L$2,'Energieverbruik in TJ Gemeente'!$B$4:$Q$4,0))</f>
        <v>?</v>
      </c>
      <c r="M54" t="str">
        <f>INDEX('Energieverbruik in TJ Gemeente'!$B$4:$Q$347,MATCH($C54,'Energieverbruik in TJ Gemeente'!$B$4:$B$347,0),MATCH(M$2,'Energieverbruik in TJ Gemeente'!$B$4:$Q$4,0))</f>
        <v>?</v>
      </c>
      <c r="N54">
        <f>INDEX('Energieverbruik in TJ Gemeente'!$B$4:$Q$347,MATCH($C54,'Energieverbruik in TJ Gemeente'!$B$4:$B$347,0),MATCH(N$2,'Energieverbruik in TJ Gemeente'!$B$4:$Q$4,0))</f>
        <v>1</v>
      </c>
      <c r="O54">
        <f>INDEX('Energieverbruik in TJ Gemeente'!$B$4:$Q$347,MATCH($C54,'Energieverbruik in TJ Gemeente'!$B$4:$B$347,0),MATCH(O$2,'Energieverbruik in TJ Gemeente'!$B$4:$Q$4,0))</f>
        <v>1</v>
      </c>
      <c r="P54">
        <f>INDEX('Energieverbruik in TJ Gemeente'!$B$4:$Q$347,MATCH($C54,'Energieverbruik in TJ Gemeente'!$B$4:$B$347,0),MATCH(P$2,'Energieverbruik in TJ Gemeente'!$B$4:$Q$4,0))</f>
        <v>1</v>
      </c>
      <c r="Q54">
        <f>INDEX('Energieverbruik in TJ Gemeente'!$B$4:$Q$347,MATCH($C54,'Energieverbruik in TJ Gemeente'!$B$4:$B$347,0),MATCH(Q$2,'Energieverbruik in TJ Gemeente'!$B$4:$Q$4,0))</f>
        <v>1</v>
      </c>
      <c r="R54">
        <f>INDEX('Energieverbruik in TJ Gemeente'!$B$4:$Q$347,MATCH($C54,'Energieverbruik in TJ Gemeente'!$B$4:$B$347,0),MATCH(R$2,'Energieverbruik in TJ Gemeente'!$B$4:$Q$4,0))</f>
        <v>1</v>
      </c>
      <c r="S54" cm="1">
        <f t="array" ref="S54">MAX(_xlfn._xlws.FILTER(D$1:H$1, D54:H54&lt;&gt;"?"))</f>
        <v>2021</v>
      </c>
      <c r="T54" t="e" cm="1" vm="1">
        <f t="array" ref="T54">MAX(_xlfn._xlws.FILTER(I$1:M$1, I54:M54&lt;&gt;"?"))</f>
        <v>#VALUE!</v>
      </c>
      <c r="U54" cm="1">
        <f t="array" ref="U54">MAX(_xlfn._xlws.FILTER(F$1:J$1, F54:J54&lt;&gt;"?"))</f>
        <v>2021</v>
      </c>
      <c r="V54">
        <f t="shared" si="0"/>
        <v>697</v>
      </c>
      <c r="W54">
        <f t="shared" si="1"/>
        <v>0</v>
      </c>
      <c r="X54">
        <f t="shared" si="2"/>
        <v>1</v>
      </c>
      <c r="Y54">
        <f t="shared" si="3"/>
        <v>698</v>
      </c>
      <c r="Z54">
        <f t="shared" si="4"/>
        <v>1.1600272556547173E-3</v>
      </c>
    </row>
    <row r="55" spans="1:26" ht="16" x14ac:dyDescent="0.2">
      <c r="A55" s="4" t="s">
        <v>173</v>
      </c>
      <c r="B55" s="4" t="s">
        <v>174</v>
      </c>
      <c r="C55" s="4" t="s">
        <v>175</v>
      </c>
      <c r="D55">
        <f>INDEX('Energieverbruik in TJ Gemeente'!$B$4:$Q$347,MATCH($C55,'Energieverbruik in TJ Gemeente'!$B$4:$B$347,0),MATCH(D$2,'Energieverbruik in TJ Gemeente'!$B$4:$Q$4,0))</f>
        <v>480</v>
      </c>
      <c r="E55">
        <f>INDEX('Energieverbruik in TJ Gemeente'!$B$4:$Q$347,MATCH($C55,'Energieverbruik in TJ Gemeente'!$B$4:$B$347,0),MATCH(E$2,'Energieverbruik in TJ Gemeente'!$B$4:$Q$4,0))</f>
        <v>456</v>
      </c>
      <c r="F55">
        <f>INDEX('Energieverbruik in TJ Gemeente'!$B$4:$Q$347,MATCH($C55,'Energieverbruik in TJ Gemeente'!$B$4:$B$347,0),MATCH(F$2,'Energieverbruik in TJ Gemeente'!$B$4:$Q$4,0))</f>
        <v>465</v>
      </c>
      <c r="G55">
        <f>INDEX('Energieverbruik in TJ Gemeente'!$B$4:$Q$347,MATCH($C55,'Energieverbruik in TJ Gemeente'!$B$4:$B$347,0),MATCH(G$2,'Energieverbruik in TJ Gemeente'!$B$4:$Q$4,0))</f>
        <v>413</v>
      </c>
      <c r="H55">
        <f>INDEX('Energieverbruik in TJ Gemeente'!$B$4:$Q$347,MATCH($C55,'Energieverbruik in TJ Gemeente'!$B$4:$B$347,0),MATCH(H$2,'Energieverbruik in TJ Gemeente'!$B$4:$Q$4,0))</f>
        <v>357</v>
      </c>
      <c r="I55">
        <f>INDEX('Energieverbruik in TJ Gemeente'!$B$4:$Q$347,MATCH($C55,'Energieverbruik in TJ Gemeente'!$B$4:$B$347,0),MATCH(I$2,'Energieverbruik in TJ Gemeente'!$B$4:$Q$4,0))</f>
        <v>7</v>
      </c>
      <c r="J55">
        <f>INDEX('Energieverbruik in TJ Gemeente'!$B$4:$Q$347,MATCH($C55,'Energieverbruik in TJ Gemeente'!$B$4:$B$347,0),MATCH(J$2,'Energieverbruik in TJ Gemeente'!$B$4:$Q$4,0))</f>
        <v>6</v>
      </c>
      <c r="K55">
        <f>INDEX('Energieverbruik in TJ Gemeente'!$B$4:$Q$347,MATCH($C55,'Energieverbruik in TJ Gemeente'!$B$4:$B$347,0),MATCH(K$2,'Energieverbruik in TJ Gemeente'!$B$4:$Q$4,0))</f>
        <v>8</v>
      </c>
      <c r="L55">
        <f>INDEX('Energieverbruik in TJ Gemeente'!$B$4:$Q$347,MATCH($C55,'Energieverbruik in TJ Gemeente'!$B$4:$B$347,0),MATCH(L$2,'Energieverbruik in TJ Gemeente'!$B$4:$Q$4,0))</f>
        <v>6</v>
      </c>
      <c r="M55">
        <f>INDEX('Energieverbruik in TJ Gemeente'!$B$4:$Q$347,MATCH($C55,'Energieverbruik in TJ Gemeente'!$B$4:$B$347,0),MATCH(M$2,'Energieverbruik in TJ Gemeente'!$B$4:$Q$4,0))</f>
        <v>5</v>
      </c>
      <c r="N55">
        <f>INDEX('Energieverbruik in TJ Gemeente'!$B$4:$Q$347,MATCH($C55,'Energieverbruik in TJ Gemeente'!$B$4:$B$347,0),MATCH(N$2,'Energieverbruik in TJ Gemeente'!$B$4:$Q$4,0))</f>
        <v>12</v>
      </c>
      <c r="O55">
        <f>INDEX('Energieverbruik in TJ Gemeente'!$B$4:$Q$347,MATCH($C55,'Energieverbruik in TJ Gemeente'!$B$4:$B$347,0),MATCH(O$2,'Energieverbruik in TJ Gemeente'!$B$4:$Q$4,0))</f>
        <v>10</v>
      </c>
      <c r="P55">
        <f>INDEX('Energieverbruik in TJ Gemeente'!$B$4:$Q$347,MATCH($C55,'Energieverbruik in TJ Gemeente'!$B$4:$B$347,0),MATCH(P$2,'Energieverbruik in TJ Gemeente'!$B$4:$Q$4,0))</f>
        <v>11</v>
      </c>
      <c r="Q55">
        <f>INDEX('Energieverbruik in TJ Gemeente'!$B$4:$Q$347,MATCH($C55,'Energieverbruik in TJ Gemeente'!$B$4:$B$347,0),MATCH(Q$2,'Energieverbruik in TJ Gemeente'!$B$4:$Q$4,0))</f>
        <v>9</v>
      </c>
      <c r="R55">
        <f>INDEX('Energieverbruik in TJ Gemeente'!$B$4:$Q$347,MATCH($C55,'Energieverbruik in TJ Gemeente'!$B$4:$B$347,0),MATCH(R$2,'Energieverbruik in TJ Gemeente'!$B$4:$Q$4,0))</f>
        <v>7</v>
      </c>
      <c r="S55" cm="1">
        <f t="array" ref="S55">MAX(_xlfn._xlws.FILTER(D$1:H$1, D55:H55&lt;&gt;"?"))</f>
        <v>2023</v>
      </c>
      <c r="T55" cm="1">
        <f t="array" ref="T55">MAX(_xlfn._xlws.FILTER(I$1:M$1, I55:M55&lt;&gt;"?"))</f>
        <v>2023</v>
      </c>
      <c r="U55" cm="1">
        <f t="array" ref="U55">MAX(_xlfn._xlws.FILTER(F$1:J$1, F55:J55&lt;&gt;"?"))</f>
        <v>2023</v>
      </c>
      <c r="V55">
        <f t="shared" si="0"/>
        <v>357</v>
      </c>
      <c r="W55">
        <f t="shared" si="1"/>
        <v>5</v>
      </c>
      <c r="X55">
        <f t="shared" si="2"/>
        <v>7</v>
      </c>
      <c r="Y55">
        <f t="shared" si="3"/>
        <v>369</v>
      </c>
      <c r="Z55">
        <f t="shared" si="4"/>
        <v>6.1325223114124742E-4</v>
      </c>
    </row>
    <row r="56" spans="1:26" ht="16" x14ac:dyDescent="0.2">
      <c r="A56" s="4" t="s">
        <v>176</v>
      </c>
      <c r="B56" s="4" t="s">
        <v>177</v>
      </c>
      <c r="C56" s="4" t="s">
        <v>178</v>
      </c>
      <c r="D56">
        <f>INDEX('Energieverbruik in TJ Gemeente'!$B$4:$Q$347,MATCH($C56,'Energieverbruik in TJ Gemeente'!$B$4:$B$347,0),MATCH(D$2,'Energieverbruik in TJ Gemeente'!$B$4:$Q$4,0))</f>
        <v>557</v>
      </c>
      <c r="E56">
        <f>INDEX('Energieverbruik in TJ Gemeente'!$B$4:$Q$347,MATCH($C56,'Energieverbruik in TJ Gemeente'!$B$4:$B$347,0),MATCH(E$2,'Energieverbruik in TJ Gemeente'!$B$4:$Q$4,0))</f>
        <v>533</v>
      </c>
      <c r="F56">
        <f>INDEX('Energieverbruik in TJ Gemeente'!$B$4:$Q$347,MATCH($C56,'Energieverbruik in TJ Gemeente'!$B$4:$B$347,0),MATCH(F$2,'Energieverbruik in TJ Gemeente'!$B$4:$Q$4,0))</f>
        <v>538</v>
      </c>
      <c r="G56">
        <f>INDEX('Energieverbruik in TJ Gemeente'!$B$4:$Q$347,MATCH($C56,'Energieverbruik in TJ Gemeente'!$B$4:$B$347,0),MATCH(G$2,'Energieverbruik in TJ Gemeente'!$B$4:$Q$4,0))</f>
        <v>443</v>
      </c>
      <c r="H56">
        <f>INDEX('Energieverbruik in TJ Gemeente'!$B$4:$Q$347,MATCH($C56,'Energieverbruik in TJ Gemeente'!$B$4:$B$347,0),MATCH(H$2,'Energieverbruik in TJ Gemeente'!$B$4:$Q$4,0))</f>
        <v>396</v>
      </c>
      <c r="I56">
        <f>INDEX('Energieverbruik in TJ Gemeente'!$B$4:$Q$347,MATCH($C56,'Energieverbruik in TJ Gemeente'!$B$4:$B$347,0),MATCH(I$2,'Energieverbruik in TJ Gemeente'!$B$4:$Q$4,0))</f>
        <v>299</v>
      </c>
      <c r="J56">
        <f>INDEX('Energieverbruik in TJ Gemeente'!$B$4:$Q$347,MATCH($C56,'Energieverbruik in TJ Gemeente'!$B$4:$B$347,0),MATCH(J$2,'Energieverbruik in TJ Gemeente'!$B$4:$Q$4,0))</f>
        <v>288</v>
      </c>
      <c r="K56">
        <f>INDEX('Energieverbruik in TJ Gemeente'!$B$4:$Q$347,MATCH($C56,'Energieverbruik in TJ Gemeente'!$B$4:$B$347,0),MATCH(K$2,'Energieverbruik in TJ Gemeente'!$B$4:$Q$4,0))</f>
        <v>304</v>
      </c>
      <c r="L56">
        <f>INDEX('Energieverbruik in TJ Gemeente'!$B$4:$Q$347,MATCH($C56,'Energieverbruik in TJ Gemeente'!$B$4:$B$347,0),MATCH(L$2,'Energieverbruik in TJ Gemeente'!$B$4:$Q$4,0))</f>
        <v>229</v>
      </c>
      <c r="M56" t="str">
        <f>INDEX('Energieverbruik in TJ Gemeente'!$B$4:$Q$347,MATCH($C56,'Energieverbruik in TJ Gemeente'!$B$4:$B$347,0),MATCH(M$2,'Energieverbruik in TJ Gemeente'!$B$4:$Q$4,0))</f>
        <v>?</v>
      </c>
      <c r="N56">
        <f>INDEX('Energieverbruik in TJ Gemeente'!$B$4:$Q$347,MATCH($C56,'Energieverbruik in TJ Gemeente'!$B$4:$B$347,0),MATCH(N$2,'Energieverbruik in TJ Gemeente'!$B$4:$Q$4,0))</f>
        <v>7</v>
      </c>
      <c r="O56">
        <f>INDEX('Energieverbruik in TJ Gemeente'!$B$4:$Q$347,MATCH($C56,'Energieverbruik in TJ Gemeente'!$B$4:$B$347,0),MATCH(O$2,'Energieverbruik in TJ Gemeente'!$B$4:$Q$4,0))</f>
        <v>7</v>
      </c>
      <c r="P56">
        <f>INDEX('Energieverbruik in TJ Gemeente'!$B$4:$Q$347,MATCH($C56,'Energieverbruik in TJ Gemeente'!$B$4:$B$347,0),MATCH(P$2,'Energieverbruik in TJ Gemeente'!$B$4:$Q$4,0))</f>
        <v>7</v>
      </c>
      <c r="Q56">
        <f>INDEX('Energieverbruik in TJ Gemeente'!$B$4:$Q$347,MATCH($C56,'Energieverbruik in TJ Gemeente'!$B$4:$B$347,0),MATCH(Q$2,'Energieverbruik in TJ Gemeente'!$B$4:$Q$4,0))</f>
        <v>6</v>
      </c>
      <c r="R56">
        <f>INDEX('Energieverbruik in TJ Gemeente'!$B$4:$Q$347,MATCH($C56,'Energieverbruik in TJ Gemeente'!$B$4:$B$347,0),MATCH(R$2,'Energieverbruik in TJ Gemeente'!$B$4:$Q$4,0))</f>
        <v>6</v>
      </c>
      <c r="S56" cm="1">
        <f t="array" ref="S56">MAX(_xlfn._xlws.FILTER(D$1:H$1, D56:H56&lt;&gt;"?"))</f>
        <v>2023</v>
      </c>
      <c r="T56" cm="1">
        <f t="array" ref="T56">MAX(_xlfn._xlws.FILTER(I$1:M$1, I56:M56&lt;&gt;"?"))</f>
        <v>2022</v>
      </c>
      <c r="U56" cm="1">
        <f t="array" ref="U56">MAX(_xlfn._xlws.FILTER(F$1:J$1, F56:J56&lt;&gt;"?"))</f>
        <v>2023</v>
      </c>
      <c r="V56">
        <f t="shared" si="0"/>
        <v>396</v>
      </c>
      <c r="W56">
        <f t="shared" si="1"/>
        <v>229</v>
      </c>
      <c r="X56">
        <f t="shared" si="2"/>
        <v>6</v>
      </c>
      <c r="Y56">
        <f t="shared" si="3"/>
        <v>631</v>
      </c>
      <c r="Z56">
        <f t="shared" si="4"/>
        <v>1.0486779345531901E-3</v>
      </c>
    </row>
    <row r="57" spans="1:26" ht="16" x14ac:dyDescent="0.2">
      <c r="A57" s="4" t="s">
        <v>179</v>
      </c>
      <c r="B57" s="4" t="s">
        <v>180</v>
      </c>
      <c r="C57" s="4" t="s">
        <v>181</v>
      </c>
      <c r="D57">
        <f>INDEX('Energieverbruik in TJ Gemeente'!$B$4:$Q$347,MATCH($C57,'Energieverbruik in TJ Gemeente'!$B$4:$B$347,0),MATCH(D$2,'Energieverbruik in TJ Gemeente'!$B$4:$Q$4,0))</f>
        <v>681</v>
      </c>
      <c r="E57">
        <f>INDEX('Energieverbruik in TJ Gemeente'!$B$4:$Q$347,MATCH($C57,'Energieverbruik in TJ Gemeente'!$B$4:$B$347,0),MATCH(E$2,'Energieverbruik in TJ Gemeente'!$B$4:$Q$4,0))</f>
        <v>660</v>
      </c>
      <c r="F57">
        <f>INDEX('Energieverbruik in TJ Gemeente'!$B$4:$Q$347,MATCH($C57,'Energieverbruik in TJ Gemeente'!$B$4:$B$347,0),MATCH(F$2,'Energieverbruik in TJ Gemeente'!$B$4:$Q$4,0))</f>
        <v>663</v>
      </c>
      <c r="G57">
        <f>INDEX('Energieverbruik in TJ Gemeente'!$B$4:$Q$347,MATCH($C57,'Energieverbruik in TJ Gemeente'!$B$4:$B$347,0),MATCH(G$2,'Energieverbruik in TJ Gemeente'!$B$4:$Q$4,0))</f>
        <v>579</v>
      </c>
      <c r="H57">
        <f>INDEX('Energieverbruik in TJ Gemeente'!$B$4:$Q$347,MATCH($C57,'Energieverbruik in TJ Gemeente'!$B$4:$B$347,0),MATCH(H$2,'Energieverbruik in TJ Gemeente'!$B$4:$Q$4,0))</f>
        <v>464</v>
      </c>
      <c r="I57">
        <f>INDEX('Energieverbruik in TJ Gemeente'!$B$4:$Q$347,MATCH($C57,'Energieverbruik in TJ Gemeente'!$B$4:$B$347,0),MATCH(I$2,'Energieverbruik in TJ Gemeente'!$B$4:$Q$4,0))</f>
        <v>26</v>
      </c>
      <c r="J57">
        <f>INDEX('Energieverbruik in TJ Gemeente'!$B$4:$Q$347,MATCH($C57,'Energieverbruik in TJ Gemeente'!$B$4:$B$347,0),MATCH(J$2,'Energieverbruik in TJ Gemeente'!$B$4:$Q$4,0))</f>
        <v>16</v>
      </c>
      <c r="K57">
        <f>INDEX('Energieverbruik in TJ Gemeente'!$B$4:$Q$347,MATCH($C57,'Energieverbruik in TJ Gemeente'!$B$4:$B$347,0),MATCH(K$2,'Energieverbruik in TJ Gemeente'!$B$4:$Q$4,0))</f>
        <v>20</v>
      </c>
      <c r="L57">
        <f>INDEX('Energieverbruik in TJ Gemeente'!$B$4:$Q$347,MATCH($C57,'Energieverbruik in TJ Gemeente'!$B$4:$B$347,0),MATCH(L$2,'Energieverbruik in TJ Gemeente'!$B$4:$Q$4,0))</f>
        <v>45</v>
      </c>
      <c r="M57">
        <f>INDEX('Energieverbruik in TJ Gemeente'!$B$4:$Q$347,MATCH($C57,'Energieverbruik in TJ Gemeente'!$B$4:$B$347,0),MATCH(M$2,'Energieverbruik in TJ Gemeente'!$B$4:$Q$4,0))</f>
        <v>70</v>
      </c>
      <c r="N57">
        <f>INDEX('Energieverbruik in TJ Gemeente'!$B$4:$Q$347,MATCH($C57,'Energieverbruik in TJ Gemeente'!$B$4:$B$347,0),MATCH(N$2,'Energieverbruik in TJ Gemeente'!$B$4:$Q$4,0))</f>
        <v>35</v>
      </c>
      <c r="O57">
        <f>INDEX('Energieverbruik in TJ Gemeente'!$B$4:$Q$347,MATCH($C57,'Energieverbruik in TJ Gemeente'!$B$4:$B$347,0),MATCH(O$2,'Energieverbruik in TJ Gemeente'!$B$4:$Q$4,0))</f>
        <v>23</v>
      </c>
      <c r="P57">
        <f>INDEX('Energieverbruik in TJ Gemeente'!$B$4:$Q$347,MATCH($C57,'Energieverbruik in TJ Gemeente'!$B$4:$B$347,0),MATCH(P$2,'Energieverbruik in TJ Gemeente'!$B$4:$Q$4,0))</f>
        <v>27</v>
      </c>
      <c r="Q57">
        <f>INDEX('Energieverbruik in TJ Gemeente'!$B$4:$Q$347,MATCH($C57,'Energieverbruik in TJ Gemeente'!$B$4:$B$347,0),MATCH(Q$2,'Energieverbruik in TJ Gemeente'!$B$4:$Q$4,0))</f>
        <v>20</v>
      </c>
      <c r="R57">
        <f>INDEX('Energieverbruik in TJ Gemeente'!$B$4:$Q$347,MATCH($C57,'Energieverbruik in TJ Gemeente'!$B$4:$B$347,0),MATCH(R$2,'Energieverbruik in TJ Gemeente'!$B$4:$Q$4,0))</f>
        <v>16</v>
      </c>
      <c r="S57" cm="1">
        <f t="array" ref="S57">MAX(_xlfn._xlws.FILTER(D$1:H$1, D57:H57&lt;&gt;"?"))</f>
        <v>2023</v>
      </c>
      <c r="T57" cm="1">
        <f t="array" ref="T57">MAX(_xlfn._xlws.FILTER(I$1:M$1, I57:M57&lt;&gt;"?"))</f>
        <v>2023</v>
      </c>
      <c r="U57" cm="1">
        <f t="array" ref="U57">MAX(_xlfn._xlws.FILTER(F$1:J$1, F57:J57&lt;&gt;"?"))</f>
        <v>2023</v>
      </c>
      <c r="V57">
        <f t="shared" si="0"/>
        <v>464</v>
      </c>
      <c r="W57">
        <f t="shared" si="1"/>
        <v>70</v>
      </c>
      <c r="X57">
        <f t="shared" si="2"/>
        <v>16</v>
      </c>
      <c r="Y57">
        <f t="shared" si="3"/>
        <v>550</v>
      </c>
      <c r="Z57">
        <f t="shared" si="4"/>
        <v>9.1406159113194068E-4</v>
      </c>
    </row>
    <row r="58" spans="1:26" ht="32" x14ac:dyDescent="0.2">
      <c r="A58" s="4" t="s">
        <v>182</v>
      </c>
      <c r="B58" s="4" t="s">
        <v>183</v>
      </c>
      <c r="C58" s="4" t="s">
        <v>184</v>
      </c>
      <c r="D58">
        <f>INDEX('Energieverbruik in TJ Gemeente'!$B$4:$Q$347,MATCH($C58,'Energieverbruik in TJ Gemeente'!$B$4:$B$347,0),MATCH(D$2,'Energieverbruik in TJ Gemeente'!$B$4:$Q$4,0))</f>
        <v>1042</v>
      </c>
      <c r="E58">
        <f>INDEX('Energieverbruik in TJ Gemeente'!$B$4:$Q$347,MATCH($C58,'Energieverbruik in TJ Gemeente'!$B$4:$B$347,0),MATCH(E$2,'Energieverbruik in TJ Gemeente'!$B$4:$Q$4,0))</f>
        <v>1046</v>
      </c>
      <c r="F58">
        <f>INDEX('Energieverbruik in TJ Gemeente'!$B$4:$Q$347,MATCH($C58,'Energieverbruik in TJ Gemeente'!$B$4:$B$347,0),MATCH(F$2,'Energieverbruik in TJ Gemeente'!$B$4:$Q$4,0))</f>
        <v>1051</v>
      </c>
      <c r="G58">
        <f>INDEX('Energieverbruik in TJ Gemeente'!$B$4:$Q$347,MATCH($C58,'Energieverbruik in TJ Gemeente'!$B$4:$B$347,0),MATCH(G$2,'Energieverbruik in TJ Gemeente'!$B$4:$Q$4,0))</f>
        <v>914</v>
      </c>
      <c r="H58">
        <f>INDEX('Energieverbruik in TJ Gemeente'!$B$4:$Q$347,MATCH($C58,'Energieverbruik in TJ Gemeente'!$B$4:$B$347,0),MATCH(H$2,'Energieverbruik in TJ Gemeente'!$B$4:$Q$4,0))</f>
        <v>789</v>
      </c>
      <c r="I58">
        <f>INDEX('Energieverbruik in TJ Gemeente'!$B$4:$Q$347,MATCH($C58,'Energieverbruik in TJ Gemeente'!$B$4:$B$347,0),MATCH(I$2,'Energieverbruik in TJ Gemeente'!$B$4:$Q$4,0))</f>
        <v>37</v>
      </c>
      <c r="J58">
        <f>INDEX('Energieverbruik in TJ Gemeente'!$B$4:$Q$347,MATCH($C58,'Energieverbruik in TJ Gemeente'!$B$4:$B$347,0),MATCH(J$2,'Energieverbruik in TJ Gemeente'!$B$4:$Q$4,0))</f>
        <v>31</v>
      </c>
      <c r="K58">
        <f>INDEX('Energieverbruik in TJ Gemeente'!$B$4:$Q$347,MATCH($C58,'Energieverbruik in TJ Gemeente'!$B$4:$B$347,0),MATCH(K$2,'Energieverbruik in TJ Gemeente'!$B$4:$Q$4,0))</f>
        <v>34</v>
      </c>
      <c r="L58">
        <f>INDEX('Energieverbruik in TJ Gemeente'!$B$4:$Q$347,MATCH($C58,'Energieverbruik in TJ Gemeente'!$B$4:$B$347,0),MATCH(L$2,'Energieverbruik in TJ Gemeente'!$B$4:$Q$4,0))</f>
        <v>29</v>
      </c>
      <c r="M58">
        <f>INDEX('Energieverbruik in TJ Gemeente'!$B$4:$Q$347,MATCH($C58,'Energieverbruik in TJ Gemeente'!$B$4:$B$347,0),MATCH(M$2,'Energieverbruik in TJ Gemeente'!$B$4:$Q$4,0))</f>
        <v>27</v>
      </c>
      <c r="N58" t="str">
        <f>INDEX('Energieverbruik in TJ Gemeente'!$B$4:$Q$347,MATCH($C58,'Energieverbruik in TJ Gemeente'!$B$4:$B$347,0),MATCH(N$2,'Energieverbruik in TJ Gemeente'!$B$4:$Q$4,0))</f>
        <v>?</v>
      </c>
      <c r="O58" t="str">
        <f>INDEX('Energieverbruik in TJ Gemeente'!$B$4:$Q$347,MATCH($C58,'Energieverbruik in TJ Gemeente'!$B$4:$B$347,0),MATCH(O$2,'Energieverbruik in TJ Gemeente'!$B$4:$Q$4,0))</f>
        <v>?</v>
      </c>
      <c r="P58" t="str">
        <f>INDEX('Energieverbruik in TJ Gemeente'!$B$4:$Q$347,MATCH($C58,'Energieverbruik in TJ Gemeente'!$B$4:$B$347,0),MATCH(P$2,'Energieverbruik in TJ Gemeente'!$B$4:$Q$4,0))</f>
        <v>?</v>
      </c>
      <c r="Q58" t="str">
        <f>INDEX('Energieverbruik in TJ Gemeente'!$B$4:$Q$347,MATCH($C58,'Energieverbruik in TJ Gemeente'!$B$4:$B$347,0),MATCH(Q$2,'Energieverbruik in TJ Gemeente'!$B$4:$Q$4,0))</f>
        <v>?</v>
      </c>
      <c r="R58">
        <f>INDEX('Energieverbruik in TJ Gemeente'!$B$4:$Q$347,MATCH($C58,'Energieverbruik in TJ Gemeente'!$B$4:$B$347,0),MATCH(R$2,'Energieverbruik in TJ Gemeente'!$B$4:$Q$4,0))</f>
        <v>0</v>
      </c>
      <c r="S58" cm="1">
        <f t="array" ref="S58">MAX(_xlfn._xlws.FILTER(D$1:H$1, D58:H58&lt;&gt;"?"))</f>
        <v>2023</v>
      </c>
      <c r="T58" cm="1">
        <f t="array" ref="T58">MAX(_xlfn._xlws.FILTER(I$1:M$1, I58:M58&lt;&gt;"?"))</f>
        <v>2023</v>
      </c>
      <c r="U58" cm="1">
        <f t="array" ref="U58">MAX(_xlfn._xlws.FILTER(F$1:J$1, F58:J58&lt;&gt;"?"))</f>
        <v>2023</v>
      </c>
      <c r="V58">
        <f t="shared" si="0"/>
        <v>789</v>
      </c>
      <c r="W58">
        <f t="shared" si="1"/>
        <v>27</v>
      </c>
      <c r="X58">
        <f t="shared" si="2"/>
        <v>0</v>
      </c>
      <c r="Y58">
        <f t="shared" si="3"/>
        <v>816</v>
      </c>
      <c r="Z58">
        <f t="shared" si="4"/>
        <v>1.3561350152066611E-3</v>
      </c>
    </row>
    <row r="59" spans="1:26" ht="16" x14ac:dyDescent="0.2">
      <c r="A59" s="4" t="s">
        <v>185</v>
      </c>
      <c r="B59" s="4" t="s">
        <v>186</v>
      </c>
      <c r="C59" s="4" t="s">
        <v>187</v>
      </c>
      <c r="D59">
        <f>INDEX('Energieverbruik in TJ Gemeente'!$B$4:$Q$347,MATCH($C59,'Energieverbruik in TJ Gemeente'!$B$4:$B$347,0),MATCH(D$2,'Energieverbruik in TJ Gemeente'!$B$4:$Q$4,0))</f>
        <v>893</v>
      </c>
      <c r="E59">
        <f>INDEX('Energieverbruik in TJ Gemeente'!$B$4:$Q$347,MATCH($C59,'Energieverbruik in TJ Gemeente'!$B$4:$B$347,0),MATCH(E$2,'Energieverbruik in TJ Gemeente'!$B$4:$Q$4,0))</f>
        <v>868</v>
      </c>
      <c r="F59">
        <f>INDEX('Energieverbruik in TJ Gemeente'!$B$4:$Q$347,MATCH($C59,'Energieverbruik in TJ Gemeente'!$B$4:$B$347,0),MATCH(F$2,'Energieverbruik in TJ Gemeente'!$B$4:$Q$4,0))</f>
        <v>879</v>
      </c>
      <c r="G59">
        <f>INDEX('Energieverbruik in TJ Gemeente'!$B$4:$Q$347,MATCH($C59,'Energieverbruik in TJ Gemeente'!$B$4:$B$347,0),MATCH(G$2,'Energieverbruik in TJ Gemeente'!$B$4:$Q$4,0))</f>
        <v>756</v>
      </c>
      <c r="H59">
        <f>INDEX('Energieverbruik in TJ Gemeente'!$B$4:$Q$347,MATCH($C59,'Energieverbruik in TJ Gemeente'!$B$4:$B$347,0),MATCH(H$2,'Energieverbruik in TJ Gemeente'!$B$4:$Q$4,0))</f>
        <v>646</v>
      </c>
      <c r="I59">
        <f>INDEX('Energieverbruik in TJ Gemeente'!$B$4:$Q$347,MATCH($C59,'Energieverbruik in TJ Gemeente'!$B$4:$B$347,0),MATCH(I$2,'Energieverbruik in TJ Gemeente'!$B$4:$Q$4,0))</f>
        <v>12</v>
      </c>
      <c r="J59">
        <f>INDEX('Energieverbruik in TJ Gemeente'!$B$4:$Q$347,MATCH($C59,'Energieverbruik in TJ Gemeente'!$B$4:$B$347,0),MATCH(J$2,'Energieverbruik in TJ Gemeente'!$B$4:$Q$4,0))</f>
        <v>11</v>
      </c>
      <c r="K59">
        <f>INDEX('Energieverbruik in TJ Gemeente'!$B$4:$Q$347,MATCH($C59,'Energieverbruik in TJ Gemeente'!$B$4:$B$347,0),MATCH(K$2,'Energieverbruik in TJ Gemeente'!$B$4:$Q$4,0))</f>
        <v>11</v>
      </c>
      <c r="L59">
        <f>INDEX('Energieverbruik in TJ Gemeente'!$B$4:$Q$347,MATCH($C59,'Energieverbruik in TJ Gemeente'!$B$4:$B$347,0),MATCH(L$2,'Energieverbruik in TJ Gemeente'!$B$4:$Q$4,0))</f>
        <v>9</v>
      </c>
      <c r="M59">
        <f>INDEX('Energieverbruik in TJ Gemeente'!$B$4:$Q$347,MATCH($C59,'Energieverbruik in TJ Gemeente'!$B$4:$B$347,0),MATCH(M$2,'Energieverbruik in TJ Gemeente'!$B$4:$Q$4,0))</f>
        <v>8</v>
      </c>
      <c r="N59">
        <f>INDEX('Energieverbruik in TJ Gemeente'!$B$4:$Q$347,MATCH($C59,'Energieverbruik in TJ Gemeente'!$B$4:$B$347,0),MATCH(N$2,'Energieverbruik in TJ Gemeente'!$B$4:$Q$4,0))</f>
        <v>24</v>
      </c>
      <c r="O59">
        <f>INDEX('Energieverbruik in TJ Gemeente'!$B$4:$Q$347,MATCH($C59,'Energieverbruik in TJ Gemeente'!$B$4:$B$347,0),MATCH(O$2,'Energieverbruik in TJ Gemeente'!$B$4:$Q$4,0))</f>
        <v>21</v>
      </c>
      <c r="P59">
        <f>INDEX('Energieverbruik in TJ Gemeente'!$B$4:$Q$347,MATCH($C59,'Energieverbruik in TJ Gemeente'!$B$4:$B$347,0),MATCH(P$2,'Energieverbruik in TJ Gemeente'!$B$4:$Q$4,0))</f>
        <v>17</v>
      </c>
      <c r="Q59">
        <f>INDEX('Energieverbruik in TJ Gemeente'!$B$4:$Q$347,MATCH($C59,'Energieverbruik in TJ Gemeente'!$B$4:$B$347,0),MATCH(Q$2,'Energieverbruik in TJ Gemeente'!$B$4:$Q$4,0))</f>
        <v>12</v>
      </c>
      <c r="R59">
        <f>INDEX('Energieverbruik in TJ Gemeente'!$B$4:$Q$347,MATCH($C59,'Energieverbruik in TJ Gemeente'!$B$4:$B$347,0),MATCH(R$2,'Energieverbruik in TJ Gemeente'!$B$4:$Q$4,0))</f>
        <v>13</v>
      </c>
      <c r="S59" cm="1">
        <f t="array" ref="S59">MAX(_xlfn._xlws.FILTER(D$1:H$1, D59:H59&lt;&gt;"?"))</f>
        <v>2023</v>
      </c>
      <c r="T59" cm="1">
        <f t="array" ref="T59">MAX(_xlfn._xlws.FILTER(I$1:M$1, I59:M59&lt;&gt;"?"))</f>
        <v>2023</v>
      </c>
      <c r="U59" cm="1">
        <f t="array" ref="U59">MAX(_xlfn._xlws.FILTER(F$1:J$1, F59:J59&lt;&gt;"?"))</f>
        <v>2023</v>
      </c>
      <c r="V59">
        <f t="shared" si="0"/>
        <v>646</v>
      </c>
      <c r="W59">
        <f t="shared" si="1"/>
        <v>8</v>
      </c>
      <c r="X59">
        <f t="shared" si="2"/>
        <v>13</v>
      </c>
      <c r="Y59">
        <f t="shared" si="3"/>
        <v>667</v>
      </c>
      <c r="Z59">
        <f t="shared" si="4"/>
        <v>1.1085074205181898E-3</v>
      </c>
    </row>
    <row r="60" spans="1:26" ht="16" x14ac:dyDescent="0.2">
      <c r="A60" s="4" t="s">
        <v>188</v>
      </c>
      <c r="B60" s="4" t="s">
        <v>189</v>
      </c>
      <c r="C60" s="4" t="s">
        <v>190</v>
      </c>
      <c r="D60" t="str">
        <f>INDEX('Energieverbruik in TJ Gemeente'!$B$4:$Q$347,MATCH($C60,'Energieverbruik in TJ Gemeente'!$B$4:$B$347,0),MATCH(D$2,'Energieverbruik in TJ Gemeente'!$B$4:$Q$4,0))</f>
        <v>?</v>
      </c>
      <c r="E60" t="str">
        <f>INDEX('Energieverbruik in TJ Gemeente'!$B$4:$Q$347,MATCH($C60,'Energieverbruik in TJ Gemeente'!$B$4:$B$347,0),MATCH(E$2,'Energieverbruik in TJ Gemeente'!$B$4:$Q$4,0))</f>
        <v>?</v>
      </c>
      <c r="F60">
        <f>INDEX('Energieverbruik in TJ Gemeente'!$B$4:$Q$347,MATCH($C60,'Energieverbruik in TJ Gemeente'!$B$4:$B$347,0),MATCH(F$2,'Energieverbruik in TJ Gemeente'!$B$4:$Q$4,0))</f>
        <v>1111</v>
      </c>
      <c r="G60">
        <f>INDEX('Energieverbruik in TJ Gemeente'!$B$4:$Q$347,MATCH($C60,'Energieverbruik in TJ Gemeente'!$B$4:$B$347,0),MATCH(G$2,'Energieverbruik in TJ Gemeente'!$B$4:$Q$4,0))</f>
        <v>997</v>
      </c>
      <c r="H60" t="str">
        <f>INDEX('Energieverbruik in TJ Gemeente'!$B$4:$Q$347,MATCH($C60,'Energieverbruik in TJ Gemeente'!$B$4:$B$347,0),MATCH(H$2,'Energieverbruik in TJ Gemeente'!$B$4:$Q$4,0))</f>
        <v>?</v>
      </c>
      <c r="I60">
        <f>INDEX('Energieverbruik in TJ Gemeente'!$B$4:$Q$347,MATCH($C60,'Energieverbruik in TJ Gemeente'!$B$4:$B$347,0),MATCH(I$2,'Energieverbruik in TJ Gemeente'!$B$4:$Q$4,0))</f>
        <v>671</v>
      </c>
      <c r="J60">
        <f>INDEX('Energieverbruik in TJ Gemeente'!$B$4:$Q$347,MATCH($C60,'Energieverbruik in TJ Gemeente'!$B$4:$B$347,0),MATCH(J$2,'Energieverbruik in TJ Gemeente'!$B$4:$Q$4,0))</f>
        <v>673</v>
      </c>
      <c r="K60">
        <f>INDEX('Energieverbruik in TJ Gemeente'!$B$4:$Q$347,MATCH($C60,'Energieverbruik in TJ Gemeente'!$B$4:$B$347,0),MATCH(K$2,'Energieverbruik in TJ Gemeente'!$B$4:$Q$4,0))</f>
        <v>680</v>
      </c>
      <c r="L60">
        <f>INDEX('Energieverbruik in TJ Gemeente'!$B$4:$Q$347,MATCH($C60,'Energieverbruik in TJ Gemeente'!$B$4:$B$347,0),MATCH(L$2,'Energieverbruik in TJ Gemeente'!$B$4:$Q$4,0))</f>
        <v>651</v>
      </c>
      <c r="M60">
        <f>INDEX('Energieverbruik in TJ Gemeente'!$B$4:$Q$347,MATCH($C60,'Energieverbruik in TJ Gemeente'!$B$4:$B$347,0),MATCH(M$2,'Energieverbruik in TJ Gemeente'!$B$4:$Q$4,0))</f>
        <v>577</v>
      </c>
      <c r="N60">
        <f>INDEX('Energieverbruik in TJ Gemeente'!$B$4:$Q$347,MATCH($C60,'Energieverbruik in TJ Gemeente'!$B$4:$B$347,0),MATCH(N$2,'Energieverbruik in TJ Gemeente'!$B$4:$Q$4,0))</f>
        <v>59</v>
      </c>
      <c r="O60">
        <f>INDEX('Energieverbruik in TJ Gemeente'!$B$4:$Q$347,MATCH($C60,'Energieverbruik in TJ Gemeente'!$B$4:$B$347,0),MATCH(O$2,'Energieverbruik in TJ Gemeente'!$B$4:$Q$4,0))</f>
        <v>37</v>
      </c>
      <c r="P60">
        <f>INDEX('Energieverbruik in TJ Gemeente'!$B$4:$Q$347,MATCH($C60,'Energieverbruik in TJ Gemeente'!$B$4:$B$347,0),MATCH(P$2,'Energieverbruik in TJ Gemeente'!$B$4:$Q$4,0))</f>
        <v>40</v>
      </c>
      <c r="Q60">
        <f>INDEX('Energieverbruik in TJ Gemeente'!$B$4:$Q$347,MATCH($C60,'Energieverbruik in TJ Gemeente'!$B$4:$B$347,0),MATCH(Q$2,'Energieverbruik in TJ Gemeente'!$B$4:$Q$4,0))</f>
        <v>32</v>
      </c>
      <c r="R60">
        <f>INDEX('Energieverbruik in TJ Gemeente'!$B$4:$Q$347,MATCH($C60,'Energieverbruik in TJ Gemeente'!$B$4:$B$347,0),MATCH(R$2,'Energieverbruik in TJ Gemeente'!$B$4:$Q$4,0))</f>
        <v>24</v>
      </c>
      <c r="S60" cm="1">
        <f t="array" ref="S60">MAX(_xlfn._xlws.FILTER(D$1:H$1, D60:H60&lt;&gt;"?"))</f>
        <v>2022</v>
      </c>
      <c r="T60" cm="1">
        <f t="array" ref="T60">MAX(_xlfn._xlws.FILTER(I$1:M$1, I60:M60&lt;&gt;"?"))</f>
        <v>2023</v>
      </c>
      <c r="U60" cm="1">
        <f t="array" ref="U60">MAX(_xlfn._xlws.FILTER(F$1:J$1, F60:J60&lt;&gt;"?"))</f>
        <v>2022</v>
      </c>
      <c r="V60">
        <f t="shared" si="0"/>
        <v>997</v>
      </c>
      <c r="W60">
        <f t="shared" si="1"/>
        <v>577</v>
      </c>
      <c r="X60">
        <f t="shared" si="2"/>
        <v>32</v>
      </c>
      <c r="Y60">
        <f t="shared" si="3"/>
        <v>1606</v>
      </c>
      <c r="Z60">
        <f t="shared" si="4"/>
        <v>2.6690598461052667E-3</v>
      </c>
    </row>
    <row r="61" spans="1:26" ht="32" x14ac:dyDescent="0.2">
      <c r="A61" s="4" t="s">
        <v>191</v>
      </c>
      <c r="B61" s="4" t="s">
        <v>192</v>
      </c>
      <c r="C61" s="4" t="s">
        <v>193</v>
      </c>
      <c r="D61" t="str">
        <f>INDEX('Energieverbruik in TJ Gemeente'!$B$4:$Q$347,MATCH($C61,'Energieverbruik in TJ Gemeente'!$B$4:$B$347,0),MATCH(D$2,'Energieverbruik in TJ Gemeente'!$B$4:$Q$4,0))</f>
        <v>?</v>
      </c>
      <c r="E61" t="str">
        <f>INDEX('Energieverbruik in TJ Gemeente'!$B$4:$Q$347,MATCH($C61,'Energieverbruik in TJ Gemeente'!$B$4:$B$347,0),MATCH(E$2,'Energieverbruik in TJ Gemeente'!$B$4:$Q$4,0))</f>
        <v>?</v>
      </c>
      <c r="F61" t="str">
        <f>INDEX('Energieverbruik in TJ Gemeente'!$B$4:$Q$347,MATCH($C61,'Energieverbruik in TJ Gemeente'!$B$4:$B$347,0),MATCH(F$2,'Energieverbruik in TJ Gemeente'!$B$4:$Q$4,0))</f>
        <v>?</v>
      </c>
      <c r="G61">
        <f>INDEX('Energieverbruik in TJ Gemeente'!$B$4:$Q$347,MATCH($C61,'Energieverbruik in TJ Gemeente'!$B$4:$B$347,0),MATCH(G$2,'Energieverbruik in TJ Gemeente'!$B$4:$Q$4,0))</f>
        <v>501</v>
      </c>
      <c r="H61">
        <f>INDEX('Energieverbruik in TJ Gemeente'!$B$4:$Q$347,MATCH($C61,'Energieverbruik in TJ Gemeente'!$B$4:$B$347,0),MATCH(H$2,'Energieverbruik in TJ Gemeente'!$B$4:$Q$4,0))</f>
        <v>408</v>
      </c>
      <c r="I61">
        <f>INDEX('Energieverbruik in TJ Gemeente'!$B$4:$Q$347,MATCH($C61,'Energieverbruik in TJ Gemeente'!$B$4:$B$347,0),MATCH(I$2,'Energieverbruik in TJ Gemeente'!$B$4:$Q$4,0))</f>
        <v>375</v>
      </c>
      <c r="J61">
        <f>INDEX('Energieverbruik in TJ Gemeente'!$B$4:$Q$347,MATCH($C61,'Energieverbruik in TJ Gemeente'!$B$4:$B$347,0),MATCH(J$2,'Energieverbruik in TJ Gemeente'!$B$4:$Q$4,0))</f>
        <v>384</v>
      </c>
      <c r="K61">
        <f>INDEX('Energieverbruik in TJ Gemeente'!$B$4:$Q$347,MATCH($C61,'Energieverbruik in TJ Gemeente'!$B$4:$B$347,0),MATCH(K$2,'Energieverbruik in TJ Gemeente'!$B$4:$Q$4,0))</f>
        <v>346</v>
      </c>
      <c r="L61">
        <f>INDEX('Energieverbruik in TJ Gemeente'!$B$4:$Q$347,MATCH($C61,'Energieverbruik in TJ Gemeente'!$B$4:$B$347,0),MATCH(L$2,'Energieverbruik in TJ Gemeente'!$B$4:$Q$4,0))</f>
        <v>297</v>
      </c>
      <c r="M61">
        <f>INDEX('Energieverbruik in TJ Gemeente'!$B$4:$Q$347,MATCH($C61,'Energieverbruik in TJ Gemeente'!$B$4:$B$347,0),MATCH(M$2,'Energieverbruik in TJ Gemeente'!$B$4:$Q$4,0))</f>
        <v>288</v>
      </c>
      <c r="N61">
        <f>INDEX('Energieverbruik in TJ Gemeente'!$B$4:$Q$347,MATCH($C61,'Energieverbruik in TJ Gemeente'!$B$4:$B$347,0),MATCH(N$2,'Energieverbruik in TJ Gemeente'!$B$4:$Q$4,0))</f>
        <v>19</v>
      </c>
      <c r="O61">
        <f>INDEX('Energieverbruik in TJ Gemeente'!$B$4:$Q$347,MATCH($C61,'Energieverbruik in TJ Gemeente'!$B$4:$B$347,0),MATCH(O$2,'Energieverbruik in TJ Gemeente'!$B$4:$Q$4,0))</f>
        <v>9</v>
      </c>
      <c r="P61">
        <f>INDEX('Energieverbruik in TJ Gemeente'!$B$4:$Q$347,MATCH($C61,'Energieverbruik in TJ Gemeente'!$B$4:$B$347,0),MATCH(P$2,'Energieverbruik in TJ Gemeente'!$B$4:$Q$4,0))</f>
        <v>11</v>
      </c>
      <c r="Q61">
        <f>INDEX('Energieverbruik in TJ Gemeente'!$B$4:$Q$347,MATCH($C61,'Energieverbruik in TJ Gemeente'!$B$4:$B$347,0),MATCH(Q$2,'Energieverbruik in TJ Gemeente'!$B$4:$Q$4,0))</f>
        <v>8</v>
      </c>
      <c r="R61">
        <f>INDEX('Energieverbruik in TJ Gemeente'!$B$4:$Q$347,MATCH($C61,'Energieverbruik in TJ Gemeente'!$B$4:$B$347,0),MATCH(R$2,'Energieverbruik in TJ Gemeente'!$B$4:$Q$4,0))</f>
        <v>7</v>
      </c>
      <c r="S61" cm="1">
        <f t="array" ref="S61">MAX(_xlfn._xlws.FILTER(D$1:H$1, D61:H61&lt;&gt;"?"))</f>
        <v>2023</v>
      </c>
      <c r="T61" cm="1">
        <f t="array" ref="T61">MAX(_xlfn._xlws.FILTER(I$1:M$1, I61:M61&lt;&gt;"?"))</f>
        <v>2023</v>
      </c>
      <c r="U61" cm="1">
        <f t="array" ref="U61">MAX(_xlfn._xlws.FILTER(F$1:J$1, F61:J61&lt;&gt;"?"))</f>
        <v>2023</v>
      </c>
      <c r="V61">
        <f t="shared" si="0"/>
        <v>408</v>
      </c>
      <c r="W61">
        <f t="shared" si="1"/>
        <v>288</v>
      </c>
      <c r="X61">
        <f t="shared" si="2"/>
        <v>7</v>
      </c>
      <c r="Y61">
        <f t="shared" si="3"/>
        <v>703</v>
      </c>
      <c r="Z61">
        <f t="shared" si="4"/>
        <v>1.1683369064831896E-3</v>
      </c>
    </row>
    <row r="62" spans="1:26" ht="16" x14ac:dyDescent="0.2">
      <c r="A62" s="4" t="s">
        <v>194</v>
      </c>
      <c r="B62" s="4" t="s">
        <v>195</v>
      </c>
      <c r="C62" s="4" t="s">
        <v>196</v>
      </c>
      <c r="D62" t="str">
        <f>INDEX('Energieverbruik in TJ Gemeente'!$B$4:$Q$347,MATCH($C62,'Energieverbruik in TJ Gemeente'!$B$4:$B$347,0),MATCH(D$2,'Energieverbruik in TJ Gemeente'!$B$4:$Q$4,0))</f>
        <v>?</v>
      </c>
      <c r="E62">
        <f>INDEX('Energieverbruik in TJ Gemeente'!$B$4:$Q$347,MATCH($C62,'Energieverbruik in TJ Gemeente'!$B$4:$B$347,0),MATCH(E$2,'Energieverbruik in TJ Gemeente'!$B$4:$Q$4,0))</f>
        <v>558</v>
      </c>
      <c r="F62">
        <f>INDEX('Energieverbruik in TJ Gemeente'!$B$4:$Q$347,MATCH($C62,'Energieverbruik in TJ Gemeente'!$B$4:$B$347,0),MATCH(F$2,'Energieverbruik in TJ Gemeente'!$B$4:$Q$4,0))</f>
        <v>573</v>
      </c>
      <c r="G62" t="str">
        <f>INDEX('Energieverbruik in TJ Gemeente'!$B$4:$Q$347,MATCH($C62,'Energieverbruik in TJ Gemeente'!$B$4:$B$347,0),MATCH(G$2,'Energieverbruik in TJ Gemeente'!$B$4:$Q$4,0))</f>
        <v>?</v>
      </c>
      <c r="H62" t="str">
        <f>INDEX('Energieverbruik in TJ Gemeente'!$B$4:$Q$347,MATCH($C62,'Energieverbruik in TJ Gemeente'!$B$4:$B$347,0),MATCH(H$2,'Energieverbruik in TJ Gemeente'!$B$4:$Q$4,0))</f>
        <v>?</v>
      </c>
      <c r="I62">
        <f>INDEX('Energieverbruik in TJ Gemeente'!$B$4:$Q$347,MATCH($C62,'Energieverbruik in TJ Gemeente'!$B$4:$B$347,0),MATCH(I$2,'Energieverbruik in TJ Gemeente'!$B$4:$Q$4,0))</f>
        <v>56</v>
      </c>
      <c r="J62" t="str">
        <f>INDEX('Energieverbruik in TJ Gemeente'!$B$4:$Q$347,MATCH($C62,'Energieverbruik in TJ Gemeente'!$B$4:$B$347,0),MATCH(J$2,'Energieverbruik in TJ Gemeente'!$B$4:$Q$4,0))</f>
        <v>?</v>
      </c>
      <c r="K62">
        <f>INDEX('Energieverbruik in TJ Gemeente'!$B$4:$Q$347,MATCH($C62,'Energieverbruik in TJ Gemeente'!$B$4:$B$347,0),MATCH(K$2,'Energieverbruik in TJ Gemeente'!$B$4:$Q$4,0))</f>
        <v>56</v>
      </c>
      <c r="L62" t="str">
        <f>INDEX('Energieverbruik in TJ Gemeente'!$B$4:$Q$347,MATCH($C62,'Energieverbruik in TJ Gemeente'!$B$4:$B$347,0),MATCH(L$2,'Energieverbruik in TJ Gemeente'!$B$4:$Q$4,0))</f>
        <v>?</v>
      </c>
      <c r="M62" t="str">
        <f>INDEX('Energieverbruik in TJ Gemeente'!$B$4:$Q$347,MATCH($C62,'Energieverbruik in TJ Gemeente'!$B$4:$B$347,0),MATCH(M$2,'Energieverbruik in TJ Gemeente'!$B$4:$Q$4,0))</f>
        <v>?</v>
      </c>
      <c r="N62" t="str">
        <f>INDEX('Energieverbruik in TJ Gemeente'!$B$4:$Q$347,MATCH($C62,'Energieverbruik in TJ Gemeente'!$B$4:$B$347,0),MATCH(N$2,'Energieverbruik in TJ Gemeente'!$B$4:$Q$4,0))</f>
        <v>?</v>
      </c>
      <c r="O62">
        <f>INDEX('Energieverbruik in TJ Gemeente'!$B$4:$Q$347,MATCH($C62,'Energieverbruik in TJ Gemeente'!$B$4:$B$347,0),MATCH(O$2,'Energieverbruik in TJ Gemeente'!$B$4:$Q$4,0))</f>
        <v>1</v>
      </c>
      <c r="P62">
        <f>INDEX('Energieverbruik in TJ Gemeente'!$B$4:$Q$347,MATCH($C62,'Energieverbruik in TJ Gemeente'!$B$4:$B$347,0),MATCH(P$2,'Energieverbruik in TJ Gemeente'!$B$4:$Q$4,0))</f>
        <v>1</v>
      </c>
      <c r="Q62" t="str">
        <f>INDEX('Energieverbruik in TJ Gemeente'!$B$4:$Q$347,MATCH($C62,'Energieverbruik in TJ Gemeente'!$B$4:$B$347,0),MATCH(Q$2,'Energieverbruik in TJ Gemeente'!$B$4:$Q$4,0))</f>
        <v>?</v>
      </c>
      <c r="R62">
        <f>INDEX('Energieverbruik in TJ Gemeente'!$B$4:$Q$347,MATCH($C62,'Energieverbruik in TJ Gemeente'!$B$4:$B$347,0),MATCH(R$2,'Energieverbruik in TJ Gemeente'!$B$4:$Q$4,0))</f>
        <v>1</v>
      </c>
      <c r="S62" cm="1">
        <f t="array" ref="S62">MAX(_xlfn._xlws.FILTER(D$1:H$1, D62:H62&lt;&gt;"?"))</f>
        <v>2021</v>
      </c>
      <c r="T62" cm="1">
        <f t="array" ref="T62">MAX(_xlfn._xlws.FILTER(I$1:M$1, I62:M62&lt;&gt;"?"))</f>
        <v>2021</v>
      </c>
      <c r="U62" cm="1">
        <f t="array" ref="U62">MAX(_xlfn._xlws.FILTER(F$1:J$1, F62:J62&lt;&gt;"?"))</f>
        <v>2021</v>
      </c>
      <c r="V62">
        <f t="shared" si="0"/>
        <v>573</v>
      </c>
      <c r="W62">
        <f t="shared" si="1"/>
        <v>56</v>
      </c>
      <c r="X62">
        <f t="shared" si="2"/>
        <v>1</v>
      </c>
      <c r="Y62">
        <f t="shared" si="3"/>
        <v>630</v>
      </c>
      <c r="Z62">
        <f t="shared" si="4"/>
        <v>1.0470160043874956E-3</v>
      </c>
    </row>
    <row r="63" spans="1:26" ht="16" x14ac:dyDescent="0.2">
      <c r="A63" s="4" t="s">
        <v>197</v>
      </c>
      <c r="B63" s="4" t="s">
        <v>198</v>
      </c>
      <c r="C63" s="4" t="s">
        <v>199</v>
      </c>
      <c r="D63" t="str">
        <f>INDEX('Energieverbruik in TJ Gemeente'!$B$4:$Q$347,MATCH($C63,'Energieverbruik in TJ Gemeente'!$B$4:$B$347,0),MATCH(D$2,'Energieverbruik in TJ Gemeente'!$B$4:$Q$4,0))</f>
        <v>?</v>
      </c>
      <c r="E63">
        <f>INDEX('Energieverbruik in TJ Gemeente'!$B$4:$Q$347,MATCH($C63,'Energieverbruik in TJ Gemeente'!$B$4:$B$347,0),MATCH(E$2,'Energieverbruik in TJ Gemeente'!$B$4:$Q$4,0))</f>
        <v>718</v>
      </c>
      <c r="F63" t="str">
        <f>INDEX('Energieverbruik in TJ Gemeente'!$B$4:$Q$347,MATCH($C63,'Energieverbruik in TJ Gemeente'!$B$4:$B$347,0),MATCH(F$2,'Energieverbruik in TJ Gemeente'!$B$4:$Q$4,0))</f>
        <v>?</v>
      </c>
      <c r="G63">
        <f>INDEX('Energieverbruik in TJ Gemeente'!$B$4:$Q$347,MATCH($C63,'Energieverbruik in TJ Gemeente'!$B$4:$B$347,0),MATCH(G$2,'Energieverbruik in TJ Gemeente'!$B$4:$Q$4,0))</f>
        <v>631</v>
      </c>
      <c r="H63">
        <f>INDEX('Energieverbruik in TJ Gemeente'!$B$4:$Q$347,MATCH($C63,'Energieverbruik in TJ Gemeente'!$B$4:$B$347,0),MATCH(H$2,'Energieverbruik in TJ Gemeente'!$B$4:$Q$4,0))</f>
        <v>510</v>
      </c>
      <c r="I63">
        <f>INDEX('Energieverbruik in TJ Gemeente'!$B$4:$Q$347,MATCH($C63,'Energieverbruik in TJ Gemeente'!$B$4:$B$347,0),MATCH(I$2,'Energieverbruik in TJ Gemeente'!$B$4:$Q$4,0))</f>
        <v>123</v>
      </c>
      <c r="J63">
        <f>INDEX('Energieverbruik in TJ Gemeente'!$B$4:$Q$347,MATCH($C63,'Energieverbruik in TJ Gemeente'!$B$4:$B$347,0),MATCH(J$2,'Energieverbruik in TJ Gemeente'!$B$4:$Q$4,0))</f>
        <v>128</v>
      </c>
      <c r="K63">
        <f>INDEX('Energieverbruik in TJ Gemeente'!$B$4:$Q$347,MATCH($C63,'Energieverbruik in TJ Gemeente'!$B$4:$B$347,0),MATCH(K$2,'Energieverbruik in TJ Gemeente'!$B$4:$Q$4,0))</f>
        <v>130</v>
      </c>
      <c r="L63">
        <f>INDEX('Energieverbruik in TJ Gemeente'!$B$4:$Q$347,MATCH($C63,'Energieverbruik in TJ Gemeente'!$B$4:$B$347,0),MATCH(L$2,'Energieverbruik in TJ Gemeente'!$B$4:$Q$4,0))</f>
        <v>126</v>
      </c>
      <c r="M63">
        <f>INDEX('Energieverbruik in TJ Gemeente'!$B$4:$Q$347,MATCH($C63,'Energieverbruik in TJ Gemeente'!$B$4:$B$347,0),MATCH(M$2,'Energieverbruik in TJ Gemeente'!$B$4:$Q$4,0))</f>
        <v>120</v>
      </c>
      <c r="N63">
        <f>INDEX('Energieverbruik in TJ Gemeente'!$B$4:$Q$347,MATCH($C63,'Energieverbruik in TJ Gemeente'!$B$4:$B$347,0),MATCH(N$2,'Energieverbruik in TJ Gemeente'!$B$4:$Q$4,0))</f>
        <v>67</v>
      </c>
      <c r="O63">
        <f>INDEX('Energieverbruik in TJ Gemeente'!$B$4:$Q$347,MATCH($C63,'Energieverbruik in TJ Gemeente'!$B$4:$B$347,0),MATCH(O$2,'Energieverbruik in TJ Gemeente'!$B$4:$Q$4,0))</f>
        <v>59</v>
      </c>
      <c r="P63">
        <f>INDEX('Energieverbruik in TJ Gemeente'!$B$4:$Q$347,MATCH($C63,'Energieverbruik in TJ Gemeente'!$B$4:$B$347,0),MATCH(P$2,'Energieverbruik in TJ Gemeente'!$B$4:$Q$4,0))</f>
        <v>65</v>
      </c>
      <c r="Q63">
        <f>INDEX('Energieverbruik in TJ Gemeente'!$B$4:$Q$347,MATCH($C63,'Energieverbruik in TJ Gemeente'!$B$4:$B$347,0),MATCH(Q$2,'Energieverbruik in TJ Gemeente'!$B$4:$Q$4,0))</f>
        <v>53</v>
      </c>
      <c r="R63">
        <f>INDEX('Energieverbruik in TJ Gemeente'!$B$4:$Q$347,MATCH($C63,'Energieverbruik in TJ Gemeente'!$B$4:$B$347,0),MATCH(R$2,'Energieverbruik in TJ Gemeente'!$B$4:$Q$4,0))</f>
        <v>44</v>
      </c>
      <c r="S63" cm="1">
        <f t="array" ref="S63">MAX(_xlfn._xlws.FILTER(D$1:H$1, D63:H63&lt;&gt;"?"))</f>
        <v>2023</v>
      </c>
      <c r="T63" cm="1">
        <f t="array" ref="T63">MAX(_xlfn._xlws.FILTER(I$1:M$1, I63:M63&lt;&gt;"?"))</f>
        <v>2023</v>
      </c>
      <c r="U63" cm="1">
        <f t="array" ref="U63">MAX(_xlfn._xlws.FILTER(F$1:J$1, F63:J63&lt;&gt;"?"))</f>
        <v>2023</v>
      </c>
      <c r="V63">
        <f t="shared" si="0"/>
        <v>510</v>
      </c>
      <c r="W63">
        <f t="shared" si="1"/>
        <v>120</v>
      </c>
      <c r="X63">
        <f t="shared" si="2"/>
        <v>44</v>
      </c>
      <c r="Y63">
        <f t="shared" si="3"/>
        <v>674</v>
      </c>
      <c r="Z63">
        <f t="shared" si="4"/>
        <v>1.1201409316780508E-3</v>
      </c>
    </row>
    <row r="64" spans="1:26" ht="32" x14ac:dyDescent="0.2">
      <c r="A64" s="4" t="s">
        <v>200</v>
      </c>
      <c r="B64" s="4" t="s">
        <v>201</v>
      </c>
      <c r="C64" s="4" t="s">
        <v>202</v>
      </c>
      <c r="D64">
        <f>INDEX('Energieverbruik in TJ Gemeente'!$B$4:$Q$347,MATCH($C64,'Energieverbruik in TJ Gemeente'!$B$4:$B$347,0),MATCH(D$2,'Energieverbruik in TJ Gemeente'!$B$4:$Q$4,0))</f>
        <v>481</v>
      </c>
      <c r="E64">
        <f>INDEX('Energieverbruik in TJ Gemeente'!$B$4:$Q$347,MATCH($C64,'Energieverbruik in TJ Gemeente'!$B$4:$B$347,0),MATCH(E$2,'Energieverbruik in TJ Gemeente'!$B$4:$Q$4,0))</f>
        <v>469</v>
      </c>
      <c r="F64">
        <f>INDEX('Energieverbruik in TJ Gemeente'!$B$4:$Q$347,MATCH($C64,'Energieverbruik in TJ Gemeente'!$B$4:$B$347,0),MATCH(F$2,'Energieverbruik in TJ Gemeente'!$B$4:$Q$4,0))</f>
        <v>468</v>
      </c>
      <c r="G64">
        <f>INDEX('Energieverbruik in TJ Gemeente'!$B$4:$Q$347,MATCH($C64,'Energieverbruik in TJ Gemeente'!$B$4:$B$347,0),MATCH(G$2,'Energieverbruik in TJ Gemeente'!$B$4:$Q$4,0))</f>
        <v>413</v>
      </c>
      <c r="H64">
        <f>INDEX('Energieverbruik in TJ Gemeente'!$B$4:$Q$347,MATCH($C64,'Energieverbruik in TJ Gemeente'!$B$4:$B$347,0),MATCH(H$2,'Energieverbruik in TJ Gemeente'!$B$4:$Q$4,0))</f>
        <v>330</v>
      </c>
      <c r="I64">
        <f>INDEX('Energieverbruik in TJ Gemeente'!$B$4:$Q$347,MATCH($C64,'Energieverbruik in TJ Gemeente'!$B$4:$B$347,0),MATCH(I$2,'Energieverbruik in TJ Gemeente'!$B$4:$Q$4,0))</f>
        <v>32</v>
      </c>
      <c r="J64">
        <f>INDEX('Energieverbruik in TJ Gemeente'!$B$4:$Q$347,MATCH($C64,'Energieverbruik in TJ Gemeente'!$B$4:$B$347,0),MATCH(J$2,'Energieverbruik in TJ Gemeente'!$B$4:$Q$4,0))</f>
        <v>17</v>
      </c>
      <c r="K64">
        <f>INDEX('Energieverbruik in TJ Gemeente'!$B$4:$Q$347,MATCH($C64,'Energieverbruik in TJ Gemeente'!$B$4:$B$347,0),MATCH(K$2,'Energieverbruik in TJ Gemeente'!$B$4:$Q$4,0))</f>
        <v>19</v>
      </c>
      <c r="L64">
        <f>INDEX('Energieverbruik in TJ Gemeente'!$B$4:$Q$347,MATCH($C64,'Energieverbruik in TJ Gemeente'!$B$4:$B$347,0),MATCH(L$2,'Energieverbruik in TJ Gemeente'!$B$4:$Q$4,0))</f>
        <v>13</v>
      </c>
      <c r="M64">
        <f>INDEX('Energieverbruik in TJ Gemeente'!$B$4:$Q$347,MATCH($C64,'Energieverbruik in TJ Gemeente'!$B$4:$B$347,0),MATCH(M$2,'Energieverbruik in TJ Gemeente'!$B$4:$Q$4,0))</f>
        <v>10</v>
      </c>
      <c r="N64">
        <f>INDEX('Energieverbruik in TJ Gemeente'!$B$4:$Q$347,MATCH($C64,'Energieverbruik in TJ Gemeente'!$B$4:$B$347,0),MATCH(N$2,'Energieverbruik in TJ Gemeente'!$B$4:$Q$4,0))</f>
        <v>14</v>
      </c>
      <c r="O64">
        <f>INDEX('Energieverbruik in TJ Gemeente'!$B$4:$Q$347,MATCH($C64,'Energieverbruik in TJ Gemeente'!$B$4:$B$347,0),MATCH(O$2,'Energieverbruik in TJ Gemeente'!$B$4:$Q$4,0))</f>
        <v>7</v>
      </c>
      <c r="P64">
        <f>INDEX('Energieverbruik in TJ Gemeente'!$B$4:$Q$347,MATCH($C64,'Energieverbruik in TJ Gemeente'!$B$4:$B$347,0),MATCH(P$2,'Energieverbruik in TJ Gemeente'!$B$4:$Q$4,0))</f>
        <v>7</v>
      </c>
      <c r="Q64">
        <f>INDEX('Energieverbruik in TJ Gemeente'!$B$4:$Q$347,MATCH($C64,'Energieverbruik in TJ Gemeente'!$B$4:$B$347,0),MATCH(Q$2,'Energieverbruik in TJ Gemeente'!$B$4:$Q$4,0))</f>
        <v>6</v>
      </c>
      <c r="R64">
        <f>INDEX('Energieverbruik in TJ Gemeente'!$B$4:$Q$347,MATCH($C64,'Energieverbruik in TJ Gemeente'!$B$4:$B$347,0),MATCH(R$2,'Energieverbruik in TJ Gemeente'!$B$4:$Q$4,0))</f>
        <v>6</v>
      </c>
      <c r="S64" cm="1">
        <f t="array" ref="S64">MAX(_xlfn._xlws.FILTER(D$1:H$1, D64:H64&lt;&gt;"?"))</f>
        <v>2023</v>
      </c>
      <c r="T64" cm="1">
        <f t="array" ref="T64">MAX(_xlfn._xlws.FILTER(I$1:M$1, I64:M64&lt;&gt;"?"))</f>
        <v>2023</v>
      </c>
      <c r="U64" cm="1">
        <f t="array" ref="U64">MAX(_xlfn._xlws.FILTER(F$1:J$1, F64:J64&lt;&gt;"?"))</f>
        <v>2023</v>
      </c>
      <c r="V64">
        <f t="shared" si="0"/>
        <v>330</v>
      </c>
      <c r="W64">
        <f t="shared" si="1"/>
        <v>10</v>
      </c>
      <c r="X64">
        <f t="shared" si="2"/>
        <v>6</v>
      </c>
      <c r="Y64">
        <f t="shared" si="3"/>
        <v>346</v>
      </c>
      <c r="Z64">
        <f t="shared" si="4"/>
        <v>5.7502783733027541E-4</v>
      </c>
    </row>
    <row r="65" spans="1:26" ht="16" x14ac:dyDescent="0.2">
      <c r="A65" s="4" t="s">
        <v>131</v>
      </c>
      <c r="B65" s="4" t="s">
        <v>132</v>
      </c>
      <c r="C65" s="4" t="s">
        <v>133</v>
      </c>
      <c r="D65" t="str">
        <f>INDEX('Energieverbruik in TJ Gemeente'!$B$4:$Q$347,MATCH($C65,'Energieverbruik in TJ Gemeente'!$B$4:$B$347,0),MATCH(D$2,'Energieverbruik in TJ Gemeente'!$B$4:$Q$4,0))</f>
        <v>?</v>
      </c>
      <c r="E65">
        <f>INDEX('Energieverbruik in TJ Gemeente'!$B$4:$Q$347,MATCH($C65,'Energieverbruik in TJ Gemeente'!$B$4:$B$347,0),MATCH(E$2,'Energieverbruik in TJ Gemeente'!$B$4:$Q$4,0))</f>
        <v>1185</v>
      </c>
      <c r="F65">
        <f>INDEX('Energieverbruik in TJ Gemeente'!$B$4:$Q$347,MATCH($C65,'Energieverbruik in TJ Gemeente'!$B$4:$B$347,0),MATCH(F$2,'Energieverbruik in TJ Gemeente'!$B$4:$Q$4,0))</f>
        <v>1222</v>
      </c>
      <c r="G65">
        <f>INDEX('Energieverbruik in TJ Gemeente'!$B$4:$Q$347,MATCH($C65,'Energieverbruik in TJ Gemeente'!$B$4:$B$347,0),MATCH(G$2,'Energieverbruik in TJ Gemeente'!$B$4:$Q$4,0))</f>
        <v>1033</v>
      </c>
      <c r="H65">
        <f>INDEX('Energieverbruik in TJ Gemeente'!$B$4:$Q$347,MATCH($C65,'Energieverbruik in TJ Gemeente'!$B$4:$B$347,0),MATCH(H$2,'Energieverbruik in TJ Gemeente'!$B$4:$Q$4,0))</f>
        <v>850</v>
      </c>
      <c r="I65" t="str">
        <f>INDEX('Energieverbruik in TJ Gemeente'!$B$4:$Q$347,MATCH($C65,'Energieverbruik in TJ Gemeente'!$B$4:$B$347,0),MATCH(I$2,'Energieverbruik in TJ Gemeente'!$B$4:$Q$4,0))</f>
        <v>?</v>
      </c>
      <c r="J65" t="str">
        <f>INDEX('Energieverbruik in TJ Gemeente'!$B$4:$Q$347,MATCH($C65,'Energieverbruik in TJ Gemeente'!$B$4:$B$347,0),MATCH(J$2,'Energieverbruik in TJ Gemeente'!$B$4:$Q$4,0))</f>
        <v>?</v>
      </c>
      <c r="K65" t="str">
        <f>INDEX('Energieverbruik in TJ Gemeente'!$B$4:$Q$347,MATCH($C65,'Energieverbruik in TJ Gemeente'!$B$4:$B$347,0),MATCH(K$2,'Energieverbruik in TJ Gemeente'!$B$4:$Q$4,0))</f>
        <v>?</v>
      </c>
      <c r="L65" t="str">
        <f>INDEX('Energieverbruik in TJ Gemeente'!$B$4:$Q$347,MATCH($C65,'Energieverbruik in TJ Gemeente'!$B$4:$B$347,0),MATCH(L$2,'Energieverbruik in TJ Gemeente'!$B$4:$Q$4,0))</f>
        <v>?</v>
      </c>
      <c r="M65" t="str">
        <f>INDEX('Energieverbruik in TJ Gemeente'!$B$4:$Q$347,MATCH($C65,'Energieverbruik in TJ Gemeente'!$B$4:$B$347,0),MATCH(M$2,'Energieverbruik in TJ Gemeente'!$B$4:$Q$4,0))</f>
        <v>?</v>
      </c>
      <c r="N65">
        <f>INDEX('Energieverbruik in TJ Gemeente'!$B$4:$Q$347,MATCH($C65,'Energieverbruik in TJ Gemeente'!$B$4:$B$347,0),MATCH(N$2,'Energieverbruik in TJ Gemeente'!$B$4:$Q$4,0))</f>
        <v>18</v>
      </c>
      <c r="O65">
        <f>INDEX('Energieverbruik in TJ Gemeente'!$B$4:$Q$347,MATCH($C65,'Energieverbruik in TJ Gemeente'!$B$4:$B$347,0),MATCH(O$2,'Energieverbruik in TJ Gemeente'!$B$4:$Q$4,0))</f>
        <v>17</v>
      </c>
      <c r="P65">
        <f>INDEX('Energieverbruik in TJ Gemeente'!$B$4:$Q$347,MATCH($C65,'Energieverbruik in TJ Gemeente'!$B$4:$B$347,0),MATCH(P$2,'Energieverbruik in TJ Gemeente'!$B$4:$Q$4,0))</f>
        <v>19</v>
      </c>
      <c r="Q65">
        <f>INDEX('Energieverbruik in TJ Gemeente'!$B$4:$Q$347,MATCH($C65,'Energieverbruik in TJ Gemeente'!$B$4:$B$347,0),MATCH(Q$2,'Energieverbruik in TJ Gemeente'!$B$4:$Q$4,0))</f>
        <v>16</v>
      </c>
      <c r="R65">
        <f>INDEX('Energieverbruik in TJ Gemeente'!$B$4:$Q$347,MATCH($C65,'Energieverbruik in TJ Gemeente'!$B$4:$B$347,0),MATCH(R$2,'Energieverbruik in TJ Gemeente'!$B$4:$Q$4,0))</f>
        <v>14</v>
      </c>
      <c r="S65" cm="1">
        <f t="array" ref="S65">MAX(_xlfn._xlws.FILTER(D$1:H$1, D65:H65&lt;&gt;"?"))</f>
        <v>2023</v>
      </c>
      <c r="T65" t="e" cm="1" vm="1">
        <f t="array" ref="T65">MAX(_xlfn._xlws.FILTER(I$1:M$1, I65:M65&lt;&gt;"?"))</f>
        <v>#VALUE!</v>
      </c>
      <c r="U65" cm="1">
        <f t="array" ref="U65">MAX(_xlfn._xlws.FILTER(F$1:J$1, F65:J65&lt;&gt;"?"))</f>
        <v>2023</v>
      </c>
      <c r="V65">
        <f t="shared" si="0"/>
        <v>850</v>
      </c>
      <c r="W65">
        <f t="shared" si="1"/>
        <v>0</v>
      </c>
      <c r="X65">
        <f t="shared" si="2"/>
        <v>14</v>
      </c>
      <c r="Y65">
        <f t="shared" si="3"/>
        <v>864</v>
      </c>
      <c r="Z65">
        <f t="shared" si="4"/>
        <v>1.4359076631599941E-3</v>
      </c>
    </row>
    <row r="66" spans="1:26" ht="32" x14ac:dyDescent="0.2">
      <c r="A66" s="4" t="s">
        <v>294</v>
      </c>
      <c r="B66" s="4" t="s">
        <v>295</v>
      </c>
      <c r="C66" s="4" t="s">
        <v>296</v>
      </c>
      <c r="D66" t="str">
        <f>INDEX('Energieverbruik in TJ Gemeente'!$B$4:$Q$347,MATCH($C66,'Energieverbruik in TJ Gemeente'!$B$4:$B$347,0),MATCH(D$2,'Energieverbruik in TJ Gemeente'!$B$4:$Q$4,0))</f>
        <v>?</v>
      </c>
      <c r="E66" t="str">
        <f>INDEX('Energieverbruik in TJ Gemeente'!$B$4:$Q$347,MATCH($C66,'Energieverbruik in TJ Gemeente'!$B$4:$B$347,0),MATCH(E$2,'Energieverbruik in TJ Gemeente'!$B$4:$Q$4,0))</f>
        <v>?</v>
      </c>
      <c r="F66" t="str">
        <f>INDEX('Energieverbruik in TJ Gemeente'!$B$4:$Q$347,MATCH($C66,'Energieverbruik in TJ Gemeente'!$B$4:$B$347,0),MATCH(F$2,'Energieverbruik in TJ Gemeente'!$B$4:$Q$4,0))</f>
        <v>?</v>
      </c>
      <c r="G66">
        <f>INDEX('Energieverbruik in TJ Gemeente'!$B$4:$Q$347,MATCH($C66,'Energieverbruik in TJ Gemeente'!$B$4:$B$347,0),MATCH(G$2,'Energieverbruik in TJ Gemeente'!$B$4:$Q$4,0))</f>
        <v>1222</v>
      </c>
      <c r="H66">
        <f>INDEX('Energieverbruik in TJ Gemeente'!$B$4:$Q$347,MATCH($C66,'Energieverbruik in TJ Gemeente'!$B$4:$B$347,0),MATCH(H$2,'Energieverbruik in TJ Gemeente'!$B$4:$Q$4,0))</f>
        <v>1014</v>
      </c>
      <c r="I66">
        <f>INDEX('Energieverbruik in TJ Gemeente'!$B$4:$Q$347,MATCH($C66,'Energieverbruik in TJ Gemeente'!$B$4:$B$347,0),MATCH(I$2,'Energieverbruik in TJ Gemeente'!$B$4:$Q$4,0))</f>
        <v>627</v>
      </c>
      <c r="J66">
        <f>INDEX('Energieverbruik in TJ Gemeente'!$B$4:$Q$347,MATCH($C66,'Energieverbruik in TJ Gemeente'!$B$4:$B$347,0),MATCH(J$2,'Energieverbruik in TJ Gemeente'!$B$4:$Q$4,0))</f>
        <v>589</v>
      </c>
      <c r="K66">
        <f>INDEX('Energieverbruik in TJ Gemeente'!$B$4:$Q$347,MATCH($C66,'Energieverbruik in TJ Gemeente'!$B$4:$B$347,0),MATCH(K$2,'Energieverbruik in TJ Gemeente'!$B$4:$Q$4,0))</f>
        <v>628</v>
      </c>
      <c r="L66">
        <f>INDEX('Energieverbruik in TJ Gemeente'!$B$4:$Q$347,MATCH($C66,'Energieverbruik in TJ Gemeente'!$B$4:$B$347,0),MATCH(L$2,'Energieverbruik in TJ Gemeente'!$B$4:$Q$4,0))</f>
        <v>941</v>
      </c>
      <c r="M66">
        <f>INDEX('Energieverbruik in TJ Gemeente'!$B$4:$Q$347,MATCH($C66,'Energieverbruik in TJ Gemeente'!$B$4:$B$347,0),MATCH(M$2,'Energieverbruik in TJ Gemeente'!$B$4:$Q$4,0))</f>
        <v>963</v>
      </c>
      <c r="N66">
        <f>INDEX('Energieverbruik in TJ Gemeente'!$B$4:$Q$347,MATCH($C66,'Energieverbruik in TJ Gemeente'!$B$4:$B$347,0),MATCH(N$2,'Energieverbruik in TJ Gemeente'!$B$4:$Q$4,0))</f>
        <v>60</v>
      </c>
      <c r="O66">
        <f>INDEX('Energieverbruik in TJ Gemeente'!$B$4:$Q$347,MATCH($C66,'Energieverbruik in TJ Gemeente'!$B$4:$B$347,0),MATCH(O$2,'Energieverbruik in TJ Gemeente'!$B$4:$Q$4,0))</f>
        <v>36</v>
      </c>
      <c r="P66">
        <f>INDEX('Energieverbruik in TJ Gemeente'!$B$4:$Q$347,MATCH($C66,'Energieverbruik in TJ Gemeente'!$B$4:$B$347,0),MATCH(P$2,'Energieverbruik in TJ Gemeente'!$B$4:$Q$4,0))</f>
        <v>38</v>
      </c>
      <c r="Q66">
        <f>INDEX('Energieverbruik in TJ Gemeente'!$B$4:$Q$347,MATCH($C66,'Energieverbruik in TJ Gemeente'!$B$4:$B$347,0),MATCH(Q$2,'Energieverbruik in TJ Gemeente'!$B$4:$Q$4,0))</f>
        <v>31</v>
      </c>
      <c r="R66">
        <f>INDEX('Energieverbruik in TJ Gemeente'!$B$4:$Q$347,MATCH($C66,'Energieverbruik in TJ Gemeente'!$B$4:$B$347,0),MATCH(R$2,'Energieverbruik in TJ Gemeente'!$B$4:$Q$4,0))</f>
        <v>23</v>
      </c>
      <c r="S66" cm="1">
        <f t="array" ref="S66">MAX(_xlfn._xlws.FILTER(D$1:H$1, D66:H66&lt;&gt;"?"))</f>
        <v>2023</v>
      </c>
      <c r="T66" cm="1">
        <f t="array" ref="T66">MAX(_xlfn._xlws.FILTER(I$1:M$1, I66:M66&lt;&gt;"?"))</f>
        <v>2023</v>
      </c>
      <c r="U66" cm="1">
        <f t="array" ref="U66">MAX(_xlfn._xlws.FILTER(F$1:J$1, F66:J66&lt;&gt;"?"))</f>
        <v>2023</v>
      </c>
      <c r="V66">
        <f t="shared" si="0"/>
        <v>1014</v>
      </c>
      <c r="W66">
        <f t="shared" si="1"/>
        <v>963</v>
      </c>
      <c r="X66">
        <f t="shared" si="2"/>
        <v>23</v>
      </c>
      <c r="Y66">
        <f t="shared" si="3"/>
        <v>2000</v>
      </c>
      <c r="Z66">
        <f t="shared" si="4"/>
        <v>3.3238603313888752E-3</v>
      </c>
    </row>
    <row r="67" spans="1:26" ht="32" x14ac:dyDescent="0.2">
      <c r="A67" s="4" t="s">
        <v>737</v>
      </c>
      <c r="B67" s="4" t="s">
        <v>738</v>
      </c>
      <c r="C67" s="4" t="s">
        <v>739</v>
      </c>
      <c r="D67">
        <f>INDEX('Energieverbruik in TJ Gemeente'!$B$4:$Q$347,MATCH($C67,'Energieverbruik in TJ Gemeente'!$B$4:$B$347,0),MATCH(D$2,'Energieverbruik in TJ Gemeente'!$B$4:$Q$4,0))</f>
        <v>1087</v>
      </c>
      <c r="E67">
        <f>INDEX('Energieverbruik in TJ Gemeente'!$B$4:$Q$347,MATCH($C67,'Energieverbruik in TJ Gemeente'!$B$4:$B$347,0),MATCH(E$2,'Energieverbruik in TJ Gemeente'!$B$4:$Q$4,0))</f>
        <v>1050</v>
      </c>
      <c r="F67">
        <f>INDEX('Energieverbruik in TJ Gemeente'!$B$4:$Q$347,MATCH($C67,'Energieverbruik in TJ Gemeente'!$B$4:$B$347,0),MATCH(F$2,'Energieverbruik in TJ Gemeente'!$B$4:$Q$4,0))</f>
        <v>1058</v>
      </c>
      <c r="G67">
        <f>INDEX('Energieverbruik in TJ Gemeente'!$B$4:$Q$347,MATCH($C67,'Energieverbruik in TJ Gemeente'!$B$4:$B$347,0),MATCH(G$2,'Energieverbruik in TJ Gemeente'!$B$4:$Q$4,0))</f>
        <v>910</v>
      </c>
      <c r="H67">
        <f>INDEX('Energieverbruik in TJ Gemeente'!$B$4:$Q$347,MATCH($C67,'Energieverbruik in TJ Gemeente'!$B$4:$B$347,0),MATCH(H$2,'Energieverbruik in TJ Gemeente'!$B$4:$Q$4,0))</f>
        <v>762</v>
      </c>
      <c r="I67">
        <f>INDEX('Energieverbruik in TJ Gemeente'!$B$4:$Q$347,MATCH($C67,'Energieverbruik in TJ Gemeente'!$B$4:$B$347,0),MATCH(I$2,'Energieverbruik in TJ Gemeente'!$B$4:$Q$4,0))</f>
        <v>119</v>
      </c>
      <c r="J67">
        <f>INDEX('Energieverbruik in TJ Gemeente'!$B$4:$Q$347,MATCH($C67,'Energieverbruik in TJ Gemeente'!$B$4:$B$347,0),MATCH(J$2,'Energieverbruik in TJ Gemeente'!$B$4:$Q$4,0))</f>
        <v>115</v>
      </c>
      <c r="K67">
        <f>INDEX('Energieverbruik in TJ Gemeente'!$B$4:$Q$347,MATCH($C67,'Energieverbruik in TJ Gemeente'!$B$4:$B$347,0),MATCH(K$2,'Energieverbruik in TJ Gemeente'!$B$4:$Q$4,0))</f>
        <v>122</v>
      </c>
      <c r="L67">
        <f>INDEX('Energieverbruik in TJ Gemeente'!$B$4:$Q$347,MATCH($C67,'Energieverbruik in TJ Gemeente'!$B$4:$B$347,0),MATCH(L$2,'Energieverbruik in TJ Gemeente'!$B$4:$Q$4,0))</f>
        <v>103</v>
      </c>
      <c r="M67">
        <f>INDEX('Energieverbruik in TJ Gemeente'!$B$4:$Q$347,MATCH($C67,'Energieverbruik in TJ Gemeente'!$B$4:$B$347,0),MATCH(M$2,'Energieverbruik in TJ Gemeente'!$B$4:$Q$4,0))</f>
        <v>93</v>
      </c>
      <c r="N67">
        <f>INDEX('Energieverbruik in TJ Gemeente'!$B$4:$Q$347,MATCH($C67,'Energieverbruik in TJ Gemeente'!$B$4:$B$347,0),MATCH(N$2,'Energieverbruik in TJ Gemeente'!$B$4:$Q$4,0))</f>
        <v>175</v>
      </c>
      <c r="O67">
        <f>INDEX('Energieverbruik in TJ Gemeente'!$B$4:$Q$347,MATCH($C67,'Energieverbruik in TJ Gemeente'!$B$4:$B$347,0),MATCH(O$2,'Energieverbruik in TJ Gemeente'!$B$4:$Q$4,0))</f>
        <v>212</v>
      </c>
      <c r="P67">
        <f>INDEX('Energieverbruik in TJ Gemeente'!$B$4:$Q$347,MATCH($C67,'Energieverbruik in TJ Gemeente'!$B$4:$B$347,0),MATCH(P$2,'Energieverbruik in TJ Gemeente'!$B$4:$Q$4,0))</f>
        <v>199</v>
      </c>
      <c r="Q67">
        <f>INDEX('Energieverbruik in TJ Gemeente'!$B$4:$Q$347,MATCH($C67,'Energieverbruik in TJ Gemeente'!$B$4:$B$347,0),MATCH(Q$2,'Energieverbruik in TJ Gemeente'!$B$4:$Q$4,0))</f>
        <v>153</v>
      </c>
      <c r="R67">
        <f>INDEX('Energieverbruik in TJ Gemeente'!$B$4:$Q$347,MATCH($C67,'Energieverbruik in TJ Gemeente'!$B$4:$B$347,0),MATCH(R$2,'Energieverbruik in TJ Gemeente'!$B$4:$Q$4,0))</f>
        <v>162</v>
      </c>
      <c r="S67" cm="1">
        <f t="array" ref="S67">MAX(_xlfn._xlws.FILTER(D$1:H$1, D67:H67&lt;&gt;"?"))</f>
        <v>2023</v>
      </c>
      <c r="T67" cm="1">
        <f t="array" ref="T67">MAX(_xlfn._xlws.FILTER(I$1:M$1, I67:M67&lt;&gt;"?"))</f>
        <v>2023</v>
      </c>
      <c r="U67" cm="1">
        <f t="array" ref="U67">MAX(_xlfn._xlws.FILTER(F$1:J$1, F67:J67&lt;&gt;"?"))</f>
        <v>2023</v>
      </c>
      <c r="V67">
        <f t="shared" si="0"/>
        <v>762</v>
      </c>
      <c r="W67">
        <f t="shared" si="1"/>
        <v>93</v>
      </c>
      <c r="X67">
        <f t="shared" si="2"/>
        <v>162</v>
      </c>
      <c r="Y67">
        <f t="shared" si="3"/>
        <v>1017</v>
      </c>
      <c r="Z67">
        <f t="shared" si="4"/>
        <v>1.6901829785112429E-3</v>
      </c>
    </row>
    <row r="68" spans="1:26" ht="16" x14ac:dyDescent="0.2">
      <c r="A68" s="4" t="s">
        <v>991</v>
      </c>
      <c r="B68" s="4" t="s">
        <v>992</v>
      </c>
      <c r="C68" s="4" t="s">
        <v>993</v>
      </c>
      <c r="D68">
        <f>INDEX('Energieverbruik in TJ Gemeente'!$B$4:$Q$347,MATCH($C68,'Energieverbruik in TJ Gemeente'!$B$4:$B$347,0),MATCH(D$2,'Energieverbruik in TJ Gemeente'!$B$4:$Q$4,0))</f>
        <v>701</v>
      </c>
      <c r="E68" t="str">
        <f>INDEX('Energieverbruik in TJ Gemeente'!$B$4:$Q$347,MATCH($C68,'Energieverbruik in TJ Gemeente'!$B$4:$B$347,0),MATCH(E$2,'Energieverbruik in TJ Gemeente'!$B$4:$Q$4,0))</f>
        <v>?</v>
      </c>
      <c r="F68">
        <f>INDEX('Energieverbruik in TJ Gemeente'!$B$4:$Q$347,MATCH($C68,'Energieverbruik in TJ Gemeente'!$B$4:$B$347,0),MATCH(F$2,'Energieverbruik in TJ Gemeente'!$B$4:$Q$4,0))</f>
        <v>687</v>
      </c>
      <c r="G68">
        <f>INDEX('Energieverbruik in TJ Gemeente'!$B$4:$Q$347,MATCH($C68,'Energieverbruik in TJ Gemeente'!$B$4:$B$347,0),MATCH(G$2,'Energieverbruik in TJ Gemeente'!$B$4:$Q$4,0))</f>
        <v>606</v>
      </c>
      <c r="H68">
        <f>INDEX('Energieverbruik in TJ Gemeente'!$B$4:$Q$347,MATCH($C68,'Energieverbruik in TJ Gemeente'!$B$4:$B$347,0),MATCH(H$2,'Energieverbruik in TJ Gemeente'!$B$4:$Q$4,0))</f>
        <v>496</v>
      </c>
      <c r="I68">
        <f>INDEX('Energieverbruik in TJ Gemeente'!$B$4:$Q$347,MATCH($C68,'Energieverbruik in TJ Gemeente'!$B$4:$B$347,0),MATCH(I$2,'Energieverbruik in TJ Gemeente'!$B$4:$Q$4,0))</f>
        <v>22</v>
      </c>
      <c r="J68" t="str">
        <f>INDEX('Energieverbruik in TJ Gemeente'!$B$4:$Q$347,MATCH($C68,'Energieverbruik in TJ Gemeente'!$B$4:$B$347,0),MATCH(J$2,'Energieverbruik in TJ Gemeente'!$B$4:$Q$4,0))</f>
        <v>?</v>
      </c>
      <c r="K68">
        <f>INDEX('Energieverbruik in TJ Gemeente'!$B$4:$Q$347,MATCH($C68,'Energieverbruik in TJ Gemeente'!$B$4:$B$347,0),MATCH(K$2,'Energieverbruik in TJ Gemeente'!$B$4:$Q$4,0))</f>
        <v>18</v>
      </c>
      <c r="L68">
        <f>INDEX('Energieverbruik in TJ Gemeente'!$B$4:$Q$347,MATCH($C68,'Energieverbruik in TJ Gemeente'!$B$4:$B$347,0),MATCH(L$2,'Energieverbruik in TJ Gemeente'!$B$4:$Q$4,0))</f>
        <v>16</v>
      </c>
      <c r="M68">
        <f>INDEX('Energieverbruik in TJ Gemeente'!$B$4:$Q$347,MATCH($C68,'Energieverbruik in TJ Gemeente'!$B$4:$B$347,0),MATCH(M$2,'Energieverbruik in TJ Gemeente'!$B$4:$Q$4,0))</f>
        <v>14</v>
      </c>
      <c r="N68">
        <f>INDEX('Energieverbruik in TJ Gemeente'!$B$4:$Q$347,MATCH($C68,'Energieverbruik in TJ Gemeente'!$B$4:$B$347,0),MATCH(N$2,'Energieverbruik in TJ Gemeente'!$B$4:$Q$4,0))</f>
        <v>75</v>
      </c>
      <c r="O68">
        <f>INDEX('Energieverbruik in TJ Gemeente'!$B$4:$Q$347,MATCH($C68,'Energieverbruik in TJ Gemeente'!$B$4:$B$347,0),MATCH(O$2,'Energieverbruik in TJ Gemeente'!$B$4:$Q$4,0))</f>
        <v>43</v>
      </c>
      <c r="P68">
        <f>INDEX('Energieverbruik in TJ Gemeente'!$B$4:$Q$347,MATCH($C68,'Energieverbruik in TJ Gemeente'!$B$4:$B$347,0),MATCH(P$2,'Energieverbruik in TJ Gemeente'!$B$4:$Q$4,0))</f>
        <v>42</v>
      </c>
      <c r="Q68">
        <f>INDEX('Energieverbruik in TJ Gemeente'!$B$4:$Q$347,MATCH($C68,'Energieverbruik in TJ Gemeente'!$B$4:$B$347,0),MATCH(Q$2,'Energieverbruik in TJ Gemeente'!$B$4:$Q$4,0))</f>
        <v>35</v>
      </c>
      <c r="R68">
        <f>INDEX('Energieverbruik in TJ Gemeente'!$B$4:$Q$347,MATCH($C68,'Energieverbruik in TJ Gemeente'!$B$4:$B$347,0),MATCH(R$2,'Energieverbruik in TJ Gemeente'!$B$4:$Q$4,0))</f>
        <v>31</v>
      </c>
      <c r="S68" cm="1">
        <f t="array" ref="S68">MAX(_xlfn._xlws.FILTER(D$1:H$1, D68:H68&lt;&gt;"?"))</f>
        <v>2023</v>
      </c>
      <c r="T68" cm="1">
        <f t="array" ref="T68">MAX(_xlfn._xlws.FILTER(I$1:M$1, I68:M68&lt;&gt;"?"))</f>
        <v>2023</v>
      </c>
      <c r="U68" cm="1">
        <f t="array" ref="U68">MAX(_xlfn._xlws.FILTER(F$1:J$1, F68:J68&lt;&gt;"?"))</f>
        <v>2023</v>
      </c>
      <c r="V68">
        <f t="shared" ref="V68:V131" si="5">IFERROR(INDEX($D68:$H68,MATCH(S68,$D$1:$H$1,0)),0)</f>
        <v>496</v>
      </c>
      <c r="W68">
        <f t="shared" ref="W68:W131" si="6">IFERROR(INDEX($I68:$M68,MATCH(T68,$I$1:$M$1,0)),0)</f>
        <v>14</v>
      </c>
      <c r="X68">
        <f t="shared" ref="X68:X131" si="7">IFERROR(INDEX($N68:$R68,MATCH(U68,$N$1:$R$1,0)),0)</f>
        <v>31</v>
      </c>
      <c r="Y68">
        <f t="shared" ref="Y68:Y131" si="8">SUM(V68:X68)</f>
        <v>541</v>
      </c>
      <c r="Z68">
        <f t="shared" ref="Z68:Z131" si="9">Y68/SUM($Y$3:$Y$344)</f>
        <v>8.9910421964069069E-4</v>
      </c>
    </row>
    <row r="69" spans="1:26" ht="16" x14ac:dyDescent="0.2">
      <c r="A69" s="4" t="s">
        <v>203</v>
      </c>
      <c r="B69" s="4" t="s">
        <v>204</v>
      </c>
      <c r="C69" s="4" t="s">
        <v>205</v>
      </c>
      <c r="D69">
        <f>INDEX('Energieverbruik in TJ Gemeente'!$B$4:$Q$347,MATCH($C69,'Energieverbruik in TJ Gemeente'!$B$4:$B$347,0),MATCH(D$2,'Energieverbruik in TJ Gemeente'!$B$4:$Q$4,0))</f>
        <v>2294</v>
      </c>
      <c r="E69">
        <f>INDEX('Energieverbruik in TJ Gemeente'!$B$4:$Q$347,MATCH($C69,'Energieverbruik in TJ Gemeente'!$B$4:$B$347,0),MATCH(E$2,'Energieverbruik in TJ Gemeente'!$B$4:$Q$4,0))</f>
        <v>2284</v>
      </c>
      <c r="F69">
        <f>INDEX('Energieverbruik in TJ Gemeente'!$B$4:$Q$347,MATCH($C69,'Energieverbruik in TJ Gemeente'!$B$4:$B$347,0),MATCH(F$2,'Energieverbruik in TJ Gemeente'!$B$4:$Q$4,0))</f>
        <v>2346</v>
      </c>
      <c r="G69">
        <f>INDEX('Energieverbruik in TJ Gemeente'!$B$4:$Q$347,MATCH($C69,'Energieverbruik in TJ Gemeente'!$B$4:$B$347,0),MATCH(G$2,'Energieverbruik in TJ Gemeente'!$B$4:$Q$4,0))</f>
        <v>1949</v>
      </c>
      <c r="H69">
        <f>INDEX('Energieverbruik in TJ Gemeente'!$B$4:$Q$347,MATCH($C69,'Energieverbruik in TJ Gemeente'!$B$4:$B$347,0),MATCH(H$2,'Energieverbruik in TJ Gemeente'!$B$4:$Q$4,0))</f>
        <v>1711</v>
      </c>
      <c r="I69">
        <f>INDEX('Energieverbruik in TJ Gemeente'!$B$4:$Q$347,MATCH($C69,'Energieverbruik in TJ Gemeente'!$B$4:$B$347,0),MATCH(I$2,'Energieverbruik in TJ Gemeente'!$B$4:$Q$4,0))</f>
        <v>991</v>
      </c>
      <c r="J69">
        <f>INDEX('Energieverbruik in TJ Gemeente'!$B$4:$Q$347,MATCH($C69,'Energieverbruik in TJ Gemeente'!$B$4:$B$347,0),MATCH(J$2,'Energieverbruik in TJ Gemeente'!$B$4:$Q$4,0))</f>
        <v>1057</v>
      </c>
      <c r="K69">
        <f>INDEX('Energieverbruik in TJ Gemeente'!$B$4:$Q$347,MATCH($C69,'Energieverbruik in TJ Gemeente'!$B$4:$B$347,0),MATCH(K$2,'Energieverbruik in TJ Gemeente'!$B$4:$Q$4,0))</f>
        <v>1120</v>
      </c>
      <c r="L69">
        <f>INDEX('Energieverbruik in TJ Gemeente'!$B$4:$Q$347,MATCH($C69,'Energieverbruik in TJ Gemeente'!$B$4:$B$347,0),MATCH(L$2,'Energieverbruik in TJ Gemeente'!$B$4:$Q$4,0))</f>
        <v>1134</v>
      </c>
      <c r="M69">
        <f>INDEX('Energieverbruik in TJ Gemeente'!$B$4:$Q$347,MATCH($C69,'Energieverbruik in TJ Gemeente'!$B$4:$B$347,0),MATCH(M$2,'Energieverbruik in TJ Gemeente'!$B$4:$Q$4,0))</f>
        <v>926</v>
      </c>
      <c r="N69">
        <f>INDEX('Energieverbruik in TJ Gemeente'!$B$4:$Q$347,MATCH($C69,'Energieverbruik in TJ Gemeente'!$B$4:$B$347,0),MATCH(N$2,'Energieverbruik in TJ Gemeente'!$B$4:$Q$4,0))</f>
        <v>1</v>
      </c>
      <c r="O69">
        <f>INDEX('Energieverbruik in TJ Gemeente'!$B$4:$Q$347,MATCH($C69,'Energieverbruik in TJ Gemeente'!$B$4:$B$347,0),MATCH(O$2,'Energieverbruik in TJ Gemeente'!$B$4:$Q$4,0))</f>
        <v>0</v>
      </c>
      <c r="P69">
        <f>INDEX('Energieverbruik in TJ Gemeente'!$B$4:$Q$347,MATCH($C69,'Energieverbruik in TJ Gemeente'!$B$4:$B$347,0),MATCH(P$2,'Energieverbruik in TJ Gemeente'!$B$4:$Q$4,0))</f>
        <v>1</v>
      </c>
      <c r="Q69">
        <f>INDEX('Energieverbruik in TJ Gemeente'!$B$4:$Q$347,MATCH($C69,'Energieverbruik in TJ Gemeente'!$B$4:$B$347,0),MATCH(Q$2,'Energieverbruik in TJ Gemeente'!$B$4:$Q$4,0))</f>
        <v>0</v>
      </c>
      <c r="R69">
        <f>INDEX('Energieverbruik in TJ Gemeente'!$B$4:$Q$347,MATCH($C69,'Energieverbruik in TJ Gemeente'!$B$4:$B$347,0),MATCH(R$2,'Energieverbruik in TJ Gemeente'!$B$4:$Q$4,0))</f>
        <v>1</v>
      </c>
      <c r="S69" cm="1">
        <f t="array" ref="S69">MAX(_xlfn._xlws.FILTER(D$1:H$1, D69:H69&lt;&gt;"?"))</f>
        <v>2023</v>
      </c>
      <c r="T69" cm="1">
        <f t="array" ref="T69">MAX(_xlfn._xlws.FILTER(I$1:M$1, I69:M69&lt;&gt;"?"))</f>
        <v>2023</v>
      </c>
      <c r="U69" cm="1">
        <f t="array" ref="U69">MAX(_xlfn._xlws.FILTER(F$1:J$1, F69:J69&lt;&gt;"?"))</f>
        <v>2023</v>
      </c>
      <c r="V69">
        <f t="shared" si="5"/>
        <v>1711</v>
      </c>
      <c r="W69">
        <f t="shared" si="6"/>
        <v>926</v>
      </c>
      <c r="X69">
        <f t="shared" si="7"/>
        <v>1</v>
      </c>
      <c r="Y69">
        <f t="shared" si="8"/>
        <v>2638</v>
      </c>
      <c r="Z69">
        <f t="shared" si="9"/>
        <v>4.3841717771019263E-3</v>
      </c>
    </row>
    <row r="70" spans="1:26" ht="16" x14ac:dyDescent="0.2">
      <c r="A70" s="4" t="s">
        <v>385</v>
      </c>
      <c r="B70" s="4" t="s">
        <v>386</v>
      </c>
      <c r="C70" s="4" t="s">
        <v>387</v>
      </c>
      <c r="D70">
        <f>INDEX('Energieverbruik in TJ Gemeente'!$B$4:$Q$347,MATCH($C70,'Energieverbruik in TJ Gemeente'!$B$4:$B$347,0),MATCH(D$2,'Energieverbruik in TJ Gemeente'!$B$4:$Q$4,0))</f>
        <v>1665</v>
      </c>
      <c r="E70">
        <f>INDEX('Energieverbruik in TJ Gemeente'!$B$4:$Q$347,MATCH($C70,'Energieverbruik in TJ Gemeente'!$B$4:$B$347,0),MATCH(E$2,'Energieverbruik in TJ Gemeente'!$B$4:$Q$4,0))</f>
        <v>1630</v>
      </c>
      <c r="F70">
        <f>INDEX('Energieverbruik in TJ Gemeente'!$B$4:$Q$347,MATCH($C70,'Energieverbruik in TJ Gemeente'!$B$4:$B$347,0),MATCH(F$2,'Energieverbruik in TJ Gemeente'!$B$4:$Q$4,0))</f>
        <v>1663</v>
      </c>
      <c r="G70">
        <f>INDEX('Energieverbruik in TJ Gemeente'!$B$4:$Q$347,MATCH($C70,'Energieverbruik in TJ Gemeente'!$B$4:$B$347,0),MATCH(G$2,'Energieverbruik in TJ Gemeente'!$B$4:$Q$4,0))</f>
        <v>1435</v>
      </c>
      <c r="H70">
        <f>INDEX('Energieverbruik in TJ Gemeente'!$B$4:$Q$347,MATCH($C70,'Energieverbruik in TJ Gemeente'!$B$4:$B$347,0),MATCH(H$2,'Energieverbruik in TJ Gemeente'!$B$4:$Q$4,0))</f>
        <v>1272</v>
      </c>
      <c r="I70">
        <f>INDEX('Energieverbruik in TJ Gemeente'!$B$4:$Q$347,MATCH($C70,'Energieverbruik in TJ Gemeente'!$B$4:$B$347,0),MATCH(I$2,'Energieverbruik in TJ Gemeente'!$B$4:$Q$4,0))</f>
        <v>31</v>
      </c>
      <c r="J70">
        <f>INDEX('Energieverbruik in TJ Gemeente'!$B$4:$Q$347,MATCH($C70,'Energieverbruik in TJ Gemeente'!$B$4:$B$347,0),MATCH(J$2,'Energieverbruik in TJ Gemeente'!$B$4:$Q$4,0))</f>
        <v>26</v>
      </c>
      <c r="K70" t="str">
        <f>INDEX('Energieverbruik in TJ Gemeente'!$B$4:$Q$347,MATCH($C70,'Energieverbruik in TJ Gemeente'!$B$4:$B$347,0),MATCH(K$2,'Energieverbruik in TJ Gemeente'!$B$4:$Q$4,0))</f>
        <v>?</v>
      </c>
      <c r="L70">
        <f>INDEX('Energieverbruik in TJ Gemeente'!$B$4:$Q$347,MATCH($C70,'Energieverbruik in TJ Gemeente'!$B$4:$B$347,0),MATCH(L$2,'Energieverbruik in TJ Gemeente'!$B$4:$Q$4,0))</f>
        <v>26</v>
      </c>
      <c r="M70">
        <f>INDEX('Energieverbruik in TJ Gemeente'!$B$4:$Q$347,MATCH($C70,'Energieverbruik in TJ Gemeente'!$B$4:$B$347,0),MATCH(M$2,'Energieverbruik in TJ Gemeente'!$B$4:$Q$4,0))</f>
        <v>23</v>
      </c>
      <c r="N70">
        <f>INDEX('Energieverbruik in TJ Gemeente'!$B$4:$Q$347,MATCH($C70,'Energieverbruik in TJ Gemeente'!$B$4:$B$347,0),MATCH(N$2,'Energieverbruik in TJ Gemeente'!$B$4:$Q$4,0))</f>
        <v>73</v>
      </c>
      <c r="O70">
        <f>INDEX('Energieverbruik in TJ Gemeente'!$B$4:$Q$347,MATCH($C70,'Energieverbruik in TJ Gemeente'!$B$4:$B$347,0),MATCH(O$2,'Energieverbruik in TJ Gemeente'!$B$4:$Q$4,0))</f>
        <v>75</v>
      </c>
      <c r="P70">
        <f>INDEX('Energieverbruik in TJ Gemeente'!$B$4:$Q$347,MATCH($C70,'Energieverbruik in TJ Gemeente'!$B$4:$B$347,0),MATCH(P$2,'Energieverbruik in TJ Gemeente'!$B$4:$Q$4,0))</f>
        <v>80</v>
      </c>
      <c r="Q70">
        <f>INDEX('Energieverbruik in TJ Gemeente'!$B$4:$Q$347,MATCH($C70,'Energieverbruik in TJ Gemeente'!$B$4:$B$347,0),MATCH(Q$2,'Energieverbruik in TJ Gemeente'!$B$4:$Q$4,0))</f>
        <v>55</v>
      </c>
      <c r="R70">
        <f>INDEX('Energieverbruik in TJ Gemeente'!$B$4:$Q$347,MATCH($C70,'Energieverbruik in TJ Gemeente'!$B$4:$B$347,0),MATCH(R$2,'Energieverbruik in TJ Gemeente'!$B$4:$Q$4,0))</f>
        <v>56</v>
      </c>
      <c r="S70" cm="1">
        <f t="array" ref="S70">MAX(_xlfn._xlws.FILTER(D$1:H$1, D70:H70&lt;&gt;"?"))</f>
        <v>2023</v>
      </c>
      <c r="T70" cm="1">
        <f t="array" ref="T70">MAX(_xlfn._xlws.FILTER(I$1:M$1, I70:M70&lt;&gt;"?"))</f>
        <v>2023</v>
      </c>
      <c r="U70" cm="1">
        <f t="array" ref="U70">MAX(_xlfn._xlws.FILTER(F$1:J$1, F70:J70&lt;&gt;"?"))</f>
        <v>2023</v>
      </c>
      <c r="V70">
        <f t="shared" si="5"/>
        <v>1272</v>
      </c>
      <c r="W70">
        <f t="shared" si="6"/>
        <v>23</v>
      </c>
      <c r="X70">
        <f t="shared" si="7"/>
        <v>56</v>
      </c>
      <c r="Y70">
        <f t="shared" si="8"/>
        <v>1351</v>
      </c>
      <c r="Z70">
        <f t="shared" si="9"/>
        <v>2.2452676538531851E-3</v>
      </c>
    </row>
    <row r="71" spans="1:26" ht="16" x14ac:dyDescent="0.2">
      <c r="A71" s="4" t="s">
        <v>206</v>
      </c>
      <c r="B71" s="4" t="s">
        <v>207</v>
      </c>
      <c r="C71" s="4" t="s">
        <v>208</v>
      </c>
      <c r="D71">
        <f>INDEX('Energieverbruik in TJ Gemeente'!$B$4:$Q$347,MATCH($C71,'Energieverbruik in TJ Gemeente'!$B$4:$B$347,0),MATCH(D$2,'Energieverbruik in TJ Gemeente'!$B$4:$Q$4,0))</f>
        <v>856</v>
      </c>
      <c r="E71">
        <f>INDEX('Energieverbruik in TJ Gemeente'!$B$4:$Q$347,MATCH($C71,'Energieverbruik in TJ Gemeente'!$B$4:$B$347,0),MATCH(E$2,'Energieverbruik in TJ Gemeente'!$B$4:$Q$4,0))</f>
        <v>826</v>
      </c>
      <c r="F71">
        <f>INDEX('Energieverbruik in TJ Gemeente'!$B$4:$Q$347,MATCH($C71,'Energieverbruik in TJ Gemeente'!$B$4:$B$347,0),MATCH(F$2,'Energieverbruik in TJ Gemeente'!$B$4:$Q$4,0))</f>
        <v>841</v>
      </c>
      <c r="G71">
        <f>INDEX('Energieverbruik in TJ Gemeente'!$B$4:$Q$347,MATCH($C71,'Energieverbruik in TJ Gemeente'!$B$4:$B$347,0),MATCH(G$2,'Energieverbruik in TJ Gemeente'!$B$4:$Q$4,0))</f>
        <v>737</v>
      </c>
      <c r="H71">
        <f>INDEX('Energieverbruik in TJ Gemeente'!$B$4:$Q$347,MATCH($C71,'Energieverbruik in TJ Gemeente'!$B$4:$B$347,0),MATCH(H$2,'Energieverbruik in TJ Gemeente'!$B$4:$Q$4,0))</f>
        <v>602</v>
      </c>
      <c r="I71">
        <f>INDEX('Energieverbruik in TJ Gemeente'!$B$4:$Q$347,MATCH($C71,'Energieverbruik in TJ Gemeente'!$B$4:$B$347,0),MATCH(I$2,'Energieverbruik in TJ Gemeente'!$B$4:$Q$4,0))</f>
        <v>127</v>
      </c>
      <c r="J71">
        <f>INDEX('Energieverbruik in TJ Gemeente'!$B$4:$Q$347,MATCH($C71,'Energieverbruik in TJ Gemeente'!$B$4:$B$347,0),MATCH(J$2,'Energieverbruik in TJ Gemeente'!$B$4:$Q$4,0))</f>
        <v>131</v>
      </c>
      <c r="K71">
        <f>INDEX('Energieverbruik in TJ Gemeente'!$B$4:$Q$347,MATCH($C71,'Energieverbruik in TJ Gemeente'!$B$4:$B$347,0),MATCH(K$2,'Energieverbruik in TJ Gemeente'!$B$4:$Q$4,0))</f>
        <v>142</v>
      </c>
      <c r="L71">
        <f>INDEX('Energieverbruik in TJ Gemeente'!$B$4:$Q$347,MATCH($C71,'Energieverbruik in TJ Gemeente'!$B$4:$B$347,0),MATCH(L$2,'Energieverbruik in TJ Gemeente'!$B$4:$Q$4,0))</f>
        <v>88</v>
      </c>
      <c r="M71">
        <f>INDEX('Energieverbruik in TJ Gemeente'!$B$4:$Q$347,MATCH($C71,'Energieverbruik in TJ Gemeente'!$B$4:$B$347,0),MATCH(M$2,'Energieverbruik in TJ Gemeente'!$B$4:$Q$4,0))</f>
        <v>85</v>
      </c>
      <c r="N71">
        <f>INDEX('Energieverbruik in TJ Gemeente'!$B$4:$Q$347,MATCH($C71,'Energieverbruik in TJ Gemeente'!$B$4:$B$347,0),MATCH(N$2,'Energieverbruik in TJ Gemeente'!$B$4:$Q$4,0))</f>
        <v>290</v>
      </c>
      <c r="O71">
        <f>INDEX('Energieverbruik in TJ Gemeente'!$B$4:$Q$347,MATCH($C71,'Energieverbruik in TJ Gemeente'!$B$4:$B$347,0),MATCH(O$2,'Energieverbruik in TJ Gemeente'!$B$4:$Q$4,0))</f>
        <v>266</v>
      </c>
      <c r="P71">
        <f>INDEX('Energieverbruik in TJ Gemeente'!$B$4:$Q$347,MATCH($C71,'Energieverbruik in TJ Gemeente'!$B$4:$B$347,0),MATCH(P$2,'Energieverbruik in TJ Gemeente'!$B$4:$Q$4,0))</f>
        <v>291</v>
      </c>
      <c r="Q71">
        <f>INDEX('Energieverbruik in TJ Gemeente'!$B$4:$Q$347,MATCH($C71,'Energieverbruik in TJ Gemeente'!$B$4:$B$347,0),MATCH(Q$2,'Energieverbruik in TJ Gemeente'!$B$4:$Q$4,0))</f>
        <v>193</v>
      </c>
      <c r="R71">
        <f>INDEX('Energieverbruik in TJ Gemeente'!$B$4:$Q$347,MATCH($C71,'Energieverbruik in TJ Gemeente'!$B$4:$B$347,0),MATCH(R$2,'Energieverbruik in TJ Gemeente'!$B$4:$Q$4,0))</f>
        <v>212</v>
      </c>
      <c r="S71" cm="1">
        <f t="array" ref="S71">MAX(_xlfn._xlws.FILTER(D$1:H$1, D71:H71&lt;&gt;"?"))</f>
        <v>2023</v>
      </c>
      <c r="T71" cm="1">
        <f t="array" ref="T71">MAX(_xlfn._xlws.FILTER(I$1:M$1, I71:M71&lt;&gt;"?"))</f>
        <v>2023</v>
      </c>
      <c r="U71" cm="1">
        <f t="array" ref="U71">MAX(_xlfn._xlws.FILTER(F$1:J$1, F71:J71&lt;&gt;"?"))</f>
        <v>2023</v>
      </c>
      <c r="V71">
        <f t="shared" si="5"/>
        <v>602</v>
      </c>
      <c r="W71">
        <f t="shared" si="6"/>
        <v>85</v>
      </c>
      <c r="X71">
        <f t="shared" si="7"/>
        <v>212</v>
      </c>
      <c r="Y71">
        <f t="shared" si="8"/>
        <v>899</v>
      </c>
      <c r="Z71">
        <f t="shared" si="9"/>
        <v>1.4940752189592994E-3</v>
      </c>
    </row>
    <row r="72" spans="1:26" ht="16" x14ac:dyDescent="0.2">
      <c r="A72" s="4" t="s">
        <v>209</v>
      </c>
      <c r="B72" s="4" t="s">
        <v>210</v>
      </c>
      <c r="C72" s="4" t="s">
        <v>211</v>
      </c>
      <c r="D72">
        <f>INDEX('Energieverbruik in TJ Gemeente'!$B$4:$Q$347,MATCH($C72,'Energieverbruik in TJ Gemeente'!$B$4:$B$347,0),MATCH(D$2,'Energieverbruik in TJ Gemeente'!$B$4:$Q$4,0))</f>
        <v>2289</v>
      </c>
      <c r="E72" t="str">
        <f>INDEX('Energieverbruik in TJ Gemeente'!$B$4:$Q$347,MATCH($C72,'Energieverbruik in TJ Gemeente'!$B$4:$B$347,0),MATCH(E$2,'Energieverbruik in TJ Gemeente'!$B$4:$Q$4,0))</f>
        <v>?</v>
      </c>
      <c r="F72">
        <f>INDEX('Energieverbruik in TJ Gemeente'!$B$4:$Q$347,MATCH($C72,'Energieverbruik in TJ Gemeente'!$B$4:$B$347,0),MATCH(F$2,'Energieverbruik in TJ Gemeente'!$B$4:$Q$4,0))</f>
        <v>2283</v>
      </c>
      <c r="G72">
        <f>INDEX('Energieverbruik in TJ Gemeente'!$B$4:$Q$347,MATCH($C72,'Energieverbruik in TJ Gemeente'!$B$4:$B$347,0),MATCH(G$2,'Energieverbruik in TJ Gemeente'!$B$4:$Q$4,0))</f>
        <v>2005</v>
      </c>
      <c r="H72">
        <f>INDEX('Energieverbruik in TJ Gemeente'!$B$4:$Q$347,MATCH($C72,'Energieverbruik in TJ Gemeente'!$B$4:$B$347,0),MATCH(H$2,'Energieverbruik in TJ Gemeente'!$B$4:$Q$4,0))</f>
        <v>1698</v>
      </c>
      <c r="I72">
        <f>INDEX('Energieverbruik in TJ Gemeente'!$B$4:$Q$347,MATCH($C72,'Energieverbruik in TJ Gemeente'!$B$4:$B$347,0),MATCH(I$2,'Energieverbruik in TJ Gemeente'!$B$4:$Q$4,0))</f>
        <v>605</v>
      </c>
      <c r="J72">
        <f>INDEX('Energieverbruik in TJ Gemeente'!$B$4:$Q$347,MATCH($C72,'Energieverbruik in TJ Gemeente'!$B$4:$B$347,0),MATCH(J$2,'Energieverbruik in TJ Gemeente'!$B$4:$Q$4,0))</f>
        <v>620</v>
      </c>
      <c r="K72">
        <f>INDEX('Energieverbruik in TJ Gemeente'!$B$4:$Q$347,MATCH($C72,'Energieverbruik in TJ Gemeente'!$B$4:$B$347,0),MATCH(K$2,'Energieverbruik in TJ Gemeente'!$B$4:$Q$4,0))</f>
        <v>629</v>
      </c>
      <c r="L72">
        <f>INDEX('Energieverbruik in TJ Gemeente'!$B$4:$Q$347,MATCH($C72,'Energieverbruik in TJ Gemeente'!$B$4:$B$347,0),MATCH(L$2,'Energieverbruik in TJ Gemeente'!$B$4:$Q$4,0))</f>
        <v>532</v>
      </c>
      <c r="M72">
        <f>INDEX('Energieverbruik in TJ Gemeente'!$B$4:$Q$347,MATCH($C72,'Energieverbruik in TJ Gemeente'!$B$4:$B$347,0),MATCH(M$2,'Energieverbruik in TJ Gemeente'!$B$4:$Q$4,0))</f>
        <v>484</v>
      </c>
      <c r="N72">
        <f>INDEX('Energieverbruik in TJ Gemeente'!$B$4:$Q$347,MATCH($C72,'Energieverbruik in TJ Gemeente'!$B$4:$B$347,0),MATCH(N$2,'Energieverbruik in TJ Gemeente'!$B$4:$Q$4,0))</f>
        <v>34</v>
      </c>
      <c r="O72">
        <f>INDEX('Energieverbruik in TJ Gemeente'!$B$4:$Q$347,MATCH($C72,'Energieverbruik in TJ Gemeente'!$B$4:$B$347,0),MATCH(O$2,'Energieverbruik in TJ Gemeente'!$B$4:$Q$4,0))</f>
        <v>35</v>
      </c>
      <c r="P72">
        <f>INDEX('Energieverbruik in TJ Gemeente'!$B$4:$Q$347,MATCH($C72,'Energieverbruik in TJ Gemeente'!$B$4:$B$347,0),MATCH(P$2,'Energieverbruik in TJ Gemeente'!$B$4:$Q$4,0))</f>
        <v>38</v>
      </c>
      <c r="Q72">
        <f>INDEX('Energieverbruik in TJ Gemeente'!$B$4:$Q$347,MATCH($C72,'Energieverbruik in TJ Gemeente'!$B$4:$B$347,0),MATCH(Q$2,'Energieverbruik in TJ Gemeente'!$B$4:$Q$4,0))</f>
        <v>30</v>
      </c>
      <c r="R72">
        <f>INDEX('Energieverbruik in TJ Gemeente'!$B$4:$Q$347,MATCH($C72,'Energieverbruik in TJ Gemeente'!$B$4:$B$347,0),MATCH(R$2,'Energieverbruik in TJ Gemeente'!$B$4:$Q$4,0))</f>
        <v>24</v>
      </c>
      <c r="S72" cm="1">
        <f t="array" ref="S72">MAX(_xlfn._xlws.FILTER(D$1:H$1, D72:H72&lt;&gt;"?"))</f>
        <v>2023</v>
      </c>
      <c r="T72" cm="1">
        <f t="array" ref="T72">MAX(_xlfn._xlws.FILTER(I$1:M$1, I72:M72&lt;&gt;"?"))</f>
        <v>2023</v>
      </c>
      <c r="U72" cm="1">
        <f t="array" ref="U72">MAX(_xlfn._xlws.FILTER(F$1:J$1, F72:J72&lt;&gt;"?"))</f>
        <v>2023</v>
      </c>
      <c r="V72">
        <f t="shared" si="5"/>
        <v>1698</v>
      </c>
      <c r="W72">
        <f t="shared" si="6"/>
        <v>484</v>
      </c>
      <c r="X72">
        <f t="shared" si="7"/>
        <v>24</v>
      </c>
      <c r="Y72">
        <f t="shared" si="8"/>
        <v>2206</v>
      </c>
      <c r="Z72">
        <f t="shared" si="9"/>
        <v>3.6662179455219292E-3</v>
      </c>
    </row>
    <row r="73" spans="1:26" ht="16" x14ac:dyDescent="0.2">
      <c r="A73" s="4" t="s">
        <v>212</v>
      </c>
      <c r="B73" s="4" t="s">
        <v>213</v>
      </c>
      <c r="C73" s="4" t="s">
        <v>214</v>
      </c>
      <c r="D73" t="str">
        <f>INDEX('Energieverbruik in TJ Gemeente'!$B$4:$Q$347,MATCH($C73,'Energieverbruik in TJ Gemeente'!$B$4:$B$347,0),MATCH(D$2,'Energieverbruik in TJ Gemeente'!$B$4:$Q$4,0))</f>
        <v>?</v>
      </c>
      <c r="E73" t="str">
        <f>INDEX('Energieverbruik in TJ Gemeente'!$B$4:$Q$347,MATCH($C73,'Energieverbruik in TJ Gemeente'!$B$4:$B$347,0),MATCH(E$2,'Energieverbruik in TJ Gemeente'!$B$4:$Q$4,0))</f>
        <v>?</v>
      </c>
      <c r="F73">
        <f>INDEX('Energieverbruik in TJ Gemeente'!$B$4:$Q$347,MATCH($C73,'Energieverbruik in TJ Gemeente'!$B$4:$B$347,0),MATCH(F$2,'Energieverbruik in TJ Gemeente'!$B$4:$Q$4,0))</f>
        <v>601</v>
      </c>
      <c r="G73" t="str">
        <f>INDEX('Energieverbruik in TJ Gemeente'!$B$4:$Q$347,MATCH($C73,'Energieverbruik in TJ Gemeente'!$B$4:$B$347,0),MATCH(G$2,'Energieverbruik in TJ Gemeente'!$B$4:$Q$4,0))</f>
        <v>?</v>
      </c>
      <c r="H73" t="str">
        <f>INDEX('Energieverbruik in TJ Gemeente'!$B$4:$Q$347,MATCH($C73,'Energieverbruik in TJ Gemeente'!$B$4:$B$347,0),MATCH(H$2,'Energieverbruik in TJ Gemeente'!$B$4:$Q$4,0))</f>
        <v>?</v>
      </c>
      <c r="I73">
        <f>INDEX('Energieverbruik in TJ Gemeente'!$B$4:$Q$347,MATCH($C73,'Energieverbruik in TJ Gemeente'!$B$4:$B$347,0),MATCH(I$2,'Energieverbruik in TJ Gemeente'!$B$4:$Q$4,0))</f>
        <v>31</v>
      </c>
      <c r="J73">
        <f>INDEX('Energieverbruik in TJ Gemeente'!$B$4:$Q$347,MATCH($C73,'Energieverbruik in TJ Gemeente'!$B$4:$B$347,0),MATCH(J$2,'Energieverbruik in TJ Gemeente'!$B$4:$Q$4,0))</f>
        <v>27</v>
      </c>
      <c r="K73">
        <f>INDEX('Energieverbruik in TJ Gemeente'!$B$4:$Q$347,MATCH($C73,'Energieverbruik in TJ Gemeente'!$B$4:$B$347,0),MATCH(K$2,'Energieverbruik in TJ Gemeente'!$B$4:$Q$4,0))</f>
        <v>31</v>
      </c>
      <c r="L73" t="str">
        <f>INDEX('Energieverbruik in TJ Gemeente'!$B$4:$Q$347,MATCH($C73,'Energieverbruik in TJ Gemeente'!$B$4:$B$347,0),MATCH(L$2,'Energieverbruik in TJ Gemeente'!$B$4:$Q$4,0))</f>
        <v>?</v>
      </c>
      <c r="M73" t="str">
        <f>INDEX('Energieverbruik in TJ Gemeente'!$B$4:$Q$347,MATCH($C73,'Energieverbruik in TJ Gemeente'!$B$4:$B$347,0),MATCH(M$2,'Energieverbruik in TJ Gemeente'!$B$4:$Q$4,0))</f>
        <v>?</v>
      </c>
      <c r="N73" t="str">
        <f>INDEX('Energieverbruik in TJ Gemeente'!$B$4:$Q$347,MATCH($C73,'Energieverbruik in TJ Gemeente'!$B$4:$B$347,0),MATCH(N$2,'Energieverbruik in TJ Gemeente'!$B$4:$Q$4,0))</f>
        <v>?</v>
      </c>
      <c r="O73" t="str">
        <f>INDEX('Energieverbruik in TJ Gemeente'!$B$4:$Q$347,MATCH($C73,'Energieverbruik in TJ Gemeente'!$B$4:$B$347,0),MATCH(O$2,'Energieverbruik in TJ Gemeente'!$B$4:$Q$4,0))</f>
        <v>?</v>
      </c>
      <c r="P73" t="str">
        <f>INDEX('Energieverbruik in TJ Gemeente'!$B$4:$Q$347,MATCH($C73,'Energieverbruik in TJ Gemeente'!$B$4:$B$347,0),MATCH(P$2,'Energieverbruik in TJ Gemeente'!$B$4:$Q$4,0))</f>
        <v>?</v>
      </c>
      <c r="Q73" t="str">
        <f>INDEX('Energieverbruik in TJ Gemeente'!$B$4:$Q$347,MATCH($C73,'Energieverbruik in TJ Gemeente'!$B$4:$B$347,0),MATCH(Q$2,'Energieverbruik in TJ Gemeente'!$B$4:$Q$4,0))</f>
        <v>?</v>
      </c>
      <c r="R73" t="str">
        <f>INDEX('Energieverbruik in TJ Gemeente'!$B$4:$Q$347,MATCH($C73,'Energieverbruik in TJ Gemeente'!$B$4:$B$347,0),MATCH(R$2,'Energieverbruik in TJ Gemeente'!$B$4:$Q$4,0))</f>
        <v>?</v>
      </c>
      <c r="S73" cm="1">
        <f t="array" ref="S73">MAX(_xlfn._xlws.FILTER(D$1:H$1, D73:H73&lt;&gt;"?"))</f>
        <v>2021</v>
      </c>
      <c r="T73" cm="1">
        <f t="array" ref="T73">MAX(_xlfn._xlws.FILTER(I$1:M$1, I73:M73&lt;&gt;"?"))</f>
        <v>2021</v>
      </c>
      <c r="U73" cm="1">
        <f t="array" ref="U73">MAX(_xlfn._xlws.FILTER(F$1:J$1, F73:J73&lt;&gt;"?"))</f>
        <v>2021</v>
      </c>
      <c r="V73">
        <f t="shared" si="5"/>
        <v>601</v>
      </c>
      <c r="W73">
        <f t="shared" si="6"/>
        <v>31</v>
      </c>
      <c r="X73" t="str">
        <f t="shared" si="7"/>
        <v>?</v>
      </c>
      <c r="Y73">
        <f t="shared" si="8"/>
        <v>632</v>
      </c>
      <c r="Z73">
        <f t="shared" si="9"/>
        <v>1.0503398647188846E-3</v>
      </c>
    </row>
    <row r="74" spans="1:26" ht="32" x14ac:dyDescent="0.2">
      <c r="A74" s="4" t="s">
        <v>215</v>
      </c>
      <c r="B74" s="4" t="s">
        <v>216</v>
      </c>
      <c r="C74" s="4" t="s">
        <v>217</v>
      </c>
      <c r="D74" t="str">
        <f>INDEX('Energieverbruik in TJ Gemeente'!$B$4:$Q$347,MATCH($C74,'Energieverbruik in TJ Gemeente'!$B$4:$B$347,0),MATCH(D$2,'Energieverbruik in TJ Gemeente'!$B$4:$Q$4,0))</f>
        <v>?</v>
      </c>
      <c r="E74">
        <f>INDEX('Energieverbruik in TJ Gemeente'!$B$4:$Q$347,MATCH($C74,'Energieverbruik in TJ Gemeente'!$B$4:$B$347,0),MATCH(E$2,'Energieverbruik in TJ Gemeente'!$B$4:$Q$4,0))</f>
        <v>1551</v>
      </c>
      <c r="F74">
        <f>INDEX('Energieverbruik in TJ Gemeente'!$B$4:$Q$347,MATCH($C74,'Energieverbruik in TJ Gemeente'!$B$4:$B$347,0),MATCH(F$2,'Energieverbruik in TJ Gemeente'!$B$4:$Q$4,0))</f>
        <v>1553</v>
      </c>
      <c r="G74">
        <f>INDEX('Energieverbruik in TJ Gemeente'!$B$4:$Q$347,MATCH($C74,'Energieverbruik in TJ Gemeente'!$B$4:$B$347,0),MATCH(G$2,'Energieverbruik in TJ Gemeente'!$B$4:$Q$4,0))</f>
        <v>1320</v>
      </c>
      <c r="H74">
        <f>INDEX('Energieverbruik in TJ Gemeente'!$B$4:$Q$347,MATCH($C74,'Energieverbruik in TJ Gemeente'!$B$4:$B$347,0),MATCH(H$2,'Energieverbruik in TJ Gemeente'!$B$4:$Q$4,0))</f>
        <v>1119</v>
      </c>
      <c r="I74" t="str">
        <f>INDEX('Energieverbruik in TJ Gemeente'!$B$4:$Q$347,MATCH($C74,'Energieverbruik in TJ Gemeente'!$B$4:$B$347,0),MATCH(I$2,'Energieverbruik in TJ Gemeente'!$B$4:$Q$4,0))</f>
        <v>?</v>
      </c>
      <c r="J74" t="str">
        <f>INDEX('Energieverbruik in TJ Gemeente'!$B$4:$Q$347,MATCH($C74,'Energieverbruik in TJ Gemeente'!$B$4:$B$347,0),MATCH(J$2,'Energieverbruik in TJ Gemeente'!$B$4:$Q$4,0))</f>
        <v>?</v>
      </c>
      <c r="K74" t="str">
        <f>INDEX('Energieverbruik in TJ Gemeente'!$B$4:$Q$347,MATCH($C74,'Energieverbruik in TJ Gemeente'!$B$4:$B$347,0),MATCH(K$2,'Energieverbruik in TJ Gemeente'!$B$4:$Q$4,0))</f>
        <v>?</v>
      </c>
      <c r="L74">
        <f>INDEX('Energieverbruik in TJ Gemeente'!$B$4:$Q$347,MATCH($C74,'Energieverbruik in TJ Gemeente'!$B$4:$B$347,0),MATCH(L$2,'Energieverbruik in TJ Gemeente'!$B$4:$Q$4,0))</f>
        <v>508</v>
      </c>
      <c r="M74">
        <f>INDEX('Energieverbruik in TJ Gemeente'!$B$4:$Q$347,MATCH($C74,'Energieverbruik in TJ Gemeente'!$B$4:$B$347,0),MATCH(M$2,'Energieverbruik in TJ Gemeente'!$B$4:$Q$4,0))</f>
        <v>481</v>
      </c>
      <c r="N74">
        <f>INDEX('Energieverbruik in TJ Gemeente'!$B$4:$Q$347,MATCH($C74,'Energieverbruik in TJ Gemeente'!$B$4:$B$347,0),MATCH(N$2,'Energieverbruik in TJ Gemeente'!$B$4:$Q$4,0))</f>
        <v>881</v>
      </c>
      <c r="O74">
        <f>INDEX('Energieverbruik in TJ Gemeente'!$B$4:$Q$347,MATCH($C74,'Energieverbruik in TJ Gemeente'!$B$4:$B$347,0),MATCH(O$2,'Energieverbruik in TJ Gemeente'!$B$4:$Q$4,0))</f>
        <v>839</v>
      </c>
      <c r="P74">
        <f>INDEX('Energieverbruik in TJ Gemeente'!$B$4:$Q$347,MATCH($C74,'Energieverbruik in TJ Gemeente'!$B$4:$B$347,0),MATCH(P$2,'Energieverbruik in TJ Gemeente'!$B$4:$Q$4,0))</f>
        <v>931</v>
      </c>
      <c r="Q74">
        <f>INDEX('Energieverbruik in TJ Gemeente'!$B$4:$Q$347,MATCH($C74,'Energieverbruik in TJ Gemeente'!$B$4:$B$347,0),MATCH(Q$2,'Energieverbruik in TJ Gemeente'!$B$4:$Q$4,0))</f>
        <v>720</v>
      </c>
      <c r="R74">
        <f>INDEX('Energieverbruik in TJ Gemeente'!$B$4:$Q$347,MATCH($C74,'Energieverbruik in TJ Gemeente'!$B$4:$B$347,0),MATCH(R$2,'Energieverbruik in TJ Gemeente'!$B$4:$Q$4,0))</f>
        <v>785</v>
      </c>
      <c r="S74" cm="1">
        <f t="array" ref="S74">MAX(_xlfn._xlws.FILTER(D$1:H$1, D74:H74&lt;&gt;"?"))</f>
        <v>2023</v>
      </c>
      <c r="T74" cm="1">
        <f t="array" ref="T74">MAX(_xlfn._xlws.FILTER(I$1:M$1, I74:M74&lt;&gt;"?"))</f>
        <v>2023</v>
      </c>
      <c r="U74" cm="1">
        <f t="array" ref="U74">MAX(_xlfn._xlws.FILTER(F$1:J$1, F74:J74&lt;&gt;"?"))</f>
        <v>2023</v>
      </c>
      <c r="V74">
        <f t="shared" si="5"/>
        <v>1119</v>
      </c>
      <c r="W74">
        <f t="shared" si="6"/>
        <v>481</v>
      </c>
      <c r="X74">
        <f t="shared" si="7"/>
        <v>785</v>
      </c>
      <c r="Y74">
        <f t="shared" si="8"/>
        <v>2385</v>
      </c>
      <c r="Z74">
        <f t="shared" si="9"/>
        <v>3.9637034451812337E-3</v>
      </c>
    </row>
    <row r="75" spans="1:26" ht="16" x14ac:dyDescent="0.2">
      <c r="A75" s="4" t="s">
        <v>218</v>
      </c>
      <c r="B75" s="4" t="s">
        <v>219</v>
      </c>
      <c r="C75" s="4" t="s">
        <v>220</v>
      </c>
      <c r="D75">
        <f>INDEX('Energieverbruik in TJ Gemeente'!$B$4:$Q$347,MATCH($C75,'Energieverbruik in TJ Gemeente'!$B$4:$B$347,0),MATCH(D$2,'Energieverbruik in TJ Gemeente'!$B$4:$Q$4,0))</f>
        <v>762</v>
      </c>
      <c r="E75">
        <f>INDEX('Energieverbruik in TJ Gemeente'!$B$4:$Q$347,MATCH($C75,'Energieverbruik in TJ Gemeente'!$B$4:$B$347,0),MATCH(E$2,'Energieverbruik in TJ Gemeente'!$B$4:$Q$4,0))</f>
        <v>727</v>
      </c>
      <c r="F75">
        <f>INDEX('Energieverbruik in TJ Gemeente'!$B$4:$Q$347,MATCH($C75,'Energieverbruik in TJ Gemeente'!$B$4:$B$347,0),MATCH(F$2,'Energieverbruik in TJ Gemeente'!$B$4:$Q$4,0))</f>
        <v>791</v>
      </c>
      <c r="G75">
        <f>INDEX('Energieverbruik in TJ Gemeente'!$B$4:$Q$347,MATCH($C75,'Energieverbruik in TJ Gemeente'!$B$4:$B$347,0),MATCH(G$2,'Energieverbruik in TJ Gemeente'!$B$4:$Q$4,0))</f>
        <v>705</v>
      </c>
      <c r="H75">
        <f>INDEX('Energieverbruik in TJ Gemeente'!$B$4:$Q$347,MATCH($C75,'Energieverbruik in TJ Gemeente'!$B$4:$B$347,0),MATCH(H$2,'Energieverbruik in TJ Gemeente'!$B$4:$Q$4,0))</f>
        <v>574</v>
      </c>
      <c r="I75">
        <f>INDEX('Energieverbruik in TJ Gemeente'!$B$4:$Q$347,MATCH($C75,'Energieverbruik in TJ Gemeente'!$B$4:$B$347,0),MATCH(I$2,'Energieverbruik in TJ Gemeente'!$B$4:$Q$4,0))</f>
        <v>100</v>
      </c>
      <c r="J75">
        <f>INDEX('Energieverbruik in TJ Gemeente'!$B$4:$Q$347,MATCH($C75,'Energieverbruik in TJ Gemeente'!$B$4:$B$347,0),MATCH(J$2,'Energieverbruik in TJ Gemeente'!$B$4:$Q$4,0))</f>
        <v>68</v>
      </c>
      <c r="K75">
        <f>INDEX('Energieverbruik in TJ Gemeente'!$B$4:$Q$347,MATCH($C75,'Energieverbruik in TJ Gemeente'!$B$4:$B$347,0),MATCH(K$2,'Energieverbruik in TJ Gemeente'!$B$4:$Q$4,0))</f>
        <v>100</v>
      </c>
      <c r="L75">
        <f>INDEX('Energieverbruik in TJ Gemeente'!$B$4:$Q$347,MATCH($C75,'Energieverbruik in TJ Gemeente'!$B$4:$B$347,0),MATCH(L$2,'Energieverbruik in TJ Gemeente'!$B$4:$Q$4,0))</f>
        <v>84</v>
      </c>
      <c r="M75">
        <f>INDEX('Energieverbruik in TJ Gemeente'!$B$4:$Q$347,MATCH($C75,'Energieverbruik in TJ Gemeente'!$B$4:$B$347,0),MATCH(M$2,'Energieverbruik in TJ Gemeente'!$B$4:$Q$4,0))</f>
        <v>77</v>
      </c>
      <c r="N75">
        <f>INDEX('Energieverbruik in TJ Gemeente'!$B$4:$Q$347,MATCH($C75,'Energieverbruik in TJ Gemeente'!$B$4:$B$347,0),MATCH(N$2,'Energieverbruik in TJ Gemeente'!$B$4:$Q$4,0))</f>
        <v>129</v>
      </c>
      <c r="O75">
        <f>INDEX('Energieverbruik in TJ Gemeente'!$B$4:$Q$347,MATCH($C75,'Energieverbruik in TJ Gemeente'!$B$4:$B$347,0),MATCH(O$2,'Energieverbruik in TJ Gemeente'!$B$4:$Q$4,0))</f>
        <v>68</v>
      </c>
      <c r="P75">
        <f>INDEX('Energieverbruik in TJ Gemeente'!$B$4:$Q$347,MATCH($C75,'Energieverbruik in TJ Gemeente'!$B$4:$B$347,0),MATCH(P$2,'Energieverbruik in TJ Gemeente'!$B$4:$Q$4,0))</f>
        <v>109</v>
      </c>
      <c r="Q75">
        <f>INDEX('Energieverbruik in TJ Gemeente'!$B$4:$Q$347,MATCH($C75,'Energieverbruik in TJ Gemeente'!$B$4:$B$347,0),MATCH(Q$2,'Energieverbruik in TJ Gemeente'!$B$4:$Q$4,0))</f>
        <v>66</v>
      </c>
      <c r="R75">
        <f>INDEX('Energieverbruik in TJ Gemeente'!$B$4:$Q$347,MATCH($C75,'Energieverbruik in TJ Gemeente'!$B$4:$B$347,0),MATCH(R$2,'Energieverbruik in TJ Gemeente'!$B$4:$Q$4,0))</f>
        <v>60</v>
      </c>
      <c r="S75" cm="1">
        <f t="array" ref="S75">MAX(_xlfn._xlws.FILTER(D$1:H$1, D75:H75&lt;&gt;"?"))</f>
        <v>2023</v>
      </c>
      <c r="T75" cm="1">
        <f t="array" ref="T75">MAX(_xlfn._xlws.FILTER(I$1:M$1, I75:M75&lt;&gt;"?"))</f>
        <v>2023</v>
      </c>
      <c r="U75" cm="1">
        <f t="array" ref="U75">MAX(_xlfn._xlws.FILTER(F$1:J$1, F75:J75&lt;&gt;"?"))</f>
        <v>2023</v>
      </c>
      <c r="V75">
        <f t="shared" si="5"/>
        <v>574</v>
      </c>
      <c r="W75">
        <f t="shared" si="6"/>
        <v>77</v>
      </c>
      <c r="X75">
        <f t="shared" si="7"/>
        <v>60</v>
      </c>
      <c r="Y75">
        <f t="shared" si="8"/>
        <v>711</v>
      </c>
      <c r="Z75">
        <f t="shared" si="9"/>
        <v>1.1816323478087451E-3</v>
      </c>
    </row>
    <row r="76" spans="1:26" ht="16" x14ac:dyDescent="0.2">
      <c r="A76" s="4" t="s">
        <v>221</v>
      </c>
      <c r="B76" s="4" t="s">
        <v>222</v>
      </c>
      <c r="C76" s="4" t="s">
        <v>223</v>
      </c>
      <c r="D76">
        <f>INDEX('Energieverbruik in TJ Gemeente'!$B$4:$Q$347,MATCH($C76,'Energieverbruik in TJ Gemeente'!$B$4:$B$347,0),MATCH(D$2,'Energieverbruik in TJ Gemeente'!$B$4:$Q$4,0))</f>
        <v>257</v>
      </c>
      <c r="E76">
        <f>INDEX('Energieverbruik in TJ Gemeente'!$B$4:$Q$347,MATCH($C76,'Energieverbruik in TJ Gemeente'!$B$4:$B$347,0),MATCH(E$2,'Energieverbruik in TJ Gemeente'!$B$4:$Q$4,0))</f>
        <v>251</v>
      </c>
      <c r="F76">
        <f>INDEX('Energieverbruik in TJ Gemeente'!$B$4:$Q$347,MATCH($C76,'Energieverbruik in TJ Gemeente'!$B$4:$B$347,0),MATCH(F$2,'Energieverbruik in TJ Gemeente'!$B$4:$Q$4,0))</f>
        <v>261</v>
      </c>
      <c r="G76">
        <f>INDEX('Energieverbruik in TJ Gemeente'!$B$4:$Q$347,MATCH($C76,'Energieverbruik in TJ Gemeente'!$B$4:$B$347,0),MATCH(G$2,'Energieverbruik in TJ Gemeente'!$B$4:$Q$4,0))</f>
        <v>225</v>
      </c>
      <c r="H76">
        <f>INDEX('Energieverbruik in TJ Gemeente'!$B$4:$Q$347,MATCH($C76,'Energieverbruik in TJ Gemeente'!$B$4:$B$347,0),MATCH(H$2,'Energieverbruik in TJ Gemeente'!$B$4:$Q$4,0))</f>
        <v>190</v>
      </c>
      <c r="I76">
        <f>INDEX('Energieverbruik in TJ Gemeente'!$B$4:$Q$347,MATCH($C76,'Energieverbruik in TJ Gemeente'!$B$4:$B$347,0),MATCH(I$2,'Energieverbruik in TJ Gemeente'!$B$4:$Q$4,0))</f>
        <v>25</v>
      </c>
      <c r="J76">
        <f>INDEX('Energieverbruik in TJ Gemeente'!$B$4:$Q$347,MATCH($C76,'Energieverbruik in TJ Gemeente'!$B$4:$B$347,0),MATCH(J$2,'Energieverbruik in TJ Gemeente'!$B$4:$Q$4,0))</f>
        <v>21</v>
      </c>
      <c r="K76">
        <f>INDEX('Energieverbruik in TJ Gemeente'!$B$4:$Q$347,MATCH($C76,'Energieverbruik in TJ Gemeente'!$B$4:$B$347,0),MATCH(K$2,'Energieverbruik in TJ Gemeente'!$B$4:$Q$4,0))</f>
        <v>22</v>
      </c>
      <c r="L76" t="str">
        <f>INDEX('Energieverbruik in TJ Gemeente'!$B$4:$Q$347,MATCH($C76,'Energieverbruik in TJ Gemeente'!$B$4:$B$347,0),MATCH(L$2,'Energieverbruik in TJ Gemeente'!$B$4:$Q$4,0))</f>
        <v>?</v>
      </c>
      <c r="M76" t="str">
        <f>INDEX('Energieverbruik in TJ Gemeente'!$B$4:$Q$347,MATCH($C76,'Energieverbruik in TJ Gemeente'!$B$4:$B$347,0),MATCH(M$2,'Energieverbruik in TJ Gemeente'!$B$4:$Q$4,0))</f>
        <v>?</v>
      </c>
      <c r="N76">
        <f>INDEX('Energieverbruik in TJ Gemeente'!$B$4:$Q$347,MATCH($C76,'Energieverbruik in TJ Gemeente'!$B$4:$B$347,0),MATCH(N$2,'Energieverbruik in TJ Gemeente'!$B$4:$Q$4,0))</f>
        <v>1</v>
      </c>
      <c r="O76">
        <f>INDEX('Energieverbruik in TJ Gemeente'!$B$4:$Q$347,MATCH($C76,'Energieverbruik in TJ Gemeente'!$B$4:$B$347,0),MATCH(O$2,'Energieverbruik in TJ Gemeente'!$B$4:$Q$4,0))</f>
        <v>1</v>
      </c>
      <c r="P76">
        <f>INDEX('Energieverbruik in TJ Gemeente'!$B$4:$Q$347,MATCH($C76,'Energieverbruik in TJ Gemeente'!$B$4:$B$347,0),MATCH(P$2,'Energieverbruik in TJ Gemeente'!$B$4:$Q$4,0))</f>
        <v>1</v>
      </c>
      <c r="Q76">
        <f>INDEX('Energieverbruik in TJ Gemeente'!$B$4:$Q$347,MATCH($C76,'Energieverbruik in TJ Gemeente'!$B$4:$B$347,0),MATCH(Q$2,'Energieverbruik in TJ Gemeente'!$B$4:$Q$4,0))</f>
        <v>1</v>
      </c>
      <c r="R76">
        <f>INDEX('Energieverbruik in TJ Gemeente'!$B$4:$Q$347,MATCH($C76,'Energieverbruik in TJ Gemeente'!$B$4:$B$347,0),MATCH(R$2,'Energieverbruik in TJ Gemeente'!$B$4:$Q$4,0))</f>
        <v>1</v>
      </c>
      <c r="S76" cm="1">
        <f t="array" ref="S76">MAX(_xlfn._xlws.FILTER(D$1:H$1, D76:H76&lt;&gt;"?"))</f>
        <v>2023</v>
      </c>
      <c r="T76" cm="1">
        <f t="array" ref="T76">MAX(_xlfn._xlws.FILTER(I$1:M$1, I76:M76&lt;&gt;"?"))</f>
        <v>2021</v>
      </c>
      <c r="U76" cm="1">
        <f t="array" ref="U76">MAX(_xlfn._xlws.FILTER(F$1:J$1, F76:J76&lt;&gt;"?"))</f>
        <v>2023</v>
      </c>
      <c r="V76">
        <f t="shared" si="5"/>
        <v>190</v>
      </c>
      <c r="W76">
        <f t="shared" si="6"/>
        <v>22</v>
      </c>
      <c r="X76">
        <f t="shared" si="7"/>
        <v>1</v>
      </c>
      <c r="Y76">
        <f t="shared" si="8"/>
        <v>213</v>
      </c>
      <c r="Z76">
        <f t="shared" si="9"/>
        <v>3.5399112529291521E-4</v>
      </c>
    </row>
    <row r="77" spans="1:26" ht="16" x14ac:dyDescent="0.2">
      <c r="A77" s="4" t="s">
        <v>224</v>
      </c>
      <c r="B77" s="4" t="s">
        <v>225</v>
      </c>
      <c r="C77" s="4" t="s">
        <v>226</v>
      </c>
      <c r="D77">
        <f>INDEX('Energieverbruik in TJ Gemeente'!$B$4:$Q$347,MATCH($C77,'Energieverbruik in TJ Gemeente'!$B$4:$B$347,0),MATCH(D$2,'Energieverbruik in TJ Gemeente'!$B$4:$Q$4,0))</f>
        <v>1509</v>
      </c>
      <c r="E77">
        <f>INDEX('Energieverbruik in TJ Gemeente'!$B$4:$Q$347,MATCH($C77,'Energieverbruik in TJ Gemeente'!$B$4:$B$347,0),MATCH(E$2,'Energieverbruik in TJ Gemeente'!$B$4:$Q$4,0))</f>
        <v>1453</v>
      </c>
      <c r="F77">
        <f>INDEX('Energieverbruik in TJ Gemeente'!$B$4:$Q$347,MATCH($C77,'Energieverbruik in TJ Gemeente'!$B$4:$B$347,0),MATCH(F$2,'Energieverbruik in TJ Gemeente'!$B$4:$Q$4,0))</f>
        <v>1495</v>
      </c>
      <c r="G77">
        <f>INDEX('Energieverbruik in TJ Gemeente'!$B$4:$Q$347,MATCH($C77,'Energieverbruik in TJ Gemeente'!$B$4:$B$347,0),MATCH(G$2,'Energieverbruik in TJ Gemeente'!$B$4:$Q$4,0))</f>
        <v>1330</v>
      </c>
      <c r="H77">
        <f>INDEX('Energieverbruik in TJ Gemeente'!$B$4:$Q$347,MATCH($C77,'Energieverbruik in TJ Gemeente'!$B$4:$B$347,0),MATCH(H$2,'Energieverbruik in TJ Gemeente'!$B$4:$Q$4,0))</f>
        <v>1094</v>
      </c>
      <c r="I77">
        <f>INDEX('Energieverbruik in TJ Gemeente'!$B$4:$Q$347,MATCH($C77,'Energieverbruik in TJ Gemeente'!$B$4:$B$347,0),MATCH(I$2,'Energieverbruik in TJ Gemeente'!$B$4:$Q$4,0))</f>
        <v>677</v>
      </c>
      <c r="J77">
        <f>INDEX('Energieverbruik in TJ Gemeente'!$B$4:$Q$347,MATCH($C77,'Energieverbruik in TJ Gemeente'!$B$4:$B$347,0),MATCH(J$2,'Energieverbruik in TJ Gemeente'!$B$4:$Q$4,0))</f>
        <v>599</v>
      </c>
      <c r="K77">
        <f>INDEX('Energieverbruik in TJ Gemeente'!$B$4:$Q$347,MATCH($C77,'Energieverbruik in TJ Gemeente'!$B$4:$B$347,0),MATCH(K$2,'Energieverbruik in TJ Gemeente'!$B$4:$Q$4,0))</f>
        <v>640</v>
      </c>
      <c r="L77">
        <f>INDEX('Energieverbruik in TJ Gemeente'!$B$4:$Q$347,MATCH($C77,'Energieverbruik in TJ Gemeente'!$B$4:$B$347,0),MATCH(L$2,'Energieverbruik in TJ Gemeente'!$B$4:$Q$4,0))</f>
        <v>625</v>
      </c>
      <c r="M77">
        <f>INDEX('Energieverbruik in TJ Gemeente'!$B$4:$Q$347,MATCH($C77,'Energieverbruik in TJ Gemeente'!$B$4:$B$347,0),MATCH(M$2,'Energieverbruik in TJ Gemeente'!$B$4:$Q$4,0))</f>
        <v>603</v>
      </c>
      <c r="N77">
        <f>INDEX('Energieverbruik in TJ Gemeente'!$B$4:$Q$347,MATCH($C77,'Energieverbruik in TJ Gemeente'!$B$4:$B$347,0),MATCH(N$2,'Energieverbruik in TJ Gemeente'!$B$4:$Q$4,0))</f>
        <v>24</v>
      </c>
      <c r="O77">
        <f>INDEX('Energieverbruik in TJ Gemeente'!$B$4:$Q$347,MATCH($C77,'Energieverbruik in TJ Gemeente'!$B$4:$B$347,0),MATCH(O$2,'Energieverbruik in TJ Gemeente'!$B$4:$Q$4,0))</f>
        <v>22</v>
      </c>
      <c r="P77">
        <f>INDEX('Energieverbruik in TJ Gemeente'!$B$4:$Q$347,MATCH($C77,'Energieverbruik in TJ Gemeente'!$B$4:$B$347,0),MATCH(P$2,'Energieverbruik in TJ Gemeente'!$B$4:$Q$4,0))</f>
        <v>23</v>
      </c>
      <c r="Q77">
        <f>INDEX('Energieverbruik in TJ Gemeente'!$B$4:$Q$347,MATCH($C77,'Energieverbruik in TJ Gemeente'!$B$4:$B$347,0),MATCH(Q$2,'Energieverbruik in TJ Gemeente'!$B$4:$Q$4,0))</f>
        <v>18</v>
      </c>
      <c r="R77">
        <f>INDEX('Energieverbruik in TJ Gemeente'!$B$4:$Q$347,MATCH($C77,'Energieverbruik in TJ Gemeente'!$B$4:$B$347,0),MATCH(R$2,'Energieverbruik in TJ Gemeente'!$B$4:$Q$4,0))</f>
        <v>15</v>
      </c>
      <c r="S77" cm="1">
        <f t="array" ref="S77">MAX(_xlfn._xlws.FILTER(D$1:H$1, D77:H77&lt;&gt;"?"))</f>
        <v>2023</v>
      </c>
      <c r="T77" cm="1">
        <f t="array" ref="T77">MAX(_xlfn._xlws.FILTER(I$1:M$1, I77:M77&lt;&gt;"?"))</f>
        <v>2023</v>
      </c>
      <c r="U77" cm="1">
        <f t="array" ref="U77">MAX(_xlfn._xlws.FILTER(F$1:J$1, F77:J77&lt;&gt;"?"))</f>
        <v>2023</v>
      </c>
      <c r="V77">
        <f t="shared" si="5"/>
        <v>1094</v>
      </c>
      <c r="W77">
        <f t="shared" si="6"/>
        <v>603</v>
      </c>
      <c r="X77">
        <f t="shared" si="7"/>
        <v>15</v>
      </c>
      <c r="Y77">
        <f t="shared" si="8"/>
        <v>1712</v>
      </c>
      <c r="Z77">
        <f t="shared" si="9"/>
        <v>2.8452244436688772E-3</v>
      </c>
    </row>
    <row r="78" spans="1:26" ht="16" x14ac:dyDescent="0.2">
      <c r="A78" s="4" t="s">
        <v>227</v>
      </c>
      <c r="B78" s="4" t="s">
        <v>228</v>
      </c>
      <c r="C78" s="4" t="s">
        <v>229</v>
      </c>
      <c r="D78">
        <f>INDEX('Energieverbruik in TJ Gemeente'!$B$4:$Q$347,MATCH($C78,'Energieverbruik in TJ Gemeente'!$B$4:$B$347,0),MATCH(D$2,'Energieverbruik in TJ Gemeente'!$B$4:$Q$4,0))</f>
        <v>631</v>
      </c>
      <c r="E78">
        <f>INDEX('Energieverbruik in TJ Gemeente'!$B$4:$Q$347,MATCH($C78,'Energieverbruik in TJ Gemeente'!$B$4:$B$347,0),MATCH(E$2,'Energieverbruik in TJ Gemeente'!$B$4:$Q$4,0))</f>
        <v>599</v>
      </c>
      <c r="F78">
        <f>INDEX('Energieverbruik in TJ Gemeente'!$B$4:$Q$347,MATCH($C78,'Energieverbruik in TJ Gemeente'!$B$4:$B$347,0),MATCH(F$2,'Energieverbruik in TJ Gemeente'!$B$4:$Q$4,0))</f>
        <v>598</v>
      </c>
      <c r="G78">
        <f>INDEX('Energieverbruik in TJ Gemeente'!$B$4:$Q$347,MATCH($C78,'Energieverbruik in TJ Gemeente'!$B$4:$B$347,0),MATCH(G$2,'Energieverbruik in TJ Gemeente'!$B$4:$Q$4,0))</f>
        <v>510</v>
      </c>
      <c r="H78">
        <f>INDEX('Energieverbruik in TJ Gemeente'!$B$4:$Q$347,MATCH($C78,'Energieverbruik in TJ Gemeente'!$B$4:$B$347,0),MATCH(H$2,'Energieverbruik in TJ Gemeente'!$B$4:$Q$4,0))</f>
        <v>428</v>
      </c>
      <c r="I78">
        <f>INDEX('Energieverbruik in TJ Gemeente'!$B$4:$Q$347,MATCH($C78,'Energieverbruik in TJ Gemeente'!$B$4:$B$347,0),MATCH(I$2,'Energieverbruik in TJ Gemeente'!$B$4:$Q$4,0))</f>
        <v>1594</v>
      </c>
      <c r="J78">
        <f>INDEX('Energieverbruik in TJ Gemeente'!$B$4:$Q$347,MATCH($C78,'Energieverbruik in TJ Gemeente'!$B$4:$B$347,0),MATCH(J$2,'Energieverbruik in TJ Gemeente'!$B$4:$Q$4,0))</f>
        <v>1540</v>
      </c>
      <c r="K78">
        <f>INDEX('Energieverbruik in TJ Gemeente'!$B$4:$Q$347,MATCH($C78,'Energieverbruik in TJ Gemeente'!$B$4:$B$347,0),MATCH(K$2,'Energieverbruik in TJ Gemeente'!$B$4:$Q$4,0))</f>
        <v>1460</v>
      </c>
      <c r="L78">
        <f>INDEX('Energieverbruik in TJ Gemeente'!$B$4:$Q$347,MATCH($C78,'Energieverbruik in TJ Gemeente'!$B$4:$B$347,0),MATCH(L$2,'Energieverbruik in TJ Gemeente'!$B$4:$Q$4,0))</f>
        <v>1454</v>
      </c>
      <c r="M78">
        <f>INDEX('Energieverbruik in TJ Gemeente'!$B$4:$Q$347,MATCH($C78,'Energieverbruik in TJ Gemeente'!$B$4:$B$347,0),MATCH(M$2,'Energieverbruik in TJ Gemeente'!$B$4:$Q$4,0))</f>
        <v>1317</v>
      </c>
      <c r="N78">
        <f>INDEX('Energieverbruik in TJ Gemeente'!$B$4:$Q$347,MATCH($C78,'Energieverbruik in TJ Gemeente'!$B$4:$B$347,0),MATCH(N$2,'Energieverbruik in TJ Gemeente'!$B$4:$Q$4,0))</f>
        <v>531</v>
      </c>
      <c r="O78">
        <f>INDEX('Energieverbruik in TJ Gemeente'!$B$4:$Q$347,MATCH($C78,'Energieverbruik in TJ Gemeente'!$B$4:$B$347,0),MATCH(O$2,'Energieverbruik in TJ Gemeente'!$B$4:$Q$4,0))</f>
        <v>547</v>
      </c>
      <c r="P78">
        <f>INDEX('Energieverbruik in TJ Gemeente'!$B$4:$Q$347,MATCH($C78,'Energieverbruik in TJ Gemeente'!$B$4:$B$347,0),MATCH(P$2,'Energieverbruik in TJ Gemeente'!$B$4:$Q$4,0))</f>
        <v>564</v>
      </c>
      <c r="Q78">
        <f>INDEX('Energieverbruik in TJ Gemeente'!$B$4:$Q$347,MATCH($C78,'Energieverbruik in TJ Gemeente'!$B$4:$B$347,0),MATCH(Q$2,'Energieverbruik in TJ Gemeente'!$B$4:$Q$4,0))</f>
        <v>383</v>
      </c>
      <c r="R78">
        <f>INDEX('Energieverbruik in TJ Gemeente'!$B$4:$Q$347,MATCH($C78,'Energieverbruik in TJ Gemeente'!$B$4:$B$347,0),MATCH(R$2,'Energieverbruik in TJ Gemeente'!$B$4:$Q$4,0))</f>
        <v>409</v>
      </c>
      <c r="S78" cm="1">
        <f t="array" ref="S78">MAX(_xlfn._xlws.FILTER(D$1:H$1, D78:H78&lt;&gt;"?"))</f>
        <v>2023</v>
      </c>
      <c r="T78" cm="1">
        <f t="array" ref="T78">MAX(_xlfn._xlws.FILTER(I$1:M$1, I78:M78&lt;&gt;"?"))</f>
        <v>2023</v>
      </c>
      <c r="U78" cm="1">
        <f t="array" ref="U78">MAX(_xlfn._xlws.FILTER(F$1:J$1, F78:J78&lt;&gt;"?"))</f>
        <v>2023</v>
      </c>
      <c r="V78">
        <f t="shared" si="5"/>
        <v>428</v>
      </c>
      <c r="W78">
        <f t="shared" si="6"/>
        <v>1317</v>
      </c>
      <c r="X78">
        <f t="shared" si="7"/>
        <v>409</v>
      </c>
      <c r="Y78">
        <f t="shared" si="8"/>
        <v>2154</v>
      </c>
      <c r="Z78">
        <f t="shared" si="9"/>
        <v>3.5797975769058183E-3</v>
      </c>
    </row>
    <row r="79" spans="1:26" ht="16" x14ac:dyDescent="0.2">
      <c r="A79" s="4" t="s">
        <v>230</v>
      </c>
      <c r="B79" s="4" t="s">
        <v>231</v>
      </c>
      <c r="C79" s="4" t="s">
        <v>232</v>
      </c>
      <c r="D79">
        <f>INDEX('Energieverbruik in TJ Gemeente'!$B$4:$Q$347,MATCH($C79,'Energieverbruik in TJ Gemeente'!$B$4:$B$347,0),MATCH(D$2,'Energieverbruik in TJ Gemeente'!$B$4:$Q$4,0))</f>
        <v>2733</v>
      </c>
      <c r="E79">
        <f>INDEX('Energieverbruik in TJ Gemeente'!$B$4:$Q$347,MATCH($C79,'Energieverbruik in TJ Gemeente'!$B$4:$B$347,0),MATCH(E$2,'Energieverbruik in TJ Gemeente'!$B$4:$Q$4,0))</f>
        <v>2626</v>
      </c>
      <c r="F79">
        <f>INDEX('Energieverbruik in TJ Gemeente'!$B$4:$Q$347,MATCH($C79,'Energieverbruik in TJ Gemeente'!$B$4:$B$347,0),MATCH(F$2,'Energieverbruik in TJ Gemeente'!$B$4:$Q$4,0))</f>
        <v>2694</v>
      </c>
      <c r="G79">
        <f>INDEX('Energieverbruik in TJ Gemeente'!$B$4:$Q$347,MATCH($C79,'Energieverbruik in TJ Gemeente'!$B$4:$B$347,0),MATCH(G$2,'Energieverbruik in TJ Gemeente'!$B$4:$Q$4,0))</f>
        <v>2275</v>
      </c>
      <c r="H79">
        <f>INDEX('Energieverbruik in TJ Gemeente'!$B$4:$Q$347,MATCH($C79,'Energieverbruik in TJ Gemeente'!$B$4:$B$347,0),MATCH(H$2,'Energieverbruik in TJ Gemeente'!$B$4:$Q$4,0))</f>
        <v>1944</v>
      </c>
      <c r="I79">
        <f>INDEX('Energieverbruik in TJ Gemeente'!$B$4:$Q$347,MATCH($C79,'Energieverbruik in TJ Gemeente'!$B$4:$B$347,0),MATCH(I$2,'Energieverbruik in TJ Gemeente'!$B$4:$Q$4,0))</f>
        <v>267</v>
      </c>
      <c r="J79">
        <f>INDEX('Energieverbruik in TJ Gemeente'!$B$4:$Q$347,MATCH($C79,'Energieverbruik in TJ Gemeente'!$B$4:$B$347,0),MATCH(J$2,'Energieverbruik in TJ Gemeente'!$B$4:$Q$4,0))</f>
        <v>260</v>
      </c>
      <c r="K79">
        <f>INDEX('Energieverbruik in TJ Gemeente'!$B$4:$Q$347,MATCH($C79,'Energieverbruik in TJ Gemeente'!$B$4:$B$347,0),MATCH(K$2,'Energieverbruik in TJ Gemeente'!$B$4:$Q$4,0))</f>
        <v>279</v>
      </c>
      <c r="L79">
        <f>INDEX('Energieverbruik in TJ Gemeente'!$B$4:$Q$347,MATCH($C79,'Energieverbruik in TJ Gemeente'!$B$4:$B$347,0),MATCH(L$2,'Energieverbruik in TJ Gemeente'!$B$4:$Q$4,0))</f>
        <v>259</v>
      </c>
      <c r="M79">
        <f>INDEX('Energieverbruik in TJ Gemeente'!$B$4:$Q$347,MATCH($C79,'Energieverbruik in TJ Gemeente'!$B$4:$B$347,0),MATCH(M$2,'Energieverbruik in TJ Gemeente'!$B$4:$Q$4,0))</f>
        <v>260</v>
      </c>
      <c r="N79">
        <f>INDEX('Energieverbruik in TJ Gemeente'!$B$4:$Q$347,MATCH($C79,'Energieverbruik in TJ Gemeente'!$B$4:$B$347,0),MATCH(N$2,'Energieverbruik in TJ Gemeente'!$B$4:$Q$4,0))</f>
        <v>7</v>
      </c>
      <c r="O79" t="str">
        <f>INDEX('Energieverbruik in TJ Gemeente'!$B$4:$Q$347,MATCH($C79,'Energieverbruik in TJ Gemeente'!$B$4:$B$347,0),MATCH(O$2,'Energieverbruik in TJ Gemeente'!$B$4:$Q$4,0))</f>
        <v>?</v>
      </c>
      <c r="P79">
        <f>INDEX('Energieverbruik in TJ Gemeente'!$B$4:$Q$347,MATCH($C79,'Energieverbruik in TJ Gemeente'!$B$4:$B$347,0),MATCH(P$2,'Energieverbruik in TJ Gemeente'!$B$4:$Q$4,0))</f>
        <v>6</v>
      </c>
      <c r="Q79">
        <f>INDEX('Energieverbruik in TJ Gemeente'!$B$4:$Q$347,MATCH($C79,'Energieverbruik in TJ Gemeente'!$B$4:$B$347,0),MATCH(Q$2,'Energieverbruik in TJ Gemeente'!$B$4:$Q$4,0))</f>
        <v>5</v>
      </c>
      <c r="R79">
        <f>INDEX('Energieverbruik in TJ Gemeente'!$B$4:$Q$347,MATCH($C79,'Energieverbruik in TJ Gemeente'!$B$4:$B$347,0),MATCH(R$2,'Energieverbruik in TJ Gemeente'!$B$4:$Q$4,0))</f>
        <v>4</v>
      </c>
      <c r="S79" cm="1">
        <f t="array" ref="S79">MAX(_xlfn._xlws.FILTER(D$1:H$1, D79:H79&lt;&gt;"?"))</f>
        <v>2023</v>
      </c>
      <c r="T79" cm="1">
        <f t="array" ref="T79">MAX(_xlfn._xlws.FILTER(I$1:M$1, I79:M79&lt;&gt;"?"))</f>
        <v>2023</v>
      </c>
      <c r="U79" cm="1">
        <f t="array" ref="U79">MAX(_xlfn._xlws.FILTER(F$1:J$1, F79:J79&lt;&gt;"?"))</f>
        <v>2023</v>
      </c>
      <c r="V79">
        <f t="shared" si="5"/>
        <v>1944</v>
      </c>
      <c r="W79">
        <f t="shared" si="6"/>
        <v>260</v>
      </c>
      <c r="X79">
        <f t="shared" si="7"/>
        <v>4</v>
      </c>
      <c r="Y79">
        <f t="shared" si="8"/>
        <v>2208</v>
      </c>
      <c r="Z79">
        <f t="shared" si="9"/>
        <v>3.6695418058533182E-3</v>
      </c>
    </row>
    <row r="80" spans="1:26" ht="32" x14ac:dyDescent="0.2">
      <c r="A80" s="4" t="s">
        <v>233</v>
      </c>
      <c r="B80" s="4" t="s">
        <v>234</v>
      </c>
      <c r="C80" s="4" t="s">
        <v>235</v>
      </c>
      <c r="D80">
        <f>INDEX('Energieverbruik in TJ Gemeente'!$B$4:$Q$347,MATCH($C80,'Energieverbruik in TJ Gemeente'!$B$4:$B$347,0),MATCH(D$2,'Energieverbruik in TJ Gemeente'!$B$4:$Q$4,0))</f>
        <v>450</v>
      </c>
      <c r="E80">
        <f>INDEX('Energieverbruik in TJ Gemeente'!$B$4:$Q$347,MATCH($C80,'Energieverbruik in TJ Gemeente'!$B$4:$B$347,0),MATCH(E$2,'Energieverbruik in TJ Gemeente'!$B$4:$Q$4,0))</f>
        <v>447</v>
      </c>
      <c r="F80">
        <f>INDEX('Energieverbruik in TJ Gemeente'!$B$4:$Q$347,MATCH($C80,'Energieverbruik in TJ Gemeente'!$B$4:$B$347,0),MATCH(F$2,'Energieverbruik in TJ Gemeente'!$B$4:$Q$4,0))</f>
        <v>446</v>
      </c>
      <c r="G80">
        <f>INDEX('Energieverbruik in TJ Gemeente'!$B$4:$Q$347,MATCH($C80,'Energieverbruik in TJ Gemeente'!$B$4:$B$347,0),MATCH(G$2,'Energieverbruik in TJ Gemeente'!$B$4:$Q$4,0))</f>
        <v>385</v>
      </c>
      <c r="H80">
        <f>INDEX('Energieverbruik in TJ Gemeente'!$B$4:$Q$347,MATCH($C80,'Energieverbruik in TJ Gemeente'!$B$4:$B$347,0),MATCH(H$2,'Energieverbruik in TJ Gemeente'!$B$4:$Q$4,0))</f>
        <v>317</v>
      </c>
      <c r="I80">
        <f>INDEX('Energieverbruik in TJ Gemeente'!$B$4:$Q$347,MATCH($C80,'Energieverbruik in TJ Gemeente'!$B$4:$B$347,0),MATCH(I$2,'Energieverbruik in TJ Gemeente'!$B$4:$Q$4,0))</f>
        <v>23</v>
      </c>
      <c r="J80">
        <f>INDEX('Energieverbruik in TJ Gemeente'!$B$4:$Q$347,MATCH($C80,'Energieverbruik in TJ Gemeente'!$B$4:$B$347,0),MATCH(J$2,'Energieverbruik in TJ Gemeente'!$B$4:$Q$4,0))</f>
        <v>23</v>
      </c>
      <c r="K80">
        <f>INDEX('Energieverbruik in TJ Gemeente'!$B$4:$Q$347,MATCH($C80,'Energieverbruik in TJ Gemeente'!$B$4:$B$347,0),MATCH(K$2,'Energieverbruik in TJ Gemeente'!$B$4:$Q$4,0))</f>
        <v>22</v>
      </c>
      <c r="L80">
        <f>INDEX('Energieverbruik in TJ Gemeente'!$B$4:$Q$347,MATCH($C80,'Energieverbruik in TJ Gemeente'!$B$4:$B$347,0),MATCH(L$2,'Energieverbruik in TJ Gemeente'!$B$4:$Q$4,0))</f>
        <v>17</v>
      </c>
      <c r="M80">
        <f>INDEX('Energieverbruik in TJ Gemeente'!$B$4:$Q$347,MATCH($C80,'Energieverbruik in TJ Gemeente'!$B$4:$B$347,0),MATCH(M$2,'Energieverbruik in TJ Gemeente'!$B$4:$Q$4,0))</f>
        <v>22</v>
      </c>
      <c r="N80">
        <f>INDEX('Energieverbruik in TJ Gemeente'!$B$4:$Q$347,MATCH($C80,'Energieverbruik in TJ Gemeente'!$B$4:$B$347,0),MATCH(N$2,'Energieverbruik in TJ Gemeente'!$B$4:$Q$4,0))</f>
        <v>310</v>
      </c>
      <c r="O80">
        <f>INDEX('Energieverbruik in TJ Gemeente'!$B$4:$Q$347,MATCH($C80,'Energieverbruik in TJ Gemeente'!$B$4:$B$347,0),MATCH(O$2,'Energieverbruik in TJ Gemeente'!$B$4:$Q$4,0))</f>
        <v>318</v>
      </c>
      <c r="P80">
        <f>INDEX('Energieverbruik in TJ Gemeente'!$B$4:$Q$347,MATCH($C80,'Energieverbruik in TJ Gemeente'!$B$4:$B$347,0),MATCH(P$2,'Energieverbruik in TJ Gemeente'!$B$4:$Q$4,0))</f>
        <v>332</v>
      </c>
      <c r="Q80">
        <f>INDEX('Energieverbruik in TJ Gemeente'!$B$4:$Q$347,MATCH($C80,'Energieverbruik in TJ Gemeente'!$B$4:$B$347,0),MATCH(Q$2,'Energieverbruik in TJ Gemeente'!$B$4:$Q$4,0))</f>
        <v>252</v>
      </c>
      <c r="R80">
        <f>INDEX('Energieverbruik in TJ Gemeente'!$B$4:$Q$347,MATCH($C80,'Energieverbruik in TJ Gemeente'!$B$4:$B$347,0),MATCH(R$2,'Energieverbruik in TJ Gemeente'!$B$4:$Q$4,0))</f>
        <v>236</v>
      </c>
      <c r="S80" cm="1">
        <f t="array" ref="S80">MAX(_xlfn._xlws.FILTER(D$1:H$1, D80:H80&lt;&gt;"?"))</f>
        <v>2023</v>
      </c>
      <c r="T80" cm="1">
        <f t="array" ref="T80">MAX(_xlfn._xlws.FILTER(I$1:M$1, I80:M80&lt;&gt;"?"))</f>
        <v>2023</v>
      </c>
      <c r="U80" cm="1">
        <f t="array" ref="U80">MAX(_xlfn._xlws.FILTER(F$1:J$1, F80:J80&lt;&gt;"?"))</f>
        <v>2023</v>
      </c>
      <c r="V80">
        <f t="shared" si="5"/>
        <v>317</v>
      </c>
      <c r="W80">
        <f t="shared" si="6"/>
        <v>22</v>
      </c>
      <c r="X80">
        <f t="shared" si="7"/>
        <v>236</v>
      </c>
      <c r="Y80">
        <f t="shared" si="8"/>
        <v>575</v>
      </c>
      <c r="Z80">
        <f t="shared" si="9"/>
        <v>9.5560984527430157E-4</v>
      </c>
    </row>
    <row r="81" spans="1:26" ht="16" x14ac:dyDescent="0.2">
      <c r="A81" s="4" t="s">
        <v>236</v>
      </c>
      <c r="B81" s="4" t="s">
        <v>237</v>
      </c>
      <c r="C81" s="4" t="s">
        <v>238</v>
      </c>
      <c r="D81">
        <f>INDEX('Energieverbruik in TJ Gemeente'!$B$4:$Q$347,MATCH($C81,'Energieverbruik in TJ Gemeente'!$B$4:$B$347,0),MATCH(D$2,'Energieverbruik in TJ Gemeente'!$B$4:$Q$4,0))</f>
        <v>636</v>
      </c>
      <c r="E81">
        <f>INDEX('Energieverbruik in TJ Gemeente'!$B$4:$Q$347,MATCH($C81,'Energieverbruik in TJ Gemeente'!$B$4:$B$347,0),MATCH(E$2,'Energieverbruik in TJ Gemeente'!$B$4:$Q$4,0))</f>
        <v>616</v>
      </c>
      <c r="F81">
        <f>INDEX('Energieverbruik in TJ Gemeente'!$B$4:$Q$347,MATCH($C81,'Energieverbruik in TJ Gemeente'!$B$4:$B$347,0),MATCH(F$2,'Energieverbruik in TJ Gemeente'!$B$4:$Q$4,0))</f>
        <v>623</v>
      </c>
      <c r="G81">
        <f>INDEX('Energieverbruik in TJ Gemeente'!$B$4:$Q$347,MATCH($C81,'Energieverbruik in TJ Gemeente'!$B$4:$B$347,0),MATCH(G$2,'Energieverbruik in TJ Gemeente'!$B$4:$Q$4,0))</f>
        <v>545</v>
      </c>
      <c r="H81">
        <f>INDEX('Energieverbruik in TJ Gemeente'!$B$4:$Q$347,MATCH($C81,'Energieverbruik in TJ Gemeente'!$B$4:$B$347,0),MATCH(H$2,'Energieverbruik in TJ Gemeente'!$B$4:$Q$4,0))</f>
        <v>450</v>
      </c>
      <c r="I81">
        <f>INDEX('Energieverbruik in TJ Gemeente'!$B$4:$Q$347,MATCH($C81,'Energieverbruik in TJ Gemeente'!$B$4:$B$347,0),MATCH(I$2,'Energieverbruik in TJ Gemeente'!$B$4:$Q$4,0))</f>
        <v>70</v>
      </c>
      <c r="J81">
        <f>INDEX('Energieverbruik in TJ Gemeente'!$B$4:$Q$347,MATCH($C81,'Energieverbruik in TJ Gemeente'!$B$4:$B$347,0),MATCH(J$2,'Energieverbruik in TJ Gemeente'!$B$4:$Q$4,0))</f>
        <v>67</v>
      </c>
      <c r="K81">
        <f>INDEX('Energieverbruik in TJ Gemeente'!$B$4:$Q$347,MATCH($C81,'Energieverbruik in TJ Gemeente'!$B$4:$B$347,0),MATCH(K$2,'Energieverbruik in TJ Gemeente'!$B$4:$Q$4,0))</f>
        <v>22</v>
      </c>
      <c r="L81">
        <f>INDEX('Energieverbruik in TJ Gemeente'!$B$4:$Q$347,MATCH($C81,'Energieverbruik in TJ Gemeente'!$B$4:$B$347,0),MATCH(L$2,'Energieverbruik in TJ Gemeente'!$B$4:$Q$4,0))</f>
        <v>13</v>
      </c>
      <c r="M81">
        <f>INDEX('Energieverbruik in TJ Gemeente'!$B$4:$Q$347,MATCH($C81,'Energieverbruik in TJ Gemeente'!$B$4:$B$347,0),MATCH(M$2,'Energieverbruik in TJ Gemeente'!$B$4:$Q$4,0))</f>
        <v>11</v>
      </c>
      <c r="N81">
        <f>INDEX('Energieverbruik in TJ Gemeente'!$B$4:$Q$347,MATCH($C81,'Energieverbruik in TJ Gemeente'!$B$4:$B$347,0),MATCH(N$2,'Energieverbruik in TJ Gemeente'!$B$4:$Q$4,0))</f>
        <v>904</v>
      </c>
      <c r="O81">
        <f>INDEX('Energieverbruik in TJ Gemeente'!$B$4:$Q$347,MATCH($C81,'Energieverbruik in TJ Gemeente'!$B$4:$B$347,0),MATCH(O$2,'Energieverbruik in TJ Gemeente'!$B$4:$Q$4,0))</f>
        <v>1033</v>
      </c>
      <c r="P81">
        <f>INDEX('Energieverbruik in TJ Gemeente'!$B$4:$Q$347,MATCH($C81,'Energieverbruik in TJ Gemeente'!$B$4:$B$347,0),MATCH(P$2,'Energieverbruik in TJ Gemeente'!$B$4:$Q$4,0))</f>
        <v>969</v>
      </c>
      <c r="Q81">
        <f>INDEX('Energieverbruik in TJ Gemeente'!$B$4:$Q$347,MATCH($C81,'Energieverbruik in TJ Gemeente'!$B$4:$B$347,0),MATCH(Q$2,'Energieverbruik in TJ Gemeente'!$B$4:$Q$4,0))</f>
        <v>710</v>
      </c>
      <c r="R81">
        <f>INDEX('Energieverbruik in TJ Gemeente'!$B$4:$Q$347,MATCH($C81,'Energieverbruik in TJ Gemeente'!$B$4:$B$347,0),MATCH(R$2,'Energieverbruik in TJ Gemeente'!$B$4:$Q$4,0))</f>
        <v>896</v>
      </c>
      <c r="S81" cm="1">
        <f t="array" ref="S81">MAX(_xlfn._xlws.FILTER(D$1:H$1, D81:H81&lt;&gt;"?"))</f>
        <v>2023</v>
      </c>
      <c r="T81" cm="1">
        <f t="array" ref="T81">MAX(_xlfn._xlws.FILTER(I$1:M$1, I81:M81&lt;&gt;"?"))</f>
        <v>2023</v>
      </c>
      <c r="U81" cm="1">
        <f t="array" ref="U81">MAX(_xlfn._xlws.FILTER(F$1:J$1, F81:J81&lt;&gt;"?"))</f>
        <v>2023</v>
      </c>
      <c r="V81">
        <f t="shared" si="5"/>
        <v>450</v>
      </c>
      <c r="W81">
        <f t="shared" si="6"/>
        <v>11</v>
      </c>
      <c r="X81">
        <f t="shared" si="7"/>
        <v>896</v>
      </c>
      <c r="Y81">
        <f t="shared" si="8"/>
        <v>1357</v>
      </c>
      <c r="Z81">
        <f t="shared" si="9"/>
        <v>2.2552392348473517E-3</v>
      </c>
    </row>
    <row r="82" spans="1:26" ht="16" x14ac:dyDescent="0.2">
      <c r="A82" s="4" t="s">
        <v>239</v>
      </c>
      <c r="B82" s="4" t="s">
        <v>240</v>
      </c>
      <c r="C82" s="4" t="s">
        <v>241</v>
      </c>
      <c r="D82">
        <f>INDEX('Energieverbruik in TJ Gemeente'!$B$4:$Q$347,MATCH($C82,'Energieverbruik in TJ Gemeente'!$B$4:$B$347,0),MATCH(D$2,'Energieverbruik in TJ Gemeente'!$B$4:$Q$4,0))</f>
        <v>926</v>
      </c>
      <c r="E82">
        <f>INDEX('Energieverbruik in TJ Gemeente'!$B$4:$Q$347,MATCH($C82,'Energieverbruik in TJ Gemeente'!$B$4:$B$347,0),MATCH(E$2,'Energieverbruik in TJ Gemeente'!$B$4:$Q$4,0))</f>
        <v>904</v>
      </c>
      <c r="F82">
        <f>INDEX('Energieverbruik in TJ Gemeente'!$B$4:$Q$347,MATCH($C82,'Energieverbruik in TJ Gemeente'!$B$4:$B$347,0),MATCH(F$2,'Energieverbruik in TJ Gemeente'!$B$4:$Q$4,0))</f>
        <v>919</v>
      </c>
      <c r="G82">
        <f>INDEX('Energieverbruik in TJ Gemeente'!$B$4:$Q$347,MATCH($C82,'Energieverbruik in TJ Gemeente'!$B$4:$B$347,0),MATCH(G$2,'Energieverbruik in TJ Gemeente'!$B$4:$Q$4,0))</f>
        <v>807</v>
      </c>
      <c r="H82">
        <f>INDEX('Energieverbruik in TJ Gemeente'!$B$4:$Q$347,MATCH($C82,'Energieverbruik in TJ Gemeente'!$B$4:$B$347,0),MATCH(H$2,'Energieverbruik in TJ Gemeente'!$B$4:$Q$4,0))</f>
        <v>677</v>
      </c>
      <c r="I82">
        <f>INDEX('Energieverbruik in TJ Gemeente'!$B$4:$Q$347,MATCH($C82,'Energieverbruik in TJ Gemeente'!$B$4:$B$347,0),MATCH(I$2,'Energieverbruik in TJ Gemeente'!$B$4:$Q$4,0))</f>
        <v>108</v>
      </c>
      <c r="J82">
        <f>INDEX('Energieverbruik in TJ Gemeente'!$B$4:$Q$347,MATCH($C82,'Energieverbruik in TJ Gemeente'!$B$4:$B$347,0),MATCH(J$2,'Energieverbruik in TJ Gemeente'!$B$4:$Q$4,0))</f>
        <v>99</v>
      </c>
      <c r="K82">
        <f>INDEX('Energieverbruik in TJ Gemeente'!$B$4:$Q$347,MATCH($C82,'Energieverbruik in TJ Gemeente'!$B$4:$B$347,0),MATCH(K$2,'Energieverbruik in TJ Gemeente'!$B$4:$Q$4,0))</f>
        <v>106</v>
      </c>
      <c r="L82" t="str">
        <f>INDEX('Energieverbruik in TJ Gemeente'!$B$4:$Q$347,MATCH($C82,'Energieverbruik in TJ Gemeente'!$B$4:$B$347,0),MATCH(L$2,'Energieverbruik in TJ Gemeente'!$B$4:$Q$4,0))</f>
        <v>?</v>
      </c>
      <c r="M82" t="str">
        <f>INDEX('Energieverbruik in TJ Gemeente'!$B$4:$Q$347,MATCH($C82,'Energieverbruik in TJ Gemeente'!$B$4:$B$347,0),MATCH(M$2,'Energieverbruik in TJ Gemeente'!$B$4:$Q$4,0))</f>
        <v>?</v>
      </c>
      <c r="N82">
        <f>INDEX('Energieverbruik in TJ Gemeente'!$B$4:$Q$347,MATCH($C82,'Energieverbruik in TJ Gemeente'!$B$4:$B$347,0),MATCH(N$2,'Energieverbruik in TJ Gemeente'!$B$4:$Q$4,0))</f>
        <v>104</v>
      </c>
      <c r="O82">
        <f>INDEX('Energieverbruik in TJ Gemeente'!$B$4:$Q$347,MATCH($C82,'Energieverbruik in TJ Gemeente'!$B$4:$B$347,0),MATCH(O$2,'Energieverbruik in TJ Gemeente'!$B$4:$Q$4,0))</f>
        <v>87</v>
      </c>
      <c r="P82">
        <f>INDEX('Energieverbruik in TJ Gemeente'!$B$4:$Q$347,MATCH($C82,'Energieverbruik in TJ Gemeente'!$B$4:$B$347,0),MATCH(P$2,'Energieverbruik in TJ Gemeente'!$B$4:$Q$4,0))</f>
        <v>84</v>
      </c>
      <c r="Q82">
        <f>INDEX('Energieverbruik in TJ Gemeente'!$B$4:$Q$347,MATCH($C82,'Energieverbruik in TJ Gemeente'!$B$4:$B$347,0),MATCH(Q$2,'Energieverbruik in TJ Gemeente'!$B$4:$Q$4,0))</f>
        <v>79</v>
      </c>
      <c r="R82">
        <f>INDEX('Energieverbruik in TJ Gemeente'!$B$4:$Q$347,MATCH($C82,'Energieverbruik in TJ Gemeente'!$B$4:$B$347,0),MATCH(R$2,'Energieverbruik in TJ Gemeente'!$B$4:$Q$4,0))</f>
        <v>72</v>
      </c>
      <c r="S82" cm="1">
        <f t="array" ref="S82">MAX(_xlfn._xlws.FILTER(D$1:H$1, D82:H82&lt;&gt;"?"))</f>
        <v>2023</v>
      </c>
      <c r="T82" cm="1">
        <f t="array" ref="T82">MAX(_xlfn._xlws.FILTER(I$1:M$1, I82:M82&lt;&gt;"?"))</f>
        <v>2021</v>
      </c>
      <c r="U82" cm="1">
        <f t="array" ref="U82">MAX(_xlfn._xlws.FILTER(F$1:J$1, F82:J82&lt;&gt;"?"))</f>
        <v>2023</v>
      </c>
      <c r="V82">
        <f t="shared" si="5"/>
        <v>677</v>
      </c>
      <c r="W82">
        <f t="shared" si="6"/>
        <v>106</v>
      </c>
      <c r="X82">
        <f t="shared" si="7"/>
        <v>72</v>
      </c>
      <c r="Y82">
        <f t="shared" si="8"/>
        <v>855</v>
      </c>
      <c r="Z82">
        <f t="shared" si="9"/>
        <v>1.4209502916687441E-3</v>
      </c>
    </row>
    <row r="83" spans="1:26" ht="16" x14ac:dyDescent="0.2">
      <c r="A83" s="4" t="s">
        <v>242</v>
      </c>
      <c r="B83" s="4" t="s">
        <v>243</v>
      </c>
      <c r="C83" s="4" t="s">
        <v>244</v>
      </c>
      <c r="D83">
        <f>INDEX('Energieverbruik in TJ Gemeente'!$B$4:$Q$347,MATCH($C83,'Energieverbruik in TJ Gemeente'!$B$4:$B$347,0),MATCH(D$2,'Energieverbruik in TJ Gemeente'!$B$4:$Q$4,0))</f>
        <v>447</v>
      </c>
      <c r="E83">
        <f>INDEX('Energieverbruik in TJ Gemeente'!$B$4:$Q$347,MATCH($C83,'Energieverbruik in TJ Gemeente'!$B$4:$B$347,0),MATCH(E$2,'Energieverbruik in TJ Gemeente'!$B$4:$Q$4,0))</f>
        <v>431</v>
      </c>
      <c r="F83">
        <f>INDEX('Energieverbruik in TJ Gemeente'!$B$4:$Q$347,MATCH($C83,'Energieverbruik in TJ Gemeente'!$B$4:$B$347,0),MATCH(F$2,'Energieverbruik in TJ Gemeente'!$B$4:$Q$4,0))</f>
        <v>435</v>
      </c>
      <c r="G83">
        <f>INDEX('Energieverbruik in TJ Gemeente'!$B$4:$Q$347,MATCH($C83,'Energieverbruik in TJ Gemeente'!$B$4:$B$347,0),MATCH(G$2,'Energieverbruik in TJ Gemeente'!$B$4:$Q$4,0))</f>
        <v>387</v>
      </c>
      <c r="H83">
        <f>INDEX('Energieverbruik in TJ Gemeente'!$B$4:$Q$347,MATCH($C83,'Energieverbruik in TJ Gemeente'!$B$4:$B$347,0),MATCH(H$2,'Energieverbruik in TJ Gemeente'!$B$4:$Q$4,0))</f>
        <v>315</v>
      </c>
      <c r="I83">
        <f>INDEX('Energieverbruik in TJ Gemeente'!$B$4:$Q$347,MATCH($C83,'Energieverbruik in TJ Gemeente'!$B$4:$B$347,0),MATCH(I$2,'Energieverbruik in TJ Gemeente'!$B$4:$Q$4,0))</f>
        <v>176</v>
      </c>
      <c r="J83">
        <f>INDEX('Energieverbruik in TJ Gemeente'!$B$4:$Q$347,MATCH($C83,'Energieverbruik in TJ Gemeente'!$B$4:$B$347,0),MATCH(J$2,'Energieverbruik in TJ Gemeente'!$B$4:$Q$4,0))</f>
        <v>187</v>
      </c>
      <c r="K83">
        <f>INDEX('Energieverbruik in TJ Gemeente'!$B$4:$Q$347,MATCH($C83,'Energieverbruik in TJ Gemeente'!$B$4:$B$347,0),MATCH(K$2,'Energieverbruik in TJ Gemeente'!$B$4:$Q$4,0))</f>
        <v>216</v>
      </c>
      <c r="L83">
        <f>INDEX('Energieverbruik in TJ Gemeente'!$B$4:$Q$347,MATCH($C83,'Energieverbruik in TJ Gemeente'!$B$4:$B$347,0),MATCH(L$2,'Energieverbruik in TJ Gemeente'!$B$4:$Q$4,0))</f>
        <v>218</v>
      </c>
      <c r="M83">
        <f>INDEX('Energieverbruik in TJ Gemeente'!$B$4:$Q$347,MATCH($C83,'Energieverbruik in TJ Gemeente'!$B$4:$B$347,0),MATCH(M$2,'Energieverbruik in TJ Gemeente'!$B$4:$Q$4,0))</f>
        <v>225</v>
      </c>
      <c r="N83">
        <f>INDEX('Energieverbruik in TJ Gemeente'!$B$4:$Q$347,MATCH($C83,'Energieverbruik in TJ Gemeente'!$B$4:$B$347,0),MATCH(N$2,'Energieverbruik in TJ Gemeente'!$B$4:$Q$4,0))</f>
        <v>11</v>
      </c>
      <c r="O83">
        <f>INDEX('Energieverbruik in TJ Gemeente'!$B$4:$Q$347,MATCH($C83,'Energieverbruik in TJ Gemeente'!$B$4:$B$347,0),MATCH(O$2,'Energieverbruik in TJ Gemeente'!$B$4:$Q$4,0))</f>
        <v>7</v>
      </c>
      <c r="P83" t="str">
        <f>INDEX('Energieverbruik in TJ Gemeente'!$B$4:$Q$347,MATCH($C83,'Energieverbruik in TJ Gemeente'!$B$4:$B$347,0),MATCH(P$2,'Energieverbruik in TJ Gemeente'!$B$4:$Q$4,0))</f>
        <v>?</v>
      </c>
      <c r="Q83">
        <f>INDEX('Energieverbruik in TJ Gemeente'!$B$4:$Q$347,MATCH($C83,'Energieverbruik in TJ Gemeente'!$B$4:$B$347,0),MATCH(Q$2,'Energieverbruik in TJ Gemeente'!$B$4:$Q$4,0))</f>
        <v>6</v>
      </c>
      <c r="R83">
        <f>INDEX('Energieverbruik in TJ Gemeente'!$B$4:$Q$347,MATCH($C83,'Energieverbruik in TJ Gemeente'!$B$4:$B$347,0),MATCH(R$2,'Energieverbruik in TJ Gemeente'!$B$4:$Q$4,0))</f>
        <v>4</v>
      </c>
      <c r="S83" cm="1">
        <f t="array" ref="S83">MAX(_xlfn._xlws.FILTER(D$1:H$1, D83:H83&lt;&gt;"?"))</f>
        <v>2023</v>
      </c>
      <c r="T83" cm="1">
        <f t="array" ref="T83">MAX(_xlfn._xlws.FILTER(I$1:M$1, I83:M83&lt;&gt;"?"))</f>
        <v>2023</v>
      </c>
      <c r="U83" cm="1">
        <f t="array" ref="U83">MAX(_xlfn._xlws.FILTER(F$1:J$1, F83:J83&lt;&gt;"?"))</f>
        <v>2023</v>
      </c>
      <c r="V83">
        <f t="shared" si="5"/>
        <v>315</v>
      </c>
      <c r="W83">
        <f t="shared" si="6"/>
        <v>225</v>
      </c>
      <c r="X83">
        <f t="shared" si="7"/>
        <v>4</v>
      </c>
      <c r="Y83">
        <f t="shared" si="8"/>
        <v>544</v>
      </c>
      <c r="Z83">
        <f t="shared" si="9"/>
        <v>9.0409001013777406E-4</v>
      </c>
    </row>
    <row r="84" spans="1:26" ht="16" x14ac:dyDescent="0.2">
      <c r="A84" s="4" t="s">
        <v>245</v>
      </c>
      <c r="B84" s="4" t="s">
        <v>246</v>
      </c>
      <c r="C84" s="4" t="s">
        <v>247</v>
      </c>
      <c r="D84" t="str">
        <f>INDEX('Energieverbruik in TJ Gemeente'!$B$4:$Q$347,MATCH($C84,'Energieverbruik in TJ Gemeente'!$B$4:$B$347,0),MATCH(D$2,'Energieverbruik in TJ Gemeente'!$B$4:$Q$4,0))</f>
        <v>?</v>
      </c>
      <c r="E84" t="str">
        <f>INDEX('Energieverbruik in TJ Gemeente'!$B$4:$Q$347,MATCH($C84,'Energieverbruik in TJ Gemeente'!$B$4:$B$347,0),MATCH(E$2,'Energieverbruik in TJ Gemeente'!$B$4:$Q$4,0))</f>
        <v>?</v>
      </c>
      <c r="F84">
        <f>INDEX('Energieverbruik in TJ Gemeente'!$B$4:$Q$347,MATCH($C84,'Energieverbruik in TJ Gemeente'!$B$4:$B$347,0),MATCH(F$2,'Energieverbruik in TJ Gemeente'!$B$4:$Q$4,0))</f>
        <v>256</v>
      </c>
      <c r="G84">
        <f>INDEX('Energieverbruik in TJ Gemeente'!$B$4:$Q$347,MATCH($C84,'Energieverbruik in TJ Gemeente'!$B$4:$B$347,0),MATCH(G$2,'Energieverbruik in TJ Gemeente'!$B$4:$Q$4,0))</f>
        <v>221</v>
      </c>
      <c r="H84">
        <f>INDEX('Energieverbruik in TJ Gemeente'!$B$4:$Q$347,MATCH($C84,'Energieverbruik in TJ Gemeente'!$B$4:$B$347,0),MATCH(H$2,'Energieverbruik in TJ Gemeente'!$B$4:$Q$4,0))</f>
        <v>180</v>
      </c>
      <c r="I84" t="str">
        <f>INDEX('Energieverbruik in TJ Gemeente'!$B$4:$Q$347,MATCH($C84,'Energieverbruik in TJ Gemeente'!$B$4:$B$347,0),MATCH(I$2,'Energieverbruik in TJ Gemeente'!$B$4:$Q$4,0))</f>
        <v>?</v>
      </c>
      <c r="J84">
        <f>INDEX('Energieverbruik in TJ Gemeente'!$B$4:$Q$347,MATCH($C84,'Energieverbruik in TJ Gemeente'!$B$4:$B$347,0),MATCH(J$2,'Energieverbruik in TJ Gemeente'!$B$4:$Q$4,0))</f>
        <v>8</v>
      </c>
      <c r="K84">
        <f>INDEX('Energieverbruik in TJ Gemeente'!$B$4:$Q$347,MATCH($C84,'Energieverbruik in TJ Gemeente'!$B$4:$B$347,0),MATCH(K$2,'Energieverbruik in TJ Gemeente'!$B$4:$Q$4,0))</f>
        <v>7</v>
      </c>
      <c r="L84">
        <f>INDEX('Energieverbruik in TJ Gemeente'!$B$4:$Q$347,MATCH($C84,'Energieverbruik in TJ Gemeente'!$B$4:$B$347,0),MATCH(L$2,'Energieverbruik in TJ Gemeente'!$B$4:$Q$4,0))</f>
        <v>7</v>
      </c>
      <c r="M84">
        <f>INDEX('Energieverbruik in TJ Gemeente'!$B$4:$Q$347,MATCH($C84,'Energieverbruik in TJ Gemeente'!$B$4:$B$347,0),MATCH(M$2,'Energieverbruik in TJ Gemeente'!$B$4:$Q$4,0))</f>
        <v>6</v>
      </c>
      <c r="N84">
        <f>INDEX('Energieverbruik in TJ Gemeente'!$B$4:$Q$347,MATCH($C84,'Energieverbruik in TJ Gemeente'!$B$4:$B$347,0),MATCH(N$2,'Energieverbruik in TJ Gemeente'!$B$4:$Q$4,0))</f>
        <v>61</v>
      </c>
      <c r="O84">
        <f>INDEX('Energieverbruik in TJ Gemeente'!$B$4:$Q$347,MATCH($C84,'Energieverbruik in TJ Gemeente'!$B$4:$B$347,0),MATCH(O$2,'Energieverbruik in TJ Gemeente'!$B$4:$Q$4,0))</f>
        <v>57</v>
      </c>
      <c r="P84">
        <f>INDEX('Energieverbruik in TJ Gemeente'!$B$4:$Q$347,MATCH($C84,'Energieverbruik in TJ Gemeente'!$B$4:$B$347,0),MATCH(P$2,'Energieverbruik in TJ Gemeente'!$B$4:$Q$4,0))</f>
        <v>68</v>
      </c>
      <c r="Q84">
        <f>INDEX('Energieverbruik in TJ Gemeente'!$B$4:$Q$347,MATCH($C84,'Energieverbruik in TJ Gemeente'!$B$4:$B$347,0),MATCH(Q$2,'Energieverbruik in TJ Gemeente'!$B$4:$Q$4,0))</f>
        <v>64</v>
      </c>
      <c r="R84">
        <f>INDEX('Energieverbruik in TJ Gemeente'!$B$4:$Q$347,MATCH($C84,'Energieverbruik in TJ Gemeente'!$B$4:$B$347,0),MATCH(R$2,'Energieverbruik in TJ Gemeente'!$B$4:$Q$4,0))</f>
        <v>64</v>
      </c>
      <c r="S84" cm="1">
        <f t="array" ref="S84">MAX(_xlfn._xlws.FILTER(D$1:H$1, D84:H84&lt;&gt;"?"))</f>
        <v>2023</v>
      </c>
      <c r="T84" cm="1">
        <f t="array" ref="T84">MAX(_xlfn._xlws.FILTER(I$1:M$1, I84:M84&lt;&gt;"?"))</f>
        <v>2023</v>
      </c>
      <c r="U84" cm="1">
        <f t="array" ref="U84">MAX(_xlfn._xlws.FILTER(F$1:J$1, F84:J84&lt;&gt;"?"))</f>
        <v>2023</v>
      </c>
      <c r="V84">
        <f t="shared" si="5"/>
        <v>180</v>
      </c>
      <c r="W84">
        <f t="shared" si="6"/>
        <v>6</v>
      </c>
      <c r="X84">
        <f t="shared" si="7"/>
        <v>64</v>
      </c>
      <c r="Y84">
        <f t="shared" si="8"/>
        <v>250</v>
      </c>
      <c r="Z84">
        <f t="shared" si="9"/>
        <v>4.154825414236094E-4</v>
      </c>
    </row>
    <row r="85" spans="1:26" ht="32" x14ac:dyDescent="0.2">
      <c r="A85" s="4" t="s">
        <v>248</v>
      </c>
      <c r="B85" s="4" t="s">
        <v>249</v>
      </c>
      <c r="C85" s="4" t="s">
        <v>250</v>
      </c>
      <c r="D85">
        <f>INDEX('Energieverbruik in TJ Gemeente'!$B$4:$Q$347,MATCH($C85,'Energieverbruik in TJ Gemeente'!$B$4:$B$347,0),MATCH(D$2,'Energieverbruik in TJ Gemeente'!$B$4:$Q$4,0))</f>
        <v>923</v>
      </c>
      <c r="E85" t="str">
        <f>INDEX('Energieverbruik in TJ Gemeente'!$B$4:$Q$347,MATCH($C85,'Energieverbruik in TJ Gemeente'!$B$4:$B$347,0),MATCH(E$2,'Energieverbruik in TJ Gemeente'!$B$4:$Q$4,0))</f>
        <v>?</v>
      </c>
      <c r="F85" t="str">
        <f>INDEX('Energieverbruik in TJ Gemeente'!$B$4:$Q$347,MATCH($C85,'Energieverbruik in TJ Gemeente'!$B$4:$B$347,0),MATCH(F$2,'Energieverbruik in TJ Gemeente'!$B$4:$Q$4,0))</f>
        <v>?</v>
      </c>
      <c r="G85" t="str">
        <f>INDEX('Energieverbruik in TJ Gemeente'!$B$4:$Q$347,MATCH($C85,'Energieverbruik in TJ Gemeente'!$B$4:$B$347,0),MATCH(G$2,'Energieverbruik in TJ Gemeente'!$B$4:$Q$4,0))</f>
        <v>?</v>
      </c>
      <c r="H85">
        <f>INDEX('Energieverbruik in TJ Gemeente'!$B$4:$Q$347,MATCH($C85,'Energieverbruik in TJ Gemeente'!$B$4:$B$347,0),MATCH(H$2,'Energieverbruik in TJ Gemeente'!$B$4:$Q$4,0))</f>
        <v>630</v>
      </c>
      <c r="I85" t="str">
        <f>INDEX('Energieverbruik in TJ Gemeente'!$B$4:$Q$347,MATCH($C85,'Energieverbruik in TJ Gemeente'!$B$4:$B$347,0),MATCH(I$2,'Energieverbruik in TJ Gemeente'!$B$4:$Q$4,0))</f>
        <v>?</v>
      </c>
      <c r="J85" t="str">
        <f>INDEX('Energieverbruik in TJ Gemeente'!$B$4:$Q$347,MATCH($C85,'Energieverbruik in TJ Gemeente'!$B$4:$B$347,0),MATCH(J$2,'Energieverbruik in TJ Gemeente'!$B$4:$Q$4,0))</f>
        <v>?</v>
      </c>
      <c r="K85" t="str">
        <f>INDEX('Energieverbruik in TJ Gemeente'!$B$4:$Q$347,MATCH($C85,'Energieverbruik in TJ Gemeente'!$B$4:$B$347,0),MATCH(K$2,'Energieverbruik in TJ Gemeente'!$B$4:$Q$4,0))</f>
        <v>?</v>
      </c>
      <c r="L85" t="str">
        <f>INDEX('Energieverbruik in TJ Gemeente'!$B$4:$Q$347,MATCH($C85,'Energieverbruik in TJ Gemeente'!$B$4:$B$347,0),MATCH(L$2,'Energieverbruik in TJ Gemeente'!$B$4:$Q$4,0))</f>
        <v>?</v>
      </c>
      <c r="M85">
        <f>INDEX('Energieverbruik in TJ Gemeente'!$B$4:$Q$347,MATCH($C85,'Energieverbruik in TJ Gemeente'!$B$4:$B$347,0),MATCH(M$2,'Energieverbruik in TJ Gemeente'!$B$4:$Q$4,0))</f>
        <v>210</v>
      </c>
      <c r="N85">
        <f>INDEX('Energieverbruik in TJ Gemeente'!$B$4:$Q$347,MATCH($C85,'Energieverbruik in TJ Gemeente'!$B$4:$B$347,0),MATCH(N$2,'Energieverbruik in TJ Gemeente'!$B$4:$Q$4,0))</f>
        <v>11</v>
      </c>
      <c r="O85">
        <f>INDEX('Energieverbruik in TJ Gemeente'!$B$4:$Q$347,MATCH($C85,'Energieverbruik in TJ Gemeente'!$B$4:$B$347,0),MATCH(O$2,'Energieverbruik in TJ Gemeente'!$B$4:$Q$4,0))</f>
        <v>8</v>
      </c>
      <c r="P85">
        <f>INDEX('Energieverbruik in TJ Gemeente'!$B$4:$Q$347,MATCH($C85,'Energieverbruik in TJ Gemeente'!$B$4:$B$347,0),MATCH(P$2,'Energieverbruik in TJ Gemeente'!$B$4:$Q$4,0))</f>
        <v>10</v>
      </c>
      <c r="Q85">
        <f>INDEX('Energieverbruik in TJ Gemeente'!$B$4:$Q$347,MATCH($C85,'Energieverbruik in TJ Gemeente'!$B$4:$B$347,0),MATCH(Q$2,'Energieverbruik in TJ Gemeente'!$B$4:$Q$4,0))</f>
        <v>7</v>
      </c>
      <c r="R85">
        <f>INDEX('Energieverbruik in TJ Gemeente'!$B$4:$Q$347,MATCH($C85,'Energieverbruik in TJ Gemeente'!$B$4:$B$347,0),MATCH(R$2,'Energieverbruik in TJ Gemeente'!$B$4:$Q$4,0))</f>
        <v>5</v>
      </c>
      <c r="S85" cm="1">
        <f t="array" ref="S85">MAX(_xlfn._xlws.FILTER(D$1:H$1, D85:H85&lt;&gt;"?"))</f>
        <v>2023</v>
      </c>
      <c r="T85" cm="1">
        <f t="array" ref="T85">MAX(_xlfn._xlws.FILTER(I$1:M$1, I85:M85&lt;&gt;"?"))</f>
        <v>2023</v>
      </c>
      <c r="U85" cm="1">
        <f t="array" ref="U85">MAX(_xlfn._xlws.FILTER(F$1:J$1, F85:J85&lt;&gt;"?"))</f>
        <v>2023</v>
      </c>
      <c r="V85">
        <f t="shared" si="5"/>
        <v>630</v>
      </c>
      <c r="W85">
        <f t="shared" si="6"/>
        <v>210</v>
      </c>
      <c r="X85">
        <f t="shared" si="7"/>
        <v>5</v>
      </c>
      <c r="Y85">
        <f t="shared" si="8"/>
        <v>845</v>
      </c>
      <c r="Z85">
        <f t="shared" si="9"/>
        <v>1.4043309900117996E-3</v>
      </c>
    </row>
    <row r="86" spans="1:26" ht="32" x14ac:dyDescent="0.2">
      <c r="A86" s="4" t="s">
        <v>251</v>
      </c>
      <c r="B86" s="4" t="s">
        <v>252</v>
      </c>
      <c r="C86" s="4" t="s">
        <v>253</v>
      </c>
      <c r="D86" t="str">
        <f>INDEX('Energieverbruik in TJ Gemeente'!$B$4:$Q$347,MATCH($C86,'Energieverbruik in TJ Gemeente'!$B$4:$B$347,0),MATCH(D$2,'Energieverbruik in TJ Gemeente'!$B$4:$Q$4,0))</f>
        <v>?</v>
      </c>
      <c r="E86" t="str">
        <f>INDEX('Energieverbruik in TJ Gemeente'!$B$4:$Q$347,MATCH($C86,'Energieverbruik in TJ Gemeente'!$B$4:$B$347,0),MATCH(E$2,'Energieverbruik in TJ Gemeente'!$B$4:$Q$4,0))</f>
        <v>?</v>
      </c>
      <c r="F86" t="str">
        <f>INDEX('Energieverbruik in TJ Gemeente'!$B$4:$Q$347,MATCH($C86,'Energieverbruik in TJ Gemeente'!$B$4:$B$347,0),MATCH(F$2,'Energieverbruik in TJ Gemeente'!$B$4:$Q$4,0))</f>
        <v>?</v>
      </c>
      <c r="G86">
        <f>INDEX('Energieverbruik in TJ Gemeente'!$B$4:$Q$347,MATCH($C86,'Energieverbruik in TJ Gemeente'!$B$4:$B$347,0),MATCH(G$2,'Energieverbruik in TJ Gemeente'!$B$4:$Q$4,0))</f>
        <v>840</v>
      </c>
      <c r="H86">
        <f>INDEX('Energieverbruik in TJ Gemeente'!$B$4:$Q$347,MATCH($C86,'Energieverbruik in TJ Gemeente'!$B$4:$B$347,0),MATCH(H$2,'Energieverbruik in TJ Gemeente'!$B$4:$Q$4,0))</f>
        <v>709</v>
      </c>
      <c r="I86">
        <f>INDEX('Energieverbruik in TJ Gemeente'!$B$4:$Q$347,MATCH($C86,'Energieverbruik in TJ Gemeente'!$B$4:$B$347,0),MATCH(I$2,'Energieverbruik in TJ Gemeente'!$B$4:$Q$4,0))</f>
        <v>80</v>
      </c>
      <c r="J86">
        <f>INDEX('Energieverbruik in TJ Gemeente'!$B$4:$Q$347,MATCH($C86,'Energieverbruik in TJ Gemeente'!$B$4:$B$347,0),MATCH(J$2,'Energieverbruik in TJ Gemeente'!$B$4:$Q$4,0))</f>
        <v>76</v>
      </c>
      <c r="K86">
        <f>INDEX('Energieverbruik in TJ Gemeente'!$B$4:$Q$347,MATCH($C86,'Energieverbruik in TJ Gemeente'!$B$4:$B$347,0),MATCH(K$2,'Energieverbruik in TJ Gemeente'!$B$4:$Q$4,0))</f>
        <v>86</v>
      </c>
      <c r="L86">
        <f>INDEX('Energieverbruik in TJ Gemeente'!$B$4:$Q$347,MATCH($C86,'Energieverbruik in TJ Gemeente'!$B$4:$B$347,0),MATCH(L$2,'Energieverbruik in TJ Gemeente'!$B$4:$Q$4,0))</f>
        <v>71</v>
      </c>
      <c r="M86">
        <f>INDEX('Energieverbruik in TJ Gemeente'!$B$4:$Q$347,MATCH($C86,'Energieverbruik in TJ Gemeente'!$B$4:$B$347,0),MATCH(M$2,'Energieverbruik in TJ Gemeente'!$B$4:$Q$4,0))</f>
        <v>65</v>
      </c>
      <c r="N86">
        <f>INDEX('Energieverbruik in TJ Gemeente'!$B$4:$Q$347,MATCH($C86,'Energieverbruik in TJ Gemeente'!$B$4:$B$347,0),MATCH(N$2,'Energieverbruik in TJ Gemeente'!$B$4:$Q$4,0))</f>
        <v>7</v>
      </c>
      <c r="O86">
        <f>INDEX('Energieverbruik in TJ Gemeente'!$B$4:$Q$347,MATCH($C86,'Energieverbruik in TJ Gemeente'!$B$4:$B$347,0),MATCH(O$2,'Energieverbruik in TJ Gemeente'!$B$4:$Q$4,0))</f>
        <v>5</v>
      </c>
      <c r="P86">
        <f>INDEX('Energieverbruik in TJ Gemeente'!$B$4:$Q$347,MATCH($C86,'Energieverbruik in TJ Gemeente'!$B$4:$B$347,0),MATCH(P$2,'Energieverbruik in TJ Gemeente'!$B$4:$Q$4,0))</f>
        <v>5</v>
      </c>
      <c r="Q86">
        <f>INDEX('Energieverbruik in TJ Gemeente'!$B$4:$Q$347,MATCH($C86,'Energieverbruik in TJ Gemeente'!$B$4:$B$347,0),MATCH(Q$2,'Energieverbruik in TJ Gemeente'!$B$4:$Q$4,0))</f>
        <v>4</v>
      </c>
      <c r="R86">
        <f>INDEX('Energieverbruik in TJ Gemeente'!$B$4:$Q$347,MATCH($C86,'Energieverbruik in TJ Gemeente'!$B$4:$B$347,0),MATCH(R$2,'Energieverbruik in TJ Gemeente'!$B$4:$Q$4,0))</f>
        <v>4</v>
      </c>
      <c r="S86" cm="1">
        <f t="array" ref="S86">MAX(_xlfn._xlws.FILTER(D$1:H$1, D86:H86&lt;&gt;"?"))</f>
        <v>2023</v>
      </c>
      <c r="T86" cm="1">
        <f t="array" ref="T86">MAX(_xlfn._xlws.FILTER(I$1:M$1, I86:M86&lt;&gt;"?"))</f>
        <v>2023</v>
      </c>
      <c r="U86" cm="1">
        <f t="array" ref="U86">MAX(_xlfn._xlws.FILTER(F$1:J$1, F86:J86&lt;&gt;"?"))</f>
        <v>2023</v>
      </c>
      <c r="V86">
        <f t="shared" si="5"/>
        <v>709</v>
      </c>
      <c r="W86">
        <f t="shared" si="6"/>
        <v>65</v>
      </c>
      <c r="X86">
        <f t="shared" si="7"/>
        <v>4</v>
      </c>
      <c r="Y86">
        <f t="shared" si="8"/>
        <v>778</v>
      </c>
      <c r="Z86">
        <f t="shared" si="9"/>
        <v>1.2929816689102723E-3</v>
      </c>
    </row>
    <row r="87" spans="1:26" ht="16" x14ac:dyDescent="0.2">
      <c r="A87" s="4" t="s">
        <v>254</v>
      </c>
      <c r="B87" s="4" t="s">
        <v>255</v>
      </c>
      <c r="C87" s="4" t="s">
        <v>256</v>
      </c>
      <c r="D87" t="str">
        <f>INDEX('Energieverbruik in TJ Gemeente'!$B$4:$Q$347,MATCH($C87,'Energieverbruik in TJ Gemeente'!$B$4:$B$347,0),MATCH(D$2,'Energieverbruik in TJ Gemeente'!$B$4:$Q$4,0))</f>
        <v>?</v>
      </c>
      <c r="E87">
        <f>INDEX('Energieverbruik in TJ Gemeente'!$B$4:$Q$347,MATCH($C87,'Energieverbruik in TJ Gemeente'!$B$4:$B$347,0),MATCH(E$2,'Energieverbruik in TJ Gemeente'!$B$4:$Q$4,0))</f>
        <v>2732</v>
      </c>
      <c r="F87">
        <f>INDEX('Energieverbruik in TJ Gemeente'!$B$4:$Q$347,MATCH($C87,'Energieverbruik in TJ Gemeente'!$B$4:$B$347,0),MATCH(F$2,'Energieverbruik in TJ Gemeente'!$B$4:$Q$4,0))</f>
        <v>2728</v>
      </c>
      <c r="G87" t="str">
        <f>INDEX('Energieverbruik in TJ Gemeente'!$B$4:$Q$347,MATCH($C87,'Energieverbruik in TJ Gemeente'!$B$4:$B$347,0),MATCH(G$2,'Energieverbruik in TJ Gemeente'!$B$4:$Q$4,0))</f>
        <v>?</v>
      </c>
      <c r="H87" t="str">
        <f>INDEX('Energieverbruik in TJ Gemeente'!$B$4:$Q$347,MATCH($C87,'Energieverbruik in TJ Gemeente'!$B$4:$B$347,0),MATCH(H$2,'Energieverbruik in TJ Gemeente'!$B$4:$Q$4,0))</f>
        <v>?</v>
      </c>
      <c r="I87">
        <f>INDEX('Energieverbruik in TJ Gemeente'!$B$4:$Q$347,MATCH($C87,'Energieverbruik in TJ Gemeente'!$B$4:$B$347,0),MATCH(I$2,'Energieverbruik in TJ Gemeente'!$B$4:$Q$4,0))</f>
        <v>247</v>
      </c>
      <c r="J87">
        <f>INDEX('Energieverbruik in TJ Gemeente'!$B$4:$Q$347,MATCH($C87,'Energieverbruik in TJ Gemeente'!$B$4:$B$347,0),MATCH(J$2,'Energieverbruik in TJ Gemeente'!$B$4:$Q$4,0))</f>
        <v>222</v>
      </c>
      <c r="K87">
        <f>INDEX('Energieverbruik in TJ Gemeente'!$B$4:$Q$347,MATCH($C87,'Energieverbruik in TJ Gemeente'!$B$4:$B$347,0),MATCH(K$2,'Energieverbruik in TJ Gemeente'!$B$4:$Q$4,0))</f>
        <v>245</v>
      </c>
      <c r="L87">
        <f>INDEX('Energieverbruik in TJ Gemeente'!$B$4:$Q$347,MATCH($C87,'Energieverbruik in TJ Gemeente'!$B$4:$B$347,0),MATCH(L$2,'Energieverbruik in TJ Gemeente'!$B$4:$Q$4,0))</f>
        <v>230</v>
      </c>
      <c r="M87">
        <f>INDEX('Energieverbruik in TJ Gemeente'!$B$4:$Q$347,MATCH($C87,'Energieverbruik in TJ Gemeente'!$B$4:$B$347,0),MATCH(M$2,'Energieverbruik in TJ Gemeente'!$B$4:$Q$4,0))</f>
        <v>252</v>
      </c>
      <c r="N87">
        <f>INDEX('Energieverbruik in TJ Gemeente'!$B$4:$Q$347,MATCH($C87,'Energieverbruik in TJ Gemeente'!$B$4:$B$347,0),MATCH(N$2,'Energieverbruik in TJ Gemeente'!$B$4:$Q$4,0))</f>
        <v>124</v>
      </c>
      <c r="O87">
        <f>INDEX('Energieverbruik in TJ Gemeente'!$B$4:$Q$347,MATCH($C87,'Energieverbruik in TJ Gemeente'!$B$4:$B$347,0),MATCH(O$2,'Energieverbruik in TJ Gemeente'!$B$4:$Q$4,0))</f>
        <v>95</v>
      </c>
      <c r="P87">
        <f>INDEX('Energieverbruik in TJ Gemeente'!$B$4:$Q$347,MATCH($C87,'Energieverbruik in TJ Gemeente'!$B$4:$B$347,0),MATCH(P$2,'Energieverbruik in TJ Gemeente'!$B$4:$Q$4,0))</f>
        <v>100</v>
      </c>
      <c r="Q87">
        <f>INDEX('Energieverbruik in TJ Gemeente'!$B$4:$Q$347,MATCH($C87,'Energieverbruik in TJ Gemeente'!$B$4:$B$347,0),MATCH(Q$2,'Energieverbruik in TJ Gemeente'!$B$4:$Q$4,0))</f>
        <v>79</v>
      </c>
      <c r="R87">
        <f>INDEX('Energieverbruik in TJ Gemeente'!$B$4:$Q$347,MATCH($C87,'Energieverbruik in TJ Gemeente'!$B$4:$B$347,0),MATCH(R$2,'Energieverbruik in TJ Gemeente'!$B$4:$Q$4,0))</f>
        <v>62</v>
      </c>
      <c r="S87" cm="1">
        <f t="array" ref="S87">MAX(_xlfn._xlws.FILTER(D$1:H$1, D87:H87&lt;&gt;"?"))</f>
        <v>2021</v>
      </c>
      <c r="T87" cm="1">
        <f t="array" ref="T87">MAX(_xlfn._xlws.FILTER(I$1:M$1, I87:M87&lt;&gt;"?"))</f>
        <v>2023</v>
      </c>
      <c r="U87" cm="1">
        <f t="array" ref="U87">MAX(_xlfn._xlws.FILTER(F$1:J$1, F87:J87&lt;&gt;"?"))</f>
        <v>2021</v>
      </c>
      <c r="V87">
        <f t="shared" si="5"/>
        <v>2728</v>
      </c>
      <c r="W87">
        <f t="shared" si="6"/>
        <v>252</v>
      </c>
      <c r="X87">
        <f t="shared" si="7"/>
        <v>100</v>
      </c>
      <c r="Y87">
        <f t="shared" si="8"/>
        <v>3080</v>
      </c>
      <c r="Z87">
        <f t="shared" si="9"/>
        <v>5.1187449103388674E-3</v>
      </c>
    </row>
    <row r="88" spans="1:26" ht="16" x14ac:dyDescent="0.2">
      <c r="A88" s="4" t="s">
        <v>257</v>
      </c>
      <c r="B88" s="4" t="s">
        <v>258</v>
      </c>
      <c r="C88" s="4" t="s">
        <v>259</v>
      </c>
      <c r="D88" t="str">
        <f>INDEX('Energieverbruik in TJ Gemeente'!$B$4:$Q$347,MATCH($C88,'Energieverbruik in TJ Gemeente'!$B$4:$B$347,0),MATCH(D$2,'Energieverbruik in TJ Gemeente'!$B$4:$Q$4,0))</f>
        <v>?</v>
      </c>
      <c r="E88" t="str">
        <f>INDEX('Energieverbruik in TJ Gemeente'!$B$4:$Q$347,MATCH($C88,'Energieverbruik in TJ Gemeente'!$B$4:$B$347,0),MATCH(E$2,'Energieverbruik in TJ Gemeente'!$B$4:$Q$4,0))</f>
        <v>?</v>
      </c>
      <c r="F88">
        <f>INDEX('Energieverbruik in TJ Gemeente'!$B$4:$Q$347,MATCH($C88,'Energieverbruik in TJ Gemeente'!$B$4:$B$347,0),MATCH(F$2,'Energieverbruik in TJ Gemeente'!$B$4:$Q$4,0))</f>
        <v>221</v>
      </c>
      <c r="G88" t="str">
        <f>INDEX('Energieverbruik in TJ Gemeente'!$B$4:$Q$347,MATCH($C88,'Energieverbruik in TJ Gemeente'!$B$4:$B$347,0),MATCH(G$2,'Energieverbruik in TJ Gemeente'!$B$4:$Q$4,0))</f>
        <v>?</v>
      </c>
      <c r="H88" t="str">
        <f>INDEX('Energieverbruik in TJ Gemeente'!$B$4:$Q$347,MATCH($C88,'Energieverbruik in TJ Gemeente'!$B$4:$B$347,0),MATCH(H$2,'Energieverbruik in TJ Gemeente'!$B$4:$Q$4,0))</f>
        <v>?</v>
      </c>
      <c r="I88" t="str">
        <f>INDEX('Energieverbruik in TJ Gemeente'!$B$4:$Q$347,MATCH($C88,'Energieverbruik in TJ Gemeente'!$B$4:$B$347,0),MATCH(I$2,'Energieverbruik in TJ Gemeente'!$B$4:$Q$4,0))</f>
        <v>?</v>
      </c>
      <c r="J88" t="str">
        <f>INDEX('Energieverbruik in TJ Gemeente'!$B$4:$Q$347,MATCH($C88,'Energieverbruik in TJ Gemeente'!$B$4:$B$347,0),MATCH(J$2,'Energieverbruik in TJ Gemeente'!$B$4:$Q$4,0))</f>
        <v>?</v>
      </c>
      <c r="K88" t="str">
        <f>INDEX('Energieverbruik in TJ Gemeente'!$B$4:$Q$347,MATCH($C88,'Energieverbruik in TJ Gemeente'!$B$4:$B$347,0),MATCH(K$2,'Energieverbruik in TJ Gemeente'!$B$4:$Q$4,0))</f>
        <v>?</v>
      </c>
      <c r="L88" t="str">
        <f>INDEX('Energieverbruik in TJ Gemeente'!$B$4:$Q$347,MATCH($C88,'Energieverbruik in TJ Gemeente'!$B$4:$B$347,0),MATCH(L$2,'Energieverbruik in TJ Gemeente'!$B$4:$Q$4,0))</f>
        <v>?</v>
      </c>
      <c r="M88" t="str">
        <f>INDEX('Energieverbruik in TJ Gemeente'!$B$4:$Q$347,MATCH($C88,'Energieverbruik in TJ Gemeente'!$B$4:$B$347,0),MATCH(M$2,'Energieverbruik in TJ Gemeente'!$B$4:$Q$4,0))</f>
        <v>?</v>
      </c>
      <c r="N88">
        <f>INDEX('Energieverbruik in TJ Gemeente'!$B$4:$Q$347,MATCH($C88,'Energieverbruik in TJ Gemeente'!$B$4:$B$347,0),MATCH(N$2,'Energieverbruik in TJ Gemeente'!$B$4:$Q$4,0))</f>
        <v>5</v>
      </c>
      <c r="O88">
        <f>INDEX('Energieverbruik in TJ Gemeente'!$B$4:$Q$347,MATCH($C88,'Energieverbruik in TJ Gemeente'!$B$4:$B$347,0),MATCH(O$2,'Energieverbruik in TJ Gemeente'!$B$4:$Q$4,0))</f>
        <v>4</v>
      </c>
      <c r="P88" t="str">
        <f>INDEX('Energieverbruik in TJ Gemeente'!$B$4:$Q$347,MATCH($C88,'Energieverbruik in TJ Gemeente'!$B$4:$B$347,0),MATCH(P$2,'Energieverbruik in TJ Gemeente'!$B$4:$Q$4,0))</f>
        <v>?</v>
      </c>
      <c r="Q88">
        <f>INDEX('Energieverbruik in TJ Gemeente'!$B$4:$Q$347,MATCH($C88,'Energieverbruik in TJ Gemeente'!$B$4:$B$347,0),MATCH(Q$2,'Energieverbruik in TJ Gemeente'!$B$4:$Q$4,0))</f>
        <v>4</v>
      </c>
      <c r="R88">
        <f>INDEX('Energieverbruik in TJ Gemeente'!$B$4:$Q$347,MATCH($C88,'Energieverbruik in TJ Gemeente'!$B$4:$B$347,0),MATCH(R$2,'Energieverbruik in TJ Gemeente'!$B$4:$Q$4,0))</f>
        <v>3</v>
      </c>
      <c r="S88" cm="1">
        <f t="array" ref="S88">MAX(_xlfn._xlws.FILTER(D$1:H$1, D88:H88&lt;&gt;"?"))</f>
        <v>2021</v>
      </c>
      <c r="T88" t="e" cm="1" vm="1">
        <f t="array" ref="T88">MAX(_xlfn._xlws.FILTER(I$1:M$1, I88:M88&lt;&gt;"?"))</f>
        <v>#VALUE!</v>
      </c>
      <c r="U88" cm="1">
        <f t="array" ref="U88">MAX(_xlfn._xlws.FILTER(F$1:J$1, F88:J88&lt;&gt;"?"))</f>
        <v>2021</v>
      </c>
      <c r="V88">
        <f t="shared" si="5"/>
        <v>221</v>
      </c>
      <c r="W88">
        <f t="shared" si="6"/>
        <v>0</v>
      </c>
      <c r="X88" t="str">
        <f t="shared" si="7"/>
        <v>?</v>
      </c>
      <c r="Y88">
        <f t="shared" si="8"/>
        <v>221</v>
      </c>
      <c r="Z88">
        <f t="shared" si="9"/>
        <v>3.6728656661847071E-4</v>
      </c>
    </row>
    <row r="89" spans="1:26" ht="16" x14ac:dyDescent="0.2">
      <c r="A89" s="4" t="s">
        <v>260</v>
      </c>
      <c r="B89" s="4" t="s">
        <v>261</v>
      </c>
      <c r="C89" s="4" t="s">
        <v>262</v>
      </c>
      <c r="D89">
        <f>INDEX('Energieverbruik in TJ Gemeente'!$B$4:$Q$347,MATCH($C89,'Energieverbruik in TJ Gemeente'!$B$4:$B$347,0),MATCH(D$2,'Energieverbruik in TJ Gemeente'!$B$4:$Q$4,0))</f>
        <v>1429</v>
      </c>
      <c r="E89">
        <f>INDEX('Energieverbruik in TJ Gemeente'!$B$4:$Q$347,MATCH($C89,'Energieverbruik in TJ Gemeente'!$B$4:$B$347,0),MATCH(E$2,'Energieverbruik in TJ Gemeente'!$B$4:$Q$4,0))</f>
        <v>1432</v>
      </c>
      <c r="F89">
        <f>INDEX('Energieverbruik in TJ Gemeente'!$B$4:$Q$347,MATCH($C89,'Energieverbruik in TJ Gemeente'!$B$4:$B$347,0),MATCH(F$2,'Energieverbruik in TJ Gemeente'!$B$4:$Q$4,0))</f>
        <v>1415</v>
      </c>
      <c r="G89" t="str">
        <f>INDEX('Energieverbruik in TJ Gemeente'!$B$4:$Q$347,MATCH($C89,'Energieverbruik in TJ Gemeente'!$B$4:$B$347,0),MATCH(G$2,'Energieverbruik in TJ Gemeente'!$B$4:$Q$4,0))</f>
        <v>?</v>
      </c>
      <c r="H89">
        <f>INDEX('Energieverbruik in TJ Gemeente'!$B$4:$Q$347,MATCH($C89,'Energieverbruik in TJ Gemeente'!$B$4:$B$347,0),MATCH(H$2,'Energieverbruik in TJ Gemeente'!$B$4:$Q$4,0))</f>
        <v>1047</v>
      </c>
      <c r="I89" t="str">
        <f>INDEX('Energieverbruik in TJ Gemeente'!$B$4:$Q$347,MATCH($C89,'Energieverbruik in TJ Gemeente'!$B$4:$B$347,0),MATCH(I$2,'Energieverbruik in TJ Gemeente'!$B$4:$Q$4,0))</f>
        <v>?</v>
      </c>
      <c r="J89" t="str">
        <f>INDEX('Energieverbruik in TJ Gemeente'!$B$4:$Q$347,MATCH($C89,'Energieverbruik in TJ Gemeente'!$B$4:$B$347,0),MATCH(J$2,'Energieverbruik in TJ Gemeente'!$B$4:$Q$4,0))</f>
        <v>?</v>
      </c>
      <c r="K89" t="str">
        <f>INDEX('Energieverbruik in TJ Gemeente'!$B$4:$Q$347,MATCH($C89,'Energieverbruik in TJ Gemeente'!$B$4:$B$347,0),MATCH(K$2,'Energieverbruik in TJ Gemeente'!$B$4:$Q$4,0))</f>
        <v>?</v>
      </c>
      <c r="L89" t="str">
        <f>INDEX('Energieverbruik in TJ Gemeente'!$B$4:$Q$347,MATCH($C89,'Energieverbruik in TJ Gemeente'!$B$4:$B$347,0),MATCH(L$2,'Energieverbruik in TJ Gemeente'!$B$4:$Q$4,0))</f>
        <v>?</v>
      </c>
      <c r="M89" t="str">
        <f>INDEX('Energieverbruik in TJ Gemeente'!$B$4:$Q$347,MATCH($C89,'Energieverbruik in TJ Gemeente'!$B$4:$B$347,0),MATCH(M$2,'Energieverbruik in TJ Gemeente'!$B$4:$Q$4,0))</f>
        <v>?</v>
      </c>
      <c r="N89">
        <f>INDEX('Energieverbruik in TJ Gemeente'!$B$4:$Q$347,MATCH($C89,'Energieverbruik in TJ Gemeente'!$B$4:$B$347,0),MATCH(N$2,'Energieverbruik in TJ Gemeente'!$B$4:$Q$4,0))</f>
        <v>59</v>
      </c>
      <c r="O89">
        <f>INDEX('Energieverbruik in TJ Gemeente'!$B$4:$Q$347,MATCH($C89,'Energieverbruik in TJ Gemeente'!$B$4:$B$347,0),MATCH(O$2,'Energieverbruik in TJ Gemeente'!$B$4:$Q$4,0))</f>
        <v>53</v>
      </c>
      <c r="P89">
        <f>INDEX('Energieverbruik in TJ Gemeente'!$B$4:$Q$347,MATCH($C89,'Energieverbruik in TJ Gemeente'!$B$4:$B$347,0),MATCH(P$2,'Energieverbruik in TJ Gemeente'!$B$4:$Q$4,0))</f>
        <v>56</v>
      </c>
      <c r="Q89">
        <f>INDEX('Energieverbruik in TJ Gemeente'!$B$4:$Q$347,MATCH($C89,'Energieverbruik in TJ Gemeente'!$B$4:$B$347,0),MATCH(Q$2,'Energieverbruik in TJ Gemeente'!$B$4:$Q$4,0))</f>
        <v>47</v>
      </c>
      <c r="R89">
        <f>INDEX('Energieverbruik in TJ Gemeente'!$B$4:$Q$347,MATCH($C89,'Energieverbruik in TJ Gemeente'!$B$4:$B$347,0),MATCH(R$2,'Energieverbruik in TJ Gemeente'!$B$4:$Q$4,0))</f>
        <v>40</v>
      </c>
      <c r="S89" cm="1">
        <f t="array" ref="S89">MAX(_xlfn._xlws.FILTER(D$1:H$1, D89:H89&lt;&gt;"?"))</f>
        <v>2023</v>
      </c>
      <c r="T89" t="e" cm="1" vm="1">
        <f t="array" ref="T89">MAX(_xlfn._xlws.FILTER(I$1:M$1, I89:M89&lt;&gt;"?"))</f>
        <v>#VALUE!</v>
      </c>
      <c r="U89" cm="1">
        <f t="array" ref="U89">MAX(_xlfn._xlws.FILTER(F$1:J$1, F89:J89&lt;&gt;"?"))</f>
        <v>2023</v>
      </c>
      <c r="V89">
        <f t="shared" si="5"/>
        <v>1047</v>
      </c>
      <c r="W89">
        <f t="shared" si="6"/>
        <v>0</v>
      </c>
      <c r="X89">
        <f t="shared" si="7"/>
        <v>40</v>
      </c>
      <c r="Y89">
        <f t="shared" si="8"/>
        <v>1087</v>
      </c>
      <c r="Z89">
        <f t="shared" si="9"/>
        <v>1.8065180901098536E-3</v>
      </c>
    </row>
    <row r="90" spans="1:26" ht="16" x14ac:dyDescent="0.2">
      <c r="A90" s="4" t="s">
        <v>264</v>
      </c>
      <c r="B90" s="4" t="s">
        <v>265</v>
      </c>
      <c r="C90" s="4" t="s">
        <v>266</v>
      </c>
      <c r="D90">
        <f>INDEX('Energieverbruik in TJ Gemeente'!$B$4:$Q$347,MATCH($C90,'Energieverbruik in TJ Gemeente'!$B$4:$B$347,0),MATCH(D$2,'Energieverbruik in TJ Gemeente'!$B$4:$Q$4,0))</f>
        <v>540</v>
      </c>
      <c r="E90">
        <f>INDEX('Energieverbruik in TJ Gemeente'!$B$4:$Q$347,MATCH($C90,'Energieverbruik in TJ Gemeente'!$B$4:$B$347,0),MATCH(E$2,'Energieverbruik in TJ Gemeente'!$B$4:$Q$4,0))</f>
        <v>525</v>
      </c>
      <c r="F90">
        <f>INDEX('Energieverbruik in TJ Gemeente'!$B$4:$Q$347,MATCH($C90,'Energieverbruik in TJ Gemeente'!$B$4:$B$347,0),MATCH(F$2,'Energieverbruik in TJ Gemeente'!$B$4:$Q$4,0))</f>
        <v>533</v>
      </c>
      <c r="G90">
        <f>INDEX('Energieverbruik in TJ Gemeente'!$B$4:$Q$347,MATCH($C90,'Energieverbruik in TJ Gemeente'!$B$4:$B$347,0),MATCH(G$2,'Energieverbruik in TJ Gemeente'!$B$4:$Q$4,0))</f>
        <v>476</v>
      </c>
      <c r="H90">
        <f>INDEX('Energieverbruik in TJ Gemeente'!$B$4:$Q$347,MATCH($C90,'Energieverbruik in TJ Gemeente'!$B$4:$B$347,0),MATCH(H$2,'Energieverbruik in TJ Gemeente'!$B$4:$Q$4,0))</f>
        <v>396</v>
      </c>
      <c r="I90">
        <f>INDEX('Energieverbruik in TJ Gemeente'!$B$4:$Q$347,MATCH($C90,'Energieverbruik in TJ Gemeente'!$B$4:$B$347,0),MATCH(I$2,'Energieverbruik in TJ Gemeente'!$B$4:$Q$4,0))</f>
        <v>61</v>
      </c>
      <c r="J90">
        <f>INDEX('Energieverbruik in TJ Gemeente'!$B$4:$Q$347,MATCH($C90,'Energieverbruik in TJ Gemeente'!$B$4:$B$347,0),MATCH(J$2,'Energieverbruik in TJ Gemeente'!$B$4:$Q$4,0))</f>
        <v>58</v>
      </c>
      <c r="K90">
        <f>INDEX('Energieverbruik in TJ Gemeente'!$B$4:$Q$347,MATCH($C90,'Energieverbruik in TJ Gemeente'!$B$4:$B$347,0),MATCH(K$2,'Energieverbruik in TJ Gemeente'!$B$4:$Q$4,0))</f>
        <v>61</v>
      </c>
      <c r="L90">
        <f>INDEX('Energieverbruik in TJ Gemeente'!$B$4:$Q$347,MATCH($C90,'Energieverbruik in TJ Gemeente'!$B$4:$B$347,0),MATCH(L$2,'Energieverbruik in TJ Gemeente'!$B$4:$Q$4,0))</f>
        <v>42</v>
      </c>
      <c r="M90">
        <f>INDEX('Energieverbruik in TJ Gemeente'!$B$4:$Q$347,MATCH($C90,'Energieverbruik in TJ Gemeente'!$B$4:$B$347,0),MATCH(M$2,'Energieverbruik in TJ Gemeente'!$B$4:$Q$4,0))</f>
        <v>36</v>
      </c>
      <c r="N90">
        <f>INDEX('Energieverbruik in TJ Gemeente'!$B$4:$Q$347,MATCH($C90,'Energieverbruik in TJ Gemeente'!$B$4:$B$347,0),MATCH(N$2,'Energieverbruik in TJ Gemeente'!$B$4:$Q$4,0))</f>
        <v>31</v>
      </c>
      <c r="O90">
        <f>INDEX('Energieverbruik in TJ Gemeente'!$B$4:$Q$347,MATCH($C90,'Energieverbruik in TJ Gemeente'!$B$4:$B$347,0),MATCH(O$2,'Energieverbruik in TJ Gemeente'!$B$4:$Q$4,0))</f>
        <v>18</v>
      </c>
      <c r="P90">
        <f>INDEX('Energieverbruik in TJ Gemeente'!$B$4:$Q$347,MATCH($C90,'Energieverbruik in TJ Gemeente'!$B$4:$B$347,0),MATCH(P$2,'Energieverbruik in TJ Gemeente'!$B$4:$Q$4,0))</f>
        <v>20</v>
      </c>
      <c r="Q90">
        <f>INDEX('Energieverbruik in TJ Gemeente'!$B$4:$Q$347,MATCH($C90,'Energieverbruik in TJ Gemeente'!$B$4:$B$347,0),MATCH(Q$2,'Energieverbruik in TJ Gemeente'!$B$4:$Q$4,0))</f>
        <v>15</v>
      </c>
      <c r="R90">
        <f>INDEX('Energieverbruik in TJ Gemeente'!$B$4:$Q$347,MATCH($C90,'Energieverbruik in TJ Gemeente'!$B$4:$B$347,0),MATCH(R$2,'Energieverbruik in TJ Gemeente'!$B$4:$Q$4,0))</f>
        <v>13</v>
      </c>
      <c r="S90" cm="1">
        <f t="array" ref="S90">MAX(_xlfn._xlws.FILTER(D$1:H$1, D90:H90&lt;&gt;"?"))</f>
        <v>2023</v>
      </c>
      <c r="T90" cm="1">
        <f t="array" ref="T90">MAX(_xlfn._xlws.FILTER(I$1:M$1, I90:M90&lt;&gt;"?"))</f>
        <v>2023</v>
      </c>
      <c r="U90" cm="1">
        <f t="array" ref="U90">MAX(_xlfn._xlws.FILTER(F$1:J$1, F90:J90&lt;&gt;"?"))</f>
        <v>2023</v>
      </c>
      <c r="V90">
        <f t="shared" si="5"/>
        <v>396</v>
      </c>
      <c r="W90">
        <f t="shared" si="6"/>
        <v>36</v>
      </c>
      <c r="X90">
        <f t="shared" si="7"/>
        <v>13</v>
      </c>
      <c r="Y90">
        <f t="shared" si="8"/>
        <v>445</v>
      </c>
      <c r="Z90">
        <f t="shared" si="9"/>
        <v>7.3955892373402468E-4</v>
      </c>
    </row>
    <row r="91" spans="1:26" ht="32" x14ac:dyDescent="0.2">
      <c r="A91" s="4" t="s">
        <v>267</v>
      </c>
      <c r="B91" s="4" t="s">
        <v>268</v>
      </c>
      <c r="C91" s="4" t="s">
        <v>269</v>
      </c>
      <c r="D91">
        <f>INDEX('Energieverbruik in TJ Gemeente'!$B$4:$Q$347,MATCH($C91,'Energieverbruik in TJ Gemeente'!$B$4:$B$347,0),MATCH(D$2,'Energieverbruik in TJ Gemeente'!$B$4:$Q$4,0))</f>
        <v>734</v>
      </c>
      <c r="E91" t="str">
        <f>INDEX('Energieverbruik in TJ Gemeente'!$B$4:$Q$347,MATCH($C91,'Energieverbruik in TJ Gemeente'!$B$4:$B$347,0),MATCH(E$2,'Energieverbruik in TJ Gemeente'!$B$4:$Q$4,0))</f>
        <v>?</v>
      </c>
      <c r="F91" t="str">
        <f>INDEX('Energieverbruik in TJ Gemeente'!$B$4:$Q$347,MATCH($C91,'Energieverbruik in TJ Gemeente'!$B$4:$B$347,0),MATCH(F$2,'Energieverbruik in TJ Gemeente'!$B$4:$Q$4,0))</f>
        <v>?</v>
      </c>
      <c r="G91" t="str">
        <f>INDEX('Energieverbruik in TJ Gemeente'!$B$4:$Q$347,MATCH($C91,'Energieverbruik in TJ Gemeente'!$B$4:$B$347,0),MATCH(G$2,'Energieverbruik in TJ Gemeente'!$B$4:$Q$4,0))</f>
        <v>?</v>
      </c>
      <c r="H91" t="str">
        <f>INDEX('Energieverbruik in TJ Gemeente'!$B$4:$Q$347,MATCH($C91,'Energieverbruik in TJ Gemeente'!$B$4:$B$347,0),MATCH(H$2,'Energieverbruik in TJ Gemeente'!$B$4:$Q$4,0))</f>
        <v>?</v>
      </c>
      <c r="I91" t="str">
        <f>INDEX('Energieverbruik in TJ Gemeente'!$B$4:$Q$347,MATCH($C91,'Energieverbruik in TJ Gemeente'!$B$4:$B$347,0),MATCH(I$2,'Energieverbruik in TJ Gemeente'!$B$4:$Q$4,0))</f>
        <v>?</v>
      </c>
      <c r="J91" t="str">
        <f>INDEX('Energieverbruik in TJ Gemeente'!$B$4:$Q$347,MATCH($C91,'Energieverbruik in TJ Gemeente'!$B$4:$B$347,0),MATCH(J$2,'Energieverbruik in TJ Gemeente'!$B$4:$Q$4,0))</f>
        <v>?</v>
      </c>
      <c r="K91" t="str">
        <f>INDEX('Energieverbruik in TJ Gemeente'!$B$4:$Q$347,MATCH($C91,'Energieverbruik in TJ Gemeente'!$B$4:$B$347,0),MATCH(K$2,'Energieverbruik in TJ Gemeente'!$B$4:$Q$4,0))</f>
        <v>?</v>
      </c>
      <c r="L91" t="str">
        <f>INDEX('Energieverbruik in TJ Gemeente'!$B$4:$Q$347,MATCH($C91,'Energieverbruik in TJ Gemeente'!$B$4:$B$347,0),MATCH(L$2,'Energieverbruik in TJ Gemeente'!$B$4:$Q$4,0))</f>
        <v>?</v>
      </c>
      <c r="M91" t="str">
        <f>INDEX('Energieverbruik in TJ Gemeente'!$B$4:$Q$347,MATCH($C91,'Energieverbruik in TJ Gemeente'!$B$4:$B$347,0),MATCH(M$2,'Energieverbruik in TJ Gemeente'!$B$4:$Q$4,0))</f>
        <v>?</v>
      </c>
      <c r="N91">
        <f>INDEX('Energieverbruik in TJ Gemeente'!$B$4:$Q$347,MATCH($C91,'Energieverbruik in TJ Gemeente'!$B$4:$B$347,0),MATCH(N$2,'Energieverbruik in TJ Gemeente'!$B$4:$Q$4,0))</f>
        <v>13</v>
      </c>
      <c r="O91">
        <f>INDEX('Energieverbruik in TJ Gemeente'!$B$4:$Q$347,MATCH($C91,'Energieverbruik in TJ Gemeente'!$B$4:$B$347,0),MATCH(O$2,'Energieverbruik in TJ Gemeente'!$B$4:$Q$4,0))</f>
        <v>11</v>
      </c>
      <c r="P91">
        <f>INDEX('Energieverbruik in TJ Gemeente'!$B$4:$Q$347,MATCH($C91,'Energieverbruik in TJ Gemeente'!$B$4:$B$347,0),MATCH(P$2,'Energieverbruik in TJ Gemeente'!$B$4:$Q$4,0))</f>
        <v>11</v>
      </c>
      <c r="Q91">
        <f>INDEX('Energieverbruik in TJ Gemeente'!$B$4:$Q$347,MATCH($C91,'Energieverbruik in TJ Gemeente'!$B$4:$B$347,0),MATCH(Q$2,'Energieverbruik in TJ Gemeente'!$B$4:$Q$4,0))</f>
        <v>9</v>
      </c>
      <c r="R91">
        <f>INDEX('Energieverbruik in TJ Gemeente'!$B$4:$Q$347,MATCH($C91,'Energieverbruik in TJ Gemeente'!$B$4:$B$347,0),MATCH(R$2,'Energieverbruik in TJ Gemeente'!$B$4:$Q$4,0))</f>
        <v>8</v>
      </c>
      <c r="S91" cm="1">
        <f t="array" ref="S91">MAX(_xlfn._xlws.FILTER(D$1:H$1, D91:H91&lt;&gt;"?"))</f>
        <v>2019</v>
      </c>
      <c r="T91" t="e" cm="1" vm="1">
        <f t="array" ref="T91">MAX(_xlfn._xlws.FILTER(I$1:M$1, I91:M91&lt;&gt;"?"))</f>
        <v>#VALUE!</v>
      </c>
      <c r="U91" t="e" cm="1" vm="1">
        <f t="array" ref="U91">MAX(_xlfn._xlws.FILTER(F$1:J$1, F91:J91&lt;&gt;"?"))</f>
        <v>#VALUE!</v>
      </c>
      <c r="V91">
        <f t="shared" si="5"/>
        <v>734</v>
      </c>
      <c r="W91">
        <f t="shared" si="6"/>
        <v>0</v>
      </c>
      <c r="X91">
        <f t="shared" si="7"/>
        <v>0</v>
      </c>
      <c r="Y91">
        <f t="shared" si="8"/>
        <v>734</v>
      </c>
      <c r="Z91">
        <f t="shared" si="9"/>
        <v>1.2198567416197171E-3</v>
      </c>
    </row>
    <row r="92" spans="1:26" ht="16" x14ac:dyDescent="0.2">
      <c r="A92" s="4" t="s">
        <v>270</v>
      </c>
      <c r="B92" s="4" t="s">
        <v>271</v>
      </c>
      <c r="C92" s="4" t="s">
        <v>272</v>
      </c>
      <c r="D92">
        <f>INDEX('Energieverbruik in TJ Gemeente'!$B$4:$Q$347,MATCH($C92,'Energieverbruik in TJ Gemeente'!$B$4:$B$347,0),MATCH(D$2,'Energieverbruik in TJ Gemeente'!$B$4:$Q$4,0))</f>
        <v>5989</v>
      </c>
      <c r="E92">
        <f>INDEX('Energieverbruik in TJ Gemeente'!$B$4:$Q$347,MATCH($C92,'Energieverbruik in TJ Gemeente'!$B$4:$B$347,0),MATCH(E$2,'Energieverbruik in TJ Gemeente'!$B$4:$Q$4,0))</f>
        <v>5849</v>
      </c>
      <c r="F92" t="str">
        <f>INDEX('Energieverbruik in TJ Gemeente'!$B$4:$Q$347,MATCH($C92,'Energieverbruik in TJ Gemeente'!$B$4:$B$347,0),MATCH(F$2,'Energieverbruik in TJ Gemeente'!$B$4:$Q$4,0))</f>
        <v>?</v>
      </c>
      <c r="G92">
        <f>INDEX('Energieverbruik in TJ Gemeente'!$B$4:$Q$347,MATCH($C92,'Energieverbruik in TJ Gemeente'!$B$4:$B$347,0),MATCH(G$2,'Energieverbruik in TJ Gemeente'!$B$4:$Q$4,0))</f>
        <v>5291</v>
      </c>
      <c r="H92" t="str">
        <f>INDEX('Energieverbruik in TJ Gemeente'!$B$4:$Q$347,MATCH($C92,'Energieverbruik in TJ Gemeente'!$B$4:$B$347,0),MATCH(H$2,'Energieverbruik in TJ Gemeente'!$B$4:$Q$4,0))</f>
        <v>?</v>
      </c>
      <c r="I92">
        <f>INDEX('Energieverbruik in TJ Gemeente'!$B$4:$Q$347,MATCH($C92,'Energieverbruik in TJ Gemeente'!$B$4:$B$347,0),MATCH(I$2,'Energieverbruik in TJ Gemeente'!$B$4:$Q$4,0))</f>
        <v>1182</v>
      </c>
      <c r="J92">
        <f>INDEX('Energieverbruik in TJ Gemeente'!$B$4:$Q$347,MATCH($C92,'Energieverbruik in TJ Gemeente'!$B$4:$B$347,0),MATCH(J$2,'Energieverbruik in TJ Gemeente'!$B$4:$Q$4,0))</f>
        <v>1198</v>
      </c>
      <c r="K92">
        <f>INDEX('Energieverbruik in TJ Gemeente'!$B$4:$Q$347,MATCH($C92,'Energieverbruik in TJ Gemeente'!$B$4:$B$347,0),MATCH(K$2,'Energieverbruik in TJ Gemeente'!$B$4:$Q$4,0))</f>
        <v>1357</v>
      </c>
      <c r="L92">
        <f>INDEX('Energieverbruik in TJ Gemeente'!$B$4:$Q$347,MATCH($C92,'Energieverbruik in TJ Gemeente'!$B$4:$B$347,0),MATCH(L$2,'Energieverbruik in TJ Gemeente'!$B$4:$Q$4,0))</f>
        <v>1319</v>
      </c>
      <c r="M92">
        <f>INDEX('Energieverbruik in TJ Gemeente'!$B$4:$Q$347,MATCH($C92,'Energieverbruik in TJ Gemeente'!$B$4:$B$347,0),MATCH(M$2,'Energieverbruik in TJ Gemeente'!$B$4:$Q$4,0))</f>
        <v>1119</v>
      </c>
      <c r="N92">
        <f>INDEX('Energieverbruik in TJ Gemeente'!$B$4:$Q$347,MATCH($C92,'Energieverbruik in TJ Gemeente'!$B$4:$B$347,0),MATCH(N$2,'Energieverbruik in TJ Gemeente'!$B$4:$Q$4,0))</f>
        <v>8</v>
      </c>
      <c r="O92">
        <f>INDEX('Energieverbruik in TJ Gemeente'!$B$4:$Q$347,MATCH($C92,'Energieverbruik in TJ Gemeente'!$B$4:$B$347,0),MATCH(O$2,'Energieverbruik in TJ Gemeente'!$B$4:$Q$4,0))</f>
        <v>6</v>
      </c>
      <c r="P92">
        <f>INDEX('Energieverbruik in TJ Gemeente'!$B$4:$Q$347,MATCH($C92,'Energieverbruik in TJ Gemeente'!$B$4:$B$347,0),MATCH(P$2,'Energieverbruik in TJ Gemeente'!$B$4:$Q$4,0))</f>
        <v>8</v>
      </c>
      <c r="Q92">
        <f>INDEX('Energieverbruik in TJ Gemeente'!$B$4:$Q$347,MATCH($C92,'Energieverbruik in TJ Gemeente'!$B$4:$B$347,0),MATCH(Q$2,'Energieverbruik in TJ Gemeente'!$B$4:$Q$4,0))</f>
        <v>9</v>
      </c>
      <c r="R92">
        <f>INDEX('Energieverbruik in TJ Gemeente'!$B$4:$Q$347,MATCH($C92,'Energieverbruik in TJ Gemeente'!$B$4:$B$347,0),MATCH(R$2,'Energieverbruik in TJ Gemeente'!$B$4:$Q$4,0))</f>
        <v>7</v>
      </c>
      <c r="S92" cm="1">
        <f t="array" ref="S92">MAX(_xlfn._xlws.FILTER(D$1:H$1, D92:H92&lt;&gt;"?"))</f>
        <v>2022</v>
      </c>
      <c r="T92" cm="1">
        <f t="array" ref="T92">MAX(_xlfn._xlws.FILTER(I$1:M$1, I92:M92&lt;&gt;"?"))</f>
        <v>2023</v>
      </c>
      <c r="U92" cm="1">
        <f t="array" ref="U92">MAX(_xlfn._xlws.FILTER(F$1:J$1, F92:J92&lt;&gt;"?"))</f>
        <v>2022</v>
      </c>
      <c r="V92">
        <f t="shared" si="5"/>
        <v>5291</v>
      </c>
      <c r="W92">
        <f t="shared" si="6"/>
        <v>1119</v>
      </c>
      <c r="X92">
        <f t="shared" si="7"/>
        <v>9</v>
      </c>
      <c r="Y92">
        <f t="shared" si="8"/>
        <v>6419</v>
      </c>
      <c r="Z92">
        <f t="shared" si="9"/>
        <v>1.0667929733592594E-2</v>
      </c>
    </row>
    <row r="93" spans="1:26" ht="16" x14ac:dyDescent="0.2">
      <c r="A93" s="4" t="s">
        <v>273</v>
      </c>
      <c r="B93" s="4" t="s">
        <v>274</v>
      </c>
      <c r="C93" s="4" t="s">
        <v>275</v>
      </c>
      <c r="D93" t="str">
        <f>INDEX('Energieverbruik in TJ Gemeente'!$B$4:$Q$347,MATCH($C93,'Energieverbruik in TJ Gemeente'!$B$4:$B$347,0),MATCH(D$2,'Energieverbruik in TJ Gemeente'!$B$4:$Q$4,0))</f>
        <v>?</v>
      </c>
      <c r="E93" t="str">
        <f>INDEX('Energieverbruik in TJ Gemeente'!$B$4:$Q$347,MATCH($C93,'Energieverbruik in TJ Gemeente'!$B$4:$B$347,0),MATCH(E$2,'Energieverbruik in TJ Gemeente'!$B$4:$Q$4,0))</f>
        <v>?</v>
      </c>
      <c r="F93">
        <f>INDEX('Energieverbruik in TJ Gemeente'!$B$4:$Q$347,MATCH($C93,'Energieverbruik in TJ Gemeente'!$B$4:$B$347,0),MATCH(F$2,'Energieverbruik in TJ Gemeente'!$B$4:$Q$4,0))</f>
        <v>602</v>
      </c>
      <c r="G93">
        <f>INDEX('Energieverbruik in TJ Gemeente'!$B$4:$Q$347,MATCH($C93,'Energieverbruik in TJ Gemeente'!$B$4:$B$347,0),MATCH(G$2,'Energieverbruik in TJ Gemeente'!$B$4:$Q$4,0))</f>
        <v>523</v>
      </c>
      <c r="H93">
        <f>INDEX('Energieverbruik in TJ Gemeente'!$B$4:$Q$347,MATCH($C93,'Energieverbruik in TJ Gemeente'!$B$4:$B$347,0),MATCH(H$2,'Energieverbruik in TJ Gemeente'!$B$4:$Q$4,0))</f>
        <v>440</v>
      </c>
      <c r="I93">
        <f>INDEX('Energieverbruik in TJ Gemeente'!$B$4:$Q$347,MATCH($C93,'Energieverbruik in TJ Gemeente'!$B$4:$B$347,0),MATCH(I$2,'Energieverbruik in TJ Gemeente'!$B$4:$Q$4,0))</f>
        <v>75</v>
      </c>
      <c r="J93">
        <f>INDEX('Energieverbruik in TJ Gemeente'!$B$4:$Q$347,MATCH($C93,'Energieverbruik in TJ Gemeente'!$B$4:$B$347,0),MATCH(J$2,'Energieverbruik in TJ Gemeente'!$B$4:$Q$4,0))</f>
        <v>79</v>
      </c>
      <c r="K93">
        <f>INDEX('Energieverbruik in TJ Gemeente'!$B$4:$Q$347,MATCH($C93,'Energieverbruik in TJ Gemeente'!$B$4:$B$347,0),MATCH(K$2,'Energieverbruik in TJ Gemeente'!$B$4:$Q$4,0))</f>
        <v>95</v>
      </c>
      <c r="L93">
        <f>INDEX('Energieverbruik in TJ Gemeente'!$B$4:$Q$347,MATCH($C93,'Energieverbruik in TJ Gemeente'!$B$4:$B$347,0),MATCH(L$2,'Energieverbruik in TJ Gemeente'!$B$4:$Q$4,0))</f>
        <v>93</v>
      </c>
      <c r="M93">
        <f>INDEX('Energieverbruik in TJ Gemeente'!$B$4:$Q$347,MATCH($C93,'Energieverbruik in TJ Gemeente'!$B$4:$B$347,0),MATCH(M$2,'Energieverbruik in TJ Gemeente'!$B$4:$Q$4,0))</f>
        <v>65</v>
      </c>
      <c r="N93">
        <f>INDEX('Energieverbruik in TJ Gemeente'!$B$4:$Q$347,MATCH($C93,'Energieverbruik in TJ Gemeente'!$B$4:$B$347,0),MATCH(N$2,'Energieverbruik in TJ Gemeente'!$B$4:$Q$4,0))</f>
        <v>13</v>
      </c>
      <c r="O93">
        <f>INDEX('Energieverbruik in TJ Gemeente'!$B$4:$Q$347,MATCH($C93,'Energieverbruik in TJ Gemeente'!$B$4:$B$347,0),MATCH(O$2,'Energieverbruik in TJ Gemeente'!$B$4:$Q$4,0))</f>
        <v>7</v>
      </c>
      <c r="P93">
        <f>INDEX('Energieverbruik in TJ Gemeente'!$B$4:$Q$347,MATCH($C93,'Energieverbruik in TJ Gemeente'!$B$4:$B$347,0),MATCH(P$2,'Energieverbruik in TJ Gemeente'!$B$4:$Q$4,0))</f>
        <v>7</v>
      </c>
      <c r="Q93">
        <f>INDEX('Energieverbruik in TJ Gemeente'!$B$4:$Q$347,MATCH($C93,'Energieverbruik in TJ Gemeente'!$B$4:$B$347,0),MATCH(Q$2,'Energieverbruik in TJ Gemeente'!$B$4:$Q$4,0))</f>
        <v>6</v>
      </c>
      <c r="R93">
        <f>INDEX('Energieverbruik in TJ Gemeente'!$B$4:$Q$347,MATCH($C93,'Energieverbruik in TJ Gemeente'!$B$4:$B$347,0),MATCH(R$2,'Energieverbruik in TJ Gemeente'!$B$4:$Q$4,0))</f>
        <v>5</v>
      </c>
      <c r="S93" cm="1">
        <f t="array" ref="S93">MAX(_xlfn._xlws.FILTER(D$1:H$1, D93:H93&lt;&gt;"?"))</f>
        <v>2023</v>
      </c>
      <c r="T93" cm="1">
        <f t="array" ref="T93">MAX(_xlfn._xlws.FILTER(I$1:M$1, I93:M93&lt;&gt;"?"))</f>
        <v>2023</v>
      </c>
      <c r="U93" cm="1">
        <f t="array" ref="U93">MAX(_xlfn._xlws.FILTER(F$1:J$1, F93:J93&lt;&gt;"?"))</f>
        <v>2023</v>
      </c>
      <c r="V93">
        <f t="shared" si="5"/>
        <v>440</v>
      </c>
      <c r="W93">
        <f t="shared" si="6"/>
        <v>65</v>
      </c>
      <c r="X93">
        <f t="shared" si="7"/>
        <v>5</v>
      </c>
      <c r="Y93">
        <f t="shared" si="8"/>
        <v>510</v>
      </c>
      <c r="Z93">
        <f t="shared" si="9"/>
        <v>8.4758438450416318E-4</v>
      </c>
    </row>
    <row r="94" spans="1:26" ht="16" x14ac:dyDescent="0.2">
      <c r="A94" s="4" t="s">
        <v>276</v>
      </c>
      <c r="B94" s="4" t="s">
        <v>277</v>
      </c>
      <c r="C94" s="4" t="s">
        <v>278</v>
      </c>
      <c r="D94">
        <f>INDEX('Energieverbruik in TJ Gemeente'!$B$4:$Q$347,MATCH($C94,'Energieverbruik in TJ Gemeente'!$B$4:$B$347,0),MATCH(D$2,'Energieverbruik in TJ Gemeente'!$B$4:$Q$4,0))</f>
        <v>3087</v>
      </c>
      <c r="E94">
        <f>INDEX('Energieverbruik in TJ Gemeente'!$B$4:$Q$347,MATCH($C94,'Energieverbruik in TJ Gemeente'!$B$4:$B$347,0),MATCH(E$2,'Energieverbruik in TJ Gemeente'!$B$4:$Q$4,0))</f>
        <v>2963</v>
      </c>
      <c r="F94">
        <f>INDEX('Energieverbruik in TJ Gemeente'!$B$4:$Q$347,MATCH($C94,'Energieverbruik in TJ Gemeente'!$B$4:$B$347,0),MATCH(F$2,'Energieverbruik in TJ Gemeente'!$B$4:$Q$4,0))</f>
        <v>2989</v>
      </c>
      <c r="G94" t="str">
        <f>INDEX('Energieverbruik in TJ Gemeente'!$B$4:$Q$347,MATCH($C94,'Energieverbruik in TJ Gemeente'!$B$4:$B$347,0),MATCH(G$2,'Energieverbruik in TJ Gemeente'!$B$4:$Q$4,0))</f>
        <v>?</v>
      </c>
      <c r="H94" t="str">
        <f>INDEX('Energieverbruik in TJ Gemeente'!$B$4:$Q$347,MATCH($C94,'Energieverbruik in TJ Gemeente'!$B$4:$B$347,0),MATCH(H$2,'Energieverbruik in TJ Gemeente'!$B$4:$Q$4,0))</f>
        <v>?</v>
      </c>
      <c r="I94" t="str">
        <f>INDEX('Energieverbruik in TJ Gemeente'!$B$4:$Q$347,MATCH($C94,'Energieverbruik in TJ Gemeente'!$B$4:$B$347,0),MATCH(I$2,'Energieverbruik in TJ Gemeente'!$B$4:$Q$4,0))</f>
        <v>?</v>
      </c>
      <c r="J94" t="str">
        <f>INDEX('Energieverbruik in TJ Gemeente'!$B$4:$Q$347,MATCH($C94,'Energieverbruik in TJ Gemeente'!$B$4:$B$347,0),MATCH(J$2,'Energieverbruik in TJ Gemeente'!$B$4:$Q$4,0))</f>
        <v>?</v>
      </c>
      <c r="K94" t="str">
        <f>INDEX('Energieverbruik in TJ Gemeente'!$B$4:$Q$347,MATCH($C94,'Energieverbruik in TJ Gemeente'!$B$4:$B$347,0),MATCH(K$2,'Energieverbruik in TJ Gemeente'!$B$4:$Q$4,0))</f>
        <v>?</v>
      </c>
      <c r="L94" t="str">
        <f>INDEX('Energieverbruik in TJ Gemeente'!$B$4:$Q$347,MATCH($C94,'Energieverbruik in TJ Gemeente'!$B$4:$B$347,0),MATCH(L$2,'Energieverbruik in TJ Gemeente'!$B$4:$Q$4,0))</f>
        <v>?</v>
      </c>
      <c r="M94">
        <f>INDEX('Energieverbruik in TJ Gemeente'!$B$4:$Q$347,MATCH($C94,'Energieverbruik in TJ Gemeente'!$B$4:$B$347,0),MATCH(M$2,'Energieverbruik in TJ Gemeente'!$B$4:$Q$4,0))</f>
        <v>436</v>
      </c>
      <c r="N94">
        <f>INDEX('Energieverbruik in TJ Gemeente'!$B$4:$Q$347,MATCH($C94,'Energieverbruik in TJ Gemeente'!$B$4:$B$347,0),MATCH(N$2,'Energieverbruik in TJ Gemeente'!$B$4:$Q$4,0))</f>
        <v>1809</v>
      </c>
      <c r="O94">
        <f>INDEX('Energieverbruik in TJ Gemeente'!$B$4:$Q$347,MATCH($C94,'Energieverbruik in TJ Gemeente'!$B$4:$B$347,0),MATCH(O$2,'Energieverbruik in TJ Gemeente'!$B$4:$Q$4,0))</f>
        <v>2103</v>
      </c>
      <c r="P94">
        <f>INDEX('Energieverbruik in TJ Gemeente'!$B$4:$Q$347,MATCH($C94,'Energieverbruik in TJ Gemeente'!$B$4:$B$347,0),MATCH(P$2,'Energieverbruik in TJ Gemeente'!$B$4:$Q$4,0))</f>
        <v>2136</v>
      </c>
      <c r="Q94">
        <f>INDEX('Energieverbruik in TJ Gemeente'!$B$4:$Q$347,MATCH($C94,'Energieverbruik in TJ Gemeente'!$B$4:$B$347,0),MATCH(Q$2,'Energieverbruik in TJ Gemeente'!$B$4:$Q$4,0))</f>
        <v>1525</v>
      </c>
      <c r="R94">
        <f>INDEX('Energieverbruik in TJ Gemeente'!$B$4:$Q$347,MATCH($C94,'Energieverbruik in TJ Gemeente'!$B$4:$B$347,0),MATCH(R$2,'Energieverbruik in TJ Gemeente'!$B$4:$Q$4,0))</f>
        <v>1401</v>
      </c>
      <c r="S94" cm="1">
        <f t="array" ref="S94">MAX(_xlfn._xlws.FILTER(D$1:H$1, D94:H94&lt;&gt;"?"))</f>
        <v>2021</v>
      </c>
      <c r="T94" cm="1">
        <f t="array" ref="T94">MAX(_xlfn._xlws.FILTER(I$1:M$1, I94:M94&lt;&gt;"?"))</f>
        <v>2023</v>
      </c>
      <c r="U94" cm="1">
        <f t="array" ref="U94">MAX(_xlfn._xlws.FILTER(F$1:J$1, F94:J94&lt;&gt;"?"))</f>
        <v>2021</v>
      </c>
      <c r="V94">
        <f t="shared" si="5"/>
        <v>2989</v>
      </c>
      <c r="W94">
        <f t="shared" si="6"/>
        <v>436</v>
      </c>
      <c r="X94">
        <f t="shared" si="7"/>
        <v>2136</v>
      </c>
      <c r="Y94">
        <f t="shared" si="8"/>
        <v>5561</v>
      </c>
      <c r="Z94">
        <f t="shared" si="9"/>
        <v>9.2419936514267671E-3</v>
      </c>
    </row>
    <row r="95" spans="1:26" ht="16" x14ac:dyDescent="0.2">
      <c r="A95" s="4" t="s">
        <v>279</v>
      </c>
      <c r="B95" s="4" t="s">
        <v>280</v>
      </c>
      <c r="C95" s="4" t="s">
        <v>281</v>
      </c>
      <c r="D95">
        <f>INDEX('Energieverbruik in TJ Gemeente'!$B$4:$Q$347,MATCH($C95,'Energieverbruik in TJ Gemeente'!$B$4:$B$347,0),MATCH(D$2,'Energieverbruik in TJ Gemeente'!$B$4:$Q$4,0))</f>
        <v>432</v>
      </c>
      <c r="E95">
        <f>INDEX('Energieverbruik in TJ Gemeente'!$B$4:$Q$347,MATCH($C95,'Energieverbruik in TJ Gemeente'!$B$4:$B$347,0),MATCH(E$2,'Energieverbruik in TJ Gemeente'!$B$4:$Q$4,0))</f>
        <v>421</v>
      </c>
      <c r="F95">
        <f>INDEX('Energieverbruik in TJ Gemeente'!$B$4:$Q$347,MATCH($C95,'Energieverbruik in TJ Gemeente'!$B$4:$B$347,0),MATCH(F$2,'Energieverbruik in TJ Gemeente'!$B$4:$Q$4,0))</f>
        <v>433</v>
      </c>
      <c r="G95">
        <f>INDEX('Energieverbruik in TJ Gemeente'!$B$4:$Q$347,MATCH($C95,'Energieverbruik in TJ Gemeente'!$B$4:$B$347,0),MATCH(G$2,'Energieverbruik in TJ Gemeente'!$B$4:$Q$4,0))</f>
        <v>380</v>
      </c>
      <c r="H95">
        <f>INDEX('Energieverbruik in TJ Gemeente'!$B$4:$Q$347,MATCH($C95,'Energieverbruik in TJ Gemeente'!$B$4:$B$347,0),MATCH(H$2,'Energieverbruik in TJ Gemeente'!$B$4:$Q$4,0))</f>
        <v>321</v>
      </c>
      <c r="I95">
        <f>INDEX('Energieverbruik in TJ Gemeente'!$B$4:$Q$347,MATCH($C95,'Energieverbruik in TJ Gemeente'!$B$4:$B$347,0),MATCH(I$2,'Energieverbruik in TJ Gemeente'!$B$4:$Q$4,0))</f>
        <v>70</v>
      </c>
      <c r="J95">
        <f>INDEX('Energieverbruik in TJ Gemeente'!$B$4:$Q$347,MATCH($C95,'Energieverbruik in TJ Gemeente'!$B$4:$B$347,0),MATCH(J$2,'Energieverbruik in TJ Gemeente'!$B$4:$Q$4,0))</f>
        <v>44</v>
      </c>
      <c r="K95">
        <f>INDEX('Energieverbruik in TJ Gemeente'!$B$4:$Q$347,MATCH($C95,'Energieverbruik in TJ Gemeente'!$B$4:$B$347,0),MATCH(K$2,'Energieverbruik in TJ Gemeente'!$B$4:$Q$4,0))</f>
        <v>45</v>
      </c>
      <c r="L95">
        <f>INDEX('Energieverbruik in TJ Gemeente'!$B$4:$Q$347,MATCH($C95,'Energieverbruik in TJ Gemeente'!$B$4:$B$347,0),MATCH(L$2,'Energieverbruik in TJ Gemeente'!$B$4:$Q$4,0))</f>
        <v>33</v>
      </c>
      <c r="M95">
        <f>INDEX('Energieverbruik in TJ Gemeente'!$B$4:$Q$347,MATCH($C95,'Energieverbruik in TJ Gemeente'!$B$4:$B$347,0),MATCH(M$2,'Energieverbruik in TJ Gemeente'!$B$4:$Q$4,0))</f>
        <v>28</v>
      </c>
      <c r="N95">
        <f>INDEX('Energieverbruik in TJ Gemeente'!$B$4:$Q$347,MATCH($C95,'Energieverbruik in TJ Gemeente'!$B$4:$B$347,0),MATCH(N$2,'Energieverbruik in TJ Gemeente'!$B$4:$Q$4,0))</f>
        <v>292</v>
      </c>
      <c r="O95">
        <f>INDEX('Energieverbruik in TJ Gemeente'!$B$4:$Q$347,MATCH($C95,'Energieverbruik in TJ Gemeente'!$B$4:$B$347,0),MATCH(O$2,'Energieverbruik in TJ Gemeente'!$B$4:$Q$4,0))</f>
        <v>304</v>
      </c>
      <c r="P95">
        <f>INDEX('Energieverbruik in TJ Gemeente'!$B$4:$Q$347,MATCH($C95,'Energieverbruik in TJ Gemeente'!$B$4:$B$347,0),MATCH(P$2,'Energieverbruik in TJ Gemeente'!$B$4:$Q$4,0))</f>
        <v>307</v>
      </c>
      <c r="Q95">
        <f>INDEX('Energieverbruik in TJ Gemeente'!$B$4:$Q$347,MATCH($C95,'Energieverbruik in TJ Gemeente'!$B$4:$B$347,0),MATCH(Q$2,'Energieverbruik in TJ Gemeente'!$B$4:$Q$4,0))</f>
        <v>274</v>
      </c>
      <c r="R95">
        <f>INDEX('Energieverbruik in TJ Gemeente'!$B$4:$Q$347,MATCH($C95,'Energieverbruik in TJ Gemeente'!$B$4:$B$347,0),MATCH(R$2,'Energieverbruik in TJ Gemeente'!$B$4:$Q$4,0))</f>
        <v>284</v>
      </c>
      <c r="S95" cm="1">
        <f t="array" ref="S95">MAX(_xlfn._xlws.FILTER(D$1:H$1, D95:H95&lt;&gt;"?"))</f>
        <v>2023</v>
      </c>
      <c r="T95" cm="1">
        <f t="array" ref="T95">MAX(_xlfn._xlws.FILTER(I$1:M$1, I95:M95&lt;&gt;"?"))</f>
        <v>2023</v>
      </c>
      <c r="U95" cm="1">
        <f t="array" ref="U95">MAX(_xlfn._xlws.FILTER(F$1:J$1, F95:J95&lt;&gt;"?"))</f>
        <v>2023</v>
      </c>
      <c r="V95">
        <f t="shared" si="5"/>
        <v>321</v>
      </c>
      <c r="W95">
        <f t="shared" si="6"/>
        <v>28</v>
      </c>
      <c r="X95">
        <f t="shared" si="7"/>
        <v>284</v>
      </c>
      <c r="Y95">
        <f t="shared" si="8"/>
        <v>633</v>
      </c>
      <c r="Z95">
        <f t="shared" si="9"/>
        <v>1.0520017948845791E-3</v>
      </c>
    </row>
    <row r="96" spans="1:26" ht="16" x14ac:dyDescent="0.2">
      <c r="A96" s="4" t="s">
        <v>282</v>
      </c>
      <c r="B96" s="4" t="s">
        <v>283</v>
      </c>
      <c r="C96" s="4" t="s">
        <v>284</v>
      </c>
      <c r="D96">
        <f>INDEX('Energieverbruik in TJ Gemeente'!$B$4:$Q$347,MATCH($C96,'Energieverbruik in TJ Gemeente'!$B$4:$B$347,0),MATCH(D$2,'Energieverbruik in TJ Gemeente'!$B$4:$Q$4,0))</f>
        <v>3648</v>
      </c>
      <c r="E96">
        <f>INDEX('Energieverbruik in TJ Gemeente'!$B$4:$Q$347,MATCH($C96,'Energieverbruik in TJ Gemeente'!$B$4:$B$347,0),MATCH(E$2,'Energieverbruik in TJ Gemeente'!$B$4:$Q$4,0))</f>
        <v>3608</v>
      </c>
      <c r="F96">
        <f>INDEX('Energieverbruik in TJ Gemeente'!$B$4:$Q$347,MATCH($C96,'Energieverbruik in TJ Gemeente'!$B$4:$B$347,0),MATCH(F$2,'Energieverbruik in TJ Gemeente'!$B$4:$Q$4,0))</f>
        <v>3640</v>
      </c>
      <c r="G96">
        <f>INDEX('Energieverbruik in TJ Gemeente'!$B$4:$Q$347,MATCH($C96,'Energieverbruik in TJ Gemeente'!$B$4:$B$347,0),MATCH(G$2,'Energieverbruik in TJ Gemeente'!$B$4:$Q$4,0))</f>
        <v>3220</v>
      </c>
      <c r="H96">
        <f>INDEX('Energieverbruik in TJ Gemeente'!$B$4:$Q$347,MATCH($C96,'Energieverbruik in TJ Gemeente'!$B$4:$B$347,0),MATCH(H$2,'Energieverbruik in TJ Gemeente'!$B$4:$Q$4,0))</f>
        <v>2745</v>
      </c>
      <c r="I96">
        <f>INDEX('Energieverbruik in TJ Gemeente'!$B$4:$Q$347,MATCH($C96,'Energieverbruik in TJ Gemeente'!$B$4:$B$347,0),MATCH(I$2,'Energieverbruik in TJ Gemeente'!$B$4:$Q$4,0))</f>
        <v>661</v>
      </c>
      <c r="J96">
        <f>INDEX('Energieverbruik in TJ Gemeente'!$B$4:$Q$347,MATCH($C96,'Energieverbruik in TJ Gemeente'!$B$4:$B$347,0),MATCH(J$2,'Energieverbruik in TJ Gemeente'!$B$4:$Q$4,0))</f>
        <v>573</v>
      </c>
      <c r="K96">
        <f>INDEX('Energieverbruik in TJ Gemeente'!$B$4:$Q$347,MATCH($C96,'Energieverbruik in TJ Gemeente'!$B$4:$B$347,0),MATCH(K$2,'Energieverbruik in TJ Gemeente'!$B$4:$Q$4,0))</f>
        <v>561</v>
      </c>
      <c r="L96">
        <f>INDEX('Energieverbruik in TJ Gemeente'!$B$4:$Q$347,MATCH($C96,'Energieverbruik in TJ Gemeente'!$B$4:$B$347,0),MATCH(L$2,'Energieverbruik in TJ Gemeente'!$B$4:$Q$4,0))</f>
        <v>479</v>
      </c>
      <c r="M96">
        <f>INDEX('Energieverbruik in TJ Gemeente'!$B$4:$Q$347,MATCH($C96,'Energieverbruik in TJ Gemeente'!$B$4:$B$347,0),MATCH(M$2,'Energieverbruik in TJ Gemeente'!$B$4:$Q$4,0))</f>
        <v>379</v>
      </c>
      <c r="N96">
        <f>INDEX('Energieverbruik in TJ Gemeente'!$B$4:$Q$347,MATCH($C96,'Energieverbruik in TJ Gemeente'!$B$4:$B$347,0),MATCH(N$2,'Energieverbruik in TJ Gemeente'!$B$4:$Q$4,0))</f>
        <v>18</v>
      </c>
      <c r="O96">
        <f>INDEX('Energieverbruik in TJ Gemeente'!$B$4:$Q$347,MATCH($C96,'Energieverbruik in TJ Gemeente'!$B$4:$B$347,0),MATCH(O$2,'Energieverbruik in TJ Gemeente'!$B$4:$Q$4,0))</f>
        <v>18</v>
      </c>
      <c r="P96">
        <f>INDEX('Energieverbruik in TJ Gemeente'!$B$4:$Q$347,MATCH($C96,'Energieverbruik in TJ Gemeente'!$B$4:$B$347,0),MATCH(P$2,'Energieverbruik in TJ Gemeente'!$B$4:$Q$4,0))</f>
        <v>20</v>
      </c>
      <c r="Q96">
        <f>INDEX('Energieverbruik in TJ Gemeente'!$B$4:$Q$347,MATCH($C96,'Energieverbruik in TJ Gemeente'!$B$4:$B$347,0),MATCH(Q$2,'Energieverbruik in TJ Gemeente'!$B$4:$Q$4,0))</f>
        <v>16</v>
      </c>
      <c r="R96">
        <f>INDEX('Energieverbruik in TJ Gemeente'!$B$4:$Q$347,MATCH($C96,'Energieverbruik in TJ Gemeente'!$B$4:$B$347,0),MATCH(R$2,'Energieverbruik in TJ Gemeente'!$B$4:$Q$4,0))</f>
        <v>14</v>
      </c>
      <c r="S96" cm="1">
        <f t="array" ref="S96">MAX(_xlfn._xlws.FILTER(D$1:H$1, D96:H96&lt;&gt;"?"))</f>
        <v>2023</v>
      </c>
      <c r="T96" cm="1">
        <f t="array" ref="T96">MAX(_xlfn._xlws.FILTER(I$1:M$1, I96:M96&lt;&gt;"?"))</f>
        <v>2023</v>
      </c>
      <c r="U96" cm="1">
        <f t="array" ref="U96">MAX(_xlfn._xlws.FILTER(F$1:J$1, F96:J96&lt;&gt;"?"))</f>
        <v>2023</v>
      </c>
      <c r="V96">
        <f t="shared" si="5"/>
        <v>2745</v>
      </c>
      <c r="W96">
        <f t="shared" si="6"/>
        <v>379</v>
      </c>
      <c r="X96">
        <f t="shared" si="7"/>
        <v>14</v>
      </c>
      <c r="Y96">
        <f t="shared" si="8"/>
        <v>3138</v>
      </c>
      <c r="Z96">
        <f t="shared" si="9"/>
        <v>5.2151368599491453E-3</v>
      </c>
    </row>
    <row r="97" spans="1:26" ht="16" x14ac:dyDescent="0.2">
      <c r="A97" s="4" t="s">
        <v>285</v>
      </c>
      <c r="B97" s="4" t="s">
        <v>286</v>
      </c>
      <c r="C97" s="4" t="s">
        <v>287</v>
      </c>
      <c r="D97">
        <f>INDEX('Energieverbruik in TJ Gemeente'!$B$4:$Q$347,MATCH($C97,'Energieverbruik in TJ Gemeente'!$B$4:$B$347,0),MATCH(D$2,'Energieverbruik in TJ Gemeente'!$B$4:$Q$4,0))</f>
        <v>993</v>
      </c>
      <c r="E97">
        <f>INDEX('Energieverbruik in TJ Gemeente'!$B$4:$Q$347,MATCH($C97,'Energieverbruik in TJ Gemeente'!$B$4:$B$347,0),MATCH(E$2,'Energieverbruik in TJ Gemeente'!$B$4:$Q$4,0))</f>
        <v>957</v>
      </c>
      <c r="F97">
        <f>INDEX('Energieverbruik in TJ Gemeente'!$B$4:$Q$347,MATCH($C97,'Energieverbruik in TJ Gemeente'!$B$4:$B$347,0),MATCH(F$2,'Energieverbruik in TJ Gemeente'!$B$4:$Q$4,0))</f>
        <v>948</v>
      </c>
      <c r="G97">
        <f>INDEX('Energieverbruik in TJ Gemeente'!$B$4:$Q$347,MATCH($C97,'Energieverbruik in TJ Gemeente'!$B$4:$B$347,0),MATCH(G$2,'Energieverbruik in TJ Gemeente'!$B$4:$Q$4,0))</f>
        <v>842</v>
      </c>
      <c r="H97">
        <f>INDEX('Energieverbruik in TJ Gemeente'!$B$4:$Q$347,MATCH($C97,'Energieverbruik in TJ Gemeente'!$B$4:$B$347,0),MATCH(H$2,'Energieverbruik in TJ Gemeente'!$B$4:$Q$4,0))</f>
        <v>689</v>
      </c>
      <c r="I97">
        <f>INDEX('Energieverbruik in TJ Gemeente'!$B$4:$Q$347,MATCH($C97,'Energieverbruik in TJ Gemeente'!$B$4:$B$347,0),MATCH(I$2,'Energieverbruik in TJ Gemeente'!$B$4:$Q$4,0))</f>
        <v>258</v>
      </c>
      <c r="J97">
        <f>INDEX('Energieverbruik in TJ Gemeente'!$B$4:$Q$347,MATCH($C97,'Energieverbruik in TJ Gemeente'!$B$4:$B$347,0),MATCH(J$2,'Energieverbruik in TJ Gemeente'!$B$4:$Q$4,0))</f>
        <v>251</v>
      </c>
      <c r="K97">
        <f>INDEX('Energieverbruik in TJ Gemeente'!$B$4:$Q$347,MATCH($C97,'Energieverbruik in TJ Gemeente'!$B$4:$B$347,0),MATCH(K$2,'Energieverbruik in TJ Gemeente'!$B$4:$Q$4,0))</f>
        <v>276</v>
      </c>
      <c r="L97">
        <f>INDEX('Energieverbruik in TJ Gemeente'!$B$4:$Q$347,MATCH($C97,'Energieverbruik in TJ Gemeente'!$B$4:$B$347,0),MATCH(L$2,'Energieverbruik in TJ Gemeente'!$B$4:$Q$4,0))</f>
        <v>230</v>
      </c>
      <c r="M97">
        <f>INDEX('Energieverbruik in TJ Gemeente'!$B$4:$Q$347,MATCH($C97,'Energieverbruik in TJ Gemeente'!$B$4:$B$347,0),MATCH(M$2,'Energieverbruik in TJ Gemeente'!$B$4:$Q$4,0))</f>
        <v>206</v>
      </c>
      <c r="N97">
        <f>INDEX('Energieverbruik in TJ Gemeente'!$B$4:$Q$347,MATCH($C97,'Energieverbruik in TJ Gemeente'!$B$4:$B$347,0),MATCH(N$2,'Energieverbruik in TJ Gemeente'!$B$4:$Q$4,0))</f>
        <v>43</v>
      </c>
      <c r="O97">
        <f>INDEX('Energieverbruik in TJ Gemeente'!$B$4:$Q$347,MATCH($C97,'Energieverbruik in TJ Gemeente'!$B$4:$B$347,0),MATCH(O$2,'Energieverbruik in TJ Gemeente'!$B$4:$Q$4,0))</f>
        <v>25</v>
      </c>
      <c r="P97">
        <f>INDEX('Energieverbruik in TJ Gemeente'!$B$4:$Q$347,MATCH($C97,'Energieverbruik in TJ Gemeente'!$B$4:$B$347,0),MATCH(P$2,'Energieverbruik in TJ Gemeente'!$B$4:$Q$4,0))</f>
        <v>26</v>
      </c>
      <c r="Q97">
        <f>INDEX('Energieverbruik in TJ Gemeente'!$B$4:$Q$347,MATCH($C97,'Energieverbruik in TJ Gemeente'!$B$4:$B$347,0),MATCH(Q$2,'Energieverbruik in TJ Gemeente'!$B$4:$Q$4,0))</f>
        <v>16</v>
      </c>
      <c r="R97">
        <f>INDEX('Energieverbruik in TJ Gemeente'!$B$4:$Q$347,MATCH($C97,'Energieverbruik in TJ Gemeente'!$B$4:$B$347,0),MATCH(R$2,'Energieverbruik in TJ Gemeente'!$B$4:$Q$4,0))</f>
        <v>14</v>
      </c>
      <c r="S97" cm="1">
        <f t="array" ref="S97">MAX(_xlfn._xlws.FILTER(D$1:H$1, D97:H97&lt;&gt;"?"))</f>
        <v>2023</v>
      </c>
      <c r="T97" cm="1">
        <f t="array" ref="T97">MAX(_xlfn._xlws.FILTER(I$1:M$1, I97:M97&lt;&gt;"?"))</f>
        <v>2023</v>
      </c>
      <c r="U97" cm="1">
        <f t="array" ref="U97">MAX(_xlfn._xlws.FILTER(F$1:J$1, F97:J97&lt;&gt;"?"))</f>
        <v>2023</v>
      </c>
      <c r="V97">
        <f t="shared" si="5"/>
        <v>689</v>
      </c>
      <c r="W97">
        <f t="shared" si="6"/>
        <v>206</v>
      </c>
      <c r="X97">
        <f t="shared" si="7"/>
        <v>14</v>
      </c>
      <c r="Y97">
        <f t="shared" si="8"/>
        <v>909</v>
      </c>
      <c r="Z97">
        <f t="shared" si="9"/>
        <v>1.5106945206162436E-3</v>
      </c>
    </row>
    <row r="98" spans="1:26" ht="16" x14ac:dyDescent="0.2">
      <c r="A98" s="4" t="s">
        <v>288</v>
      </c>
      <c r="B98" s="4" t="s">
        <v>289</v>
      </c>
      <c r="C98" s="4" t="s">
        <v>290</v>
      </c>
      <c r="D98">
        <f>INDEX('Energieverbruik in TJ Gemeente'!$B$4:$Q$347,MATCH($C98,'Energieverbruik in TJ Gemeente'!$B$4:$B$347,0),MATCH(D$2,'Energieverbruik in TJ Gemeente'!$B$4:$Q$4,0))</f>
        <v>833</v>
      </c>
      <c r="E98">
        <f>INDEX('Energieverbruik in TJ Gemeente'!$B$4:$Q$347,MATCH($C98,'Energieverbruik in TJ Gemeente'!$B$4:$B$347,0),MATCH(E$2,'Energieverbruik in TJ Gemeente'!$B$4:$Q$4,0))</f>
        <v>812</v>
      </c>
      <c r="F98">
        <f>INDEX('Energieverbruik in TJ Gemeente'!$B$4:$Q$347,MATCH($C98,'Energieverbruik in TJ Gemeente'!$B$4:$B$347,0),MATCH(F$2,'Energieverbruik in TJ Gemeente'!$B$4:$Q$4,0))</f>
        <v>852</v>
      </c>
      <c r="G98">
        <f>INDEX('Energieverbruik in TJ Gemeente'!$B$4:$Q$347,MATCH($C98,'Energieverbruik in TJ Gemeente'!$B$4:$B$347,0),MATCH(G$2,'Energieverbruik in TJ Gemeente'!$B$4:$Q$4,0))</f>
        <v>752</v>
      </c>
      <c r="H98">
        <f>INDEX('Energieverbruik in TJ Gemeente'!$B$4:$Q$347,MATCH($C98,'Energieverbruik in TJ Gemeente'!$B$4:$B$347,0),MATCH(H$2,'Energieverbruik in TJ Gemeente'!$B$4:$Q$4,0))</f>
        <v>655</v>
      </c>
      <c r="I98">
        <f>INDEX('Energieverbruik in TJ Gemeente'!$B$4:$Q$347,MATCH($C98,'Energieverbruik in TJ Gemeente'!$B$4:$B$347,0),MATCH(I$2,'Energieverbruik in TJ Gemeente'!$B$4:$Q$4,0))</f>
        <v>616</v>
      </c>
      <c r="J98">
        <f>INDEX('Energieverbruik in TJ Gemeente'!$B$4:$Q$347,MATCH($C98,'Energieverbruik in TJ Gemeente'!$B$4:$B$347,0),MATCH(J$2,'Energieverbruik in TJ Gemeente'!$B$4:$Q$4,0))</f>
        <v>534</v>
      </c>
      <c r="K98">
        <f>INDEX('Energieverbruik in TJ Gemeente'!$B$4:$Q$347,MATCH($C98,'Energieverbruik in TJ Gemeente'!$B$4:$B$347,0),MATCH(K$2,'Energieverbruik in TJ Gemeente'!$B$4:$Q$4,0))</f>
        <v>538</v>
      </c>
      <c r="L98">
        <f>INDEX('Energieverbruik in TJ Gemeente'!$B$4:$Q$347,MATCH($C98,'Energieverbruik in TJ Gemeente'!$B$4:$B$347,0),MATCH(L$2,'Energieverbruik in TJ Gemeente'!$B$4:$Q$4,0))</f>
        <v>457</v>
      </c>
      <c r="M98">
        <f>INDEX('Energieverbruik in TJ Gemeente'!$B$4:$Q$347,MATCH($C98,'Energieverbruik in TJ Gemeente'!$B$4:$B$347,0),MATCH(M$2,'Energieverbruik in TJ Gemeente'!$B$4:$Q$4,0))</f>
        <v>378</v>
      </c>
      <c r="N98">
        <f>INDEX('Energieverbruik in TJ Gemeente'!$B$4:$Q$347,MATCH($C98,'Energieverbruik in TJ Gemeente'!$B$4:$B$347,0),MATCH(N$2,'Energieverbruik in TJ Gemeente'!$B$4:$Q$4,0))</f>
        <v>35</v>
      </c>
      <c r="O98">
        <f>INDEX('Energieverbruik in TJ Gemeente'!$B$4:$Q$347,MATCH($C98,'Energieverbruik in TJ Gemeente'!$B$4:$B$347,0),MATCH(O$2,'Energieverbruik in TJ Gemeente'!$B$4:$Q$4,0))</f>
        <v>31</v>
      </c>
      <c r="P98">
        <f>INDEX('Energieverbruik in TJ Gemeente'!$B$4:$Q$347,MATCH($C98,'Energieverbruik in TJ Gemeente'!$B$4:$B$347,0),MATCH(P$2,'Energieverbruik in TJ Gemeente'!$B$4:$Q$4,0))</f>
        <v>32</v>
      </c>
      <c r="Q98">
        <f>INDEX('Energieverbruik in TJ Gemeente'!$B$4:$Q$347,MATCH($C98,'Energieverbruik in TJ Gemeente'!$B$4:$B$347,0),MATCH(Q$2,'Energieverbruik in TJ Gemeente'!$B$4:$Q$4,0))</f>
        <v>25</v>
      </c>
      <c r="R98">
        <f>INDEX('Energieverbruik in TJ Gemeente'!$B$4:$Q$347,MATCH($C98,'Energieverbruik in TJ Gemeente'!$B$4:$B$347,0),MATCH(R$2,'Energieverbruik in TJ Gemeente'!$B$4:$Q$4,0))</f>
        <v>25</v>
      </c>
      <c r="S98" cm="1">
        <f t="array" ref="S98">MAX(_xlfn._xlws.FILTER(D$1:H$1, D98:H98&lt;&gt;"?"))</f>
        <v>2023</v>
      </c>
      <c r="T98" cm="1">
        <f t="array" ref="T98">MAX(_xlfn._xlws.FILTER(I$1:M$1, I98:M98&lt;&gt;"?"))</f>
        <v>2023</v>
      </c>
      <c r="U98" cm="1">
        <f t="array" ref="U98">MAX(_xlfn._xlws.FILTER(F$1:J$1, F98:J98&lt;&gt;"?"))</f>
        <v>2023</v>
      </c>
      <c r="V98">
        <f t="shared" si="5"/>
        <v>655</v>
      </c>
      <c r="W98">
        <f t="shared" si="6"/>
        <v>378</v>
      </c>
      <c r="X98">
        <f t="shared" si="7"/>
        <v>25</v>
      </c>
      <c r="Y98">
        <f t="shared" si="8"/>
        <v>1058</v>
      </c>
      <c r="Z98">
        <f t="shared" si="9"/>
        <v>1.7583221153047149E-3</v>
      </c>
    </row>
    <row r="99" spans="1:26" ht="16" x14ac:dyDescent="0.2">
      <c r="A99" s="4" t="s">
        <v>291</v>
      </c>
      <c r="B99" s="4" t="s">
        <v>292</v>
      </c>
      <c r="C99" s="4" t="s">
        <v>293</v>
      </c>
      <c r="D99">
        <f>INDEX('Energieverbruik in TJ Gemeente'!$B$4:$Q$347,MATCH($C99,'Energieverbruik in TJ Gemeente'!$B$4:$B$347,0),MATCH(D$2,'Energieverbruik in TJ Gemeente'!$B$4:$Q$4,0))</f>
        <v>999</v>
      </c>
      <c r="E99">
        <f>INDEX('Energieverbruik in TJ Gemeente'!$B$4:$Q$347,MATCH($C99,'Energieverbruik in TJ Gemeente'!$B$4:$B$347,0),MATCH(E$2,'Energieverbruik in TJ Gemeente'!$B$4:$Q$4,0))</f>
        <v>953</v>
      </c>
      <c r="F99">
        <f>INDEX('Energieverbruik in TJ Gemeente'!$B$4:$Q$347,MATCH($C99,'Energieverbruik in TJ Gemeente'!$B$4:$B$347,0),MATCH(F$2,'Energieverbruik in TJ Gemeente'!$B$4:$Q$4,0))</f>
        <v>929</v>
      </c>
      <c r="G99">
        <f>INDEX('Energieverbruik in TJ Gemeente'!$B$4:$Q$347,MATCH($C99,'Energieverbruik in TJ Gemeente'!$B$4:$B$347,0),MATCH(G$2,'Energieverbruik in TJ Gemeente'!$B$4:$Q$4,0))</f>
        <v>775</v>
      </c>
      <c r="H99">
        <f>INDEX('Energieverbruik in TJ Gemeente'!$B$4:$Q$347,MATCH($C99,'Energieverbruik in TJ Gemeente'!$B$4:$B$347,0),MATCH(H$2,'Energieverbruik in TJ Gemeente'!$B$4:$Q$4,0))</f>
        <v>656</v>
      </c>
      <c r="I99">
        <f>INDEX('Energieverbruik in TJ Gemeente'!$B$4:$Q$347,MATCH($C99,'Energieverbruik in TJ Gemeente'!$B$4:$B$347,0),MATCH(I$2,'Energieverbruik in TJ Gemeente'!$B$4:$Q$4,0))</f>
        <v>1354</v>
      </c>
      <c r="J99">
        <f>INDEX('Energieverbruik in TJ Gemeente'!$B$4:$Q$347,MATCH($C99,'Energieverbruik in TJ Gemeente'!$B$4:$B$347,0),MATCH(J$2,'Energieverbruik in TJ Gemeente'!$B$4:$Q$4,0))</f>
        <v>1286</v>
      </c>
      <c r="K99">
        <f>INDEX('Energieverbruik in TJ Gemeente'!$B$4:$Q$347,MATCH($C99,'Energieverbruik in TJ Gemeente'!$B$4:$B$347,0),MATCH(K$2,'Energieverbruik in TJ Gemeente'!$B$4:$Q$4,0))</f>
        <v>1369</v>
      </c>
      <c r="L99">
        <f>INDEX('Energieverbruik in TJ Gemeente'!$B$4:$Q$347,MATCH($C99,'Energieverbruik in TJ Gemeente'!$B$4:$B$347,0),MATCH(L$2,'Energieverbruik in TJ Gemeente'!$B$4:$Q$4,0))</f>
        <v>1320</v>
      </c>
      <c r="M99">
        <f>INDEX('Energieverbruik in TJ Gemeente'!$B$4:$Q$347,MATCH($C99,'Energieverbruik in TJ Gemeente'!$B$4:$B$347,0),MATCH(M$2,'Energieverbruik in TJ Gemeente'!$B$4:$Q$4,0))</f>
        <v>1201</v>
      </c>
      <c r="N99">
        <f>INDEX('Energieverbruik in TJ Gemeente'!$B$4:$Q$347,MATCH($C99,'Energieverbruik in TJ Gemeente'!$B$4:$B$347,0),MATCH(N$2,'Energieverbruik in TJ Gemeente'!$B$4:$Q$4,0))</f>
        <v>889</v>
      </c>
      <c r="O99">
        <f>INDEX('Energieverbruik in TJ Gemeente'!$B$4:$Q$347,MATCH($C99,'Energieverbruik in TJ Gemeente'!$B$4:$B$347,0),MATCH(O$2,'Energieverbruik in TJ Gemeente'!$B$4:$Q$4,0))</f>
        <v>919</v>
      </c>
      <c r="P99">
        <f>INDEX('Energieverbruik in TJ Gemeente'!$B$4:$Q$347,MATCH($C99,'Energieverbruik in TJ Gemeente'!$B$4:$B$347,0),MATCH(P$2,'Energieverbruik in TJ Gemeente'!$B$4:$Q$4,0))</f>
        <v>928</v>
      </c>
      <c r="Q99">
        <f>INDEX('Energieverbruik in TJ Gemeente'!$B$4:$Q$347,MATCH($C99,'Energieverbruik in TJ Gemeente'!$B$4:$B$347,0),MATCH(Q$2,'Energieverbruik in TJ Gemeente'!$B$4:$Q$4,0))</f>
        <v>524</v>
      </c>
      <c r="R99">
        <f>INDEX('Energieverbruik in TJ Gemeente'!$B$4:$Q$347,MATCH($C99,'Energieverbruik in TJ Gemeente'!$B$4:$B$347,0),MATCH(R$2,'Energieverbruik in TJ Gemeente'!$B$4:$Q$4,0))</f>
        <v>647</v>
      </c>
      <c r="S99" cm="1">
        <f t="array" ref="S99">MAX(_xlfn._xlws.FILTER(D$1:H$1, D99:H99&lt;&gt;"?"))</f>
        <v>2023</v>
      </c>
      <c r="T99" cm="1">
        <f t="array" ref="T99">MAX(_xlfn._xlws.FILTER(I$1:M$1, I99:M99&lt;&gt;"?"))</f>
        <v>2023</v>
      </c>
      <c r="U99" cm="1">
        <f t="array" ref="U99">MAX(_xlfn._xlws.FILTER(F$1:J$1, F99:J99&lt;&gt;"?"))</f>
        <v>2023</v>
      </c>
      <c r="V99">
        <f t="shared" si="5"/>
        <v>656</v>
      </c>
      <c r="W99">
        <f t="shared" si="6"/>
        <v>1201</v>
      </c>
      <c r="X99">
        <f t="shared" si="7"/>
        <v>647</v>
      </c>
      <c r="Y99">
        <f t="shared" si="8"/>
        <v>2504</v>
      </c>
      <c r="Z99">
        <f t="shared" si="9"/>
        <v>4.1614731348988713E-3</v>
      </c>
    </row>
    <row r="100" spans="1:26" ht="32" x14ac:dyDescent="0.2">
      <c r="A100" s="4" t="s">
        <v>297</v>
      </c>
      <c r="B100" s="4" t="s">
        <v>298</v>
      </c>
      <c r="C100" s="4" t="s">
        <v>299</v>
      </c>
      <c r="D100" t="str">
        <f>INDEX('Energieverbruik in TJ Gemeente'!$B$4:$Q$347,MATCH($C100,'Energieverbruik in TJ Gemeente'!$B$4:$B$347,0),MATCH(D$2,'Energieverbruik in TJ Gemeente'!$B$4:$Q$4,0))</f>
        <v>?</v>
      </c>
      <c r="E100" t="str">
        <f>INDEX('Energieverbruik in TJ Gemeente'!$B$4:$Q$347,MATCH($C100,'Energieverbruik in TJ Gemeente'!$B$4:$B$347,0),MATCH(E$2,'Energieverbruik in TJ Gemeente'!$B$4:$Q$4,0))</f>
        <v>?</v>
      </c>
      <c r="F100" t="str">
        <f>INDEX('Energieverbruik in TJ Gemeente'!$B$4:$Q$347,MATCH($C100,'Energieverbruik in TJ Gemeente'!$B$4:$B$347,0),MATCH(F$2,'Energieverbruik in TJ Gemeente'!$B$4:$Q$4,0))</f>
        <v>?</v>
      </c>
      <c r="G100" t="str">
        <f>INDEX('Energieverbruik in TJ Gemeente'!$B$4:$Q$347,MATCH($C100,'Energieverbruik in TJ Gemeente'!$B$4:$B$347,0),MATCH(G$2,'Energieverbruik in TJ Gemeente'!$B$4:$Q$4,0))</f>
        <v>?</v>
      </c>
      <c r="H100" t="str">
        <f>INDEX('Energieverbruik in TJ Gemeente'!$B$4:$Q$347,MATCH($C100,'Energieverbruik in TJ Gemeente'!$B$4:$B$347,0),MATCH(H$2,'Energieverbruik in TJ Gemeente'!$B$4:$Q$4,0))</f>
        <v>?</v>
      </c>
      <c r="I100" t="str">
        <f>INDEX('Energieverbruik in TJ Gemeente'!$B$4:$Q$347,MATCH($C100,'Energieverbruik in TJ Gemeente'!$B$4:$B$347,0),MATCH(I$2,'Energieverbruik in TJ Gemeente'!$B$4:$Q$4,0))</f>
        <v>?</v>
      </c>
      <c r="J100" t="str">
        <f>INDEX('Energieverbruik in TJ Gemeente'!$B$4:$Q$347,MATCH($C100,'Energieverbruik in TJ Gemeente'!$B$4:$B$347,0),MATCH(J$2,'Energieverbruik in TJ Gemeente'!$B$4:$Q$4,0))</f>
        <v>?</v>
      </c>
      <c r="K100" t="str">
        <f>INDEX('Energieverbruik in TJ Gemeente'!$B$4:$Q$347,MATCH($C100,'Energieverbruik in TJ Gemeente'!$B$4:$B$347,0),MATCH(K$2,'Energieverbruik in TJ Gemeente'!$B$4:$Q$4,0))</f>
        <v>?</v>
      </c>
      <c r="L100" t="str">
        <f>INDEX('Energieverbruik in TJ Gemeente'!$B$4:$Q$347,MATCH($C100,'Energieverbruik in TJ Gemeente'!$B$4:$B$347,0),MATCH(L$2,'Energieverbruik in TJ Gemeente'!$B$4:$Q$4,0))</f>
        <v>?</v>
      </c>
      <c r="M100" t="str">
        <f>INDEX('Energieverbruik in TJ Gemeente'!$B$4:$Q$347,MATCH($C100,'Energieverbruik in TJ Gemeente'!$B$4:$B$347,0),MATCH(M$2,'Energieverbruik in TJ Gemeente'!$B$4:$Q$4,0))</f>
        <v>?</v>
      </c>
      <c r="N100">
        <f>INDEX('Energieverbruik in TJ Gemeente'!$B$4:$Q$347,MATCH($C100,'Energieverbruik in TJ Gemeente'!$B$4:$B$347,0),MATCH(N$2,'Energieverbruik in TJ Gemeente'!$B$4:$Q$4,0))</f>
        <v>8</v>
      </c>
      <c r="O100">
        <f>INDEX('Energieverbruik in TJ Gemeente'!$B$4:$Q$347,MATCH($C100,'Energieverbruik in TJ Gemeente'!$B$4:$B$347,0),MATCH(O$2,'Energieverbruik in TJ Gemeente'!$B$4:$Q$4,0))</f>
        <v>3</v>
      </c>
      <c r="P100">
        <f>INDEX('Energieverbruik in TJ Gemeente'!$B$4:$Q$347,MATCH($C100,'Energieverbruik in TJ Gemeente'!$B$4:$B$347,0),MATCH(P$2,'Energieverbruik in TJ Gemeente'!$B$4:$Q$4,0))</f>
        <v>3</v>
      </c>
      <c r="Q100">
        <f>INDEX('Energieverbruik in TJ Gemeente'!$B$4:$Q$347,MATCH($C100,'Energieverbruik in TJ Gemeente'!$B$4:$B$347,0),MATCH(Q$2,'Energieverbruik in TJ Gemeente'!$B$4:$Q$4,0))</f>
        <v>2</v>
      </c>
      <c r="R100">
        <f>INDEX('Energieverbruik in TJ Gemeente'!$B$4:$Q$347,MATCH($C100,'Energieverbruik in TJ Gemeente'!$B$4:$B$347,0),MATCH(R$2,'Energieverbruik in TJ Gemeente'!$B$4:$Q$4,0))</f>
        <v>1</v>
      </c>
      <c r="S100" t="e" cm="1" vm="1">
        <f t="array" ref="S100">MAX(_xlfn._xlws.FILTER(D$1:H$1, D100:H100&lt;&gt;"?"))</f>
        <v>#VALUE!</v>
      </c>
      <c r="T100" t="e" cm="1" vm="1">
        <f t="array" ref="T100">MAX(_xlfn._xlws.FILTER(I$1:M$1, I100:M100&lt;&gt;"?"))</f>
        <v>#VALUE!</v>
      </c>
      <c r="U100" t="e" cm="1" vm="1">
        <f t="array" ref="U100">MAX(_xlfn._xlws.FILTER(F$1:J$1, F100:J100&lt;&gt;"?"))</f>
        <v>#VALUE!</v>
      </c>
      <c r="V100">
        <f t="shared" si="5"/>
        <v>0</v>
      </c>
      <c r="W100">
        <f t="shared" si="6"/>
        <v>0</v>
      </c>
      <c r="X100">
        <f t="shared" si="7"/>
        <v>0</v>
      </c>
      <c r="Y100">
        <f t="shared" si="8"/>
        <v>0</v>
      </c>
      <c r="Z100">
        <f t="shared" si="9"/>
        <v>0</v>
      </c>
    </row>
    <row r="101" spans="1:26" ht="32" x14ac:dyDescent="0.2">
      <c r="A101" s="4" t="s">
        <v>300</v>
      </c>
      <c r="B101" s="4" t="s">
        <v>301</v>
      </c>
      <c r="C101" s="4" t="s">
        <v>302</v>
      </c>
      <c r="D101">
        <f>INDEX('Energieverbruik in TJ Gemeente'!$B$4:$Q$347,MATCH($C101,'Energieverbruik in TJ Gemeente'!$B$4:$B$347,0),MATCH(D$2,'Energieverbruik in TJ Gemeente'!$B$4:$Q$4,0))</f>
        <v>998</v>
      </c>
      <c r="E101">
        <f>INDEX('Energieverbruik in TJ Gemeente'!$B$4:$Q$347,MATCH($C101,'Energieverbruik in TJ Gemeente'!$B$4:$B$347,0),MATCH(E$2,'Energieverbruik in TJ Gemeente'!$B$4:$Q$4,0))</f>
        <v>958</v>
      </c>
      <c r="F101">
        <f>INDEX('Energieverbruik in TJ Gemeente'!$B$4:$Q$347,MATCH($C101,'Energieverbruik in TJ Gemeente'!$B$4:$B$347,0),MATCH(F$2,'Energieverbruik in TJ Gemeente'!$B$4:$Q$4,0))</f>
        <v>972</v>
      </c>
      <c r="G101">
        <f>INDEX('Energieverbruik in TJ Gemeente'!$B$4:$Q$347,MATCH($C101,'Energieverbruik in TJ Gemeente'!$B$4:$B$347,0),MATCH(G$2,'Energieverbruik in TJ Gemeente'!$B$4:$Q$4,0))</f>
        <v>862</v>
      </c>
      <c r="H101">
        <f>INDEX('Energieverbruik in TJ Gemeente'!$B$4:$Q$347,MATCH($C101,'Energieverbruik in TJ Gemeente'!$B$4:$B$347,0),MATCH(H$2,'Energieverbruik in TJ Gemeente'!$B$4:$Q$4,0))</f>
        <v>709</v>
      </c>
      <c r="I101">
        <f>INDEX('Energieverbruik in TJ Gemeente'!$B$4:$Q$347,MATCH($C101,'Energieverbruik in TJ Gemeente'!$B$4:$B$347,0),MATCH(I$2,'Energieverbruik in TJ Gemeente'!$B$4:$Q$4,0))</f>
        <v>196</v>
      </c>
      <c r="J101">
        <f>INDEX('Energieverbruik in TJ Gemeente'!$B$4:$Q$347,MATCH($C101,'Energieverbruik in TJ Gemeente'!$B$4:$B$347,0),MATCH(J$2,'Energieverbruik in TJ Gemeente'!$B$4:$Q$4,0))</f>
        <v>214</v>
      </c>
      <c r="K101">
        <f>INDEX('Energieverbruik in TJ Gemeente'!$B$4:$Q$347,MATCH($C101,'Energieverbruik in TJ Gemeente'!$B$4:$B$347,0),MATCH(K$2,'Energieverbruik in TJ Gemeente'!$B$4:$Q$4,0))</f>
        <v>224</v>
      </c>
      <c r="L101">
        <f>INDEX('Energieverbruik in TJ Gemeente'!$B$4:$Q$347,MATCH($C101,'Energieverbruik in TJ Gemeente'!$B$4:$B$347,0),MATCH(L$2,'Energieverbruik in TJ Gemeente'!$B$4:$Q$4,0))</f>
        <v>210</v>
      </c>
      <c r="M101">
        <f>INDEX('Energieverbruik in TJ Gemeente'!$B$4:$Q$347,MATCH($C101,'Energieverbruik in TJ Gemeente'!$B$4:$B$347,0),MATCH(M$2,'Energieverbruik in TJ Gemeente'!$B$4:$Q$4,0))</f>
        <v>198</v>
      </c>
      <c r="N101">
        <f>INDEX('Energieverbruik in TJ Gemeente'!$B$4:$Q$347,MATCH($C101,'Energieverbruik in TJ Gemeente'!$B$4:$B$347,0),MATCH(N$2,'Energieverbruik in TJ Gemeente'!$B$4:$Q$4,0))</f>
        <v>7</v>
      </c>
      <c r="O101">
        <f>INDEX('Energieverbruik in TJ Gemeente'!$B$4:$Q$347,MATCH($C101,'Energieverbruik in TJ Gemeente'!$B$4:$B$347,0),MATCH(O$2,'Energieverbruik in TJ Gemeente'!$B$4:$Q$4,0))</f>
        <v>6</v>
      </c>
      <c r="P101">
        <f>INDEX('Energieverbruik in TJ Gemeente'!$B$4:$Q$347,MATCH($C101,'Energieverbruik in TJ Gemeente'!$B$4:$B$347,0),MATCH(P$2,'Energieverbruik in TJ Gemeente'!$B$4:$Q$4,0))</f>
        <v>6</v>
      </c>
      <c r="Q101">
        <f>INDEX('Energieverbruik in TJ Gemeente'!$B$4:$Q$347,MATCH($C101,'Energieverbruik in TJ Gemeente'!$B$4:$B$347,0),MATCH(Q$2,'Energieverbruik in TJ Gemeente'!$B$4:$Q$4,0))</f>
        <v>4</v>
      </c>
      <c r="R101">
        <f>INDEX('Energieverbruik in TJ Gemeente'!$B$4:$Q$347,MATCH($C101,'Energieverbruik in TJ Gemeente'!$B$4:$B$347,0),MATCH(R$2,'Energieverbruik in TJ Gemeente'!$B$4:$Q$4,0))</f>
        <v>2</v>
      </c>
      <c r="S101" cm="1">
        <f t="array" ref="S101">MAX(_xlfn._xlws.FILTER(D$1:H$1, D101:H101&lt;&gt;"?"))</f>
        <v>2023</v>
      </c>
      <c r="T101" cm="1">
        <f t="array" ref="T101">MAX(_xlfn._xlws.FILTER(I$1:M$1, I101:M101&lt;&gt;"?"))</f>
        <v>2023</v>
      </c>
      <c r="U101" cm="1">
        <f t="array" ref="U101">MAX(_xlfn._xlws.FILTER(F$1:J$1, F101:J101&lt;&gt;"?"))</f>
        <v>2023</v>
      </c>
      <c r="V101">
        <f t="shared" si="5"/>
        <v>709</v>
      </c>
      <c r="W101">
        <f t="shared" si="6"/>
        <v>198</v>
      </c>
      <c r="X101">
        <f t="shared" si="7"/>
        <v>2</v>
      </c>
      <c r="Y101">
        <f t="shared" si="8"/>
        <v>909</v>
      </c>
      <c r="Z101">
        <f t="shared" si="9"/>
        <v>1.5106945206162436E-3</v>
      </c>
    </row>
    <row r="102" spans="1:26" ht="32" x14ac:dyDescent="0.2">
      <c r="A102" s="4" t="s">
        <v>303</v>
      </c>
      <c r="B102" s="4" t="s">
        <v>304</v>
      </c>
      <c r="C102" s="4" t="s">
        <v>305</v>
      </c>
      <c r="D102">
        <f>INDEX('Energieverbruik in TJ Gemeente'!$B$4:$Q$347,MATCH($C102,'Energieverbruik in TJ Gemeente'!$B$4:$B$347,0),MATCH(D$2,'Energieverbruik in TJ Gemeente'!$B$4:$Q$4,0))</f>
        <v>773</v>
      </c>
      <c r="E102">
        <f>INDEX('Energieverbruik in TJ Gemeente'!$B$4:$Q$347,MATCH($C102,'Energieverbruik in TJ Gemeente'!$B$4:$B$347,0),MATCH(E$2,'Energieverbruik in TJ Gemeente'!$B$4:$Q$4,0))</f>
        <v>743</v>
      </c>
      <c r="F102">
        <f>INDEX('Energieverbruik in TJ Gemeente'!$B$4:$Q$347,MATCH($C102,'Energieverbruik in TJ Gemeente'!$B$4:$B$347,0),MATCH(F$2,'Energieverbruik in TJ Gemeente'!$B$4:$Q$4,0))</f>
        <v>737</v>
      </c>
      <c r="G102">
        <f>INDEX('Energieverbruik in TJ Gemeente'!$B$4:$Q$347,MATCH($C102,'Energieverbruik in TJ Gemeente'!$B$4:$B$347,0),MATCH(G$2,'Energieverbruik in TJ Gemeente'!$B$4:$Q$4,0))</f>
        <v>653</v>
      </c>
      <c r="H102">
        <f>INDEX('Energieverbruik in TJ Gemeente'!$B$4:$Q$347,MATCH($C102,'Energieverbruik in TJ Gemeente'!$B$4:$B$347,0),MATCH(H$2,'Energieverbruik in TJ Gemeente'!$B$4:$Q$4,0))</f>
        <v>535</v>
      </c>
      <c r="I102">
        <f>INDEX('Energieverbruik in TJ Gemeente'!$B$4:$Q$347,MATCH($C102,'Energieverbruik in TJ Gemeente'!$B$4:$B$347,0),MATCH(I$2,'Energieverbruik in TJ Gemeente'!$B$4:$Q$4,0))</f>
        <v>111</v>
      </c>
      <c r="J102">
        <f>INDEX('Energieverbruik in TJ Gemeente'!$B$4:$Q$347,MATCH($C102,'Energieverbruik in TJ Gemeente'!$B$4:$B$347,0),MATCH(J$2,'Energieverbruik in TJ Gemeente'!$B$4:$Q$4,0))</f>
        <v>104</v>
      </c>
      <c r="K102">
        <f>INDEX('Energieverbruik in TJ Gemeente'!$B$4:$Q$347,MATCH($C102,'Energieverbruik in TJ Gemeente'!$B$4:$B$347,0),MATCH(K$2,'Energieverbruik in TJ Gemeente'!$B$4:$Q$4,0))</f>
        <v>117</v>
      </c>
      <c r="L102">
        <f>INDEX('Energieverbruik in TJ Gemeente'!$B$4:$Q$347,MATCH($C102,'Energieverbruik in TJ Gemeente'!$B$4:$B$347,0),MATCH(L$2,'Energieverbruik in TJ Gemeente'!$B$4:$Q$4,0))</f>
        <v>100</v>
      </c>
      <c r="M102" t="str">
        <f>INDEX('Energieverbruik in TJ Gemeente'!$B$4:$Q$347,MATCH($C102,'Energieverbruik in TJ Gemeente'!$B$4:$B$347,0),MATCH(M$2,'Energieverbruik in TJ Gemeente'!$B$4:$Q$4,0))</f>
        <v>?</v>
      </c>
      <c r="N102">
        <f>INDEX('Energieverbruik in TJ Gemeente'!$B$4:$Q$347,MATCH($C102,'Energieverbruik in TJ Gemeente'!$B$4:$B$347,0),MATCH(N$2,'Energieverbruik in TJ Gemeente'!$B$4:$Q$4,0))</f>
        <v>174</v>
      </c>
      <c r="O102">
        <f>INDEX('Energieverbruik in TJ Gemeente'!$B$4:$Q$347,MATCH($C102,'Energieverbruik in TJ Gemeente'!$B$4:$B$347,0),MATCH(O$2,'Energieverbruik in TJ Gemeente'!$B$4:$Q$4,0))</f>
        <v>172</v>
      </c>
      <c r="P102">
        <f>INDEX('Energieverbruik in TJ Gemeente'!$B$4:$Q$347,MATCH($C102,'Energieverbruik in TJ Gemeente'!$B$4:$B$347,0),MATCH(P$2,'Energieverbruik in TJ Gemeente'!$B$4:$Q$4,0))</f>
        <v>177</v>
      </c>
      <c r="Q102">
        <f>INDEX('Energieverbruik in TJ Gemeente'!$B$4:$Q$347,MATCH($C102,'Energieverbruik in TJ Gemeente'!$B$4:$B$347,0),MATCH(Q$2,'Energieverbruik in TJ Gemeente'!$B$4:$Q$4,0))</f>
        <v>113</v>
      </c>
      <c r="R102">
        <f>INDEX('Energieverbruik in TJ Gemeente'!$B$4:$Q$347,MATCH($C102,'Energieverbruik in TJ Gemeente'!$B$4:$B$347,0),MATCH(R$2,'Energieverbruik in TJ Gemeente'!$B$4:$Q$4,0))</f>
        <v>114</v>
      </c>
      <c r="S102" cm="1">
        <f t="array" ref="S102">MAX(_xlfn._xlws.FILTER(D$1:H$1, D102:H102&lt;&gt;"?"))</f>
        <v>2023</v>
      </c>
      <c r="T102" cm="1">
        <f t="array" ref="T102">MAX(_xlfn._xlws.FILTER(I$1:M$1, I102:M102&lt;&gt;"?"))</f>
        <v>2022</v>
      </c>
      <c r="U102" cm="1">
        <f t="array" ref="U102">MAX(_xlfn._xlws.FILTER(F$1:J$1, F102:J102&lt;&gt;"?"))</f>
        <v>2023</v>
      </c>
      <c r="V102">
        <f t="shared" si="5"/>
        <v>535</v>
      </c>
      <c r="W102">
        <f t="shared" si="6"/>
        <v>100</v>
      </c>
      <c r="X102">
        <f t="shared" si="7"/>
        <v>114</v>
      </c>
      <c r="Y102">
        <f t="shared" si="8"/>
        <v>749</v>
      </c>
      <c r="Z102">
        <f t="shared" si="9"/>
        <v>1.2447856941051336E-3</v>
      </c>
    </row>
    <row r="103" spans="1:26" ht="16" x14ac:dyDescent="0.2">
      <c r="A103" s="4" t="s">
        <v>306</v>
      </c>
      <c r="B103" s="4" t="s">
        <v>307</v>
      </c>
      <c r="C103" s="4" t="s">
        <v>308</v>
      </c>
      <c r="D103">
        <f>INDEX('Energieverbruik in TJ Gemeente'!$B$4:$Q$347,MATCH($C103,'Energieverbruik in TJ Gemeente'!$B$4:$B$347,0),MATCH(D$2,'Energieverbruik in TJ Gemeente'!$B$4:$Q$4,0))</f>
        <v>533</v>
      </c>
      <c r="E103">
        <f>INDEX('Energieverbruik in TJ Gemeente'!$B$4:$Q$347,MATCH($C103,'Energieverbruik in TJ Gemeente'!$B$4:$B$347,0),MATCH(E$2,'Energieverbruik in TJ Gemeente'!$B$4:$Q$4,0))</f>
        <v>511</v>
      </c>
      <c r="F103">
        <f>INDEX('Energieverbruik in TJ Gemeente'!$B$4:$Q$347,MATCH($C103,'Energieverbruik in TJ Gemeente'!$B$4:$B$347,0),MATCH(F$2,'Energieverbruik in TJ Gemeente'!$B$4:$Q$4,0))</f>
        <v>510</v>
      </c>
      <c r="G103">
        <f>INDEX('Energieverbruik in TJ Gemeente'!$B$4:$Q$347,MATCH($C103,'Energieverbruik in TJ Gemeente'!$B$4:$B$347,0),MATCH(G$2,'Energieverbruik in TJ Gemeente'!$B$4:$Q$4,0))</f>
        <v>446</v>
      </c>
      <c r="H103">
        <f>INDEX('Energieverbruik in TJ Gemeente'!$B$4:$Q$347,MATCH($C103,'Energieverbruik in TJ Gemeente'!$B$4:$B$347,0),MATCH(H$2,'Energieverbruik in TJ Gemeente'!$B$4:$Q$4,0))</f>
        <v>378</v>
      </c>
      <c r="I103">
        <f>INDEX('Energieverbruik in TJ Gemeente'!$B$4:$Q$347,MATCH($C103,'Energieverbruik in TJ Gemeente'!$B$4:$B$347,0),MATCH(I$2,'Energieverbruik in TJ Gemeente'!$B$4:$Q$4,0))</f>
        <v>75</v>
      </c>
      <c r="J103">
        <f>INDEX('Energieverbruik in TJ Gemeente'!$B$4:$Q$347,MATCH($C103,'Energieverbruik in TJ Gemeente'!$B$4:$B$347,0),MATCH(J$2,'Energieverbruik in TJ Gemeente'!$B$4:$Q$4,0))</f>
        <v>83</v>
      </c>
      <c r="K103">
        <f>INDEX('Energieverbruik in TJ Gemeente'!$B$4:$Q$347,MATCH($C103,'Energieverbruik in TJ Gemeente'!$B$4:$B$347,0),MATCH(K$2,'Energieverbruik in TJ Gemeente'!$B$4:$Q$4,0))</f>
        <v>95</v>
      </c>
      <c r="L103">
        <f>INDEX('Energieverbruik in TJ Gemeente'!$B$4:$Q$347,MATCH($C103,'Energieverbruik in TJ Gemeente'!$B$4:$B$347,0),MATCH(L$2,'Energieverbruik in TJ Gemeente'!$B$4:$Q$4,0))</f>
        <v>76</v>
      </c>
      <c r="M103">
        <f>INDEX('Energieverbruik in TJ Gemeente'!$B$4:$Q$347,MATCH($C103,'Energieverbruik in TJ Gemeente'!$B$4:$B$347,0),MATCH(M$2,'Energieverbruik in TJ Gemeente'!$B$4:$Q$4,0))</f>
        <v>69</v>
      </c>
      <c r="N103">
        <f>INDEX('Energieverbruik in TJ Gemeente'!$B$4:$Q$347,MATCH($C103,'Energieverbruik in TJ Gemeente'!$B$4:$B$347,0),MATCH(N$2,'Energieverbruik in TJ Gemeente'!$B$4:$Q$4,0))</f>
        <v>8</v>
      </c>
      <c r="O103">
        <f>INDEX('Energieverbruik in TJ Gemeente'!$B$4:$Q$347,MATCH($C103,'Energieverbruik in TJ Gemeente'!$B$4:$B$347,0),MATCH(O$2,'Energieverbruik in TJ Gemeente'!$B$4:$Q$4,0))</f>
        <v>7</v>
      </c>
      <c r="P103">
        <f>INDEX('Energieverbruik in TJ Gemeente'!$B$4:$Q$347,MATCH($C103,'Energieverbruik in TJ Gemeente'!$B$4:$B$347,0),MATCH(P$2,'Energieverbruik in TJ Gemeente'!$B$4:$Q$4,0))</f>
        <v>10</v>
      </c>
      <c r="Q103">
        <f>INDEX('Energieverbruik in TJ Gemeente'!$B$4:$Q$347,MATCH($C103,'Energieverbruik in TJ Gemeente'!$B$4:$B$347,0),MATCH(Q$2,'Energieverbruik in TJ Gemeente'!$B$4:$Q$4,0))</f>
        <v>7</v>
      </c>
      <c r="R103">
        <f>INDEX('Energieverbruik in TJ Gemeente'!$B$4:$Q$347,MATCH($C103,'Energieverbruik in TJ Gemeente'!$B$4:$B$347,0),MATCH(R$2,'Energieverbruik in TJ Gemeente'!$B$4:$Q$4,0))</f>
        <v>6</v>
      </c>
      <c r="S103" cm="1">
        <f t="array" ref="S103">MAX(_xlfn._xlws.FILTER(D$1:H$1, D103:H103&lt;&gt;"?"))</f>
        <v>2023</v>
      </c>
      <c r="T103" cm="1">
        <f t="array" ref="T103">MAX(_xlfn._xlws.FILTER(I$1:M$1, I103:M103&lt;&gt;"?"))</f>
        <v>2023</v>
      </c>
      <c r="U103" cm="1">
        <f t="array" ref="U103">MAX(_xlfn._xlws.FILTER(F$1:J$1, F103:J103&lt;&gt;"?"))</f>
        <v>2023</v>
      </c>
      <c r="V103">
        <f t="shared" si="5"/>
        <v>378</v>
      </c>
      <c r="W103">
        <f t="shared" si="6"/>
        <v>69</v>
      </c>
      <c r="X103">
        <f t="shared" si="7"/>
        <v>6</v>
      </c>
      <c r="Y103">
        <f t="shared" si="8"/>
        <v>453</v>
      </c>
      <c r="Z103">
        <f t="shared" si="9"/>
        <v>7.5285436505958018E-4</v>
      </c>
    </row>
    <row r="104" spans="1:26" ht="32" x14ac:dyDescent="0.2">
      <c r="A104" s="4" t="s">
        <v>309</v>
      </c>
      <c r="B104" s="4" t="s">
        <v>310</v>
      </c>
      <c r="C104" s="4" t="s">
        <v>311</v>
      </c>
      <c r="D104">
        <f>INDEX('Energieverbruik in TJ Gemeente'!$B$4:$Q$347,MATCH($C104,'Energieverbruik in TJ Gemeente'!$B$4:$B$347,0),MATCH(D$2,'Energieverbruik in TJ Gemeente'!$B$4:$Q$4,0))</f>
        <v>692</v>
      </c>
      <c r="E104">
        <f>INDEX('Energieverbruik in TJ Gemeente'!$B$4:$Q$347,MATCH($C104,'Energieverbruik in TJ Gemeente'!$B$4:$B$347,0),MATCH(E$2,'Energieverbruik in TJ Gemeente'!$B$4:$Q$4,0))</f>
        <v>697</v>
      </c>
      <c r="F104" t="str">
        <f>INDEX('Energieverbruik in TJ Gemeente'!$B$4:$Q$347,MATCH($C104,'Energieverbruik in TJ Gemeente'!$B$4:$B$347,0),MATCH(F$2,'Energieverbruik in TJ Gemeente'!$B$4:$Q$4,0))</f>
        <v>?</v>
      </c>
      <c r="G104">
        <f>INDEX('Energieverbruik in TJ Gemeente'!$B$4:$Q$347,MATCH($C104,'Energieverbruik in TJ Gemeente'!$B$4:$B$347,0),MATCH(G$2,'Energieverbruik in TJ Gemeente'!$B$4:$Q$4,0))</f>
        <v>597</v>
      </c>
      <c r="H104">
        <f>INDEX('Energieverbruik in TJ Gemeente'!$B$4:$Q$347,MATCH($C104,'Energieverbruik in TJ Gemeente'!$B$4:$B$347,0),MATCH(H$2,'Energieverbruik in TJ Gemeente'!$B$4:$Q$4,0))</f>
        <v>497</v>
      </c>
      <c r="I104">
        <f>INDEX('Energieverbruik in TJ Gemeente'!$B$4:$Q$347,MATCH($C104,'Energieverbruik in TJ Gemeente'!$B$4:$B$347,0),MATCH(I$2,'Energieverbruik in TJ Gemeente'!$B$4:$Q$4,0))</f>
        <v>87</v>
      </c>
      <c r="J104">
        <f>INDEX('Energieverbruik in TJ Gemeente'!$B$4:$Q$347,MATCH($C104,'Energieverbruik in TJ Gemeente'!$B$4:$B$347,0),MATCH(J$2,'Energieverbruik in TJ Gemeente'!$B$4:$Q$4,0))</f>
        <v>92</v>
      </c>
      <c r="K104">
        <f>INDEX('Energieverbruik in TJ Gemeente'!$B$4:$Q$347,MATCH($C104,'Energieverbruik in TJ Gemeente'!$B$4:$B$347,0),MATCH(K$2,'Energieverbruik in TJ Gemeente'!$B$4:$Q$4,0))</f>
        <v>102</v>
      </c>
      <c r="L104">
        <f>INDEX('Energieverbruik in TJ Gemeente'!$B$4:$Q$347,MATCH($C104,'Energieverbruik in TJ Gemeente'!$B$4:$B$347,0),MATCH(L$2,'Energieverbruik in TJ Gemeente'!$B$4:$Q$4,0))</f>
        <v>88</v>
      </c>
      <c r="M104">
        <f>INDEX('Energieverbruik in TJ Gemeente'!$B$4:$Q$347,MATCH($C104,'Energieverbruik in TJ Gemeente'!$B$4:$B$347,0),MATCH(M$2,'Energieverbruik in TJ Gemeente'!$B$4:$Q$4,0))</f>
        <v>93</v>
      </c>
      <c r="N104">
        <f>INDEX('Energieverbruik in TJ Gemeente'!$B$4:$Q$347,MATCH($C104,'Energieverbruik in TJ Gemeente'!$B$4:$B$347,0),MATCH(N$2,'Energieverbruik in TJ Gemeente'!$B$4:$Q$4,0))</f>
        <v>24</v>
      </c>
      <c r="O104">
        <f>INDEX('Energieverbruik in TJ Gemeente'!$B$4:$Q$347,MATCH($C104,'Energieverbruik in TJ Gemeente'!$B$4:$B$347,0),MATCH(O$2,'Energieverbruik in TJ Gemeente'!$B$4:$Q$4,0))</f>
        <v>21</v>
      </c>
      <c r="P104">
        <f>INDEX('Energieverbruik in TJ Gemeente'!$B$4:$Q$347,MATCH($C104,'Energieverbruik in TJ Gemeente'!$B$4:$B$347,0),MATCH(P$2,'Energieverbruik in TJ Gemeente'!$B$4:$Q$4,0))</f>
        <v>23</v>
      </c>
      <c r="Q104">
        <f>INDEX('Energieverbruik in TJ Gemeente'!$B$4:$Q$347,MATCH($C104,'Energieverbruik in TJ Gemeente'!$B$4:$B$347,0),MATCH(Q$2,'Energieverbruik in TJ Gemeente'!$B$4:$Q$4,0))</f>
        <v>21</v>
      </c>
      <c r="R104">
        <f>INDEX('Energieverbruik in TJ Gemeente'!$B$4:$Q$347,MATCH($C104,'Energieverbruik in TJ Gemeente'!$B$4:$B$347,0),MATCH(R$2,'Energieverbruik in TJ Gemeente'!$B$4:$Q$4,0))</f>
        <v>15</v>
      </c>
      <c r="S104" cm="1">
        <f t="array" ref="S104">MAX(_xlfn._xlws.FILTER(D$1:H$1, D104:H104&lt;&gt;"?"))</f>
        <v>2023</v>
      </c>
      <c r="T104" cm="1">
        <f t="array" ref="T104">MAX(_xlfn._xlws.FILTER(I$1:M$1, I104:M104&lt;&gt;"?"))</f>
        <v>2023</v>
      </c>
      <c r="U104" cm="1">
        <f t="array" ref="U104">MAX(_xlfn._xlws.FILTER(F$1:J$1, F104:J104&lt;&gt;"?"))</f>
        <v>2023</v>
      </c>
      <c r="V104">
        <f t="shared" si="5"/>
        <v>497</v>
      </c>
      <c r="W104">
        <f t="shared" si="6"/>
        <v>93</v>
      </c>
      <c r="X104">
        <f t="shared" si="7"/>
        <v>15</v>
      </c>
      <c r="Y104">
        <f t="shared" si="8"/>
        <v>605</v>
      </c>
      <c r="Z104">
        <f t="shared" si="9"/>
        <v>1.0054677502451348E-3</v>
      </c>
    </row>
    <row r="105" spans="1:26" ht="32" x14ac:dyDescent="0.2">
      <c r="A105" s="4" t="s">
        <v>312</v>
      </c>
      <c r="B105" s="4" t="s">
        <v>313</v>
      </c>
      <c r="C105" s="4" t="s">
        <v>314</v>
      </c>
      <c r="D105">
        <f>INDEX('Energieverbruik in TJ Gemeente'!$B$4:$Q$347,MATCH($C105,'Energieverbruik in TJ Gemeente'!$B$4:$B$347,0),MATCH(D$2,'Energieverbruik in TJ Gemeente'!$B$4:$Q$4,0))</f>
        <v>1288</v>
      </c>
      <c r="E105">
        <f>INDEX('Energieverbruik in TJ Gemeente'!$B$4:$Q$347,MATCH($C105,'Energieverbruik in TJ Gemeente'!$B$4:$B$347,0),MATCH(E$2,'Energieverbruik in TJ Gemeente'!$B$4:$Q$4,0))</f>
        <v>1266</v>
      </c>
      <c r="F105">
        <f>INDEX('Energieverbruik in TJ Gemeente'!$B$4:$Q$347,MATCH($C105,'Energieverbruik in TJ Gemeente'!$B$4:$B$347,0),MATCH(F$2,'Energieverbruik in TJ Gemeente'!$B$4:$Q$4,0))</f>
        <v>1271</v>
      </c>
      <c r="G105">
        <f>INDEX('Energieverbruik in TJ Gemeente'!$B$4:$Q$347,MATCH($C105,'Energieverbruik in TJ Gemeente'!$B$4:$B$347,0),MATCH(G$2,'Energieverbruik in TJ Gemeente'!$B$4:$Q$4,0))</f>
        <v>1111</v>
      </c>
      <c r="H105" t="str">
        <f>INDEX('Energieverbruik in TJ Gemeente'!$B$4:$Q$347,MATCH($C105,'Energieverbruik in TJ Gemeente'!$B$4:$B$347,0),MATCH(H$2,'Energieverbruik in TJ Gemeente'!$B$4:$Q$4,0))</f>
        <v>?</v>
      </c>
      <c r="I105">
        <f>INDEX('Energieverbruik in TJ Gemeente'!$B$4:$Q$347,MATCH($C105,'Energieverbruik in TJ Gemeente'!$B$4:$B$347,0),MATCH(I$2,'Energieverbruik in TJ Gemeente'!$B$4:$Q$4,0))</f>
        <v>62</v>
      </c>
      <c r="J105">
        <f>INDEX('Energieverbruik in TJ Gemeente'!$B$4:$Q$347,MATCH($C105,'Energieverbruik in TJ Gemeente'!$B$4:$B$347,0),MATCH(J$2,'Energieverbruik in TJ Gemeente'!$B$4:$Q$4,0))</f>
        <v>59</v>
      </c>
      <c r="K105">
        <f>INDEX('Energieverbruik in TJ Gemeente'!$B$4:$Q$347,MATCH($C105,'Energieverbruik in TJ Gemeente'!$B$4:$B$347,0),MATCH(K$2,'Energieverbruik in TJ Gemeente'!$B$4:$Q$4,0))</f>
        <v>63</v>
      </c>
      <c r="L105">
        <f>INDEX('Energieverbruik in TJ Gemeente'!$B$4:$Q$347,MATCH($C105,'Energieverbruik in TJ Gemeente'!$B$4:$B$347,0),MATCH(L$2,'Energieverbruik in TJ Gemeente'!$B$4:$Q$4,0))</f>
        <v>61</v>
      </c>
      <c r="M105" t="str">
        <f>INDEX('Energieverbruik in TJ Gemeente'!$B$4:$Q$347,MATCH($C105,'Energieverbruik in TJ Gemeente'!$B$4:$B$347,0),MATCH(M$2,'Energieverbruik in TJ Gemeente'!$B$4:$Q$4,0))</f>
        <v>?</v>
      </c>
      <c r="N105">
        <f>INDEX('Energieverbruik in TJ Gemeente'!$B$4:$Q$347,MATCH($C105,'Energieverbruik in TJ Gemeente'!$B$4:$B$347,0),MATCH(N$2,'Energieverbruik in TJ Gemeente'!$B$4:$Q$4,0))</f>
        <v>291</v>
      </c>
      <c r="O105">
        <f>INDEX('Energieverbruik in TJ Gemeente'!$B$4:$Q$347,MATCH($C105,'Energieverbruik in TJ Gemeente'!$B$4:$B$347,0),MATCH(O$2,'Energieverbruik in TJ Gemeente'!$B$4:$Q$4,0))</f>
        <v>280</v>
      </c>
      <c r="P105">
        <f>INDEX('Energieverbruik in TJ Gemeente'!$B$4:$Q$347,MATCH($C105,'Energieverbruik in TJ Gemeente'!$B$4:$B$347,0),MATCH(P$2,'Energieverbruik in TJ Gemeente'!$B$4:$Q$4,0))</f>
        <v>276</v>
      </c>
      <c r="Q105">
        <f>INDEX('Energieverbruik in TJ Gemeente'!$B$4:$Q$347,MATCH($C105,'Energieverbruik in TJ Gemeente'!$B$4:$B$347,0),MATCH(Q$2,'Energieverbruik in TJ Gemeente'!$B$4:$Q$4,0))</f>
        <v>249</v>
      </c>
      <c r="R105">
        <f>INDEX('Energieverbruik in TJ Gemeente'!$B$4:$Q$347,MATCH($C105,'Energieverbruik in TJ Gemeente'!$B$4:$B$347,0),MATCH(R$2,'Energieverbruik in TJ Gemeente'!$B$4:$Q$4,0))</f>
        <v>236</v>
      </c>
      <c r="S105" cm="1">
        <f t="array" ref="S105">MAX(_xlfn._xlws.FILTER(D$1:H$1, D105:H105&lt;&gt;"?"))</f>
        <v>2022</v>
      </c>
      <c r="T105" cm="1">
        <f t="array" ref="T105">MAX(_xlfn._xlws.FILTER(I$1:M$1, I105:M105&lt;&gt;"?"))</f>
        <v>2022</v>
      </c>
      <c r="U105" cm="1">
        <f t="array" ref="U105">MAX(_xlfn._xlws.FILTER(F$1:J$1, F105:J105&lt;&gt;"?"))</f>
        <v>2022</v>
      </c>
      <c r="V105">
        <f t="shared" si="5"/>
        <v>1111</v>
      </c>
      <c r="W105">
        <f t="shared" si="6"/>
        <v>61</v>
      </c>
      <c r="X105">
        <f t="shared" si="7"/>
        <v>249</v>
      </c>
      <c r="Y105">
        <f t="shared" si="8"/>
        <v>1421</v>
      </c>
      <c r="Z105">
        <f t="shared" si="9"/>
        <v>2.3616027654517957E-3</v>
      </c>
    </row>
    <row r="106" spans="1:26" ht="16" x14ac:dyDescent="0.2">
      <c r="A106" s="4" t="s">
        <v>315</v>
      </c>
      <c r="B106" s="4" t="s">
        <v>316</v>
      </c>
      <c r="C106" s="4" t="s">
        <v>317</v>
      </c>
      <c r="D106">
        <f>INDEX('Energieverbruik in TJ Gemeente'!$B$4:$Q$347,MATCH($C106,'Energieverbruik in TJ Gemeente'!$B$4:$B$347,0),MATCH(D$2,'Energieverbruik in TJ Gemeente'!$B$4:$Q$4,0))</f>
        <v>1063</v>
      </c>
      <c r="E106">
        <f>INDEX('Energieverbruik in TJ Gemeente'!$B$4:$Q$347,MATCH($C106,'Energieverbruik in TJ Gemeente'!$B$4:$B$347,0),MATCH(E$2,'Energieverbruik in TJ Gemeente'!$B$4:$Q$4,0))</f>
        <v>966</v>
      </c>
      <c r="F106">
        <f>INDEX('Energieverbruik in TJ Gemeente'!$B$4:$Q$347,MATCH($C106,'Energieverbruik in TJ Gemeente'!$B$4:$B$347,0),MATCH(F$2,'Energieverbruik in TJ Gemeente'!$B$4:$Q$4,0))</f>
        <v>1020</v>
      </c>
      <c r="G106">
        <f>INDEX('Energieverbruik in TJ Gemeente'!$B$4:$Q$347,MATCH($C106,'Energieverbruik in TJ Gemeente'!$B$4:$B$347,0),MATCH(G$2,'Energieverbruik in TJ Gemeente'!$B$4:$Q$4,0))</f>
        <v>892</v>
      </c>
      <c r="H106">
        <f>INDEX('Energieverbruik in TJ Gemeente'!$B$4:$Q$347,MATCH($C106,'Energieverbruik in TJ Gemeente'!$B$4:$B$347,0),MATCH(H$2,'Energieverbruik in TJ Gemeente'!$B$4:$Q$4,0))</f>
        <v>764</v>
      </c>
      <c r="I106">
        <f>INDEX('Energieverbruik in TJ Gemeente'!$B$4:$Q$347,MATCH($C106,'Energieverbruik in TJ Gemeente'!$B$4:$B$347,0),MATCH(I$2,'Energieverbruik in TJ Gemeente'!$B$4:$Q$4,0))</f>
        <v>343</v>
      </c>
      <c r="J106">
        <f>INDEX('Energieverbruik in TJ Gemeente'!$B$4:$Q$347,MATCH($C106,'Energieverbruik in TJ Gemeente'!$B$4:$B$347,0),MATCH(J$2,'Energieverbruik in TJ Gemeente'!$B$4:$Q$4,0))</f>
        <v>157</v>
      </c>
      <c r="K106">
        <f>INDEX('Energieverbruik in TJ Gemeente'!$B$4:$Q$347,MATCH($C106,'Energieverbruik in TJ Gemeente'!$B$4:$B$347,0),MATCH(K$2,'Energieverbruik in TJ Gemeente'!$B$4:$Q$4,0))</f>
        <v>349</v>
      </c>
      <c r="L106">
        <f>INDEX('Energieverbruik in TJ Gemeente'!$B$4:$Q$347,MATCH($C106,'Energieverbruik in TJ Gemeente'!$B$4:$B$347,0),MATCH(L$2,'Energieverbruik in TJ Gemeente'!$B$4:$Q$4,0))</f>
        <v>318</v>
      </c>
      <c r="M106">
        <f>INDEX('Energieverbruik in TJ Gemeente'!$B$4:$Q$347,MATCH($C106,'Energieverbruik in TJ Gemeente'!$B$4:$B$347,0),MATCH(M$2,'Energieverbruik in TJ Gemeente'!$B$4:$Q$4,0))</f>
        <v>343</v>
      </c>
      <c r="N106">
        <f>INDEX('Energieverbruik in TJ Gemeente'!$B$4:$Q$347,MATCH($C106,'Energieverbruik in TJ Gemeente'!$B$4:$B$347,0),MATCH(N$2,'Energieverbruik in TJ Gemeente'!$B$4:$Q$4,0))</f>
        <v>8</v>
      </c>
      <c r="O106">
        <f>INDEX('Energieverbruik in TJ Gemeente'!$B$4:$Q$347,MATCH($C106,'Energieverbruik in TJ Gemeente'!$B$4:$B$347,0),MATCH(O$2,'Energieverbruik in TJ Gemeente'!$B$4:$Q$4,0))</f>
        <v>4</v>
      </c>
      <c r="P106">
        <f>INDEX('Energieverbruik in TJ Gemeente'!$B$4:$Q$347,MATCH($C106,'Energieverbruik in TJ Gemeente'!$B$4:$B$347,0),MATCH(P$2,'Energieverbruik in TJ Gemeente'!$B$4:$Q$4,0))</f>
        <v>5</v>
      </c>
      <c r="Q106">
        <f>INDEX('Energieverbruik in TJ Gemeente'!$B$4:$Q$347,MATCH($C106,'Energieverbruik in TJ Gemeente'!$B$4:$B$347,0),MATCH(Q$2,'Energieverbruik in TJ Gemeente'!$B$4:$Q$4,0))</f>
        <v>4</v>
      </c>
      <c r="R106">
        <f>INDEX('Energieverbruik in TJ Gemeente'!$B$4:$Q$347,MATCH($C106,'Energieverbruik in TJ Gemeente'!$B$4:$B$347,0),MATCH(R$2,'Energieverbruik in TJ Gemeente'!$B$4:$Q$4,0))</f>
        <v>3</v>
      </c>
      <c r="S106" cm="1">
        <f t="array" ref="S106">MAX(_xlfn._xlws.FILTER(D$1:H$1, D106:H106&lt;&gt;"?"))</f>
        <v>2023</v>
      </c>
      <c r="T106" cm="1">
        <f t="array" ref="T106">MAX(_xlfn._xlws.FILTER(I$1:M$1, I106:M106&lt;&gt;"?"))</f>
        <v>2023</v>
      </c>
      <c r="U106" cm="1">
        <f t="array" ref="U106">MAX(_xlfn._xlws.FILTER(F$1:J$1, F106:J106&lt;&gt;"?"))</f>
        <v>2023</v>
      </c>
      <c r="V106">
        <f t="shared" si="5"/>
        <v>764</v>
      </c>
      <c r="W106">
        <f t="shared" si="6"/>
        <v>343</v>
      </c>
      <c r="X106">
        <f t="shared" si="7"/>
        <v>3</v>
      </c>
      <c r="Y106">
        <f t="shared" si="8"/>
        <v>1110</v>
      </c>
      <c r="Z106">
        <f t="shared" si="9"/>
        <v>1.8447424839208256E-3</v>
      </c>
    </row>
    <row r="107" spans="1:26" ht="16" x14ac:dyDescent="0.2">
      <c r="A107" s="4" t="s">
        <v>318</v>
      </c>
      <c r="B107" s="4" t="s">
        <v>319</v>
      </c>
      <c r="C107" s="4" t="s">
        <v>320</v>
      </c>
      <c r="D107">
        <f>INDEX('Energieverbruik in TJ Gemeente'!$B$4:$Q$347,MATCH($C107,'Energieverbruik in TJ Gemeente'!$B$4:$B$347,0),MATCH(D$2,'Energieverbruik in TJ Gemeente'!$B$4:$Q$4,0))</f>
        <v>553</v>
      </c>
      <c r="E107">
        <f>INDEX('Energieverbruik in TJ Gemeente'!$B$4:$Q$347,MATCH($C107,'Energieverbruik in TJ Gemeente'!$B$4:$B$347,0),MATCH(E$2,'Energieverbruik in TJ Gemeente'!$B$4:$Q$4,0))</f>
        <v>525</v>
      </c>
      <c r="F107">
        <f>INDEX('Energieverbruik in TJ Gemeente'!$B$4:$Q$347,MATCH($C107,'Energieverbruik in TJ Gemeente'!$B$4:$B$347,0),MATCH(F$2,'Energieverbruik in TJ Gemeente'!$B$4:$Q$4,0))</f>
        <v>525</v>
      </c>
      <c r="G107">
        <f>INDEX('Energieverbruik in TJ Gemeente'!$B$4:$Q$347,MATCH($C107,'Energieverbruik in TJ Gemeente'!$B$4:$B$347,0),MATCH(G$2,'Energieverbruik in TJ Gemeente'!$B$4:$Q$4,0))</f>
        <v>466</v>
      </c>
      <c r="H107">
        <f>INDEX('Energieverbruik in TJ Gemeente'!$B$4:$Q$347,MATCH($C107,'Energieverbruik in TJ Gemeente'!$B$4:$B$347,0),MATCH(H$2,'Energieverbruik in TJ Gemeente'!$B$4:$Q$4,0))</f>
        <v>382</v>
      </c>
      <c r="I107">
        <f>INDEX('Energieverbruik in TJ Gemeente'!$B$4:$Q$347,MATCH($C107,'Energieverbruik in TJ Gemeente'!$B$4:$B$347,0),MATCH(I$2,'Energieverbruik in TJ Gemeente'!$B$4:$Q$4,0))</f>
        <v>42</v>
      </c>
      <c r="J107">
        <f>INDEX('Energieverbruik in TJ Gemeente'!$B$4:$Q$347,MATCH($C107,'Energieverbruik in TJ Gemeente'!$B$4:$B$347,0),MATCH(J$2,'Energieverbruik in TJ Gemeente'!$B$4:$Q$4,0))</f>
        <v>32</v>
      </c>
      <c r="K107">
        <f>INDEX('Energieverbruik in TJ Gemeente'!$B$4:$Q$347,MATCH($C107,'Energieverbruik in TJ Gemeente'!$B$4:$B$347,0),MATCH(K$2,'Energieverbruik in TJ Gemeente'!$B$4:$Q$4,0))</f>
        <v>23</v>
      </c>
      <c r="L107">
        <f>INDEX('Energieverbruik in TJ Gemeente'!$B$4:$Q$347,MATCH($C107,'Energieverbruik in TJ Gemeente'!$B$4:$B$347,0),MATCH(L$2,'Energieverbruik in TJ Gemeente'!$B$4:$Q$4,0))</f>
        <v>14</v>
      </c>
      <c r="M107">
        <f>INDEX('Energieverbruik in TJ Gemeente'!$B$4:$Q$347,MATCH($C107,'Energieverbruik in TJ Gemeente'!$B$4:$B$347,0),MATCH(M$2,'Energieverbruik in TJ Gemeente'!$B$4:$Q$4,0))</f>
        <v>10</v>
      </c>
      <c r="N107">
        <f>INDEX('Energieverbruik in TJ Gemeente'!$B$4:$Q$347,MATCH($C107,'Energieverbruik in TJ Gemeente'!$B$4:$B$347,0),MATCH(N$2,'Energieverbruik in TJ Gemeente'!$B$4:$Q$4,0))</f>
        <v>11</v>
      </c>
      <c r="O107">
        <f>INDEX('Energieverbruik in TJ Gemeente'!$B$4:$Q$347,MATCH($C107,'Energieverbruik in TJ Gemeente'!$B$4:$B$347,0),MATCH(O$2,'Energieverbruik in TJ Gemeente'!$B$4:$Q$4,0))</f>
        <v>9</v>
      </c>
      <c r="P107">
        <f>INDEX('Energieverbruik in TJ Gemeente'!$B$4:$Q$347,MATCH($C107,'Energieverbruik in TJ Gemeente'!$B$4:$B$347,0),MATCH(P$2,'Energieverbruik in TJ Gemeente'!$B$4:$Q$4,0))</f>
        <v>10</v>
      </c>
      <c r="Q107">
        <f>INDEX('Energieverbruik in TJ Gemeente'!$B$4:$Q$347,MATCH($C107,'Energieverbruik in TJ Gemeente'!$B$4:$B$347,0),MATCH(Q$2,'Energieverbruik in TJ Gemeente'!$B$4:$Q$4,0))</f>
        <v>8</v>
      </c>
      <c r="R107">
        <f>INDEX('Energieverbruik in TJ Gemeente'!$B$4:$Q$347,MATCH($C107,'Energieverbruik in TJ Gemeente'!$B$4:$B$347,0),MATCH(R$2,'Energieverbruik in TJ Gemeente'!$B$4:$Q$4,0))</f>
        <v>4</v>
      </c>
      <c r="S107" cm="1">
        <f t="array" ref="S107">MAX(_xlfn._xlws.FILTER(D$1:H$1, D107:H107&lt;&gt;"?"))</f>
        <v>2023</v>
      </c>
      <c r="T107" cm="1">
        <f t="array" ref="T107">MAX(_xlfn._xlws.FILTER(I$1:M$1, I107:M107&lt;&gt;"?"))</f>
        <v>2023</v>
      </c>
      <c r="U107" cm="1">
        <f t="array" ref="U107">MAX(_xlfn._xlws.FILTER(F$1:J$1, F107:J107&lt;&gt;"?"))</f>
        <v>2023</v>
      </c>
      <c r="V107">
        <f t="shared" si="5"/>
        <v>382</v>
      </c>
      <c r="W107">
        <f t="shared" si="6"/>
        <v>10</v>
      </c>
      <c r="X107">
        <f t="shared" si="7"/>
        <v>4</v>
      </c>
      <c r="Y107">
        <f t="shared" si="8"/>
        <v>396</v>
      </c>
      <c r="Z107">
        <f t="shared" si="9"/>
        <v>6.5812434561499729E-4</v>
      </c>
    </row>
    <row r="108" spans="1:26" ht="32" x14ac:dyDescent="0.2">
      <c r="A108" s="4" t="s">
        <v>321</v>
      </c>
      <c r="B108" s="4" t="s">
        <v>322</v>
      </c>
      <c r="C108" s="4" t="s">
        <v>323</v>
      </c>
      <c r="D108">
        <f>INDEX('Energieverbruik in TJ Gemeente'!$B$4:$Q$347,MATCH($C108,'Energieverbruik in TJ Gemeente'!$B$4:$B$347,0),MATCH(D$2,'Energieverbruik in TJ Gemeente'!$B$4:$Q$4,0))</f>
        <v>1738</v>
      </c>
      <c r="E108">
        <f>INDEX('Energieverbruik in TJ Gemeente'!$B$4:$Q$347,MATCH($C108,'Energieverbruik in TJ Gemeente'!$B$4:$B$347,0),MATCH(E$2,'Energieverbruik in TJ Gemeente'!$B$4:$Q$4,0))</f>
        <v>1656</v>
      </c>
      <c r="F108">
        <f>INDEX('Energieverbruik in TJ Gemeente'!$B$4:$Q$347,MATCH($C108,'Energieverbruik in TJ Gemeente'!$B$4:$B$347,0),MATCH(F$2,'Energieverbruik in TJ Gemeente'!$B$4:$Q$4,0))</f>
        <v>1708</v>
      </c>
      <c r="G108">
        <f>INDEX('Energieverbruik in TJ Gemeente'!$B$4:$Q$347,MATCH($C108,'Energieverbruik in TJ Gemeente'!$B$4:$B$347,0),MATCH(G$2,'Energieverbruik in TJ Gemeente'!$B$4:$Q$4,0))</f>
        <v>1491</v>
      </c>
      <c r="H108">
        <f>INDEX('Energieverbruik in TJ Gemeente'!$B$4:$Q$347,MATCH($C108,'Energieverbruik in TJ Gemeente'!$B$4:$B$347,0),MATCH(H$2,'Energieverbruik in TJ Gemeente'!$B$4:$Q$4,0))</f>
        <v>1256</v>
      </c>
      <c r="I108">
        <f>INDEX('Energieverbruik in TJ Gemeente'!$B$4:$Q$347,MATCH($C108,'Energieverbruik in TJ Gemeente'!$B$4:$B$347,0),MATCH(I$2,'Energieverbruik in TJ Gemeente'!$B$4:$Q$4,0))</f>
        <v>121</v>
      </c>
      <c r="J108">
        <f>INDEX('Energieverbruik in TJ Gemeente'!$B$4:$Q$347,MATCH($C108,'Energieverbruik in TJ Gemeente'!$B$4:$B$347,0),MATCH(J$2,'Energieverbruik in TJ Gemeente'!$B$4:$Q$4,0))</f>
        <v>108</v>
      </c>
      <c r="K108">
        <f>INDEX('Energieverbruik in TJ Gemeente'!$B$4:$Q$347,MATCH($C108,'Energieverbruik in TJ Gemeente'!$B$4:$B$347,0),MATCH(K$2,'Energieverbruik in TJ Gemeente'!$B$4:$Q$4,0))</f>
        <v>110</v>
      </c>
      <c r="L108">
        <f>INDEX('Energieverbruik in TJ Gemeente'!$B$4:$Q$347,MATCH($C108,'Energieverbruik in TJ Gemeente'!$B$4:$B$347,0),MATCH(L$2,'Energieverbruik in TJ Gemeente'!$B$4:$Q$4,0))</f>
        <v>101</v>
      </c>
      <c r="M108">
        <f>INDEX('Energieverbruik in TJ Gemeente'!$B$4:$Q$347,MATCH($C108,'Energieverbruik in TJ Gemeente'!$B$4:$B$347,0),MATCH(M$2,'Energieverbruik in TJ Gemeente'!$B$4:$Q$4,0))</f>
        <v>98</v>
      </c>
      <c r="N108">
        <f>INDEX('Energieverbruik in TJ Gemeente'!$B$4:$Q$347,MATCH($C108,'Energieverbruik in TJ Gemeente'!$B$4:$B$347,0),MATCH(N$2,'Energieverbruik in TJ Gemeente'!$B$4:$Q$4,0))</f>
        <v>7</v>
      </c>
      <c r="O108">
        <f>INDEX('Energieverbruik in TJ Gemeente'!$B$4:$Q$347,MATCH($C108,'Energieverbruik in TJ Gemeente'!$B$4:$B$347,0),MATCH(O$2,'Energieverbruik in TJ Gemeente'!$B$4:$Q$4,0))</f>
        <v>5</v>
      </c>
      <c r="P108">
        <f>INDEX('Energieverbruik in TJ Gemeente'!$B$4:$Q$347,MATCH($C108,'Energieverbruik in TJ Gemeente'!$B$4:$B$347,0),MATCH(P$2,'Energieverbruik in TJ Gemeente'!$B$4:$Q$4,0))</f>
        <v>3</v>
      </c>
      <c r="Q108">
        <f>INDEX('Energieverbruik in TJ Gemeente'!$B$4:$Q$347,MATCH($C108,'Energieverbruik in TJ Gemeente'!$B$4:$B$347,0),MATCH(Q$2,'Energieverbruik in TJ Gemeente'!$B$4:$Q$4,0))</f>
        <v>1</v>
      </c>
      <c r="R108">
        <f>INDEX('Energieverbruik in TJ Gemeente'!$B$4:$Q$347,MATCH($C108,'Energieverbruik in TJ Gemeente'!$B$4:$B$347,0),MATCH(R$2,'Energieverbruik in TJ Gemeente'!$B$4:$Q$4,0))</f>
        <v>2</v>
      </c>
      <c r="S108" cm="1">
        <f t="array" ref="S108">MAX(_xlfn._xlws.FILTER(D$1:H$1, D108:H108&lt;&gt;"?"))</f>
        <v>2023</v>
      </c>
      <c r="T108" cm="1">
        <f t="array" ref="T108">MAX(_xlfn._xlws.FILTER(I$1:M$1, I108:M108&lt;&gt;"?"))</f>
        <v>2023</v>
      </c>
      <c r="U108" cm="1">
        <f t="array" ref="U108">MAX(_xlfn._xlws.FILTER(F$1:J$1, F108:J108&lt;&gt;"?"))</f>
        <v>2023</v>
      </c>
      <c r="V108">
        <f t="shared" si="5"/>
        <v>1256</v>
      </c>
      <c r="W108">
        <f t="shared" si="6"/>
        <v>98</v>
      </c>
      <c r="X108">
        <f t="shared" si="7"/>
        <v>2</v>
      </c>
      <c r="Y108">
        <f t="shared" si="8"/>
        <v>1356</v>
      </c>
      <c r="Z108">
        <f t="shared" si="9"/>
        <v>2.2535773046816572E-3</v>
      </c>
    </row>
    <row r="109" spans="1:26" ht="16" x14ac:dyDescent="0.2">
      <c r="A109" s="4" t="s">
        <v>324</v>
      </c>
      <c r="B109" s="4" t="s">
        <v>325</v>
      </c>
      <c r="C109" s="4" t="s">
        <v>326</v>
      </c>
      <c r="D109">
        <f>INDEX('Energieverbruik in TJ Gemeente'!$B$4:$Q$347,MATCH($C109,'Energieverbruik in TJ Gemeente'!$B$4:$B$347,0),MATCH(D$2,'Energieverbruik in TJ Gemeente'!$B$4:$Q$4,0))</f>
        <v>833</v>
      </c>
      <c r="E109">
        <f>INDEX('Energieverbruik in TJ Gemeente'!$B$4:$Q$347,MATCH($C109,'Energieverbruik in TJ Gemeente'!$B$4:$B$347,0),MATCH(E$2,'Energieverbruik in TJ Gemeente'!$B$4:$Q$4,0))</f>
        <v>818</v>
      </c>
      <c r="F109">
        <f>INDEX('Energieverbruik in TJ Gemeente'!$B$4:$Q$347,MATCH($C109,'Energieverbruik in TJ Gemeente'!$B$4:$B$347,0),MATCH(F$2,'Energieverbruik in TJ Gemeente'!$B$4:$Q$4,0))</f>
        <v>835</v>
      </c>
      <c r="G109">
        <f>INDEX('Energieverbruik in TJ Gemeente'!$B$4:$Q$347,MATCH($C109,'Energieverbruik in TJ Gemeente'!$B$4:$B$347,0),MATCH(G$2,'Energieverbruik in TJ Gemeente'!$B$4:$Q$4,0))</f>
        <v>727</v>
      </c>
      <c r="H109">
        <f>INDEX('Energieverbruik in TJ Gemeente'!$B$4:$Q$347,MATCH($C109,'Energieverbruik in TJ Gemeente'!$B$4:$B$347,0),MATCH(H$2,'Energieverbruik in TJ Gemeente'!$B$4:$Q$4,0))</f>
        <v>633</v>
      </c>
      <c r="I109">
        <f>INDEX('Energieverbruik in TJ Gemeente'!$B$4:$Q$347,MATCH($C109,'Energieverbruik in TJ Gemeente'!$B$4:$B$347,0),MATCH(I$2,'Energieverbruik in TJ Gemeente'!$B$4:$Q$4,0))</f>
        <v>1383</v>
      </c>
      <c r="J109">
        <f>INDEX('Energieverbruik in TJ Gemeente'!$B$4:$Q$347,MATCH($C109,'Energieverbruik in TJ Gemeente'!$B$4:$B$347,0),MATCH(J$2,'Energieverbruik in TJ Gemeente'!$B$4:$Q$4,0))</f>
        <v>1423</v>
      </c>
      <c r="K109">
        <f>INDEX('Energieverbruik in TJ Gemeente'!$B$4:$Q$347,MATCH($C109,'Energieverbruik in TJ Gemeente'!$B$4:$B$347,0),MATCH(K$2,'Energieverbruik in TJ Gemeente'!$B$4:$Q$4,0))</f>
        <v>1428</v>
      </c>
      <c r="L109">
        <f>INDEX('Energieverbruik in TJ Gemeente'!$B$4:$Q$347,MATCH($C109,'Energieverbruik in TJ Gemeente'!$B$4:$B$347,0),MATCH(L$2,'Energieverbruik in TJ Gemeente'!$B$4:$Q$4,0))</f>
        <v>1469</v>
      </c>
      <c r="M109">
        <f>INDEX('Energieverbruik in TJ Gemeente'!$B$4:$Q$347,MATCH($C109,'Energieverbruik in TJ Gemeente'!$B$4:$B$347,0),MATCH(M$2,'Energieverbruik in TJ Gemeente'!$B$4:$Q$4,0))</f>
        <v>1436</v>
      </c>
      <c r="N109">
        <f>INDEX('Energieverbruik in TJ Gemeente'!$B$4:$Q$347,MATCH($C109,'Energieverbruik in TJ Gemeente'!$B$4:$B$347,0),MATCH(N$2,'Energieverbruik in TJ Gemeente'!$B$4:$Q$4,0))</f>
        <v>1</v>
      </c>
      <c r="O109">
        <f>INDEX('Energieverbruik in TJ Gemeente'!$B$4:$Q$347,MATCH($C109,'Energieverbruik in TJ Gemeente'!$B$4:$B$347,0),MATCH(O$2,'Energieverbruik in TJ Gemeente'!$B$4:$Q$4,0))</f>
        <v>1</v>
      </c>
      <c r="P109">
        <f>INDEX('Energieverbruik in TJ Gemeente'!$B$4:$Q$347,MATCH($C109,'Energieverbruik in TJ Gemeente'!$B$4:$B$347,0),MATCH(P$2,'Energieverbruik in TJ Gemeente'!$B$4:$Q$4,0))</f>
        <v>1</v>
      </c>
      <c r="Q109">
        <f>INDEX('Energieverbruik in TJ Gemeente'!$B$4:$Q$347,MATCH($C109,'Energieverbruik in TJ Gemeente'!$B$4:$B$347,0),MATCH(Q$2,'Energieverbruik in TJ Gemeente'!$B$4:$Q$4,0))</f>
        <v>1</v>
      </c>
      <c r="R109">
        <f>INDEX('Energieverbruik in TJ Gemeente'!$B$4:$Q$347,MATCH($C109,'Energieverbruik in TJ Gemeente'!$B$4:$B$347,0),MATCH(R$2,'Energieverbruik in TJ Gemeente'!$B$4:$Q$4,0))</f>
        <v>0</v>
      </c>
      <c r="S109" cm="1">
        <f t="array" ref="S109">MAX(_xlfn._xlws.FILTER(D$1:H$1, D109:H109&lt;&gt;"?"))</f>
        <v>2023</v>
      </c>
      <c r="T109" cm="1">
        <f t="array" ref="T109">MAX(_xlfn._xlws.FILTER(I$1:M$1, I109:M109&lt;&gt;"?"))</f>
        <v>2023</v>
      </c>
      <c r="U109" cm="1">
        <f t="array" ref="U109">MAX(_xlfn._xlws.FILTER(F$1:J$1, F109:J109&lt;&gt;"?"))</f>
        <v>2023</v>
      </c>
      <c r="V109">
        <f t="shared" si="5"/>
        <v>633</v>
      </c>
      <c r="W109">
        <f t="shared" si="6"/>
        <v>1436</v>
      </c>
      <c r="X109">
        <f t="shared" si="7"/>
        <v>0</v>
      </c>
      <c r="Y109">
        <f t="shared" si="8"/>
        <v>2069</v>
      </c>
      <c r="Z109">
        <f t="shared" si="9"/>
        <v>3.4385335128217912E-3</v>
      </c>
    </row>
    <row r="110" spans="1:26" ht="16" x14ac:dyDescent="0.2">
      <c r="A110" s="4" t="s">
        <v>327</v>
      </c>
      <c r="B110" s="4" t="s">
        <v>328</v>
      </c>
      <c r="C110" s="4" t="s">
        <v>329</v>
      </c>
      <c r="D110">
        <f>INDEX('Energieverbruik in TJ Gemeente'!$B$4:$Q$347,MATCH($C110,'Energieverbruik in TJ Gemeente'!$B$4:$B$347,0),MATCH(D$2,'Energieverbruik in TJ Gemeente'!$B$4:$Q$4,0))</f>
        <v>1564</v>
      </c>
      <c r="E110">
        <f>INDEX('Energieverbruik in TJ Gemeente'!$B$4:$Q$347,MATCH($C110,'Energieverbruik in TJ Gemeente'!$B$4:$B$347,0),MATCH(E$2,'Energieverbruik in TJ Gemeente'!$B$4:$Q$4,0))</f>
        <v>1518</v>
      </c>
      <c r="F110">
        <f>INDEX('Energieverbruik in TJ Gemeente'!$B$4:$Q$347,MATCH($C110,'Energieverbruik in TJ Gemeente'!$B$4:$B$347,0),MATCH(F$2,'Energieverbruik in TJ Gemeente'!$B$4:$Q$4,0))</f>
        <v>1551</v>
      </c>
      <c r="G110">
        <f>INDEX('Energieverbruik in TJ Gemeente'!$B$4:$Q$347,MATCH($C110,'Energieverbruik in TJ Gemeente'!$B$4:$B$347,0),MATCH(G$2,'Energieverbruik in TJ Gemeente'!$B$4:$Q$4,0))</f>
        <v>1353</v>
      </c>
      <c r="H110">
        <f>INDEX('Energieverbruik in TJ Gemeente'!$B$4:$Q$347,MATCH($C110,'Energieverbruik in TJ Gemeente'!$B$4:$B$347,0),MATCH(H$2,'Energieverbruik in TJ Gemeente'!$B$4:$Q$4,0))</f>
        <v>1153</v>
      </c>
      <c r="I110">
        <f>INDEX('Energieverbruik in TJ Gemeente'!$B$4:$Q$347,MATCH($C110,'Energieverbruik in TJ Gemeente'!$B$4:$B$347,0),MATCH(I$2,'Energieverbruik in TJ Gemeente'!$B$4:$Q$4,0))</f>
        <v>840</v>
      </c>
      <c r="J110">
        <f>INDEX('Energieverbruik in TJ Gemeente'!$B$4:$Q$347,MATCH($C110,'Energieverbruik in TJ Gemeente'!$B$4:$B$347,0),MATCH(J$2,'Energieverbruik in TJ Gemeente'!$B$4:$Q$4,0))</f>
        <v>793</v>
      </c>
      <c r="K110">
        <f>INDEX('Energieverbruik in TJ Gemeente'!$B$4:$Q$347,MATCH($C110,'Energieverbruik in TJ Gemeente'!$B$4:$B$347,0),MATCH(K$2,'Energieverbruik in TJ Gemeente'!$B$4:$Q$4,0))</f>
        <v>838</v>
      </c>
      <c r="L110">
        <f>INDEX('Energieverbruik in TJ Gemeente'!$B$4:$Q$347,MATCH($C110,'Energieverbruik in TJ Gemeente'!$B$4:$B$347,0),MATCH(L$2,'Energieverbruik in TJ Gemeente'!$B$4:$Q$4,0))</f>
        <v>761</v>
      </c>
      <c r="M110">
        <f>INDEX('Energieverbruik in TJ Gemeente'!$B$4:$Q$347,MATCH($C110,'Energieverbruik in TJ Gemeente'!$B$4:$B$347,0),MATCH(M$2,'Energieverbruik in TJ Gemeente'!$B$4:$Q$4,0))</f>
        <v>730</v>
      </c>
      <c r="N110">
        <f>INDEX('Energieverbruik in TJ Gemeente'!$B$4:$Q$347,MATCH($C110,'Energieverbruik in TJ Gemeente'!$B$4:$B$347,0),MATCH(N$2,'Energieverbruik in TJ Gemeente'!$B$4:$Q$4,0))</f>
        <v>0</v>
      </c>
      <c r="O110">
        <f>INDEX('Energieverbruik in TJ Gemeente'!$B$4:$Q$347,MATCH($C110,'Energieverbruik in TJ Gemeente'!$B$4:$B$347,0),MATCH(O$2,'Energieverbruik in TJ Gemeente'!$B$4:$Q$4,0))</f>
        <v>0</v>
      </c>
      <c r="P110">
        <f>INDEX('Energieverbruik in TJ Gemeente'!$B$4:$Q$347,MATCH($C110,'Energieverbruik in TJ Gemeente'!$B$4:$B$347,0),MATCH(P$2,'Energieverbruik in TJ Gemeente'!$B$4:$Q$4,0))</f>
        <v>0</v>
      </c>
      <c r="Q110">
        <f>INDEX('Energieverbruik in TJ Gemeente'!$B$4:$Q$347,MATCH($C110,'Energieverbruik in TJ Gemeente'!$B$4:$B$347,0),MATCH(Q$2,'Energieverbruik in TJ Gemeente'!$B$4:$Q$4,0))</f>
        <v>0</v>
      </c>
      <c r="R110">
        <f>INDEX('Energieverbruik in TJ Gemeente'!$B$4:$Q$347,MATCH($C110,'Energieverbruik in TJ Gemeente'!$B$4:$B$347,0),MATCH(R$2,'Energieverbruik in TJ Gemeente'!$B$4:$Q$4,0))</f>
        <v>0</v>
      </c>
      <c r="S110" cm="1">
        <f t="array" ref="S110">MAX(_xlfn._xlws.FILTER(D$1:H$1, D110:H110&lt;&gt;"?"))</f>
        <v>2023</v>
      </c>
      <c r="T110" cm="1">
        <f t="array" ref="T110">MAX(_xlfn._xlws.FILTER(I$1:M$1, I110:M110&lt;&gt;"?"))</f>
        <v>2023</v>
      </c>
      <c r="U110" cm="1">
        <f t="array" ref="U110">MAX(_xlfn._xlws.FILTER(F$1:J$1, F110:J110&lt;&gt;"?"))</f>
        <v>2023</v>
      </c>
      <c r="V110">
        <f t="shared" si="5"/>
        <v>1153</v>
      </c>
      <c r="W110">
        <f t="shared" si="6"/>
        <v>730</v>
      </c>
      <c r="X110">
        <f t="shared" si="7"/>
        <v>0</v>
      </c>
      <c r="Y110">
        <f t="shared" si="8"/>
        <v>1883</v>
      </c>
      <c r="Z110">
        <f t="shared" si="9"/>
        <v>3.1294145020026257E-3</v>
      </c>
    </row>
    <row r="111" spans="1:26" ht="16" x14ac:dyDescent="0.2">
      <c r="A111" s="4" t="s">
        <v>332</v>
      </c>
      <c r="B111" s="4" t="s">
        <v>333</v>
      </c>
      <c r="C111" s="4" t="s">
        <v>263</v>
      </c>
      <c r="D111">
        <f>INDEX('Energieverbruik in TJ Gemeente'!$B$4:$Q$347,MATCH($C111,'Energieverbruik in TJ Gemeente'!$B$4:$B$347,0),MATCH(D$2,'Energieverbruik in TJ Gemeente'!$B$4:$Q$4,0))</f>
        <v>6414</v>
      </c>
      <c r="E111">
        <f>INDEX('Energieverbruik in TJ Gemeente'!$B$4:$Q$347,MATCH($C111,'Energieverbruik in TJ Gemeente'!$B$4:$B$347,0),MATCH(E$2,'Energieverbruik in TJ Gemeente'!$B$4:$Q$4,0))</f>
        <v>6346</v>
      </c>
      <c r="F111">
        <f>INDEX('Energieverbruik in TJ Gemeente'!$B$4:$Q$347,MATCH($C111,'Energieverbruik in TJ Gemeente'!$B$4:$B$347,0),MATCH(F$2,'Energieverbruik in TJ Gemeente'!$B$4:$Q$4,0))</f>
        <v>6467</v>
      </c>
      <c r="G111">
        <f>INDEX('Energieverbruik in TJ Gemeente'!$B$4:$Q$347,MATCH($C111,'Energieverbruik in TJ Gemeente'!$B$4:$B$347,0),MATCH(G$2,'Energieverbruik in TJ Gemeente'!$B$4:$Q$4,0))</f>
        <v>5521</v>
      </c>
      <c r="H111">
        <f>INDEX('Energieverbruik in TJ Gemeente'!$B$4:$Q$347,MATCH($C111,'Energieverbruik in TJ Gemeente'!$B$4:$B$347,0),MATCH(H$2,'Energieverbruik in TJ Gemeente'!$B$4:$Q$4,0))</f>
        <v>4719</v>
      </c>
      <c r="I111" t="str">
        <f>INDEX('Energieverbruik in TJ Gemeente'!$B$4:$Q$347,MATCH($C111,'Energieverbruik in TJ Gemeente'!$B$4:$B$347,0),MATCH(I$2,'Energieverbruik in TJ Gemeente'!$B$4:$Q$4,0))</f>
        <v>?</v>
      </c>
      <c r="J111">
        <f>INDEX('Energieverbruik in TJ Gemeente'!$B$4:$Q$347,MATCH($C111,'Energieverbruik in TJ Gemeente'!$B$4:$B$347,0),MATCH(J$2,'Energieverbruik in TJ Gemeente'!$B$4:$Q$4,0))</f>
        <v>2447</v>
      </c>
      <c r="K111">
        <f>INDEX('Energieverbruik in TJ Gemeente'!$B$4:$Q$347,MATCH($C111,'Energieverbruik in TJ Gemeente'!$B$4:$B$347,0),MATCH(K$2,'Energieverbruik in TJ Gemeente'!$B$4:$Q$4,0))</f>
        <v>2784</v>
      </c>
      <c r="L111">
        <f>INDEX('Energieverbruik in TJ Gemeente'!$B$4:$Q$347,MATCH($C111,'Energieverbruik in TJ Gemeente'!$B$4:$B$347,0),MATCH(L$2,'Energieverbruik in TJ Gemeente'!$B$4:$Q$4,0))</f>
        <v>2385</v>
      </c>
      <c r="M111" t="str">
        <f>INDEX('Energieverbruik in TJ Gemeente'!$B$4:$Q$347,MATCH($C111,'Energieverbruik in TJ Gemeente'!$B$4:$B$347,0),MATCH(M$2,'Energieverbruik in TJ Gemeente'!$B$4:$Q$4,0))</f>
        <v>?</v>
      </c>
      <c r="N111">
        <f>INDEX('Energieverbruik in TJ Gemeente'!$B$4:$Q$347,MATCH($C111,'Energieverbruik in TJ Gemeente'!$B$4:$B$347,0),MATCH(N$2,'Energieverbruik in TJ Gemeente'!$B$4:$Q$4,0))</f>
        <v>38</v>
      </c>
      <c r="O111">
        <f>INDEX('Energieverbruik in TJ Gemeente'!$B$4:$Q$347,MATCH($C111,'Energieverbruik in TJ Gemeente'!$B$4:$B$347,0),MATCH(O$2,'Energieverbruik in TJ Gemeente'!$B$4:$Q$4,0))</f>
        <v>31</v>
      </c>
      <c r="P111">
        <f>INDEX('Energieverbruik in TJ Gemeente'!$B$4:$Q$347,MATCH($C111,'Energieverbruik in TJ Gemeente'!$B$4:$B$347,0),MATCH(P$2,'Energieverbruik in TJ Gemeente'!$B$4:$Q$4,0))</f>
        <v>38</v>
      </c>
      <c r="Q111">
        <f>INDEX('Energieverbruik in TJ Gemeente'!$B$4:$Q$347,MATCH($C111,'Energieverbruik in TJ Gemeente'!$B$4:$B$347,0),MATCH(Q$2,'Energieverbruik in TJ Gemeente'!$B$4:$Q$4,0))</f>
        <v>26</v>
      </c>
      <c r="R111" t="str">
        <f>INDEX('Energieverbruik in TJ Gemeente'!$B$4:$Q$347,MATCH($C111,'Energieverbruik in TJ Gemeente'!$B$4:$B$347,0),MATCH(R$2,'Energieverbruik in TJ Gemeente'!$B$4:$Q$4,0))</f>
        <v>?</v>
      </c>
      <c r="S111" cm="1">
        <f t="array" ref="S111">MAX(_xlfn._xlws.FILTER(D$1:H$1, D111:H111&lt;&gt;"?"))</f>
        <v>2023</v>
      </c>
      <c r="T111" cm="1">
        <f t="array" ref="T111">MAX(_xlfn._xlws.FILTER(I$1:M$1, I111:M111&lt;&gt;"?"))</f>
        <v>2022</v>
      </c>
      <c r="U111" cm="1">
        <f t="array" ref="U111">MAX(_xlfn._xlws.FILTER(F$1:J$1, F111:J111&lt;&gt;"?"))</f>
        <v>2023</v>
      </c>
      <c r="V111">
        <f t="shared" si="5"/>
        <v>4719</v>
      </c>
      <c r="W111">
        <f t="shared" si="6"/>
        <v>2385</v>
      </c>
      <c r="X111" t="str">
        <f t="shared" si="7"/>
        <v>?</v>
      </c>
      <c r="Y111">
        <f t="shared" si="8"/>
        <v>7104</v>
      </c>
      <c r="Z111">
        <f t="shared" si="9"/>
        <v>1.1806351897093285E-2</v>
      </c>
    </row>
    <row r="112" spans="1:26" ht="32" x14ac:dyDescent="0.2">
      <c r="A112" s="4" t="s">
        <v>334</v>
      </c>
      <c r="B112" s="4" t="s">
        <v>335</v>
      </c>
      <c r="C112" s="4" t="s">
        <v>336</v>
      </c>
      <c r="D112" t="str">
        <f>INDEX('Energieverbruik in TJ Gemeente'!$B$4:$Q$347,MATCH($C112,'Energieverbruik in TJ Gemeente'!$B$4:$B$347,0),MATCH(D$2,'Energieverbruik in TJ Gemeente'!$B$4:$Q$4,0))</f>
        <v>?</v>
      </c>
      <c r="E112" t="str">
        <f>INDEX('Energieverbruik in TJ Gemeente'!$B$4:$Q$347,MATCH($C112,'Energieverbruik in TJ Gemeente'!$B$4:$B$347,0),MATCH(E$2,'Energieverbruik in TJ Gemeente'!$B$4:$Q$4,0))</f>
        <v>?</v>
      </c>
      <c r="F112" t="str">
        <f>INDEX('Energieverbruik in TJ Gemeente'!$B$4:$Q$347,MATCH($C112,'Energieverbruik in TJ Gemeente'!$B$4:$B$347,0),MATCH(F$2,'Energieverbruik in TJ Gemeente'!$B$4:$Q$4,0))</f>
        <v>?</v>
      </c>
      <c r="G112">
        <f>INDEX('Energieverbruik in TJ Gemeente'!$B$4:$Q$347,MATCH($C112,'Energieverbruik in TJ Gemeente'!$B$4:$B$347,0),MATCH(G$2,'Energieverbruik in TJ Gemeente'!$B$4:$Q$4,0))</f>
        <v>401</v>
      </c>
      <c r="H112">
        <f>INDEX('Energieverbruik in TJ Gemeente'!$B$4:$Q$347,MATCH($C112,'Energieverbruik in TJ Gemeente'!$B$4:$B$347,0),MATCH(H$2,'Energieverbruik in TJ Gemeente'!$B$4:$Q$4,0))</f>
        <v>319</v>
      </c>
      <c r="I112">
        <f>INDEX('Energieverbruik in TJ Gemeente'!$B$4:$Q$347,MATCH($C112,'Energieverbruik in TJ Gemeente'!$B$4:$B$347,0),MATCH(I$2,'Energieverbruik in TJ Gemeente'!$B$4:$Q$4,0))</f>
        <v>69</v>
      </c>
      <c r="J112">
        <f>INDEX('Energieverbruik in TJ Gemeente'!$B$4:$Q$347,MATCH($C112,'Energieverbruik in TJ Gemeente'!$B$4:$B$347,0),MATCH(J$2,'Energieverbruik in TJ Gemeente'!$B$4:$Q$4,0))</f>
        <v>69</v>
      </c>
      <c r="K112">
        <f>INDEX('Energieverbruik in TJ Gemeente'!$B$4:$Q$347,MATCH($C112,'Energieverbruik in TJ Gemeente'!$B$4:$B$347,0),MATCH(K$2,'Energieverbruik in TJ Gemeente'!$B$4:$Q$4,0))</f>
        <v>66</v>
      </c>
      <c r="L112">
        <f>INDEX('Energieverbruik in TJ Gemeente'!$B$4:$Q$347,MATCH($C112,'Energieverbruik in TJ Gemeente'!$B$4:$B$347,0),MATCH(L$2,'Energieverbruik in TJ Gemeente'!$B$4:$Q$4,0))</f>
        <v>61</v>
      </c>
      <c r="M112">
        <f>INDEX('Energieverbruik in TJ Gemeente'!$B$4:$Q$347,MATCH($C112,'Energieverbruik in TJ Gemeente'!$B$4:$B$347,0),MATCH(M$2,'Energieverbruik in TJ Gemeente'!$B$4:$Q$4,0))</f>
        <v>46</v>
      </c>
      <c r="N112">
        <f>INDEX('Energieverbruik in TJ Gemeente'!$B$4:$Q$347,MATCH($C112,'Energieverbruik in TJ Gemeente'!$B$4:$B$347,0),MATCH(N$2,'Energieverbruik in TJ Gemeente'!$B$4:$Q$4,0))</f>
        <v>7</v>
      </c>
      <c r="O112">
        <f>INDEX('Energieverbruik in TJ Gemeente'!$B$4:$Q$347,MATCH($C112,'Energieverbruik in TJ Gemeente'!$B$4:$B$347,0),MATCH(O$2,'Energieverbruik in TJ Gemeente'!$B$4:$Q$4,0))</f>
        <v>4</v>
      </c>
      <c r="P112">
        <f>INDEX('Energieverbruik in TJ Gemeente'!$B$4:$Q$347,MATCH($C112,'Energieverbruik in TJ Gemeente'!$B$4:$B$347,0),MATCH(P$2,'Energieverbruik in TJ Gemeente'!$B$4:$Q$4,0))</f>
        <v>5</v>
      </c>
      <c r="Q112">
        <f>INDEX('Energieverbruik in TJ Gemeente'!$B$4:$Q$347,MATCH($C112,'Energieverbruik in TJ Gemeente'!$B$4:$B$347,0),MATCH(Q$2,'Energieverbruik in TJ Gemeente'!$B$4:$Q$4,0))</f>
        <v>4</v>
      </c>
      <c r="R112">
        <f>INDEX('Energieverbruik in TJ Gemeente'!$B$4:$Q$347,MATCH($C112,'Energieverbruik in TJ Gemeente'!$B$4:$B$347,0),MATCH(R$2,'Energieverbruik in TJ Gemeente'!$B$4:$Q$4,0))</f>
        <v>3</v>
      </c>
      <c r="S112" cm="1">
        <f t="array" ref="S112">MAX(_xlfn._xlws.FILTER(D$1:H$1, D112:H112&lt;&gt;"?"))</f>
        <v>2023</v>
      </c>
      <c r="T112" cm="1">
        <f t="array" ref="T112">MAX(_xlfn._xlws.FILTER(I$1:M$1, I112:M112&lt;&gt;"?"))</f>
        <v>2023</v>
      </c>
      <c r="U112" cm="1">
        <f t="array" ref="U112">MAX(_xlfn._xlws.FILTER(F$1:J$1, F112:J112&lt;&gt;"?"))</f>
        <v>2023</v>
      </c>
      <c r="V112">
        <f t="shared" si="5"/>
        <v>319</v>
      </c>
      <c r="W112">
        <f t="shared" si="6"/>
        <v>46</v>
      </c>
      <c r="X112">
        <f t="shared" si="7"/>
        <v>3</v>
      </c>
      <c r="Y112">
        <f t="shared" si="8"/>
        <v>368</v>
      </c>
      <c r="Z112">
        <f t="shared" si="9"/>
        <v>6.1159030097555304E-4</v>
      </c>
    </row>
    <row r="113" spans="1:26" ht="16" x14ac:dyDescent="0.2">
      <c r="A113" s="4" t="s">
        <v>337</v>
      </c>
      <c r="B113" s="4" t="s">
        <v>338</v>
      </c>
      <c r="C113" s="4" t="s">
        <v>339</v>
      </c>
      <c r="D113">
        <f>INDEX('Energieverbruik in TJ Gemeente'!$B$4:$Q$347,MATCH($C113,'Energieverbruik in TJ Gemeente'!$B$4:$B$347,0),MATCH(D$2,'Energieverbruik in TJ Gemeente'!$B$4:$Q$4,0))</f>
        <v>633</v>
      </c>
      <c r="E113">
        <f>INDEX('Energieverbruik in TJ Gemeente'!$B$4:$Q$347,MATCH($C113,'Energieverbruik in TJ Gemeente'!$B$4:$B$347,0),MATCH(E$2,'Energieverbruik in TJ Gemeente'!$B$4:$Q$4,0))</f>
        <v>615</v>
      </c>
      <c r="F113">
        <f>INDEX('Energieverbruik in TJ Gemeente'!$B$4:$Q$347,MATCH($C113,'Energieverbruik in TJ Gemeente'!$B$4:$B$347,0),MATCH(F$2,'Energieverbruik in TJ Gemeente'!$B$4:$Q$4,0))</f>
        <v>621</v>
      </c>
      <c r="G113">
        <f>INDEX('Energieverbruik in TJ Gemeente'!$B$4:$Q$347,MATCH($C113,'Energieverbruik in TJ Gemeente'!$B$4:$B$347,0),MATCH(G$2,'Energieverbruik in TJ Gemeente'!$B$4:$Q$4,0))</f>
        <v>537</v>
      </c>
      <c r="H113">
        <f>INDEX('Energieverbruik in TJ Gemeente'!$B$4:$Q$347,MATCH($C113,'Energieverbruik in TJ Gemeente'!$B$4:$B$347,0),MATCH(H$2,'Energieverbruik in TJ Gemeente'!$B$4:$Q$4,0))</f>
        <v>437</v>
      </c>
      <c r="I113">
        <f>INDEX('Energieverbruik in TJ Gemeente'!$B$4:$Q$347,MATCH($C113,'Energieverbruik in TJ Gemeente'!$B$4:$B$347,0),MATCH(I$2,'Energieverbruik in TJ Gemeente'!$B$4:$Q$4,0))</f>
        <v>77</v>
      </c>
      <c r="J113">
        <f>INDEX('Energieverbruik in TJ Gemeente'!$B$4:$Q$347,MATCH($C113,'Energieverbruik in TJ Gemeente'!$B$4:$B$347,0),MATCH(J$2,'Energieverbruik in TJ Gemeente'!$B$4:$Q$4,0))</f>
        <v>78</v>
      </c>
      <c r="K113">
        <f>INDEX('Energieverbruik in TJ Gemeente'!$B$4:$Q$347,MATCH($C113,'Energieverbruik in TJ Gemeente'!$B$4:$B$347,0),MATCH(K$2,'Energieverbruik in TJ Gemeente'!$B$4:$Q$4,0))</f>
        <v>90</v>
      </c>
      <c r="L113">
        <f>INDEX('Energieverbruik in TJ Gemeente'!$B$4:$Q$347,MATCH($C113,'Energieverbruik in TJ Gemeente'!$B$4:$B$347,0),MATCH(L$2,'Energieverbruik in TJ Gemeente'!$B$4:$Q$4,0))</f>
        <v>69</v>
      </c>
      <c r="M113">
        <f>INDEX('Energieverbruik in TJ Gemeente'!$B$4:$Q$347,MATCH($C113,'Energieverbruik in TJ Gemeente'!$B$4:$B$347,0),MATCH(M$2,'Energieverbruik in TJ Gemeente'!$B$4:$Q$4,0))</f>
        <v>60</v>
      </c>
      <c r="N113">
        <f>INDEX('Energieverbruik in TJ Gemeente'!$B$4:$Q$347,MATCH($C113,'Energieverbruik in TJ Gemeente'!$B$4:$B$347,0),MATCH(N$2,'Energieverbruik in TJ Gemeente'!$B$4:$Q$4,0))</f>
        <v>40</v>
      </c>
      <c r="O113">
        <f>INDEX('Energieverbruik in TJ Gemeente'!$B$4:$Q$347,MATCH($C113,'Energieverbruik in TJ Gemeente'!$B$4:$B$347,0),MATCH(O$2,'Energieverbruik in TJ Gemeente'!$B$4:$Q$4,0))</f>
        <v>38</v>
      </c>
      <c r="P113">
        <f>INDEX('Energieverbruik in TJ Gemeente'!$B$4:$Q$347,MATCH($C113,'Energieverbruik in TJ Gemeente'!$B$4:$B$347,0),MATCH(P$2,'Energieverbruik in TJ Gemeente'!$B$4:$Q$4,0))</f>
        <v>41</v>
      </c>
      <c r="Q113">
        <f>INDEX('Energieverbruik in TJ Gemeente'!$B$4:$Q$347,MATCH($C113,'Energieverbruik in TJ Gemeente'!$B$4:$B$347,0),MATCH(Q$2,'Energieverbruik in TJ Gemeente'!$B$4:$Q$4,0))</f>
        <v>33</v>
      </c>
      <c r="R113">
        <f>INDEX('Energieverbruik in TJ Gemeente'!$B$4:$Q$347,MATCH($C113,'Energieverbruik in TJ Gemeente'!$B$4:$B$347,0),MATCH(R$2,'Energieverbruik in TJ Gemeente'!$B$4:$Q$4,0))</f>
        <v>27</v>
      </c>
      <c r="S113" cm="1">
        <f t="array" ref="S113">MAX(_xlfn._xlws.FILTER(D$1:H$1, D113:H113&lt;&gt;"?"))</f>
        <v>2023</v>
      </c>
      <c r="T113" cm="1">
        <f t="array" ref="T113">MAX(_xlfn._xlws.FILTER(I$1:M$1, I113:M113&lt;&gt;"?"))</f>
        <v>2023</v>
      </c>
      <c r="U113" cm="1">
        <f t="array" ref="U113">MAX(_xlfn._xlws.FILTER(F$1:J$1, F113:J113&lt;&gt;"?"))</f>
        <v>2023</v>
      </c>
      <c r="V113">
        <f t="shared" si="5"/>
        <v>437</v>
      </c>
      <c r="W113">
        <f t="shared" si="6"/>
        <v>60</v>
      </c>
      <c r="X113">
        <f t="shared" si="7"/>
        <v>27</v>
      </c>
      <c r="Y113">
        <f t="shared" si="8"/>
        <v>524</v>
      </c>
      <c r="Z113">
        <f t="shared" si="9"/>
        <v>8.708514068238853E-4</v>
      </c>
    </row>
    <row r="114" spans="1:26" ht="16" x14ac:dyDescent="0.2">
      <c r="A114" s="4" t="s">
        <v>340</v>
      </c>
      <c r="B114" s="4" t="s">
        <v>341</v>
      </c>
      <c r="C114" s="4" t="s">
        <v>342</v>
      </c>
      <c r="D114">
        <f>INDEX('Energieverbruik in TJ Gemeente'!$B$4:$Q$347,MATCH($C114,'Energieverbruik in TJ Gemeente'!$B$4:$B$347,0),MATCH(D$2,'Energieverbruik in TJ Gemeente'!$B$4:$Q$4,0))</f>
        <v>3964</v>
      </c>
      <c r="E114">
        <f>INDEX('Energieverbruik in TJ Gemeente'!$B$4:$Q$347,MATCH($C114,'Energieverbruik in TJ Gemeente'!$B$4:$B$347,0),MATCH(E$2,'Energieverbruik in TJ Gemeente'!$B$4:$Q$4,0))</f>
        <v>3768</v>
      </c>
      <c r="F114" t="str">
        <f>INDEX('Energieverbruik in TJ Gemeente'!$B$4:$Q$347,MATCH($C114,'Energieverbruik in TJ Gemeente'!$B$4:$B$347,0),MATCH(F$2,'Energieverbruik in TJ Gemeente'!$B$4:$Q$4,0))</f>
        <v>?</v>
      </c>
      <c r="G114">
        <f>INDEX('Energieverbruik in TJ Gemeente'!$B$4:$Q$347,MATCH($C114,'Energieverbruik in TJ Gemeente'!$B$4:$B$347,0),MATCH(G$2,'Energieverbruik in TJ Gemeente'!$B$4:$Q$4,0))</f>
        <v>3313</v>
      </c>
      <c r="H114">
        <f>INDEX('Energieverbruik in TJ Gemeente'!$B$4:$Q$347,MATCH($C114,'Energieverbruik in TJ Gemeente'!$B$4:$B$347,0),MATCH(H$2,'Energieverbruik in TJ Gemeente'!$B$4:$Q$4,0))</f>
        <v>2857</v>
      </c>
      <c r="I114">
        <f>INDEX('Energieverbruik in TJ Gemeente'!$B$4:$Q$347,MATCH($C114,'Energieverbruik in TJ Gemeente'!$B$4:$B$347,0),MATCH(I$2,'Energieverbruik in TJ Gemeente'!$B$4:$Q$4,0))</f>
        <v>298</v>
      </c>
      <c r="J114">
        <f>INDEX('Energieverbruik in TJ Gemeente'!$B$4:$Q$347,MATCH($C114,'Energieverbruik in TJ Gemeente'!$B$4:$B$347,0),MATCH(J$2,'Energieverbruik in TJ Gemeente'!$B$4:$Q$4,0))</f>
        <v>285</v>
      </c>
      <c r="K114">
        <f>INDEX('Energieverbruik in TJ Gemeente'!$B$4:$Q$347,MATCH($C114,'Energieverbruik in TJ Gemeente'!$B$4:$B$347,0),MATCH(K$2,'Energieverbruik in TJ Gemeente'!$B$4:$Q$4,0))</f>
        <v>319</v>
      </c>
      <c r="L114">
        <f>INDEX('Energieverbruik in TJ Gemeente'!$B$4:$Q$347,MATCH($C114,'Energieverbruik in TJ Gemeente'!$B$4:$B$347,0),MATCH(L$2,'Energieverbruik in TJ Gemeente'!$B$4:$Q$4,0))</f>
        <v>279</v>
      </c>
      <c r="M114" t="str">
        <f>INDEX('Energieverbruik in TJ Gemeente'!$B$4:$Q$347,MATCH($C114,'Energieverbruik in TJ Gemeente'!$B$4:$B$347,0),MATCH(M$2,'Energieverbruik in TJ Gemeente'!$B$4:$Q$4,0))</f>
        <v>?</v>
      </c>
      <c r="N114">
        <f>INDEX('Energieverbruik in TJ Gemeente'!$B$4:$Q$347,MATCH($C114,'Energieverbruik in TJ Gemeente'!$B$4:$B$347,0),MATCH(N$2,'Energieverbruik in TJ Gemeente'!$B$4:$Q$4,0))</f>
        <v>8</v>
      </c>
      <c r="O114">
        <f>INDEX('Energieverbruik in TJ Gemeente'!$B$4:$Q$347,MATCH($C114,'Energieverbruik in TJ Gemeente'!$B$4:$B$347,0),MATCH(O$2,'Energieverbruik in TJ Gemeente'!$B$4:$Q$4,0))</f>
        <v>7</v>
      </c>
      <c r="P114">
        <f>INDEX('Energieverbruik in TJ Gemeente'!$B$4:$Q$347,MATCH($C114,'Energieverbruik in TJ Gemeente'!$B$4:$B$347,0),MATCH(P$2,'Energieverbruik in TJ Gemeente'!$B$4:$Q$4,0))</f>
        <v>8</v>
      </c>
      <c r="Q114" t="str">
        <f>INDEX('Energieverbruik in TJ Gemeente'!$B$4:$Q$347,MATCH($C114,'Energieverbruik in TJ Gemeente'!$B$4:$B$347,0),MATCH(Q$2,'Energieverbruik in TJ Gemeente'!$B$4:$Q$4,0))</f>
        <v>?</v>
      </c>
      <c r="R114">
        <f>INDEX('Energieverbruik in TJ Gemeente'!$B$4:$Q$347,MATCH($C114,'Energieverbruik in TJ Gemeente'!$B$4:$B$347,0),MATCH(R$2,'Energieverbruik in TJ Gemeente'!$B$4:$Q$4,0))</f>
        <v>7</v>
      </c>
      <c r="S114" cm="1">
        <f t="array" ref="S114">MAX(_xlfn._xlws.FILTER(D$1:H$1, D114:H114&lt;&gt;"?"))</f>
        <v>2023</v>
      </c>
      <c r="T114" cm="1">
        <f t="array" ref="T114">MAX(_xlfn._xlws.FILTER(I$1:M$1, I114:M114&lt;&gt;"?"))</f>
        <v>2022</v>
      </c>
      <c r="U114" cm="1">
        <f t="array" ref="U114">MAX(_xlfn._xlws.FILTER(F$1:J$1, F114:J114&lt;&gt;"?"))</f>
        <v>2023</v>
      </c>
      <c r="V114">
        <f t="shared" si="5"/>
        <v>2857</v>
      </c>
      <c r="W114">
        <f t="shared" si="6"/>
        <v>279</v>
      </c>
      <c r="X114">
        <f t="shared" si="7"/>
        <v>7</v>
      </c>
      <c r="Y114">
        <f t="shared" si="8"/>
        <v>3143</v>
      </c>
      <c r="Z114">
        <f t="shared" si="9"/>
        <v>5.2234465107776169E-3</v>
      </c>
    </row>
    <row r="115" spans="1:26" ht="32" x14ac:dyDescent="0.2">
      <c r="A115" s="4" t="s">
        <v>343</v>
      </c>
      <c r="B115" s="4" t="s">
        <v>344</v>
      </c>
      <c r="C115" s="4" t="s">
        <v>345</v>
      </c>
      <c r="D115">
        <f>INDEX('Energieverbruik in TJ Gemeente'!$B$4:$Q$347,MATCH($C115,'Energieverbruik in TJ Gemeente'!$B$4:$B$347,0),MATCH(D$2,'Energieverbruik in TJ Gemeente'!$B$4:$Q$4,0))</f>
        <v>4432</v>
      </c>
      <c r="E115">
        <f>INDEX('Energieverbruik in TJ Gemeente'!$B$4:$Q$347,MATCH($C115,'Energieverbruik in TJ Gemeente'!$B$4:$B$347,0),MATCH(E$2,'Energieverbruik in TJ Gemeente'!$B$4:$Q$4,0))</f>
        <v>4108</v>
      </c>
      <c r="F115">
        <f>INDEX('Energieverbruik in TJ Gemeente'!$B$4:$Q$347,MATCH($C115,'Energieverbruik in TJ Gemeente'!$B$4:$B$347,0),MATCH(F$2,'Energieverbruik in TJ Gemeente'!$B$4:$Q$4,0))</f>
        <v>4311</v>
      </c>
      <c r="G115">
        <f>INDEX('Energieverbruik in TJ Gemeente'!$B$4:$Q$347,MATCH($C115,'Energieverbruik in TJ Gemeente'!$B$4:$B$347,0),MATCH(G$2,'Energieverbruik in TJ Gemeente'!$B$4:$Q$4,0))</f>
        <v>3785</v>
      </c>
      <c r="H115">
        <f>INDEX('Energieverbruik in TJ Gemeente'!$B$4:$Q$347,MATCH($C115,'Energieverbruik in TJ Gemeente'!$B$4:$B$347,0),MATCH(H$2,'Energieverbruik in TJ Gemeente'!$B$4:$Q$4,0))</f>
        <v>3438</v>
      </c>
      <c r="I115">
        <f>INDEX('Energieverbruik in TJ Gemeente'!$B$4:$Q$347,MATCH($C115,'Energieverbruik in TJ Gemeente'!$B$4:$B$347,0),MATCH(I$2,'Energieverbruik in TJ Gemeente'!$B$4:$Q$4,0))</f>
        <v>197</v>
      </c>
      <c r="J115">
        <f>INDEX('Energieverbruik in TJ Gemeente'!$B$4:$Q$347,MATCH($C115,'Energieverbruik in TJ Gemeente'!$B$4:$B$347,0),MATCH(J$2,'Energieverbruik in TJ Gemeente'!$B$4:$Q$4,0))</f>
        <v>170</v>
      </c>
      <c r="K115">
        <f>INDEX('Energieverbruik in TJ Gemeente'!$B$4:$Q$347,MATCH($C115,'Energieverbruik in TJ Gemeente'!$B$4:$B$347,0),MATCH(K$2,'Energieverbruik in TJ Gemeente'!$B$4:$Q$4,0))</f>
        <v>194</v>
      </c>
      <c r="L115">
        <f>INDEX('Energieverbruik in TJ Gemeente'!$B$4:$Q$347,MATCH($C115,'Energieverbruik in TJ Gemeente'!$B$4:$B$347,0),MATCH(L$2,'Energieverbruik in TJ Gemeente'!$B$4:$Q$4,0))</f>
        <v>165</v>
      </c>
      <c r="M115">
        <f>INDEX('Energieverbruik in TJ Gemeente'!$B$4:$Q$347,MATCH($C115,'Energieverbruik in TJ Gemeente'!$B$4:$B$347,0),MATCH(M$2,'Energieverbruik in TJ Gemeente'!$B$4:$Q$4,0))</f>
        <v>162</v>
      </c>
      <c r="N115">
        <f>INDEX('Energieverbruik in TJ Gemeente'!$B$4:$Q$347,MATCH($C115,'Energieverbruik in TJ Gemeente'!$B$4:$B$347,0),MATCH(N$2,'Energieverbruik in TJ Gemeente'!$B$4:$Q$4,0))</f>
        <v>1871</v>
      </c>
      <c r="O115">
        <f>INDEX('Energieverbruik in TJ Gemeente'!$B$4:$Q$347,MATCH($C115,'Energieverbruik in TJ Gemeente'!$B$4:$B$347,0),MATCH(O$2,'Energieverbruik in TJ Gemeente'!$B$4:$Q$4,0))</f>
        <v>1744</v>
      </c>
      <c r="P115">
        <f>INDEX('Energieverbruik in TJ Gemeente'!$B$4:$Q$347,MATCH($C115,'Energieverbruik in TJ Gemeente'!$B$4:$B$347,0),MATCH(P$2,'Energieverbruik in TJ Gemeente'!$B$4:$Q$4,0))</f>
        <v>1710</v>
      </c>
      <c r="Q115">
        <f>INDEX('Energieverbruik in TJ Gemeente'!$B$4:$Q$347,MATCH($C115,'Energieverbruik in TJ Gemeente'!$B$4:$B$347,0),MATCH(Q$2,'Energieverbruik in TJ Gemeente'!$B$4:$Q$4,0))</f>
        <v>1446</v>
      </c>
      <c r="R115">
        <f>INDEX('Energieverbruik in TJ Gemeente'!$B$4:$Q$347,MATCH($C115,'Energieverbruik in TJ Gemeente'!$B$4:$B$347,0),MATCH(R$2,'Energieverbruik in TJ Gemeente'!$B$4:$Q$4,0))</f>
        <v>1679</v>
      </c>
      <c r="S115" cm="1">
        <f t="array" ref="S115">MAX(_xlfn._xlws.FILTER(D$1:H$1, D115:H115&lt;&gt;"?"))</f>
        <v>2023</v>
      </c>
      <c r="T115" cm="1">
        <f t="array" ref="T115">MAX(_xlfn._xlws.FILTER(I$1:M$1, I115:M115&lt;&gt;"?"))</f>
        <v>2023</v>
      </c>
      <c r="U115" cm="1">
        <f t="array" ref="U115">MAX(_xlfn._xlws.FILTER(F$1:J$1, F115:J115&lt;&gt;"?"))</f>
        <v>2023</v>
      </c>
      <c r="V115">
        <f t="shared" si="5"/>
        <v>3438</v>
      </c>
      <c r="W115">
        <f t="shared" si="6"/>
        <v>162</v>
      </c>
      <c r="X115">
        <f t="shared" si="7"/>
        <v>1679</v>
      </c>
      <c r="Y115">
        <f t="shared" si="8"/>
        <v>5279</v>
      </c>
      <c r="Z115">
        <f t="shared" si="9"/>
        <v>8.773329344700936E-3</v>
      </c>
    </row>
    <row r="116" spans="1:26" ht="16" x14ac:dyDescent="0.2">
      <c r="A116" s="4" t="s">
        <v>346</v>
      </c>
      <c r="B116" s="4" t="s">
        <v>347</v>
      </c>
      <c r="C116" s="4" t="s">
        <v>348</v>
      </c>
      <c r="D116">
        <f>INDEX('Energieverbruik in TJ Gemeente'!$B$4:$Q$347,MATCH($C116,'Energieverbruik in TJ Gemeente'!$B$4:$B$347,0),MATCH(D$2,'Energieverbruik in TJ Gemeente'!$B$4:$Q$4,0))</f>
        <v>784</v>
      </c>
      <c r="E116">
        <f>INDEX('Energieverbruik in TJ Gemeente'!$B$4:$Q$347,MATCH($C116,'Energieverbruik in TJ Gemeente'!$B$4:$B$347,0),MATCH(E$2,'Energieverbruik in TJ Gemeente'!$B$4:$Q$4,0))</f>
        <v>750</v>
      </c>
      <c r="F116">
        <f>INDEX('Energieverbruik in TJ Gemeente'!$B$4:$Q$347,MATCH($C116,'Energieverbruik in TJ Gemeente'!$B$4:$B$347,0),MATCH(F$2,'Energieverbruik in TJ Gemeente'!$B$4:$Q$4,0))</f>
        <v>767</v>
      </c>
      <c r="G116">
        <f>INDEX('Energieverbruik in TJ Gemeente'!$B$4:$Q$347,MATCH($C116,'Energieverbruik in TJ Gemeente'!$B$4:$B$347,0),MATCH(G$2,'Energieverbruik in TJ Gemeente'!$B$4:$Q$4,0))</f>
        <v>660</v>
      </c>
      <c r="H116">
        <f>INDEX('Energieverbruik in TJ Gemeente'!$B$4:$Q$347,MATCH($C116,'Energieverbruik in TJ Gemeente'!$B$4:$B$347,0),MATCH(H$2,'Energieverbruik in TJ Gemeente'!$B$4:$Q$4,0))</f>
        <v>545</v>
      </c>
      <c r="I116">
        <f>INDEX('Energieverbruik in TJ Gemeente'!$B$4:$Q$347,MATCH($C116,'Energieverbruik in TJ Gemeente'!$B$4:$B$347,0),MATCH(I$2,'Energieverbruik in TJ Gemeente'!$B$4:$Q$4,0))</f>
        <v>61</v>
      </c>
      <c r="J116">
        <f>INDEX('Energieverbruik in TJ Gemeente'!$B$4:$Q$347,MATCH($C116,'Energieverbruik in TJ Gemeente'!$B$4:$B$347,0),MATCH(J$2,'Energieverbruik in TJ Gemeente'!$B$4:$Q$4,0))</f>
        <v>59</v>
      </c>
      <c r="K116">
        <f>INDEX('Energieverbruik in TJ Gemeente'!$B$4:$Q$347,MATCH($C116,'Energieverbruik in TJ Gemeente'!$B$4:$B$347,0),MATCH(K$2,'Energieverbruik in TJ Gemeente'!$B$4:$Q$4,0))</f>
        <v>63</v>
      </c>
      <c r="L116">
        <f>INDEX('Energieverbruik in TJ Gemeente'!$B$4:$Q$347,MATCH($C116,'Energieverbruik in TJ Gemeente'!$B$4:$B$347,0),MATCH(L$2,'Energieverbruik in TJ Gemeente'!$B$4:$Q$4,0))</f>
        <v>46</v>
      </c>
      <c r="M116">
        <f>INDEX('Energieverbruik in TJ Gemeente'!$B$4:$Q$347,MATCH($C116,'Energieverbruik in TJ Gemeente'!$B$4:$B$347,0),MATCH(M$2,'Energieverbruik in TJ Gemeente'!$B$4:$Q$4,0))</f>
        <v>39</v>
      </c>
      <c r="N116">
        <f>INDEX('Energieverbruik in TJ Gemeente'!$B$4:$Q$347,MATCH($C116,'Energieverbruik in TJ Gemeente'!$B$4:$B$347,0),MATCH(N$2,'Energieverbruik in TJ Gemeente'!$B$4:$Q$4,0))</f>
        <v>238</v>
      </c>
      <c r="O116">
        <f>INDEX('Energieverbruik in TJ Gemeente'!$B$4:$Q$347,MATCH($C116,'Energieverbruik in TJ Gemeente'!$B$4:$B$347,0),MATCH(O$2,'Energieverbruik in TJ Gemeente'!$B$4:$Q$4,0))</f>
        <v>239</v>
      </c>
      <c r="P116">
        <f>INDEX('Energieverbruik in TJ Gemeente'!$B$4:$Q$347,MATCH($C116,'Energieverbruik in TJ Gemeente'!$B$4:$B$347,0),MATCH(P$2,'Energieverbruik in TJ Gemeente'!$B$4:$Q$4,0))</f>
        <v>237</v>
      </c>
      <c r="Q116">
        <f>INDEX('Energieverbruik in TJ Gemeente'!$B$4:$Q$347,MATCH($C116,'Energieverbruik in TJ Gemeente'!$B$4:$B$347,0),MATCH(Q$2,'Energieverbruik in TJ Gemeente'!$B$4:$Q$4,0))</f>
        <v>159</v>
      </c>
      <c r="R116">
        <f>INDEX('Energieverbruik in TJ Gemeente'!$B$4:$Q$347,MATCH($C116,'Energieverbruik in TJ Gemeente'!$B$4:$B$347,0),MATCH(R$2,'Energieverbruik in TJ Gemeente'!$B$4:$Q$4,0))</f>
        <v>196</v>
      </c>
      <c r="S116" cm="1">
        <f t="array" ref="S116">MAX(_xlfn._xlws.FILTER(D$1:H$1, D116:H116&lt;&gt;"?"))</f>
        <v>2023</v>
      </c>
      <c r="T116" cm="1">
        <f t="array" ref="T116">MAX(_xlfn._xlws.FILTER(I$1:M$1, I116:M116&lt;&gt;"?"))</f>
        <v>2023</v>
      </c>
      <c r="U116" cm="1">
        <f t="array" ref="U116">MAX(_xlfn._xlws.FILTER(F$1:J$1, F116:J116&lt;&gt;"?"))</f>
        <v>2023</v>
      </c>
      <c r="V116">
        <f t="shared" si="5"/>
        <v>545</v>
      </c>
      <c r="W116">
        <f t="shared" si="6"/>
        <v>39</v>
      </c>
      <c r="X116">
        <f t="shared" si="7"/>
        <v>196</v>
      </c>
      <c r="Y116">
        <f t="shared" si="8"/>
        <v>780</v>
      </c>
      <c r="Z116">
        <f t="shared" si="9"/>
        <v>1.2963055292416613E-3</v>
      </c>
    </row>
    <row r="117" spans="1:26" ht="16" x14ac:dyDescent="0.2">
      <c r="A117" s="4" t="s">
        <v>349</v>
      </c>
      <c r="B117" s="4" t="s">
        <v>350</v>
      </c>
      <c r="C117" s="4" t="s">
        <v>351</v>
      </c>
      <c r="D117">
        <f>INDEX('Energieverbruik in TJ Gemeente'!$B$4:$Q$347,MATCH($C117,'Energieverbruik in TJ Gemeente'!$B$4:$B$347,0),MATCH(D$2,'Energieverbruik in TJ Gemeente'!$B$4:$Q$4,0))</f>
        <v>1667</v>
      </c>
      <c r="E117" t="str">
        <f>INDEX('Energieverbruik in TJ Gemeente'!$B$4:$Q$347,MATCH($C117,'Energieverbruik in TJ Gemeente'!$B$4:$B$347,0),MATCH(E$2,'Energieverbruik in TJ Gemeente'!$B$4:$Q$4,0))</f>
        <v>?</v>
      </c>
      <c r="F117">
        <f>INDEX('Energieverbruik in TJ Gemeente'!$B$4:$Q$347,MATCH($C117,'Energieverbruik in TJ Gemeente'!$B$4:$B$347,0),MATCH(F$2,'Energieverbruik in TJ Gemeente'!$B$4:$Q$4,0))</f>
        <v>1715</v>
      </c>
      <c r="G117">
        <f>INDEX('Energieverbruik in TJ Gemeente'!$B$4:$Q$347,MATCH($C117,'Energieverbruik in TJ Gemeente'!$B$4:$B$347,0),MATCH(G$2,'Energieverbruik in TJ Gemeente'!$B$4:$Q$4,0))</f>
        <v>1534</v>
      </c>
      <c r="H117">
        <f>INDEX('Energieverbruik in TJ Gemeente'!$B$4:$Q$347,MATCH($C117,'Energieverbruik in TJ Gemeente'!$B$4:$B$347,0),MATCH(H$2,'Energieverbruik in TJ Gemeente'!$B$4:$Q$4,0))</f>
        <v>1294</v>
      </c>
      <c r="I117">
        <f>INDEX('Energieverbruik in TJ Gemeente'!$B$4:$Q$347,MATCH($C117,'Energieverbruik in TJ Gemeente'!$B$4:$B$347,0),MATCH(I$2,'Energieverbruik in TJ Gemeente'!$B$4:$Q$4,0))</f>
        <v>124</v>
      </c>
      <c r="J117" t="str">
        <f>INDEX('Energieverbruik in TJ Gemeente'!$B$4:$Q$347,MATCH($C117,'Energieverbruik in TJ Gemeente'!$B$4:$B$347,0),MATCH(J$2,'Energieverbruik in TJ Gemeente'!$B$4:$Q$4,0))</f>
        <v>?</v>
      </c>
      <c r="K117">
        <f>INDEX('Energieverbruik in TJ Gemeente'!$B$4:$Q$347,MATCH($C117,'Energieverbruik in TJ Gemeente'!$B$4:$B$347,0),MATCH(K$2,'Energieverbruik in TJ Gemeente'!$B$4:$Q$4,0))</f>
        <v>133</v>
      </c>
      <c r="L117">
        <f>INDEX('Energieverbruik in TJ Gemeente'!$B$4:$Q$347,MATCH($C117,'Energieverbruik in TJ Gemeente'!$B$4:$B$347,0),MATCH(L$2,'Energieverbruik in TJ Gemeente'!$B$4:$Q$4,0))</f>
        <v>115</v>
      </c>
      <c r="M117">
        <f>INDEX('Energieverbruik in TJ Gemeente'!$B$4:$Q$347,MATCH($C117,'Energieverbruik in TJ Gemeente'!$B$4:$B$347,0),MATCH(M$2,'Energieverbruik in TJ Gemeente'!$B$4:$Q$4,0))</f>
        <v>104</v>
      </c>
      <c r="N117">
        <f>INDEX('Energieverbruik in TJ Gemeente'!$B$4:$Q$347,MATCH($C117,'Energieverbruik in TJ Gemeente'!$B$4:$B$347,0),MATCH(N$2,'Energieverbruik in TJ Gemeente'!$B$4:$Q$4,0))</f>
        <v>117</v>
      </c>
      <c r="O117">
        <f>INDEX('Energieverbruik in TJ Gemeente'!$B$4:$Q$347,MATCH($C117,'Energieverbruik in TJ Gemeente'!$B$4:$B$347,0),MATCH(O$2,'Energieverbruik in TJ Gemeente'!$B$4:$Q$4,0))</f>
        <v>79</v>
      </c>
      <c r="P117">
        <f>INDEX('Energieverbruik in TJ Gemeente'!$B$4:$Q$347,MATCH($C117,'Energieverbruik in TJ Gemeente'!$B$4:$B$347,0),MATCH(P$2,'Energieverbruik in TJ Gemeente'!$B$4:$Q$4,0))</f>
        <v>84</v>
      </c>
      <c r="Q117">
        <f>INDEX('Energieverbruik in TJ Gemeente'!$B$4:$Q$347,MATCH($C117,'Energieverbruik in TJ Gemeente'!$B$4:$B$347,0),MATCH(Q$2,'Energieverbruik in TJ Gemeente'!$B$4:$Q$4,0))</f>
        <v>67</v>
      </c>
      <c r="R117">
        <f>INDEX('Energieverbruik in TJ Gemeente'!$B$4:$Q$347,MATCH($C117,'Energieverbruik in TJ Gemeente'!$B$4:$B$347,0),MATCH(R$2,'Energieverbruik in TJ Gemeente'!$B$4:$Q$4,0))</f>
        <v>54</v>
      </c>
      <c r="S117" cm="1">
        <f t="array" ref="S117">MAX(_xlfn._xlws.FILTER(D$1:H$1, D117:H117&lt;&gt;"?"))</f>
        <v>2023</v>
      </c>
      <c r="T117" cm="1">
        <f t="array" ref="T117">MAX(_xlfn._xlws.FILTER(I$1:M$1, I117:M117&lt;&gt;"?"))</f>
        <v>2023</v>
      </c>
      <c r="U117" cm="1">
        <f t="array" ref="U117">MAX(_xlfn._xlws.FILTER(F$1:J$1, F117:J117&lt;&gt;"?"))</f>
        <v>2023</v>
      </c>
      <c r="V117">
        <f t="shared" si="5"/>
        <v>1294</v>
      </c>
      <c r="W117">
        <f t="shared" si="6"/>
        <v>104</v>
      </c>
      <c r="X117">
        <f t="shared" si="7"/>
        <v>54</v>
      </c>
      <c r="Y117">
        <f t="shared" si="8"/>
        <v>1452</v>
      </c>
      <c r="Z117">
        <f t="shared" si="9"/>
        <v>2.4131226005883232E-3</v>
      </c>
    </row>
    <row r="118" spans="1:26" ht="16" x14ac:dyDescent="0.2">
      <c r="A118" s="4" t="s">
        <v>352</v>
      </c>
      <c r="B118" s="4" t="s">
        <v>353</v>
      </c>
      <c r="C118" s="4" t="s">
        <v>354</v>
      </c>
      <c r="D118" t="str">
        <f>INDEX('Energieverbruik in TJ Gemeente'!$B$4:$Q$347,MATCH($C118,'Energieverbruik in TJ Gemeente'!$B$4:$B$347,0),MATCH(D$2,'Energieverbruik in TJ Gemeente'!$B$4:$Q$4,0))</f>
        <v>?</v>
      </c>
      <c r="E118" t="str">
        <f>INDEX('Energieverbruik in TJ Gemeente'!$B$4:$Q$347,MATCH($C118,'Energieverbruik in TJ Gemeente'!$B$4:$B$347,0),MATCH(E$2,'Energieverbruik in TJ Gemeente'!$B$4:$Q$4,0))</f>
        <v>?</v>
      </c>
      <c r="F118" t="str">
        <f>INDEX('Energieverbruik in TJ Gemeente'!$B$4:$Q$347,MATCH($C118,'Energieverbruik in TJ Gemeente'!$B$4:$B$347,0),MATCH(F$2,'Energieverbruik in TJ Gemeente'!$B$4:$Q$4,0))</f>
        <v>?</v>
      </c>
      <c r="G118">
        <f>INDEX('Energieverbruik in TJ Gemeente'!$B$4:$Q$347,MATCH($C118,'Energieverbruik in TJ Gemeente'!$B$4:$B$347,0),MATCH(G$2,'Energieverbruik in TJ Gemeente'!$B$4:$Q$4,0))</f>
        <v>1102</v>
      </c>
      <c r="H118">
        <f>INDEX('Energieverbruik in TJ Gemeente'!$B$4:$Q$347,MATCH($C118,'Energieverbruik in TJ Gemeente'!$B$4:$B$347,0),MATCH(H$2,'Energieverbruik in TJ Gemeente'!$B$4:$Q$4,0))</f>
        <v>955</v>
      </c>
      <c r="I118">
        <f>INDEX('Energieverbruik in TJ Gemeente'!$B$4:$Q$347,MATCH($C118,'Energieverbruik in TJ Gemeente'!$B$4:$B$347,0),MATCH(I$2,'Energieverbruik in TJ Gemeente'!$B$4:$Q$4,0))</f>
        <v>242</v>
      </c>
      <c r="J118">
        <f>INDEX('Energieverbruik in TJ Gemeente'!$B$4:$Q$347,MATCH($C118,'Energieverbruik in TJ Gemeente'!$B$4:$B$347,0),MATCH(J$2,'Energieverbruik in TJ Gemeente'!$B$4:$Q$4,0))</f>
        <v>226</v>
      </c>
      <c r="K118" t="str">
        <f>INDEX('Energieverbruik in TJ Gemeente'!$B$4:$Q$347,MATCH($C118,'Energieverbruik in TJ Gemeente'!$B$4:$B$347,0),MATCH(K$2,'Energieverbruik in TJ Gemeente'!$B$4:$Q$4,0))</f>
        <v>?</v>
      </c>
      <c r="L118">
        <f>INDEX('Energieverbruik in TJ Gemeente'!$B$4:$Q$347,MATCH($C118,'Energieverbruik in TJ Gemeente'!$B$4:$B$347,0),MATCH(L$2,'Energieverbruik in TJ Gemeente'!$B$4:$Q$4,0))</f>
        <v>213</v>
      </c>
      <c r="M118" t="str">
        <f>INDEX('Energieverbruik in TJ Gemeente'!$B$4:$Q$347,MATCH($C118,'Energieverbruik in TJ Gemeente'!$B$4:$B$347,0),MATCH(M$2,'Energieverbruik in TJ Gemeente'!$B$4:$Q$4,0))</f>
        <v>?</v>
      </c>
      <c r="N118">
        <f>INDEX('Energieverbruik in TJ Gemeente'!$B$4:$Q$347,MATCH($C118,'Energieverbruik in TJ Gemeente'!$B$4:$B$347,0),MATCH(N$2,'Energieverbruik in TJ Gemeente'!$B$4:$Q$4,0))</f>
        <v>26</v>
      </c>
      <c r="O118" t="str">
        <f>INDEX('Energieverbruik in TJ Gemeente'!$B$4:$Q$347,MATCH($C118,'Energieverbruik in TJ Gemeente'!$B$4:$B$347,0),MATCH(O$2,'Energieverbruik in TJ Gemeente'!$B$4:$Q$4,0))</f>
        <v>?</v>
      </c>
      <c r="P118">
        <f>INDEX('Energieverbruik in TJ Gemeente'!$B$4:$Q$347,MATCH($C118,'Energieverbruik in TJ Gemeente'!$B$4:$B$347,0),MATCH(P$2,'Energieverbruik in TJ Gemeente'!$B$4:$Q$4,0))</f>
        <v>22</v>
      </c>
      <c r="Q118">
        <f>INDEX('Energieverbruik in TJ Gemeente'!$B$4:$Q$347,MATCH($C118,'Energieverbruik in TJ Gemeente'!$B$4:$B$347,0),MATCH(Q$2,'Energieverbruik in TJ Gemeente'!$B$4:$Q$4,0))</f>
        <v>17</v>
      </c>
      <c r="R118">
        <f>INDEX('Energieverbruik in TJ Gemeente'!$B$4:$Q$347,MATCH($C118,'Energieverbruik in TJ Gemeente'!$B$4:$B$347,0),MATCH(R$2,'Energieverbruik in TJ Gemeente'!$B$4:$Q$4,0))</f>
        <v>15</v>
      </c>
      <c r="S118" cm="1">
        <f t="array" ref="S118">MAX(_xlfn._xlws.FILTER(D$1:H$1, D118:H118&lt;&gt;"?"))</f>
        <v>2023</v>
      </c>
      <c r="T118" cm="1">
        <f t="array" ref="T118">MAX(_xlfn._xlws.FILTER(I$1:M$1, I118:M118&lt;&gt;"?"))</f>
        <v>2022</v>
      </c>
      <c r="U118" cm="1">
        <f t="array" ref="U118">MAX(_xlfn._xlws.FILTER(F$1:J$1, F118:J118&lt;&gt;"?"))</f>
        <v>2023</v>
      </c>
      <c r="V118">
        <f t="shared" si="5"/>
        <v>955</v>
      </c>
      <c r="W118">
        <f t="shared" si="6"/>
        <v>213</v>
      </c>
      <c r="X118">
        <f t="shared" si="7"/>
        <v>15</v>
      </c>
      <c r="Y118">
        <f t="shared" si="8"/>
        <v>1183</v>
      </c>
      <c r="Z118">
        <f t="shared" si="9"/>
        <v>1.9660633860165196E-3</v>
      </c>
    </row>
    <row r="119" spans="1:26" ht="32" x14ac:dyDescent="0.2">
      <c r="A119" s="4" t="s">
        <v>355</v>
      </c>
      <c r="B119" s="4" t="s">
        <v>356</v>
      </c>
      <c r="C119" s="4" t="s">
        <v>357</v>
      </c>
      <c r="D119" t="str">
        <f>INDEX('Energieverbruik in TJ Gemeente'!$B$4:$Q$347,MATCH($C119,'Energieverbruik in TJ Gemeente'!$B$4:$B$347,0),MATCH(D$2,'Energieverbruik in TJ Gemeente'!$B$4:$Q$4,0))</f>
        <v>?</v>
      </c>
      <c r="E119">
        <f>INDEX('Energieverbruik in TJ Gemeente'!$B$4:$Q$347,MATCH($C119,'Energieverbruik in TJ Gemeente'!$B$4:$B$347,0),MATCH(E$2,'Energieverbruik in TJ Gemeente'!$B$4:$Q$4,0))</f>
        <v>342</v>
      </c>
      <c r="F119">
        <f>INDEX('Energieverbruik in TJ Gemeente'!$B$4:$Q$347,MATCH($C119,'Energieverbruik in TJ Gemeente'!$B$4:$B$347,0),MATCH(F$2,'Energieverbruik in TJ Gemeente'!$B$4:$Q$4,0))</f>
        <v>345</v>
      </c>
      <c r="G119">
        <f>INDEX('Energieverbruik in TJ Gemeente'!$B$4:$Q$347,MATCH($C119,'Energieverbruik in TJ Gemeente'!$B$4:$B$347,0),MATCH(G$2,'Energieverbruik in TJ Gemeente'!$B$4:$Q$4,0))</f>
        <v>301</v>
      </c>
      <c r="H119">
        <f>INDEX('Energieverbruik in TJ Gemeente'!$B$4:$Q$347,MATCH($C119,'Energieverbruik in TJ Gemeente'!$B$4:$B$347,0),MATCH(H$2,'Energieverbruik in TJ Gemeente'!$B$4:$Q$4,0))</f>
        <v>248</v>
      </c>
      <c r="I119">
        <f>INDEX('Energieverbruik in TJ Gemeente'!$B$4:$Q$347,MATCH($C119,'Energieverbruik in TJ Gemeente'!$B$4:$B$347,0),MATCH(I$2,'Energieverbruik in TJ Gemeente'!$B$4:$Q$4,0))</f>
        <v>77</v>
      </c>
      <c r="J119">
        <f>INDEX('Energieverbruik in TJ Gemeente'!$B$4:$Q$347,MATCH($C119,'Energieverbruik in TJ Gemeente'!$B$4:$B$347,0),MATCH(J$2,'Energieverbruik in TJ Gemeente'!$B$4:$Q$4,0))</f>
        <v>71</v>
      </c>
      <c r="K119">
        <f>INDEX('Energieverbruik in TJ Gemeente'!$B$4:$Q$347,MATCH($C119,'Energieverbruik in TJ Gemeente'!$B$4:$B$347,0),MATCH(K$2,'Energieverbruik in TJ Gemeente'!$B$4:$Q$4,0))</f>
        <v>80</v>
      </c>
      <c r="L119">
        <f>INDEX('Energieverbruik in TJ Gemeente'!$B$4:$Q$347,MATCH($C119,'Energieverbruik in TJ Gemeente'!$B$4:$B$347,0),MATCH(L$2,'Energieverbruik in TJ Gemeente'!$B$4:$Q$4,0))</f>
        <v>70</v>
      </c>
      <c r="M119">
        <f>INDEX('Energieverbruik in TJ Gemeente'!$B$4:$Q$347,MATCH($C119,'Energieverbruik in TJ Gemeente'!$B$4:$B$347,0),MATCH(M$2,'Energieverbruik in TJ Gemeente'!$B$4:$Q$4,0))</f>
        <v>65</v>
      </c>
      <c r="N119">
        <f>INDEX('Energieverbruik in TJ Gemeente'!$B$4:$Q$347,MATCH($C119,'Energieverbruik in TJ Gemeente'!$B$4:$B$347,0),MATCH(N$2,'Energieverbruik in TJ Gemeente'!$B$4:$Q$4,0))</f>
        <v>1</v>
      </c>
      <c r="O119">
        <f>INDEX('Energieverbruik in TJ Gemeente'!$B$4:$Q$347,MATCH($C119,'Energieverbruik in TJ Gemeente'!$B$4:$B$347,0),MATCH(O$2,'Energieverbruik in TJ Gemeente'!$B$4:$Q$4,0))</f>
        <v>0</v>
      </c>
      <c r="P119">
        <f>INDEX('Energieverbruik in TJ Gemeente'!$B$4:$Q$347,MATCH($C119,'Energieverbruik in TJ Gemeente'!$B$4:$B$347,0),MATCH(P$2,'Energieverbruik in TJ Gemeente'!$B$4:$Q$4,0))</f>
        <v>0</v>
      </c>
      <c r="Q119">
        <f>INDEX('Energieverbruik in TJ Gemeente'!$B$4:$Q$347,MATCH($C119,'Energieverbruik in TJ Gemeente'!$B$4:$B$347,0),MATCH(Q$2,'Energieverbruik in TJ Gemeente'!$B$4:$Q$4,0))</f>
        <v>1</v>
      </c>
      <c r="R119">
        <f>INDEX('Energieverbruik in TJ Gemeente'!$B$4:$Q$347,MATCH($C119,'Energieverbruik in TJ Gemeente'!$B$4:$B$347,0),MATCH(R$2,'Energieverbruik in TJ Gemeente'!$B$4:$Q$4,0))</f>
        <v>0</v>
      </c>
      <c r="S119" cm="1">
        <f t="array" ref="S119">MAX(_xlfn._xlws.FILTER(D$1:H$1, D119:H119&lt;&gt;"?"))</f>
        <v>2023</v>
      </c>
      <c r="T119" cm="1">
        <f t="array" ref="T119">MAX(_xlfn._xlws.FILTER(I$1:M$1, I119:M119&lt;&gt;"?"))</f>
        <v>2023</v>
      </c>
      <c r="U119" cm="1">
        <f t="array" ref="U119">MAX(_xlfn._xlws.FILTER(F$1:J$1, F119:J119&lt;&gt;"?"))</f>
        <v>2023</v>
      </c>
      <c r="V119">
        <f t="shared" si="5"/>
        <v>248</v>
      </c>
      <c r="W119">
        <f t="shared" si="6"/>
        <v>65</v>
      </c>
      <c r="X119">
        <f t="shared" si="7"/>
        <v>0</v>
      </c>
      <c r="Y119">
        <f t="shared" si="8"/>
        <v>313</v>
      </c>
      <c r="Z119">
        <f t="shared" si="9"/>
        <v>5.2018414186235892E-4</v>
      </c>
    </row>
    <row r="120" spans="1:26" ht="16" x14ac:dyDescent="0.2">
      <c r="A120" s="4" t="s">
        <v>358</v>
      </c>
      <c r="B120" s="4" t="s">
        <v>359</v>
      </c>
      <c r="C120" s="4" t="s">
        <v>360</v>
      </c>
      <c r="D120">
        <f>INDEX('Energieverbruik in TJ Gemeente'!$B$4:$Q$347,MATCH($C120,'Energieverbruik in TJ Gemeente'!$B$4:$B$347,0),MATCH(D$2,'Energieverbruik in TJ Gemeente'!$B$4:$Q$4,0))</f>
        <v>420</v>
      </c>
      <c r="E120">
        <f>INDEX('Energieverbruik in TJ Gemeente'!$B$4:$Q$347,MATCH($C120,'Energieverbruik in TJ Gemeente'!$B$4:$B$347,0),MATCH(E$2,'Energieverbruik in TJ Gemeente'!$B$4:$Q$4,0))</f>
        <v>418</v>
      </c>
      <c r="F120">
        <f>INDEX('Energieverbruik in TJ Gemeente'!$B$4:$Q$347,MATCH($C120,'Energieverbruik in TJ Gemeente'!$B$4:$B$347,0),MATCH(F$2,'Energieverbruik in TJ Gemeente'!$B$4:$Q$4,0))</f>
        <v>415</v>
      </c>
      <c r="G120">
        <f>INDEX('Energieverbruik in TJ Gemeente'!$B$4:$Q$347,MATCH($C120,'Energieverbruik in TJ Gemeente'!$B$4:$B$347,0),MATCH(G$2,'Energieverbruik in TJ Gemeente'!$B$4:$Q$4,0))</f>
        <v>358</v>
      </c>
      <c r="H120">
        <f>INDEX('Energieverbruik in TJ Gemeente'!$B$4:$Q$347,MATCH($C120,'Energieverbruik in TJ Gemeente'!$B$4:$B$347,0),MATCH(H$2,'Energieverbruik in TJ Gemeente'!$B$4:$Q$4,0))</f>
        <v>302</v>
      </c>
      <c r="I120" t="str">
        <f>INDEX('Energieverbruik in TJ Gemeente'!$B$4:$Q$347,MATCH($C120,'Energieverbruik in TJ Gemeente'!$B$4:$B$347,0),MATCH(I$2,'Energieverbruik in TJ Gemeente'!$B$4:$Q$4,0))</f>
        <v>?</v>
      </c>
      <c r="J120" t="str">
        <f>INDEX('Energieverbruik in TJ Gemeente'!$B$4:$Q$347,MATCH($C120,'Energieverbruik in TJ Gemeente'!$B$4:$B$347,0),MATCH(J$2,'Energieverbruik in TJ Gemeente'!$B$4:$Q$4,0))</f>
        <v>?</v>
      </c>
      <c r="K120" t="str">
        <f>INDEX('Energieverbruik in TJ Gemeente'!$B$4:$Q$347,MATCH($C120,'Energieverbruik in TJ Gemeente'!$B$4:$B$347,0),MATCH(K$2,'Energieverbruik in TJ Gemeente'!$B$4:$Q$4,0))</f>
        <v>?</v>
      </c>
      <c r="L120" t="str">
        <f>INDEX('Energieverbruik in TJ Gemeente'!$B$4:$Q$347,MATCH($C120,'Energieverbruik in TJ Gemeente'!$B$4:$B$347,0),MATCH(L$2,'Energieverbruik in TJ Gemeente'!$B$4:$Q$4,0))</f>
        <v>?</v>
      </c>
      <c r="M120" t="str">
        <f>INDEX('Energieverbruik in TJ Gemeente'!$B$4:$Q$347,MATCH($C120,'Energieverbruik in TJ Gemeente'!$B$4:$B$347,0),MATCH(M$2,'Energieverbruik in TJ Gemeente'!$B$4:$Q$4,0))</f>
        <v>?</v>
      </c>
      <c r="N120">
        <f>INDEX('Energieverbruik in TJ Gemeente'!$B$4:$Q$347,MATCH($C120,'Energieverbruik in TJ Gemeente'!$B$4:$B$347,0),MATCH(N$2,'Energieverbruik in TJ Gemeente'!$B$4:$Q$4,0))</f>
        <v>54</v>
      </c>
      <c r="O120">
        <f>INDEX('Energieverbruik in TJ Gemeente'!$B$4:$Q$347,MATCH($C120,'Energieverbruik in TJ Gemeente'!$B$4:$B$347,0),MATCH(O$2,'Energieverbruik in TJ Gemeente'!$B$4:$Q$4,0))</f>
        <v>17</v>
      </c>
      <c r="P120">
        <f>INDEX('Energieverbruik in TJ Gemeente'!$B$4:$Q$347,MATCH($C120,'Energieverbruik in TJ Gemeente'!$B$4:$B$347,0),MATCH(P$2,'Energieverbruik in TJ Gemeente'!$B$4:$Q$4,0))</f>
        <v>5</v>
      </c>
      <c r="Q120">
        <f>INDEX('Energieverbruik in TJ Gemeente'!$B$4:$Q$347,MATCH($C120,'Energieverbruik in TJ Gemeente'!$B$4:$B$347,0),MATCH(Q$2,'Energieverbruik in TJ Gemeente'!$B$4:$Q$4,0))</f>
        <v>3</v>
      </c>
      <c r="R120" t="str">
        <f>INDEX('Energieverbruik in TJ Gemeente'!$B$4:$Q$347,MATCH($C120,'Energieverbruik in TJ Gemeente'!$B$4:$B$347,0),MATCH(R$2,'Energieverbruik in TJ Gemeente'!$B$4:$Q$4,0))</f>
        <v>?</v>
      </c>
      <c r="S120" cm="1">
        <f t="array" ref="S120">MAX(_xlfn._xlws.FILTER(D$1:H$1, D120:H120&lt;&gt;"?"))</f>
        <v>2023</v>
      </c>
      <c r="T120" t="e" cm="1" vm="1">
        <f t="array" ref="T120">MAX(_xlfn._xlws.FILTER(I$1:M$1, I120:M120&lt;&gt;"?"))</f>
        <v>#VALUE!</v>
      </c>
      <c r="U120" cm="1">
        <f t="array" ref="U120">MAX(_xlfn._xlws.FILTER(F$1:J$1, F120:J120&lt;&gt;"?"))</f>
        <v>2023</v>
      </c>
      <c r="V120">
        <f t="shared" si="5"/>
        <v>302</v>
      </c>
      <c r="W120">
        <f t="shared" si="6"/>
        <v>0</v>
      </c>
      <c r="X120" t="str">
        <f t="shared" si="7"/>
        <v>?</v>
      </c>
      <c r="Y120">
        <f t="shared" si="8"/>
        <v>302</v>
      </c>
      <c r="Z120">
        <f t="shared" si="9"/>
        <v>5.0190291003972016E-4</v>
      </c>
    </row>
    <row r="121" spans="1:26" ht="16" x14ac:dyDescent="0.2">
      <c r="A121" s="4" t="s">
        <v>361</v>
      </c>
      <c r="B121" s="4" t="s">
        <v>362</v>
      </c>
      <c r="C121" s="4" t="s">
        <v>363</v>
      </c>
      <c r="D121" t="str">
        <f>INDEX('Energieverbruik in TJ Gemeente'!$B$4:$Q$347,MATCH($C121,'Energieverbruik in TJ Gemeente'!$B$4:$B$347,0),MATCH(D$2,'Energieverbruik in TJ Gemeente'!$B$4:$Q$4,0))</f>
        <v>?</v>
      </c>
      <c r="E121">
        <f>INDEX('Energieverbruik in TJ Gemeente'!$B$4:$Q$347,MATCH($C121,'Energieverbruik in TJ Gemeente'!$B$4:$B$347,0),MATCH(E$2,'Energieverbruik in TJ Gemeente'!$B$4:$Q$4,0))</f>
        <v>348</v>
      </c>
      <c r="F121">
        <f>INDEX('Energieverbruik in TJ Gemeente'!$B$4:$Q$347,MATCH($C121,'Energieverbruik in TJ Gemeente'!$B$4:$B$347,0),MATCH(F$2,'Energieverbruik in TJ Gemeente'!$B$4:$Q$4,0))</f>
        <v>315</v>
      </c>
      <c r="G121">
        <f>INDEX('Energieverbruik in TJ Gemeente'!$B$4:$Q$347,MATCH($C121,'Energieverbruik in TJ Gemeente'!$B$4:$B$347,0),MATCH(G$2,'Energieverbruik in TJ Gemeente'!$B$4:$Q$4,0))</f>
        <v>283</v>
      </c>
      <c r="H121">
        <f>INDEX('Energieverbruik in TJ Gemeente'!$B$4:$Q$347,MATCH($C121,'Energieverbruik in TJ Gemeente'!$B$4:$B$347,0),MATCH(H$2,'Energieverbruik in TJ Gemeente'!$B$4:$Q$4,0))</f>
        <v>234</v>
      </c>
      <c r="I121" t="str">
        <f>INDEX('Energieverbruik in TJ Gemeente'!$B$4:$Q$347,MATCH($C121,'Energieverbruik in TJ Gemeente'!$B$4:$B$347,0),MATCH(I$2,'Energieverbruik in TJ Gemeente'!$B$4:$Q$4,0))</f>
        <v>?</v>
      </c>
      <c r="J121" t="str">
        <f>INDEX('Energieverbruik in TJ Gemeente'!$B$4:$Q$347,MATCH($C121,'Energieverbruik in TJ Gemeente'!$B$4:$B$347,0),MATCH(J$2,'Energieverbruik in TJ Gemeente'!$B$4:$Q$4,0))</f>
        <v>?</v>
      </c>
      <c r="K121" t="str">
        <f>INDEX('Energieverbruik in TJ Gemeente'!$B$4:$Q$347,MATCH($C121,'Energieverbruik in TJ Gemeente'!$B$4:$B$347,0),MATCH(K$2,'Energieverbruik in TJ Gemeente'!$B$4:$Q$4,0))</f>
        <v>?</v>
      </c>
      <c r="L121" t="str">
        <f>INDEX('Energieverbruik in TJ Gemeente'!$B$4:$Q$347,MATCH($C121,'Energieverbruik in TJ Gemeente'!$B$4:$B$347,0),MATCH(L$2,'Energieverbruik in TJ Gemeente'!$B$4:$Q$4,0))</f>
        <v>?</v>
      </c>
      <c r="M121" t="str">
        <f>INDEX('Energieverbruik in TJ Gemeente'!$B$4:$Q$347,MATCH($C121,'Energieverbruik in TJ Gemeente'!$B$4:$B$347,0),MATCH(M$2,'Energieverbruik in TJ Gemeente'!$B$4:$Q$4,0))</f>
        <v>?</v>
      </c>
      <c r="N121">
        <f>INDEX('Energieverbruik in TJ Gemeente'!$B$4:$Q$347,MATCH($C121,'Energieverbruik in TJ Gemeente'!$B$4:$B$347,0),MATCH(N$2,'Energieverbruik in TJ Gemeente'!$B$4:$Q$4,0))</f>
        <v>2</v>
      </c>
      <c r="O121">
        <f>INDEX('Energieverbruik in TJ Gemeente'!$B$4:$Q$347,MATCH($C121,'Energieverbruik in TJ Gemeente'!$B$4:$B$347,0),MATCH(O$2,'Energieverbruik in TJ Gemeente'!$B$4:$Q$4,0))</f>
        <v>2</v>
      </c>
      <c r="P121">
        <f>INDEX('Energieverbruik in TJ Gemeente'!$B$4:$Q$347,MATCH($C121,'Energieverbruik in TJ Gemeente'!$B$4:$B$347,0),MATCH(P$2,'Energieverbruik in TJ Gemeente'!$B$4:$Q$4,0))</f>
        <v>2</v>
      </c>
      <c r="Q121">
        <f>INDEX('Energieverbruik in TJ Gemeente'!$B$4:$Q$347,MATCH($C121,'Energieverbruik in TJ Gemeente'!$B$4:$B$347,0),MATCH(Q$2,'Energieverbruik in TJ Gemeente'!$B$4:$Q$4,0))</f>
        <v>1</v>
      </c>
      <c r="R121">
        <f>INDEX('Energieverbruik in TJ Gemeente'!$B$4:$Q$347,MATCH($C121,'Energieverbruik in TJ Gemeente'!$B$4:$B$347,0),MATCH(R$2,'Energieverbruik in TJ Gemeente'!$B$4:$Q$4,0))</f>
        <v>1</v>
      </c>
      <c r="S121" cm="1">
        <f t="array" ref="S121">MAX(_xlfn._xlws.FILTER(D$1:H$1, D121:H121&lt;&gt;"?"))</f>
        <v>2023</v>
      </c>
      <c r="T121" t="e" cm="1" vm="1">
        <f t="array" ref="T121">MAX(_xlfn._xlws.FILTER(I$1:M$1, I121:M121&lt;&gt;"?"))</f>
        <v>#VALUE!</v>
      </c>
      <c r="U121" cm="1">
        <f t="array" ref="U121">MAX(_xlfn._xlws.FILTER(F$1:J$1, F121:J121&lt;&gt;"?"))</f>
        <v>2023</v>
      </c>
      <c r="V121">
        <f t="shared" si="5"/>
        <v>234</v>
      </c>
      <c r="W121">
        <f t="shared" si="6"/>
        <v>0</v>
      </c>
      <c r="X121">
        <f t="shared" si="7"/>
        <v>1</v>
      </c>
      <c r="Y121">
        <f t="shared" si="8"/>
        <v>235</v>
      </c>
      <c r="Z121">
        <f t="shared" si="9"/>
        <v>3.9055358893819284E-4</v>
      </c>
    </row>
    <row r="122" spans="1:26" ht="16" x14ac:dyDescent="0.2">
      <c r="A122" s="4" t="s">
        <v>364</v>
      </c>
      <c r="B122" s="4" t="s">
        <v>365</v>
      </c>
      <c r="C122" s="4" t="s">
        <v>366</v>
      </c>
      <c r="D122">
        <f>INDEX('Energieverbruik in TJ Gemeente'!$B$4:$Q$347,MATCH($C122,'Energieverbruik in TJ Gemeente'!$B$4:$B$347,0),MATCH(D$2,'Energieverbruik in TJ Gemeente'!$B$4:$Q$4,0))</f>
        <v>792</v>
      </c>
      <c r="E122">
        <f>INDEX('Energieverbruik in TJ Gemeente'!$B$4:$Q$347,MATCH($C122,'Energieverbruik in TJ Gemeente'!$B$4:$B$347,0),MATCH(E$2,'Energieverbruik in TJ Gemeente'!$B$4:$Q$4,0))</f>
        <v>778</v>
      </c>
      <c r="F122">
        <f>INDEX('Energieverbruik in TJ Gemeente'!$B$4:$Q$347,MATCH($C122,'Energieverbruik in TJ Gemeente'!$B$4:$B$347,0),MATCH(F$2,'Energieverbruik in TJ Gemeente'!$B$4:$Q$4,0))</f>
        <v>783</v>
      </c>
      <c r="G122">
        <f>INDEX('Energieverbruik in TJ Gemeente'!$B$4:$Q$347,MATCH($C122,'Energieverbruik in TJ Gemeente'!$B$4:$B$347,0),MATCH(G$2,'Energieverbruik in TJ Gemeente'!$B$4:$Q$4,0))</f>
        <v>679</v>
      </c>
      <c r="H122">
        <f>INDEX('Energieverbruik in TJ Gemeente'!$B$4:$Q$347,MATCH($C122,'Energieverbruik in TJ Gemeente'!$B$4:$B$347,0),MATCH(H$2,'Energieverbruik in TJ Gemeente'!$B$4:$Q$4,0))</f>
        <v>590</v>
      </c>
      <c r="I122">
        <f>INDEX('Energieverbruik in TJ Gemeente'!$B$4:$Q$347,MATCH($C122,'Energieverbruik in TJ Gemeente'!$B$4:$B$347,0),MATCH(I$2,'Energieverbruik in TJ Gemeente'!$B$4:$Q$4,0))</f>
        <v>10</v>
      </c>
      <c r="J122">
        <f>INDEX('Energieverbruik in TJ Gemeente'!$B$4:$Q$347,MATCH($C122,'Energieverbruik in TJ Gemeente'!$B$4:$B$347,0),MATCH(J$2,'Energieverbruik in TJ Gemeente'!$B$4:$Q$4,0))</f>
        <v>10</v>
      </c>
      <c r="K122">
        <f>INDEX('Energieverbruik in TJ Gemeente'!$B$4:$Q$347,MATCH($C122,'Energieverbruik in TJ Gemeente'!$B$4:$B$347,0),MATCH(K$2,'Energieverbruik in TJ Gemeente'!$B$4:$Q$4,0))</f>
        <v>11</v>
      </c>
      <c r="L122">
        <f>INDEX('Energieverbruik in TJ Gemeente'!$B$4:$Q$347,MATCH($C122,'Energieverbruik in TJ Gemeente'!$B$4:$B$347,0),MATCH(L$2,'Energieverbruik in TJ Gemeente'!$B$4:$Q$4,0))</f>
        <v>8</v>
      </c>
      <c r="M122" t="str">
        <f>INDEX('Energieverbruik in TJ Gemeente'!$B$4:$Q$347,MATCH($C122,'Energieverbruik in TJ Gemeente'!$B$4:$B$347,0),MATCH(M$2,'Energieverbruik in TJ Gemeente'!$B$4:$Q$4,0))</f>
        <v>?</v>
      </c>
      <c r="N122">
        <f>INDEX('Energieverbruik in TJ Gemeente'!$B$4:$Q$347,MATCH($C122,'Energieverbruik in TJ Gemeente'!$B$4:$B$347,0),MATCH(N$2,'Energieverbruik in TJ Gemeente'!$B$4:$Q$4,0))</f>
        <v>120</v>
      </c>
      <c r="O122">
        <f>INDEX('Energieverbruik in TJ Gemeente'!$B$4:$Q$347,MATCH($C122,'Energieverbruik in TJ Gemeente'!$B$4:$B$347,0),MATCH(O$2,'Energieverbruik in TJ Gemeente'!$B$4:$Q$4,0))</f>
        <v>134</v>
      </c>
      <c r="P122">
        <f>INDEX('Energieverbruik in TJ Gemeente'!$B$4:$Q$347,MATCH($C122,'Energieverbruik in TJ Gemeente'!$B$4:$B$347,0),MATCH(P$2,'Energieverbruik in TJ Gemeente'!$B$4:$Q$4,0))</f>
        <v>127</v>
      </c>
      <c r="Q122">
        <f>INDEX('Energieverbruik in TJ Gemeente'!$B$4:$Q$347,MATCH($C122,'Energieverbruik in TJ Gemeente'!$B$4:$B$347,0),MATCH(Q$2,'Energieverbruik in TJ Gemeente'!$B$4:$Q$4,0))</f>
        <v>92</v>
      </c>
      <c r="R122">
        <f>INDEX('Energieverbruik in TJ Gemeente'!$B$4:$Q$347,MATCH($C122,'Energieverbruik in TJ Gemeente'!$B$4:$B$347,0),MATCH(R$2,'Energieverbruik in TJ Gemeente'!$B$4:$Q$4,0))</f>
        <v>87</v>
      </c>
      <c r="S122" cm="1">
        <f t="array" ref="S122">MAX(_xlfn._xlws.FILTER(D$1:H$1, D122:H122&lt;&gt;"?"))</f>
        <v>2023</v>
      </c>
      <c r="T122" cm="1">
        <f t="array" ref="T122">MAX(_xlfn._xlws.FILTER(I$1:M$1, I122:M122&lt;&gt;"?"))</f>
        <v>2022</v>
      </c>
      <c r="U122" cm="1">
        <f t="array" ref="U122">MAX(_xlfn._xlws.FILTER(F$1:J$1, F122:J122&lt;&gt;"?"))</f>
        <v>2023</v>
      </c>
      <c r="V122">
        <f t="shared" si="5"/>
        <v>590</v>
      </c>
      <c r="W122">
        <f t="shared" si="6"/>
        <v>8</v>
      </c>
      <c r="X122">
        <f t="shared" si="7"/>
        <v>87</v>
      </c>
      <c r="Y122">
        <f t="shared" si="8"/>
        <v>685</v>
      </c>
      <c r="Z122">
        <f t="shared" si="9"/>
        <v>1.1384221635006896E-3</v>
      </c>
    </row>
    <row r="123" spans="1:26" ht="16" x14ac:dyDescent="0.2">
      <c r="A123" s="4" t="s">
        <v>367</v>
      </c>
      <c r="B123" s="4" t="s">
        <v>368</v>
      </c>
      <c r="C123" s="4" t="s">
        <v>369</v>
      </c>
      <c r="D123" t="str">
        <f>INDEX('Energieverbruik in TJ Gemeente'!$B$4:$Q$347,MATCH($C123,'Energieverbruik in TJ Gemeente'!$B$4:$B$347,0),MATCH(D$2,'Energieverbruik in TJ Gemeente'!$B$4:$Q$4,0))</f>
        <v>?</v>
      </c>
      <c r="E123" t="str">
        <f>INDEX('Energieverbruik in TJ Gemeente'!$B$4:$Q$347,MATCH($C123,'Energieverbruik in TJ Gemeente'!$B$4:$B$347,0),MATCH(E$2,'Energieverbruik in TJ Gemeente'!$B$4:$Q$4,0))</f>
        <v>?</v>
      </c>
      <c r="F123" t="str">
        <f>INDEX('Energieverbruik in TJ Gemeente'!$B$4:$Q$347,MATCH($C123,'Energieverbruik in TJ Gemeente'!$B$4:$B$347,0),MATCH(F$2,'Energieverbruik in TJ Gemeente'!$B$4:$Q$4,0))</f>
        <v>?</v>
      </c>
      <c r="G123" t="str">
        <f>INDEX('Energieverbruik in TJ Gemeente'!$B$4:$Q$347,MATCH($C123,'Energieverbruik in TJ Gemeente'!$B$4:$B$347,0),MATCH(G$2,'Energieverbruik in TJ Gemeente'!$B$4:$Q$4,0))</f>
        <v>?</v>
      </c>
      <c r="H123" t="str">
        <f>INDEX('Energieverbruik in TJ Gemeente'!$B$4:$Q$347,MATCH($C123,'Energieverbruik in TJ Gemeente'!$B$4:$B$347,0),MATCH(H$2,'Energieverbruik in TJ Gemeente'!$B$4:$Q$4,0))</f>
        <v>?</v>
      </c>
      <c r="I123" t="str">
        <f>INDEX('Energieverbruik in TJ Gemeente'!$B$4:$Q$347,MATCH($C123,'Energieverbruik in TJ Gemeente'!$B$4:$B$347,0),MATCH(I$2,'Energieverbruik in TJ Gemeente'!$B$4:$Q$4,0))</f>
        <v>?</v>
      </c>
      <c r="J123" t="str">
        <f>INDEX('Energieverbruik in TJ Gemeente'!$B$4:$Q$347,MATCH($C123,'Energieverbruik in TJ Gemeente'!$B$4:$B$347,0),MATCH(J$2,'Energieverbruik in TJ Gemeente'!$B$4:$Q$4,0))</f>
        <v>?</v>
      </c>
      <c r="K123" t="str">
        <f>INDEX('Energieverbruik in TJ Gemeente'!$B$4:$Q$347,MATCH($C123,'Energieverbruik in TJ Gemeente'!$B$4:$B$347,0),MATCH(K$2,'Energieverbruik in TJ Gemeente'!$B$4:$Q$4,0))</f>
        <v>?</v>
      </c>
      <c r="L123" t="str">
        <f>INDEX('Energieverbruik in TJ Gemeente'!$B$4:$Q$347,MATCH($C123,'Energieverbruik in TJ Gemeente'!$B$4:$B$347,0),MATCH(L$2,'Energieverbruik in TJ Gemeente'!$B$4:$Q$4,0))</f>
        <v>?</v>
      </c>
      <c r="M123" t="str">
        <f>INDEX('Energieverbruik in TJ Gemeente'!$B$4:$Q$347,MATCH($C123,'Energieverbruik in TJ Gemeente'!$B$4:$B$347,0),MATCH(M$2,'Energieverbruik in TJ Gemeente'!$B$4:$Q$4,0))</f>
        <v>?</v>
      </c>
      <c r="N123">
        <f>INDEX('Energieverbruik in TJ Gemeente'!$B$4:$Q$347,MATCH($C123,'Energieverbruik in TJ Gemeente'!$B$4:$B$347,0),MATCH(N$2,'Energieverbruik in TJ Gemeente'!$B$4:$Q$4,0))</f>
        <v>5</v>
      </c>
      <c r="O123">
        <f>INDEX('Energieverbruik in TJ Gemeente'!$B$4:$Q$347,MATCH($C123,'Energieverbruik in TJ Gemeente'!$B$4:$B$347,0),MATCH(O$2,'Energieverbruik in TJ Gemeente'!$B$4:$Q$4,0))</f>
        <v>4</v>
      </c>
      <c r="P123" t="str">
        <f>INDEX('Energieverbruik in TJ Gemeente'!$B$4:$Q$347,MATCH($C123,'Energieverbruik in TJ Gemeente'!$B$4:$B$347,0),MATCH(P$2,'Energieverbruik in TJ Gemeente'!$B$4:$Q$4,0))</f>
        <v>?</v>
      </c>
      <c r="Q123">
        <f>INDEX('Energieverbruik in TJ Gemeente'!$B$4:$Q$347,MATCH($C123,'Energieverbruik in TJ Gemeente'!$B$4:$B$347,0),MATCH(Q$2,'Energieverbruik in TJ Gemeente'!$B$4:$Q$4,0))</f>
        <v>4</v>
      </c>
      <c r="R123">
        <f>INDEX('Energieverbruik in TJ Gemeente'!$B$4:$Q$347,MATCH($C123,'Energieverbruik in TJ Gemeente'!$B$4:$B$347,0),MATCH(R$2,'Energieverbruik in TJ Gemeente'!$B$4:$Q$4,0))</f>
        <v>3</v>
      </c>
      <c r="S123" t="e" cm="1" vm="1">
        <f t="array" ref="S123">MAX(_xlfn._xlws.FILTER(D$1:H$1, D123:H123&lt;&gt;"?"))</f>
        <v>#VALUE!</v>
      </c>
      <c r="T123" t="e" cm="1" vm="1">
        <f t="array" ref="T123">MAX(_xlfn._xlws.FILTER(I$1:M$1, I123:M123&lt;&gt;"?"))</f>
        <v>#VALUE!</v>
      </c>
      <c r="U123" t="e" cm="1" vm="1">
        <f t="array" ref="U123">MAX(_xlfn._xlws.FILTER(F$1:J$1, F123:J123&lt;&gt;"?"))</f>
        <v>#VALUE!</v>
      </c>
      <c r="V123">
        <f t="shared" si="5"/>
        <v>0</v>
      </c>
      <c r="W123">
        <f t="shared" si="6"/>
        <v>0</v>
      </c>
      <c r="X123">
        <f t="shared" si="7"/>
        <v>0</v>
      </c>
      <c r="Y123">
        <f t="shared" si="8"/>
        <v>0</v>
      </c>
      <c r="Z123">
        <f t="shared" si="9"/>
        <v>0</v>
      </c>
    </row>
    <row r="124" spans="1:26" ht="16" x14ac:dyDescent="0.2">
      <c r="A124" s="4" t="s">
        <v>370</v>
      </c>
      <c r="B124" s="4" t="s">
        <v>371</v>
      </c>
      <c r="C124" s="4" t="s">
        <v>372</v>
      </c>
      <c r="D124">
        <f>INDEX('Energieverbruik in TJ Gemeente'!$B$4:$Q$347,MATCH($C124,'Energieverbruik in TJ Gemeente'!$B$4:$B$347,0),MATCH(D$2,'Energieverbruik in TJ Gemeente'!$B$4:$Q$4,0))</f>
        <v>516</v>
      </c>
      <c r="E124" t="str">
        <f>INDEX('Energieverbruik in TJ Gemeente'!$B$4:$Q$347,MATCH($C124,'Energieverbruik in TJ Gemeente'!$B$4:$B$347,0),MATCH(E$2,'Energieverbruik in TJ Gemeente'!$B$4:$Q$4,0))</f>
        <v>?</v>
      </c>
      <c r="F124">
        <f>INDEX('Energieverbruik in TJ Gemeente'!$B$4:$Q$347,MATCH($C124,'Energieverbruik in TJ Gemeente'!$B$4:$B$347,0),MATCH(F$2,'Energieverbruik in TJ Gemeente'!$B$4:$Q$4,0))</f>
        <v>484</v>
      </c>
      <c r="G124">
        <f>INDEX('Energieverbruik in TJ Gemeente'!$B$4:$Q$347,MATCH($C124,'Energieverbruik in TJ Gemeente'!$B$4:$B$347,0),MATCH(G$2,'Energieverbruik in TJ Gemeente'!$B$4:$Q$4,0))</f>
        <v>436</v>
      </c>
      <c r="H124">
        <f>INDEX('Energieverbruik in TJ Gemeente'!$B$4:$Q$347,MATCH($C124,'Energieverbruik in TJ Gemeente'!$B$4:$B$347,0),MATCH(H$2,'Energieverbruik in TJ Gemeente'!$B$4:$Q$4,0))</f>
        <v>358</v>
      </c>
      <c r="I124">
        <f>INDEX('Energieverbruik in TJ Gemeente'!$B$4:$Q$347,MATCH($C124,'Energieverbruik in TJ Gemeente'!$B$4:$B$347,0),MATCH(I$2,'Energieverbruik in TJ Gemeente'!$B$4:$Q$4,0))</f>
        <v>100</v>
      </c>
      <c r="J124">
        <f>INDEX('Energieverbruik in TJ Gemeente'!$B$4:$Q$347,MATCH($C124,'Energieverbruik in TJ Gemeente'!$B$4:$B$347,0),MATCH(J$2,'Energieverbruik in TJ Gemeente'!$B$4:$Q$4,0))</f>
        <v>90</v>
      </c>
      <c r="K124">
        <f>INDEX('Energieverbruik in TJ Gemeente'!$B$4:$Q$347,MATCH($C124,'Energieverbruik in TJ Gemeente'!$B$4:$B$347,0),MATCH(K$2,'Energieverbruik in TJ Gemeente'!$B$4:$Q$4,0))</f>
        <v>87</v>
      </c>
      <c r="L124">
        <f>INDEX('Energieverbruik in TJ Gemeente'!$B$4:$Q$347,MATCH($C124,'Energieverbruik in TJ Gemeente'!$B$4:$B$347,0),MATCH(L$2,'Energieverbruik in TJ Gemeente'!$B$4:$Q$4,0))</f>
        <v>74</v>
      </c>
      <c r="M124">
        <f>INDEX('Energieverbruik in TJ Gemeente'!$B$4:$Q$347,MATCH($C124,'Energieverbruik in TJ Gemeente'!$B$4:$B$347,0),MATCH(M$2,'Energieverbruik in TJ Gemeente'!$B$4:$Q$4,0))</f>
        <v>73</v>
      </c>
      <c r="N124">
        <f>INDEX('Energieverbruik in TJ Gemeente'!$B$4:$Q$347,MATCH($C124,'Energieverbruik in TJ Gemeente'!$B$4:$B$347,0),MATCH(N$2,'Energieverbruik in TJ Gemeente'!$B$4:$Q$4,0))</f>
        <v>38</v>
      </c>
      <c r="O124">
        <f>INDEX('Energieverbruik in TJ Gemeente'!$B$4:$Q$347,MATCH($C124,'Energieverbruik in TJ Gemeente'!$B$4:$B$347,0),MATCH(O$2,'Energieverbruik in TJ Gemeente'!$B$4:$Q$4,0))</f>
        <v>35</v>
      </c>
      <c r="P124">
        <f>INDEX('Energieverbruik in TJ Gemeente'!$B$4:$Q$347,MATCH($C124,'Energieverbruik in TJ Gemeente'!$B$4:$B$347,0),MATCH(P$2,'Energieverbruik in TJ Gemeente'!$B$4:$Q$4,0))</f>
        <v>37</v>
      </c>
      <c r="Q124">
        <f>INDEX('Energieverbruik in TJ Gemeente'!$B$4:$Q$347,MATCH($C124,'Energieverbruik in TJ Gemeente'!$B$4:$B$347,0),MATCH(Q$2,'Energieverbruik in TJ Gemeente'!$B$4:$Q$4,0))</f>
        <v>21</v>
      </c>
      <c r="R124">
        <f>INDEX('Energieverbruik in TJ Gemeente'!$B$4:$Q$347,MATCH($C124,'Energieverbruik in TJ Gemeente'!$B$4:$B$347,0),MATCH(R$2,'Energieverbruik in TJ Gemeente'!$B$4:$Q$4,0))</f>
        <v>8</v>
      </c>
      <c r="S124" cm="1">
        <f t="array" ref="S124">MAX(_xlfn._xlws.FILTER(D$1:H$1, D124:H124&lt;&gt;"?"))</f>
        <v>2023</v>
      </c>
      <c r="T124" cm="1">
        <f t="array" ref="T124">MAX(_xlfn._xlws.FILTER(I$1:M$1, I124:M124&lt;&gt;"?"))</f>
        <v>2023</v>
      </c>
      <c r="U124" cm="1">
        <f t="array" ref="U124">MAX(_xlfn._xlws.FILTER(F$1:J$1, F124:J124&lt;&gt;"?"))</f>
        <v>2023</v>
      </c>
      <c r="V124">
        <f t="shared" si="5"/>
        <v>358</v>
      </c>
      <c r="W124">
        <f t="shared" si="6"/>
        <v>73</v>
      </c>
      <c r="X124">
        <f t="shared" si="7"/>
        <v>8</v>
      </c>
      <c r="Y124">
        <f t="shared" si="8"/>
        <v>439</v>
      </c>
      <c r="Z124">
        <f t="shared" si="9"/>
        <v>7.2958734273985805E-4</v>
      </c>
    </row>
    <row r="125" spans="1:26" ht="16" x14ac:dyDescent="0.2">
      <c r="A125" s="4" t="s">
        <v>373</v>
      </c>
      <c r="B125" s="4" t="s">
        <v>374</v>
      </c>
      <c r="C125" s="4" t="s">
        <v>375</v>
      </c>
      <c r="D125">
        <f>INDEX('Energieverbruik in TJ Gemeente'!$B$4:$Q$347,MATCH($C125,'Energieverbruik in TJ Gemeente'!$B$4:$B$347,0),MATCH(D$2,'Energieverbruik in TJ Gemeente'!$B$4:$Q$4,0))</f>
        <v>1656</v>
      </c>
      <c r="E125">
        <f>INDEX('Energieverbruik in TJ Gemeente'!$B$4:$Q$347,MATCH($C125,'Energieverbruik in TJ Gemeente'!$B$4:$B$347,0),MATCH(E$2,'Energieverbruik in TJ Gemeente'!$B$4:$Q$4,0))</f>
        <v>1437</v>
      </c>
      <c r="F125">
        <f>INDEX('Energieverbruik in TJ Gemeente'!$B$4:$Q$347,MATCH($C125,'Energieverbruik in TJ Gemeente'!$B$4:$B$347,0),MATCH(F$2,'Energieverbruik in TJ Gemeente'!$B$4:$Q$4,0))</f>
        <v>1425</v>
      </c>
      <c r="G125">
        <f>INDEX('Energieverbruik in TJ Gemeente'!$B$4:$Q$347,MATCH($C125,'Energieverbruik in TJ Gemeente'!$B$4:$B$347,0),MATCH(G$2,'Energieverbruik in TJ Gemeente'!$B$4:$Q$4,0))</f>
        <v>1250</v>
      </c>
      <c r="H125">
        <f>INDEX('Energieverbruik in TJ Gemeente'!$B$4:$Q$347,MATCH($C125,'Energieverbruik in TJ Gemeente'!$B$4:$B$347,0),MATCH(H$2,'Energieverbruik in TJ Gemeente'!$B$4:$Q$4,0))</f>
        <v>1046</v>
      </c>
      <c r="I125" t="str">
        <f>INDEX('Energieverbruik in TJ Gemeente'!$B$4:$Q$347,MATCH($C125,'Energieverbruik in TJ Gemeente'!$B$4:$B$347,0),MATCH(I$2,'Energieverbruik in TJ Gemeente'!$B$4:$Q$4,0))</f>
        <v>?</v>
      </c>
      <c r="J125">
        <f>INDEX('Energieverbruik in TJ Gemeente'!$B$4:$Q$347,MATCH($C125,'Energieverbruik in TJ Gemeente'!$B$4:$B$347,0),MATCH(J$2,'Energieverbruik in TJ Gemeente'!$B$4:$Q$4,0))</f>
        <v>844</v>
      </c>
      <c r="K125">
        <f>INDEX('Energieverbruik in TJ Gemeente'!$B$4:$Q$347,MATCH($C125,'Energieverbruik in TJ Gemeente'!$B$4:$B$347,0),MATCH(K$2,'Energieverbruik in TJ Gemeente'!$B$4:$Q$4,0))</f>
        <v>826</v>
      </c>
      <c r="L125" t="str">
        <f>INDEX('Energieverbruik in TJ Gemeente'!$B$4:$Q$347,MATCH($C125,'Energieverbruik in TJ Gemeente'!$B$4:$B$347,0),MATCH(L$2,'Energieverbruik in TJ Gemeente'!$B$4:$Q$4,0))</f>
        <v>?</v>
      </c>
      <c r="M125" t="str">
        <f>INDEX('Energieverbruik in TJ Gemeente'!$B$4:$Q$347,MATCH($C125,'Energieverbruik in TJ Gemeente'!$B$4:$B$347,0),MATCH(M$2,'Energieverbruik in TJ Gemeente'!$B$4:$Q$4,0))</f>
        <v>?</v>
      </c>
      <c r="N125">
        <f>INDEX('Energieverbruik in TJ Gemeente'!$B$4:$Q$347,MATCH($C125,'Energieverbruik in TJ Gemeente'!$B$4:$B$347,0),MATCH(N$2,'Energieverbruik in TJ Gemeente'!$B$4:$Q$4,0))</f>
        <v>37</v>
      </c>
      <c r="O125">
        <f>INDEX('Energieverbruik in TJ Gemeente'!$B$4:$Q$347,MATCH($C125,'Energieverbruik in TJ Gemeente'!$B$4:$B$347,0),MATCH(O$2,'Energieverbruik in TJ Gemeente'!$B$4:$Q$4,0))</f>
        <v>26</v>
      </c>
      <c r="P125">
        <f>INDEX('Energieverbruik in TJ Gemeente'!$B$4:$Q$347,MATCH($C125,'Energieverbruik in TJ Gemeente'!$B$4:$B$347,0),MATCH(P$2,'Energieverbruik in TJ Gemeente'!$B$4:$Q$4,0))</f>
        <v>26</v>
      </c>
      <c r="Q125">
        <f>INDEX('Energieverbruik in TJ Gemeente'!$B$4:$Q$347,MATCH($C125,'Energieverbruik in TJ Gemeente'!$B$4:$B$347,0),MATCH(Q$2,'Energieverbruik in TJ Gemeente'!$B$4:$Q$4,0))</f>
        <v>21</v>
      </c>
      <c r="R125">
        <f>INDEX('Energieverbruik in TJ Gemeente'!$B$4:$Q$347,MATCH($C125,'Energieverbruik in TJ Gemeente'!$B$4:$B$347,0),MATCH(R$2,'Energieverbruik in TJ Gemeente'!$B$4:$Q$4,0))</f>
        <v>16</v>
      </c>
      <c r="S125" cm="1">
        <f t="array" ref="S125">MAX(_xlfn._xlws.FILTER(D$1:H$1, D125:H125&lt;&gt;"?"))</f>
        <v>2023</v>
      </c>
      <c r="T125" cm="1">
        <f t="array" ref="T125">MAX(_xlfn._xlws.FILTER(I$1:M$1, I125:M125&lt;&gt;"?"))</f>
        <v>2021</v>
      </c>
      <c r="U125" cm="1">
        <f t="array" ref="U125">MAX(_xlfn._xlws.FILTER(F$1:J$1, F125:J125&lt;&gt;"?"))</f>
        <v>2023</v>
      </c>
      <c r="V125">
        <f t="shared" si="5"/>
        <v>1046</v>
      </c>
      <c r="W125">
        <f t="shared" si="6"/>
        <v>826</v>
      </c>
      <c r="X125">
        <f t="shared" si="7"/>
        <v>16</v>
      </c>
      <c r="Y125">
        <f t="shared" si="8"/>
        <v>1888</v>
      </c>
      <c r="Z125">
        <f t="shared" si="9"/>
        <v>3.1377241528310982E-3</v>
      </c>
    </row>
    <row r="126" spans="1:26" ht="16" x14ac:dyDescent="0.2">
      <c r="A126" s="4" t="s">
        <v>376</v>
      </c>
      <c r="B126" s="4" t="s">
        <v>377</v>
      </c>
      <c r="C126" s="4" t="s">
        <v>378</v>
      </c>
      <c r="D126">
        <f>INDEX('Energieverbruik in TJ Gemeente'!$B$4:$Q$347,MATCH($C126,'Energieverbruik in TJ Gemeente'!$B$4:$B$347,0),MATCH(D$2,'Energieverbruik in TJ Gemeente'!$B$4:$Q$4,0))</f>
        <v>2470</v>
      </c>
      <c r="E126">
        <f>INDEX('Energieverbruik in TJ Gemeente'!$B$4:$Q$347,MATCH($C126,'Energieverbruik in TJ Gemeente'!$B$4:$B$347,0),MATCH(E$2,'Energieverbruik in TJ Gemeente'!$B$4:$Q$4,0))</f>
        <v>2403</v>
      </c>
      <c r="F126" t="str">
        <f>INDEX('Energieverbruik in TJ Gemeente'!$B$4:$Q$347,MATCH($C126,'Energieverbruik in TJ Gemeente'!$B$4:$B$347,0),MATCH(F$2,'Energieverbruik in TJ Gemeente'!$B$4:$Q$4,0))</f>
        <v>?</v>
      </c>
      <c r="G126" t="str">
        <f>INDEX('Energieverbruik in TJ Gemeente'!$B$4:$Q$347,MATCH($C126,'Energieverbruik in TJ Gemeente'!$B$4:$B$347,0),MATCH(G$2,'Energieverbruik in TJ Gemeente'!$B$4:$Q$4,0))</f>
        <v>?</v>
      </c>
      <c r="H126" t="str">
        <f>INDEX('Energieverbruik in TJ Gemeente'!$B$4:$Q$347,MATCH($C126,'Energieverbruik in TJ Gemeente'!$B$4:$B$347,0),MATCH(H$2,'Energieverbruik in TJ Gemeente'!$B$4:$Q$4,0))</f>
        <v>?</v>
      </c>
      <c r="I126">
        <f>INDEX('Energieverbruik in TJ Gemeente'!$B$4:$Q$347,MATCH($C126,'Energieverbruik in TJ Gemeente'!$B$4:$B$347,0),MATCH(I$2,'Energieverbruik in TJ Gemeente'!$B$4:$Q$4,0))</f>
        <v>527</v>
      </c>
      <c r="J126">
        <f>INDEX('Energieverbruik in TJ Gemeente'!$B$4:$Q$347,MATCH($C126,'Energieverbruik in TJ Gemeente'!$B$4:$B$347,0),MATCH(J$2,'Energieverbruik in TJ Gemeente'!$B$4:$Q$4,0))</f>
        <v>522</v>
      </c>
      <c r="K126">
        <f>INDEX('Energieverbruik in TJ Gemeente'!$B$4:$Q$347,MATCH($C126,'Energieverbruik in TJ Gemeente'!$B$4:$B$347,0),MATCH(K$2,'Energieverbruik in TJ Gemeente'!$B$4:$Q$4,0))</f>
        <v>563</v>
      </c>
      <c r="L126" t="str">
        <f>INDEX('Energieverbruik in TJ Gemeente'!$B$4:$Q$347,MATCH($C126,'Energieverbruik in TJ Gemeente'!$B$4:$B$347,0),MATCH(L$2,'Energieverbruik in TJ Gemeente'!$B$4:$Q$4,0))</f>
        <v>?</v>
      </c>
      <c r="M126" t="str">
        <f>INDEX('Energieverbruik in TJ Gemeente'!$B$4:$Q$347,MATCH($C126,'Energieverbruik in TJ Gemeente'!$B$4:$B$347,0),MATCH(M$2,'Energieverbruik in TJ Gemeente'!$B$4:$Q$4,0))</f>
        <v>?</v>
      </c>
      <c r="N126">
        <f>INDEX('Energieverbruik in TJ Gemeente'!$B$4:$Q$347,MATCH($C126,'Energieverbruik in TJ Gemeente'!$B$4:$B$347,0),MATCH(N$2,'Energieverbruik in TJ Gemeente'!$B$4:$Q$4,0))</f>
        <v>1</v>
      </c>
      <c r="O126">
        <f>INDEX('Energieverbruik in TJ Gemeente'!$B$4:$Q$347,MATCH($C126,'Energieverbruik in TJ Gemeente'!$B$4:$B$347,0),MATCH(O$2,'Energieverbruik in TJ Gemeente'!$B$4:$Q$4,0))</f>
        <v>1</v>
      </c>
      <c r="P126">
        <f>INDEX('Energieverbruik in TJ Gemeente'!$B$4:$Q$347,MATCH($C126,'Energieverbruik in TJ Gemeente'!$B$4:$B$347,0),MATCH(P$2,'Energieverbruik in TJ Gemeente'!$B$4:$Q$4,0))</f>
        <v>1</v>
      </c>
      <c r="Q126">
        <f>INDEX('Energieverbruik in TJ Gemeente'!$B$4:$Q$347,MATCH($C126,'Energieverbruik in TJ Gemeente'!$B$4:$B$347,0),MATCH(Q$2,'Energieverbruik in TJ Gemeente'!$B$4:$Q$4,0))</f>
        <v>1</v>
      </c>
      <c r="R126">
        <f>INDEX('Energieverbruik in TJ Gemeente'!$B$4:$Q$347,MATCH($C126,'Energieverbruik in TJ Gemeente'!$B$4:$B$347,0),MATCH(R$2,'Energieverbruik in TJ Gemeente'!$B$4:$Q$4,0))</f>
        <v>1</v>
      </c>
      <c r="S126" cm="1">
        <f t="array" ref="S126">MAX(_xlfn._xlws.FILTER(D$1:H$1, D126:H126&lt;&gt;"?"))</f>
        <v>2020</v>
      </c>
      <c r="T126" cm="1">
        <f t="array" ref="T126">MAX(_xlfn._xlws.FILTER(I$1:M$1, I126:M126&lt;&gt;"?"))</f>
        <v>2021</v>
      </c>
      <c r="U126" cm="1">
        <f t="array" ref="U126">MAX(_xlfn._xlws.FILTER(F$1:J$1, F126:J126&lt;&gt;"?"))</f>
        <v>2020</v>
      </c>
      <c r="V126">
        <f t="shared" si="5"/>
        <v>2403</v>
      </c>
      <c r="W126">
        <f t="shared" si="6"/>
        <v>563</v>
      </c>
      <c r="X126">
        <f t="shared" si="7"/>
        <v>1</v>
      </c>
      <c r="Y126">
        <f t="shared" si="8"/>
        <v>2967</v>
      </c>
      <c r="Z126">
        <f t="shared" si="9"/>
        <v>4.9309468016153959E-3</v>
      </c>
    </row>
    <row r="127" spans="1:26" ht="32" x14ac:dyDescent="0.2">
      <c r="A127" s="4" t="s">
        <v>379</v>
      </c>
      <c r="B127" s="4" t="s">
        <v>380</v>
      </c>
      <c r="C127" s="4" t="s">
        <v>381</v>
      </c>
      <c r="D127" t="str">
        <f>INDEX('Energieverbruik in TJ Gemeente'!$B$4:$Q$347,MATCH($C127,'Energieverbruik in TJ Gemeente'!$B$4:$B$347,0),MATCH(D$2,'Energieverbruik in TJ Gemeente'!$B$4:$Q$4,0))</f>
        <v>?</v>
      </c>
      <c r="E127" t="str">
        <f>INDEX('Energieverbruik in TJ Gemeente'!$B$4:$Q$347,MATCH($C127,'Energieverbruik in TJ Gemeente'!$B$4:$B$347,0),MATCH(E$2,'Energieverbruik in TJ Gemeente'!$B$4:$Q$4,0))</f>
        <v>?</v>
      </c>
      <c r="F127" t="str">
        <f>INDEX('Energieverbruik in TJ Gemeente'!$B$4:$Q$347,MATCH($C127,'Energieverbruik in TJ Gemeente'!$B$4:$B$347,0),MATCH(F$2,'Energieverbruik in TJ Gemeente'!$B$4:$Q$4,0))</f>
        <v>?</v>
      </c>
      <c r="G127">
        <f>INDEX('Energieverbruik in TJ Gemeente'!$B$4:$Q$347,MATCH($C127,'Energieverbruik in TJ Gemeente'!$B$4:$B$347,0),MATCH(G$2,'Energieverbruik in TJ Gemeente'!$B$4:$Q$4,0))</f>
        <v>392</v>
      </c>
      <c r="H127" t="str">
        <f>INDEX('Energieverbruik in TJ Gemeente'!$B$4:$Q$347,MATCH($C127,'Energieverbruik in TJ Gemeente'!$B$4:$B$347,0),MATCH(H$2,'Energieverbruik in TJ Gemeente'!$B$4:$Q$4,0))</f>
        <v>?</v>
      </c>
      <c r="I127">
        <f>INDEX('Energieverbruik in TJ Gemeente'!$B$4:$Q$347,MATCH($C127,'Energieverbruik in TJ Gemeente'!$B$4:$B$347,0),MATCH(I$2,'Energieverbruik in TJ Gemeente'!$B$4:$Q$4,0))</f>
        <v>13</v>
      </c>
      <c r="J127">
        <f>INDEX('Energieverbruik in TJ Gemeente'!$B$4:$Q$347,MATCH($C127,'Energieverbruik in TJ Gemeente'!$B$4:$B$347,0),MATCH(J$2,'Energieverbruik in TJ Gemeente'!$B$4:$Q$4,0))</f>
        <v>12</v>
      </c>
      <c r="K127">
        <f>INDEX('Energieverbruik in TJ Gemeente'!$B$4:$Q$347,MATCH($C127,'Energieverbruik in TJ Gemeente'!$B$4:$B$347,0),MATCH(K$2,'Energieverbruik in TJ Gemeente'!$B$4:$Q$4,0))</f>
        <v>13</v>
      </c>
      <c r="L127" t="str">
        <f>INDEX('Energieverbruik in TJ Gemeente'!$B$4:$Q$347,MATCH($C127,'Energieverbruik in TJ Gemeente'!$B$4:$B$347,0),MATCH(L$2,'Energieverbruik in TJ Gemeente'!$B$4:$Q$4,0))</f>
        <v>?</v>
      </c>
      <c r="M127" t="str">
        <f>INDEX('Energieverbruik in TJ Gemeente'!$B$4:$Q$347,MATCH($C127,'Energieverbruik in TJ Gemeente'!$B$4:$B$347,0),MATCH(M$2,'Energieverbruik in TJ Gemeente'!$B$4:$Q$4,0))</f>
        <v>?</v>
      </c>
      <c r="N127">
        <f>INDEX('Energieverbruik in TJ Gemeente'!$B$4:$Q$347,MATCH($C127,'Energieverbruik in TJ Gemeente'!$B$4:$B$347,0),MATCH(N$2,'Energieverbruik in TJ Gemeente'!$B$4:$Q$4,0))</f>
        <v>17</v>
      </c>
      <c r="O127">
        <f>INDEX('Energieverbruik in TJ Gemeente'!$B$4:$Q$347,MATCH($C127,'Energieverbruik in TJ Gemeente'!$B$4:$B$347,0),MATCH(O$2,'Energieverbruik in TJ Gemeente'!$B$4:$Q$4,0))</f>
        <v>11</v>
      </c>
      <c r="P127">
        <f>INDEX('Energieverbruik in TJ Gemeente'!$B$4:$Q$347,MATCH($C127,'Energieverbruik in TJ Gemeente'!$B$4:$B$347,0),MATCH(P$2,'Energieverbruik in TJ Gemeente'!$B$4:$Q$4,0))</f>
        <v>12</v>
      </c>
      <c r="Q127">
        <f>INDEX('Energieverbruik in TJ Gemeente'!$B$4:$Q$347,MATCH($C127,'Energieverbruik in TJ Gemeente'!$B$4:$B$347,0),MATCH(Q$2,'Energieverbruik in TJ Gemeente'!$B$4:$Q$4,0))</f>
        <v>9</v>
      </c>
      <c r="R127" t="str">
        <f>INDEX('Energieverbruik in TJ Gemeente'!$B$4:$Q$347,MATCH($C127,'Energieverbruik in TJ Gemeente'!$B$4:$B$347,0),MATCH(R$2,'Energieverbruik in TJ Gemeente'!$B$4:$Q$4,0))</f>
        <v>?</v>
      </c>
      <c r="S127" cm="1">
        <f t="array" ref="S127">MAX(_xlfn._xlws.FILTER(D$1:H$1, D127:H127&lt;&gt;"?"))</f>
        <v>2022</v>
      </c>
      <c r="T127" cm="1">
        <f t="array" ref="T127">MAX(_xlfn._xlws.FILTER(I$1:M$1, I127:M127&lt;&gt;"?"))</f>
        <v>2021</v>
      </c>
      <c r="U127" cm="1">
        <f t="array" ref="U127">MAX(_xlfn._xlws.FILTER(F$1:J$1, F127:J127&lt;&gt;"?"))</f>
        <v>2022</v>
      </c>
      <c r="V127">
        <f t="shared" si="5"/>
        <v>392</v>
      </c>
      <c r="W127">
        <f t="shared" si="6"/>
        <v>13</v>
      </c>
      <c r="X127">
        <f t="shared" si="7"/>
        <v>9</v>
      </c>
      <c r="Y127">
        <f t="shared" si="8"/>
        <v>414</v>
      </c>
      <c r="Z127">
        <f t="shared" si="9"/>
        <v>6.8803908859749717E-4</v>
      </c>
    </row>
    <row r="128" spans="1:26" ht="16" x14ac:dyDescent="0.2">
      <c r="A128" s="4" t="s">
        <v>382</v>
      </c>
      <c r="B128" s="4" t="s">
        <v>383</v>
      </c>
      <c r="C128" s="4" t="s">
        <v>384</v>
      </c>
      <c r="D128">
        <f>INDEX('Energieverbruik in TJ Gemeente'!$B$4:$Q$347,MATCH($C128,'Energieverbruik in TJ Gemeente'!$B$4:$B$347,0),MATCH(D$2,'Energieverbruik in TJ Gemeente'!$B$4:$Q$4,0))</f>
        <v>599</v>
      </c>
      <c r="E128">
        <f>INDEX('Energieverbruik in TJ Gemeente'!$B$4:$Q$347,MATCH($C128,'Energieverbruik in TJ Gemeente'!$B$4:$B$347,0),MATCH(E$2,'Energieverbruik in TJ Gemeente'!$B$4:$Q$4,0))</f>
        <v>581</v>
      </c>
      <c r="F128">
        <f>INDEX('Energieverbruik in TJ Gemeente'!$B$4:$Q$347,MATCH($C128,'Energieverbruik in TJ Gemeente'!$B$4:$B$347,0),MATCH(F$2,'Energieverbruik in TJ Gemeente'!$B$4:$Q$4,0))</f>
        <v>589</v>
      </c>
      <c r="G128">
        <f>INDEX('Energieverbruik in TJ Gemeente'!$B$4:$Q$347,MATCH($C128,'Energieverbruik in TJ Gemeente'!$B$4:$B$347,0),MATCH(G$2,'Energieverbruik in TJ Gemeente'!$B$4:$Q$4,0))</f>
        <v>509</v>
      </c>
      <c r="H128">
        <f>INDEX('Energieverbruik in TJ Gemeente'!$B$4:$Q$347,MATCH($C128,'Energieverbruik in TJ Gemeente'!$B$4:$B$347,0),MATCH(H$2,'Energieverbruik in TJ Gemeente'!$B$4:$Q$4,0))</f>
        <v>430</v>
      </c>
      <c r="I128">
        <f>INDEX('Energieverbruik in TJ Gemeente'!$B$4:$Q$347,MATCH($C128,'Energieverbruik in TJ Gemeente'!$B$4:$B$347,0),MATCH(I$2,'Energieverbruik in TJ Gemeente'!$B$4:$Q$4,0))</f>
        <v>6</v>
      </c>
      <c r="J128">
        <f>INDEX('Energieverbruik in TJ Gemeente'!$B$4:$Q$347,MATCH($C128,'Energieverbruik in TJ Gemeente'!$B$4:$B$347,0),MATCH(J$2,'Energieverbruik in TJ Gemeente'!$B$4:$Q$4,0))</f>
        <v>4</v>
      </c>
      <c r="K128">
        <f>INDEX('Energieverbruik in TJ Gemeente'!$B$4:$Q$347,MATCH($C128,'Energieverbruik in TJ Gemeente'!$B$4:$B$347,0),MATCH(K$2,'Energieverbruik in TJ Gemeente'!$B$4:$Q$4,0))</f>
        <v>5</v>
      </c>
      <c r="L128">
        <f>INDEX('Energieverbruik in TJ Gemeente'!$B$4:$Q$347,MATCH($C128,'Energieverbruik in TJ Gemeente'!$B$4:$B$347,0),MATCH(L$2,'Energieverbruik in TJ Gemeente'!$B$4:$Q$4,0))</f>
        <v>5</v>
      </c>
      <c r="M128">
        <f>INDEX('Energieverbruik in TJ Gemeente'!$B$4:$Q$347,MATCH($C128,'Energieverbruik in TJ Gemeente'!$B$4:$B$347,0),MATCH(M$2,'Energieverbruik in TJ Gemeente'!$B$4:$Q$4,0))</f>
        <v>4</v>
      </c>
      <c r="N128">
        <f>INDEX('Energieverbruik in TJ Gemeente'!$B$4:$Q$347,MATCH($C128,'Energieverbruik in TJ Gemeente'!$B$4:$B$347,0),MATCH(N$2,'Energieverbruik in TJ Gemeente'!$B$4:$Q$4,0))</f>
        <v>8</v>
      </c>
      <c r="O128">
        <f>INDEX('Energieverbruik in TJ Gemeente'!$B$4:$Q$347,MATCH($C128,'Energieverbruik in TJ Gemeente'!$B$4:$B$347,0),MATCH(O$2,'Energieverbruik in TJ Gemeente'!$B$4:$Q$4,0))</f>
        <v>4</v>
      </c>
      <c r="P128">
        <f>INDEX('Energieverbruik in TJ Gemeente'!$B$4:$Q$347,MATCH($C128,'Energieverbruik in TJ Gemeente'!$B$4:$B$347,0),MATCH(P$2,'Energieverbruik in TJ Gemeente'!$B$4:$Q$4,0))</f>
        <v>3</v>
      </c>
      <c r="Q128">
        <f>INDEX('Energieverbruik in TJ Gemeente'!$B$4:$Q$347,MATCH($C128,'Energieverbruik in TJ Gemeente'!$B$4:$B$347,0),MATCH(Q$2,'Energieverbruik in TJ Gemeente'!$B$4:$Q$4,0))</f>
        <v>5</v>
      </c>
      <c r="R128">
        <f>INDEX('Energieverbruik in TJ Gemeente'!$B$4:$Q$347,MATCH($C128,'Energieverbruik in TJ Gemeente'!$B$4:$B$347,0),MATCH(R$2,'Energieverbruik in TJ Gemeente'!$B$4:$Q$4,0))</f>
        <v>3</v>
      </c>
      <c r="S128" cm="1">
        <f t="array" ref="S128">MAX(_xlfn._xlws.FILTER(D$1:H$1, D128:H128&lt;&gt;"?"))</f>
        <v>2023</v>
      </c>
      <c r="T128" cm="1">
        <f t="array" ref="T128">MAX(_xlfn._xlws.FILTER(I$1:M$1, I128:M128&lt;&gt;"?"))</f>
        <v>2023</v>
      </c>
      <c r="U128" cm="1">
        <f t="array" ref="U128">MAX(_xlfn._xlws.FILTER(F$1:J$1, F128:J128&lt;&gt;"?"))</f>
        <v>2023</v>
      </c>
      <c r="V128">
        <f t="shared" si="5"/>
        <v>430</v>
      </c>
      <c r="W128">
        <f t="shared" si="6"/>
        <v>4</v>
      </c>
      <c r="X128">
        <f t="shared" si="7"/>
        <v>3</v>
      </c>
      <c r="Y128">
        <f t="shared" si="8"/>
        <v>437</v>
      </c>
      <c r="Z128">
        <f t="shared" si="9"/>
        <v>7.2626348240846918E-4</v>
      </c>
    </row>
    <row r="129" spans="1:26" ht="16" x14ac:dyDescent="0.2">
      <c r="A129" s="4" t="s">
        <v>388</v>
      </c>
      <c r="B129" s="4" t="s">
        <v>389</v>
      </c>
      <c r="C129" s="4" t="s">
        <v>390</v>
      </c>
      <c r="D129">
        <f>INDEX('Energieverbruik in TJ Gemeente'!$B$4:$Q$347,MATCH($C129,'Energieverbruik in TJ Gemeente'!$B$4:$B$347,0),MATCH(D$2,'Energieverbruik in TJ Gemeente'!$B$4:$Q$4,0))</f>
        <v>907</v>
      </c>
      <c r="E129">
        <f>INDEX('Energieverbruik in TJ Gemeente'!$B$4:$Q$347,MATCH($C129,'Energieverbruik in TJ Gemeente'!$B$4:$B$347,0),MATCH(E$2,'Energieverbruik in TJ Gemeente'!$B$4:$Q$4,0))</f>
        <v>885</v>
      </c>
      <c r="F129">
        <f>INDEX('Energieverbruik in TJ Gemeente'!$B$4:$Q$347,MATCH($C129,'Energieverbruik in TJ Gemeente'!$B$4:$B$347,0),MATCH(F$2,'Energieverbruik in TJ Gemeente'!$B$4:$Q$4,0))</f>
        <v>896</v>
      </c>
      <c r="G129">
        <f>INDEX('Energieverbruik in TJ Gemeente'!$B$4:$Q$347,MATCH($C129,'Energieverbruik in TJ Gemeente'!$B$4:$B$347,0),MATCH(G$2,'Energieverbruik in TJ Gemeente'!$B$4:$Q$4,0))</f>
        <v>779</v>
      </c>
      <c r="H129">
        <f>INDEX('Energieverbruik in TJ Gemeente'!$B$4:$Q$347,MATCH($C129,'Energieverbruik in TJ Gemeente'!$B$4:$B$347,0),MATCH(H$2,'Energieverbruik in TJ Gemeente'!$B$4:$Q$4,0))</f>
        <v>638</v>
      </c>
      <c r="I129">
        <f>INDEX('Energieverbruik in TJ Gemeente'!$B$4:$Q$347,MATCH($C129,'Energieverbruik in TJ Gemeente'!$B$4:$B$347,0),MATCH(I$2,'Energieverbruik in TJ Gemeente'!$B$4:$Q$4,0))</f>
        <v>414</v>
      </c>
      <c r="J129">
        <f>INDEX('Energieverbruik in TJ Gemeente'!$B$4:$Q$347,MATCH($C129,'Energieverbruik in TJ Gemeente'!$B$4:$B$347,0),MATCH(J$2,'Energieverbruik in TJ Gemeente'!$B$4:$Q$4,0))</f>
        <v>343</v>
      </c>
      <c r="K129">
        <f>INDEX('Energieverbruik in TJ Gemeente'!$B$4:$Q$347,MATCH($C129,'Energieverbruik in TJ Gemeente'!$B$4:$B$347,0),MATCH(K$2,'Energieverbruik in TJ Gemeente'!$B$4:$Q$4,0))</f>
        <v>408</v>
      </c>
      <c r="L129">
        <f>INDEX('Energieverbruik in TJ Gemeente'!$B$4:$Q$347,MATCH($C129,'Energieverbruik in TJ Gemeente'!$B$4:$B$347,0),MATCH(L$2,'Energieverbruik in TJ Gemeente'!$B$4:$Q$4,0))</f>
        <v>364</v>
      </c>
      <c r="M129">
        <f>INDEX('Energieverbruik in TJ Gemeente'!$B$4:$Q$347,MATCH($C129,'Energieverbruik in TJ Gemeente'!$B$4:$B$347,0),MATCH(M$2,'Energieverbruik in TJ Gemeente'!$B$4:$Q$4,0))</f>
        <v>316</v>
      </c>
      <c r="N129">
        <f>INDEX('Energieverbruik in TJ Gemeente'!$B$4:$Q$347,MATCH($C129,'Energieverbruik in TJ Gemeente'!$B$4:$B$347,0),MATCH(N$2,'Energieverbruik in TJ Gemeente'!$B$4:$Q$4,0))</f>
        <v>46</v>
      </c>
      <c r="O129">
        <f>INDEX('Energieverbruik in TJ Gemeente'!$B$4:$Q$347,MATCH($C129,'Energieverbruik in TJ Gemeente'!$B$4:$B$347,0),MATCH(O$2,'Energieverbruik in TJ Gemeente'!$B$4:$Q$4,0))</f>
        <v>38</v>
      </c>
      <c r="P129">
        <f>INDEX('Energieverbruik in TJ Gemeente'!$B$4:$Q$347,MATCH($C129,'Energieverbruik in TJ Gemeente'!$B$4:$B$347,0),MATCH(P$2,'Energieverbruik in TJ Gemeente'!$B$4:$Q$4,0))</f>
        <v>40</v>
      </c>
      <c r="Q129">
        <f>INDEX('Energieverbruik in TJ Gemeente'!$B$4:$Q$347,MATCH($C129,'Energieverbruik in TJ Gemeente'!$B$4:$B$347,0),MATCH(Q$2,'Energieverbruik in TJ Gemeente'!$B$4:$Q$4,0))</f>
        <v>32</v>
      </c>
      <c r="R129">
        <f>INDEX('Energieverbruik in TJ Gemeente'!$B$4:$Q$347,MATCH($C129,'Energieverbruik in TJ Gemeente'!$B$4:$B$347,0),MATCH(R$2,'Energieverbruik in TJ Gemeente'!$B$4:$Q$4,0))</f>
        <v>26</v>
      </c>
      <c r="S129" cm="1">
        <f t="array" ref="S129">MAX(_xlfn._xlws.FILTER(D$1:H$1, D129:H129&lt;&gt;"?"))</f>
        <v>2023</v>
      </c>
      <c r="T129" cm="1">
        <f t="array" ref="T129">MAX(_xlfn._xlws.FILTER(I$1:M$1, I129:M129&lt;&gt;"?"))</f>
        <v>2023</v>
      </c>
      <c r="U129" cm="1">
        <f t="array" ref="U129">MAX(_xlfn._xlws.FILTER(F$1:J$1, F129:J129&lt;&gt;"?"))</f>
        <v>2023</v>
      </c>
      <c r="V129">
        <f t="shared" si="5"/>
        <v>638</v>
      </c>
      <c r="W129">
        <f t="shared" si="6"/>
        <v>316</v>
      </c>
      <c r="X129">
        <f t="shared" si="7"/>
        <v>26</v>
      </c>
      <c r="Y129">
        <f t="shared" si="8"/>
        <v>980</v>
      </c>
      <c r="Z129">
        <f t="shared" si="9"/>
        <v>1.6286915623805489E-3</v>
      </c>
    </row>
    <row r="130" spans="1:26" ht="16" x14ac:dyDescent="0.2">
      <c r="A130" s="4" t="s">
        <v>391</v>
      </c>
      <c r="B130" s="4" t="s">
        <v>392</v>
      </c>
      <c r="C130" s="4" t="s">
        <v>393</v>
      </c>
      <c r="D130">
        <f>INDEX('Energieverbruik in TJ Gemeente'!$B$4:$Q$347,MATCH($C130,'Energieverbruik in TJ Gemeente'!$B$4:$B$347,0),MATCH(D$2,'Energieverbruik in TJ Gemeente'!$B$4:$Q$4,0))</f>
        <v>1918</v>
      </c>
      <c r="E130">
        <f>INDEX('Energieverbruik in TJ Gemeente'!$B$4:$Q$347,MATCH($C130,'Energieverbruik in TJ Gemeente'!$B$4:$B$347,0),MATCH(E$2,'Energieverbruik in TJ Gemeente'!$B$4:$Q$4,0))</f>
        <v>1883</v>
      </c>
      <c r="F130" t="str">
        <f>INDEX('Energieverbruik in TJ Gemeente'!$B$4:$Q$347,MATCH($C130,'Energieverbruik in TJ Gemeente'!$B$4:$B$347,0),MATCH(F$2,'Energieverbruik in TJ Gemeente'!$B$4:$Q$4,0))</f>
        <v>?</v>
      </c>
      <c r="G130">
        <f>INDEX('Energieverbruik in TJ Gemeente'!$B$4:$Q$347,MATCH($C130,'Energieverbruik in TJ Gemeente'!$B$4:$B$347,0),MATCH(G$2,'Energieverbruik in TJ Gemeente'!$B$4:$Q$4,0))</f>
        <v>1669</v>
      </c>
      <c r="H130">
        <f>INDEX('Energieverbruik in TJ Gemeente'!$B$4:$Q$347,MATCH($C130,'Energieverbruik in TJ Gemeente'!$B$4:$B$347,0),MATCH(H$2,'Energieverbruik in TJ Gemeente'!$B$4:$Q$4,0))</f>
        <v>1426</v>
      </c>
      <c r="I130">
        <f>INDEX('Energieverbruik in TJ Gemeente'!$B$4:$Q$347,MATCH($C130,'Energieverbruik in TJ Gemeente'!$B$4:$B$347,0),MATCH(I$2,'Energieverbruik in TJ Gemeente'!$B$4:$Q$4,0))</f>
        <v>1246</v>
      </c>
      <c r="J130" t="str">
        <f>INDEX('Energieverbruik in TJ Gemeente'!$B$4:$Q$347,MATCH($C130,'Energieverbruik in TJ Gemeente'!$B$4:$B$347,0),MATCH(J$2,'Energieverbruik in TJ Gemeente'!$B$4:$Q$4,0))</f>
        <v>?</v>
      </c>
      <c r="K130">
        <f>INDEX('Energieverbruik in TJ Gemeente'!$B$4:$Q$347,MATCH($C130,'Energieverbruik in TJ Gemeente'!$B$4:$B$347,0),MATCH(K$2,'Energieverbruik in TJ Gemeente'!$B$4:$Q$4,0))</f>
        <v>1244</v>
      </c>
      <c r="L130">
        <f>INDEX('Energieverbruik in TJ Gemeente'!$B$4:$Q$347,MATCH($C130,'Energieverbruik in TJ Gemeente'!$B$4:$B$347,0),MATCH(L$2,'Energieverbruik in TJ Gemeente'!$B$4:$Q$4,0))</f>
        <v>1185</v>
      </c>
      <c r="M130">
        <f>INDEX('Energieverbruik in TJ Gemeente'!$B$4:$Q$347,MATCH($C130,'Energieverbruik in TJ Gemeente'!$B$4:$B$347,0),MATCH(M$2,'Energieverbruik in TJ Gemeente'!$B$4:$Q$4,0))</f>
        <v>1147</v>
      </c>
      <c r="N130">
        <f>INDEX('Energieverbruik in TJ Gemeente'!$B$4:$Q$347,MATCH($C130,'Energieverbruik in TJ Gemeente'!$B$4:$B$347,0),MATCH(N$2,'Energieverbruik in TJ Gemeente'!$B$4:$Q$4,0))</f>
        <v>313</v>
      </c>
      <c r="O130">
        <f>INDEX('Energieverbruik in TJ Gemeente'!$B$4:$Q$347,MATCH($C130,'Energieverbruik in TJ Gemeente'!$B$4:$B$347,0),MATCH(O$2,'Energieverbruik in TJ Gemeente'!$B$4:$Q$4,0))</f>
        <v>321</v>
      </c>
      <c r="P130">
        <f>INDEX('Energieverbruik in TJ Gemeente'!$B$4:$Q$347,MATCH($C130,'Energieverbruik in TJ Gemeente'!$B$4:$B$347,0),MATCH(P$2,'Energieverbruik in TJ Gemeente'!$B$4:$Q$4,0))</f>
        <v>303</v>
      </c>
      <c r="Q130" t="str">
        <f>INDEX('Energieverbruik in TJ Gemeente'!$B$4:$Q$347,MATCH($C130,'Energieverbruik in TJ Gemeente'!$B$4:$B$347,0),MATCH(Q$2,'Energieverbruik in TJ Gemeente'!$B$4:$Q$4,0))</f>
        <v>?</v>
      </c>
      <c r="R130" t="str">
        <f>INDEX('Energieverbruik in TJ Gemeente'!$B$4:$Q$347,MATCH($C130,'Energieverbruik in TJ Gemeente'!$B$4:$B$347,0),MATCH(R$2,'Energieverbruik in TJ Gemeente'!$B$4:$Q$4,0))</f>
        <v>?</v>
      </c>
      <c r="S130" cm="1">
        <f t="array" ref="S130">MAX(_xlfn._xlws.FILTER(D$1:H$1, D130:H130&lt;&gt;"?"))</f>
        <v>2023</v>
      </c>
      <c r="T130" cm="1">
        <f t="array" ref="T130">MAX(_xlfn._xlws.FILTER(I$1:M$1, I130:M130&lt;&gt;"?"))</f>
        <v>2023</v>
      </c>
      <c r="U130" cm="1">
        <f t="array" ref="U130">MAX(_xlfn._xlws.FILTER(F$1:J$1, F130:J130&lt;&gt;"?"))</f>
        <v>2023</v>
      </c>
      <c r="V130">
        <f t="shared" si="5"/>
        <v>1426</v>
      </c>
      <c r="W130">
        <f t="shared" si="6"/>
        <v>1147</v>
      </c>
      <c r="X130" t="str">
        <f t="shared" si="7"/>
        <v>?</v>
      </c>
      <c r="Y130">
        <f t="shared" si="8"/>
        <v>2573</v>
      </c>
      <c r="Z130">
        <f t="shared" si="9"/>
        <v>4.2761463163317878E-3</v>
      </c>
    </row>
    <row r="131" spans="1:26" ht="32" x14ac:dyDescent="0.2">
      <c r="A131" s="4" t="s">
        <v>394</v>
      </c>
      <c r="B131" s="4" t="s">
        <v>395</v>
      </c>
      <c r="C131" s="4" t="s">
        <v>396</v>
      </c>
      <c r="D131">
        <f>INDEX('Energieverbruik in TJ Gemeente'!$B$4:$Q$347,MATCH($C131,'Energieverbruik in TJ Gemeente'!$B$4:$B$347,0),MATCH(D$2,'Energieverbruik in TJ Gemeente'!$B$4:$Q$4,0))</f>
        <v>527</v>
      </c>
      <c r="E131">
        <f>INDEX('Energieverbruik in TJ Gemeente'!$B$4:$Q$347,MATCH($C131,'Energieverbruik in TJ Gemeente'!$B$4:$B$347,0),MATCH(E$2,'Energieverbruik in TJ Gemeente'!$B$4:$Q$4,0))</f>
        <v>527</v>
      </c>
      <c r="F131">
        <f>INDEX('Energieverbruik in TJ Gemeente'!$B$4:$Q$347,MATCH($C131,'Energieverbruik in TJ Gemeente'!$B$4:$B$347,0),MATCH(F$2,'Energieverbruik in TJ Gemeente'!$B$4:$Q$4,0))</f>
        <v>523</v>
      </c>
      <c r="G131" t="str">
        <f>INDEX('Energieverbruik in TJ Gemeente'!$B$4:$Q$347,MATCH($C131,'Energieverbruik in TJ Gemeente'!$B$4:$B$347,0),MATCH(G$2,'Energieverbruik in TJ Gemeente'!$B$4:$Q$4,0))</f>
        <v>?</v>
      </c>
      <c r="H131" t="str">
        <f>INDEX('Energieverbruik in TJ Gemeente'!$B$4:$Q$347,MATCH($C131,'Energieverbruik in TJ Gemeente'!$B$4:$B$347,0),MATCH(H$2,'Energieverbruik in TJ Gemeente'!$B$4:$Q$4,0))</f>
        <v>?</v>
      </c>
      <c r="I131">
        <f>INDEX('Energieverbruik in TJ Gemeente'!$B$4:$Q$347,MATCH($C131,'Energieverbruik in TJ Gemeente'!$B$4:$B$347,0),MATCH(I$2,'Energieverbruik in TJ Gemeente'!$B$4:$Q$4,0))</f>
        <v>33</v>
      </c>
      <c r="J131">
        <f>INDEX('Energieverbruik in TJ Gemeente'!$B$4:$Q$347,MATCH($C131,'Energieverbruik in TJ Gemeente'!$B$4:$B$347,0),MATCH(J$2,'Energieverbruik in TJ Gemeente'!$B$4:$Q$4,0))</f>
        <v>31</v>
      </c>
      <c r="K131">
        <f>INDEX('Energieverbruik in TJ Gemeente'!$B$4:$Q$347,MATCH($C131,'Energieverbruik in TJ Gemeente'!$B$4:$B$347,0),MATCH(K$2,'Energieverbruik in TJ Gemeente'!$B$4:$Q$4,0))</f>
        <v>34</v>
      </c>
      <c r="L131" t="str">
        <f>INDEX('Energieverbruik in TJ Gemeente'!$B$4:$Q$347,MATCH($C131,'Energieverbruik in TJ Gemeente'!$B$4:$B$347,0),MATCH(L$2,'Energieverbruik in TJ Gemeente'!$B$4:$Q$4,0))</f>
        <v>?</v>
      </c>
      <c r="M131" t="str">
        <f>INDEX('Energieverbruik in TJ Gemeente'!$B$4:$Q$347,MATCH($C131,'Energieverbruik in TJ Gemeente'!$B$4:$B$347,0),MATCH(M$2,'Energieverbruik in TJ Gemeente'!$B$4:$Q$4,0))</f>
        <v>?</v>
      </c>
      <c r="N131" t="str">
        <f>INDEX('Energieverbruik in TJ Gemeente'!$B$4:$Q$347,MATCH($C131,'Energieverbruik in TJ Gemeente'!$B$4:$B$347,0),MATCH(N$2,'Energieverbruik in TJ Gemeente'!$B$4:$Q$4,0))</f>
        <v>?</v>
      </c>
      <c r="O131" t="str">
        <f>INDEX('Energieverbruik in TJ Gemeente'!$B$4:$Q$347,MATCH($C131,'Energieverbruik in TJ Gemeente'!$B$4:$B$347,0),MATCH(O$2,'Energieverbruik in TJ Gemeente'!$B$4:$Q$4,0))</f>
        <v>?</v>
      </c>
      <c r="P131" t="str">
        <f>INDEX('Energieverbruik in TJ Gemeente'!$B$4:$Q$347,MATCH($C131,'Energieverbruik in TJ Gemeente'!$B$4:$B$347,0),MATCH(P$2,'Energieverbruik in TJ Gemeente'!$B$4:$Q$4,0))</f>
        <v>?</v>
      </c>
      <c r="Q131" t="str">
        <f>INDEX('Energieverbruik in TJ Gemeente'!$B$4:$Q$347,MATCH($C131,'Energieverbruik in TJ Gemeente'!$B$4:$B$347,0),MATCH(Q$2,'Energieverbruik in TJ Gemeente'!$B$4:$Q$4,0))</f>
        <v>?</v>
      </c>
      <c r="R131" t="str">
        <f>INDEX('Energieverbruik in TJ Gemeente'!$B$4:$Q$347,MATCH($C131,'Energieverbruik in TJ Gemeente'!$B$4:$B$347,0),MATCH(R$2,'Energieverbruik in TJ Gemeente'!$B$4:$Q$4,0))</f>
        <v>?</v>
      </c>
      <c r="S131" cm="1">
        <f t="array" ref="S131">MAX(_xlfn._xlws.FILTER(D$1:H$1, D131:H131&lt;&gt;"?"))</f>
        <v>2021</v>
      </c>
      <c r="T131" cm="1">
        <f t="array" ref="T131">MAX(_xlfn._xlws.FILTER(I$1:M$1, I131:M131&lt;&gt;"?"))</f>
        <v>2021</v>
      </c>
      <c r="U131" cm="1">
        <f t="array" ref="U131">MAX(_xlfn._xlws.FILTER(F$1:J$1, F131:J131&lt;&gt;"?"))</f>
        <v>2021</v>
      </c>
      <c r="V131">
        <f t="shared" si="5"/>
        <v>523</v>
      </c>
      <c r="W131">
        <f t="shared" si="6"/>
        <v>34</v>
      </c>
      <c r="X131" t="str">
        <f t="shared" si="7"/>
        <v>?</v>
      </c>
      <c r="Y131">
        <f t="shared" si="8"/>
        <v>557</v>
      </c>
      <c r="Z131">
        <f t="shared" si="9"/>
        <v>9.2569510229180169E-4</v>
      </c>
    </row>
    <row r="132" spans="1:26" ht="16" x14ac:dyDescent="0.2">
      <c r="A132" s="4" t="s">
        <v>397</v>
      </c>
      <c r="B132" s="4" t="s">
        <v>398</v>
      </c>
      <c r="C132" s="4" t="s">
        <v>399</v>
      </c>
      <c r="D132">
        <f>INDEX('Energieverbruik in TJ Gemeente'!$B$4:$Q$347,MATCH($C132,'Energieverbruik in TJ Gemeente'!$B$4:$B$347,0),MATCH(D$2,'Energieverbruik in TJ Gemeente'!$B$4:$Q$4,0))</f>
        <v>2139</v>
      </c>
      <c r="E132">
        <f>INDEX('Energieverbruik in TJ Gemeente'!$B$4:$Q$347,MATCH($C132,'Energieverbruik in TJ Gemeente'!$B$4:$B$347,0),MATCH(E$2,'Energieverbruik in TJ Gemeente'!$B$4:$Q$4,0))</f>
        <v>2106</v>
      </c>
      <c r="F132">
        <f>INDEX('Energieverbruik in TJ Gemeente'!$B$4:$Q$347,MATCH($C132,'Energieverbruik in TJ Gemeente'!$B$4:$B$347,0),MATCH(F$2,'Energieverbruik in TJ Gemeente'!$B$4:$Q$4,0))</f>
        <v>2150</v>
      </c>
      <c r="G132">
        <f>INDEX('Energieverbruik in TJ Gemeente'!$B$4:$Q$347,MATCH($C132,'Energieverbruik in TJ Gemeente'!$B$4:$B$347,0),MATCH(G$2,'Energieverbruik in TJ Gemeente'!$B$4:$Q$4,0))</f>
        <v>1897</v>
      </c>
      <c r="H132" t="str">
        <f>INDEX('Energieverbruik in TJ Gemeente'!$B$4:$Q$347,MATCH($C132,'Energieverbruik in TJ Gemeente'!$B$4:$B$347,0),MATCH(H$2,'Energieverbruik in TJ Gemeente'!$B$4:$Q$4,0))</f>
        <v>?</v>
      </c>
      <c r="I132" t="str">
        <f>INDEX('Energieverbruik in TJ Gemeente'!$B$4:$Q$347,MATCH($C132,'Energieverbruik in TJ Gemeente'!$B$4:$B$347,0),MATCH(I$2,'Energieverbruik in TJ Gemeente'!$B$4:$Q$4,0))</f>
        <v>?</v>
      </c>
      <c r="J132" t="str">
        <f>INDEX('Energieverbruik in TJ Gemeente'!$B$4:$Q$347,MATCH($C132,'Energieverbruik in TJ Gemeente'!$B$4:$B$347,0),MATCH(J$2,'Energieverbruik in TJ Gemeente'!$B$4:$Q$4,0))</f>
        <v>?</v>
      </c>
      <c r="K132" t="str">
        <f>INDEX('Energieverbruik in TJ Gemeente'!$B$4:$Q$347,MATCH($C132,'Energieverbruik in TJ Gemeente'!$B$4:$B$347,0),MATCH(K$2,'Energieverbruik in TJ Gemeente'!$B$4:$Q$4,0))</f>
        <v>?</v>
      </c>
      <c r="L132" t="str">
        <f>INDEX('Energieverbruik in TJ Gemeente'!$B$4:$Q$347,MATCH($C132,'Energieverbruik in TJ Gemeente'!$B$4:$B$347,0),MATCH(L$2,'Energieverbruik in TJ Gemeente'!$B$4:$Q$4,0))</f>
        <v>?</v>
      </c>
      <c r="M132" t="str">
        <f>INDEX('Energieverbruik in TJ Gemeente'!$B$4:$Q$347,MATCH($C132,'Energieverbruik in TJ Gemeente'!$B$4:$B$347,0),MATCH(M$2,'Energieverbruik in TJ Gemeente'!$B$4:$Q$4,0))</f>
        <v>?</v>
      </c>
      <c r="N132">
        <f>INDEX('Energieverbruik in TJ Gemeente'!$B$4:$Q$347,MATCH($C132,'Energieverbruik in TJ Gemeente'!$B$4:$B$347,0),MATCH(N$2,'Energieverbruik in TJ Gemeente'!$B$4:$Q$4,0))</f>
        <v>11</v>
      </c>
      <c r="O132">
        <f>INDEX('Energieverbruik in TJ Gemeente'!$B$4:$Q$347,MATCH($C132,'Energieverbruik in TJ Gemeente'!$B$4:$B$347,0),MATCH(O$2,'Energieverbruik in TJ Gemeente'!$B$4:$Q$4,0))</f>
        <v>8</v>
      </c>
      <c r="P132">
        <f>INDEX('Energieverbruik in TJ Gemeente'!$B$4:$Q$347,MATCH($C132,'Energieverbruik in TJ Gemeente'!$B$4:$B$347,0),MATCH(P$2,'Energieverbruik in TJ Gemeente'!$B$4:$Q$4,0))</f>
        <v>10</v>
      </c>
      <c r="Q132">
        <f>INDEX('Energieverbruik in TJ Gemeente'!$B$4:$Q$347,MATCH($C132,'Energieverbruik in TJ Gemeente'!$B$4:$B$347,0),MATCH(Q$2,'Energieverbruik in TJ Gemeente'!$B$4:$Q$4,0))</f>
        <v>8</v>
      </c>
      <c r="R132">
        <f>INDEX('Energieverbruik in TJ Gemeente'!$B$4:$Q$347,MATCH($C132,'Energieverbruik in TJ Gemeente'!$B$4:$B$347,0),MATCH(R$2,'Energieverbruik in TJ Gemeente'!$B$4:$Q$4,0))</f>
        <v>6</v>
      </c>
      <c r="S132" cm="1">
        <f t="array" ref="S132">MAX(_xlfn._xlws.FILTER(D$1:H$1, D132:H132&lt;&gt;"?"))</f>
        <v>2022</v>
      </c>
      <c r="T132" t="e" cm="1" vm="1">
        <f t="array" ref="T132">MAX(_xlfn._xlws.FILTER(I$1:M$1, I132:M132&lt;&gt;"?"))</f>
        <v>#VALUE!</v>
      </c>
      <c r="U132" cm="1">
        <f t="array" ref="U132">MAX(_xlfn._xlws.FILTER(F$1:J$1, F132:J132&lt;&gt;"?"))</f>
        <v>2022</v>
      </c>
      <c r="V132">
        <f t="shared" ref="V132:V195" si="10">IFERROR(INDEX($D132:$H132,MATCH(S132,$D$1:$H$1,0)),0)</f>
        <v>1897</v>
      </c>
      <c r="W132">
        <f t="shared" ref="W132:W195" si="11">IFERROR(INDEX($I132:$M132,MATCH(T132,$I$1:$M$1,0)),0)</f>
        <v>0</v>
      </c>
      <c r="X132">
        <f t="shared" ref="X132:X195" si="12">IFERROR(INDEX($N132:$R132,MATCH(U132,$N$1:$R$1,0)),0)</f>
        <v>8</v>
      </c>
      <c r="Y132">
        <f t="shared" ref="Y132:Y195" si="13">SUM(V132:X132)</f>
        <v>1905</v>
      </c>
      <c r="Z132">
        <f t="shared" ref="Z132:Z195" si="14">Y132/SUM($Y$3:$Y$344)</f>
        <v>3.1659769656479037E-3</v>
      </c>
    </row>
    <row r="133" spans="1:26" ht="32" x14ac:dyDescent="0.2">
      <c r="A133" s="4" t="s">
        <v>423</v>
      </c>
      <c r="B133" s="4" t="s">
        <v>424</v>
      </c>
      <c r="C133" s="4" t="s">
        <v>425</v>
      </c>
      <c r="D133">
        <f>INDEX('Energieverbruik in TJ Gemeente'!$B$4:$Q$347,MATCH($C133,'Energieverbruik in TJ Gemeente'!$B$4:$B$347,0),MATCH(D$2,'Energieverbruik in TJ Gemeente'!$B$4:$Q$4,0))</f>
        <v>1467</v>
      </c>
      <c r="E133" t="str">
        <f>INDEX('Energieverbruik in TJ Gemeente'!$B$4:$Q$347,MATCH($C133,'Energieverbruik in TJ Gemeente'!$B$4:$B$347,0),MATCH(E$2,'Energieverbruik in TJ Gemeente'!$B$4:$Q$4,0))</f>
        <v>?</v>
      </c>
      <c r="F133" t="str">
        <f>INDEX('Energieverbruik in TJ Gemeente'!$B$4:$Q$347,MATCH($C133,'Energieverbruik in TJ Gemeente'!$B$4:$B$347,0),MATCH(F$2,'Energieverbruik in TJ Gemeente'!$B$4:$Q$4,0))</f>
        <v>?</v>
      </c>
      <c r="G133">
        <f>INDEX('Energieverbruik in TJ Gemeente'!$B$4:$Q$347,MATCH($C133,'Energieverbruik in TJ Gemeente'!$B$4:$B$347,0),MATCH(G$2,'Energieverbruik in TJ Gemeente'!$B$4:$Q$4,0))</f>
        <v>1280</v>
      </c>
      <c r="H133">
        <f>INDEX('Energieverbruik in TJ Gemeente'!$B$4:$Q$347,MATCH($C133,'Energieverbruik in TJ Gemeente'!$B$4:$B$347,0),MATCH(H$2,'Energieverbruik in TJ Gemeente'!$B$4:$Q$4,0))</f>
        <v>1037</v>
      </c>
      <c r="I133">
        <f>INDEX('Energieverbruik in TJ Gemeente'!$B$4:$Q$347,MATCH($C133,'Energieverbruik in TJ Gemeente'!$B$4:$B$347,0),MATCH(I$2,'Energieverbruik in TJ Gemeente'!$B$4:$Q$4,0))</f>
        <v>1761</v>
      </c>
      <c r="J133" t="str">
        <f>INDEX('Energieverbruik in TJ Gemeente'!$B$4:$Q$347,MATCH($C133,'Energieverbruik in TJ Gemeente'!$B$4:$B$347,0),MATCH(J$2,'Energieverbruik in TJ Gemeente'!$B$4:$Q$4,0))</f>
        <v>?</v>
      </c>
      <c r="K133" t="str">
        <f>INDEX('Energieverbruik in TJ Gemeente'!$B$4:$Q$347,MATCH($C133,'Energieverbruik in TJ Gemeente'!$B$4:$B$347,0),MATCH(K$2,'Energieverbruik in TJ Gemeente'!$B$4:$Q$4,0))</f>
        <v>?</v>
      </c>
      <c r="L133" t="str">
        <f>INDEX('Energieverbruik in TJ Gemeente'!$B$4:$Q$347,MATCH($C133,'Energieverbruik in TJ Gemeente'!$B$4:$B$347,0),MATCH(L$2,'Energieverbruik in TJ Gemeente'!$B$4:$Q$4,0))</f>
        <v>?</v>
      </c>
      <c r="M133" t="str">
        <f>INDEX('Energieverbruik in TJ Gemeente'!$B$4:$Q$347,MATCH($C133,'Energieverbruik in TJ Gemeente'!$B$4:$B$347,0),MATCH(M$2,'Energieverbruik in TJ Gemeente'!$B$4:$Q$4,0))</f>
        <v>?</v>
      </c>
      <c r="N133" t="str">
        <f>INDEX('Energieverbruik in TJ Gemeente'!$B$4:$Q$347,MATCH($C133,'Energieverbruik in TJ Gemeente'!$B$4:$B$347,0),MATCH(N$2,'Energieverbruik in TJ Gemeente'!$B$4:$Q$4,0))</f>
        <v>?</v>
      </c>
      <c r="O133">
        <f>INDEX('Energieverbruik in TJ Gemeente'!$B$4:$Q$347,MATCH($C133,'Energieverbruik in TJ Gemeente'!$B$4:$B$347,0),MATCH(O$2,'Energieverbruik in TJ Gemeente'!$B$4:$Q$4,0))</f>
        <v>85</v>
      </c>
      <c r="P133">
        <f>INDEX('Energieverbruik in TJ Gemeente'!$B$4:$Q$347,MATCH($C133,'Energieverbruik in TJ Gemeente'!$B$4:$B$347,0),MATCH(P$2,'Energieverbruik in TJ Gemeente'!$B$4:$Q$4,0))</f>
        <v>92</v>
      </c>
      <c r="Q133">
        <f>INDEX('Energieverbruik in TJ Gemeente'!$B$4:$Q$347,MATCH($C133,'Energieverbruik in TJ Gemeente'!$B$4:$B$347,0),MATCH(Q$2,'Energieverbruik in TJ Gemeente'!$B$4:$Q$4,0))</f>
        <v>74</v>
      </c>
      <c r="R133">
        <f>INDEX('Energieverbruik in TJ Gemeente'!$B$4:$Q$347,MATCH($C133,'Energieverbruik in TJ Gemeente'!$B$4:$B$347,0),MATCH(R$2,'Energieverbruik in TJ Gemeente'!$B$4:$Q$4,0))</f>
        <v>62</v>
      </c>
      <c r="S133" cm="1">
        <f t="array" ref="S133">MAX(_xlfn._xlws.FILTER(D$1:H$1, D133:H133&lt;&gt;"?"))</f>
        <v>2023</v>
      </c>
      <c r="T133" cm="1">
        <f t="array" ref="T133">MAX(_xlfn._xlws.FILTER(I$1:M$1, I133:M133&lt;&gt;"?"))</f>
        <v>2019</v>
      </c>
      <c r="U133" cm="1">
        <f t="array" ref="U133">MAX(_xlfn._xlws.FILTER(F$1:J$1, F133:J133&lt;&gt;"?"))</f>
        <v>2023</v>
      </c>
      <c r="V133">
        <f t="shared" si="10"/>
        <v>1037</v>
      </c>
      <c r="W133">
        <f t="shared" si="11"/>
        <v>1761</v>
      </c>
      <c r="X133">
        <f t="shared" si="12"/>
        <v>62</v>
      </c>
      <c r="Y133">
        <f t="shared" si="13"/>
        <v>2860</v>
      </c>
      <c r="Z133">
        <f t="shared" si="14"/>
        <v>4.7531202738860913E-3</v>
      </c>
    </row>
    <row r="134" spans="1:26" ht="16" x14ac:dyDescent="0.2">
      <c r="A134" s="4" t="s">
        <v>402</v>
      </c>
      <c r="B134" s="4" t="s">
        <v>403</v>
      </c>
      <c r="C134" s="4" t="s">
        <v>404</v>
      </c>
      <c r="D134">
        <f>INDEX('Energieverbruik in TJ Gemeente'!$B$4:$Q$347,MATCH($C134,'Energieverbruik in TJ Gemeente'!$B$4:$B$347,0),MATCH(D$2,'Energieverbruik in TJ Gemeente'!$B$4:$Q$4,0))</f>
        <v>419</v>
      </c>
      <c r="E134" t="str">
        <f>INDEX('Energieverbruik in TJ Gemeente'!$B$4:$Q$347,MATCH($C134,'Energieverbruik in TJ Gemeente'!$B$4:$B$347,0),MATCH(E$2,'Energieverbruik in TJ Gemeente'!$B$4:$Q$4,0))</f>
        <v>?</v>
      </c>
      <c r="F134">
        <f>INDEX('Energieverbruik in TJ Gemeente'!$B$4:$Q$347,MATCH($C134,'Energieverbruik in TJ Gemeente'!$B$4:$B$347,0),MATCH(F$2,'Energieverbruik in TJ Gemeente'!$B$4:$Q$4,0))</f>
        <v>401</v>
      </c>
      <c r="G134">
        <f>INDEX('Energieverbruik in TJ Gemeente'!$B$4:$Q$347,MATCH($C134,'Energieverbruik in TJ Gemeente'!$B$4:$B$347,0),MATCH(G$2,'Energieverbruik in TJ Gemeente'!$B$4:$Q$4,0))</f>
        <v>356</v>
      </c>
      <c r="H134">
        <f>INDEX('Energieverbruik in TJ Gemeente'!$B$4:$Q$347,MATCH($C134,'Energieverbruik in TJ Gemeente'!$B$4:$B$347,0),MATCH(H$2,'Energieverbruik in TJ Gemeente'!$B$4:$Q$4,0))</f>
        <v>286</v>
      </c>
      <c r="I134">
        <f>INDEX('Energieverbruik in TJ Gemeente'!$B$4:$Q$347,MATCH($C134,'Energieverbruik in TJ Gemeente'!$B$4:$B$347,0),MATCH(I$2,'Energieverbruik in TJ Gemeente'!$B$4:$Q$4,0))</f>
        <v>10</v>
      </c>
      <c r="J134">
        <f>INDEX('Energieverbruik in TJ Gemeente'!$B$4:$Q$347,MATCH($C134,'Energieverbruik in TJ Gemeente'!$B$4:$B$347,0),MATCH(J$2,'Energieverbruik in TJ Gemeente'!$B$4:$Q$4,0))</f>
        <v>8</v>
      </c>
      <c r="K134">
        <f>INDEX('Energieverbruik in TJ Gemeente'!$B$4:$Q$347,MATCH($C134,'Energieverbruik in TJ Gemeente'!$B$4:$B$347,0),MATCH(K$2,'Energieverbruik in TJ Gemeente'!$B$4:$Q$4,0))</f>
        <v>10</v>
      </c>
      <c r="L134">
        <f>INDEX('Energieverbruik in TJ Gemeente'!$B$4:$Q$347,MATCH($C134,'Energieverbruik in TJ Gemeente'!$B$4:$B$347,0),MATCH(L$2,'Energieverbruik in TJ Gemeente'!$B$4:$Q$4,0))</f>
        <v>7</v>
      </c>
      <c r="M134">
        <f>INDEX('Energieverbruik in TJ Gemeente'!$B$4:$Q$347,MATCH($C134,'Energieverbruik in TJ Gemeente'!$B$4:$B$347,0),MATCH(M$2,'Energieverbruik in TJ Gemeente'!$B$4:$Q$4,0))</f>
        <v>6</v>
      </c>
      <c r="N134">
        <f>INDEX('Energieverbruik in TJ Gemeente'!$B$4:$Q$347,MATCH($C134,'Energieverbruik in TJ Gemeente'!$B$4:$B$347,0),MATCH(N$2,'Energieverbruik in TJ Gemeente'!$B$4:$Q$4,0))</f>
        <v>9</v>
      </c>
      <c r="O134">
        <f>INDEX('Energieverbruik in TJ Gemeente'!$B$4:$Q$347,MATCH($C134,'Energieverbruik in TJ Gemeente'!$B$4:$B$347,0),MATCH(O$2,'Energieverbruik in TJ Gemeente'!$B$4:$Q$4,0))</f>
        <v>6</v>
      </c>
      <c r="P134">
        <f>INDEX('Energieverbruik in TJ Gemeente'!$B$4:$Q$347,MATCH($C134,'Energieverbruik in TJ Gemeente'!$B$4:$B$347,0),MATCH(P$2,'Energieverbruik in TJ Gemeente'!$B$4:$Q$4,0))</f>
        <v>6</v>
      </c>
      <c r="Q134">
        <f>INDEX('Energieverbruik in TJ Gemeente'!$B$4:$Q$347,MATCH($C134,'Energieverbruik in TJ Gemeente'!$B$4:$B$347,0),MATCH(Q$2,'Energieverbruik in TJ Gemeente'!$B$4:$Q$4,0))</f>
        <v>5</v>
      </c>
      <c r="R134">
        <f>INDEX('Energieverbruik in TJ Gemeente'!$B$4:$Q$347,MATCH($C134,'Energieverbruik in TJ Gemeente'!$B$4:$B$347,0),MATCH(R$2,'Energieverbruik in TJ Gemeente'!$B$4:$Q$4,0))</f>
        <v>4</v>
      </c>
      <c r="S134" cm="1">
        <f t="array" ref="S134">MAX(_xlfn._xlws.FILTER(D$1:H$1, D134:H134&lt;&gt;"?"))</f>
        <v>2023</v>
      </c>
      <c r="T134" cm="1">
        <f t="array" ref="T134">MAX(_xlfn._xlws.FILTER(I$1:M$1, I134:M134&lt;&gt;"?"))</f>
        <v>2023</v>
      </c>
      <c r="U134" cm="1">
        <f t="array" ref="U134">MAX(_xlfn._xlws.FILTER(F$1:J$1, F134:J134&lt;&gt;"?"))</f>
        <v>2023</v>
      </c>
      <c r="V134">
        <f t="shared" si="10"/>
        <v>286</v>
      </c>
      <c r="W134">
        <f t="shared" si="11"/>
        <v>6</v>
      </c>
      <c r="X134">
        <f t="shared" si="12"/>
        <v>4</v>
      </c>
      <c r="Y134">
        <f t="shared" si="13"/>
        <v>296</v>
      </c>
      <c r="Z134">
        <f t="shared" si="14"/>
        <v>4.9193132904555353E-4</v>
      </c>
    </row>
    <row r="135" spans="1:26" ht="16" x14ac:dyDescent="0.2">
      <c r="A135" s="4" t="s">
        <v>405</v>
      </c>
      <c r="B135" s="4" t="s">
        <v>406</v>
      </c>
      <c r="C135" s="4" t="s">
        <v>407</v>
      </c>
      <c r="D135">
        <f>INDEX('Energieverbruik in TJ Gemeente'!$B$4:$Q$347,MATCH($C135,'Energieverbruik in TJ Gemeente'!$B$4:$B$347,0),MATCH(D$2,'Energieverbruik in TJ Gemeente'!$B$4:$Q$4,0))</f>
        <v>1043</v>
      </c>
      <c r="E135">
        <f>INDEX('Energieverbruik in TJ Gemeente'!$B$4:$Q$347,MATCH($C135,'Energieverbruik in TJ Gemeente'!$B$4:$B$347,0),MATCH(E$2,'Energieverbruik in TJ Gemeente'!$B$4:$Q$4,0))</f>
        <v>1026</v>
      </c>
      <c r="F135">
        <f>INDEX('Energieverbruik in TJ Gemeente'!$B$4:$Q$347,MATCH($C135,'Energieverbruik in TJ Gemeente'!$B$4:$B$347,0),MATCH(F$2,'Energieverbruik in TJ Gemeente'!$B$4:$Q$4,0))</f>
        <v>1018</v>
      </c>
      <c r="G135">
        <f>INDEX('Energieverbruik in TJ Gemeente'!$B$4:$Q$347,MATCH($C135,'Energieverbruik in TJ Gemeente'!$B$4:$B$347,0),MATCH(G$2,'Energieverbruik in TJ Gemeente'!$B$4:$Q$4,0))</f>
        <v>899</v>
      </c>
      <c r="H135">
        <f>INDEX('Energieverbruik in TJ Gemeente'!$B$4:$Q$347,MATCH($C135,'Energieverbruik in TJ Gemeente'!$B$4:$B$347,0),MATCH(H$2,'Energieverbruik in TJ Gemeente'!$B$4:$Q$4,0))</f>
        <v>722</v>
      </c>
      <c r="I135">
        <f>INDEX('Energieverbruik in TJ Gemeente'!$B$4:$Q$347,MATCH($C135,'Energieverbruik in TJ Gemeente'!$B$4:$B$347,0),MATCH(I$2,'Energieverbruik in TJ Gemeente'!$B$4:$Q$4,0))</f>
        <v>522</v>
      </c>
      <c r="J135">
        <f>INDEX('Energieverbruik in TJ Gemeente'!$B$4:$Q$347,MATCH($C135,'Energieverbruik in TJ Gemeente'!$B$4:$B$347,0),MATCH(J$2,'Energieverbruik in TJ Gemeente'!$B$4:$Q$4,0))</f>
        <v>537</v>
      </c>
      <c r="K135">
        <f>INDEX('Energieverbruik in TJ Gemeente'!$B$4:$Q$347,MATCH($C135,'Energieverbruik in TJ Gemeente'!$B$4:$B$347,0),MATCH(K$2,'Energieverbruik in TJ Gemeente'!$B$4:$Q$4,0))</f>
        <v>564</v>
      </c>
      <c r="L135">
        <f>INDEX('Energieverbruik in TJ Gemeente'!$B$4:$Q$347,MATCH($C135,'Energieverbruik in TJ Gemeente'!$B$4:$B$347,0),MATCH(L$2,'Energieverbruik in TJ Gemeente'!$B$4:$Q$4,0))</f>
        <v>516</v>
      </c>
      <c r="M135">
        <f>INDEX('Energieverbruik in TJ Gemeente'!$B$4:$Q$347,MATCH($C135,'Energieverbruik in TJ Gemeente'!$B$4:$B$347,0),MATCH(M$2,'Energieverbruik in TJ Gemeente'!$B$4:$Q$4,0))</f>
        <v>476</v>
      </c>
      <c r="N135">
        <f>INDEX('Energieverbruik in TJ Gemeente'!$B$4:$Q$347,MATCH($C135,'Energieverbruik in TJ Gemeente'!$B$4:$B$347,0),MATCH(N$2,'Energieverbruik in TJ Gemeente'!$B$4:$Q$4,0))</f>
        <v>994</v>
      </c>
      <c r="O135">
        <f>INDEX('Energieverbruik in TJ Gemeente'!$B$4:$Q$347,MATCH($C135,'Energieverbruik in TJ Gemeente'!$B$4:$B$347,0),MATCH(O$2,'Energieverbruik in TJ Gemeente'!$B$4:$Q$4,0))</f>
        <v>1114</v>
      </c>
      <c r="P135">
        <f>INDEX('Energieverbruik in TJ Gemeente'!$B$4:$Q$347,MATCH($C135,'Energieverbruik in TJ Gemeente'!$B$4:$B$347,0),MATCH(P$2,'Energieverbruik in TJ Gemeente'!$B$4:$Q$4,0))</f>
        <v>1064</v>
      </c>
      <c r="Q135">
        <f>INDEX('Energieverbruik in TJ Gemeente'!$B$4:$Q$347,MATCH($C135,'Energieverbruik in TJ Gemeente'!$B$4:$B$347,0),MATCH(Q$2,'Energieverbruik in TJ Gemeente'!$B$4:$Q$4,0))</f>
        <v>712</v>
      </c>
      <c r="R135">
        <f>INDEX('Energieverbruik in TJ Gemeente'!$B$4:$Q$347,MATCH($C135,'Energieverbruik in TJ Gemeente'!$B$4:$B$347,0),MATCH(R$2,'Energieverbruik in TJ Gemeente'!$B$4:$Q$4,0))</f>
        <v>738</v>
      </c>
      <c r="S135" cm="1">
        <f t="array" ref="S135">MAX(_xlfn._xlws.FILTER(D$1:H$1, D135:H135&lt;&gt;"?"))</f>
        <v>2023</v>
      </c>
      <c r="T135" cm="1">
        <f t="array" ref="T135">MAX(_xlfn._xlws.FILTER(I$1:M$1, I135:M135&lt;&gt;"?"))</f>
        <v>2023</v>
      </c>
      <c r="U135" cm="1">
        <f t="array" ref="U135">MAX(_xlfn._xlws.FILTER(F$1:J$1, F135:J135&lt;&gt;"?"))</f>
        <v>2023</v>
      </c>
      <c r="V135">
        <f t="shared" si="10"/>
        <v>722</v>
      </c>
      <c r="W135">
        <f t="shared" si="11"/>
        <v>476</v>
      </c>
      <c r="X135">
        <f t="shared" si="12"/>
        <v>738</v>
      </c>
      <c r="Y135">
        <f t="shared" si="13"/>
        <v>1936</v>
      </c>
      <c r="Z135">
        <f t="shared" si="14"/>
        <v>3.2174968007844312E-3</v>
      </c>
    </row>
    <row r="136" spans="1:26" ht="16" x14ac:dyDescent="0.2">
      <c r="A136" s="4" t="s">
        <v>408</v>
      </c>
      <c r="B136" s="4" t="s">
        <v>409</v>
      </c>
      <c r="C136" s="4" t="s">
        <v>410</v>
      </c>
      <c r="D136">
        <f>INDEX('Energieverbruik in TJ Gemeente'!$B$4:$Q$347,MATCH($C136,'Energieverbruik in TJ Gemeente'!$B$4:$B$347,0),MATCH(D$2,'Energieverbruik in TJ Gemeente'!$B$4:$Q$4,0))</f>
        <v>492</v>
      </c>
      <c r="E136">
        <f>INDEX('Energieverbruik in TJ Gemeente'!$B$4:$Q$347,MATCH($C136,'Energieverbruik in TJ Gemeente'!$B$4:$B$347,0),MATCH(E$2,'Energieverbruik in TJ Gemeente'!$B$4:$Q$4,0))</f>
        <v>477</v>
      </c>
      <c r="F136">
        <f>INDEX('Energieverbruik in TJ Gemeente'!$B$4:$Q$347,MATCH($C136,'Energieverbruik in TJ Gemeente'!$B$4:$B$347,0),MATCH(F$2,'Energieverbruik in TJ Gemeente'!$B$4:$Q$4,0))</f>
        <v>478</v>
      </c>
      <c r="G136" t="str">
        <f>INDEX('Energieverbruik in TJ Gemeente'!$B$4:$Q$347,MATCH($C136,'Energieverbruik in TJ Gemeente'!$B$4:$B$347,0),MATCH(G$2,'Energieverbruik in TJ Gemeente'!$B$4:$Q$4,0))</f>
        <v>?</v>
      </c>
      <c r="H136">
        <f>INDEX('Energieverbruik in TJ Gemeente'!$B$4:$Q$347,MATCH($C136,'Energieverbruik in TJ Gemeente'!$B$4:$B$347,0),MATCH(H$2,'Energieverbruik in TJ Gemeente'!$B$4:$Q$4,0))</f>
        <v>353</v>
      </c>
      <c r="I136">
        <f>INDEX('Energieverbruik in TJ Gemeente'!$B$4:$Q$347,MATCH($C136,'Energieverbruik in TJ Gemeente'!$B$4:$B$347,0),MATCH(I$2,'Energieverbruik in TJ Gemeente'!$B$4:$Q$4,0))</f>
        <v>58</v>
      </c>
      <c r="J136">
        <f>INDEX('Energieverbruik in TJ Gemeente'!$B$4:$Q$347,MATCH($C136,'Energieverbruik in TJ Gemeente'!$B$4:$B$347,0),MATCH(J$2,'Energieverbruik in TJ Gemeente'!$B$4:$Q$4,0))</f>
        <v>60</v>
      </c>
      <c r="K136">
        <f>INDEX('Energieverbruik in TJ Gemeente'!$B$4:$Q$347,MATCH($C136,'Energieverbruik in TJ Gemeente'!$B$4:$B$347,0),MATCH(K$2,'Energieverbruik in TJ Gemeente'!$B$4:$Q$4,0))</f>
        <v>67</v>
      </c>
      <c r="L136" t="str">
        <f>INDEX('Energieverbruik in TJ Gemeente'!$B$4:$Q$347,MATCH($C136,'Energieverbruik in TJ Gemeente'!$B$4:$B$347,0),MATCH(L$2,'Energieverbruik in TJ Gemeente'!$B$4:$Q$4,0))</f>
        <v>?</v>
      </c>
      <c r="M136">
        <f>INDEX('Energieverbruik in TJ Gemeente'!$B$4:$Q$347,MATCH($C136,'Energieverbruik in TJ Gemeente'!$B$4:$B$347,0),MATCH(M$2,'Energieverbruik in TJ Gemeente'!$B$4:$Q$4,0))</f>
        <v>53</v>
      </c>
      <c r="N136">
        <f>INDEX('Energieverbruik in TJ Gemeente'!$B$4:$Q$347,MATCH($C136,'Energieverbruik in TJ Gemeente'!$B$4:$B$347,0),MATCH(N$2,'Energieverbruik in TJ Gemeente'!$B$4:$Q$4,0))</f>
        <v>75</v>
      </c>
      <c r="O136" t="str">
        <f>INDEX('Energieverbruik in TJ Gemeente'!$B$4:$Q$347,MATCH($C136,'Energieverbruik in TJ Gemeente'!$B$4:$B$347,0),MATCH(O$2,'Energieverbruik in TJ Gemeente'!$B$4:$Q$4,0))</f>
        <v>?</v>
      </c>
      <c r="P136">
        <f>INDEX('Energieverbruik in TJ Gemeente'!$B$4:$Q$347,MATCH($C136,'Energieverbruik in TJ Gemeente'!$B$4:$B$347,0),MATCH(P$2,'Energieverbruik in TJ Gemeente'!$B$4:$Q$4,0))</f>
        <v>75</v>
      </c>
      <c r="Q136">
        <f>INDEX('Energieverbruik in TJ Gemeente'!$B$4:$Q$347,MATCH($C136,'Energieverbruik in TJ Gemeente'!$B$4:$B$347,0),MATCH(Q$2,'Energieverbruik in TJ Gemeente'!$B$4:$Q$4,0))</f>
        <v>69</v>
      </c>
      <c r="R136">
        <f>INDEX('Energieverbruik in TJ Gemeente'!$B$4:$Q$347,MATCH($C136,'Energieverbruik in TJ Gemeente'!$B$4:$B$347,0),MATCH(R$2,'Energieverbruik in TJ Gemeente'!$B$4:$Q$4,0))</f>
        <v>66</v>
      </c>
      <c r="S136" cm="1">
        <f t="array" ref="S136">MAX(_xlfn._xlws.FILTER(D$1:H$1, D136:H136&lt;&gt;"?"))</f>
        <v>2023</v>
      </c>
      <c r="T136" cm="1">
        <f t="array" ref="T136">MAX(_xlfn._xlws.FILTER(I$1:M$1, I136:M136&lt;&gt;"?"))</f>
        <v>2023</v>
      </c>
      <c r="U136" cm="1">
        <f t="array" ref="U136">MAX(_xlfn._xlws.FILTER(F$1:J$1, F136:J136&lt;&gt;"?"))</f>
        <v>2023</v>
      </c>
      <c r="V136">
        <f t="shared" si="10"/>
        <v>353</v>
      </c>
      <c r="W136">
        <f t="shared" si="11"/>
        <v>53</v>
      </c>
      <c r="X136">
        <f t="shared" si="12"/>
        <v>66</v>
      </c>
      <c r="Y136">
        <f t="shared" si="13"/>
        <v>472</v>
      </c>
      <c r="Z136">
        <f t="shared" si="14"/>
        <v>7.8443103820777455E-4</v>
      </c>
    </row>
    <row r="137" spans="1:26" ht="32" x14ac:dyDescent="0.2">
      <c r="A137" s="4" t="s">
        <v>411</v>
      </c>
      <c r="B137" s="4" t="s">
        <v>412</v>
      </c>
      <c r="C137" s="4" t="s">
        <v>413</v>
      </c>
      <c r="D137">
        <f>INDEX('Energieverbruik in TJ Gemeente'!$B$4:$Q$347,MATCH($C137,'Energieverbruik in TJ Gemeente'!$B$4:$B$347,0),MATCH(D$2,'Energieverbruik in TJ Gemeente'!$B$4:$Q$4,0))</f>
        <v>424</v>
      </c>
      <c r="E137">
        <f>INDEX('Energieverbruik in TJ Gemeente'!$B$4:$Q$347,MATCH($C137,'Energieverbruik in TJ Gemeente'!$B$4:$B$347,0),MATCH(E$2,'Energieverbruik in TJ Gemeente'!$B$4:$Q$4,0))</f>
        <v>416</v>
      </c>
      <c r="F137" t="str">
        <f>INDEX('Energieverbruik in TJ Gemeente'!$B$4:$Q$347,MATCH($C137,'Energieverbruik in TJ Gemeente'!$B$4:$B$347,0),MATCH(F$2,'Energieverbruik in TJ Gemeente'!$B$4:$Q$4,0))</f>
        <v>?</v>
      </c>
      <c r="G137">
        <f>INDEX('Energieverbruik in TJ Gemeente'!$B$4:$Q$347,MATCH($C137,'Energieverbruik in TJ Gemeente'!$B$4:$B$347,0),MATCH(G$2,'Energieverbruik in TJ Gemeente'!$B$4:$Q$4,0))</f>
        <v>370</v>
      </c>
      <c r="H137">
        <f>INDEX('Energieverbruik in TJ Gemeente'!$B$4:$Q$347,MATCH($C137,'Energieverbruik in TJ Gemeente'!$B$4:$B$347,0),MATCH(H$2,'Energieverbruik in TJ Gemeente'!$B$4:$Q$4,0))</f>
        <v>303</v>
      </c>
      <c r="I137">
        <f>INDEX('Energieverbruik in TJ Gemeente'!$B$4:$Q$347,MATCH($C137,'Energieverbruik in TJ Gemeente'!$B$4:$B$347,0),MATCH(I$2,'Energieverbruik in TJ Gemeente'!$B$4:$Q$4,0))</f>
        <v>14</v>
      </c>
      <c r="J137">
        <f>INDEX('Energieverbruik in TJ Gemeente'!$B$4:$Q$347,MATCH($C137,'Energieverbruik in TJ Gemeente'!$B$4:$B$347,0),MATCH(J$2,'Energieverbruik in TJ Gemeente'!$B$4:$Q$4,0))</f>
        <v>11</v>
      </c>
      <c r="K137">
        <f>INDEX('Energieverbruik in TJ Gemeente'!$B$4:$Q$347,MATCH($C137,'Energieverbruik in TJ Gemeente'!$B$4:$B$347,0),MATCH(K$2,'Energieverbruik in TJ Gemeente'!$B$4:$Q$4,0))</f>
        <v>15</v>
      </c>
      <c r="L137">
        <f>INDEX('Energieverbruik in TJ Gemeente'!$B$4:$Q$347,MATCH($C137,'Energieverbruik in TJ Gemeente'!$B$4:$B$347,0),MATCH(L$2,'Energieverbruik in TJ Gemeente'!$B$4:$Q$4,0))</f>
        <v>12</v>
      </c>
      <c r="M137">
        <f>INDEX('Energieverbruik in TJ Gemeente'!$B$4:$Q$347,MATCH($C137,'Energieverbruik in TJ Gemeente'!$B$4:$B$347,0),MATCH(M$2,'Energieverbruik in TJ Gemeente'!$B$4:$Q$4,0))</f>
        <v>9</v>
      </c>
      <c r="N137">
        <f>INDEX('Energieverbruik in TJ Gemeente'!$B$4:$Q$347,MATCH($C137,'Energieverbruik in TJ Gemeente'!$B$4:$B$347,0),MATCH(N$2,'Energieverbruik in TJ Gemeente'!$B$4:$Q$4,0))</f>
        <v>33</v>
      </c>
      <c r="O137">
        <f>INDEX('Energieverbruik in TJ Gemeente'!$B$4:$Q$347,MATCH($C137,'Energieverbruik in TJ Gemeente'!$B$4:$B$347,0),MATCH(O$2,'Energieverbruik in TJ Gemeente'!$B$4:$Q$4,0))</f>
        <v>21</v>
      </c>
      <c r="P137">
        <f>INDEX('Energieverbruik in TJ Gemeente'!$B$4:$Q$347,MATCH($C137,'Energieverbruik in TJ Gemeente'!$B$4:$B$347,0),MATCH(P$2,'Energieverbruik in TJ Gemeente'!$B$4:$Q$4,0))</f>
        <v>22</v>
      </c>
      <c r="Q137">
        <f>INDEX('Energieverbruik in TJ Gemeente'!$B$4:$Q$347,MATCH($C137,'Energieverbruik in TJ Gemeente'!$B$4:$B$347,0),MATCH(Q$2,'Energieverbruik in TJ Gemeente'!$B$4:$Q$4,0))</f>
        <v>17</v>
      </c>
      <c r="R137">
        <f>INDEX('Energieverbruik in TJ Gemeente'!$B$4:$Q$347,MATCH($C137,'Energieverbruik in TJ Gemeente'!$B$4:$B$347,0),MATCH(R$2,'Energieverbruik in TJ Gemeente'!$B$4:$Q$4,0))</f>
        <v>17</v>
      </c>
      <c r="S137" cm="1">
        <f t="array" ref="S137">MAX(_xlfn._xlws.FILTER(D$1:H$1, D137:H137&lt;&gt;"?"))</f>
        <v>2023</v>
      </c>
      <c r="T137" cm="1">
        <f t="array" ref="T137">MAX(_xlfn._xlws.FILTER(I$1:M$1, I137:M137&lt;&gt;"?"))</f>
        <v>2023</v>
      </c>
      <c r="U137" cm="1">
        <f t="array" ref="U137">MAX(_xlfn._xlws.FILTER(F$1:J$1, F137:J137&lt;&gt;"?"))</f>
        <v>2023</v>
      </c>
      <c r="V137">
        <f t="shared" si="10"/>
        <v>303</v>
      </c>
      <c r="W137">
        <f t="shared" si="11"/>
        <v>9</v>
      </c>
      <c r="X137">
        <f t="shared" si="12"/>
        <v>17</v>
      </c>
      <c r="Y137">
        <f t="shared" si="13"/>
        <v>329</v>
      </c>
      <c r="Z137">
        <f t="shared" si="14"/>
        <v>5.4677502451346992E-4</v>
      </c>
    </row>
    <row r="138" spans="1:26" ht="16" x14ac:dyDescent="0.2">
      <c r="A138" s="4" t="s">
        <v>414</v>
      </c>
      <c r="B138" s="4" t="s">
        <v>415</v>
      </c>
      <c r="C138" s="4" t="s">
        <v>416</v>
      </c>
      <c r="D138">
        <f>INDEX('Energieverbruik in TJ Gemeente'!$B$4:$Q$347,MATCH($C138,'Energieverbruik in TJ Gemeente'!$B$4:$B$347,0),MATCH(D$2,'Energieverbruik in TJ Gemeente'!$B$4:$Q$4,0))</f>
        <v>2706</v>
      </c>
      <c r="E138">
        <f>INDEX('Energieverbruik in TJ Gemeente'!$B$4:$Q$347,MATCH($C138,'Energieverbruik in TJ Gemeente'!$B$4:$B$347,0),MATCH(E$2,'Energieverbruik in TJ Gemeente'!$B$4:$Q$4,0))</f>
        <v>2541</v>
      </c>
      <c r="F138">
        <f>INDEX('Energieverbruik in TJ Gemeente'!$B$4:$Q$347,MATCH($C138,'Energieverbruik in TJ Gemeente'!$B$4:$B$347,0),MATCH(F$2,'Energieverbruik in TJ Gemeente'!$B$4:$Q$4,0))</f>
        <v>2603</v>
      </c>
      <c r="G138">
        <f>INDEX('Energieverbruik in TJ Gemeente'!$B$4:$Q$347,MATCH($C138,'Energieverbruik in TJ Gemeente'!$B$4:$B$347,0),MATCH(G$2,'Energieverbruik in TJ Gemeente'!$B$4:$Q$4,0))</f>
        <v>2298</v>
      </c>
      <c r="H138">
        <f>INDEX('Energieverbruik in TJ Gemeente'!$B$4:$Q$347,MATCH($C138,'Energieverbruik in TJ Gemeente'!$B$4:$B$347,0),MATCH(H$2,'Energieverbruik in TJ Gemeente'!$B$4:$Q$4,0))</f>
        <v>1981</v>
      </c>
      <c r="I138">
        <f>INDEX('Energieverbruik in TJ Gemeente'!$B$4:$Q$347,MATCH($C138,'Energieverbruik in TJ Gemeente'!$B$4:$B$347,0),MATCH(I$2,'Energieverbruik in TJ Gemeente'!$B$4:$Q$4,0))</f>
        <v>48</v>
      </c>
      <c r="J138">
        <f>INDEX('Energieverbruik in TJ Gemeente'!$B$4:$Q$347,MATCH($C138,'Energieverbruik in TJ Gemeente'!$B$4:$B$347,0),MATCH(J$2,'Energieverbruik in TJ Gemeente'!$B$4:$Q$4,0))</f>
        <v>42</v>
      </c>
      <c r="K138">
        <f>INDEX('Energieverbruik in TJ Gemeente'!$B$4:$Q$347,MATCH($C138,'Energieverbruik in TJ Gemeente'!$B$4:$B$347,0),MATCH(K$2,'Energieverbruik in TJ Gemeente'!$B$4:$Q$4,0))</f>
        <v>46</v>
      </c>
      <c r="L138" t="str">
        <f>INDEX('Energieverbruik in TJ Gemeente'!$B$4:$Q$347,MATCH($C138,'Energieverbruik in TJ Gemeente'!$B$4:$B$347,0),MATCH(L$2,'Energieverbruik in TJ Gemeente'!$B$4:$Q$4,0))</f>
        <v>?</v>
      </c>
      <c r="M138">
        <f>INDEX('Energieverbruik in TJ Gemeente'!$B$4:$Q$347,MATCH($C138,'Energieverbruik in TJ Gemeente'!$B$4:$B$347,0),MATCH(M$2,'Energieverbruik in TJ Gemeente'!$B$4:$Q$4,0))</f>
        <v>30</v>
      </c>
      <c r="N138">
        <f>INDEX('Energieverbruik in TJ Gemeente'!$B$4:$Q$347,MATCH($C138,'Energieverbruik in TJ Gemeente'!$B$4:$B$347,0),MATCH(N$2,'Energieverbruik in TJ Gemeente'!$B$4:$Q$4,0))</f>
        <v>2</v>
      </c>
      <c r="O138">
        <f>INDEX('Energieverbruik in TJ Gemeente'!$B$4:$Q$347,MATCH($C138,'Energieverbruik in TJ Gemeente'!$B$4:$B$347,0),MATCH(O$2,'Energieverbruik in TJ Gemeente'!$B$4:$Q$4,0))</f>
        <v>1</v>
      </c>
      <c r="P138">
        <f>INDEX('Energieverbruik in TJ Gemeente'!$B$4:$Q$347,MATCH($C138,'Energieverbruik in TJ Gemeente'!$B$4:$B$347,0),MATCH(P$2,'Energieverbruik in TJ Gemeente'!$B$4:$Q$4,0))</f>
        <v>1</v>
      </c>
      <c r="Q138">
        <f>INDEX('Energieverbruik in TJ Gemeente'!$B$4:$Q$347,MATCH($C138,'Energieverbruik in TJ Gemeente'!$B$4:$B$347,0),MATCH(Q$2,'Energieverbruik in TJ Gemeente'!$B$4:$Q$4,0))</f>
        <v>1</v>
      </c>
      <c r="R138" t="str">
        <f>INDEX('Energieverbruik in TJ Gemeente'!$B$4:$Q$347,MATCH($C138,'Energieverbruik in TJ Gemeente'!$B$4:$B$347,0),MATCH(R$2,'Energieverbruik in TJ Gemeente'!$B$4:$Q$4,0))</f>
        <v>?</v>
      </c>
      <c r="S138" cm="1">
        <f t="array" ref="S138">MAX(_xlfn._xlws.FILTER(D$1:H$1, D138:H138&lt;&gt;"?"))</f>
        <v>2023</v>
      </c>
      <c r="T138" cm="1">
        <f t="array" ref="T138">MAX(_xlfn._xlws.FILTER(I$1:M$1, I138:M138&lt;&gt;"?"))</f>
        <v>2023</v>
      </c>
      <c r="U138" cm="1">
        <f t="array" ref="U138">MAX(_xlfn._xlws.FILTER(F$1:J$1, F138:J138&lt;&gt;"?"))</f>
        <v>2023</v>
      </c>
      <c r="V138">
        <f t="shared" si="10"/>
        <v>1981</v>
      </c>
      <c r="W138">
        <f t="shared" si="11"/>
        <v>30</v>
      </c>
      <c r="X138" t="str">
        <f t="shared" si="12"/>
        <v>?</v>
      </c>
      <c r="Y138">
        <f t="shared" si="13"/>
        <v>2011</v>
      </c>
      <c r="Z138">
        <f t="shared" si="14"/>
        <v>3.3421415632115137E-3</v>
      </c>
    </row>
    <row r="139" spans="1:26" ht="32" x14ac:dyDescent="0.2">
      <c r="A139" s="4" t="s">
        <v>417</v>
      </c>
      <c r="B139" s="4" t="s">
        <v>418</v>
      </c>
      <c r="C139" s="4" t="s">
        <v>419</v>
      </c>
      <c r="D139" t="str">
        <f>INDEX('Energieverbruik in TJ Gemeente'!$B$4:$Q$347,MATCH($C139,'Energieverbruik in TJ Gemeente'!$B$4:$B$347,0),MATCH(D$2,'Energieverbruik in TJ Gemeente'!$B$4:$Q$4,0))</f>
        <v>?</v>
      </c>
      <c r="E139">
        <f>INDEX('Energieverbruik in TJ Gemeente'!$B$4:$Q$347,MATCH($C139,'Energieverbruik in TJ Gemeente'!$B$4:$B$347,0),MATCH(E$2,'Energieverbruik in TJ Gemeente'!$B$4:$Q$4,0))</f>
        <v>1871</v>
      </c>
      <c r="F139">
        <f>INDEX('Energieverbruik in TJ Gemeente'!$B$4:$Q$347,MATCH($C139,'Energieverbruik in TJ Gemeente'!$B$4:$B$347,0),MATCH(F$2,'Energieverbruik in TJ Gemeente'!$B$4:$Q$4,0))</f>
        <v>1892</v>
      </c>
      <c r="G139">
        <f>INDEX('Energieverbruik in TJ Gemeente'!$B$4:$Q$347,MATCH($C139,'Energieverbruik in TJ Gemeente'!$B$4:$B$347,0),MATCH(G$2,'Energieverbruik in TJ Gemeente'!$B$4:$Q$4,0))</f>
        <v>1618</v>
      </c>
      <c r="H139">
        <f>INDEX('Energieverbruik in TJ Gemeente'!$B$4:$Q$347,MATCH($C139,'Energieverbruik in TJ Gemeente'!$B$4:$B$347,0),MATCH(H$2,'Energieverbruik in TJ Gemeente'!$B$4:$Q$4,0))</f>
        <v>1351</v>
      </c>
      <c r="I139">
        <f>INDEX('Energieverbruik in TJ Gemeente'!$B$4:$Q$347,MATCH($C139,'Energieverbruik in TJ Gemeente'!$B$4:$B$347,0),MATCH(I$2,'Energieverbruik in TJ Gemeente'!$B$4:$Q$4,0))</f>
        <v>317</v>
      </c>
      <c r="J139">
        <f>INDEX('Energieverbruik in TJ Gemeente'!$B$4:$Q$347,MATCH($C139,'Energieverbruik in TJ Gemeente'!$B$4:$B$347,0),MATCH(J$2,'Energieverbruik in TJ Gemeente'!$B$4:$Q$4,0))</f>
        <v>298</v>
      </c>
      <c r="K139">
        <f>INDEX('Energieverbruik in TJ Gemeente'!$B$4:$Q$347,MATCH($C139,'Energieverbruik in TJ Gemeente'!$B$4:$B$347,0),MATCH(K$2,'Energieverbruik in TJ Gemeente'!$B$4:$Q$4,0))</f>
        <v>308</v>
      </c>
      <c r="L139">
        <f>INDEX('Energieverbruik in TJ Gemeente'!$B$4:$Q$347,MATCH($C139,'Energieverbruik in TJ Gemeente'!$B$4:$B$347,0),MATCH(L$2,'Energieverbruik in TJ Gemeente'!$B$4:$Q$4,0))</f>
        <v>275</v>
      </c>
      <c r="M139">
        <f>INDEX('Energieverbruik in TJ Gemeente'!$B$4:$Q$347,MATCH($C139,'Energieverbruik in TJ Gemeente'!$B$4:$B$347,0),MATCH(M$2,'Energieverbruik in TJ Gemeente'!$B$4:$Q$4,0))</f>
        <v>260</v>
      </c>
      <c r="N139">
        <f>INDEX('Energieverbruik in TJ Gemeente'!$B$4:$Q$347,MATCH($C139,'Energieverbruik in TJ Gemeente'!$B$4:$B$347,0),MATCH(N$2,'Energieverbruik in TJ Gemeente'!$B$4:$Q$4,0))</f>
        <v>374</v>
      </c>
      <c r="O139">
        <f>INDEX('Energieverbruik in TJ Gemeente'!$B$4:$Q$347,MATCH($C139,'Energieverbruik in TJ Gemeente'!$B$4:$B$347,0),MATCH(O$2,'Energieverbruik in TJ Gemeente'!$B$4:$Q$4,0))</f>
        <v>345</v>
      </c>
      <c r="P139">
        <f>INDEX('Energieverbruik in TJ Gemeente'!$B$4:$Q$347,MATCH($C139,'Energieverbruik in TJ Gemeente'!$B$4:$B$347,0),MATCH(P$2,'Energieverbruik in TJ Gemeente'!$B$4:$Q$4,0))</f>
        <v>352</v>
      </c>
      <c r="Q139">
        <f>INDEX('Energieverbruik in TJ Gemeente'!$B$4:$Q$347,MATCH($C139,'Energieverbruik in TJ Gemeente'!$B$4:$B$347,0),MATCH(Q$2,'Energieverbruik in TJ Gemeente'!$B$4:$Q$4,0))</f>
        <v>196</v>
      </c>
      <c r="R139">
        <f>INDEX('Energieverbruik in TJ Gemeente'!$B$4:$Q$347,MATCH($C139,'Energieverbruik in TJ Gemeente'!$B$4:$B$347,0),MATCH(R$2,'Energieverbruik in TJ Gemeente'!$B$4:$Q$4,0))</f>
        <v>197</v>
      </c>
      <c r="S139" cm="1">
        <f t="array" ref="S139">MAX(_xlfn._xlws.FILTER(D$1:H$1, D139:H139&lt;&gt;"?"))</f>
        <v>2023</v>
      </c>
      <c r="T139" cm="1">
        <f t="array" ref="T139">MAX(_xlfn._xlws.FILTER(I$1:M$1, I139:M139&lt;&gt;"?"))</f>
        <v>2023</v>
      </c>
      <c r="U139" cm="1">
        <f t="array" ref="U139">MAX(_xlfn._xlws.FILTER(F$1:J$1, F139:J139&lt;&gt;"?"))</f>
        <v>2023</v>
      </c>
      <c r="V139">
        <f t="shared" si="10"/>
        <v>1351</v>
      </c>
      <c r="W139">
        <f t="shared" si="11"/>
        <v>260</v>
      </c>
      <c r="X139">
        <f t="shared" si="12"/>
        <v>197</v>
      </c>
      <c r="Y139">
        <f t="shared" si="13"/>
        <v>1808</v>
      </c>
      <c r="Z139">
        <f t="shared" si="14"/>
        <v>3.0047697395755432E-3</v>
      </c>
    </row>
    <row r="140" spans="1:26" ht="32" x14ac:dyDescent="0.2">
      <c r="A140" s="4" t="s">
        <v>420</v>
      </c>
      <c r="B140" s="4" t="s">
        <v>421</v>
      </c>
      <c r="C140" s="4" t="s">
        <v>422</v>
      </c>
      <c r="D140">
        <f>INDEX('Energieverbruik in TJ Gemeente'!$B$4:$Q$347,MATCH($C140,'Energieverbruik in TJ Gemeente'!$B$4:$B$347,0),MATCH(D$2,'Energieverbruik in TJ Gemeente'!$B$4:$Q$4,0))</f>
        <v>962</v>
      </c>
      <c r="E140">
        <f>INDEX('Energieverbruik in TJ Gemeente'!$B$4:$Q$347,MATCH($C140,'Energieverbruik in TJ Gemeente'!$B$4:$B$347,0),MATCH(E$2,'Energieverbruik in TJ Gemeente'!$B$4:$Q$4,0))</f>
        <v>938</v>
      </c>
      <c r="F140">
        <f>INDEX('Energieverbruik in TJ Gemeente'!$B$4:$Q$347,MATCH($C140,'Energieverbruik in TJ Gemeente'!$B$4:$B$347,0),MATCH(F$2,'Energieverbruik in TJ Gemeente'!$B$4:$Q$4,0))</f>
        <v>998</v>
      </c>
      <c r="G140">
        <f>INDEX('Energieverbruik in TJ Gemeente'!$B$4:$Q$347,MATCH($C140,'Energieverbruik in TJ Gemeente'!$B$4:$B$347,0),MATCH(G$2,'Energieverbruik in TJ Gemeente'!$B$4:$Q$4,0))</f>
        <v>881</v>
      </c>
      <c r="H140">
        <f>INDEX('Energieverbruik in TJ Gemeente'!$B$4:$Q$347,MATCH($C140,'Energieverbruik in TJ Gemeente'!$B$4:$B$347,0),MATCH(H$2,'Energieverbruik in TJ Gemeente'!$B$4:$Q$4,0))</f>
        <v>709</v>
      </c>
      <c r="I140" t="str">
        <f>INDEX('Energieverbruik in TJ Gemeente'!$B$4:$Q$347,MATCH($C140,'Energieverbruik in TJ Gemeente'!$B$4:$B$347,0),MATCH(I$2,'Energieverbruik in TJ Gemeente'!$B$4:$Q$4,0))</f>
        <v>?</v>
      </c>
      <c r="J140" t="str">
        <f>INDEX('Energieverbruik in TJ Gemeente'!$B$4:$Q$347,MATCH($C140,'Energieverbruik in TJ Gemeente'!$B$4:$B$347,0),MATCH(J$2,'Energieverbruik in TJ Gemeente'!$B$4:$Q$4,0))</f>
        <v>?</v>
      </c>
      <c r="K140" t="str">
        <f>INDEX('Energieverbruik in TJ Gemeente'!$B$4:$Q$347,MATCH($C140,'Energieverbruik in TJ Gemeente'!$B$4:$B$347,0),MATCH(K$2,'Energieverbruik in TJ Gemeente'!$B$4:$Q$4,0))</f>
        <v>?</v>
      </c>
      <c r="L140">
        <f>INDEX('Energieverbruik in TJ Gemeente'!$B$4:$Q$347,MATCH($C140,'Energieverbruik in TJ Gemeente'!$B$4:$B$347,0),MATCH(L$2,'Energieverbruik in TJ Gemeente'!$B$4:$Q$4,0))</f>
        <v>292</v>
      </c>
      <c r="M140" t="str">
        <f>INDEX('Energieverbruik in TJ Gemeente'!$B$4:$Q$347,MATCH($C140,'Energieverbruik in TJ Gemeente'!$B$4:$B$347,0),MATCH(M$2,'Energieverbruik in TJ Gemeente'!$B$4:$Q$4,0))</f>
        <v>?</v>
      </c>
      <c r="N140">
        <f>INDEX('Energieverbruik in TJ Gemeente'!$B$4:$Q$347,MATCH($C140,'Energieverbruik in TJ Gemeente'!$B$4:$B$347,0),MATCH(N$2,'Energieverbruik in TJ Gemeente'!$B$4:$Q$4,0))</f>
        <v>116</v>
      </c>
      <c r="O140">
        <f>INDEX('Energieverbruik in TJ Gemeente'!$B$4:$Q$347,MATCH($C140,'Energieverbruik in TJ Gemeente'!$B$4:$B$347,0),MATCH(O$2,'Energieverbruik in TJ Gemeente'!$B$4:$Q$4,0))</f>
        <v>80</v>
      </c>
      <c r="P140">
        <f>INDEX('Energieverbruik in TJ Gemeente'!$B$4:$Q$347,MATCH($C140,'Energieverbruik in TJ Gemeente'!$B$4:$B$347,0),MATCH(P$2,'Energieverbruik in TJ Gemeente'!$B$4:$Q$4,0))</f>
        <v>92</v>
      </c>
      <c r="Q140">
        <f>INDEX('Energieverbruik in TJ Gemeente'!$B$4:$Q$347,MATCH($C140,'Energieverbruik in TJ Gemeente'!$B$4:$B$347,0),MATCH(Q$2,'Energieverbruik in TJ Gemeente'!$B$4:$Q$4,0))</f>
        <v>75</v>
      </c>
      <c r="R140">
        <f>INDEX('Energieverbruik in TJ Gemeente'!$B$4:$Q$347,MATCH($C140,'Energieverbruik in TJ Gemeente'!$B$4:$B$347,0),MATCH(R$2,'Energieverbruik in TJ Gemeente'!$B$4:$Q$4,0))</f>
        <v>59</v>
      </c>
      <c r="S140" cm="1">
        <f t="array" ref="S140">MAX(_xlfn._xlws.FILTER(D$1:H$1, D140:H140&lt;&gt;"?"))</f>
        <v>2023</v>
      </c>
      <c r="T140" cm="1">
        <f t="array" ref="T140">MAX(_xlfn._xlws.FILTER(I$1:M$1, I140:M140&lt;&gt;"?"))</f>
        <v>2022</v>
      </c>
      <c r="U140" cm="1">
        <f t="array" ref="U140">MAX(_xlfn._xlws.FILTER(F$1:J$1, F140:J140&lt;&gt;"?"))</f>
        <v>2023</v>
      </c>
      <c r="V140">
        <f t="shared" si="10"/>
        <v>709</v>
      </c>
      <c r="W140">
        <f t="shared" si="11"/>
        <v>292</v>
      </c>
      <c r="X140">
        <f t="shared" si="12"/>
        <v>59</v>
      </c>
      <c r="Y140">
        <f t="shared" si="13"/>
        <v>1060</v>
      </c>
      <c r="Z140">
        <f t="shared" si="14"/>
        <v>1.7616459756361039E-3</v>
      </c>
    </row>
    <row r="141" spans="1:26" ht="32" x14ac:dyDescent="0.2">
      <c r="A141" s="4" t="s">
        <v>426</v>
      </c>
      <c r="B141" s="4" t="s">
        <v>427</v>
      </c>
      <c r="C141" s="4" t="s">
        <v>428</v>
      </c>
      <c r="D141">
        <f>INDEX('Energieverbruik in TJ Gemeente'!$B$4:$Q$347,MATCH($C141,'Energieverbruik in TJ Gemeente'!$B$4:$B$347,0),MATCH(D$2,'Energieverbruik in TJ Gemeente'!$B$4:$Q$4,0))</f>
        <v>1153</v>
      </c>
      <c r="E141">
        <f>INDEX('Energieverbruik in TJ Gemeente'!$B$4:$Q$347,MATCH($C141,'Energieverbruik in TJ Gemeente'!$B$4:$B$347,0),MATCH(E$2,'Energieverbruik in TJ Gemeente'!$B$4:$Q$4,0))</f>
        <v>1140</v>
      </c>
      <c r="F141">
        <f>INDEX('Energieverbruik in TJ Gemeente'!$B$4:$Q$347,MATCH($C141,'Energieverbruik in TJ Gemeente'!$B$4:$B$347,0),MATCH(F$2,'Energieverbruik in TJ Gemeente'!$B$4:$Q$4,0))</f>
        <v>1142</v>
      </c>
      <c r="G141">
        <f>INDEX('Energieverbruik in TJ Gemeente'!$B$4:$Q$347,MATCH($C141,'Energieverbruik in TJ Gemeente'!$B$4:$B$347,0),MATCH(G$2,'Energieverbruik in TJ Gemeente'!$B$4:$Q$4,0))</f>
        <v>990</v>
      </c>
      <c r="H141" t="str">
        <f>INDEX('Energieverbruik in TJ Gemeente'!$B$4:$Q$347,MATCH($C141,'Energieverbruik in TJ Gemeente'!$B$4:$B$347,0),MATCH(H$2,'Energieverbruik in TJ Gemeente'!$B$4:$Q$4,0))</f>
        <v>?</v>
      </c>
      <c r="I141" t="str">
        <f>INDEX('Energieverbruik in TJ Gemeente'!$B$4:$Q$347,MATCH($C141,'Energieverbruik in TJ Gemeente'!$B$4:$B$347,0),MATCH(I$2,'Energieverbruik in TJ Gemeente'!$B$4:$Q$4,0))</f>
        <v>?</v>
      </c>
      <c r="J141" t="str">
        <f>INDEX('Energieverbruik in TJ Gemeente'!$B$4:$Q$347,MATCH($C141,'Energieverbruik in TJ Gemeente'!$B$4:$B$347,0),MATCH(J$2,'Energieverbruik in TJ Gemeente'!$B$4:$Q$4,0))</f>
        <v>?</v>
      </c>
      <c r="K141" t="str">
        <f>INDEX('Energieverbruik in TJ Gemeente'!$B$4:$Q$347,MATCH($C141,'Energieverbruik in TJ Gemeente'!$B$4:$B$347,0),MATCH(K$2,'Energieverbruik in TJ Gemeente'!$B$4:$Q$4,0))</f>
        <v>?</v>
      </c>
      <c r="L141">
        <f>INDEX('Energieverbruik in TJ Gemeente'!$B$4:$Q$347,MATCH($C141,'Energieverbruik in TJ Gemeente'!$B$4:$B$347,0),MATCH(L$2,'Energieverbruik in TJ Gemeente'!$B$4:$Q$4,0))</f>
        <v>186</v>
      </c>
      <c r="M141" t="str">
        <f>INDEX('Energieverbruik in TJ Gemeente'!$B$4:$Q$347,MATCH($C141,'Energieverbruik in TJ Gemeente'!$B$4:$B$347,0),MATCH(M$2,'Energieverbruik in TJ Gemeente'!$B$4:$Q$4,0))</f>
        <v>?</v>
      </c>
      <c r="N141" t="str">
        <f>INDEX('Energieverbruik in TJ Gemeente'!$B$4:$Q$347,MATCH($C141,'Energieverbruik in TJ Gemeente'!$B$4:$B$347,0),MATCH(N$2,'Energieverbruik in TJ Gemeente'!$B$4:$Q$4,0))</f>
        <v>?</v>
      </c>
      <c r="O141" t="str">
        <f>INDEX('Energieverbruik in TJ Gemeente'!$B$4:$Q$347,MATCH($C141,'Energieverbruik in TJ Gemeente'!$B$4:$B$347,0),MATCH(O$2,'Energieverbruik in TJ Gemeente'!$B$4:$Q$4,0))</f>
        <v>?</v>
      </c>
      <c r="P141" t="str">
        <f>INDEX('Energieverbruik in TJ Gemeente'!$B$4:$Q$347,MATCH($C141,'Energieverbruik in TJ Gemeente'!$B$4:$B$347,0),MATCH(P$2,'Energieverbruik in TJ Gemeente'!$B$4:$Q$4,0))</f>
        <v>?</v>
      </c>
      <c r="Q141">
        <f>INDEX('Energieverbruik in TJ Gemeente'!$B$4:$Q$347,MATCH($C141,'Energieverbruik in TJ Gemeente'!$B$4:$B$347,0),MATCH(Q$2,'Energieverbruik in TJ Gemeente'!$B$4:$Q$4,0))</f>
        <v>5169</v>
      </c>
      <c r="R141" t="str">
        <f>INDEX('Energieverbruik in TJ Gemeente'!$B$4:$Q$347,MATCH($C141,'Energieverbruik in TJ Gemeente'!$B$4:$B$347,0),MATCH(R$2,'Energieverbruik in TJ Gemeente'!$B$4:$Q$4,0))</f>
        <v>?</v>
      </c>
      <c r="S141" cm="1">
        <f t="array" ref="S141">MAX(_xlfn._xlws.FILTER(D$1:H$1, D141:H141&lt;&gt;"?"))</f>
        <v>2022</v>
      </c>
      <c r="T141" cm="1">
        <f t="array" ref="T141">MAX(_xlfn._xlws.FILTER(I$1:M$1, I141:M141&lt;&gt;"?"))</f>
        <v>2022</v>
      </c>
      <c r="U141" cm="1">
        <f t="array" ref="U141">MAX(_xlfn._xlws.FILTER(F$1:J$1, F141:J141&lt;&gt;"?"))</f>
        <v>2022</v>
      </c>
      <c r="V141">
        <f t="shared" si="10"/>
        <v>990</v>
      </c>
      <c r="W141">
        <f t="shared" si="11"/>
        <v>186</v>
      </c>
      <c r="X141">
        <f t="shared" si="12"/>
        <v>5169</v>
      </c>
      <c r="Y141">
        <f t="shared" si="13"/>
        <v>6345</v>
      </c>
      <c r="Z141">
        <f t="shared" si="14"/>
        <v>1.0544946901331205E-2</v>
      </c>
    </row>
    <row r="142" spans="1:26" ht="16" x14ac:dyDescent="0.2">
      <c r="A142" s="4" t="s">
        <v>429</v>
      </c>
      <c r="B142" s="4" t="s">
        <v>430</v>
      </c>
      <c r="C142" s="4" t="s">
        <v>431</v>
      </c>
      <c r="D142">
        <f>INDEX('Energieverbruik in TJ Gemeente'!$B$4:$Q$347,MATCH($C142,'Energieverbruik in TJ Gemeente'!$B$4:$B$347,0),MATCH(D$2,'Energieverbruik in TJ Gemeente'!$B$4:$Q$4,0))</f>
        <v>1504</v>
      </c>
      <c r="E142">
        <f>INDEX('Energieverbruik in TJ Gemeente'!$B$4:$Q$347,MATCH($C142,'Energieverbruik in TJ Gemeente'!$B$4:$B$347,0),MATCH(E$2,'Energieverbruik in TJ Gemeente'!$B$4:$Q$4,0))</f>
        <v>1498</v>
      </c>
      <c r="F142">
        <f>INDEX('Energieverbruik in TJ Gemeente'!$B$4:$Q$347,MATCH($C142,'Energieverbruik in TJ Gemeente'!$B$4:$B$347,0),MATCH(F$2,'Energieverbruik in TJ Gemeente'!$B$4:$Q$4,0))</f>
        <v>1507</v>
      </c>
      <c r="G142">
        <f>INDEX('Energieverbruik in TJ Gemeente'!$B$4:$Q$347,MATCH($C142,'Energieverbruik in TJ Gemeente'!$B$4:$B$347,0),MATCH(G$2,'Energieverbruik in TJ Gemeente'!$B$4:$Q$4,0))</f>
        <v>1347</v>
      </c>
      <c r="H142">
        <f>INDEX('Energieverbruik in TJ Gemeente'!$B$4:$Q$347,MATCH($C142,'Energieverbruik in TJ Gemeente'!$B$4:$B$347,0),MATCH(H$2,'Energieverbruik in TJ Gemeente'!$B$4:$Q$4,0))</f>
        <v>1111</v>
      </c>
      <c r="I142">
        <f>INDEX('Energieverbruik in TJ Gemeente'!$B$4:$Q$347,MATCH($C142,'Energieverbruik in TJ Gemeente'!$B$4:$B$347,0),MATCH(I$2,'Energieverbruik in TJ Gemeente'!$B$4:$Q$4,0))</f>
        <v>1226</v>
      </c>
      <c r="J142">
        <f>INDEX('Energieverbruik in TJ Gemeente'!$B$4:$Q$347,MATCH($C142,'Energieverbruik in TJ Gemeente'!$B$4:$B$347,0),MATCH(J$2,'Energieverbruik in TJ Gemeente'!$B$4:$Q$4,0))</f>
        <v>1171</v>
      </c>
      <c r="K142">
        <f>INDEX('Energieverbruik in TJ Gemeente'!$B$4:$Q$347,MATCH($C142,'Energieverbruik in TJ Gemeente'!$B$4:$B$347,0),MATCH(K$2,'Energieverbruik in TJ Gemeente'!$B$4:$Q$4,0))</f>
        <v>1257</v>
      </c>
      <c r="L142">
        <f>INDEX('Energieverbruik in TJ Gemeente'!$B$4:$Q$347,MATCH($C142,'Energieverbruik in TJ Gemeente'!$B$4:$B$347,0),MATCH(L$2,'Energieverbruik in TJ Gemeente'!$B$4:$Q$4,0))</f>
        <v>1254</v>
      </c>
      <c r="M142">
        <f>INDEX('Energieverbruik in TJ Gemeente'!$B$4:$Q$347,MATCH($C142,'Energieverbruik in TJ Gemeente'!$B$4:$B$347,0),MATCH(M$2,'Energieverbruik in TJ Gemeente'!$B$4:$Q$4,0))</f>
        <v>1100</v>
      </c>
      <c r="N142">
        <f>INDEX('Energieverbruik in TJ Gemeente'!$B$4:$Q$347,MATCH($C142,'Energieverbruik in TJ Gemeente'!$B$4:$B$347,0),MATCH(N$2,'Energieverbruik in TJ Gemeente'!$B$4:$Q$4,0))</f>
        <v>40</v>
      </c>
      <c r="O142">
        <f>INDEX('Energieverbruik in TJ Gemeente'!$B$4:$Q$347,MATCH($C142,'Energieverbruik in TJ Gemeente'!$B$4:$B$347,0),MATCH(O$2,'Energieverbruik in TJ Gemeente'!$B$4:$Q$4,0))</f>
        <v>28</v>
      </c>
      <c r="P142">
        <f>INDEX('Energieverbruik in TJ Gemeente'!$B$4:$Q$347,MATCH($C142,'Energieverbruik in TJ Gemeente'!$B$4:$B$347,0),MATCH(P$2,'Energieverbruik in TJ Gemeente'!$B$4:$Q$4,0))</f>
        <v>29</v>
      </c>
      <c r="Q142">
        <f>INDEX('Energieverbruik in TJ Gemeente'!$B$4:$Q$347,MATCH($C142,'Energieverbruik in TJ Gemeente'!$B$4:$B$347,0),MATCH(Q$2,'Energieverbruik in TJ Gemeente'!$B$4:$Q$4,0))</f>
        <v>25</v>
      </c>
      <c r="R142">
        <f>INDEX('Energieverbruik in TJ Gemeente'!$B$4:$Q$347,MATCH($C142,'Energieverbruik in TJ Gemeente'!$B$4:$B$347,0),MATCH(R$2,'Energieverbruik in TJ Gemeente'!$B$4:$Q$4,0))</f>
        <v>23</v>
      </c>
      <c r="S142" cm="1">
        <f t="array" ref="S142">MAX(_xlfn._xlws.FILTER(D$1:H$1, D142:H142&lt;&gt;"?"))</f>
        <v>2023</v>
      </c>
      <c r="T142" cm="1">
        <f t="array" ref="T142">MAX(_xlfn._xlws.FILTER(I$1:M$1, I142:M142&lt;&gt;"?"))</f>
        <v>2023</v>
      </c>
      <c r="U142" cm="1">
        <f t="array" ref="U142">MAX(_xlfn._xlws.FILTER(F$1:J$1, F142:J142&lt;&gt;"?"))</f>
        <v>2023</v>
      </c>
      <c r="V142">
        <f t="shared" si="10"/>
        <v>1111</v>
      </c>
      <c r="W142">
        <f t="shared" si="11"/>
        <v>1100</v>
      </c>
      <c r="X142">
        <f t="shared" si="12"/>
        <v>23</v>
      </c>
      <c r="Y142">
        <f t="shared" si="13"/>
        <v>2234</v>
      </c>
      <c r="Z142">
        <f t="shared" si="14"/>
        <v>3.7127519901613733E-3</v>
      </c>
    </row>
    <row r="143" spans="1:26" ht="16" x14ac:dyDescent="0.2">
      <c r="A143" s="4" t="s">
        <v>432</v>
      </c>
      <c r="B143" s="4" t="s">
        <v>433</v>
      </c>
      <c r="C143" s="4" t="s">
        <v>434</v>
      </c>
      <c r="D143">
        <f>INDEX('Energieverbruik in TJ Gemeente'!$B$4:$Q$347,MATCH($C143,'Energieverbruik in TJ Gemeente'!$B$4:$B$347,0),MATCH(D$2,'Energieverbruik in TJ Gemeente'!$B$4:$Q$4,0))</f>
        <v>1629</v>
      </c>
      <c r="E143">
        <f>INDEX('Energieverbruik in TJ Gemeente'!$B$4:$Q$347,MATCH($C143,'Energieverbruik in TJ Gemeente'!$B$4:$B$347,0),MATCH(E$2,'Energieverbruik in TJ Gemeente'!$B$4:$Q$4,0))</f>
        <v>1601</v>
      </c>
      <c r="F143">
        <f>INDEX('Energieverbruik in TJ Gemeente'!$B$4:$Q$347,MATCH($C143,'Energieverbruik in TJ Gemeente'!$B$4:$B$347,0),MATCH(F$2,'Energieverbruik in TJ Gemeente'!$B$4:$Q$4,0))</f>
        <v>1640</v>
      </c>
      <c r="G143">
        <f>INDEX('Energieverbruik in TJ Gemeente'!$B$4:$Q$347,MATCH($C143,'Energieverbruik in TJ Gemeente'!$B$4:$B$347,0),MATCH(G$2,'Energieverbruik in TJ Gemeente'!$B$4:$Q$4,0))</f>
        <v>1440</v>
      </c>
      <c r="H143">
        <f>INDEX('Energieverbruik in TJ Gemeente'!$B$4:$Q$347,MATCH($C143,'Energieverbruik in TJ Gemeente'!$B$4:$B$347,0),MATCH(H$2,'Energieverbruik in TJ Gemeente'!$B$4:$Q$4,0))</f>
        <v>1229</v>
      </c>
      <c r="I143">
        <f>INDEX('Energieverbruik in TJ Gemeente'!$B$4:$Q$347,MATCH($C143,'Energieverbruik in TJ Gemeente'!$B$4:$B$347,0),MATCH(I$2,'Energieverbruik in TJ Gemeente'!$B$4:$Q$4,0))</f>
        <v>160</v>
      </c>
      <c r="J143">
        <f>INDEX('Energieverbruik in TJ Gemeente'!$B$4:$Q$347,MATCH($C143,'Energieverbruik in TJ Gemeente'!$B$4:$B$347,0),MATCH(J$2,'Energieverbruik in TJ Gemeente'!$B$4:$Q$4,0))</f>
        <v>146</v>
      </c>
      <c r="K143">
        <f>INDEX('Energieverbruik in TJ Gemeente'!$B$4:$Q$347,MATCH($C143,'Energieverbruik in TJ Gemeente'!$B$4:$B$347,0),MATCH(K$2,'Energieverbruik in TJ Gemeente'!$B$4:$Q$4,0))</f>
        <v>143</v>
      </c>
      <c r="L143">
        <f>INDEX('Energieverbruik in TJ Gemeente'!$B$4:$Q$347,MATCH($C143,'Energieverbruik in TJ Gemeente'!$B$4:$B$347,0),MATCH(L$2,'Energieverbruik in TJ Gemeente'!$B$4:$Q$4,0))</f>
        <v>119</v>
      </c>
      <c r="M143">
        <f>INDEX('Energieverbruik in TJ Gemeente'!$B$4:$Q$347,MATCH($C143,'Energieverbruik in TJ Gemeente'!$B$4:$B$347,0),MATCH(M$2,'Energieverbruik in TJ Gemeente'!$B$4:$Q$4,0))</f>
        <v>94</v>
      </c>
      <c r="N143">
        <f>INDEX('Energieverbruik in TJ Gemeente'!$B$4:$Q$347,MATCH($C143,'Energieverbruik in TJ Gemeente'!$B$4:$B$347,0),MATCH(N$2,'Energieverbruik in TJ Gemeente'!$B$4:$Q$4,0))</f>
        <v>12</v>
      </c>
      <c r="O143">
        <f>INDEX('Energieverbruik in TJ Gemeente'!$B$4:$Q$347,MATCH($C143,'Energieverbruik in TJ Gemeente'!$B$4:$B$347,0),MATCH(O$2,'Energieverbruik in TJ Gemeente'!$B$4:$Q$4,0))</f>
        <v>9</v>
      </c>
      <c r="P143">
        <f>INDEX('Energieverbruik in TJ Gemeente'!$B$4:$Q$347,MATCH($C143,'Energieverbruik in TJ Gemeente'!$B$4:$B$347,0),MATCH(P$2,'Energieverbruik in TJ Gemeente'!$B$4:$Q$4,0))</f>
        <v>8</v>
      </c>
      <c r="Q143">
        <f>INDEX('Energieverbruik in TJ Gemeente'!$B$4:$Q$347,MATCH($C143,'Energieverbruik in TJ Gemeente'!$B$4:$B$347,0),MATCH(Q$2,'Energieverbruik in TJ Gemeente'!$B$4:$Q$4,0))</f>
        <v>4</v>
      </c>
      <c r="R143">
        <f>INDEX('Energieverbruik in TJ Gemeente'!$B$4:$Q$347,MATCH($C143,'Energieverbruik in TJ Gemeente'!$B$4:$B$347,0),MATCH(R$2,'Energieverbruik in TJ Gemeente'!$B$4:$Q$4,0))</f>
        <v>6</v>
      </c>
      <c r="S143" cm="1">
        <f t="array" ref="S143">MAX(_xlfn._xlws.FILTER(D$1:H$1, D143:H143&lt;&gt;"?"))</f>
        <v>2023</v>
      </c>
      <c r="T143" cm="1">
        <f t="array" ref="T143">MAX(_xlfn._xlws.FILTER(I$1:M$1, I143:M143&lt;&gt;"?"))</f>
        <v>2023</v>
      </c>
      <c r="U143" cm="1">
        <f t="array" ref="U143">MAX(_xlfn._xlws.FILTER(F$1:J$1, F143:J143&lt;&gt;"?"))</f>
        <v>2023</v>
      </c>
      <c r="V143">
        <f t="shared" si="10"/>
        <v>1229</v>
      </c>
      <c r="W143">
        <f t="shared" si="11"/>
        <v>94</v>
      </c>
      <c r="X143">
        <f t="shared" si="12"/>
        <v>6</v>
      </c>
      <c r="Y143">
        <f t="shared" si="13"/>
        <v>1329</v>
      </c>
      <c r="Z143">
        <f t="shared" si="14"/>
        <v>2.2087051902079076E-3</v>
      </c>
    </row>
    <row r="144" spans="1:26" ht="32" x14ac:dyDescent="0.2">
      <c r="A144" s="4" t="s">
        <v>435</v>
      </c>
      <c r="B144" s="4" t="s">
        <v>436</v>
      </c>
      <c r="C144" s="4" t="s">
        <v>437</v>
      </c>
      <c r="D144">
        <f>INDEX('Energieverbruik in TJ Gemeente'!$B$4:$Q$347,MATCH($C144,'Energieverbruik in TJ Gemeente'!$B$4:$B$347,0),MATCH(D$2,'Energieverbruik in TJ Gemeente'!$B$4:$Q$4,0))</f>
        <v>1250</v>
      </c>
      <c r="E144">
        <f>INDEX('Energieverbruik in TJ Gemeente'!$B$4:$Q$347,MATCH($C144,'Energieverbruik in TJ Gemeente'!$B$4:$B$347,0),MATCH(E$2,'Energieverbruik in TJ Gemeente'!$B$4:$Q$4,0))</f>
        <v>1198</v>
      </c>
      <c r="F144">
        <f>INDEX('Energieverbruik in TJ Gemeente'!$B$4:$Q$347,MATCH($C144,'Energieverbruik in TJ Gemeente'!$B$4:$B$347,0),MATCH(F$2,'Energieverbruik in TJ Gemeente'!$B$4:$Q$4,0))</f>
        <v>1225</v>
      </c>
      <c r="G144">
        <f>INDEX('Energieverbruik in TJ Gemeente'!$B$4:$Q$347,MATCH($C144,'Energieverbruik in TJ Gemeente'!$B$4:$B$347,0),MATCH(G$2,'Energieverbruik in TJ Gemeente'!$B$4:$Q$4,0))</f>
        <v>1078</v>
      </c>
      <c r="H144">
        <f>INDEX('Energieverbruik in TJ Gemeente'!$B$4:$Q$347,MATCH($C144,'Energieverbruik in TJ Gemeente'!$B$4:$B$347,0),MATCH(H$2,'Energieverbruik in TJ Gemeente'!$B$4:$Q$4,0))</f>
        <v>879</v>
      </c>
      <c r="I144">
        <f>INDEX('Energieverbruik in TJ Gemeente'!$B$4:$Q$347,MATCH($C144,'Energieverbruik in TJ Gemeente'!$B$4:$B$347,0),MATCH(I$2,'Energieverbruik in TJ Gemeente'!$B$4:$Q$4,0))</f>
        <v>220</v>
      </c>
      <c r="J144">
        <f>INDEX('Energieverbruik in TJ Gemeente'!$B$4:$Q$347,MATCH($C144,'Energieverbruik in TJ Gemeente'!$B$4:$B$347,0),MATCH(J$2,'Energieverbruik in TJ Gemeente'!$B$4:$Q$4,0))</f>
        <v>216</v>
      </c>
      <c r="K144">
        <f>INDEX('Energieverbruik in TJ Gemeente'!$B$4:$Q$347,MATCH($C144,'Energieverbruik in TJ Gemeente'!$B$4:$B$347,0),MATCH(K$2,'Energieverbruik in TJ Gemeente'!$B$4:$Q$4,0))</f>
        <v>269</v>
      </c>
      <c r="L144">
        <f>INDEX('Energieverbruik in TJ Gemeente'!$B$4:$Q$347,MATCH($C144,'Energieverbruik in TJ Gemeente'!$B$4:$B$347,0),MATCH(L$2,'Energieverbruik in TJ Gemeente'!$B$4:$Q$4,0))</f>
        <v>244</v>
      </c>
      <c r="M144">
        <f>INDEX('Energieverbruik in TJ Gemeente'!$B$4:$Q$347,MATCH($C144,'Energieverbruik in TJ Gemeente'!$B$4:$B$347,0),MATCH(M$2,'Energieverbruik in TJ Gemeente'!$B$4:$Q$4,0))</f>
        <v>272</v>
      </c>
      <c r="N144">
        <f>INDEX('Energieverbruik in TJ Gemeente'!$B$4:$Q$347,MATCH($C144,'Energieverbruik in TJ Gemeente'!$B$4:$B$347,0),MATCH(N$2,'Energieverbruik in TJ Gemeente'!$B$4:$Q$4,0))</f>
        <v>3065</v>
      </c>
      <c r="O144">
        <f>INDEX('Energieverbruik in TJ Gemeente'!$B$4:$Q$347,MATCH($C144,'Energieverbruik in TJ Gemeente'!$B$4:$B$347,0),MATCH(O$2,'Energieverbruik in TJ Gemeente'!$B$4:$Q$4,0))</f>
        <v>3356</v>
      </c>
      <c r="P144">
        <f>INDEX('Energieverbruik in TJ Gemeente'!$B$4:$Q$347,MATCH($C144,'Energieverbruik in TJ Gemeente'!$B$4:$B$347,0),MATCH(P$2,'Energieverbruik in TJ Gemeente'!$B$4:$Q$4,0))</f>
        <v>3241</v>
      </c>
      <c r="Q144">
        <f>INDEX('Energieverbruik in TJ Gemeente'!$B$4:$Q$347,MATCH($C144,'Energieverbruik in TJ Gemeente'!$B$4:$B$347,0),MATCH(Q$2,'Energieverbruik in TJ Gemeente'!$B$4:$Q$4,0))</f>
        <v>1970</v>
      </c>
      <c r="R144">
        <f>INDEX('Energieverbruik in TJ Gemeente'!$B$4:$Q$347,MATCH($C144,'Energieverbruik in TJ Gemeente'!$B$4:$B$347,0),MATCH(R$2,'Energieverbruik in TJ Gemeente'!$B$4:$Q$4,0))</f>
        <v>2202</v>
      </c>
      <c r="S144" cm="1">
        <f t="array" ref="S144">MAX(_xlfn._xlws.FILTER(D$1:H$1, D144:H144&lt;&gt;"?"))</f>
        <v>2023</v>
      </c>
      <c r="T144" cm="1">
        <f t="array" ref="T144">MAX(_xlfn._xlws.FILTER(I$1:M$1, I144:M144&lt;&gt;"?"))</f>
        <v>2023</v>
      </c>
      <c r="U144" cm="1">
        <f t="array" ref="U144">MAX(_xlfn._xlws.FILTER(F$1:J$1, F144:J144&lt;&gt;"?"))</f>
        <v>2023</v>
      </c>
      <c r="V144">
        <f t="shared" si="10"/>
        <v>879</v>
      </c>
      <c r="W144">
        <f t="shared" si="11"/>
        <v>272</v>
      </c>
      <c r="X144">
        <f t="shared" si="12"/>
        <v>2202</v>
      </c>
      <c r="Y144">
        <f t="shared" si="13"/>
        <v>3353</v>
      </c>
      <c r="Z144">
        <f t="shared" si="14"/>
        <v>5.5724518455734489E-3</v>
      </c>
    </row>
    <row r="145" spans="1:26" ht="16" x14ac:dyDescent="0.2">
      <c r="A145" s="4" t="s">
        <v>438</v>
      </c>
      <c r="B145" s="4" t="s">
        <v>439</v>
      </c>
      <c r="C145" s="4" t="s">
        <v>440</v>
      </c>
      <c r="D145">
        <f>INDEX('Energieverbruik in TJ Gemeente'!$B$4:$Q$347,MATCH($C145,'Energieverbruik in TJ Gemeente'!$B$4:$B$347,0),MATCH(D$2,'Energieverbruik in TJ Gemeente'!$B$4:$Q$4,0))</f>
        <v>808</v>
      </c>
      <c r="E145" t="str">
        <f>INDEX('Energieverbruik in TJ Gemeente'!$B$4:$Q$347,MATCH($C145,'Energieverbruik in TJ Gemeente'!$B$4:$B$347,0),MATCH(E$2,'Energieverbruik in TJ Gemeente'!$B$4:$Q$4,0))</f>
        <v>?</v>
      </c>
      <c r="F145" t="str">
        <f>INDEX('Energieverbruik in TJ Gemeente'!$B$4:$Q$347,MATCH($C145,'Energieverbruik in TJ Gemeente'!$B$4:$B$347,0),MATCH(F$2,'Energieverbruik in TJ Gemeente'!$B$4:$Q$4,0))</f>
        <v>?</v>
      </c>
      <c r="G145" t="str">
        <f>INDEX('Energieverbruik in TJ Gemeente'!$B$4:$Q$347,MATCH($C145,'Energieverbruik in TJ Gemeente'!$B$4:$B$347,0),MATCH(G$2,'Energieverbruik in TJ Gemeente'!$B$4:$Q$4,0))</f>
        <v>?</v>
      </c>
      <c r="H145" t="str">
        <f>INDEX('Energieverbruik in TJ Gemeente'!$B$4:$Q$347,MATCH($C145,'Energieverbruik in TJ Gemeente'!$B$4:$B$347,0),MATCH(H$2,'Energieverbruik in TJ Gemeente'!$B$4:$Q$4,0))</f>
        <v>?</v>
      </c>
      <c r="I145">
        <f>INDEX('Energieverbruik in TJ Gemeente'!$B$4:$Q$347,MATCH($C145,'Energieverbruik in TJ Gemeente'!$B$4:$B$347,0),MATCH(I$2,'Energieverbruik in TJ Gemeente'!$B$4:$Q$4,0))</f>
        <v>32</v>
      </c>
      <c r="J145" t="str">
        <f>INDEX('Energieverbruik in TJ Gemeente'!$B$4:$Q$347,MATCH($C145,'Energieverbruik in TJ Gemeente'!$B$4:$B$347,0),MATCH(J$2,'Energieverbruik in TJ Gemeente'!$B$4:$Q$4,0))</f>
        <v>?</v>
      </c>
      <c r="K145">
        <f>INDEX('Energieverbruik in TJ Gemeente'!$B$4:$Q$347,MATCH($C145,'Energieverbruik in TJ Gemeente'!$B$4:$B$347,0),MATCH(K$2,'Energieverbruik in TJ Gemeente'!$B$4:$Q$4,0))</f>
        <v>31</v>
      </c>
      <c r="L145" t="str">
        <f>INDEX('Energieverbruik in TJ Gemeente'!$B$4:$Q$347,MATCH($C145,'Energieverbruik in TJ Gemeente'!$B$4:$B$347,0),MATCH(L$2,'Energieverbruik in TJ Gemeente'!$B$4:$Q$4,0))</f>
        <v>?</v>
      </c>
      <c r="M145" t="str">
        <f>INDEX('Energieverbruik in TJ Gemeente'!$B$4:$Q$347,MATCH($C145,'Energieverbruik in TJ Gemeente'!$B$4:$B$347,0),MATCH(M$2,'Energieverbruik in TJ Gemeente'!$B$4:$Q$4,0))</f>
        <v>?</v>
      </c>
      <c r="N145">
        <f>INDEX('Energieverbruik in TJ Gemeente'!$B$4:$Q$347,MATCH($C145,'Energieverbruik in TJ Gemeente'!$B$4:$B$347,0),MATCH(N$2,'Energieverbruik in TJ Gemeente'!$B$4:$Q$4,0))</f>
        <v>284</v>
      </c>
      <c r="O145">
        <f>INDEX('Energieverbruik in TJ Gemeente'!$B$4:$Q$347,MATCH($C145,'Energieverbruik in TJ Gemeente'!$B$4:$B$347,0),MATCH(O$2,'Energieverbruik in TJ Gemeente'!$B$4:$Q$4,0))</f>
        <v>262</v>
      </c>
      <c r="P145">
        <f>INDEX('Energieverbruik in TJ Gemeente'!$B$4:$Q$347,MATCH($C145,'Energieverbruik in TJ Gemeente'!$B$4:$B$347,0),MATCH(P$2,'Energieverbruik in TJ Gemeente'!$B$4:$Q$4,0))</f>
        <v>268</v>
      </c>
      <c r="Q145">
        <f>INDEX('Energieverbruik in TJ Gemeente'!$B$4:$Q$347,MATCH($C145,'Energieverbruik in TJ Gemeente'!$B$4:$B$347,0),MATCH(Q$2,'Energieverbruik in TJ Gemeente'!$B$4:$Q$4,0))</f>
        <v>115</v>
      </c>
      <c r="R145">
        <f>INDEX('Energieverbruik in TJ Gemeente'!$B$4:$Q$347,MATCH($C145,'Energieverbruik in TJ Gemeente'!$B$4:$B$347,0),MATCH(R$2,'Energieverbruik in TJ Gemeente'!$B$4:$Q$4,0))</f>
        <v>131</v>
      </c>
      <c r="S145" cm="1">
        <f t="array" ref="S145">MAX(_xlfn._xlws.FILTER(D$1:H$1, D145:H145&lt;&gt;"?"))</f>
        <v>2019</v>
      </c>
      <c r="T145" cm="1">
        <f t="array" ref="T145">MAX(_xlfn._xlws.FILTER(I$1:M$1, I145:M145&lt;&gt;"?"))</f>
        <v>2021</v>
      </c>
      <c r="U145" cm="1">
        <f t="array" ref="U145">MAX(_xlfn._xlws.FILTER(F$1:J$1, F145:J145&lt;&gt;"?"))</f>
        <v>2019</v>
      </c>
      <c r="V145">
        <f t="shared" si="10"/>
        <v>808</v>
      </c>
      <c r="W145">
        <f t="shared" si="11"/>
        <v>31</v>
      </c>
      <c r="X145">
        <f t="shared" si="12"/>
        <v>284</v>
      </c>
      <c r="Y145">
        <f t="shared" si="13"/>
        <v>1123</v>
      </c>
      <c r="Z145">
        <f t="shared" si="14"/>
        <v>1.8663475760748534E-3</v>
      </c>
    </row>
    <row r="146" spans="1:26" ht="16" x14ac:dyDescent="0.2">
      <c r="A146" s="4" t="s">
        <v>441</v>
      </c>
      <c r="B146" s="4" t="s">
        <v>442</v>
      </c>
      <c r="C146" s="4" t="s">
        <v>443</v>
      </c>
      <c r="D146" t="str">
        <f>INDEX('Energieverbruik in TJ Gemeente'!$B$4:$Q$347,MATCH($C146,'Energieverbruik in TJ Gemeente'!$B$4:$B$347,0),MATCH(D$2,'Energieverbruik in TJ Gemeente'!$B$4:$Q$4,0))</f>
        <v>?</v>
      </c>
      <c r="E146">
        <f>INDEX('Energieverbruik in TJ Gemeente'!$B$4:$Q$347,MATCH($C146,'Energieverbruik in TJ Gemeente'!$B$4:$B$347,0),MATCH(E$2,'Energieverbruik in TJ Gemeente'!$B$4:$Q$4,0))</f>
        <v>962</v>
      </c>
      <c r="F146">
        <f>INDEX('Energieverbruik in TJ Gemeente'!$B$4:$Q$347,MATCH($C146,'Energieverbruik in TJ Gemeente'!$B$4:$B$347,0),MATCH(F$2,'Energieverbruik in TJ Gemeente'!$B$4:$Q$4,0))</f>
        <v>978</v>
      </c>
      <c r="G146">
        <f>INDEX('Energieverbruik in TJ Gemeente'!$B$4:$Q$347,MATCH($C146,'Energieverbruik in TJ Gemeente'!$B$4:$B$347,0),MATCH(G$2,'Energieverbruik in TJ Gemeente'!$B$4:$Q$4,0))</f>
        <v>854</v>
      </c>
      <c r="H146">
        <f>INDEX('Energieverbruik in TJ Gemeente'!$B$4:$Q$347,MATCH($C146,'Energieverbruik in TJ Gemeente'!$B$4:$B$347,0),MATCH(H$2,'Energieverbruik in TJ Gemeente'!$B$4:$Q$4,0))</f>
        <v>727</v>
      </c>
      <c r="I146">
        <f>INDEX('Energieverbruik in TJ Gemeente'!$B$4:$Q$347,MATCH($C146,'Energieverbruik in TJ Gemeente'!$B$4:$B$347,0),MATCH(I$2,'Energieverbruik in TJ Gemeente'!$B$4:$Q$4,0))</f>
        <v>138</v>
      </c>
      <c r="J146">
        <f>INDEX('Energieverbruik in TJ Gemeente'!$B$4:$Q$347,MATCH($C146,'Energieverbruik in TJ Gemeente'!$B$4:$B$347,0),MATCH(J$2,'Energieverbruik in TJ Gemeente'!$B$4:$Q$4,0))</f>
        <v>88</v>
      </c>
      <c r="K146">
        <f>INDEX('Energieverbruik in TJ Gemeente'!$B$4:$Q$347,MATCH($C146,'Energieverbruik in TJ Gemeente'!$B$4:$B$347,0),MATCH(K$2,'Energieverbruik in TJ Gemeente'!$B$4:$Q$4,0))</f>
        <v>82</v>
      </c>
      <c r="L146">
        <f>INDEX('Energieverbruik in TJ Gemeente'!$B$4:$Q$347,MATCH($C146,'Energieverbruik in TJ Gemeente'!$B$4:$B$347,0),MATCH(L$2,'Energieverbruik in TJ Gemeente'!$B$4:$Q$4,0))</f>
        <v>77</v>
      </c>
      <c r="M146">
        <f>INDEX('Energieverbruik in TJ Gemeente'!$B$4:$Q$347,MATCH($C146,'Energieverbruik in TJ Gemeente'!$B$4:$B$347,0),MATCH(M$2,'Energieverbruik in TJ Gemeente'!$B$4:$Q$4,0))</f>
        <v>70</v>
      </c>
      <c r="N146">
        <f>INDEX('Energieverbruik in TJ Gemeente'!$B$4:$Q$347,MATCH($C146,'Energieverbruik in TJ Gemeente'!$B$4:$B$347,0),MATCH(N$2,'Energieverbruik in TJ Gemeente'!$B$4:$Q$4,0))</f>
        <v>1</v>
      </c>
      <c r="O146" t="str">
        <f>INDEX('Energieverbruik in TJ Gemeente'!$B$4:$Q$347,MATCH($C146,'Energieverbruik in TJ Gemeente'!$B$4:$B$347,0),MATCH(O$2,'Energieverbruik in TJ Gemeente'!$B$4:$Q$4,0))</f>
        <v>?</v>
      </c>
      <c r="P146" t="str">
        <f>INDEX('Energieverbruik in TJ Gemeente'!$B$4:$Q$347,MATCH($C146,'Energieverbruik in TJ Gemeente'!$B$4:$B$347,0),MATCH(P$2,'Energieverbruik in TJ Gemeente'!$B$4:$Q$4,0))</f>
        <v>?</v>
      </c>
      <c r="Q146" t="str">
        <f>INDEX('Energieverbruik in TJ Gemeente'!$B$4:$Q$347,MATCH($C146,'Energieverbruik in TJ Gemeente'!$B$4:$B$347,0),MATCH(Q$2,'Energieverbruik in TJ Gemeente'!$B$4:$Q$4,0))</f>
        <v>?</v>
      </c>
      <c r="R146" t="str">
        <f>INDEX('Energieverbruik in TJ Gemeente'!$B$4:$Q$347,MATCH($C146,'Energieverbruik in TJ Gemeente'!$B$4:$B$347,0),MATCH(R$2,'Energieverbruik in TJ Gemeente'!$B$4:$Q$4,0))</f>
        <v>?</v>
      </c>
      <c r="S146" cm="1">
        <f t="array" ref="S146">MAX(_xlfn._xlws.FILTER(D$1:H$1, D146:H146&lt;&gt;"?"))</f>
        <v>2023</v>
      </c>
      <c r="T146" cm="1">
        <f t="array" ref="T146">MAX(_xlfn._xlws.FILTER(I$1:M$1, I146:M146&lt;&gt;"?"))</f>
        <v>2023</v>
      </c>
      <c r="U146" cm="1">
        <f t="array" ref="U146">MAX(_xlfn._xlws.FILTER(F$1:J$1, F146:J146&lt;&gt;"?"))</f>
        <v>2023</v>
      </c>
      <c r="V146">
        <f t="shared" si="10"/>
        <v>727</v>
      </c>
      <c r="W146">
        <f t="shared" si="11"/>
        <v>70</v>
      </c>
      <c r="X146" t="str">
        <f t="shared" si="12"/>
        <v>?</v>
      </c>
      <c r="Y146">
        <f t="shared" si="13"/>
        <v>797</v>
      </c>
      <c r="Z146">
        <f t="shared" si="14"/>
        <v>1.3245583420584666E-3</v>
      </c>
    </row>
    <row r="147" spans="1:26" ht="16" x14ac:dyDescent="0.2">
      <c r="A147" s="4" t="s">
        <v>444</v>
      </c>
      <c r="B147" s="4" t="s">
        <v>445</v>
      </c>
      <c r="C147" s="4" t="s">
        <v>446</v>
      </c>
      <c r="D147" t="str">
        <f>INDEX('Energieverbruik in TJ Gemeente'!$B$4:$Q$347,MATCH($C147,'Energieverbruik in TJ Gemeente'!$B$4:$B$347,0),MATCH(D$2,'Energieverbruik in TJ Gemeente'!$B$4:$Q$4,0))</f>
        <v>?</v>
      </c>
      <c r="E147">
        <f>INDEX('Energieverbruik in TJ Gemeente'!$B$4:$Q$347,MATCH($C147,'Energieverbruik in TJ Gemeente'!$B$4:$B$347,0),MATCH(E$2,'Energieverbruik in TJ Gemeente'!$B$4:$Q$4,0))</f>
        <v>703</v>
      </c>
      <c r="F147">
        <f>INDEX('Energieverbruik in TJ Gemeente'!$B$4:$Q$347,MATCH($C147,'Energieverbruik in TJ Gemeente'!$B$4:$B$347,0),MATCH(F$2,'Energieverbruik in TJ Gemeente'!$B$4:$Q$4,0))</f>
        <v>731</v>
      </c>
      <c r="G147">
        <f>INDEX('Energieverbruik in TJ Gemeente'!$B$4:$Q$347,MATCH($C147,'Energieverbruik in TJ Gemeente'!$B$4:$B$347,0),MATCH(G$2,'Energieverbruik in TJ Gemeente'!$B$4:$Q$4,0))</f>
        <v>649</v>
      </c>
      <c r="H147">
        <f>INDEX('Energieverbruik in TJ Gemeente'!$B$4:$Q$347,MATCH($C147,'Energieverbruik in TJ Gemeente'!$B$4:$B$347,0),MATCH(H$2,'Energieverbruik in TJ Gemeente'!$B$4:$Q$4,0))</f>
        <v>543</v>
      </c>
      <c r="I147">
        <f>INDEX('Energieverbruik in TJ Gemeente'!$B$4:$Q$347,MATCH($C147,'Energieverbruik in TJ Gemeente'!$B$4:$B$347,0),MATCH(I$2,'Energieverbruik in TJ Gemeente'!$B$4:$Q$4,0))</f>
        <v>130</v>
      </c>
      <c r="J147">
        <f>INDEX('Energieverbruik in TJ Gemeente'!$B$4:$Q$347,MATCH($C147,'Energieverbruik in TJ Gemeente'!$B$4:$B$347,0),MATCH(J$2,'Energieverbruik in TJ Gemeente'!$B$4:$Q$4,0))</f>
        <v>76</v>
      </c>
      <c r="K147">
        <f>INDEX('Energieverbruik in TJ Gemeente'!$B$4:$Q$347,MATCH($C147,'Energieverbruik in TJ Gemeente'!$B$4:$B$347,0),MATCH(K$2,'Energieverbruik in TJ Gemeente'!$B$4:$Q$4,0))</f>
        <v>136</v>
      </c>
      <c r="L147">
        <f>INDEX('Energieverbruik in TJ Gemeente'!$B$4:$Q$347,MATCH($C147,'Energieverbruik in TJ Gemeente'!$B$4:$B$347,0),MATCH(L$2,'Energieverbruik in TJ Gemeente'!$B$4:$Q$4,0))</f>
        <v>104</v>
      </c>
      <c r="M147">
        <f>INDEX('Energieverbruik in TJ Gemeente'!$B$4:$Q$347,MATCH($C147,'Energieverbruik in TJ Gemeente'!$B$4:$B$347,0),MATCH(M$2,'Energieverbruik in TJ Gemeente'!$B$4:$Q$4,0))</f>
        <v>115</v>
      </c>
      <c r="N147">
        <f>INDEX('Energieverbruik in TJ Gemeente'!$B$4:$Q$347,MATCH($C147,'Energieverbruik in TJ Gemeente'!$B$4:$B$347,0),MATCH(N$2,'Energieverbruik in TJ Gemeente'!$B$4:$Q$4,0))</f>
        <v>14</v>
      </c>
      <c r="O147">
        <f>INDEX('Energieverbruik in TJ Gemeente'!$B$4:$Q$347,MATCH($C147,'Energieverbruik in TJ Gemeente'!$B$4:$B$347,0),MATCH(O$2,'Energieverbruik in TJ Gemeente'!$B$4:$Q$4,0))</f>
        <v>4</v>
      </c>
      <c r="P147">
        <f>INDEX('Energieverbruik in TJ Gemeente'!$B$4:$Q$347,MATCH($C147,'Energieverbruik in TJ Gemeente'!$B$4:$B$347,0),MATCH(P$2,'Energieverbruik in TJ Gemeente'!$B$4:$Q$4,0))</f>
        <v>5</v>
      </c>
      <c r="Q147">
        <f>INDEX('Energieverbruik in TJ Gemeente'!$B$4:$Q$347,MATCH($C147,'Energieverbruik in TJ Gemeente'!$B$4:$B$347,0),MATCH(Q$2,'Energieverbruik in TJ Gemeente'!$B$4:$Q$4,0))</f>
        <v>4</v>
      </c>
      <c r="R147">
        <f>INDEX('Energieverbruik in TJ Gemeente'!$B$4:$Q$347,MATCH($C147,'Energieverbruik in TJ Gemeente'!$B$4:$B$347,0),MATCH(R$2,'Energieverbruik in TJ Gemeente'!$B$4:$Q$4,0))</f>
        <v>3</v>
      </c>
      <c r="S147" cm="1">
        <f t="array" ref="S147">MAX(_xlfn._xlws.FILTER(D$1:H$1, D147:H147&lt;&gt;"?"))</f>
        <v>2023</v>
      </c>
      <c r="T147" cm="1">
        <f t="array" ref="T147">MAX(_xlfn._xlws.FILTER(I$1:M$1, I147:M147&lt;&gt;"?"))</f>
        <v>2023</v>
      </c>
      <c r="U147" cm="1">
        <f t="array" ref="U147">MAX(_xlfn._xlws.FILTER(F$1:J$1, F147:J147&lt;&gt;"?"))</f>
        <v>2023</v>
      </c>
      <c r="V147">
        <f t="shared" si="10"/>
        <v>543</v>
      </c>
      <c r="W147">
        <f t="shared" si="11"/>
        <v>115</v>
      </c>
      <c r="X147">
        <f t="shared" si="12"/>
        <v>3</v>
      </c>
      <c r="Y147">
        <f t="shared" si="13"/>
        <v>661</v>
      </c>
      <c r="Z147">
        <f t="shared" si="14"/>
        <v>1.0985358395240231E-3</v>
      </c>
    </row>
    <row r="148" spans="1:26" ht="16" x14ac:dyDescent="0.2">
      <c r="A148" s="4" t="s">
        <v>447</v>
      </c>
      <c r="B148" s="4" t="s">
        <v>448</v>
      </c>
      <c r="C148" s="4" t="s">
        <v>449</v>
      </c>
      <c r="D148">
        <f>INDEX('Energieverbruik in TJ Gemeente'!$B$4:$Q$347,MATCH($C148,'Energieverbruik in TJ Gemeente'!$B$4:$B$347,0),MATCH(D$2,'Energieverbruik in TJ Gemeente'!$B$4:$Q$4,0))</f>
        <v>650</v>
      </c>
      <c r="E148">
        <f>INDEX('Energieverbruik in TJ Gemeente'!$B$4:$Q$347,MATCH($C148,'Energieverbruik in TJ Gemeente'!$B$4:$B$347,0),MATCH(E$2,'Energieverbruik in TJ Gemeente'!$B$4:$Q$4,0))</f>
        <v>633</v>
      </c>
      <c r="F148" t="str">
        <f>INDEX('Energieverbruik in TJ Gemeente'!$B$4:$Q$347,MATCH($C148,'Energieverbruik in TJ Gemeente'!$B$4:$B$347,0),MATCH(F$2,'Energieverbruik in TJ Gemeente'!$B$4:$Q$4,0))</f>
        <v>?</v>
      </c>
      <c r="G148">
        <f>INDEX('Energieverbruik in TJ Gemeente'!$B$4:$Q$347,MATCH($C148,'Energieverbruik in TJ Gemeente'!$B$4:$B$347,0),MATCH(G$2,'Energieverbruik in TJ Gemeente'!$B$4:$Q$4,0))</f>
        <v>567</v>
      </c>
      <c r="H148">
        <f>INDEX('Energieverbruik in TJ Gemeente'!$B$4:$Q$347,MATCH($C148,'Energieverbruik in TJ Gemeente'!$B$4:$B$347,0),MATCH(H$2,'Energieverbruik in TJ Gemeente'!$B$4:$Q$4,0))</f>
        <v>485</v>
      </c>
      <c r="I148">
        <f>INDEX('Energieverbruik in TJ Gemeente'!$B$4:$Q$347,MATCH($C148,'Energieverbruik in TJ Gemeente'!$B$4:$B$347,0),MATCH(I$2,'Energieverbruik in TJ Gemeente'!$B$4:$Q$4,0))</f>
        <v>93</v>
      </c>
      <c r="J148">
        <f>INDEX('Energieverbruik in TJ Gemeente'!$B$4:$Q$347,MATCH($C148,'Energieverbruik in TJ Gemeente'!$B$4:$B$347,0),MATCH(J$2,'Energieverbruik in TJ Gemeente'!$B$4:$Q$4,0))</f>
        <v>94</v>
      </c>
      <c r="K148">
        <f>INDEX('Energieverbruik in TJ Gemeente'!$B$4:$Q$347,MATCH($C148,'Energieverbruik in TJ Gemeente'!$B$4:$B$347,0),MATCH(K$2,'Energieverbruik in TJ Gemeente'!$B$4:$Q$4,0))</f>
        <v>108</v>
      </c>
      <c r="L148">
        <f>INDEX('Energieverbruik in TJ Gemeente'!$B$4:$Q$347,MATCH($C148,'Energieverbruik in TJ Gemeente'!$B$4:$B$347,0),MATCH(L$2,'Energieverbruik in TJ Gemeente'!$B$4:$Q$4,0))</f>
        <v>87</v>
      </c>
      <c r="M148">
        <f>INDEX('Energieverbruik in TJ Gemeente'!$B$4:$Q$347,MATCH($C148,'Energieverbruik in TJ Gemeente'!$B$4:$B$347,0),MATCH(M$2,'Energieverbruik in TJ Gemeente'!$B$4:$Q$4,0))</f>
        <v>76</v>
      </c>
      <c r="N148">
        <f>INDEX('Energieverbruik in TJ Gemeente'!$B$4:$Q$347,MATCH($C148,'Energieverbruik in TJ Gemeente'!$B$4:$B$347,0),MATCH(N$2,'Energieverbruik in TJ Gemeente'!$B$4:$Q$4,0))</f>
        <v>4</v>
      </c>
      <c r="O148">
        <f>INDEX('Energieverbruik in TJ Gemeente'!$B$4:$Q$347,MATCH($C148,'Energieverbruik in TJ Gemeente'!$B$4:$B$347,0),MATCH(O$2,'Energieverbruik in TJ Gemeente'!$B$4:$Q$4,0))</f>
        <v>3</v>
      </c>
      <c r="P148">
        <f>INDEX('Energieverbruik in TJ Gemeente'!$B$4:$Q$347,MATCH($C148,'Energieverbruik in TJ Gemeente'!$B$4:$B$347,0),MATCH(P$2,'Energieverbruik in TJ Gemeente'!$B$4:$Q$4,0))</f>
        <v>3</v>
      </c>
      <c r="Q148">
        <f>INDEX('Energieverbruik in TJ Gemeente'!$B$4:$Q$347,MATCH($C148,'Energieverbruik in TJ Gemeente'!$B$4:$B$347,0),MATCH(Q$2,'Energieverbruik in TJ Gemeente'!$B$4:$Q$4,0))</f>
        <v>3</v>
      </c>
      <c r="R148">
        <f>INDEX('Energieverbruik in TJ Gemeente'!$B$4:$Q$347,MATCH($C148,'Energieverbruik in TJ Gemeente'!$B$4:$B$347,0),MATCH(R$2,'Energieverbruik in TJ Gemeente'!$B$4:$Q$4,0))</f>
        <v>2</v>
      </c>
      <c r="S148" cm="1">
        <f t="array" ref="S148">MAX(_xlfn._xlws.FILTER(D$1:H$1, D148:H148&lt;&gt;"?"))</f>
        <v>2023</v>
      </c>
      <c r="T148" cm="1">
        <f t="array" ref="T148">MAX(_xlfn._xlws.FILTER(I$1:M$1, I148:M148&lt;&gt;"?"))</f>
        <v>2023</v>
      </c>
      <c r="U148" cm="1">
        <f t="array" ref="U148">MAX(_xlfn._xlws.FILTER(F$1:J$1, F148:J148&lt;&gt;"?"))</f>
        <v>2023</v>
      </c>
      <c r="V148">
        <f t="shared" si="10"/>
        <v>485</v>
      </c>
      <c r="W148">
        <f t="shared" si="11"/>
        <v>76</v>
      </c>
      <c r="X148">
        <f t="shared" si="12"/>
        <v>2</v>
      </c>
      <c r="Y148">
        <f t="shared" si="13"/>
        <v>563</v>
      </c>
      <c r="Z148">
        <f t="shared" si="14"/>
        <v>9.3566668328596832E-4</v>
      </c>
    </row>
    <row r="149" spans="1:26" ht="32" x14ac:dyDescent="0.2">
      <c r="A149" s="4" t="s">
        <v>450</v>
      </c>
      <c r="B149" s="4" t="s">
        <v>451</v>
      </c>
      <c r="C149" s="4" t="s">
        <v>452</v>
      </c>
      <c r="D149">
        <f>INDEX('Energieverbruik in TJ Gemeente'!$B$4:$Q$347,MATCH($C149,'Energieverbruik in TJ Gemeente'!$B$4:$B$347,0),MATCH(D$2,'Energieverbruik in TJ Gemeente'!$B$4:$Q$4,0))</f>
        <v>594</v>
      </c>
      <c r="E149">
        <f>INDEX('Energieverbruik in TJ Gemeente'!$B$4:$Q$347,MATCH($C149,'Energieverbruik in TJ Gemeente'!$B$4:$B$347,0),MATCH(E$2,'Energieverbruik in TJ Gemeente'!$B$4:$Q$4,0))</f>
        <v>584</v>
      </c>
      <c r="F149">
        <f>INDEX('Energieverbruik in TJ Gemeente'!$B$4:$Q$347,MATCH($C149,'Energieverbruik in TJ Gemeente'!$B$4:$B$347,0),MATCH(F$2,'Energieverbruik in TJ Gemeente'!$B$4:$Q$4,0))</f>
        <v>587</v>
      </c>
      <c r="G149">
        <f>INDEX('Energieverbruik in TJ Gemeente'!$B$4:$Q$347,MATCH($C149,'Energieverbruik in TJ Gemeente'!$B$4:$B$347,0),MATCH(G$2,'Energieverbruik in TJ Gemeente'!$B$4:$Q$4,0))</f>
        <v>506</v>
      </c>
      <c r="H149">
        <f>INDEX('Energieverbruik in TJ Gemeente'!$B$4:$Q$347,MATCH($C149,'Energieverbruik in TJ Gemeente'!$B$4:$B$347,0),MATCH(H$2,'Energieverbruik in TJ Gemeente'!$B$4:$Q$4,0))</f>
        <v>429</v>
      </c>
      <c r="I149">
        <f>INDEX('Energieverbruik in TJ Gemeente'!$B$4:$Q$347,MATCH($C149,'Energieverbruik in TJ Gemeente'!$B$4:$B$347,0),MATCH(I$2,'Energieverbruik in TJ Gemeente'!$B$4:$Q$4,0))</f>
        <v>37</v>
      </c>
      <c r="J149">
        <f>INDEX('Energieverbruik in TJ Gemeente'!$B$4:$Q$347,MATCH($C149,'Energieverbruik in TJ Gemeente'!$B$4:$B$347,0),MATCH(J$2,'Energieverbruik in TJ Gemeente'!$B$4:$Q$4,0))</f>
        <v>32</v>
      </c>
      <c r="K149">
        <f>INDEX('Energieverbruik in TJ Gemeente'!$B$4:$Q$347,MATCH($C149,'Energieverbruik in TJ Gemeente'!$B$4:$B$347,0),MATCH(K$2,'Energieverbruik in TJ Gemeente'!$B$4:$Q$4,0))</f>
        <v>37</v>
      </c>
      <c r="L149">
        <f>INDEX('Energieverbruik in TJ Gemeente'!$B$4:$Q$347,MATCH($C149,'Energieverbruik in TJ Gemeente'!$B$4:$B$347,0),MATCH(L$2,'Energieverbruik in TJ Gemeente'!$B$4:$Q$4,0))</f>
        <v>27</v>
      </c>
      <c r="M149">
        <f>INDEX('Energieverbruik in TJ Gemeente'!$B$4:$Q$347,MATCH($C149,'Energieverbruik in TJ Gemeente'!$B$4:$B$347,0),MATCH(M$2,'Energieverbruik in TJ Gemeente'!$B$4:$Q$4,0))</f>
        <v>25</v>
      </c>
      <c r="N149">
        <f>INDEX('Energieverbruik in TJ Gemeente'!$B$4:$Q$347,MATCH($C149,'Energieverbruik in TJ Gemeente'!$B$4:$B$347,0),MATCH(N$2,'Energieverbruik in TJ Gemeente'!$B$4:$Q$4,0))</f>
        <v>652</v>
      </c>
      <c r="O149">
        <f>INDEX('Energieverbruik in TJ Gemeente'!$B$4:$Q$347,MATCH($C149,'Energieverbruik in TJ Gemeente'!$B$4:$B$347,0),MATCH(O$2,'Energieverbruik in TJ Gemeente'!$B$4:$Q$4,0))</f>
        <v>565</v>
      </c>
      <c r="P149">
        <f>INDEX('Energieverbruik in TJ Gemeente'!$B$4:$Q$347,MATCH($C149,'Energieverbruik in TJ Gemeente'!$B$4:$B$347,0),MATCH(P$2,'Energieverbruik in TJ Gemeente'!$B$4:$Q$4,0))</f>
        <v>627</v>
      </c>
      <c r="Q149">
        <f>INDEX('Energieverbruik in TJ Gemeente'!$B$4:$Q$347,MATCH($C149,'Energieverbruik in TJ Gemeente'!$B$4:$B$347,0),MATCH(Q$2,'Energieverbruik in TJ Gemeente'!$B$4:$Q$4,0))</f>
        <v>484</v>
      </c>
      <c r="R149">
        <f>INDEX('Energieverbruik in TJ Gemeente'!$B$4:$Q$347,MATCH($C149,'Energieverbruik in TJ Gemeente'!$B$4:$B$347,0),MATCH(R$2,'Energieverbruik in TJ Gemeente'!$B$4:$Q$4,0))</f>
        <v>480</v>
      </c>
      <c r="S149" cm="1">
        <f t="array" ref="S149">MAX(_xlfn._xlws.FILTER(D$1:H$1, D149:H149&lt;&gt;"?"))</f>
        <v>2023</v>
      </c>
      <c r="T149" cm="1">
        <f t="array" ref="T149">MAX(_xlfn._xlws.FILTER(I$1:M$1, I149:M149&lt;&gt;"?"))</f>
        <v>2023</v>
      </c>
      <c r="U149" cm="1">
        <f t="array" ref="U149">MAX(_xlfn._xlws.FILTER(F$1:J$1, F149:J149&lt;&gt;"?"))</f>
        <v>2023</v>
      </c>
      <c r="V149">
        <f t="shared" si="10"/>
        <v>429</v>
      </c>
      <c r="W149">
        <f t="shared" si="11"/>
        <v>25</v>
      </c>
      <c r="X149">
        <f t="shared" si="12"/>
        <v>480</v>
      </c>
      <c r="Y149">
        <f t="shared" si="13"/>
        <v>934</v>
      </c>
      <c r="Z149">
        <f t="shared" si="14"/>
        <v>1.5522427747586046E-3</v>
      </c>
    </row>
    <row r="150" spans="1:26" ht="16" x14ac:dyDescent="0.2">
      <c r="A150" s="4" t="s">
        <v>453</v>
      </c>
      <c r="B150" s="4" t="s">
        <v>454</v>
      </c>
      <c r="C150" s="4" t="s">
        <v>455</v>
      </c>
      <c r="D150" t="str">
        <f>INDEX('Energieverbruik in TJ Gemeente'!$B$4:$Q$347,MATCH($C150,'Energieverbruik in TJ Gemeente'!$B$4:$B$347,0),MATCH(D$2,'Energieverbruik in TJ Gemeente'!$B$4:$Q$4,0))</f>
        <v>?</v>
      </c>
      <c r="E150">
        <f>INDEX('Energieverbruik in TJ Gemeente'!$B$4:$Q$347,MATCH($C150,'Energieverbruik in TJ Gemeente'!$B$4:$B$347,0),MATCH(E$2,'Energieverbruik in TJ Gemeente'!$B$4:$Q$4,0))</f>
        <v>1162</v>
      </c>
      <c r="F150">
        <f>INDEX('Energieverbruik in TJ Gemeente'!$B$4:$Q$347,MATCH($C150,'Energieverbruik in TJ Gemeente'!$B$4:$B$347,0),MATCH(F$2,'Energieverbruik in TJ Gemeente'!$B$4:$Q$4,0))</f>
        <v>1190</v>
      </c>
      <c r="G150">
        <f>INDEX('Energieverbruik in TJ Gemeente'!$B$4:$Q$347,MATCH($C150,'Energieverbruik in TJ Gemeente'!$B$4:$B$347,0),MATCH(G$2,'Energieverbruik in TJ Gemeente'!$B$4:$Q$4,0))</f>
        <v>1039</v>
      </c>
      <c r="H150">
        <f>INDEX('Energieverbruik in TJ Gemeente'!$B$4:$Q$347,MATCH($C150,'Energieverbruik in TJ Gemeente'!$B$4:$B$347,0),MATCH(H$2,'Energieverbruik in TJ Gemeente'!$B$4:$Q$4,0))</f>
        <v>875</v>
      </c>
      <c r="I150">
        <f>INDEX('Energieverbruik in TJ Gemeente'!$B$4:$Q$347,MATCH($C150,'Energieverbruik in TJ Gemeente'!$B$4:$B$347,0),MATCH(I$2,'Energieverbruik in TJ Gemeente'!$B$4:$Q$4,0))</f>
        <v>400</v>
      </c>
      <c r="J150">
        <f>INDEX('Energieverbruik in TJ Gemeente'!$B$4:$Q$347,MATCH($C150,'Energieverbruik in TJ Gemeente'!$B$4:$B$347,0),MATCH(J$2,'Energieverbruik in TJ Gemeente'!$B$4:$Q$4,0))</f>
        <v>439</v>
      </c>
      <c r="K150">
        <f>INDEX('Energieverbruik in TJ Gemeente'!$B$4:$Q$347,MATCH($C150,'Energieverbruik in TJ Gemeente'!$B$4:$B$347,0),MATCH(K$2,'Energieverbruik in TJ Gemeente'!$B$4:$Q$4,0))</f>
        <v>586</v>
      </c>
      <c r="L150">
        <f>INDEX('Energieverbruik in TJ Gemeente'!$B$4:$Q$347,MATCH($C150,'Energieverbruik in TJ Gemeente'!$B$4:$B$347,0),MATCH(L$2,'Energieverbruik in TJ Gemeente'!$B$4:$Q$4,0))</f>
        <v>548</v>
      </c>
      <c r="M150">
        <f>INDEX('Energieverbruik in TJ Gemeente'!$B$4:$Q$347,MATCH($C150,'Energieverbruik in TJ Gemeente'!$B$4:$B$347,0),MATCH(M$2,'Energieverbruik in TJ Gemeente'!$B$4:$Q$4,0))</f>
        <v>467</v>
      </c>
      <c r="N150">
        <f>INDEX('Energieverbruik in TJ Gemeente'!$B$4:$Q$347,MATCH($C150,'Energieverbruik in TJ Gemeente'!$B$4:$B$347,0),MATCH(N$2,'Energieverbruik in TJ Gemeente'!$B$4:$Q$4,0))</f>
        <v>1243</v>
      </c>
      <c r="O150">
        <f>INDEX('Energieverbruik in TJ Gemeente'!$B$4:$Q$347,MATCH($C150,'Energieverbruik in TJ Gemeente'!$B$4:$B$347,0),MATCH(O$2,'Energieverbruik in TJ Gemeente'!$B$4:$Q$4,0))</f>
        <v>1228</v>
      </c>
      <c r="P150">
        <f>INDEX('Energieverbruik in TJ Gemeente'!$B$4:$Q$347,MATCH($C150,'Energieverbruik in TJ Gemeente'!$B$4:$B$347,0),MATCH(P$2,'Energieverbruik in TJ Gemeente'!$B$4:$Q$4,0))</f>
        <v>1402</v>
      </c>
      <c r="Q150">
        <f>INDEX('Energieverbruik in TJ Gemeente'!$B$4:$Q$347,MATCH($C150,'Energieverbruik in TJ Gemeente'!$B$4:$B$347,0),MATCH(Q$2,'Energieverbruik in TJ Gemeente'!$B$4:$Q$4,0))</f>
        <v>982</v>
      </c>
      <c r="R150">
        <f>INDEX('Energieverbruik in TJ Gemeente'!$B$4:$Q$347,MATCH($C150,'Energieverbruik in TJ Gemeente'!$B$4:$B$347,0),MATCH(R$2,'Energieverbruik in TJ Gemeente'!$B$4:$Q$4,0))</f>
        <v>1230</v>
      </c>
      <c r="S150" cm="1">
        <f t="array" ref="S150">MAX(_xlfn._xlws.FILTER(D$1:H$1, D150:H150&lt;&gt;"?"))</f>
        <v>2023</v>
      </c>
      <c r="T150" cm="1">
        <f t="array" ref="T150">MAX(_xlfn._xlws.FILTER(I$1:M$1, I150:M150&lt;&gt;"?"))</f>
        <v>2023</v>
      </c>
      <c r="U150" cm="1">
        <f t="array" ref="U150">MAX(_xlfn._xlws.FILTER(F$1:J$1, F150:J150&lt;&gt;"?"))</f>
        <v>2023</v>
      </c>
      <c r="V150">
        <f t="shared" si="10"/>
        <v>875</v>
      </c>
      <c r="W150">
        <f t="shared" si="11"/>
        <v>467</v>
      </c>
      <c r="X150">
        <f t="shared" si="12"/>
        <v>1230</v>
      </c>
      <c r="Y150">
        <f t="shared" si="13"/>
        <v>2572</v>
      </c>
      <c r="Z150">
        <f t="shared" si="14"/>
        <v>4.2744843861660933E-3</v>
      </c>
    </row>
    <row r="151" spans="1:26" ht="16" x14ac:dyDescent="0.2">
      <c r="A151" s="4" t="s">
        <v>456</v>
      </c>
      <c r="B151" s="4" t="s">
        <v>457</v>
      </c>
      <c r="C151" s="4" t="s">
        <v>458</v>
      </c>
      <c r="D151">
        <f>INDEX('Energieverbruik in TJ Gemeente'!$B$4:$Q$347,MATCH($C151,'Energieverbruik in TJ Gemeente'!$B$4:$B$347,0),MATCH(D$2,'Energieverbruik in TJ Gemeente'!$B$4:$Q$4,0))</f>
        <v>287</v>
      </c>
      <c r="E151">
        <f>INDEX('Energieverbruik in TJ Gemeente'!$B$4:$Q$347,MATCH($C151,'Energieverbruik in TJ Gemeente'!$B$4:$B$347,0),MATCH(E$2,'Energieverbruik in TJ Gemeente'!$B$4:$Q$4,0))</f>
        <v>281</v>
      </c>
      <c r="F151">
        <f>INDEX('Energieverbruik in TJ Gemeente'!$B$4:$Q$347,MATCH($C151,'Energieverbruik in TJ Gemeente'!$B$4:$B$347,0),MATCH(F$2,'Energieverbruik in TJ Gemeente'!$B$4:$Q$4,0))</f>
        <v>291</v>
      </c>
      <c r="G151">
        <f>INDEX('Energieverbruik in TJ Gemeente'!$B$4:$Q$347,MATCH($C151,'Energieverbruik in TJ Gemeente'!$B$4:$B$347,0),MATCH(G$2,'Energieverbruik in TJ Gemeente'!$B$4:$Q$4,0))</f>
        <v>246</v>
      </c>
      <c r="H151" t="str">
        <f>INDEX('Energieverbruik in TJ Gemeente'!$B$4:$Q$347,MATCH($C151,'Energieverbruik in TJ Gemeente'!$B$4:$B$347,0),MATCH(H$2,'Energieverbruik in TJ Gemeente'!$B$4:$Q$4,0))</f>
        <v>?</v>
      </c>
      <c r="I151" t="str">
        <f>INDEX('Energieverbruik in TJ Gemeente'!$B$4:$Q$347,MATCH($C151,'Energieverbruik in TJ Gemeente'!$B$4:$B$347,0),MATCH(I$2,'Energieverbruik in TJ Gemeente'!$B$4:$Q$4,0))</f>
        <v>?</v>
      </c>
      <c r="J151" t="str">
        <f>INDEX('Energieverbruik in TJ Gemeente'!$B$4:$Q$347,MATCH($C151,'Energieverbruik in TJ Gemeente'!$B$4:$B$347,0),MATCH(J$2,'Energieverbruik in TJ Gemeente'!$B$4:$Q$4,0))</f>
        <v>?</v>
      </c>
      <c r="K151" t="str">
        <f>INDEX('Energieverbruik in TJ Gemeente'!$B$4:$Q$347,MATCH($C151,'Energieverbruik in TJ Gemeente'!$B$4:$B$347,0),MATCH(K$2,'Energieverbruik in TJ Gemeente'!$B$4:$Q$4,0))</f>
        <v>?</v>
      </c>
      <c r="L151" t="str">
        <f>INDEX('Energieverbruik in TJ Gemeente'!$B$4:$Q$347,MATCH($C151,'Energieverbruik in TJ Gemeente'!$B$4:$B$347,0),MATCH(L$2,'Energieverbruik in TJ Gemeente'!$B$4:$Q$4,0))</f>
        <v>?</v>
      </c>
      <c r="M151" t="str">
        <f>INDEX('Energieverbruik in TJ Gemeente'!$B$4:$Q$347,MATCH($C151,'Energieverbruik in TJ Gemeente'!$B$4:$B$347,0),MATCH(M$2,'Energieverbruik in TJ Gemeente'!$B$4:$Q$4,0))</f>
        <v>?</v>
      </c>
      <c r="N151" t="str">
        <f>INDEX('Energieverbruik in TJ Gemeente'!$B$4:$Q$347,MATCH($C151,'Energieverbruik in TJ Gemeente'!$B$4:$B$347,0),MATCH(N$2,'Energieverbruik in TJ Gemeente'!$B$4:$Q$4,0))</f>
        <v>?</v>
      </c>
      <c r="O151" t="str">
        <f>INDEX('Energieverbruik in TJ Gemeente'!$B$4:$Q$347,MATCH($C151,'Energieverbruik in TJ Gemeente'!$B$4:$B$347,0),MATCH(O$2,'Energieverbruik in TJ Gemeente'!$B$4:$Q$4,0))</f>
        <v>?</v>
      </c>
      <c r="P151" t="str">
        <f>INDEX('Energieverbruik in TJ Gemeente'!$B$4:$Q$347,MATCH($C151,'Energieverbruik in TJ Gemeente'!$B$4:$B$347,0),MATCH(P$2,'Energieverbruik in TJ Gemeente'!$B$4:$Q$4,0))</f>
        <v>?</v>
      </c>
      <c r="Q151" t="str">
        <f>INDEX('Energieverbruik in TJ Gemeente'!$B$4:$Q$347,MATCH($C151,'Energieverbruik in TJ Gemeente'!$B$4:$B$347,0),MATCH(Q$2,'Energieverbruik in TJ Gemeente'!$B$4:$Q$4,0))</f>
        <v>?</v>
      </c>
      <c r="R151" t="str">
        <f>INDEX('Energieverbruik in TJ Gemeente'!$B$4:$Q$347,MATCH($C151,'Energieverbruik in TJ Gemeente'!$B$4:$B$347,0),MATCH(R$2,'Energieverbruik in TJ Gemeente'!$B$4:$Q$4,0))</f>
        <v>?</v>
      </c>
      <c r="S151" cm="1">
        <f t="array" ref="S151">MAX(_xlfn._xlws.FILTER(D$1:H$1, D151:H151&lt;&gt;"?"))</f>
        <v>2022</v>
      </c>
      <c r="T151" t="e" cm="1" vm="1">
        <f t="array" ref="T151">MAX(_xlfn._xlws.FILTER(I$1:M$1, I151:M151&lt;&gt;"?"))</f>
        <v>#VALUE!</v>
      </c>
      <c r="U151" cm="1">
        <f t="array" ref="U151">MAX(_xlfn._xlws.FILTER(F$1:J$1, F151:J151&lt;&gt;"?"))</f>
        <v>2022</v>
      </c>
      <c r="V151">
        <f t="shared" si="10"/>
        <v>246</v>
      </c>
      <c r="W151">
        <f t="shared" si="11"/>
        <v>0</v>
      </c>
      <c r="X151" t="str">
        <f t="shared" si="12"/>
        <v>?</v>
      </c>
      <c r="Y151">
        <f t="shared" si="13"/>
        <v>246</v>
      </c>
      <c r="Z151">
        <f t="shared" si="14"/>
        <v>4.0883482076083165E-4</v>
      </c>
    </row>
    <row r="152" spans="1:26" ht="16" x14ac:dyDescent="0.2">
      <c r="A152" s="4" t="s">
        <v>459</v>
      </c>
      <c r="B152" s="4" t="s">
        <v>460</v>
      </c>
      <c r="C152" s="4" t="s">
        <v>461</v>
      </c>
      <c r="D152">
        <f>INDEX('Energieverbruik in TJ Gemeente'!$B$4:$Q$347,MATCH($C152,'Energieverbruik in TJ Gemeente'!$B$4:$B$347,0),MATCH(D$2,'Energieverbruik in TJ Gemeente'!$B$4:$Q$4,0))</f>
        <v>1338</v>
      </c>
      <c r="E152">
        <f>INDEX('Energieverbruik in TJ Gemeente'!$B$4:$Q$347,MATCH($C152,'Energieverbruik in TJ Gemeente'!$B$4:$B$347,0),MATCH(E$2,'Energieverbruik in TJ Gemeente'!$B$4:$Q$4,0))</f>
        <v>1263</v>
      </c>
      <c r="F152">
        <f>INDEX('Energieverbruik in TJ Gemeente'!$B$4:$Q$347,MATCH($C152,'Energieverbruik in TJ Gemeente'!$B$4:$B$347,0),MATCH(F$2,'Energieverbruik in TJ Gemeente'!$B$4:$Q$4,0))</f>
        <v>1275</v>
      </c>
      <c r="G152">
        <f>INDEX('Energieverbruik in TJ Gemeente'!$B$4:$Q$347,MATCH($C152,'Energieverbruik in TJ Gemeente'!$B$4:$B$347,0),MATCH(G$2,'Energieverbruik in TJ Gemeente'!$B$4:$Q$4,0))</f>
        <v>1121</v>
      </c>
      <c r="H152">
        <f>INDEX('Energieverbruik in TJ Gemeente'!$B$4:$Q$347,MATCH($C152,'Energieverbruik in TJ Gemeente'!$B$4:$B$347,0),MATCH(H$2,'Energieverbruik in TJ Gemeente'!$B$4:$Q$4,0))</f>
        <v>970</v>
      </c>
      <c r="I152">
        <f>INDEX('Energieverbruik in TJ Gemeente'!$B$4:$Q$347,MATCH($C152,'Energieverbruik in TJ Gemeente'!$B$4:$B$347,0),MATCH(I$2,'Energieverbruik in TJ Gemeente'!$B$4:$Q$4,0))</f>
        <v>131</v>
      </c>
      <c r="J152">
        <f>INDEX('Energieverbruik in TJ Gemeente'!$B$4:$Q$347,MATCH($C152,'Energieverbruik in TJ Gemeente'!$B$4:$B$347,0),MATCH(J$2,'Energieverbruik in TJ Gemeente'!$B$4:$Q$4,0))</f>
        <v>122</v>
      </c>
      <c r="K152" t="str">
        <f>INDEX('Energieverbruik in TJ Gemeente'!$B$4:$Q$347,MATCH($C152,'Energieverbruik in TJ Gemeente'!$B$4:$B$347,0),MATCH(K$2,'Energieverbruik in TJ Gemeente'!$B$4:$Q$4,0))</f>
        <v>?</v>
      </c>
      <c r="L152">
        <f>INDEX('Energieverbruik in TJ Gemeente'!$B$4:$Q$347,MATCH($C152,'Energieverbruik in TJ Gemeente'!$B$4:$B$347,0),MATCH(L$2,'Energieverbruik in TJ Gemeente'!$B$4:$Q$4,0))</f>
        <v>118</v>
      </c>
      <c r="M152">
        <f>INDEX('Energieverbruik in TJ Gemeente'!$B$4:$Q$347,MATCH($C152,'Energieverbruik in TJ Gemeente'!$B$4:$B$347,0),MATCH(M$2,'Energieverbruik in TJ Gemeente'!$B$4:$Q$4,0))</f>
        <v>107</v>
      </c>
      <c r="N152">
        <f>INDEX('Energieverbruik in TJ Gemeente'!$B$4:$Q$347,MATCH($C152,'Energieverbruik in TJ Gemeente'!$B$4:$B$347,0),MATCH(N$2,'Energieverbruik in TJ Gemeente'!$B$4:$Q$4,0))</f>
        <v>561</v>
      </c>
      <c r="O152">
        <f>INDEX('Energieverbruik in TJ Gemeente'!$B$4:$Q$347,MATCH($C152,'Energieverbruik in TJ Gemeente'!$B$4:$B$347,0),MATCH(O$2,'Energieverbruik in TJ Gemeente'!$B$4:$Q$4,0))</f>
        <v>555</v>
      </c>
      <c r="P152">
        <f>INDEX('Energieverbruik in TJ Gemeente'!$B$4:$Q$347,MATCH($C152,'Energieverbruik in TJ Gemeente'!$B$4:$B$347,0),MATCH(P$2,'Energieverbruik in TJ Gemeente'!$B$4:$Q$4,0))</f>
        <v>592</v>
      </c>
      <c r="Q152">
        <f>INDEX('Energieverbruik in TJ Gemeente'!$B$4:$Q$347,MATCH($C152,'Energieverbruik in TJ Gemeente'!$B$4:$B$347,0),MATCH(Q$2,'Energieverbruik in TJ Gemeente'!$B$4:$Q$4,0))</f>
        <v>447</v>
      </c>
      <c r="R152">
        <f>INDEX('Energieverbruik in TJ Gemeente'!$B$4:$Q$347,MATCH($C152,'Energieverbruik in TJ Gemeente'!$B$4:$B$347,0),MATCH(R$2,'Energieverbruik in TJ Gemeente'!$B$4:$Q$4,0))</f>
        <v>435</v>
      </c>
      <c r="S152" cm="1">
        <f t="array" ref="S152">MAX(_xlfn._xlws.FILTER(D$1:H$1, D152:H152&lt;&gt;"?"))</f>
        <v>2023</v>
      </c>
      <c r="T152" cm="1">
        <f t="array" ref="T152">MAX(_xlfn._xlws.FILTER(I$1:M$1, I152:M152&lt;&gt;"?"))</f>
        <v>2023</v>
      </c>
      <c r="U152" cm="1">
        <f t="array" ref="U152">MAX(_xlfn._xlws.FILTER(F$1:J$1, F152:J152&lt;&gt;"?"))</f>
        <v>2023</v>
      </c>
      <c r="V152">
        <f t="shared" si="10"/>
        <v>970</v>
      </c>
      <c r="W152">
        <f t="shared" si="11"/>
        <v>107</v>
      </c>
      <c r="X152">
        <f t="shared" si="12"/>
        <v>435</v>
      </c>
      <c r="Y152">
        <f t="shared" si="13"/>
        <v>1512</v>
      </c>
      <c r="Z152">
        <f t="shared" si="14"/>
        <v>2.5128384105299897E-3</v>
      </c>
    </row>
    <row r="153" spans="1:26" ht="16" x14ac:dyDescent="0.2">
      <c r="A153" s="4" t="s">
        <v>462</v>
      </c>
      <c r="B153" s="4" t="s">
        <v>463</v>
      </c>
      <c r="C153" s="4" t="s">
        <v>464</v>
      </c>
      <c r="D153" t="str">
        <f>INDEX('Energieverbruik in TJ Gemeente'!$B$4:$Q$347,MATCH($C153,'Energieverbruik in TJ Gemeente'!$B$4:$B$347,0),MATCH(D$2,'Energieverbruik in TJ Gemeente'!$B$4:$Q$4,0))</f>
        <v>?</v>
      </c>
      <c r="E153">
        <f>INDEX('Energieverbruik in TJ Gemeente'!$B$4:$Q$347,MATCH($C153,'Energieverbruik in TJ Gemeente'!$B$4:$B$347,0),MATCH(E$2,'Energieverbruik in TJ Gemeente'!$B$4:$Q$4,0))</f>
        <v>1233</v>
      </c>
      <c r="F153">
        <f>INDEX('Energieverbruik in TJ Gemeente'!$B$4:$Q$347,MATCH($C153,'Energieverbruik in TJ Gemeente'!$B$4:$B$347,0),MATCH(F$2,'Energieverbruik in TJ Gemeente'!$B$4:$Q$4,0))</f>
        <v>1265</v>
      </c>
      <c r="G153">
        <f>INDEX('Energieverbruik in TJ Gemeente'!$B$4:$Q$347,MATCH($C153,'Energieverbruik in TJ Gemeente'!$B$4:$B$347,0),MATCH(G$2,'Energieverbruik in TJ Gemeente'!$B$4:$Q$4,0))</f>
        <v>1102</v>
      </c>
      <c r="H153">
        <f>INDEX('Energieverbruik in TJ Gemeente'!$B$4:$Q$347,MATCH($C153,'Energieverbruik in TJ Gemeente'!$B$4:$B$347,0),MATCH(H$2,'Energieverbruik in TJ Gemeente'!$B$4:$Q$4,0))</f>
        <v>921</v>
      </c>
      <c r="I153">
        <f>INDEX('Energieverbruik in TJ Gemeente'!$B$4:$Q$347,MATCH($C153,'Energieverbruik in TJ Gemeente'!$B$4:$B$347,0),MATCH(I$2,'Energieverbruik in TJ Gemeente'!$B$4:$Q$4,0))</f>
        <v>779</v>
      </c>
      <c r="J153">
        <f>INDEX('Energieverbruik in TJ Gemeente'!$B$4:$Q$347,MATCH($C153,'Energieverbruik in TJ Gemeente'!$B$4:$B$347,0),MATCH(J$2,'Energieverbruik in TJ Gemeente'!$B$4:$Q$4,0))</f>
        <v>770</v>
      </c>
      <c r="K153">
        <f>INDEX('Energieverbruik in TJ Gemeente'!$B$4:$Q$347,MATCH($C153,'Energieverbruik in TJ Gemeente'!$B$4:$B$347,0),MATCH(K$2,'Energieverbruik in TJ Gemeente'!$B$4:$Q$4,0))</f>
        <v>794</v>
      </c>
      <c r="L153">
        <f>INDEX('Energieverbruik in TJ Gemeente'!$B$4:$Q$347,MATCH($C153,'Energieverbruik in TJ Gemeente'!$B$4:$B$347,0),MATCH(L$2,'Energieverbruik in TJ Gemeente'!$B$4:$Q$4,0))</f>
        <v>773</v>
      </c>
      <c r="M153">
        <f>INDEX('Energieverbruik in TJ Gemeente'!$B$4:$Q$347,MATCH($C153,'Energieverbruik in TJ Gemeente'!$B$4:$B$347,0),MATCH(M$2,'Energieverbruik in TJ Gemeente'!$B$4:$Q$4,0))</f>
        <v>636</v>
      </c>
      <c r="N153">
        <f>INDEX('Energieverbruik in TJ Gemeente'!$B$4:$Q$347,MATCH($C153,'Energieverbruik in TJ Gemeente'!$B$4:$B$347,0),MATCH(N$2,'Energieverbruik in TJ Gemeente'!$B$4:$Q$4,0))</f>
        <v>1</v>
      </c>
      <c r="O153" t="str">
        <f>INDEX('Energieverbruik in TJ Gemeente'!$B$4:$Q$347,MATCH($C153,'Energieverbruik in TJ Gemeente'!$B$4:$B$347,0),MATCH(O$2,'Energieverbruik in TJ Gemeente'!$B$4:$Q$4,0))</f>
        <v>?</v>
      </c>
      <c r="P153">
        <f>INDEX('Energieverbruik in TJ Gemeente'!$B$4:$Q$347,MATCH($C153,'Energieverbruik in TJ Gemeente'!$B$4:$B$347,0),MATCH(P$2,'Energieverbruik in TJ Gemeente'!$B$4:$Q$4,0))</f>
        <v>1</v>
      </c>
      <c r="Q153">
        <f>INDEX('Energieverbruik in TJ Gemeente'!$B$4:$Q$347,MATCH($C153,'Energieverbruik in TJ Gemeente'!$B$4:$B$347,0),MATCH(Q$2,'Energieverbruik in TJ Gemeente'!$B$4:$Q$4,0))</f>
        <v>1</v>
      </c>
      <c r="R153">
        <f>INDEX('Energieverbruik in TJ Gemeente'!$B$4:$Q$347,MATCH($C153,'Energieverbruik in TJ Gemeente'!$B$4:$B$347,0),MATCH(R$2,'Energieverbruik in TJ Gemeente'!$B$4:$Q$4,0))</f>
        <v>1</v>
      </c>
      <c r="S153" cm="1">
        <f t="array" ref="S153">MAX(_xlfn._xlws.FILTER(D$1:H$1, D153:H153&lt;&gt;"?"))</f>
        <v>2023</v>
      </c>
      <c r="T153" cm="1">
        <f t="array" ref="T153">MAX(_xlfn._xlws.FILTER(I$1:M$1, I153:M153&lt;&gt;"?"))</f>
        <v>2023</v>
      </c>
      <c r="U153" cm="1">
        <f t="array" ref="U153">MAX(_xlfn._xlws.FILTER(F$1:J$1, F153:J153&lt;&gt;"?"))</f>
        <v>2023</v>
      </c>
      <c r="V153">
        <f t="shared" si="10"/>
        <v>921</v>
      </c>
      <c r="W153">
        <f t="shared" si="11"/>
        <v>636</v>
      </c>
      <c r="X153">
        <f t="shared" si="12"/>
        <v>1</v>
      </c>
      <c r="Y153">
        <f t="shared" si="13"/>
        <v>1558</v>
      </c>
      <c r="Z153">
        <f t="shared" si="14"/>
        <v>2.5892871981519337E-3</v>
      </c>
    </row>
    <row r="154" spans="1:26" ht="16" x14ac:dyDescent="0.2">
      <c r="A154" s="4" t="s">
        <v>465</v>
      </c>
      <c r="B154" s="4" t="s">
        <v>466</v>
      </c>
      <c r="C154" s="4" t="s">
        <v>467</v>
      </c>
      <c r="D154">
        <f>INDEX('Energieverbruik in TJ Gemeente'!$B$4:$Q$347,MATCH($C154,'Energieverbruik in TJ Gemeente'!$B$4:$B$347,0),MATCH(D$2,'Energieverbruik in TJ Gemeente'!$B$4:$Q$4,0))</f>
        <v>502</v>
      </c>
      <c r="E154">
        <f>INDEX('Energieverbruik in TJ Gemeente'!$B$4:$Q$347,MATCH($C154,'Energieverbruik in TJ Gemeente'!$B$4:$B$347,0),MATCH(E$2,'Energieverbruik in TJ Gemeente'!$B$4:$Q$4,0))</f>
        <v>498</v>
      </c>
      <c r="F154">
        <f>INDEX('Energieverbruik in TJ Gemeente'!$B$4:$Q$347,MATCH($C154,'Energieverbruik in TJ Gemeente'!$B$4:$B$347,0),MATCH(F$2,'Energieverbruik in TJ Gemeente'!$B$4:$Q$4,0))</f>
        <v>495</v>
      </c>
      <c r="G154">
        <f>INDEX('Energieverbruik in TJ Gemeente'!$B$4:$Q$347,MATCH($C154,'Energieverbruik in TJ Gemeente'!$B$4:$B$347,0),MATCH(G$2,'Energieverbruik in TJ Gemeente'!$B$4:$Q$4,0))</f>
        <v>428</v>
      </c>
      <c r="H154" t="str">
        <f>INDEX('Energieverbruik in TJ Gemeente'!$B$4:$Q$347,MATCH($C154,'Energieverbruik in TJ Gemeente'!$B$4:$B$347,0),MATCH(H$2,'Energieverbruik in TJ Gemeente'!$B$4:$Q$4,0))</f>
        <v>?</v>
      </c>
      <c r="I154">
        <f>INDEX('Energieverbruik in TJ Gemeente'!$B$4:$Q$347,MATCH($C154,'Energieverbruik in TJ Gemeente'!$B$4:$B$347,0),MATCH(I$2,'Energieverbruik in TJ Gemeente'!$B$4:$Q$4,0))</f>
        <v>99</v>
      </c>
      <c r="J154">
        <f>INDEX('Energieverbruik in TJ Gemeente'!$B$4:$Q$347,MATCH($C154,'Energieverbruik in TJ Gemeente'!$B$4:$B$347,0),MATCH(J$2,'Energieverbruik in TJ Gemeente'!$B$4:$Q$4,0))</f>
        <v>90</v>
      </c>
      <c r="K154">
        <f>INDEX('Energieverbruik in TJ Gemeente'!$B$4:$Q$347,MATCH($C154,'Energieverbruik in TJ Gemeente'!$B$4:$B$347,0),MATCH(K$2,'Energieverbruik in TJ Gemeente'!$B$4:$Q$4,0))</f>
        <v>94</v>
      </c>
      <c r="L154">
        <f>INDEX('Energieverbruik in TJ Gemeente'!$B$4:$Q$347,MATCH($C154,'Energieverbruik in TJ Gemeente'!$B$4:$B$347,0),MATCH(L$2,'Energieverbruik in TJ Gemeente'!$B$4:$Q$4,0))</f>
        <v>94</v>
      </c>
      <c r="M154" t="str">
        <f>INDEX('Energieverbruik in TJ Gemeente'!$B$4:$Q$347,MATCH($C154,'Energieverbruik in TJ Gemeente'!$B$4:$B$347,0),MATCH(M$2,'Energieverbruik in TJ Gemeente'!$B$4:$Q$4,0))</f>
        <v>?</v>
      </c>
      <c r="N154">
        <f>INDEX('Energieverbruik in TJ Gemeente'!$B$4:$Q$347,MATCH($C154,'Energieverbruik in TJ Gemeente'!$B$4:$B$347,0),MATCH(N$2,'Energieverbruik in TJ Gemeente'!$B$4:$Q$4,0))</f>
        <v>643</v>
      </c>
      <c r="O154">
        <f>INDEX('Energieverbruik in TJ Gemeente'!$B$4:$Q$347,MATCH($C154,'Energieverbruik in TJ Gemeente'!$B$4:$B$347,0),MATCH(O$2,'Energieverbruik in TJ Gemeente'!$B$4:$Q$4,0))</f>
        <v>629</v>
      </c>
      <c r="P154">
        <f>INDEX('Energieverbruik in TJ Gemeente'!$B$4:$Q$347,MATCH($C154,'Energieverbruik in TJ Gemeente'!$B$4:$B$347,0),MATCH(P$2,'Energieverbruik in TJ Gemeente'!$B$4:$Q$4,0))</f>
        <v>658</v>
      </c>
      <c r="Q154">
        <f>INDEX('Energieverbruik in TJ Gemeente'!$B$4:$Q$347,MATCH($C154,'Energieverbruik in TJ Gemeente'!$B$4:$B$347,0),MATCH(Q$2,'Energieverbruik in TJ Gemeente'!$B$4:$Q$4,0))</f>
        <v>443</v>
      </c>
      <c r="R154">
        <f>INDEX('Energieverbruik in TJ Gemeente'!$B$4:$Q$347,MATCH($C154,'Energieverbruik in TJ Gemeente'!$B$4:$B$347,0),MATCH(R$2,'Energieverbruik in TJ Gemeente'!$B$4:$Q$4,0))</f>
        <v>438</v>
      </c>
      <c r="S154" cm="1">
        <f t="array" ref="S154">MAX(_xlfn._xlws.FILTER(D$1:H$1, D154:H154&lt;&gt;"?"))</f>
        <v>2022</v>
      </c>
      <c r="T154" cm="1">
        <f t="array" ref="T154">MAX(_xlfn._xlws.FILTER(I$1:M$1, I154:M154&lt;&gt;"?"))</f>
        <v>2022</v>
      </c>
      <c r="U154" cm="1">
        <f t="array" ref="U154">MAX(_xlfn._xlws.FILTER(F$1:J$1, F154:J154&lt;&gt;"?"))</f>
        <v>2022</v>
      </c>
      <c r="V154">
        <f t="shared" si="10"/>
        <v>428</v>
      </c>
      <c r="W154">
        <f t="shared" si="11"/>
        <v>94</v>
      </c>
      <c r="X154">
        <f t="shared" si="12"/>
        <v>443</v>
      </c>
      <c r="Y154">
        <f t="shared" si="13"/>
        <v>965</v>
      </c>
      <c r="Z154">
        <f t="shared" si="14"/>
        <v>1.6037626098951321E-3</v>
      </c>
    </row>
    <row r="155" spans="1:26" ht="32" x14ac:dyDescent="0.2">
      <c r="A155" s="4" t="s">
        <v>468</v>
      </c>
      <c r="B155" s="4" t="s">
        <v>469</v>
      </c>
      <c r="C155" s="4" t="s">
        <v>470</v>
      </c>
      <c r="D155" t="str">
        <f>INDEX('Energieverbruik in TJ Gemeente'!$B$4:$Q$347,MATCH($C155,'Energieverbruik in TJ Gemeente'!$B$4:$B$347,0),MATCH(D$2,'Energieverbruik in TJ Gemeente'!$B$4:$Q$4,0))</f>
        <v>?</v>
      </c>
      <c r="E155" t="str">
        <f>INDEX('Energieverbruik in TJ Gemeente'!$B$4:$Q$347,MATCH($C155,'Energieverbruik in TJ Gemeente'!$B$4:$B$347,0),MATCH(E$2,'Energieverbruik in TJ Gemeente'!$B$4:$Q$4,0))</f>
        <v>?</v>
      </c>
      <c r="F155" t="str">
        <f>INDEX('Energieverbruik in TJ Gemeente'!$B$4:$Q$347,MATCH($C155,'Energieverbruik in TJ Gemeente'!$B$4:$B$347,0),MATCH(F$2,'Energieverbruik in TJ Gemeente'!$B$4:$Q$4,0))</f>
        <v>?</v>
      </c>
      <c r="G155">
        <f>INDEX('Energieverbruik in TJ Gemeente'!$B$4:$Q$347,MATCH($C155,'Energieverbruik in TJ Gemeente'!$B$4:$B$347,0),MATCH(G$2,'Energieverbruik in TJ Gemeente'!$B$4:$Q$4,0))</f>
        <v>498</v>
      </c>
      <c r="H155">
        <f>INDEX('Energieverbruik in TJ Gemeente'!$B$4:$Q$347,MATCH($C155,'Energieverbruik in TJ Gemeente'!$B$4:$B$347,0),MATCH(H$2,'Energieverbruik in TJ Gemeente'!$B$4:$Q$4,0))</f>
        <v>424</v>
      </c>
      <c r="I155" t="str">
        <f>INDEX('Energieverbruik in TJ Gemeente'!$B$4:$Q$347,MATCH($C155,'Energieverbruik in TJ Gemeente'!$B$4:$B$347,0),MATCH(I$2,'Energieverbruik in TJ Gemeente'!$B$4:$Q$4,0))</f>
        <v>?</v>
      </c>
      <c r="J155" t="str">
        <f>INDEX('Energieverbruik in TJ Gemeente'!$B$4:$Q$347,MATCH($C155,'Energieverbruik in TJ Gemeente'!$B$4:$B$347,0),MATCH(J$2,'Energieverbruik in TJ Gemeente'!$B$4:$Q$4,0))</f>
        <v>?</v>
      </c>
      <c r="K155" t="str">
        <f>INDEX('Energieverbruik in TJ Gemeente'!$B$4:$Q$347,MATCH($C155,'Energieverbruik in TJ Gemeente'!$B$4:$B$347,0),MATCH(K$2,'Energieverbruik in TJ Gemeente'!$B$4:$Q$4,0))</f>
        <v>?</v>
      </c>
      <c r="L155">
        <f>INDEX('Energieverbruik in TJ Gemeente'!$B$4:$Q$347,MATCH($C155,'Energieverbruik in TJ Gemeente'!$B$4:$B$347,0),MATCH(L$2,'Energieverbruik in TJ Gemeente'!$B$4:$Q$4,0))</f>
        <v>39</v>
      </c>
      <c r="M155">
        <f>INDEX('Energieverbruik in TJ Gemeente'!$B$4:$Q$347,MATCH($C155,'Energieverbruik in TJ Gemeente'!$B$4:$B$347,0),MATCH(M$2,'Energieverbruik in TJ Gemeente'!$B$4:$Q$4,0))</f>
        <v>39</v>
      </c>
      <c r="N155" t="str">
        <f>INDEX('Energieverbruik in TJ Gemeente'!$B$4:$Q$347,MATCH($C155,'Energieverbruik in TJ Gemeente'!$B$4:$B$347,0),MATCH(N$2,'Energieverbruik in TJ Gemeente'!$B$4:$Q$4,0))</f>
        <v>?</v>
      </c>
      <c r="O155" t="str">
        <f>INDEX('Energieverbruik in TJ Gemeente'!$B$4:$Q$347,MATCH($C155,'Energieverbruik in TJ Gemeente'!$B$4:$B$347,0),MATCH(O$2,'Energieverbruik in TJ Gemeente'!$B$4:$Q$4,0))</f>
        <v>?</v>
      </c>
      <c r="P155" t="str">
        <f>INDEX('Energieverbruik in TJ Gemeente'!$B$4:$Q$347,MATCH($C155,'Energieverbruik in TJ Gemeente'!$B$4:$B$347,0),MATCH(P$2,'Energieverbruik in TJ Gemeente'!$B$4:$Q$4,0))</f>
        <v>?</v>
      </c>
      <c r="Q155" t="str">
        <f>INDEX('Energieverbruik in TJ Gemeente'!$B$4:$Q$347,MATCH($C155,'Energieverbruik in TJ Gemeente'!$B$4:$B$347,0),MATCH(Q$2,'Energieverbruik in TJ Gemeente'!$B$4:$Q$4,0))</f>
        <v>?</v>
      </c>
      <c r="R155" t="str">
        <f>INDEX('Energieverbruik in TJ Gemeente'!$B$4:$Q$347,MATCH($C155,'Energieverbruik in TJ Gemeente'!$B$4:$B$347,0),MATCH(R$2,'Energieverbruik in TJ Gemeente'!$B$4:$Q$4,0))</f>
        <v>?</v>
      </c>
      <c r="S155" cm="1">
        <f t="array" ref="S155">MAX(_xlfn._xlws.FILTER(D$1:H$1, D155:H155&lt;&gt;"?"))</f>
        <v>2023</v>
      </c>
      <c r="T155" cm="1">
        <f t="array" ref="T155">MAX(_xlfn._xlws.FILTER(I$1:M$1, I155:M155&lt;&gt;"?"))</f>
        <v>2023</v>
      </c>
      <c r="U155" cm="1">
        <f t="array" ref="U155">MAX(_xlfn._xlws.FILTER(F$1:J$1, F155:J155&lt;&gt;"?"))</f>
        <v>2023</v>
      </c>
      <c r="V155">
        <f t="shared" si="10"/>
        <v>424</v>
      </c>
      <c r="W155">
        <f t="shared" si="11"/>
        <v>39</v>
      </c>
      <c r="X155" t="str">
        <f t="shared" si="12"/>
        <v>?</v>
      </c>
      <c r="Y155">
        <f t="shared" si="13"/>
        <v>463</v>
      </c>
      <c r="Z155">
        <f t="shared" si="14"/>
        <v>7.6947366671652456E-4</v>
      </c>
    </row>
    <row r="156" spans="1:26" ht="32" x14ac:dyDescent="0.2">
      <c r="A156" s="4" t="s">
        <v>471</v>
      </c>
      <c r="B156" s="4" t="s">
        <v>472</v>
      </c>
      <c r="C156" s="4" t="s">
        <v>473</v>
      </c>
      <c r="D156">
        <f>INDEX('Energieverbruik in TJ Gemeente'!$B$4:$Q$347,MATCH($C156,'Energieverbruik in TJ Gemeente'!$B$4:$B$347,0),MATCH(D$2,'Energieverbruik in TJ Gemeente'!$B$4:$Q$4,0))</f>
        <v>1276</v>
      </c>
      <c r="E156">
        <f>INDEX('Energieverbruik in TJ Gemeente'!$B$4:$Q$347,MATCH($C156,'Energieverbruik in TJ Gemeente'!$B$4:$B$347,0),MATCH(E$2,'Energieverbruik in TJ Gemeente'!$B$4:$Q$4,0))</f>
        <v>1252</v>
      </c>
      <c r="F156">
        <f>INDEX('Energieverbruik in TJ Gemeente'!$B$4:$Q$347,MATCH($C156,'Energieverbruik in TJ Gemeente'!$B$4:$B$347,0),MATCH(F$2,'Energieverbruik in TJ Gemeente'!$B$4:$Q$4,0))</f>
        <v>1265</v>
      </c>
      <c r="G156">
        <f>INDEX('Energieverbruik in TJ Gemeente'!$B$4:$Q$347,MATCH($C156,'Energieverbruik in TJ Gemeente'!$B$4:$B$347,0),MATCH(G$2,'Energieverbruik in TJ Gemeente'!$B$4:$Q$4,0))</f>
        <v>1093</v>
      </c>
      <c r="H156">
        <f>INDEX('Energieverbruik in TJ Gemeente'!$B$4:$Q$347,MATCH($C156,'Energieverbruik in TJ Gemeente'!$B$4:$B$347,0),MATCH(H$2,'Energieverbruik in TJ Gemeente'!$B$4:$Q$4,0))</f>
        <v>920</v>
      </c>
      <c r="I156">
        <f>INDEX('Energieverbruik in TJ Gemeente'!$B$4:$Q$347,MATCH($C156,'Energieverbruik in TJ Gemeente'!$B$4:$B$347,0),MATCH(I$2,'Energieverbruik in TJ Gemeente'!$B$4:$Q$4,0))</f>
        <v>101</v>
      </c>
      <c r="J156">
        <f>INDEX('Energieverbruik in TJ Gemeente'!$B$4:$Q$347,MATCH($C156,'Energieverbruik in TJ Gemeente'!$B$4:$B$347,0),MATCH(J$2,'Energieverbruik in TJ Gemeente'!$B$4:$Q$4,0))</f>
        <v>94</v>
      </c>
      <c r="K156">
        <f>INDEX('Energieverbruik in TJ Gemeente'!$B$4:$Q$347,MATCH($C156,'Energieverbruik in TJ Gemeente'!$B$4:$B$347,0),MATCH(K$2,'Energieverbruik in TJ Gemeente'!$B$4:$Q$4,0))</f>
        <v>99</v>
      </c>
      <c r="L156">
        <f>INDEX('Energieverbruik in TJ Gemeente'!$B$4:$Q$347,MATCH($C156,'Energieverbruik in TJ Gemeente'!$B$4:$B$347,0),MATCH(L$2,'Energieverbruik in TJ Gemeente'!$B$4:$Q$4,0))</f>
        <v>83</v>
      </c>
      <c r="M156">
        <f>INDEX('Energieverbruik in TJ Gemeente'!$B$4:$Q$347,MATCH($C156,'Energieverbruik in TJ Gemeente'!$B$4:$B$347,0),MATCH(M$2,'Energieverbruik in TJ Gemeente'!$B$4:$Q$4,0))</f>
        <v>72</v>
      </c>
      <c r="N156">
        <f>INDEX('Energieverbruik in TJ Gemeente'!$B$4:$Q$347,MATCH($C156,'Energieverbruik in TJ Gemeente'!$B$4:$B$347,0),MATCH(N$2,'Energieverbruik in TJ Gemeente'!$B$4:$Q$4,0))</f>
        <v>29</v>
      </c>
      <c r="O156">
        <f>INDEX('Energieverbruik in TJ Gemeente'!$B$4:$Q$347,MATCH($C156,'Energieverbruik in TJ Gemeente'!$B$4:$B$347,0),MATCH(O$2,'Energieverbruik in TJ Gemeente'!$B$4:$Q$4,0))</f>
        <v>20</v>
      </c>
      <c r="P156">
        <f>INDEX('Energieverbruik in TJ Gemeente'!$B$4:$Q$347,MATCH($C156,'Energieverbruik in TJ Gemeente'!$B$4:$B$347,0),MATCH(P$2,'Energieverbruik in TJ Gemeente'!$B$4:$Q$4,0))</f>
        <v>21</v>
      </c>
      <c r="Q156">
        <f>INDEX('Energieverbruik in TJ Gemeente'!$B$4:$Q$347,MATCH($C156,'Energieverbruik in TJ Gemeente'!$B$4:$B$347,0),MATCH(Q$2,'Energieverbruik in TJ Gemeente'!$B$4:$Q$4,0))</f>
        <v>16</v>
      </c>
      <c r="R156">
        <f>INDEX('Energieverbruik in TJ Gemeente'!$B$4:$Q$347,MATCH($C156,'Energieverbruik in TJ Gemeente'!$B$4:$B$347,0),MATCH(R$2,'Energieverbruik in TJ Gemeente'!$B$4:$Q$4,0))</f>
        <v>13</v>
      </c>
      <c r="S156" cm="1">
        <f t="array" ref="S156">MAX(_xlfn._xlws.FILTER(D$1:H$1, D156:H156&lt;&gt;"?"))</f>
        <v>2023</v>
      </c>
      <c r="T156" cm="1">
        <f t="array" ref="T156">MAX(_xlfn._xlws.FILTER(I$1:M$1, I156:M156&lt;&gt;"?"))</f>
        <v>2023</v>
      </c>
      <c r="U156" cm="1">
        <f t="array" ref="U156">MAX(_xlfn._xlws.FILTER(F$1:J$1, F156:J156&lt;&gt;"?"))</f>
        <v>2023</v>
      </c>
      <c r="V156">
        <f t="shared" si="10"/>
        <v>920</v>
      </c>
      <c r="W156">
        <f t="shared" si="11"/>
        <v>72</v>
      </c>
      <c r="X156">
        <f t="shared" si="12"/>
        <v>13</v>
      </c>
      <c r="Y156">
        <f t="shared" si="13"/>
        <v>1005</v>
      </c>
      <c r="Z156">
        <f t="shared" si="14"/>
        <v>1.6702398165229096E-3</v>
      </c>
    </row>
    <row r="157" spans="1:26" ht="16" x14ac:dyDescent="0.2">
      <c r="A157" s="4" t="s">
        <v>474</v>
      </c>
      <c r="B157" s="4" t="s">
        <v>475</v>
      </c>
      <c r="C157" s="4" t="s">
        <v>476</v>
      </c>
      <c r="D157">
        <f>INDEX('Energieverbruik in TJ Gemeente'!$B$4:$Q$347,MATCH($C157,'Energieverbruik in TJ Gemeente'!$B$4:$B$347,0),MATCH(D$2,'Energieverbruik in TJ Gemeente'!$B$4:$Q$4,0))</f>
        <v>534</v>
      </c>
      <c r="E157">
        <f>INDEX('Energieverbruik in TJ Gemeente'!$B$4:$Q$347,MATCH($C157,'Energieverbruik in TJ Gemeente'!$B$4:$B$347,0),MATCH(E$2,'Energieverbruik in TJ Gemeente'!$B$4:$Q$4,0))</f>
        <v>519</v>
      </c>
      <c r="F157">
        <f>INDEX('Energieverbruik in TJ Gemeente'!$B$4:$Q$347,MATCH($C157,'Energieverbruik in TJ Gemeente'!$B$4:$B$347,0),MATCH(F$2,'Energieverbruik in TJ Gemeente'!$B$4:$Q$4,0))</f>
        <v>539</v>
      </c>
      <c r="G157">
        <f>INDEX('Energieverbruik in TJ Gemeente'!$B$4:$Q$347,MATCH($C157,'Energieverbruik in TJ Gemeente'!$B$4:$B$347,0),MATCH(G$2,'Energieverbruik in TJ Gemeente'!$B$4:$Q$4,0))</f>
        <v>470</v>
      </c>
      <c r="H157">
        <f>INDEX('Energieverbruik in TJ Gemeente'!$B$4:$Q$347,MATCH($C157,'Energieverbruik in TJ Gemeente'!$B$4:$B$347,0),MATCH(H$2,'Energieverbruik in TJ Gemeente'!$B$4:$Q$4,0))</f>
        <v>379</v>
      </c>
      <c r="I157">
        <f>INDEX('Energieverbruik in TJ Gemeente'!$B$4:$Q$347,MATCH($C157,'Energieverbruik in TJ Gemeente'!$B$4:$B$347,0),MATCH(I$2,'Energieverbruik in TJ Gemeente'!$B$4:$Q$4,0))</f>
        <v>924</v>
      </c>
      <c r="J157">
        <f>INDEX('Energieverbruik in TJ Gemeente'!$B$4:$Q$347,MATCH($C157,'Energieverbruik in TJ Gemeente'!$B$4:$B$347,0),MATCH(J$2,'Energieverbruik in TJ Gemeente'!$B$4:$Q$4,0))</f>
        <v>821</v>
      </c>
      <c r="K157">
        <f>INDEX('Energieverbruik in TJ Gemeente'!$B$4:$Q$347,MATCH($C157,'Energieverbruik in TJ Gemeente'!$B$4:$B$347,0),MATCH(K$2,'Energieverbruik in TJ Gemeente'!$B$4:$Q$4,0))</f>
        <v>800</v>
      </c>
      <c r="L157">
        <f>INDEX('Energieverbruik in TJ Gemeente'!$B$4:$Q$347,MATCH($C157,'Energieverbruik in TJ Gemeente'!$B$4:$B$347,0),MATCH(L$2,'Energieverbruik in TJ Gemeente'!$B$4:$Q$4,0))</f>
        <v>746</v>
      </c>
      <c r="M157" t="str">
        <f>INDEX('Energieverbruik in TJ Gemeente'!$B$4:$Q$347,MATCH($C157,'Energieverbruik in TJ Gemeente'!$B$4:$B$347,0),MATCH(M$2,'Energieverbruik in TJ Gemeente'!$B$4:$Q$4,0))</f>
        <v>?</v>
      </c>
      <c r="N157">
        <f>INDEX('Energieverbruik in TJ Gemeente'!$B$4:$Q$347,MATCH($C157,'Energieverbruik in TJ Gemeente'!$B$4:$B$347,0),MATCH(N$2,'Energieverbruik in TJ Gemeente'!$B$4:$Q$4,0))</f>
        <v>413</v>
      </c>
      <c r="O157">
        <f>INDEX('Energieverbruik in TJ Gemeente'!$B$4:$Q$347,MATCH($C157,'Energieverbruik in TJ Gemeente'!$B$4:$B$347,0),MATCH(O$2,'Energieverbruik in TJ Gemeente'!$B$4:$Q$4,0))</f>
        <v>464</v>
      </c>
      <c r="P157">
        <f>INDEX('Energieverbruik in TJ Gemeente'!$B$4:$Q$347,MATCH($C157,'Energieverbruik in TJ Gemeente'!$B$4:$B$347,0),MATCH(P$2,'Energieverbruik in TJ Gemeente'!$B$4:$Q$4,0))</f>
        <v>480</v>
      </c>
      <c r="Q157">
        <f>INDEX('Energieverbruik in TJ Gemeente'!$B$4:$Q$347,MATCH($C157,'Energieverbruik in TJ Gemeente'!$B$4:$B$347,0),MATCH(Q$2,'Energieverbruik in TJ Gemeente'!$B$4:$Q$4,0))</f>
        <v>291</v>
      </c>
      <c r="R157">
        <f>INDEX('Energieverbruik in TJ Gemeente'!$B$4:$Q$347,MATCH($C157,'Energieverbruik in TJ Gemeente'!$B$4:$B$347,0),MATCH(R$2,'Energieverbruik in TJ Gemeente'!$B$4:$Q$4,0))</f>
        <v>399</v>
      </c>
      <c r="S157" cm="1">
        <f t="array" ref="S157">MAX(_xlfn._xlws.FILTER(D$1:H$1, D157:H157&lt;&gt;"?"))</f>
        <v>2023</v>
      </c>
      <c r="T157" cm="1">
        <f t="array" ref="T157">MAX(_xlfn._xlws.FILTER(I$1:M$1, I157:M157&lt;&gt;"?"))</f>
        <v>2022</v>
      </c>
      <c r="U157" cm="1">
        <f t="array" ref="U157">MAX(_xlfn._xlws.FILTER(F$1:J$1, F157:J157&lt;&gt;"?"))</f>
        <v>2023</v>
      </c>
      <c r="V157">
        <f t="shared" si="10"/>
        <v>379</v>
      </c>
      <c r="W157">
        <f t="shared" si="11"/>
        <v>746</v>
      </c>
      <c r="X157">
        <f t="shared" si="12"/>
        <v>399</v>
      </c>
      <c r="Y157">
        <f t="shared" si="13"/>
        <v>1524</v>
      </c>
      <c r="Z157">
        <f t="shared" si="14"/>
        <v>2.5327815725183227E-3</v>
      </c>
    </row>
    <row r="158" spans="1:26" ht="32" x14ac:dyDescent="0.2">
      <c r="A158" s="4" t="s">
        <v>477</v>
      </c>
      <c r="B158" s="4" t="s">
        <v>478</v>
      </c>
      <c r="C158" s="4" t="s">
        <v>479</v>
      </c>
      <c r="D158">
        <f>INDEX('Energieverbruik in TJ Gemeente'!$B$4:$Q$347,MATCH($C158,'Energieverbruik in TJ Gemeente'!$B$4:$B$347,0),MATCH(D$2,'Energieverbruik in TJ Gemeente'!$B$4:$Q$4,0))</f>
        <v>2330</v>
      </c>
      <c r="E158">
        <f>INDEX('Energieverbruik in TJ Gemeente'!$B$4:$Q$347,MATCH($C158,'Energieverbruik in TJ Gemeente'!$B$4:$B$347,0),MATCH(E$2,'Energieverbruik in TJ Gemeente'!$B$4:$Q$4,0))</f>
        <v>2293</v>
      </c>
      <c r="F158" t="str">
        <f>INDEX('Energieverbruik in TJ Gemeente'!$B$4:$Q$347,MATCH($C158,'Energieverbruik in TJ Gemeente'!$B$4:$B$347,0),MATCH(F$2,'Energieverbruik in TJ Gemeente'!$B$4:$Q$4,0))</f>
        <v>?</v>
      </c>
      <c r="G158">
        <f>INDEX('Energieverbruik in TJ Gemeente'!$B$4:$Q$347,MATCH($C158,'Energieverbruik in TJ Gemeente'!$B$4:$B$347,0),MATCH(G$2,'Energieverbruik in TJ Gemeente'!$B$4:$Q$4,0))</f>
        <v>2012</v>
      </c>
      <c r="H158">
        <f>INDEX('Energieverbruik in TJ Gemeente'!$B$4:$Q$347,MATCH($C158,'Energieverbruik in TJ Gemeente'!$B$4:$B$347,0),MATCH(H$2,'Energieverbruik in TJ Gemeente'!$B$4:$Q$4,0))</f>
        <v>1685</v>
      </c>
      <c r="I158">
        <f>INDEX('Energieverbruik in TJ Gemeente'!$B$4:$Q$347,MATCH($C158,'Energieverbruik in TJ Gemeente'!$B$4:$B$347,0),MATCH(I$2,'Energieverbruik in TJ Gemeente'!$B$4:$Q$4,0))</f>
        <v>1193</v>
      </c>
      <c r="J158">
        <f>INDEX('Energieverbruik in TJ Gemeente'!$B$4:$Q$347,MATCH($C158,'Energieverbruik in TJ Gemeente'!$B$4:$B$347,0),MATCH(J$2,'Energieverbruik in TJ Gemeente'!$B$4:$Q$4,0))</f>
        <v>1148</v>
      </c>
      <c r="K158">
        <f>INDEX('Energieverbruik in TJ Gemeente'!$B$4:$Q$347,MATCH($C158,'Energieverbruik in TJ Gemeente'!$B$4:$B$347,0),MATCH(K$2,'Energieverbruik in TJ Gemeente'!$B$4:$Q$4,0))</f>
        <v>1121</v>
      </c>
      <c r="L158">
        <f>INDEX('Energieverbruik in TJ Gemeente'!$B$4:$Q$347,MATCH($C158,'Energieverbruik in TJ Gemeente'!$B$4:$B$347,0),MATCH(L$2,'Energieverbruik in TJ Gemeente'!$B$4:$Q$4,0))</f>
        <v>1079</v>
      </c>
      <c r="M158">
        <f>INDEX('Energieverbruik in TJ Gemeente'!$B$4:$Q$347,MATCH($C158,'Energieverbruik in TJ Gemeente'!$B$4:$B$347,0),MATCH(M$2,'Energieverbruik in TJ Gemeente'!$B$4:$Q$4,0))</f>
        <v>1023</v>
      </c>
      <c r="N158">
        <f>INDEX('Energieverbruik in TJ Gemeente'!$B$4:$Q$347,MATCH($C158,'Energieverbruik in TJ Gemeente'!$B$4:$B$347,0),MATCH(N$2,'Energieverbruik in TJ Gemeente'!$B$4:$Q$4,0))</f>
        <v>262</v>
      </c>
      <c r="O158">
        <f>INDEX('Energieverbruik in TJ Gemeente'!$B$4:$Q$347,MATCH($C158,'Energieverbruik in TJ Gemeente'!$B$4:$B$347,0),MATCH(O$2,'Energieverbruik in TJ Gemeente'!$B$4:$Q$4,0))</f>
        <v>236</v>
      </c>
      <c r="P158">
        <f>INDEX('Energieverbruik in TJ Gemeente'!$B$4:$Q$347,MATCH($C158,'Energieverbruik in TJ Gemeente'!$B$4:$B$347,0),MATCH(P$2,'Energieverbruik in TJ Gemeente'!$B$4:$Q$4,0))</f>
        <v>242</v>
      </c>
      <c r="Q158">
        <f>INDEX('Energieverbruik in TJ Gemeente'!$B$4:$Q$347,MATCH($C158,'Energieverbruik in TJ Gemeente'!$B$4:$B$347,0),MATCH(Q$2,'Energieverbruik in TJ Gemeente'!$B$4:$Q$4,0))</f>
        <v>148</v>
      </c>
      <c r="R158">
        <f>INDEX('Energieverbruik in TJ Gemeente'!$B$4:$Q$347,MATCH($C158,'Energieverbruik in TJ Gemeente'!$B$4:$B$347,0),MATCH(R$2,'Energieverbruik in TJ Gemeente'!$B$4:$Q$4,0))</f>
        <v>537</v>
      </c>
      <c r="S158" cm="1">
        <f t="array" ref="S158">MAX(_xlfn._xlws.FILTER(D$1:H$1, D158:H158&lt;&gt;"?"))</f>
        <v>2023</v>
      </c>
      <c r="T158" cm="1">
        <f t="array" ref="T158">MAX(_xlfn._xlws.FILTER(I$1:M$1, I158:M158&lt;&gt;"?"))</f>
        <v>2023</v>
      </c>
      <c r="U158" cm="1">
        <f t="array" ref="U158">MAX(_xlfn._xlws.FILTER(F$1:J$1, F158:J158&lt;&gt;"?"))</f>
        <v>2023</v>
      </c>
      <c r="V158">
        <f t="shared" si="10"/>
        <v>1685</v>
      </c>
      <c r="W158">
        <f t="shared" si="11"/>
        <v>1023</v>
      </c>
      <c r="X158">
        <f t="shared" si="12"/>
        <v>537</v>
      </c>
      <c r="Y158">
        <f t="shared" si="13"/>
        <v>3245</v>
      </c>
      <c r="Z158">
        <f t="shared" si="14"/>
        <v>5.3929633876784499E-3</v>
      </c>
    </row>
    <row r="159" spans="1:26" ht="16" x14ac:dyDescent="0.2">
      <c r="A159" s="4" t="s">
        <v>480</v>
      </c>
      <c r="B159" s="4" t="s">
        <v>481</v>
      </c>
      <c r="C159" s="4" t="s">
        <v>482</v>
      </c>
      <c r="D159" t="str">
        <f>INDEX('Energieverbruik in TJ Gemeente'!$B$4:$Q$347,MATCH($C159,'Energieverbruik in TJ Gemeente'!$B$4:$B$347,0),MATCH(D$2,'Energieverbruik in TJ Gemeente'!$B$4:$Q$4,0))</f>
        <v>?</v>
      </c>
      <c r="E159" t="str">
        <f>INDEX('Energieverbruik in TJ Gemeente'!$B$4:$Q$347,MATCH($C159,'Energieverbruik in TJ Gemeente'!$B$4:$B$347,0),MATCH(E$2,'Energieverbruik in TJ Gemeente'!$B$4:$Q$4,0))</f>
        <v>?</v>
      </c>
      <c r="F159">
        <f>INDEX('Energieverbruik in TJ Gemeente'!$B$4:$Q$347,MATCH($C159,'Energieverbruik in TJ Gemeente'!$B$4:$B$347,0),MATCH(F$2,'Energieverbruik in TJ Gemeente'!$B$4:$Q$4,0))</f>
        <v>940</v>
      </c>
      <c r="G159">
        <f>INDEX('Energieverbruik in TJ Gemeente'!$B$4:$Q$347,MATCH($C159,'Energieverbruik in TJ Gemeente'!$B$4:$B$347,0),MATCH(G$2,'Energieverbruik in TJ Gemeente'!$B$4:$Q$4,0))</f>
        <v>811</v>
      </c>
      <c r="H159">
        <f>INDEX('Energieverbruik in TJ Gemeente'!$B$4:$Q$347,MATCH($C159,'Energieverbruik in TJ Gemeente'!$B$4:$B$347,0),MATCH(H$2,'Energieverbruik in TJ Gemeente'!$B$4:$Q$4,0))</f>
        <v>662</v>
      </c>
      <c r="I159">
        <f>INDEX('Energieverbruik in TJ Gemeente'!$B$4:$Q$347,MATCH($C159,'Energieverbruik in TJ Gemeente'!$B$4:$B$347,0),MATCH(I$2,'Energieverbruik in TJ Gemeente'!$B$4:$Q$4,0))</f>
        <v>125</v>
      </c>
      <c r="J159">
        <f>INDEX('Energieverbruik in TJ Gemeente'!$B$4:$Q$347,MATCH($C159,'Energieverbruik in TJ Gemeente'!$B$4:$B$347,0),MATCH(J$2,'Energieverbruik in TJ Gemeente'!$B$4:$Q$4,0))</f>
        <v>123</v>
      </c>
      <c r="K159">
        <f>INDEX('Energieverbruik in TJ Gemeente'!$B$4:$Q$347,MATCH($C159,'Energieverbruik in TJ Gemeente'!$B$4:$B$347,0),MATCH(K$2,'Energieverbruik in TJ Gemeente'!$B$4:$Q$4,0))</f>
        <v>141</v>
      </c>
      <c r="L159">
        <f>INDEX('Energieverbruik in TJ Gemeente'!$B$4:$Q$347,MATCH($C159,'Energieverbruik in TJ Gemeente'!$B$4:$B$347,0),MATCH(L$2,'Energieverbruik in TJ Gemeente'!$B$4:$Q$4,0))</f>
        <v>123</v>
      </c>
      <c r="M159">
        <f>INDEX('Energieverbruik in TJ Gemeente'!$B$4:$Q$347,MATCH($C159,'Energieverbruik in TJ Gemeente'!$B$4:$B$347,0),MATCH(M$2,'Energieverbruik in TJ Gemeente'!$B$4:$Q$4,0))</f>
        <v>89</v>
      </c>
      <c r="N159">
        <f>INDEX('Energieverbruik in TJ Gemeente'!$B$4:$Q$347,MATCH($C159,'Energieverbruik in TJ Gemeente'!$B$4:$B$347,0),MATCH(N$2,'Energieverbruik in TJ Gemeente'!$B$4:$Q$4,0))</f>
        <v>3</v>
      </c>
      <c r="O159" t="str">
        <f>INDEX('Energieverbruik in TJ Gemeente'!$B$4:$Q$347,MATCH($C159,'Energieverbruik in TJ Gemeente'!$B$4:$B$347,0),MATCH(O$2,'Energieverbruik in TJ Gemeente'!$B$4:$Q$4,0))</f>
        <v>?</v>
      </c>
      <c r="P159">
        <f>INDEX('Energieverbruik in TJ Gemeente'!$B$4:$Q$347,MATCH($C159,'Energieverbruik in TJ Gemeente'!$B$4:$B$347,0),MATCH(P$2,'Energieverbruik in TJ Gemeente'!$B$4:$Q$4,0))</f>
        <v>3</v>
      </c>
      <c r="Q159">
        <f>INDEX('Energieverbruik in TJ Gemeente'!$B$4:$Q$347,MATCH($C159,'Energieverbruik in TJ Gemeente'!$B$4:$B$347,0),MATCH(Q$2,'Energieverbruik in TJ Gemeente'!$B$4:$Q$4,0))</f>
        <v>2</v>
      </c>
      <c r="R159">
        <f>INDEX('Energieverbruik in TJ Gemeente'!$B$4:$Q$347,MATCH($C159,'Energieverbruik in TJ Gemeente'!$B$4:$B$347,0),MATCH(R$2,'Energieverbruik in TJ Gemeente'!$B$4:$Q$4,0))</f>
        <v>2</v>
      </c>
      <c r="S159" cm="1">
        <f t="array" ref="S159">MAX(_xlfn._xlws.FILTER(D$1:H$1, D159:H159&lt;&gt;"?"))</f>
        <v>2023</v>
      </c>
      <c r="T159" cm="1">
        <f t="array" ref="T159">MAX(_xlfn._xlws.FILTER(I$1:M$1, I159:M159&lt;&gt;"?"))</f>
        <v>2023</v>
      </c>
      <c r="U159" cm="1">
        <f t="array" ref="U159">MAX(_xlfn._xlws.FILTER(F$1:J$1, F159:J159&lt;&gt;"?"))</f>
        <v>2023</v>
      </c>
      <c r="V159">
        <f t="shared" si="10"/>
        <v>662</v>
      </c>
      <c r="W159">
        <f t="shared" si="11"/>
        <v>89</v>
      </c>
      <c r="X159">
        <f t="shared" si="12"/>
        <v>2</v>
      </c>
      <c r="Y159">
        <f t="shared" si="13"/>
        <v>753</v>
      </c>
      <c r="Z159">
        <f t="shared" si="14"/>
        <v>1.2514334147679114E-3</v>
      </c>
    </row>
    <row r="160" spans="1:26" ht="16" x14ac:dyDescent="0.2">
      <c r="A160" s="4" t="s">
        <v>483</v>
      </c>
      <c r="B160" s="4" t="s">
        <v>484</v>
      </c>
      <c r="C160" s="4" t="s">
        <v>485</v>
      </c>
      <c r="D160" t="str">
        <f>INDEX('Energieverbruik in TJ Gemeente'!$B$4:$Q$347,MATCH($C160,'Energieverbruik in TJ Gemeente'!$B$4:$B$347,0),MATCH(D$2,'Energieverbruik in TJ Gemeente'!$B$4:$Q$4,0))</f>
        <v>?</v>
      </c>
      <c r="E160" t="str">
        <f>INDEX('Energieverbruik in TJ Gemeente'!$B$4:$Q$347,MATCH($C160,'Energieverbruik in TJ Gemeente'!$B$4:$B$347,0),MATCH(E$2,'Energieverbruik in TJ Gemeente'!$B$4:$Q$4,0))</f>
        <v>?</v>
      </c>
      <c r="F160" t="str">
        <f>INDEX('Energieverbruik in TJ Gemeente'!$B$4:$Q$347,MATCH($C160,'Energieverbruik in TJ Gemeente'!$B$4:$B$347,0),MATCH(F$2,'Energieverbruik in TJ Gemeente'!$B$4:$Q$4,0))</f>
        <v>?</v>
      </c>
      <c r="G160" t="str">
        <f>INDEX('Energieverbruik in TJ Gemeente'!$B$4:$Q$347,MATCH($C160,'Energieverbruik in TJ Gemeente'!$B$4:$B$347,0),MATCH(G$2,'Energieverbruik in TJ Gemeente'!$B$4:$Q$4,0))</f>
        <v>?</v>
      </c>
      <c r="H160" t="str">
        <f>INDEX('Energieverbruik in TJ Gemeente'!$B$4:$Q$347,MATCH($C160,'Energieverbruik in TJ Gemeente'!$B$4:$B$347,0),MATCH(H$2,'Energieverbruik in TJ Gemeente'!$B$4:$Q$4,0))</f>
        <v>?</v>
      </c>
      <c r="I160" t="str">
        <f>INDEX('Energieverbruik in TJ Gemeente'!$B$4:$Q$347,MATCH($C160,'Energieverbruik in TJ Gemeente'!$B$4:$B$347,0),MATCH(I$2,'Energieverbruik in TJ Gemeente'!$B$4:$Q$4,0))</f>
        <v>?</v>
      </c>
      <c r="J160" t="str">
        <f>INDEX('Energieverbruik in TJ Gemeente'!$B$4:$Q$347,MATCH($C160,'Energieverbruik in TJ Gemeente'!$B$4:$B$347,0),MATCH(J$2,'Energieverbruik in TJ Gemeente'!$B$4:$Q$4,0))</f>
        <v>?</v>
      </c>
      <c r="K160" t="str">
        <f>INDEX('Energieverbruik in TJ Gemeente'!$B$4:$Q$347,MATCH($C160,'Energieverbruik in TJ Gemeente'!$B$4:$B$347,0),MATCH(K$2,'Energieverbruik in TJ Gemeente'!$B$4:$Q$4,0))</f>
        <v>?</v>
      </c>
      <c r="L160" t="str">
        <f>INDEX('Energieverbruik in TJ Gemeente'!$B$4:$Q$347,MATCH($C160,'Energieverbruik in TJ Gemeente'!$B$4:$B$347,0),MATCH(L$2,'Energieverbruik in TJ Gemeente'!$B$4:$Q$4,0))</f>
        <v>?</v>
      </c>
      <c r="M160" t="str">
        <f>INDEX('Energieverbruik in TJ Gemeente'!$B$4:$Q$347,MATCH($C160,'Energieverbruik in TJ Gemeente'!$B$4:$B$347,0),MATCH(M$2,'Energieverbruik in TJ Gemeente'!$B$4:$Q$4,0))</f>
        <v>?</v>
      </c>
      <c r="N160">
        <f>INDEX('Energieverbruik in TJ Gemeente'!$B$4:$Q$347,MATCH($C160,'Energieverbruik in TJ Gemeente'!$B$4:$B$347,0),MATCH(N$2,'Energieverbruik in TJ Gemeente'!$B$4:$Q$4,0))</f>
        <v>3</v>
      </c>
      <c r="O160">
        <f>INDEX('Energieverbruik in TJ Gemeente'!$B$4:$Q$347,MATCH($C160,'Energieverbruik in TJ Gemeente'!$B$4:$B$347,0),MATCH(O$2,'Energieverbruik in TJ Gemeente'!$B$4:$Q$4,0))</f>
        <v>3</v>
      </c>
      <c r="P160">
        <f>INDEX('Energieverbruik in TJ Gemeente'!$B$4:$Q$347,MATCH($C160,'Energieverbruik in TJ Gemeente'!$B$4:$B$347,0),MATCH(P$2,'Energieverbruik in TJ Gemeente'!$B$4:$Q$4,0))</f>
        <v>3</v>
      </c>
      <c r="Q160">
        <f>INDEX('Energieverbruik in TJ Gemeente'!$B$4:$Q$347,MATCH($C160,'Energieverbruik in TJ Gemeente'!$B$4:$B$347,0),MATCH(Q$2,'Energieverbruik in TJ Gemeente'!$B$4:$Q$4,0))</f>
        <v>2</v>
      </c>
      <c r="R160">
        <f>INDEX('Energieverbruik in TJ Gemeente'!$B$4:$Q$347,MATCH($C160,'Energieverbruik in TJ Gemeente'!$B$4:$B$347,0),MATCH(R$2,'Energieverbruik in TJ Gemeente'!$B$4:$Q$4,0))</f>
        <v>2</v>
      </c>
      <c r="S160" t="e" cm="1" vm="1">
        <f t="array" ref="S160">MAX(_xlfn._xlws.FILTER(D$1:H$1, D160:H160&lt;&gt;"?"))</f>
        <v>#VALUE!</v>
      </c>
      <c r="T160" t="e" cm="1" vm="1">
        <f t="array" ref="T160">MAX(_xlfn._xlws.FILTER(I$1:M$1, I160:M160&lt;&gt;"?"))</f>
        <v>#VALUE!</v>
      </c>
      <c r="U160" t="e" cm="1" vm="1">
        <f t="array" ref="U160">MAX(_xlfn._xlws.FILTER(F$1:J$1, F160:J160&lt;&gt;"?"))</f>
        <v>#VALUE!</v>
      </c>
      <c r="V160">
        <f t="shared" si="10"/>
        <v>0</v>
      </c>
      <c r="W160">
        <f t="shared" si="11"/>
        <v>0</v>
      </c>
      <c r="X160">
        <f t="shared" si="12"/>
        <v>0</v>
      </c>
      <c r="Y160">
        <f t="shared" si="13"/>
        <v>0</v>
      </c>
      <c r="Z160">
        <f t="shared" si="14"/>
        <v>0</v>
      </c>
    </row>
    <row r="161" spans="1:26" ht="32" x14ac:dyDescent="0.2">
      <c r="A161" s="4" t="s">
        <v>486</v>
      </c>
      <c r="B161" s="4" t="s">
        <v>487</v>
      </c>
      <c r="C161" s="4" t="s">
        <v>488</v>
      </c>
      <c r="D161">
        <f>INDEX('Energieverbruik in TJ Gemeente'!$B$4:$Q$347,MATCH($C161,'Energieverbruik in TJ Gemeente'!$B$4:$B$347,0),MATCH(D$2,'Energieverbruik in TJ Gemeente'!$B$4:$Q$4,0))</f>
        <v>1244</v>
      </c>
      <c r="E161">
        <f>INDEX('Energieverbruik in TJ Gemeente'!$B$4:$Q$347,MATCH($C161,'Energieverbruik in TJ Gemeente'!$B$4:$B$347,0),MATCH(E$2,'Energieverbruik in TJ Gemeente'!$B$4:$Q$4,0))</f>
        <v>1183</v>
      </c>
      <c r="F161">
        <f>INDEX('Energieverbruik in TJ Gemeente'!$B$4:$Q$347,MATCH($C161,'Energieverbruik in TJ Gemeente'!$B$4:$B$347,0),MATCH(F$2,'Energieverbruik in TJ Gemeente'!$B$4:$Q$4,0))</f>
        <v>1223</v>
      </c>
      <c r="G161" t="str">
        <f>INDEX('Energieverbruik in TJ Gemeente'!$B$4:$Q$347,MATCH($C161,'Energieverbruik in TJ Gemeente'!$B$4:$B$347,0),MATCH(G$2,'Energieverbruik in TJ Gemeente'!$B$4:$Q$4,0))</f>
        <v>?</v>
      </c>
      <c r="H161" t="str">
        <f>INDEX('Energieverbruik in TJ Gemeente'!$B$4:$Q$347,MATCH($C161,'Energieverbruik in TJ Gemeente'!$B$4:$B$347,0),MATCH(H$2,'Energieverbruik in TJ Gemeente'!$B$4:$Q$4,0))</f>
        <v>?</v>
      </c>
      <c r="I161" t="str">
        <f>INDEX('Energieverbruik in TJ Gemeente'!$B$4:$Q$347,MATCH($C161,'Energieverbruik in TJ Gemeente'!$B$4:$B$347,0),MATCH(I$2,'Energieverbruik in TJ Gemeente'!$B$4:$Q$4,0))</f>
        <v>?</v>
      </c>
      <c r="J161" t="str">
        <f>INDEX('Energieverbruik in TJ Gemeente'!$B$4:$Q$347,MATCH($C161,'Energieverbruik in TJ Gemeente'!$B$4:$B$347,0),MATCH(J$2,'Energieverbruik in TJ Gemeente'!$B$4:$Q$4,0))</f>
        <v>?</v>
      </c>
      <c r="K161" t="str">
        <f>INDEX('Energieverbruik in TJ Gemeente'!$B$4:$Q$347,MATCH($C161,'Energieverbruik in TJ Gemeente'!$B$4:$B$347,0),MATCH(K$2,'Energieverbruik in TJ Gemeente'!$B$4:$Q$4,0))</f>
        <v>?</v>
      </c>
      <c r="L161" t="str">
        <f>INDEX('Energieverbruik in TJ Gemeente'!$B$4:$Q$347,MATCH($C161,'Energieverbruik in TJ Gemeente'!$B$4:$B$347,0),MATCH(L$2,'Energieverbruik in TJ Gemeente'!$B$4:$Q$4,0))</f>
        <v>?</v>
      </c>
      <c r="M161" t="str">
        <f>INDEX('Energieverbruik in TJ Gemeente'!$B$4:$Q$347,MATCH($C161,'Energieverbruik in TJ Gemeente'!$B$4:$B$347,0),MATCH(M$2,'Energieverbruik in TJ Gemeente'!$B$4:$Q$4,0))</f>
        <v>?</v>
      </c>
      <c r="N161">
        <f>INDEX('Energieverbruik in TJ Gemeente'!$B$4:$Q$347,MATCH($C161,'Energieverbruik in TJ Gemeente'!$B$4:$B$347,0),MATCH(N$2,'Energieverbruik in TJ Gemeente'!$B$4:$Q$4,0))</f>
        <v>8165</v>
      </c>
      <c r="O161">
        <f>INDEX('Energieverbruik in TJ Gemeente'!$B$4:$Q$347,MATCH($C161,'Energieverbruik in TJ Gemeente'!$B$4:$B$347,0),MATCH(O$2,'Energieverbruik in TJ Gemeente'!$B$4:$Q$4,0))</f>
        <v>8092</v>
      </c>
      <c r="P161">
        <f>INDEX('Energieverbruik in TJ Gemeente'!$B$4:$Q$347,MATCH($C161,'Energieverbruik in TJ Gemeente'!$B$4:$B$347,0),MATCH(P$2,'Energieverbruik in TJ Gemeente'!$B$4:$Q$4,0))</f>
        <v>8444</v>
      </c>
      <c r="Q161">
        <f>INDEX('Energieverbruik in TJ Gemeente'!$B$4:$Q$347,MATCH($C161,'Energieverbruik in TJ Gemeente'!$B$4:$B$347,0),MATCH(Q$2,'Energieverbruik in TJ Gemeente'!$B$4:$Q$4,0))</f>
        <v>5995</v>
      </c>
      <c r="R161">
        <f>INDEX('Energieverbruik in TJ Gemeente'!$B$4:$Q$347,MATCH($C161,'Energieverbruik in TJ Gemeente'!$B$4:$B$347,0),MATCH(R$2,'Energieverbruik in TJ Gemeente'!$B$4:$Q$4,0))</f>
        <v>6576</v>
      </c>
      <c r="S161" cm="1">
        <f t="array" ref="S161">MAX(_xlfn._xlws.FILTER(D$1:H$1, D161:H161&lt;&gt;"?"))</f>
        <v>2021</v>
      </c>
      <c r="T161" t="e" cm="1" vm="1">
        <f t="array" ref="T161">MAX(_xlfn._xlws.FILTER(I$1:M$1, I161:M161&lt;&gt;"?"))</f>
        <v>#VALUE!</v>
      </c>
      <c r="U161" cm="1">
        <f t="array" ref="U161">MAX(_xlfn._xlws.FILTER(F$1:J$1, F161:J161&lt;&gt;"?"))</f>
        <v>2021</v>
      </c>
      <c r="V161">
        <f t="shared" si="10"/>
        <v>1223</v>
      </c>
      <c r="W161">
        <f t="shared" si="11"/>
        <v>0</v>
      </c>
      <c r="X161">
        <f t="shared" si="12"/>
        <v>8444</v>
      </c>
      <c r="Y161">
        <f t="shared" si="13"/>
        <v>9667</v>
      </c>
      <c r="Z161">
        <f t="shared" si="14"/>
        <v>1.6065878911768128E-2</v>
      </c>
    </row>
    <row r="162" spans="1:26" ht="16" x14ac:dyDescent="0.2">
      <c r="A162" s="4" t="s">
        <v>489</v>
      </c>
      <c r="B162" s="4" t="s">
        <v>490</v>
      </c>
      <c r="C162" s="4" t="s">
        <v>491</v>
      </c>
      <c r="D162">
        <f>INDEX('Energieverbruik in TJ Gemeente'!$B$4:$Q$347,MATCH($C162,'Energieverbruik in TJ Gemeente'!$B$4:$B$347,0),MATCH(D$2,'Energieverbruik in TJ Gemeente'!$B$4:$Q$4,0))</f>
        <v>482</v>
      </c>
      <c r="E162">
        <f>INDEX('Energieverbruik in TJ Gemeente'!$B$4:$Q$347,MATCH($C162,'Energieverbruik in TJ Gemeente'!$B$4:$B$347,0),MATCH(E$2,'Energieverbruik in TJ Gemeente'!$B$4:$Q$4,0))</f>
        <v>448</v>
      </c>
      <c r="F162">
        <f>INDEX('Energieverbruik in TJ Gemeente'!$B$4:$Q$347,MATCH($C162,'Energieverbruik in TJ Gemeente'!$B$4:$B$347,0),MATCH(F$2,'Energieverbruik in TJ Gemeente'!$B$4:$Q$4,0))</f>
        <v>469</v>
      </c>
      <c r="G162">
        <f>INDEX('Energieverbruik in TJ Gemeente'!$B$4:$Q$347,MATCH($C162,'Energieverbruik in TJ Gemeente'!$B$4:$B$347,0),MATCH(G$2,'Energieverbruik in TJ Gemeente'!$B$4:$Q$4,0))</f>
        <v>407</v>
      </c>
      <c r="H162">
        <f>INDEX('Energieverbruik in TJ Gemeente'!$B$4:$Q$347,MATCH($C162,'Energieverbruik in TJ Gemeente'!$B$4:$B$347,0),MATCH(H$2,'Energieverbruik in TJ Gemeente'!$B$4:$Q$4,0))</f>
        <v>348</v>
      </c>
      <c r="I162">
        <f>INDEX('Energieverbruik in TJ Gemeente'!$B$4:$Q$347,MATCH($C162,'Energieverbruik in TJ Gemeente'!$B$4:$B$347,0),MATCH(I$2,'Energieverbruik in TJ Gemeente'!$B$4:$Q$4,0))</f>
        <v>7</v>
      </c>
      <c r="J162">
        <f>INDEX('Energieverbruik in TJ Gemeente'!$B$4:$Q$347,MATCH($C162,'Energieverbruik in TJ Gemeente'!$B$4:$B$347,0),MATCH(J$2,'Energieverbruik in TJ Gemeente'!$B$4:$Q$4,0))</f>
        <v>6</v>
      </c>
      <c r="K162">
        <f>INDEX('Energieverbruik in TJ Gemeente'!$B$4:$Q$347,MATCH($C162,'Energieverbruik in TJ Gemeente'!$B$4:$B$347,0),MATCH(K$2,'Energieverbruik in TJ Gemeente'!$B$4:$Q$4,0))</f>
        <v>6</v>
      </c>
      <c r="L162">
        <f>INDEX('Energieverbruik in TJ Gemeente'!$B$4:$Q$347,MATCH($C162,'Energieverbruik in TJ Gemeente'!$B$4:$B$347,0),MATCH(L$2,'Energieverbruik in TJ Gemeente'!$B$4:$Q$4,0))</f>
        <v>5</v>
      </c>
      <c r="M162">
        <f>INDEX('Energieverbruik in TJ Gemeente'!$B$4:$Q$347,MATCH($C162,'Energieverbruik in TJ Gemeente'!$B$4:$B$347,0),MATCH(M$2,'Energieverbruik in TJ Gemeente'!$B$4:$Q$4,0))</f>
        <v>3</v>
      </c>
      <c r="N162">
        <f>INDEX('Energieverbruik in TJ Gemeente'!$B$4:$Q$347,MATCH($C162,'Energieverbruik in TJ Gemeente'!$B$4:$B$347,0),MATCH(N$2,'Energieverbruik in TJ Gemeente'!$B$4:$Q$4,0))</f>
        <v>2</v>
      </c>
      <c r="O162" t="str">
        <f>INDEX('Energieverbruik in TJ Gemeente'!$B$4:$Q$347,MATCH($C162,'Energieverbruik in TJ Gemeente'!$B$4:$B$347,0),MATCH(O$2,'Energieverbruik in TJ Gemeente'!$B$4:$Q$4,0))</f>
        <v>?</v>
      </c>
      <c r="P162" t="str">
        <f>INDEX('Energieverbruik in TJ Gemeente'!$B$4:$Q$347,MATCH($C162,'Energieverbruik in TJ Gemeente'!$B$4:$B$347,0),MATCH(P$2,'Energieverbruik in TJ Gemeente'!$B$4:$Q$4,0))</f>
        <v>?</v>
      </c>
      <c r="Q162" t="str">
        <f>INDEX('Energieverbruik in TJ Gemeente'!$B$4:$Q$347,MATCH($C162,'Energieverbruik in TJ Gemeente'!$B$4:$B$347,0),MATCH(Q$2,'Energieverbruik in TJ Gemeente'!$B$4:$Q$4,0))</f>
        <v>?</v>
      </c>
      <c r="R162">
        <f>INDEX('Energieverbruik in TJ Gemeente'!$B$4:$Q$347,MATCH($C162,'Energieverbruik in TJ Gemeente'!$B$4:$B$347,0),MATCH(R$2,'Energieverbruik in TJ Gemeente'!$B$4:$Q$4,0))</f>
        <v>1</v>
      </c>
      <c r="S162" cm="1">
        <f t="array" ref="S162">MAX(_xlfn._xlws.FILTER(D$1:H$1, D162:H162&lt;&gt;"?"))</f>
        <v>2023</v>
      </c>
      <c r="T162" cm="1">
        <f t="array" ref="T162">MAX(_xlfn._xlws.FILTER(I$1:M$1, I162:M162&lt;&gt;"?"))</f>
        <v>2023</v>
      </c>
      <c r="U162" cm="1">
        <f t="array" ref="U162">MAX(_xlfn._xlws.FILTER(F$1:J$1, F162:J162&lt;&gt;"?"))</f>
        <v>2023</v>
      </c>
      <c r="V162">
        <f t="shared" si="10"/>
        <v>348</v>
      </c>
      <c r="W162">
        <f t="shared" si="11"/>
        <v>3</v>
      </c>
      <c r="X162">
        <f t="shared" si="12"/>
        <v>1</v>
      </c>
      <c r="Y162">
        <f t="shared" si="13"/>
        <v>352</v>
      </c>
      <c r="Z162">
        <f t="shared" si="14"/>
        <v>5.8499941832444204E-4</v>
      </c>
    </row>
    <row r="163" spans="1:26" ht="16" x14ac:dyDescent="0.2">
      <c r="A163" s="4" t="s">
        <v>492</v>
      </c>
      <c r="B163" s="4" t="s">
        <v>493</v>
      </c>
      <c r="C163" s="4" t="s">
        <v>494</v>
      </c>
      <c r="D163">
        <f>INDEX('Energieverbruik in TJ Gemeente'!$B$4:$Q$347,MATCH($C163,'Energieverbruik in TJ Gemeente'!$B$4:$B$347,0),MATCH(D$2,'Energieverbruik in TJ Gemeente'!$B$4:$Q$4,0))</f>
        <v>3415</v>
      </c>
      <c r="E163">
        <f>INDEX('Energieverbruik in TJ Gemeente'!$B$4:$Q$347,MATCH($C163,'Energieverbruik in TJ Gemeente'!$B$4:$B$347,0),MATCH(E$2,'Energieverbruik in TJ Gemeente'!$B$4:$Q$4,0))</f>
        <v>3401</v>
      </c>
      <c r="F163">
        <f>INDEX('Energieverbruik in TJ Gemeente'!$B$4:$Q$347,MATCH($C163,'Energieverbruik in TJ Gemeente'!$B$4:$B$347,0),MATCH(F$2,'Energieverbruik in TJ Gemeente'!$B$4:$Q$4,0))</f>
        <v>3430</v>
      </c>
      <c r="G163">
        <f>INDEX('Energieverbruik in TJ Gemeente'!$B$4:$Q$347,MATCH($C163,'Energieverbruik in TJ Gemeente'!$B$4:$B$347,0),MATCH(G$2,'Energieverbruik in TJ Gemeente'!$B$4:$Q$4,0))</f>
        <v>2960</v>
      </c>
      <c r="H163">
        <f>INDEX('Energieverbruik in TJ Gemeente'!$B$4:$Q$347,MATCH($C163,'Energieverbruik in TJ Gemeente'!$B$4:$B$347,0),MATCH(H$2,'Energieverbruik in TJ Gemeente'!$B$4:$Q$4,0))</f>
        <v>2508</v>
      </c>
      <c r="I163">
        <f>INDEX('Energieverbruik in TJ Gemeente'!$B$4:$Q$347,MATCH($C163,'Energieverbruik in TJ Gemeente'!$B$4:$B$347,0),MATCH(I$2,'Energieverbruik in TJ Gemeente'!$B$4:$Q$4,0))</f>
        <v>1376</v>
      </c>
      <c r="J163">
        <f>INDEX('Energieverbruik in TJ Gemeente'!$B$4:$Q$347,MATCH($C163,'Energieverbruik in TJ Gemeente'!$B$4:$B$347,0),MATCH(J$2,'Energieverbruik in TJ Gemeente'!$B$4:$Q$4,0))</f>
        <v>1606</v>
      </c>
      <c r="K163">
        <f>INDEX('Energieverbruik in TJ Gemeente'!$B$4:$Q$347,MATCH($C163,'Energieverbruik in TJ Gemeente'!$B$4:$B$347,0),MATCH(K$2,'Energieverbruik in TJ Gemeente'!$B$4:$Q$4,0))</f>
        <v>1559</v>
      </c>
      <c r="L163">
        <f>INDEX('Energieverbruik in TJ Gemeente'!$B$4:$Q$347,MATCH($C163,'Energieverbruik in TJ Gemeente'!$B$4:$B$347,0),MATCH(L$2,'Energieverbruik in TJ Gemeente'!$B$4:$Q$4,0))</f>
        <v>1347</v>
      </c>
      <c r="M163">
        <f>INDEX('Energieverbruik in TJ Gemeente'!$B$4:$Q$347,MATCH($C163,'Energieverbruik in TJ Gemeente'!$B$4:$B$347,0),MATCH(M$2,'Energieverbruik in TJ Gemeente'!$B$4:$Q$4,0))</f>
        <v>1231</v>
      </c>
      <c r="N163">
        <f>INDEX('Energieverbruik in TJ Gemeente'!$B$4:$Q$347,MATCH($C163,'Energieverbruik in TJ Gemeente'!$B$4:$B$347,0),MATCH(N$2,'Energieverbruik in TJ Gemeente'!$B$4:$Q$4,0))</f>
        <v>29</v>
      </c>
      <c r="O163" t="str">
        <f>INDEX('Energieverbruik in TJ Gemeente'!$B$4:$Q$347,MATCH($C163,'Energieverbruik in TJ Gemeente'!$B$4:$B$347,0),MATCH(O$2,'Energieverbruik in TJ Gemeente'!$B$4:$Q$4,0))</f>
        <v>?</v>
      </c>
      <c r="P163">
        <f>INDEX('Energieverbruik in TJ Gemeente'!$B$4:$Q$347,MATCH($C163,'Energieverbruik in TJ Gemeente'!$B$4:$B$347,0),MATCH(P$2,'Energieverbruik in TJ Gemeente'!$B$4:$Q$4,0))</f>
        <v>18</v>
      </c>
      <c r="Q163">
        <f>INDEX('Energieverbruik in TJ Gemeente'!$B$4:$Q$347,MATCH($C163,'Energieverbruik in TJ Gemeente'!$B$4:$B$347,0),MATCH(Q$2,'Energieverbruik in TJ Gemeente'!$B$4:$Q$4,0))</f>
        <v>16</v>
      </c>
      <c r="R163">
        <f>INDEX('Energieverbruik in TJ Gemeente'!$B$4:$Q$347,MATCH($C163,'Energieverbruik in TJ Gemeente'!$B$4:$B$347,0),MATCH(R$2,'Energieverbruik in TJ Gemeente'!$B$4:$Q$4,0))</f>
        <v>96</v>
      </c>
      <c r="S163" cm="1">
        <f t="array" ref="S163">MAX(_xlfn._xlws.FILTER(D$1:H$1, D163:H163&lt;&gt;"?"))</f>
        <v>2023</v>
      </c>
      <c r="T163" cm="1">
        <f t="array" ref="T163">MAX(_xlfn._xlws.FILTER(I$1:M$1, I163:M163&lt;&gt;"?"))</f>
        <v>2023</v>
      </c>
      <c r="U163" cm="1">
        <f t="array" ref="U163">MAX(_xlfn._xlws.FILTER(F$1:J$1, F163:J163&lt;&gt;"?"))</f>
        <v>2023</v>
      </c>
      <c r="V163">
        <f t="shared" si="10"/>
        <v>2508</v>
      </c>
      <c r="W163">
        <f t="shared" si="11"/>
        <v>1231</v>
      </c>
      <c r="X163">
        <f t="shared" si="12"/>
        <v>96</v>
      </c>
      <c r="Y163">
        <f t="shared" si="13"/>
        <v>3835</v>
      </c>
      <c r="Z163">
        <f t="shared" si="14"/>
        <v>6.3735021854381679E-3</v>
      </c>
    </row>
    <row r="164" spans="1:26" ht="16" x14ac:dyDescent="0.2">
      <c r="A164" s="4" t="s">
        <v>495</v>
      </c>
      <c r="B164" s="4" t="s">
        <v>496</v>
      </c>
      <c r="C164" s="4" t="s">
        <v>497</v>
      </c>
      <c r="D164">
        <f>INDEX('Energieverbruik in TJ Gemeente'!$B$4:$Q$347,MATCH($C164,'Energieverbruik in TJ Gemeente'!$B$4:$B$347,0),MATCH(D$2,'Energieverbruik in TJ Gemeente'!$B$4:$Q$4,0))</f>
        <v>2471</v>
      </c>
      <c r="E164" t="str">
        <f>INDEX('Energieverbruik in TJ Gemeente'!$B$4:$Q$347,MATCH($C164,'Energieverbruik in TJ Gemeente'!$B$4:$B$347,0),MATCH(E$2,'Energieverbruik in TJ Gemeente'!$B$4:$Q$4,0))</f>
        <v>?</v>
      </c>
      <c r="F164">
        <f>INDEX('Energieverbruik in TJ Gemeente'!$B$4:$Q$347,MATCH($C164,'Energieverbruik in TJ Gemeente'!$B$4:$B$347,0),MATCH(F$2,'Energieverbruik in TJ Gemeente'!$B$4:$Q$4,0))</f>
        <v>2443</v>
      </c>
      <c r="G164">
        <f>INDEX('Energieverbruik in TJ Gemeente'!$B$4:$Q$347,MATCH($C164,'Energieverbruik in TJ Gemeente'!$B$4:$B$347,0),MATCH(G$2,'Energieverbruik in TJ Gemeente'!$B$4:$Q$4,0))</f>
        <v>2146</v>
      </c>
      <c r="H164" t="str">
        <f>INDEX('Energieverbruik in TJ Gemeente'!$B$4:$Q$347,MATCH($C164,'Energieverbruik in TJ Gemeente'!$B$4:$B$347,0),MATCH(H$2,'Energieverbruik in TJ Gemeente'!$B$4:$Q$4,0))</f>
        <v>?</v>
      </c>
      <c r="I164">
        <f>INDEX('Energieverbruik in TJ Gemeente'!$B$4:$Q$347,MATCH($C164,'Energieverbruik in TJ Gemeente'!$B$4:$B$347,0),MATCH(I$2,'Energieverbruik in TJ Gemeente'!$B$4:$Q$4,0))</f>
        <v>175</v>
      </c>
      <c r="J164" t="str">
        <f>INDEX('Energieverbruik in TJ Gemeente'!$B$4:$Q$347,MATCH($C164,'Energieverbruik in TJ Gemeente'!$B$4:$B$347,0),MATCH(J$2,'Energieverbruik in TJ Gemeente'!$B$4:$Q$4,0))</f>
        <v>?</v>
      </c>
      <c r="K164">
        <f>INDEX('Energieverbruik in TJ Gemeente'!$B$4:$Q$347,MATCH($C164,'Energieverbruik in TJ Gemeente'!$B$4:$B$347,0),MATCH(K$2,'Energieverbruik in TJ Gemeente'!$B$4:$Q$4,0))</f>
        <v>182</v>
      </c>
      <c r="L164">
        <f>INDEX('Energieverbruik in TJ Gemeente'!$B$4:$Q$347,MATCH($C164,'Energieverbruik in TJ Gemeente'!$B$4:$B$347,0),MATCH(L$2,'Energieverbruik in TJ Gemeente'!$B$4:$Q$4,0))</f>
        <v>144</v>
      </c>
      <c r="M164" t="str">
        <f>INDEX('Energieverbruik in TJ Gemeente'!$B$4:$Q$347,MATCH($C164,'Energieverbruik in TJ Gemeente'!$B$4:$B$347,0),MATCH(M$2,'Energieverbruik in TJ Gemeente'!$B$4:$Q$4,0))</f>
        <v>?</v>
      </c>
      <c r="N164">
        <f>INDEX('Energieverbruik in TJ Gemeente'!$B$4:$Q$347,MATCH($C164,'Energieverbruik in TJ Gemeente'!$B$4:$B$347,0),MATCH(N$2,'Energieverbruik in TJ Gemeente'!$B$4:$Q$4,0))</f>
        <v>3</v>
      </c>
      <c r="O164">
        <f>INDEX('Energieverbruik in TJ Gemeente'!$B$4:$Q$347,MATCH($C164,'Energieverbruik in TJ Gemeente'!$B$4:$B$347,0),MATCH(O$2,'Energieverbruik in TJ Gemeente'!$B$4:$Q$4,0))</f>
        <v>2</v>
      </c>
      <c r="P164">
        <f>INDEX('Energieverbruik in TJ Gemeente'!$B$4:$Q$347,MATCH($C164,'Energieverbruik in TJ Gemeente'!$B$4:$B$347,0),MATCH(P$2,'Energieverbruik in TJ Gemeente'!$B$4:$Q$4,0))</f>
        <v>2</v>
      </c>
      <c r="Q164">
        <f>INDEX('Energieverbruik in TJ Gemeente'!$B$4:$Q$347,MATCH($C164,'Energieverbruik in TJ Gemeente'!$B$4:$B$347,0),MATCH(Q$2,'Energieverbruik in TJ Gemeente'!$B$4:$Q$4,0))</f>
        <v>2</v>
      </c>
      <c r="R164">
        <f>INDEX('Energieverbruik in TJ Gemeente'!$B$4:$Q$347,MATCH($C164,'Energieverbruik in TJ Gemeente'!$B$4:$B$347,0),MATCH(R$2,'Energieverbruik in TJ Gemeente'!$B$4:$Q$4,0))</f>
        <v>2</v>
      </c>
      <c r="S164" cm="1">
        <f t="array" ref="S164">MAX(_xlfn._xlws.FILTER(D$1:H$1, D164:H164&lt;&gt;"?"))</f>
        <v>2022</v>
      </c>
      <c r="T164" cm="1">
        <f t="array" ref="T164">MAX(_xlfn._xlws.FILTER(I$1:M$1, I164:M164&lt;&gt;"?"))</f>
        <v>2022</v>
      </c>
      <c r="U164" cm="1">
        <f t="array" ref="U164">MAX(_xlfn._xlws.FILTER(F$1:J$1, F164:J164&lt;&gt;"?"))</f>
        <v>2022</v>
      </c>
      <c r="V164">
        <f t="shared" si="10"/>
        <v>2146</v>
      </c>
      <c r="W164">
        <f t="shared" si="11"/>
        <v>144</v>
      </c>
      <c r="X164">
        <f t="shared" si="12"/>
        <v>2</v>
      </c>
      <c r="Y164">
        <f t="shared" si="13"/>
        <v>2292</v>
      </c>
      <c r="Z164">
        <f t="shared" si="14"/>
        <v>3.8091439397716508E-3</v>
      </c>
    </row>
    <row r="165" spans="1:26" ht="16" x14ac:dyDescent="0.2">
      <c r="A165" s="4" t="s">
        <v>498</v>
      </c>
      <c r="B165" s="4" t="s">
        <v>499</v>
      </c>
      <c r="C165" s="4" t="s">
        <v>500</v>
      </c>
      <c r="D165">
        <f>INDEX('Energieverbruik in TJ Gemeente'!$B$4:$Q$347,MATCH($C165,'Energieverbruik in TJ Gemeente'!$B$4:$B$347,0),MATCH(D$2,'Energieverbruik in TJ Gemeente'!$B$4:$Q$4,0))</f>
        <v>587</v>
      </c>
      <c r="E165" t="str">
        <f>INDEX('Energieverbruik in TJ Gemeente'!$B$4:$Q$347,MATCH($C165,'Energieverbruik in TJ Gemeente'!$B$4:$B$347,0),MATCH(E$2,'Energieverbruik in TJ Gemeente'!$B$4:$Q$4,0))</f>
        <v>?</v>
      </c>
      <c r="F165">
        <f>INDEX('Energieverbruik in TJ Gemeente'!$B$4:$Q$347,MATCH($C165,'Energieverbruik in TJ Gemeente'!$B$4:$B$347,0),MATCH(F$2,'Energieverbruik in TJ Gemeente'!$B$4:$Q$4,0))</f>
        <v>568</v>
      </c>
      <c r="G165">
        <f>INDEX('Energieverbruik in TJ Gemeente'!$B$4:$Q$347,MATCH($C165,'Energieverbruik in TJ Gemeente'!$B$4:$B$347,0),MATCH(G$2,'Energieverbruik in TJ Gemeente'!$B$4:$Q$4,0))</f>
        <v>505</v>
      </c>
      <c r="H165">
        <f>INDEX('Energieverbruik in TJ Gemeente'!$B$4:$Q$347,MATCH($C165,'Energieverbruik in TJ Gemeente'!$B$4:$B$347,0),MATCH(H$2,'Energieverbruik in TJ Gemeente'!$B$4:$Q$4,0))</f>
        <v>432</v>
      </c>
      <c r="I165">
        <f>INDEX('Energieverbruik in TJ Gemeente'!$B$4:$Q$347,MATCH($C165,'Energieverbruik in TJ Gemeente'!$B$4:$B$347,0),MATCH(I$2,'Energieverbruik in TJ Gemeente'!$B$4:$Q$4,0))</f>
        <v>7</v>
      </c>
      <c r="J165">
        <f>INDEX('Energieverbruik in TJ Gemeente'!$B$4:$Q$347,MATCH($C165,'Energieverbruik in TJ Gemeente'!$B$4:$B$347,0),MATCH(J$2,'Energieverbruik in TJ Gemeente'!$B$4:$Q$4,0))</f>
        <v>5</v>
      </c>
      <c r="K165">
        <f>INDEX('Energieverbruik in TJ Gemeente'!$B$4:$Q$347,MATCH($C165,'Energieverbruik in TJ Gemeente'!$B$4:$B$347,0),MATCH(K$2,'Energieverbruik in TJ Gemeente'!$B$4:$Q$4,0))</f>
        <v>5</v>
      </c>
      <c r="L165">
        <f>INDEX('Energieverbruik in TJ Gemeente'!$B$4:$Q$347,MATCH($C165,'Energieverbruik in TJ Gemeente'!$B$4:$B$347,0),MATCH(L$2,'Energieverbruik in TJ Gemeente'!$B$4:$Q$4,0))</f>
        <v>4</v>
      </c>
      <c r="M165" t="str">
        <f>INDEX('Energieverbruik in TJ Gemeente'!$B$4:$Q$347,MATCH($C165,'Energieverbruik in TJ Gemeente'!$B$4:$B$347,0),MATCH(M$2,'Energieverbruik in TJ Gemeente'!$B$4:$Q$4,0))</f>
        <v>?</v>
      </c>
      <c r="N165">
        <f>INDEX('Energieverbruik in TJ Gemeente'!$B$4:$Q$347,MATCH($C165,'Energieverbruik in TJ Gemeente'!$B$4:$B$347,0),MATCH(N$2,'Energieverbruik in TJ Gemeente'!$B$4:$Q$4,0))</f>
        <v>1</v>
      </c>
      <c r="O165">
        <f>INDEX('Energieverbruik in TJ Gemeente'!$B$4:$Q$347,MATCH($C165,'Energieverbruik in TJ Gemeente'!$B$4:$B$347,0),MATCH(O$2,'Energieverbruik in TJ Gemeente'!$B$4:$Q$4,0))</f>
        <v>0</v>
      </c>
      <c r="P165" t="str">
        <f>INDEX('Energieverbruik in TJ Gemeente'!$B$4:$Q$347,MATCH($C165,'Energieverbruik in TJ Gemeente'!$B$4:$B$347,0),MATCH(P$2,'Energieverbruik in TJ Gemeente'!$B$4:$Q$4,0))</f>
        <v>?</v>
      </c>
      <c r="Q165" t="str">
        <f>INDEX('Energieverbruik in TJ Gemeente'!$B$4:$Q$347,MATCH($C165,'Energieverbruik in TJ Gemeente'!$B$4:$B$347,0),MATCH(Q$2,'Energieverbruik in TJ Gemeente'!$B$4:$Q$4,0))</f>
        <v>?</v>
      </c>
      <c r="R165">
        <f>INDEX('Energieverbruik in TJ Gemeente'!$B$4:$Q$347,MATCH($C165,'Energieverbruik in TJ Gemeente'!$B$4:$B$347,0),MATCH(R$2,'Energieverbruik in TJ Gemeente'!$B$4:$Q$4,0))</f>
        <v>0</v>
      </c>
      <c r="S165" cm="1">
        <f t="array" ref="S165">MAX(_xlfn._xlws.FILTER(D$1:H$1, D165:H165&lt;&gt;"?"))</f>
        <v>2023</v>
      </c>
      <c r="T165" cm="1">
        <f t="array" ref="T165">MAX(_xlfn._xlws.FILTER(I$1:M$1, I165:M165&lt;&gt;"?"))</f>
        <v>2022</v>
      </c>
      <c r="U165" cm="1">
        <f t="array" ref="U165">MAX(_xlfn._xlws.FILTER(F$1:J$1, F165:J165&lt;&gt;"?"))</f>
        <v>2023</v>
      </c>
      <c r="V165">
        <f t="shared" si="10"/>
        <v>432</v>
      </c>
      <c r="W165">
        <f t="shared" si="11"/>
        <v>4</v>
      </c>
      <c r="X165">
        <f t="shared" si="12"/>
        <v>0</v>
      </c>
      <c r="Y165">
        <f t="shared" si="13"/>
        <v>436</v>
      </c>
      <c r="Z165">
        <f t="shared" si="14"/>
        <v>7.2460155224277479E-4</v>
      </c>
    </row>
    <row r="166" spans="1:26" ht="32" x14ac:dyDescent="0.2">
      <c r="A166" s="4" t="s">
        <v>501</v>
      </c>
      <c r="B166" s="4" t="s">
        <v>502</v>
      </c>
      <c r="C166" s="4" t="s">
        <v>503</v>
      </c>
      <c r="D166">
        <f>INDEX('Energieverbruik in TJ Gemeente'!$B$4:$Q$347,MATCH($C166,'Energieverbruik in TJ Gemeente'!$B$4:$B$347,0),MATCH(D$2,'Energieverbruik in TJ Gemeente'!$B$4:$Q$4,0))</f>
        <v>1732</v>
      </c>
      <c r="E166" t="str">
        <f>INDEX('Energieverbruik in TJ Gemeente'!$B$4:$Q$347,MATCH($C166,'Energieverbruik in TJ Gemeente'!$B$4:$B$347,0),MATCH(E$2,'Energieverbruik in TJ Gemeente'!$B$4:$Q$4,0))</f>
        <v>?</v>
      </c>
      <c r="F166">
        <f>INDEX('Energieverbruik in TJ Gemeente'!$B$4:$Q$347,MATCH($C166,'Energieverbruik in TJ Gemeente'!$B$4:$B$347,0),MATCH(F$2,'Energieverbruik in TJ Gemeente'!$B$4:$Q$4,0))</f>
        <v>1679</v>
      </c>
      <c r="G166">
        <f>INDEX('Energieverbruik in TJ Gemeente'!$B$4:$Q$347,MATCH($C166,'Energieverbruik in TJ Gemeente'!$B$4:$B$347,0),MATCH(G$2,'Energieverbruik in TJ Gemeente'!$B$4:$Q$4,0))</f>
        <v>1465</v>
      </c>
      <c r="H166">
        <f>INDEX('Energieverbruik in TJ Gemeente'!$B$4:$Q$347,MATCH($C166,'Energieverbruik in TJ Gemeente'!$B$4:$B$347,0),MATCH(H$2,'Energieverbruik in TJ Gemeente'!$B$4:$Q$4,0))</f>
        <v>1268</v>
      </c>
      <c r="I166">
        <f>INDEX('Energieverbruik in TJ Gemeente'!$B$4:$Q$347,MATCH($C166,'Energieverbruik in TJ Gemeente'!$B$4:$B$347,0),MATCH(I$2,'Energieverbruik in TJ Gemeente'!$B$4:$Q$4,0))</f>
        <v>13</v>
      </c>
      <c r="J166" t="str">
        <f>INDEX('Energieverbruik in TJ Gemeente'!$B$4:$Q$347,MATCH($C166,'Energieverbruik in TJ Gemeente'!$B$4:$B$347,0),MATCH(J$2,'Energieverbruik in TJ Gemeente'!$B$4:$Q$4,0))</f>
        <v>?</v>
      </c>
      <c r="K166">
        <f>INDEX('Energieverbruik in TJ Gemeente'!$B$4:$Q$347,MATCH($C166,'Energieverbruik in TJ Gemeente'!$B$4:$B$347,0),MATCH(K$2,'Energieverbruik in TJ Gemeente'!$B$4:$Q$4,0))</f>
        <v>13</v>
      </c>
      <c r="L166" t="str">
        <f>INDEX('Energieverbruik in TJ Gemeente'!$B$4:$Q$347,MATCH($C166,'Energieverbruik in TJ Gemeente'!$B$4:$B$347,0),MATCH(L$2,'Energieverbruik in TJ Gemeente'!$B$4:$Q$4,0))</f>
        <v>?</v>
      </c>
      <c r="M166" t="str">
        <f>INDEX('Energieverbruik in TJ Gemeente'!$B$4:$Q$347,MATCH($C166,'Energieverbruik in TJ Gemeente'!$B$4:$B$347,0),MATCH(M$2,'Energieverbruik in TJ Gemeente'!$B$4:$Q$4,0))</f>
        <v>?</v>
      </c>
      <c r="N166">
        <f>INDEX('Energieverbruik in TJ Gemeente'!$B$4:$Q$347,MATCH($C166,'Energieverbruik in TJ Gemeente'!$B$4:$B$347,0),MATCH(N$2,'Energieverbruik in TJ Gemeente'!$B$4:$Q$4,0))</f>
        <v>175</v>
      </c>
      <c r="O166">
        <f>INDEX('Energieverbruik in TJ Gemeente'!$B$4:$Q$347,MATCH($C166,'Energieverbruik in TJ Gemeente'!$B$4:$B$347,0),MATCH(O$2,'Energieverbruik in TJ Gemeente'!$B$4:$Q$4,0))</f>
        <v>204</v>
      </c>
      <c r="P166">
        <f>INDEX('Energieverbruik in TJ Gemeente'!$B$4:$Q$347,MATCH($C166,'Energieverbruik in TJ Gemeente'!$B$4:$B$347,0),MATCH(P$2,'Energieverbruik in TJ Gemeente'!$B$4:$Q$4,0))</f>
        <v>176</v>
      </c>
      <c r="Q166">
        <f>INDEX('Energieverbruik in TJ Gemeente'!$B$4:$Q$347,MATCH($C166,'Energieverbruik in TJ Gemeente'!$B$4:$B$347,0),MATCH(Q$2,'Energieverbruik in TJ Gemeente'!$B$4:$Q$4,0))</f>
        <v>64</v>
      </c>
      <c r="R166">
        <f>INDEX('Energieverbruik in TJ Gemeente'!$B$4:$Q$347,MATCH($C166,'Energieverbruik in TJ Gemeente'!$B$4:$B$347,0),MATCH(R$2,'Energieverbruik in TJ Gemeente'!$B$4:$Q$4,0))</f>
        <v>70</v>
      </c>
      <c r="S166" cm="1">
        <f t="array" ref="S166">MAX(_xlfn._xlws.FILTER(D$1:H$1, D166:H166&lt;&gt;"?"))</f>
        <v>2023</v>
      </c>
      <c r="T166" cm="1">
        <f t="array" ref="T166">MAX(_xlfn._xlws.FILTER(I$1:M$1, I166:M166&lt;&gt;"?"))</f>
        <v>2021</v>
      </c>
      <c r="U166" cm="1">
        <f t="array" ref="U166">MAX(_xlfn._xlws.FILTER(F$1:J$1, F166:J166&lt;&gt;"?"))</f>
        <v>2023</v>
      </c>
      <c r="V166">
        <f t="shared" si="10"/>
        <v>1268</v>
      </c>
      <c r="W166">
        <f t="shared" si="11"/>
        <v>13</v>
      </c>
      <c r="X166">
        <f t="shared" si="12"/>
        <v>70</v>
      </c>
      <c r="Y166">
        <f t="shared" si="13"/>
        <v>1351</v>
      </c>
      <c r="Z166">
        <f t="shared" si="14"/>
        <v>2.2452676538531851E-3</v>
      </c>
    </row>
    <row r="167" spans="1:26" ht="16" x14ac:dyDescent="0.2">
      <c r="A167" s="4" t="s">
        <v>504</v>
      </c>
      <c r="B167" s="4" t="s">
        <v>505</v>
      </c>
      <c r="C167" s="4" t="s">
        <v>506</v>
      </c>
      <c r="D167">
        <f>INDEX('Energieverbruik in TJ Gemeente'!$B$4:$Q$347,MATCH($C167,'Energieverbruik in TJ Gemeente'!$B$4:$B$347,0),MATCH(D$2,'Energieverbruik in TJ Gemeente'!$B$4:$Q$4,0))</f>
        <v>1681</v>
      </c>
      <c r="E167">
        <f>INDEX('Energieverbruik in TJ Gemeente'!$B$4:$Q$347,MATCH($C167,'Energieverbruik in TJ Gemeente'!$B$4:$B$347,0),MATCH(E$2,'Energieverbruik in TJ Gemeente'!$B$4:$Q$4,0))</f>
        <v>1520</v>
      </c>
      <c r="F167" t="str">
        <f>INDEX('Energieverbruik in TJ Gemeente'!$B$4:$Q$347,MATCH($C167,'Energieverbruik in TJ Gemeente'!$B$4:$B$347,0),MATCH(F$2,'Energieverbruik in TJ Gemeente'!$B$4:$Q$4,0))</f>
        <v>?</v>
      </c>
      <c r="G167" t="str">
        <f>INDEX('Energieverbruik in TJ Gemeente'!$B$4:$Q$347,MATCH($C167,'Energieverbruik in TJ Gemeente'!$B$4:$B$347,0),MATCH(G$2,'Energieverbruik in TJ Gemeente'!$B$4:$Q$4,0))</f>
        <v>?</v>
      </c>
      <c r="H167" t="str">
        <f>INDEX('Energieverbruik in TJ Gemeente'!$B$4:$Q$347,MATCH($C167,'Energieverbruik in TJ Gemeente'!$B$4:$B$347,0),MATCH(H$2,'Energieverbruik in TJ Gemeente'!$B$4:$Q$4,0))</f>
        <v>?</v>
      </c>
      <c r="I167">
        <f>INDEX('Energieverbruik in TJ Gemeente'!$B$4:$Q$347,MATCH($C167,'Energieverbruik in TJ Gemeente'!$B$4:$B$347,0),MATCH(I$2,'Energieverbruik in TJ Gemeente'!$B$4:$Q$4,0))</f>
        <v>696</v>
      </c>
      <c r="J167">
        <f>INDEX('Energieverbruik in TJ Gemeente'!$B$4:$Q$347,MATCH($C167,'Energieverbruik in TJ Gemeente'!$B$4:$B$347,0),MATCH(J$2,'Energieverbruik in TJ Gemeente'!$B$4:$Q$4,0))</f>
        <v>630</v>
      </c>
      <c r="K167" t="str">
        <f>INDEX('Energieverbruik in TJ Gemeente'!$B$4:$Q$347,MATCH($C167,'Energieverbruik in TJ Gemeente'!$B$4:$B$347,0),MATCH(K$2,'Energieverbruik in TJ Gemeente'!$B$4:$Q$4,0))</f>
        <v>?</v>
      </c>
      <c r="L167" t="str">
        <f>INDEX('Energieverbruik in TJ Gemeente'!$B$4:$Q$347,MATCH($C167,'Energieverbruik in TJ Gemeente'!$B$4:$B$347,0),MATCH(L$2,'Energieverbruik in TJ Gemeente'!$B$4:$Q$4,0))</f>
        <v>?</v>
      </c>
      <c r="M167" t="str">
        <f>INDEX('Energieverbruik in TJ Gemeente'!$B$4:$Q$347,MATCH($C167,'Energieverbruik in TJ Gemeente'!$B$4:$B$347,0),MATCH(M$2,'Energieverbruik in TJ Gemeente'!$B$4:$Q$4,0))</f>
        <v>?</v>
      </c>
      <c r="N167">
        <f>INDEX('Energieverbruik in TJ Gemeente'!$B$4:$Q$347,MATCH($C167,'Energieverbruik in TJ Gemeente'!$B$4:$B$347,0),MATCH(N$2,'Energieverbruik in TJ Gemeente'!$B$4:$Q$4,0))</f>
        <v>11</v>
      </c>
      <c r="O167">
        <f>INDEX('Energieverbruik in TJ Gemeente'!$B$4:$Q$347,MATCH($C167,'Energieverbruik in TJ Gemeente'!$B$4:$B$347,0),MATCH(O$2,'Energieverbruik in TJ Gemeente'!$B$4:$Q$4,0))</f>
        <v>8</v>
      </c>
      <c r="P167">
        <f>INDEX('Energieverbruik in TJ Gemeente'!$B$4:$Q$347,MATCH($C167,'Energieverbruik in TJ Gemeente'!$B$4:$B$347,0),MATCH(P$2,'Energieverbruik in TJ Gemeente'!$B$4:$Q$4,0))</f>
        <v>8</v>
      </c>
      <c r="Q167">
        <f>INDEX('Energieverbruik in TJ Gemeente'!$B$4:$Q$347,MATCH($C167,'Energieverbruik in TJ Gemeente'!$B$4:$B$347,0),MATCH(Q$2,'Energieverbruik in TJ Gemeente'!$B$4:$Q$4,0))</f>
        <v>6</v>
      </c>
      <c r="R167">
        <f>INDEX('Energieverbruik in TJ Gemeente'!$B$4:$Q$347,MATCH($C167,'Energieverbruik in TJ Gemeente'!$B$4:$B$347,0),MATCH(R$2,'Energieverbruik in TJ Gemeente'!$B$4:$Q$4,0))</f>
        <v>5</v>
      </c>
      <c r="S167" cm="1">
        <f t="array" ref="S167">MAX(_xlfn._xlws.FILTER(D$1:H$1, D167:H167&lt;&gt;"?"))</f>
        <v>2020</v>
      </c>
      <c r="T167" cm="1">
        <f t="array" ref="T167">MAX(_xlfn._xlws.FILTER(I$1:M$1, I167:M167&lt;&gt;"?"))</f>
        <v>2020</v>
      </c>
      <c r="U167" cm="1">
        <f t="array" ref="U167">MAX(_xlfn._xlws.FILTER(F$1:J$1, F167:J167&lt;&gt;"?"))</f>
        <v>2020</v>
      </c>
      <c r="V167">
        <f t="shared" si="10"/>
        <v>1520</v>
      </c>
      <c r="W167">
        <f t="shared" si="11"/>
        <v>630</v>
      </c>
      <c r="X167">
        <f t="shared" si="12"/>
        <v>8</v>
      </c>
      <c r="Y167">
        <f t="shared" si="13"/>
        <v>2158</v>
      </c>
      <c r="Z167">
        <f t="shared" si="14"/>
        <v>3.5864452975685962E-3</v>
      </c>
    </row>
    <row r="168" spans="1:26" ht="16" x14ac:dyDescent="0.2">
      <c r="A168" s="4" t="s">
        <v>507</v>
      </c>
      <c r="B168" s="4" t="s">
        <v>508</v>
      </c>
      <c r="C168" s="4" t="s">
        <v>509</v>
      </c>
      <c r="D168">
        <f>INDEX('Energieverbruik in TJ Gemeente'!$B$4:$Q$347,MATCH($C168,'Energieverbruik in TJ Gemeente'!$B$4:$B$347,0),MATCH(D$2,'Energieverbruik in TJ Gemeente'!$B$4:$Q$4,0))</f>
        <v>1064</v>
      </c>
      <c r="E168" t="str">
        <f>INDEX('Energieverbruik in TJ Gemeente'!$B$4:$Q$347,MATCH($C168,'Energieverbruik in TJ Gemeente'!$B$4:$B$347,0),MATCH(E$2,'Energieverbruik in TJ Gemeente'!$B$4:$Q$4,0))</f>
        <v>?</v>
      </c>
      <c r="F168">
        <f>INDEX('Energieverbruik in TJ Gemeente'!$B$4:$Q$347,MATCH($C168,'Energieverbruik in TJ Gemeente'!$B$4:$B$347,0),MATCH(F$2,'Energieverbruik in TJ Gemeente'!$B$4:$Q$4,0))</f>
        <v>1046</v>
      </c>
      <c r="G168">
        <f>INDEX('Energieverbruik in TJ Gemeente'!$B$4:$Q$347,MATCH($C168,'Energieverbruik in TJ Gemeente'!$B$4:$B$347,0),MATCH(G$2,'Energieverbruik in TJ Gemeente'!$B$4:$Q$4,0))</f>
        <v>921</v>
      </c>
      <c r="H168">
        <f>INDEX('Energieverbruik in TJ Gemeente'!$B$4:$Q$347,MATCH($C168,'Energieverbruik in TJ Gemeente'!$B$4:$B$347,0),MATCH(H$2,'Energieverbruik in TJ Gemeente'!$B$4:$Q$4,0))</f>
        <v>750</v>
      </c>
      <c r="I168">
        <f>INDEX('Energieverbruik in TJ Gemeente'!$B$4:$Q$347,MATCH($C168,'Energieverbruik in TJ Gemeente'!$B$4:$B$347,0),MATCH(I$2,'Energieverbruik in TJ Gemeente'!$B$4:$Q$4,0))</f>
        <v>168</v>
      </c>
      <c r="J168">
        <f>INDEX('Energieverbruik in TJ Gemeente'!$B$4:$Q$347,MATCH($C168,'Energieverbruik in TJ Gemeente'!$B$4:$B$347,0),MATCH(J$2,'Energieverbruik in TJ Gemeente'!$B$4:$Q$4,0))</f>
        <v>161</v>
      </c>
      <c r="K168">
        <f>INDEX('Energieverbruik in TJ Gemeente'!$B$4:$Q$347,MATCH($C168,'Energieverbruik in TJ Gemeente'!$B$4:$B$347,0),MATCH(K$2,'Energieverbruik in TJ Gemeente'!$B$4:$Q$4,0))</f>
        <v>166</v>
      </c>
      <c r="L168">
        <f>INDEX('Energieverbruik in TJ Gemeente'!$B$4:$Q$347,MATCH($C168,'Energieverbruik in TJ Gemeente'!$B$4:$B$347,0),MATCH(L$2,'Energieverbruik in TJ Gemeente'!$B$4:$Q$4,0))</f>
        <v>141</v>
      </c>
      <c r="M168">
        <f>INDEX('Energieverbruik in TJ Gemeente'!$B$4:$Q$347,MATCH($C168,'Energieverbruik in TJ Gemeente'!$B$4:$B$347,0),MATCH(M$2,'Energieverbruik in TJ Gemeente'!$B$4:$Q$4,0))</f>
        <v>139</v>
      </c>
      <c r="N168">
        <f>INDEX('Energieverbruik in TJ Gemeente'!$B$4:$Q$347,MATCH($C168,'Energieverbruik in TJ Gemeente'!$B$4:$B$347,0),MATCH(N$2,'Energieverbruik in TJ Gemeente'!$B$4:$Q$4,0))</f>
        <v>222</v>
      </c>
      <c r="O168">
        <f>INDEX('Energieverbruik in TJ Gemeente'!$B$4:$Q$347,MATCH($C168,'Energieverbruik in TJ Gemeente'!$B$4:$B$347,0),MATCH(O$2,'Energieverbruik in TJ Gemeente'!$B$4:$Q$4,0))</f>
        <v>251</v>
      </c>
      <c r="P168">
        <f>INDEX('Energieverbruik in TJ Gemeente'!$B$4:$Q$347,MATCH($C168,'Energieverbruik in TJ Gemeente'!$B$4:$B$347,0),MATCH(P$2,'Energieverbruik in TJ Gemeente'!$B$4:$Q$4,0))</f>
        <v>275</v>
      </c>
      <c r="Q168">
        <f>INDEX('Energieverbruik in TJ Gemeente'!$B$4:$Q$347,MATCH($C168,'Energieverbruik in TJ Gemeente'!$B$4:$B$347,0),MATCH(Q$2,'Energieverbruik in TJ Gemeente'!$B$4:$Q$4,0))</f>
        <v>213</v>
      </c>
      <c r="R168">
        <f>INDEX('Energieverbruik in TJ Gemeente'!$B$4:$Q$347,MATCH($C168,'Energieverbruik in TJ Gemeente'!$B$4:$B$347,0),MATCH(R$2,'Energieverbruik in TJ Gemeente'!$B$4:$Q$4,0))</f>
        <v>196</v>
      </c>
      <c r="S168" cm="1">
        <f t="array" ref="S168">MAX(_xlfn._xlws.FILTER(D$1:H$1, D168:H168&lt;&gt;"?"))</f>
        <v>2023</v>
      </c>
      <c r="T168" cm="1">
        <f t="array" ref="T168">MAX(_xlfn._xlws.FILTER(I$1:M$1, I168:M168&lt;&gt;"?"))</f>
        <v>2023</v>
      </c>
      <c r="U168" cm="1">
        <f t="array" ref="U168">MAX(_xlfn._xlws.FILTER(F$1:J$1, F168:J168&lt;&gt;"?"))</f>
        <v>2023</v>
      </c>
      <c r="V168">
        <f t="shared" si="10"/>
        <v>750</v>
      </c>
      <c r="W168">
        <f t="shared" si="11"/>
        <v>139</v>
      </c>
      <c r="X168">
        <f t="shared" si="12"/>
        <v>196</v>
      </c>
      <c r="Y168">
        <f t="shared" si="13"/>
        <v>1085</v>
      </c>
      <c r="Z168">
        <f t="shared" si="14"/>
        <v>1.8031942297784646E-3</v>
      </c>
    </row>
    <row r="169" spans="1:26" ht="16" x14ac:dyDescent="0.2">
      <c r="A169" s="4" t="s">
        <v>510</v>
      </c>
      <c r="B169" s="4" t="s">
        <v>511</v>
      </c>
      <c r="C169" s="4" t="s">
        <v>512</v>
      </c>
      <c r="D169">
        <f>INDEX('Energieverbruik in TJ Gemeente'!$B$4:$Q$347,MATCH($C169,'Energieverbruik in TJ Gemeente'!$B$4:$B$347,0),MATCH(D$2,'Energieverbruik in TJ Gemeente'!$B$4:$Q$4,0))</f>
        <v>718</v>
      </c>
      <c r="E169">
        <f>INDEX('Energieverbruik in TJ Gemeente'!$B$4:$Q$347,MATCH($C169,'Energieverbruik in TJ Gemeente'!$B$4:$B$347,0),MATCH(E$2,'Energieverbruik in TJ Gemeente'!$B$4:$Q$4,0))</f>
        <v>713</v>
      </c>
      <c r="F169">
        <f>INDEX('Energieverbruik in TJ Gemeente'!$B$4:$Q$347,MATCH($C169,'Energieverbruik in TJ Gemeente'!$B$4:$B$347,0),MATCH(F$2,'Energieverbruik in TJ Gemeente'!$B$4:$Q$4,0))</f>
        <v>720</v>
      </c>
      <c r="G169">
        <f>INDEX('Energieverbruik in TJ Gemeente'!$B$4:$Q$347,MATCH($C169,'Energieverbruik in TJ Gemeente'!$B$4:$B$347,0),MATCH(G$2,'Energieverbruik in TJ Gemeente'!$B$4:$Q$4,0))</f>
        <v>626</v>
      </c>
      <c r="H169">
        <f>INDEX('Energieverbruik in TJ Gemeente'!$B$4:$Q$347,MATCH($C169,'Energieverbruik in TJ Gemeente'!$B$4:$B$347,0),MATCH(H$2,'Energieverbruik in TJ Gemeente'!$B$4:$Q$4,0))</f>
        <v>529</v>
      </c>
      <c r="I169">
        <f>INDEX('Energieverbruik in TJ Gemeente'!$B$4:$Q$347,MATCH($C169,'Energieverbruik in TJ Gemeente'!$B$4:$B$347,0),MATCH(I$2,'Energieverbruik in TJ Gemeente'!$B$4:$Q$4,0))</f>
        <v>17</v>
      </c>
      <c r="J169">
        <f>INDEX('Energieverbruik in TJ Gemeente'!$B$4:$Q$347,MATCH($C169,'Energieverbruik in TJ Gemeente'!$B$4:$B$347,0),MATCH(J$2,'Energieverbruik in TJ Gemeente'!$B$4:$Q$4,0))</f>
        <v>15</v>
      </c>
      <c r="K169">
        <f>INDEX('Energieverbruik in TJ Gemeente'!$B$4:$Q$347,MATCH($C169,'Energieverbruik in TJ Gemeente'!$B$4:$B$347,0),MATCH(K$2,'Energieverbruik in TJ Gemeente'!$B$4:$Q$4,0))</f>
        <v>16</v>
      </c>
      <c r="L169">
        <f>INDEX('Energieverbruik in TJ Gemeente'!$B$4:$Q$347,MATCH($C169,'Energieverbruik in TJ Gemeente'!$B$4:$B$347,0),MATCH(L$2,'Energieverbruik in TJ Gemeente'!$B$4:$Q$4,0))</f>
        <v>14</v>
      </c>
      <c r="M169">
        <f>INDEX('Energieverbruik in TJ Gemeente'!$B$4:$Q$347,MATCH($C169,'Energieverbruik in TJ Gemeente'!$B$4:$B$347,0),MATCH(M$2,'Energieverbruik in TJ Gemeente'!$B$4:$Q$4,0))</f>
        <v>15</v>
      </c>
      <c r="N169">
        <f>INDEX('Energieverbruik in TJ Gemeente'!$B$4:$Q$347,MATCH($C169,'Energieverbruik in TJ Gemeente'!$B$4:$B$347,0),MATCH(N$2,'Energieverbruik in TJ Gemeente'!$B$4:$Q$4,0))</f>
        <v>9</v>
      </c>
      <c r="O169">
        <f>INDEX('Energieverbruik in TJ Gemeente'!$B$4:$Q$347,MATCH($C169,'Energieverbruik in TJ Gemeente'!$B$4:$B$347,0),MATCH(O$2,'Energieverbruik in TJ Gemeente'!$B$4:$Q$4,0))</f>
        <v>8</v>
      </c>
      <c r="P169">
        <f>INDEX('Energieverbruik in TJ Gemeente'!$B$4:$Q$347,MATCH($C169,'Energieverbruik in TJ Gemeente'!$B$4:$B$347,0),MATCH(P$2,'Energieverbruik in TJ Gemeente'!$B$4:$Q$4,0))</f>
        <v>9</v>
      </c>
      <c r="Q169">
        <f>INDEX('Energieverbruik in TJ Gemeente'!$B$4:$Q$347,MATCH($C169,'Energieverbruik in TJ Gemeente'!$B$4:$B$347,0),MATCH(Q$2,'Energieverbruik in TJ Gemeente'!$B$4:$Q$4,0))</f>
        <v>7</v>
      </c>
      <c r="R169">
        <f>INDEX('Energieverbruik in TJ Gemeente'!$B$4:$Q$347,MATCH($C169,'Energieverbruik in TJ Gemeente'!$B$4:$B$347,0),MATCH(R$2,'Energieverbruik in TJ Gemeente'!$B$4:$Q$4,0))</f>
        <v>5</v>
      </c>
      <c r="S169" cm="1">
        <f t="array" ref="S169">MAX(_xlfn._xlws.FILTER(D$1:H$1, D169:H169&lt;&gt;"?"))</f>
        <v>2023</v>
      </c>
      <c r="T169" cm="1">
        <f t="array" ref="T169">MAX(_xlfn._xlws.FILTER(I$1:M$1, I169:M169&lt;&gt;"?"))</f>
        <v>2023</v>
      </c>
      <c r="U169" cm="1">
        <f t="array" ref="U169">MAX(_xlfn._xlws.FILTER(F$1:J$1, F169:J169&lt;&gt;"?"))</f>
        <v>2023</v>
      </c>
      <c r="V169">
        <f t="shared" si="10"/>
        <v>529</v>
      </c>
      <c r="W169">
        <f t="shared" si="11"/>
        <v>15</v>
      </c>
      <c r="X169">
        <f t="shared" si="12"/>
        <v>5</v>
      </c>
      <c r="Y169">
        <f t="shared" si="13"/>
        <v>549</v>
      </c>
      <c r="Z169">
        <f t="shared" si="14"/>
        <v>9.1239966096624619E-4</v>
      </c>
    </row>
    <row r="170" spans="1:26" ht="16" x14ac:dyDescent="0.2">
      <c r="A170" s="4" t="s">
        <v>513</v>
      </c>
      <c r="B170" s="4" t="s">
        <v>514</v>
      </c>
      <c r="C170" s="4" t="s">
        <v>515</v>
      </c>
      <c r="D170">
        <f>INDEX('Energieverbruik in TJ Gemeente'!$B$4:$Q$347,MATCH($C170,'Energieverbruik in TJ Gemeente'!$B$4:$B$347,0),MATCH(D$2,'Energieverbruik in TJ Gemeente'!$B$4:$Q$4,0))</f>
        <v>1121</v>
      </c>
      <c r="E170">
        <f>INDEX('Energieverbruik in TJ Gemeente'!$B$4:$Q$347,MATCH($C170,'Energieverbruik in TJ Gemeente'!$B$4:$B$347,0),MATCH(E$2,'Energieverbruik in TJ Gemeente'!$B$4:$Q$4,0))</f>
        <v>1066</v>
      </c>
      <c r="F170">
        <f>INDEX('Energieverbruik in TJ Gemeente'!$B$4:$Q$347,MATCH($C170,'Energieverbruik in TJ Gemeente'!$B$4:$B$347,0),MATCH(F$2,'Energieverbruik in TJ Gemeente'!$B$4:$Q$4,0))</f>
        <v>1079</v>
      </c>
      <c r="G170">
        <f>INDEX('Energieverbruik in TJ Gemeente'!$B$4:$Q$347,MATCH($C170,'Energieverbruik in TJ Gemeente'!$B$4:$B$347,0),MATCH(G$2,'Energieverbruik in TJ Gemeente'!$B$4:$Q$4,0))</f>
        <v>949</v>
      </c>
      <c r="H170" t="str">
        <f>INDEX('Energieverbruik in TJ Gemeente'!$B$4:$Q$347,MATCH($C170,'Energieverbruik in TJ Gemeente'!$B$4:$B$347,0),MATCH(H$2,'Energieverbruik in TJ Gemeente'!$B$4:$Q$4,0))</f>
        <v>?</v>
      </c>
      <c r="I170">
        <f>INDEX('Energieverbruik in TJ Gemeente'!$B$4:$Q$347,MATCH($C170,'Energieverbruik in TJ Gemeente'!$B$4:$B$347,0),MATCH(I$2,'Energieverbruik in TJ Gemeente'!$B$4:$Q$4,0))</f>
        <v>672</v>
      </c>
      <c r="J170">
        <f>INDEX('Energieverbruik in TJ Gemeente'!$B$4:$Q$347,MATCH($C170,'Energieverbruik in TJ Gemeente'!$B$4:$B$347,0),MATCH(J$2,'Energieverbruik in TJ Gemeente'!$B$4:$Q$4,0))</f>
        <v>676</v>
      </c>
      <c r="K170">
        <f>INDEX('Energieverbruik in TJ Gemeente'!$B$4:$Q$347,MATCH($C170,'Energieverbruik in TJ Gemeente'!$B$4:$B$347,0),MATCH(K$2,'Energieverbruik in TJ Gemeente'!$B$4:$Q$4,0))</f>
        <v>724</v>
      </c>
      <c r="L170">
        <f>INDEX('Energieverbruik in TJ Gemeente'!$B$4:$Q$347,MATCH($C170,'Energieverbruik in TJ Gemeente'!$B$4:$B$347,0),MATCH(L$2,'Energieverbruik in TJ Gemeente'!$B$4:$Q$4,0))</f>
        <v>684</v>
      </c>
      <c r="M170">
        <f>INDEX('Energieverbruik in TJ Gemeente'!$B$4:$Q$347,MATCH($C170,'Energieverbruik in TJ Gemeente'!$B$4:$B$347,0),MATCH(M$2,'Energieverbruik in TJ Gemeente'!$B$4:$Q$4,0))</f>
        <v>592</v>
      </c>
      <c r="N170">
        <f>INDEX('Energieverbruik in TJ Gemeente'!$B$4:$Q$347,MATCH($C170,'Energieverbruik in TJ Gemeente'!$B$4:$B$347,0),MATCH(N$2,'Energieverbruik in TJ Gemeente'!$B$4:$Q$4,0))</f>
        <v>1147</v>
      </c>
      <c r="O170">
        <f>INDEX('Energieverbruik in TJ Gemeente'!$B$4:$Q$347,MATCH($C170,'Energieverbruik in TJ Gemeente'!$B$4:$B$347,0),MATCH(O$2,'Energieverbruik in TJ Gemeente'!$B$4:$Q$4,0))</f>
        <v>1013</v>
      </c>
      <c r="P170">
        <f>INDEX('Energieverbruik in TJ Gemeente'!$B$4:$Q$347,MATCH($C170,'Energieverbruik in TJ Gemeente'!$B$4:$B$347,0),MATCH(P$2,'Energieverbruik in TJ Gemeente'!$B$4:$Q$4,0))</f>
        <v>934</v>
      </c>
      <c r="Q170" t="str">
        <f>INDEX('Energieverbruik in TJ Gemeente'!$B$4:$Q$347,MATCH($C170,'Energieverbruik in TJ Gemeente'!$B$4:$B$347,0),MATCH(Q$2,'Energieverbruik in TJ Gemeente'!$B$4:$Q$4,0))</f>
        <v>?</v>
      </c>
      <c r="R170">
        <f>INDEX('Energieverbruik in TJ Gemeente'!$B$4:$Q$347,MATCH($C170,'Energieverbruik in TJ Gemeente'!$B$4:$B$347,0),MATCH(R$2,'Energieverbruik in TJ Gemeente'!$B$4:$Q$4,0))</f>
        <v>614</v>
      </c>
      <c r="S170" cm="1">
        <f t="array" ref="S170">MAX(_xlfn._xlws.FILTER(D$1:H$1, D170:H170&lt;&gt;"?"))</f>
        <v>2022</v>
      </c>
      <c r="T170" cm="1">
        <f t="array" ref="T170">MAX(_xlfn._xlws.FILTER(I$1:M$1, I170:M170&lt;&gt;"?"))</f>
        <v>2023</v>
      </c>
      <c r="U170" cm="1">
        <f t="array" ref="U170">MAX(_xlfn._xlws.FILTER(F$1:J$1, F170:J170&lt;&gt;"?"))</f>
        <v>2022</v>
      </c>
      <c r="V170">
        <f t="shared" si="10"/>
        <v>949</v>
      </c>
      <c r="W170">
        <f t="shared" si="11"/>
        <v>592</v>
      </c>
      <c r="X170" t="str">
        <f t="shared" si="12"/>
        <v>?</v>
      </c>
      <c r="Y170">
        <f t="shared" si="13"/>
        <v>1541</v>
      </c>
      <c r="Z170">
        <f t="shared" si="14"/>
        <v>2.5610343853351282E-3</v>
      </c>
    </row>
    <row r="171" spans="1:26" ht="16" x14ac:dyDescent="0.2">
      <c r="A171" s="4" t="s">
        <v>516</v>
      </c>
      <c r="B171" s="4" t="s">
        <v>517</v>
      </c>
      <c r="C171" s="4" t="s">
        <v>518</v>
      </c>
      <c r="D171">
        <f>INDEX('Energieverbruik in TJ Gemeente'!$B$4:$Q$347,MATCH($C171,'Energieverbruik in TJ Gemeente'!$B$4:$B$347,0),MATCH(D$2,'Energieverbruik in TJ Gemeente'!$B$4:$Q$4,0))</f>
        <v>522</v>
      </c>
      <c r="E171">
        <f>INDEX('Energieverbruik in TJ Gemeente'!$B$4:$Q$347,MATCH($C171,'Energieverbruik in TJ Gemeente'!$B$4:$B$347,0),MATCH(E$2,'Energieverbruik in TJ Gemeente'!$B$4:$Q$4,0))</f>
        <v>510</v>
      </c>
      <c r="F171">
        <f>INDEX('Energieverbruik in TJ Gemeente'!$B$4:$Q$347,MATCH($C171,'Energieverbruik in TJ Gemeente'!$B$4:$B$347,0),MATCH(F$2,'Energieverbruik in TJ Gemeente'!$B$4:$Q$4,0))</f>
        <v>515</v>
      </c>
      <c r="G171">
        <f>INDEX('Energieverbruik in TJ Gemeente'!$B$4:$Q$347,MATCH($C171,'Energieverbruik in TJ Gemeente'!$B$4:$B$347,0),MATCH(G$2,'Energieverbruik in TJ Gemeente'!$B$4:$Q$4,0))</f>
        <v>435</v>
      </c>
      <c r="H171">
        <f>INDEX('Energieverbruik in TJ Gemeente'!$B$4:$Q$347,MATCH($C171,'Energieverbruik in TJ Gemeente'!$B$4:$B$347,0),MATCH(H$2,'Energieverbruik in TJ Gemeente'!$B$4:$Q$4,0))</f>
        <v>371</v>
      </c>
      <c r="I171">
        <f>INDEX('Energieverbruik in TJ Gemeente'!$B$4:$Q$347,MATCH($C171,'Energieverbruik in TJ Gemeente'!$B$4:$B$347,0),MATCH(I$2,'Energieverbruik in TJ Gemeente'!$B$4:$Q$4,0))</f>
        <v>29</v>
      </c>
      <c r="J171">
        <f>INDEX('Energieverbruik in TJ Gemeente'!$B$4:$Q$347,MATCH($C171,'Energieverbruik in TJ Gemeente'!$B$4:$B$347,0),MATCH(J$2,'Energieverbruik in TJ Gemeente'!$B$4:$Q$4,0))</f>
        <v>29</v>
      </c>
      <c r="K171">
        <f>INDEX('Energieverbruik in TJ Gemeente'!$B$4:$Q$347,MATCH($C171,'Energieverbruik in TJ Gemeente'!$B$4:$B$347,0),MATCH(K$2,'Energieverbruik in TJ Gemeente'!$B$4:$Q$4,0))</f>
        <v>31</v>
      </c>
      <c r="L171">
        <f>INDEX('Energieverbruik in TJ Gemeente'!$B$4:$Q$347,MATCH($C171,'Energieverbruik in TJ Gemeente'!$B$4:$B$347,0),MATCH(L$2,'Energieverbruik in TJ Gemeente'!$B$4:$Q$4,0))</f>
        <v>29</v>
      </c>
      <c r="M171">
        <f>INDEX('Energieverbruik in TJ Gemeente'!$B$4:$Q$347,MATCH($C171,'Energieverbruik in TJ Gemeente'!$B$4:$B$347,0),MATCH(M$2,'Energieverbruik in TJ Gemeente'!$B$4:$Q$4,0))</f>
        <v>26</v>
      </c>
      <c r="N171">
        <f>INDEX('Energieverbruik in TJ Gemeente'!$B$4:$Q$347,MATCH($C171,'Energieverbruik in TJ Gemeente'!$B$4:$B$347,0),MATCH(N$2,'Energieverbruik in TJ Gemeente'!$B$4:$Q$4,0))</f>
        <v>43</v>
      </c>
      <c r="O171">
        <f>INDEX('Energieverbruik in TJ Gemeente'!$B$4:$Q$347,MATCH($C171,'Energieverbruik in TJ Gemeente'!$B$4:$B$347,0),MATCH(O$2,'Energieverbruik in TJ Gemeente'!$B$4:$Q$4,0))</f>
        <v>43</v>
      </c>
      <c r="P171">
        <f>INDEX('Energieverbruik in TJ Gemeente'!$B$4:$Q$347,MATCH($C171,'Energieverbruik in TJ Gemeente'!$B$4:$B$347,0),MATCH(P$2,'Energieverbruik in TJ Gemeente'!$B$4:$Q$4,0))</f>
        <v>49</v>
      </c>
      <c r="Q171">
        <f>INDEX('Energieverbruik in TJ Gemeente'!$B$4:$Q$347,MATCH($C171,'Energieverbruik in TJ Gemeente'!$B$4:$B$347,0),MATCH(Q$2,'Energieverbruik in TJ Gemeente'!$B$4:$Q$4,0))</f>
        <v>38</v>
      </c>
      <c r="R171">
        <f>INDEX('Energieverbruik in TJ Gemeente'!$B$4:$Q$347,MATCH($C171,'Energieverbruik in TJ Gemeente'!$B$4:$B$347,0),MATCH(R$2,'Energieverbruik in TJ Gemeente'!$B$4:$Q$4,0))</f>
        <v>30</v>
      </c>
      <c r="S171" cm="1">
        <f t="array" ref="S171">MAX(_xlfn._xlws.FILTER(D$1:H$1, D171:H171&lt;&gt;"?"))</f>
        <v>2023</v>
      </c>
      <c r="T171" cm="1">
        <f t="array" ref="T171">MAX(_xlfn._xlws.FILTER(I$1:M$1, I171:M171&lt;&gt;"?"))</f>
        <v>2023</v>
      </c>
      <c r="U171" cm="1">
        <f t="array" ref="U171">MAX(_xlfn._xlws.FILTER(F$1:J$1, F171:J171&lt;&gt;"?"))</f>
        <v>2023</v>
      </c>
      <c r="V171">
        <f t="shared" si="10"/>
        <v>371</v>
      </c>
      <c r="W171">
        <f t="shared" si="11"/>
        <v>26</v>
      </c>
      <c r="X171">
        <f t="shared" si="12"/>
        <v>30</v>
      </c>
      <c r="Y171">
        <f t="shared" si="13"/>
        <v>427</v>
      </c>
      <c r="Z171">
        <f t="shared" si="14"/>
        <v>7.096441807515248E-4</v>
      </c>
    </row>
    <row r="172" spans="1:26" ht="16" x14ac:dyDescent="0.2">
      <c r="A172" s="4" t="s">
        <v>519</v>
      </c>
      <c r="B172" s="4" t="s">
        <v>520</v>
      </c>
      <c r="C172" s="4" t="s">
        <v>521</v>
      </c>
      <c r="D172">
        <f>INDEX('Energieverbruik in TJ Gemeente'!$B$4:$Q$347,MATCH($C172,'Energieverbruik in TJ Gemeente'!$B$4:$B$347,0),MATCH(D$2,'Energieverbruik in TJ Gemeente'!$B$4:$Q$4,0))</f>
        <v>1039</v>
      </c>
      <c r="E172">
        <f>INDEX('Energieverbruik in TJ Gemeente'!$B$4:$Q$347,MATCH($C172,'Energieverbruik in TJ Gemeente'!$B$4:$B$347,0),MATCH(E$2,'Energieverbruik in TJ Gemeente'!$B$4:$Q$4,0))</f>
        <v>992</v>
      </c>
      <c r="F172">
        <f>INDEX('Energieverbruik in TJ Gemeente'!$B$4:$Q$347,MATCH($C172,'Energieverbruik in TJ Gemeente'!$B$4:$B$347,0),MATCH(F$2,'Energieverbruik in TJ Gemeente'!$B$4:$Q$4,0))</f>
        <v>1005</v>
      </c>
      <c r="G172">
        <f>INDEX('Energieverbruik in TJ Gemeente'!$B$4:$Q$347,MATCH($C172,'Energieverbruik in TJ Gemeente'!$B$4:$B$347,0),MATCH(G$2,'Energieverbruik in TJ Gemeente'!$B$4:$Q$4,0))</f>
        <v>888</v>
      </c>
      <c r="H172">
        <f>INDEX('Energieverbruik in TJ Gemeente'!$B$4:$Q$347,MATCH($C172,'Energieverbruik in TJ Gemeente'!$B$4:$B$347,0),MATCH(H$2,'Energieverbruik in TJ Gemeente'!$B$4:$Q$4,0))</f>
        <v>727</v>
      </c>
      <c r="I172">
        <f>INDEX('Energieverbruik in TJ Gemeente'!$B$4:$Q$347,MATCH($C172,'Energieverbruik in TJ Gemeente'!$B$4:$B$347,0),MATCH(I$2,'Energieverbruik in TJ Gemeente'!$B$4:$Q$4,0))</f>
        <v>649</v>
      </c>
      <c r="J172">
        <f>INDEX('Energieverbruik in TJ Gemeente'!$B$4:$Q$347,MATCH($C172,'Energieverbruik in TJ Gemeente'!$B$4:$B$347,0),MATCH(J$2,'Energieverbruik in TJ Gemeente'!$B$4:$Q$4,0))</f>
        <v>655</v>
      </c>
      <c r="K172">
        <f>INDEX('Energieverbruik in TJ Gemeente'!$B$4:$Q$347,MATCH($C172,'Energieverbruik in TJ Gemeente'!$B$4:$B$347,0),MATCH(K$2,'Energieverbruik in TJ Gemeente'!$B$4:$Q$4,0))</f>
        <v>624</v>
      </c>
      <c r="L172">
        <f>INDEX('Energieverbruik in TJ Gemeente'!$B$4:$Q$347,MATCH($C172,'Energieverbruik in TJ Gemeente'!$B$4:$B$347,0),MATCH(L$2,'Energieverbruik in TJ Gemeente'!$B$4:$Q$4,0))</f>
        <v>648</v>
      </c>
      <c r="M172">
        <f>INDEX('Energieverbruik in TJ Gemeente'!$B$4:$Q$347,MATCH($C172,'Energieverbruik in TJ Gemeente'!$B$4:$B$347,0),MATCH(M$2,'Energieverbruik in TJ Gemeente'!$B$4:$Q$4,0))</f>
        <v>502</v>
      </c>
      <c r="N172">
        <f>INDEX('Energieverbruik in TJ Gemeente'!$B$4:$Q$347,MATCH($C172,'Energieverbruik in TJ Gemeente'!$B$4:$B$347,0),MATCH(N$2,'Energieverbruik in TJ Gemeente'!$B$4:$Q$4,0))</f>
        <v>74</v>
      </c>
      <c r="O172">
        <f>INDEX('Energieverbruik in TJ Gemeente'!$B$4:$Q$347,MATCH($C172,'Energieverbruik in TJ Gemeente'!$B$4:$B$347,0),MATCH(O$2,'Energieverbruik in TJ Gemeente'!$B$4:$Q$4,0))</f>
        <v>37</v>
      </c>
      <c r="P172">
        <f>INDEX('Energieverbruik in TJ Gemeente'!$B$4:$Q$347,MATCH($C172,'Energieverbruik in TJ Gemeente'!$B$4:$B$347,0),MATCH(P$2,'Energieverbruik in TJ Gemeente'!$B$4:$Q$4,0))</f>
        <v>40</v>
      </c>
      <c r="Q172">
        <f>INDEX('Energieverbruik in TJ Gemeente'!$B$4:$Q$347,MATCH($C172,'Energieverbruik in TJ Gemeente'!$B$4:$B$347,0),MATCH(Q$2,'Energieverbruik in TJ Gemeente'!$B$4:$Q$4,0))</f>
        <v>33</v>
      </c>
      <c r="R172">
        <f>INDEX('Energieverbruik in TJ Gemeente'!$B$4:$Q$347,MATCH($C172,'Energieverbruik in TJ Gemeente'!$B$4:$B$347,0),MATCH(R$2,'Energieverbruik in TJ Gemeente'!$B$4:$Q$4,0))</f>
        <v>28</v>
      </c>
      <c r="S172" cm="1">
        <f t="array" ref="S172">MAX(_xlfn._xlws.FILTER(D$1:H$1, D172:H172&lt;&gt;"?"))</f>
        <v>2023</v>
      </c>
      <c r="T172" cm="1">
        <f t="array" ref="T172">MAX(_xlfn._xlws.FILTER(I$1:M$1, I172:M172&lt;&gt;"?"))</f>
        <v>2023</v>
      </c>
      <c r="U172" cm="1">
        <f t="array" ref="U172">MAX(_xlfn._xlws.FILTER(F$1:J$1, F172:J172&lt;&gt;"?"))</f>
        <v>2023</v>
      </c>
      <c r="V172">
        <f t="shared" si="10"/>
        <v>727</v>
      </c>
      <c r="W172">
        <f t="shared" si="11"/>
        <v>502</v>
      </c>
      <c r="X172">
        <f t="shared" si="12"/>
        <v>28</v>
      </c>
      <c r="Y172">
        <f t="shared" si="13"/>
        <v>1257</v>
      </c>
      <c r="Z172">
        <f t="shared" si="14"/>
        <v>2.0890462182779081E-3</v>
      </c>
    </row>
    <row r="173" spans="1:26" ht="32" x14ac:dyDescent="0.2">
      <c r="A173" s="4" t="s">
        <v>522</v>
      </c>
      <c r="B173" s="4" t="s">
        <v>523</v>
      </c>
      <c r="C173" s="4" t="s">
        <v>524</v>
      </c>
      <c r="D173">
        <f>INDEX('Energieverbruik in TJ Gemeente'!$B$4:$Q$347,MATCH($C173,'Energieverbruik in TJ Gemeente'!$B$4:$B$347,0),MATCH(D$2,'Energieverbruik in TJ Gemeente'!$B$4:$Q$4,0))</f>
        <v>614</v>
      </c>
      <c r="E173">
        <f>INDEX('Energieverbruik in TJ Gemeente'!$B$4:$Q$347,MATCH($C173,'Energieverbruik in TJ Gemeente'!$B$4:$B$347,0),MATCH(E$2,'Energieverbruik in TJ Gemeente'!$B$4:$Q$4,0))</f>
        <v>593</v>
      </c>
      <c r="F173">
        <f>INDEX('Energieverbruik in TJ Gemeente'!$B$4:$Q$347,MATCH($C173,'Energieverbruik in TJ Gemeente'!$B$4:$B$347,0),MATCH(F$2,'Energieverbruik in TJ Gemeente'!$B$4:$Q$4,0))</f>
        <v>597</v>
      </c>
      <c r="G173">
        <f>INDEX('Energieverbruik in TJ Gemeente'!$B$4:$Q$347,MATCH($C173,'Energieverbruik in TJ Gemeente'!$B$4:$B$347,0),MATCH(G$2,'Energieverbruik in TJ Gemeente'!$B$4:$Q$4,0))</f>
        <v>515</v>
      </c>
      <c r="H173">
        <f>INDEX('Energieverbruik in TJ Gemeente'!$B$4:$Q$347,MATCH($C173,'Energieverbruik in TJ Gemeente'!$B$4:$B$347,0),MATCH(H$2,'Energieverbruik in TJ Gemeente'!$B$4:$Q$4,0))</f>
        <v>436</v>
      </c>
      <c r="I173">
        <f>INDEX('Energieverbruik in TJ Gemeente'!$B$4:$Q$347,MATCH($C173,'Energieverbruik in TJ Gemeente'!$B$4:$B$347,0),MATCH(I$2,'Energieverbruik in TJ Gemeente'!$B$4:$Q$4,0))</f>
        <v>20</v>
      </c>
      <c r="J173">
        <f>INDEX('Energieverbruik in TJ Gemeente'!$B$4:$Q$347,MATCH($C173,'Energieverbruik in TJ Gemeente'!$B$4:$B$347,0),MATCH(J$2,'Energieverbruik in TJ Gemeente'!$B$4:$Q$4,0))</f>
        <v>17</v>
      </c>
      <c r="K173">
        <f>INDEX('Energieverbruik in TJ Gemeente'!$B$4:$Q$347,MATCH($C173,'Energieverbruik in TJ Gemeente'!$B$4:$B$347,0),MATCH(K$2,'Energieverbruik in TJ Gemeente'!$B$4:$Q$4,0))</f>
        <v>20</v>
      </c>
      <c r="L173">
        <f>INDEX('Energieverbruik in TJ Gemeente'!$B$4:$Q$347,MATCH($C173,'Energieverbruik in TJ Gemeente'!$B$4:$B$347,0),MATCH(L$2,'Energieverbruik in TJ Gemeente'!$B$4:$Q$4,0))</f>
        <v>17</v>
      </c>
      <c r="M173">
        <f>INDEX('Energieverbruik in TJ Gemeente'!$B$4:$Q$347,MATCH($C173,'Energieverbruik in TJ Gemeente'!$B$4:$B$347,0),MATCH(M$2,'Energieverbruik in TJ Gemeente'!$B$4:$Q$4,0))</f>
        <v>13</v>
      </c>
      <c r="N173">
        <f>INDEX('Energieverbruik in TJ Gemeente'!$B$4:$Q$347,MATCH($C173,'Energieverbruik in TJ Gemeente'!$B$4:$B$347,0),MATCH(N$2,'Energieverbruik in TJ Gemeente'!$B$4:$Q$4,0))</f>
        <v>10</v>
      </c>
      <c r="O173">
        <f>INDEX('Energieverbruik in TJ Gemeente'!$B$4:$Q$347,MATCH($C173,'Energieverbruik in TJ Gemeente'!$B$4:$B$347,0),MATCH(O$2,'Energieverbruik in TJ Gemeente'!$B$4:$Q$4,0))</f>
        <v>6</v>
      </c>
      <c r="P173">
        <f>INDEX('Energieverbruik in TJ Gemeente'!$B$4:$Q$347,MATCH($C173,'Energieverbruik in TJ Gemeente'!$B$4:$B$347,0),MATCH(P$2,'Energieverbruik in TJ Gemeente'!$B$4:$Q$4,0))</f>
        <v>7</v>
      </c>
      <c r="Q173">
        <f>INDEX('Energieverbruik in TJ Gemeente'!$B$4:$Q$347,MATCH($C173,'Energieverbruik in TJ Gemeente'!$B$4:$B$347,0),MATCH(Q$2,'Energieverbruik in TJ Gemeente'!$B$4:$Q$4,0))</f>
        <v>6</v>
      </c>
      <c r="R173">
        <f>INDEX('Energieverbruik in TJ Gemeente'!$B$4:$Q$347,MATCH($C173,'Energieverbruik in TJ Gemeente'!$B$4:$B$347,0),MATCH(R$2,'Energieverbruik in TJ Gemeente'!$B$4:$Q$4,0))</f>
        <v>5</v>
      </c>
      <c r="S173" cm="1">
        <f t="array" ref="S173">MAX(_xlfn._xlws.FILTER(D$1:H$1, D173:H173&lt;&gt;"?"))</f>
        <v>2023</v>
      </c>
      <c r="T173" cm="1">
        <f t="array" ref="T173">MAX(_xlfn._xlws.FILTER(I$1:M$1, I173:M173&lt;&gt;"?"))</f>
        <v>2023</v>
      </c>
      <c r="U173" cm="1">
        <f t="array" ref="U173">MAX(_xlfn._xlws.FILTER(F$1:J$1, F173:J173&lt;&gt;"?"))</f>
        <v>2023</v>
      </c>
      <c r="V173">
        <f t="shared" si="10"/>
        <v>436</v>
      </c>
      <c r="W173">
        <f t="shared" si="11"/>
        <v>13</v>
      </c>
      <c r="X173">
        <f t="shared" si="12"/>
        <v>5</v>
      </c>
      <c r="Y173">
        <f t="shared" si="13"/>
        <v>454</v>
      </c>
      <c r="Z173">
        <f t="shared" si="14"/>
        <v>7.5451629522527467E-4</v>
      </c>
    </row>
    <row r="174" spans="1:26" ht="16" x14ac:dyDescent="0.2">
      <c r="A174" s="4" t="s">
        <v>525</v>
      </c>
      <c r="B174" s="4" t="s">
        <v>526</v>
      </c>
      <c r="C174" s="4" t="s">
        <v>527</v>
      </c>
      <c r="D174">
        <f>INDEX('Energieverbruik in TJ Gemeente'!$B$4:$Q$347,MATCH($C174,'Energieverbruik in TJ Gemeente'!$B$4:$B$347,0),MATCH(D$2,'Energieverbruik in TJ Gemeente'!$B$4:$Q$4,0))</f>
        <v>315</v>
      </c>
      <c r="E174">
        <f>INDEX('Energieverbruik in TJ Gemeente'!$B$4:$Q$347,MATCH($C174,'Energieverbruik in TJ Gemeente'!$B$4:$B$347,0),MATCH(E$2,'Energieverbruik in TJ Gemeente'!$B$4:$Q$4,0))</f>
        <v>304</v>
      </c>
      <c r="F174">
        <f>INDEX('Energieverbruik in TJ Gemeente'!$B$4:$Q$347,MATCH($C174,'Energieverbruik in TJ Gemeente'!$B$4:$B$347,0),MATCH(F$2,'Energieverbruik in TJ Gemeente'!$B$4:$Q$4,0))</f>
        <v>311</v>
      </c>
      <c r="G174">
        <f>INDEX('Energieverbruik in TJ Gemeente'!$B$4:$Q$347,MATCH($C174,'Energieverbruik in TJ Gemeente'!$B$4:$B$347,0),MATCH(G$2,'Energieverbruik in TJ Gemeente'!$B$4:$Q$4,0))</f>
        <v>271</v>
      </c>
      <c r="H174">
        <f>INDEX('Energieverbruik in TJ Gemeente'!$B$4:$Q$347,MATCH($C174,'Energieverbruik in TJ Gemeente'!$B$4:$B$347,0),MATCH(H$2,'Energieverbruik in TJ Gemeente'!$B$4:$Q$4,0))</f>
        <v>221</v>
      </c>
      <c r="I174">
        <f>INDEX('Energieverbruik in TJ Gemeente'!$B$4:$Q$347,MATCH($C174,'Energieverbruik in TJ Gemeente'!$B$4:$B$347,0),MATCH(I$2,'Energieverbruik in TJ Gemeente'!$B$4:$Q$4,0))</f>
        <v>51</v>
      </c>
      <c r="J174">
        <f>INDEX('Energieverbruik in TJ Gemeente'!$B$4:$Q$347,MATCH($C174,'Energieverbruik in TJ Gemeente'!$B$4:$B$347,0),MATCH(J$2,'Energieverbruik in TJ Gemeente'!$B$4:$Q$4,0))</f>
        <v>40</v>
      </c>
      <c r="K174">
        <f>INDEX('Energieverbruik in TJ Gemeente'!$B$4:$Q$347,MATCH($C174,'Energieverbruik in TJ Gemeente'!$B$4:$B$347,0),MATCH(K$2,'Energieverbruik in TJ Gemeente'!$B$4:$Q$4,0))</f>
        <v>44</v>
      </c>
      <c r="L174">
        <f>INDEX('Energieverbruik in TJ Gemeente'!$B$4:$Q$347,MATCH($C174,'Energieverbruik in TJ Gemeente'!$B$4:$B$347,0),MATCH(L$2,'Energieverbruik in TJ Gemeente'!$B$4:$Q$4,0))</f>
        <v>46</v>
      </c>
      <c r="M174">
        <f>INDEX('Energieverbruik in TJ Gemeente'!$B$4:$Q$347,MATCH($C174,'Energieverbruik in TJ Gemeente'!$B$4:$B$347,0),MATCH(M$2,'Energieverbruik in TJ Gemeente'!$B$4:$Q$4,0))</f>
        <v>38</v>
      </c>
      <c r="N174">
        <f>INDEX('Energieverbruik in TJ Gemeente'!$B$4:$Q$347,MATCH($C174,'Energieverbruik in TJ Gemeente'!$B$4:$B$347,0),MATCH(N$2,'Energieverbruik in TJ Gemeente'!$B$4:$Q$4,0))</f>
        <v>25</v>
      </c>
      <c r="O174">
        <f>INDEX('Energieverbruik in TJ Gemeente'!$B$4:$Q$347,MATCH($C174,'Energieverbruik in TJ Gemeente'!$B$4:$B$347,0),MATCH(O$2,'Energieverbruik in TJ Gemeente'!$B$4:$Q$4,0))</f>
        <v>19</v>
      </c>
      <c r="P174">
        <f>INDEX('Energieverbruik in TJ Gemeente'!$B$4:$Q$347,MATCH($C174,'Energieverbruik in TJ Gemeente'!$B$4:$B$347,0),MATCH(P$2,'Energieverbruik in TJ Gemeente'!$B$4:$Q$4,0))</f>
        <v>22</v>
      </c>
      <c r="Q174">
        <f>INDEX('Energieverbruik in TJ Gemeente'!$B$4:$Q$347,MATCH($C174,'Energieverbruik in TJ Gemeente'!$B$4:$B$347,0),MATCH(Q$2,'Energieverbruik in TJ Gemeente'!$B$4:$Q$4,0))</f>
        <v>17</v>
      </c>
      <c r="R174">
        <f>INDEX('Energieverbruik in TJ Gemeente'!$B$4:$Q$347,MATCH($C174,'Energieverbruik in TJ Gemeente'!$B$4:$B$347,0),MATCH(R$2,'Energieverbruik in TJ Gemeente'!$B$4:$Q$4,0))</f>
        <v>12</v>
      </c>
      <c r="S174" cm="1">
        <f t="array" ref="S174">MAX(_xlfn._xlws.FILTER(D$1:H$1, D174:H174&lt;&gt;"?"))</f>
        <v>2023</v>
      </c>
      <c r="T174" cm="1">
        <f t="array" ref="T174">MAX(_xlfn._xlws.FILTER(I$1:M$1, I174:M174&lt;&gt;"?"))</f>
        <v>2023</v>
      </c>
      <c r="U174" cm="1">
        <f t="array" ref="U174">MAX(_xlfn._xlws.FILTER(F$1:J$1, F174:J174&lt;&gt;"?"))</f>
        <v>2023</v>
      </c>
      <c r="V174">
        <f t="shared" si="10"/>
        <v>221</v>
      </c>
      <c r="W174">
        <f t="shared" si="11"/>
        <v>38</v>
      </c>
      <c r="X174">
        <f t="shared" si="12"/>
        <v>12</v>
      </c>
      <c r="Y174">
        <f t="shared" si="13"/>
        <v>271</v>
      </c>
      <c r="Z174">
        <f t="shared" si="14"/>
        <v>4.5038307490319259E-4</v>
      </c>
    </row>
    <row r="175" spans="1:26" ht="16" x14ac:dyDescent="0.2">
      <c r="A175" s="4" t="s">
        <v>528</v>
      </c>
      <c r="B175" s="4" t="s">
        <v>529</v>
      </c>
      <c r="C175" s="4" t="s">
        <v>530</v>
      </c>
      <c r="D175">
        <f>INDEX('Energieverbruik in TJ Gemeente'!$B$4:$Q$347,MATCH($C175,'Energieverbruik in TJ Gemeente'!$B$4:$B$347,0),MATCH(D$2,'Energieverbruik in TJ Gemeente'!$B$4:$Q$4,0))</f>
        <v>619</v>
      </c>
      <c r="E175">
        <f>INDEX('Energieverbruik in TJ Gemeente'!$B$4:$Q$347,MATCH($C175,'Energieverbruik in TJ Gemeente'!$B$4:$B$347,0),MATCH(E$2,'Energieverbruik in TJ Gemeente'!$B$4:$Q$4,0))</f>
        <v>598</v>
      </c>
      <c r="F175">
        <f>INDEX('Energieverbruik in TJ Gemeente'!$B$4:$Q$347,MATCH($C175,'Energieverbruik in TJ Gemeente'!$B$4:$B$347,0),MATCH(F$2,'Energieverbruik in TJ Gemeente'!$B$4:$Q$4,0))</f>
        <v>607</v>
      </c>
      <c r="G175">
        <f>INDEX('Energieverbruik in TJ Gemeente'!$B$4:$Q$347,MATCH($C175,'Energieverbruik in TJ Gemeente'!$B$4:$B$347,0),MATCH(G$2,'Energieverbruik in TJ Gemeente'!$B$4:$Q$4,0))</f>
        <v>536</v>
      </c>
      <c r="H175">
        <f>INDEX('Energieverbruik in TJ Gemeente'!$B$4:$Q$347,MATCH($C175,'Energieverbruik in TJ Gemeente'!$B$4:$B$347,0),MATCH(H$2,'Energieverbruik in TJ Gemeente'!$B$4:$Q$4,0))</f>
        <v>441</v>
      </c>
      <c r="I175">
        <f>INDEX('Energieverbruik in TJ Gemeente'!$B$4:$Q$347,MATCH($C175,'Energieverbruik in TJ Gemeente'!$B$4:$B$347,0),MATCH(I$2,'Energieverbruik in TJ Gemeente'!$B$4:$Q$4,0))</f>
        <v>85</v>
      </c>
      <c r="J175">
        <f>INDEX('Energieverbruik in TJ Gemeente'!$B$4:$Q$347,MATCH($C175,'Energieverbruik in TJ Gemeente'!$B$4:$B$347,0),MATCH(J$2,'Energieverbruik in TJ Gemeente'!$B$4:$Q$4,0))</f>
        <v>88</v>
      </c>
      <c r="K175">
        <f>INDEX('Energieverbruik in TJ Gemeente'!$B$4:$Q$347,MATCH($C175,'Energieverbruik in TJ Gemeente'!$B$4:$B$347,0),MATCH(K$2,'Energieverbruik in TJ Gemeente'!$B$4:$Q$4,0))</f>
        <v>94</v>
      </c>
      <c r="L175">
        <f>INDEX('Energieverbruik in TJ Gemeente'!$B$4:$Q$347,MATCH($C175,'Energieverbruik in TJ Gemeente'!$B$4:$B$347,0),MATCH(L$2,'Energieverbruik in TJ Gemeente'!$B$4:$Q$4,0))</f>
        <v>86</v>
      </c>
      <c r="M175">
        <f>INDEX('Energieverbruik in TJ Gemeente'!$B$4:$Q$347,MATCH($C175,'Energieverbruik in TJ Gemeente'!$B$4:$B$347,0),MATCH(M$2,'Energieverbruik in TJ Gemeente'!$B$4:$Q$4,0))</f>
        <v>90</v>
      </c>
      <c r="N175">
        <f>INDEX('Energieverbruik in TJ Gemeente'!$B$4:$Q$347,MATCH($C175,'Energieverbruik in TJ Gemeente'!$B$4:$B$347,0),MATCH(N$2,'Energieverbruik in TJ Gemeente'!$B$4:$Q$4,0))</f>
        <v>30</v>
      </c>
      <c r="O175">
        <f>INDEX('Energieverbruik in TJ Gemeente'!$B$4:$Q$347,MATCH($C175,'Energieverbruik in TJ Gemeente'!$B$4:$B$347,0),MATCH(O$2,'Energieverbruik in TJ Gemeente'!$B$4:$Q$4,0))</f>
        <v>21</v>
      </c>
      <c r="P175">
        <f>INDEX('Energieverbruik in TJ Gemeente'!$B$4:$Q$347,MATCH($C175,'Energieverbruik in TJ Gemeente'!$B$4:$B$347,0),MATCH(P$2,'Energieverbruik in TJ Gemeente'!$B$4:$Q$4,0))</f>
        <v>23</v>
      </c>
      <c r="Q175">
        <f>INDEX('Energieverbruik in TJ Gemeente'!$B$4:$Q$347,MATCH($C175,'Energieverbruik in TJ Gemeente'!$B$4:$B$347,0),MATCH(Q$2,'Energieverbruik in TJ Gemeente'!$B$4:$Q$4,0))</f>
        <v>19</v>
      </c>
      <c r="R175">
        <f>INDEX('Energieverbruik in TJ Gemeente'!$B$4:$Q$347,MATCH($C175,'Energieverbruik in TJ Gemeente'!$B$4:$B$347,0),MATCH(R$2,'Energieverbruik in TJ Gemeente'!$B$4:$Q$4,0))</f>
        <v>16</v>
      </c>
      <c r="S175" cm="1">
        <f t="array" ref="S175">MAX(_xlfn._xlws.FILTER(D$1:H$1, D175:H175&lt;&gt;"?"))</f>
        <v>2023</v>
      </c>
      <c r="T175" cm="1">
        <f t="array" ref="T175">MAX(_xlfn._xlws.FILTER(I$1:M$1, I175:M175&lt;&gt;"?"))</f>
        <v>2023</v>
      </c>
      <c r="U175" cm="1">
        <f t="array" ref="U175">MAX(_xlfn._xlws.FILTER(F$1:J$1, F175:J175&lt;&gt;"?"))</f>
        <v>2023</v>
      </c>
      <c r="V175">
        <f t="shared" si="10"/>
        <v>441</v>
      </c>
      <c r="W175">
        <f t="shared" si="11"/>
        <v>90</v>
      </c>
      <c r="X175">
        <f t="shared" si="12"/>
        <v>16</v>
      </c>
      <c r="Y175">
        <f t="shared" si="13"/>
        <v>547</v>
      </c>
      <c r="Z175">
        <f t="shared" si="14"/>
        <v>9.0907580063485731E-4</v>
      </c>
    </row>
    <row r="176" spans="1:26" ht="16" x14ac:dyDescent="0.2">
      <c r="A176" s="4" t="s">
        <v>531</v>
      </c>
      <c r="B176" s="4" t="s">
        <v>532</v>
      </c>
      <c r="C176" s="4" t="s">
        <v>533</v>
      </c>
      <c r="D176">
        <f>INDEX('Energieverbruik in TJ Gemeente'!$B$4:$Q$347,MATCH($C176,'Energieverbruik in TJ Gemeente'!$B$4:$B$347,0),MATCH(D$2,'Energieverbruik in TJ Gemeente'!$B$4:$Q$4,0))</f>
        <v>657</v>
      </c>
      <c r="E176">
        <f>INDEX('Energieverbruik in TJ Gemeente'!$B$4:$Q$347,MATCH($C176,'Energieverbruik in TJ Gemeente'!$B$4:$B$347,0),MATCH(E$2,'Energieverbruik in TJ Gemeente'!$B$4:$Q$4,0))</f>
        <v>628</v>
      </c>
      <c r="F176">
        <f>INDEX('Energieverbruik in TJ Gemeente'!$B$4:$Q$347,MATCH($C176,'Energieverbruik in TJ Gemeente'!$B$4:$B$347,0),MATCH(F$2,'Energieverbruik in TJ Gemeente'!$B$4:$Q$4,0))</f>
        <v>637</v>
      </c>
      <c r="G176">
        <f>INDEX('Energieverbruik in TJ Gemeente'!$B$4:$Q$347,MATCH($C176,'Energieverbruik in TJ Gemeente'!$B$4:$B$347,0),MATCH(G$2,'Energieverbruik in TJ Gemeente'!$B$4:$Q$4,0))</f>
        <v>553</v>
      </c>
      <c r="H176">
        <f>INDEX('Energieverbruik in TJ Gemeente'!$B$4:$Q$347,MATCH($C176,'Energieverbruik in TJ Gemeente'!$B$4:$B$347,0),MATCH(H$2,'Energieverbruik in TJ Gemeente'!$B$4:$Q$4,0))</f>
        <v>453</v>
      </c>
      <c r="I176">
        <f>INDEX('Energieverbruik in TJ Gemeente'!$B$4:$Q$347,MATCH($C176,'Energieverbruik in TJ Gemeente'!$B$4:$B$347,0),MATCH(I$2,'Energieverbruik in TJ Gemeente'!$B$4:$Q$4,0))</f>
        <v>388</v>
      </c>
      <c r="J176">
        <f>INDEX('Energieverbruik in TJ Gemeente'!$B$4:$Q$347,MATCH($C176,'Energieverbruik in TJ Gemeente'!$B$4:$B$347,0),MATCH(J$2,'Energieverbruik in TJ Gemeente'!$B$4:$Q$4,0))</f>
        <v>383</v>
      </c>
      <c r="K176">
        <f>INDEX('Energieverbruik in TJ Gemeente'!$B$4:$Q$347,MATCH($C176,'Energieverbruik in TJ Gemeente'!$B$4:$B$347,0),MATCH(K$2,'Energieverbruik in TJ Gemeente'!$B$4:$Q$4,0))</f>
        <v>409</v>
      </c>
      <c r="L176">
        <f>INDEX('Energieverbruik in TJ Gemeente'!$B$4:$Q$347,MATCH($C176,'Energieverbruik in TJ Gemeente'!$B$4:$B$347,0),MATCH(L$2,'Energieverbruik in TJ Gemeente'!$B$4:$Q$4,0))</f>
        <v>390</v>
      </c>
      <c r="M176">
        <f>INDEX('Energieverbruik in TJ Gemeente'!$B$4:$Q$347,MATCH($C176,'Energieverbruik in TJ Gemeente'!$B$4:$B$347,0),MATCH(M$2,'Energieverbruik in TJ Gemeente'!$B$4:$Q$4,0))</f>
        <v>304</v>
      </c>
      <c r="N176">
        <f>INDEX('Energieverbruik in TJ Gemeente'!$B$4:$Q$347,MATCH($C176,'Energieverbruik in TJ Gemeente'!$B$4:$B$347,0),MATCH(N$2,'Energieverbruik in TJ Gemeente'!$B$4:$Q$4,0))</f>
        <v>440</v>
      </c>
      <c r="O176">
        <f>INDEX('Energieverbruik in TJ Gemeente'!$B$4:$Q$347,MATCH($C176,'Energieverbruik in TJ Gemeente'!$B$4:$B$347,0),MATCH(O$2,'Energieverbruik in TJ Gemeente'!$B$4:$Q$4,0))</f>
        <v>365</v>
      </c>
      <c r="P176">
        <f>INDEX('Energieverbruik in TJ Gemeente'!$B$4:$Q$347,MATCH($C176,'Energieverbruik in TJ Gemeente'!$B$4:$B$347,0),MATCH(P$2,'Energieverbruik in TJ Gemeente'!$B$4:$Q$4,0))</f>
        <v>382</v>
      </c>
      <c r="Q176" t="str">
        <f>INDEX('Energieverbruik in TJ Gemeente'!$B$4:$Q$347,MATCH($C176,'Energieverbruik in TJ Gemeente'!$B$4:$B$347,0),MATCH(Q$2,'Energieverbruik in TJ Gemeente'!$B$4:$Q$4,0))</f>
        <v>?</v>
      </c>
      <c r="R176">
        <f>INDEX('Energieverbruik in TJ Gemeente'!$B$4:$Q$347,MATCH($C176,'Energieverbruik in TJ Gemeente'!$B$4:$B$347,0),MATCH(R$2,'Energieverbruik in TJ Gemeente'!$B$4:$Q$4,0))</f>
        <v>337</v>
      </c>
      <c r="S176" cm="1">
        <f t="array" ref="S176">MAX(_xlfn._xlws.FILTER(D$1:H$1, D176:H176&lt;&gt;"?"))</f>
        <v>2023</v>
      </c>
      <c r="T176" cm="1">
        <f t="array" ref="T176">MAX(_xlfn._xlws.FILTER(I$1:M$1, I176:M176&lt;&gt;"?"))</f>
        <v>2023</v>
      </c>
      <c r="U176" cm="1">
        <f t="array" ref="U176">MAX(_xlfn._xlws.FILTER(F$1:J$1, F176:J176&lt;&gt;"?"))</f>
        <v>2023</v>
      </c>
      <c r="V176">
        <f t="shared" si="10"/>
        <v>453</v>
      </c>
      <c r="W176">
        <f t="shared" si="11"/>
        <v>304</v>
      </c>
      <c r="X176">
        <f t="shared" si="12"/>
        <v>337</v>
      </c>
      <c r="Y176">
        <f t="shared" si="13"/>
        <v>1094</v>
      </c>
      <c r="Z176">
        <f t="shared" si="14"/>
        <v>1.8181516012697146E-3</v>
      </c>
    </row>
    <row r="177" spans="1:26" ht="16" x14ac:dyDescent="0.2">
      <c r="A177" s="4" t="s">
        <v>534</v>
      </c>
      <c r="B177" s="4" t="s">
        <v>535</v>
      </c>
      <c r="C177" s="4" t="s">
        <v>536</v>
      </c>
      <c r="D177">
        <f>INDEX('Energieverbruik in TJ Gemeente'!$B$4:$Q$347,MATCH($C177,'Energieverbruik in TJ Gemeente'!$B$4:$B$347,0),MATCH(D$2,'Energieverbruik in TJ Gemeente'!$B$4:$Q$4,0))</f>
        <v>698</v>
      </c>
      <c r="E177">
        <f>INDEX('Energieverbruik in TJ Gemeente'!$B$4:$Q$347,MATCH($C177,'Energieverbruik in TJ Gemeente'!$B$4:$B$347,0),MATCH(E$2,'Energieverbruik in TJ Gemeente'!$B$4:$Q$4,0))</f>
        <v>671</v>
      </c>
      <c r="F177">
        <f>INDEX('Energieverbruik in TJ Gemeente'!$B$4:$Q$347,MATCH($C177,'Energieverbruik in TJ Gemeente'!$B$4:$B$347,0),MATCH(F$2,'Energieverbruik in TJ Gemeente'!$B$4:$Q$4,0))</f>
        <v>674</v>
      </c>
      <c r="G177" t="str">
        <f>INDEX('Energieverbruik in TJ Gemeente'!$B$4:$Q$347,MATCH($C177,'Energieverbruik in TJ Gemeente'!$B$4:$B$347,0),MATCH(G$2,'Energieverbruik in TJ Gemeente'!$B$4:$Q$4,0))</f>
        <v>?</v>
      </c>
      <c r="H177" t="str">
        <f>INDEX('Energieverbruik in TJ Gemeente'!$B$4:$Q$347,MATCH($C177,'Energieverbruik in TJ Gemeente'!$B$4:$B$347,0),MATCH(H$2,'Energieverbruik in TJ Gemeente'!$B$4:$Q$4,0))</f>
        <v>?</v>
      </c>
      <c r="I177" t="str">
        <f>INDEX('Energieverbruik in TJ Gemeente'!$B$4:$Q$347,MATCH($C177,'Energieverbruik in TJ Gemeente'!$B$4:$B$347,0),MATCH(I$2,'Energieverbruik in TJ Gemeente'!$B$4:$Q$4,0))</f>
        <v>?</v>
      </c>
      <c r="J177" t="str">
        <f>INDEX('Energieverbruik in TJ Gemeente'!$B$4:$Q$347,MATCH($C177,'Energieverbruik in TJ Gemeente'!$B$4:$B$347,0),MATCH(J$2,'Energieverbruik in TJ Gemeente'!$B$4:$Q$4,0))</f>
        <v>?</v>
      </c>
      <c r="K177" t="str">
        <f>INDEX('Energieverbruik in TJ Gemeente'!$B$4:$Q$347,MATCH($C177,'Energieverbruik in TJ Gemeente'!$B$4:$B$347,0),MATCH(K$2,'Energieverbruik in TJ Gemeente'!$B$4:$Q$4,0))</f>
        <v>?</v>
      </c>
      <c r="L177" t="str">
        <f>INDEX('Energieverbruik in TJ Gemeente'!$B$4:$Q$347,MATCH($C177,'Energieverbruik in TJ Gemeente'!$B$4:$B$347,0),MATCH(L$2,'Energieverbruik in TJ Gemeente'!$B$4:$Q$4,0))</f>
        <v>?</v>
      </c>
      <c r="M177" t="str">
        <f>INDEX('Energieverbruik in TJ Gemeente'!$B$4:$Q$347,MATCH($C177,'Energieverbruik in TJ Gemeente'!$B$4:$B$347,0),MATCH(M$2,'Energieverbruik in TJ Gemeente'!$B$4:$Q$4,0))</f>
        <v>?</v>
      </c>
      <c r="N177">
        <f>INDEX('Energieverbruik in TJ Gemeente'!$B$4:$Q$347,MATCH($C177,'Energieverbruik in TJ Gemeente'!$B$4:$B$347,0),MATCH(N$2,'Energieverbruik in TJ Gemeente'!$B$4:$Q$4,0))</f>
        <v>9</v>
      </c>
      <c r="O177">
        <f>INDEX('Energieverbruik in TJ Gemeente'!$B$4:$Q$347,MATCH($C177,'Energieverbruik in TJ Gemeente'!$B$4:$B$347,0),MATCH(O$2,'Energieverbruik in TJ Gemeente'!$B$4:$Q$4,0))</f>
        <v>9</v>
      </c>
      <c r="P177">
        <f>INDEX('Energieverbruik in TJ Gemeente'!$B$4:$Q$347,MATCH($C177,'Energieverbruik in TJ Gemeente'!$B$4:$B$347,0),MATCH(P$2,'Energieverbruik in TJ Gemeente'!$B$4:$Q$4,0))</f>
        <v>9</v>
      </c>
      <c r="Q177">
        <f>INDEX('Energieverbruik in TJ Gemeente'!$B$4:$Q$347,MATCH($C177,'Energieverbruik in TJ Gemeente'!$B$4:$B$347,0),MATCH(Q$2,'Energieverbruik in TJ Gemeente'!$B$4:$Q$4,0))</f>
        <v>7</v>
      </c>
      <c r="R177">
        <f>INDEX('Energieverbruik in TJ Gemeente'!$B$4:$Q$347,MATCH($C177,'Energieverbruik in TJ Gemeente'!$B$4:$B$347,0),MATCH(R$2,'Energieverbruik in TJ Gemeente'!$B$4:$Q$4,0))</f>
        <v>5</v>
      </c>
      <c r="S177" cm="1">
        <f t="array" ref="S177">MAX(_xlfn._xlws.FILTER(D$1:H$1, D177:H177&lt;&gt;"?"))</f>
        <v>2021</v>
      </c>
      <c r="T177" t="e" cm="1" vm="1">
        <f t="array" ref="T177">MAX(_xlfn._xlws.FILTER(I$1:M$1, I177:M177&lt;&gt;"?"))</f>
        <v>#VALUE!</v>
      </c>
      <c r="U177" cm="1">
        <f t="array" ref="U177">MAX(_xlfn._xlws.FILTER(F$1:J$1, F177:J177&lt;&gt;"?"))</f>
        <v>2021</v>
      </c>
      <c r="V177">
        <f t="shared" si="10"/>
        <v>674</v>
      </c>
      <c r="W177">
        <f t="shared" si="11"/>
        <v>0</v>
      </c>
      <c r="X177">
        <f t="shared" si="12"/>
        <v>9</v>
      </c>
      <c r="Y177">
        <f t="shared" si="13"/>
        <v>683</v>
      </c>
      <c r="Z177">
        <f t="shared" si="14"/>
        <v>1.1350983031693008E-3</v>
      </c>
    </row>
    <row r="178" spans="1:26" ht="16" x14ac:dyDescent="0.2">
      <c r="A178" s="4" t="s">
        <v>537</v>
      </c>
      <c r="B178" s="4" t="s">
        <v>538</v>
      </c>
      <c r="C178" s="4" t="s">
        <v>539</v>
      </c>
      <c r="D178">
        <f>INDEX('Energieverbruik in TJ Gemeente'!$B$4:$Q$347,MATCH($C178,'Energieverbruik in TJ Gemeente'!$B$4:$B$347,0),MATCH(D$2,'Energieverbruik in TJ Gemeente'!$B$4:$Q$4,0))</f>
        <v>1579</v>
      </c>
      <c r="E178">
        <f>INDEX('Energieverbruik in TJ Gemeente'!$B$4:$Q$347,MATCH($C178,'Energieverbruik in TJ Gemeente'!$B$4:$B$347,0),MATCH(E$2,'Energieverbruik in TJ Gemeente'!$B$4:$Q$4,0))</f>
        <v>1550</v>
      </c>
      <c r="F178">
        <f>INDEX('Energieverbruik in TJ Gemeente'!$B$4:$Q$347,MATCH($C178,'Energieverbruik in TJ Gemeente'!$B$4:$B$347,0),MATCH(F$2,'Energieverbruik in TJ Gemeente'!$B$4:$Q$4,0))</f>
        <v>1561</v>
      </c>
      <c r="G178">
        <f>INDEX('Energieverbruik in TJ Gemeente'!$B$4:$Q$347,MATCH($C178,'Energieverbruik in TJ Gemeente'!$B$4:$B$347,0),MATCH(G$2,'Energieverbruik in TJ Gemeente'!$B$4:$Q$4,0))</f>
        <v>1370</v>
      </c>
      <c r="H178">
        <f>INDEX('Energieverbruik in TJ Gemeente'!$B$4:$Q$347,MATCH($C178,'Energieverbruik in TJ Gemeente'!$B$4:$B$347,0),MATCH(H$2,'Energieverbruik in TJ Gemeente'!$B$4:$Q$4,0))</f>
        <v>1145</v>
      </c>
      <c r="I178">
        <f>INDEX('Energieverbruik in TJ Gemeente'!$B$4:$Q$347,MATCH($C178,'Energieverbruik in TJ Gemeente'!$B$4:$B$347,0),MATCH(I$2,'Energieverbruik in TJ Gemeente'!$B$4:$Q$4,0))</f>
        <v>277</v>
      </c>
      <c r="J178">
        <f>INDEX('Energieverbruik in TJ Gemeente'!$B$4:$Q$347,MATCH($C178,'Energieverbruik in TJ Gemeente'!$B$4:$B$347,0),MATCH(J$2,'Energieverbruik in TJ Gemeente'!$B$4:$Q$4,0))</f>
        <v>261</v>
      </c>
      <c r="K178">
        <f>INDEX('Energieverbruik in TJ Gemeente'!$B$4:$Q$347,MATCH($C178,'Energieverbruik in TJ Gemeente'!$B$4:$B$347,0),MATCH(K$2,'Energieverbruik in TJ Gemeente'!$B$4:$Q$4,0))</f>
        <v>309</v>
      </c>
      <c r="L178">
        <f>INDEX('Energieverbruik in TJ Gemeente'!$B$4:$Q$347,MATCH($C178,'Energieverbruik in TJ Gemeente'!$B$4:$B$347,0),MATCH(L$2,'Energieverbruik in TJ Gemeente'!$B$4:$Q$4,0))</f>
        <v>276</v>
      </c>
      <c r="M178">
        <f>INDEX('Energieverbruik in TJ Gemeente'!$B$4:$Q$347,MATCH($C178,'Energieverbruik in TJ Gemeente'!$B$4:$B$347,0),MATCH(M$2,'Energieverbruik in TJ Gemeente'!$B$4:$Q$4,0))</f>
        <v>290</v>
      </c>
      <c r="N178">
        <f>INDEX('Energieverbruik in TJ Gemeente'!$B$4:$Q$347,MATCH($C178,'Energieverbruik in TJ Gemeente'!$B$4:$B$347,0),MATCH(N$2,'Energieverbruik in TJ Gemeente'!$B$4:$Q$4,0))</f>
        <v>136</v>
      </c>
      <c r="O178">
        <f>INDEX('Energieverbruik in TJ Gemeente'!$B$4:$Q$347,MATCH($C178,'Energieverbruik in TJ Gemeente'!$B$4:$B$347,0),MATCH(O$2,'Energieverbruik in TJ Gemeente'!$B$4:$Q$4,0))</f>
        <v>128</v>
      </c>
      <c r="P178">
        <f>INDEX('Energieverbruik in TJ Gemeente'!$B$4:$Q$347,MATCH($C178,'Energieverbruik in TJ Gemeente'!$B$4:$B$347,0),MATCH(P$2,'Energieverbruik in TJ Gemeente'!$B$4:$Q$4,0))</f>
        <v>136</v>
      </c>
      <c r="Q178">
        <f>INDEX('Energieverbruik in TJ Gemeente'!$B$4:$Q$347,MATCH($C178,'Energieverbruik in TJ Gemeente'!$B$4:$B$347,0),MATCH(Q$2,'Energieverbruik in TJ Gemeente'!$B$4:$Q$4,0))</f>
        <v>81</v>
      </c>
      <c r="R178">
        <f>INDEX('Energieverbruik in TJ Gemeente'!$B$4:$Q$347,MATCH($C178,'Energieverbruik in TJ Gemeente'!$B$4:$B$347,0),MATCH(R$2,'Energieverbruik in TJ Gemeente'!$B$4:$Q$4,0))</f>
        <v>68</v>
      </c>
      <c r="S178" cm="1">
        <f t="array" ref="S178">MAX(_xlfn._xlws.FILTER(D$1:H$1, D178:H178&lt;&gt;"?"))</f>
        <v>2023</v>
      </c>
      <c r="T178" cm="1">
        <f t="array" ref="T178">MAX(_xlfn._xlws.FILTER(I$1:M$1, I178:M178&lt;&gt;"?"))</f>
        <v>2023</v>
      </c>
      <c r="U178" cm="1">
        <f t="array" ref="U178">MAX(_xlfn._xlws.FILTER(F$1:J$1, F178:J178&lt;&gt;"?"))</f>
        <v>2023</v>
      </c>
      <c r="V178">
        <f t="shared" si="10"/>
        <v>1145</v>
      </c>
      <c r="W178">
        <f t="shared" si="11"/>
        <v>290</v>
      </c>
      <c r="X178">
        <f t="shared" si="12"/>
        <v>68</v>
      </c>
      <c r="Y178">
        <f t="shared" si="13"/>
        <v>1503</v>
      </c>
      <c r="Z178">
        <f t="shared" si="14"/>
        <v>2.4978810390387397E-3</v>
      </c>
    </row>
    <row r="179" spans="1:26" ht="16" x14ac:dyDescent="0.2">
      <c r="A179" s="4" t="s">
        <v>540</v>
      </c>
      <c r="B179" s="4" t="s">
        <v>541</v>
      </c>
      <c r="C179" s="4" t="s">
        <v>542</v>
      </c>
      <c r="D179" t="str">
        <f>INDEX('Energieverbruik in TJ Gemeente'!$B$4:$Q$347,MATCH($C179,'Energieverbruik in TJ Gemeente'!$B$4:$B$347,0),MATCH(D$2,'Energieverbruik in TJ Gemeente'!$B$4:$Q$4,0))</f>
        <v>?</v>
      </c>
      <c r="E179">
        <f>INDEX('Energieverbruik in TJ Gemeente'!$B$4:$Q$347,MATCH($C179,'Energieverbruik in TJ Gemeente'!$B$4:$B$347,0),MATCH(E$2,'Energieverbruik in TJ Gemeente'!$B$4:$Q$4,0))</f>
        <v>612</v>
      </c>
      <c r="F179" t="str">
        <f>INDEX('Energieverbruik in TJ Gemeente'!$B$4:$Q$347,MATCH($C179,'Energieverbruik in TJ Gemeente'!$B$4:$B$347,0),MATCH(F$2,'Energieverbruik in TJ Gemeente'!$B$4:$Q$4,0))</f>
        <v>?</v>
      </c>
      <c r="G179">
        <f>INDEX('Energieverbruik in TJ Gemeente'!$B$4:$Q$347,MATCH($C179,'Energieverbruik in TJ Gemeente'!$B$4:$B$347,0),MATCH(G$2,'Energieverbruik in TJ Gemeente'!$B$4:$Q$4,0))</f>
        <v>539</v>
      </c>
      <c r="H179">
        <f>INDEX('Energieverbruik in TJ Gemeente'!$B$4:$Q$347,MATCH($C179,'Energieverbruik in TJ Gemeente'!$B$4:$B$347,0),MATCH(H$2,'Energieverbruik in TJ Gemeente'!$B$4:$Q$4,0))</f>
        <v>461</v>
      </c>
      <c r="I179">
        <f>INDEX('Energieverbruik in TJ Gemeente'!$B$4:$Q$347,MATCH($C179,'Energieverbruik in TJ Gemeente'!$B$4:$B$347,0),MATCH(I$2,'Energieverbruik in TJ Gemeente'!$B$4:$Q$4,0))</f>
        <v>18</v>
      </c>
      <c r="J179">
        <f>INDEX('Energieverbruik in TJ Gemeente'!$B$4:$Q$347,MATCH($C179,'Energieverbruik in TJ Gemeente'!$B$4:$B$347,0),MATCH(J$2,'Energieverbruik in TJ Gemeente'!$B$4:$Q$4,0))</f>
        <v>13</v>
      </c>
      <c r="K179">
        <f>INDEX('Energieverbruik in TJ Gemeente'!$B$4:$Q$347,MATCH($C179,'Energieverbruik in TJ Gemeente'!$B$4:$B$347,0),MATCH(K$2,'Energieverbruik in TJ Gemeente'!$B$4:$Q$4,0))</f>
        <v>14</v>
      </c>
      <c r="L179" t="str">
        <f>INDEX('Energieverbruik in TJ Gemeente'!$B$4:$Q$347,MATCH($C179,'Energieverbruik in TJ Gemeente'!$B$4:$B$347,0),MATCH(L$2,'Energieverbruik in TJ Gemeente'!$B$4:$Q$4,0))</f>
        <v>?</v>
      </c>
      <c r="M179" t="str">
        <f>INDEX('Energieverbruik in TJ Gemeente'!$B$4:$Q$347,MATCH($C179,'Energieverbruik in TJ Gemeente'!$B$4:$B$347,0),MATCH(M$2,'Energieverbruik in TJ Gemeente'!$B$4:$Q$4,0))</f>
        <v>?</v>
      </c>
      <c r="N179" t="str">
        <f>INDEX('Energieverbruik in TJ Gemeente'!$B$4:$Q$347,MATCH($C179,'Energieverbruik in TJ Gemeente'!$B$4:$B$347,0),MATCH(N$2,'Energieverbruik in TJ Gemeente'!$B$4:$Q$4,0))</f>
        <v>?</v>
      </c>
      <c r="O179" t="str">
        <f>INDEX('Energieverbruik in TJ Gemeente'!$B$4:$Q$347,MATCH($C179,'Energieverbruik in TJ Gemeente'!$B$4:$B$347,0),MATCH(O$2,'Energieverbruik in TJ Gemeente'!$B$4:$Q$4,0))</f>
        <v>?</v>
      </c>
      <c r="P179">
        <f>INDEX('Energieverbruik in TJ Gemeente'!$B$4:$Q$347,MATCH($C179,'Energieverbruik in TJ Gemeente'!$B$4:$B$347,0),MATCH(P$2,'Energieverbruik in TJ Gemeente'!$B$4:$Q$4,0))</f>
        <v>1</v>
      </c>
      <c r="Q179">
        <f>INDEX('Energieverbruik in TJ Gemeente'!$B$4:$Q$347,MATCH($C179,'Energieverbruik in TJ Gemeente'!$B$4:$B$347,0),MATCH(Q$2,'Energieverbruik in TJ Gemeente'!$B$4:$Q$4,0))</f>
        <v>1</v>
      </c>
      <c r="R179">
        <f>INDEX('Energieverbruik in TJ Gemeente'!$B$4:$Q$347,MATCH($C179,'Energieverbruik in TJ Gemeente'!$B$4:$B$347,0),MATCH(R$2,'Energieverbruik in TJ Gemeente'!$B$4:$Q$4,0))</f>
        <v>0</v>
      </c>
      <c r="S179" cm="1">
        <f t="array" ref="S179">MAX(_xlfn._xlws.FILTER(D$1:H$1, D179:H179&lt;&gt;"?"))</f>
        <v>2023</v>
      </c>
      <c r="T179" cm="1">
        <f t="array" ref="T179">MAX(_xlfn._xlws.FILTER(I$1:M$1, I179:M179&lt;&gt;"?"))</f>
        <v>2021</v>
      </c>
      <c r="U179" cm="1">
        <f t="array" ref="U179">MAX(_xlfn._xlws.FILTER(F$1:J$1, F179:J179&lt;&gt;"?"))</f>
        <v>2023</v>
      </c>
      <c r="V179">
        <f t="shared" si="10"/>
        <v>461</v>
      </c>
      <c r="W179">
        <f t="shared" si="11"/>
        <v>14</v>
      </c>
      <c r="X179">
        <f t="shared" si="12"/>
        <v>0</v>
      </c>
      <c r="Y179">
        <f t="shared" si="13"/>
        <v>475</v>
      </c>
      <c r="Z179">
        <f t="shared" si="14"/>
        <v>7.8941682870485781E-4</v>
      </c>
    </row>
    <row r="180" spans="1:26" ht="16" x14ac:dyDescent="0.2">
      <c r="A180" s="4" t="s">
        <v>543</v>
      </c>
      <c r="B180" s="4" t="s">
        <v>544</v>
      </c>
      <c r="C180" s="4" t="s">
        <v>545</v>
      </c>
      <c r="D180">
        <f>INDEX('Energieverbruik in TJ Gemeente'!$B$4:$Q$347,MATCH($C180,'Energieverbruik in TJ Gemeente'!$B$4:$B$347,0),MATCH(D$2,'Energieverbruik in TJ Gemeente'!$B$4:$Q$4,0))</f>
        <v>3458</v>
      </c>
      <c r="E180">
        <f>INDEX('Energieverbruik in TJ Gemeente'!$B$4:$Q$347,MATCH($C180,'Energieverbruik in TJ Gemeente'!$B$4:$B$347,0),MATCH(E$2,'Energieverbruik in TJ Gemeente'!$B$4:$Q$4,0))</f>
        <v>3329</v>
      </c>
      <c r="F180">
        <f>INDEX('Energieverbruik in TJ Gemeente'!$B$4:$Q$347,MATCH($C180,'Energieverbruik in TJ Gemeente'!$B$4:$B$347,0),MATCH(F$2,'Energieverbruik in TJ Gemeente'!$B$4:$Q$4,0))</f>
        <v>3410</v>
      </c>
      <c r="G180">
        <f>INDEX('Energieverbruik in TJ Gemeente'!$B$4:$Q$347,MATCH($C180,'Energieverbruik in TJ Gemeente'!$B$4:$B$347,0),MATCH(G$2,'Energieverbruik in TJ Gemeente'!$B$4:$Q$4,0))</f>
        <v>2991</v>
      </c>
      <c r="H180">
        <f>INDEX('Energieverbruik in TJ Gemeente'!$B$4:$Q$347,MATCH($C180,'Energieverbruik in TJ Gemeente'!$B$4:$B$347,0),MATCH(H$2,'Energieverbruik in TJ Gemeente'!$B$4:$Q$4,0))</f>
        <v>2573</v>
      </c>
      <c r="I180" t="str">
        <f>INDEX('Energieverbruik in TJ Gemeente'!$B$4:$Q$347,MATCH($C180,'Energieverbruik in TJ Gemeente'!$B$4:$B$347,0),MATCH(I$2,'Energieverbruik in TJ Gemeente'!$B$4:$Q$4,0))</f>
        <v>?</v>
      </c>
      <c r="J180" t="str">
        <f>INDEX('Energieverbruik in TJ Gemeente'!$B$4:$Q$347,MATCH($C180,'Energieverbruik in TJ Gemeente'!$B$4:$B$347,0),MATCH(J$2,'Energieverbruik in TJ Gemeente'!$B$4:$Q$4,0))</f>
        <v>?</v>
      </c>
      <c r="K180" t="str">
        <f>INDEX('Energieverbruik in TJ Gemeente'!$B$4:$Q$347,MATCH($C180,'Energieverbruik in TJ Gemeente'!$B$4:$B$347,0),MATCH(K$2,'Energieverbruik in TJ Gemeente'!$B$4:$Q$4,0))</f>
        <v>?</v>
      </c>
      <c r="L180" t="str">
        <f>INDEX('Energieverbruik in TJ Gemeente'!$B$4:$Q$347,MATCH($C180,'Energieverbruik in TJ Gemeente'!$B$4:$B$347,0),MATCH(L$2,'Energieverbruik in TJ Gemeente'!$B$4:$Q$4,0))</f>
        <v>?</v>
      </c>
      <c r="M180" t="str">
        <f>INDEX('Energieverbruik in TJ Gemeente'!$B$4:$Q$347,MATCH($C180,'Energieverbruik in TJ Gemeente'!$B$4:$B$347,0),MATCH(M$2,'Energieverbruik in TJ Gemeente'!$B$4:$Q$4,0))</f>
        <v>?</v>
      </c>
      <c r="N180">
        <f>INDEX('Energieverbruik in TJ Gemeente'!$B$4:$Q$347,MATCH($C180,'Energieverbruik in TJ Gemeente'!$B$4:$B$347,0),MATCH(N$2,'Energieverbruik in TJ Gemeente'!$B$4:$Q$4,0))</f>
        <v>4</v>
      </c>
      <c r="O180">
        <f>INDEX('Energieverbruik in TJ Gemeente'!$B$4:$Q$347,MATCH($C180,'Energieverbruik in TJ Gemeente'!$B$4:$B$347,0),MATCH(O$2,'Energieverbruik in TJ Gemeente'!$B$4:$Q$4,0))</f>
        <v>2</v>
      </c>
      <c r="P180">
        <f>INDEX('Energieverbruik in TJ Gemeente'!$B$4:$Q$347,MATCH($C180,'Energieverbruik in TJ Gemeente'!$B$4:$B$347,0),MATCH(P$2,'Energieverbruik in TJ Gemeente'!$B$4:$Q$4,0))</f>
        <v>2</v>
      </c>
      <c r="Q180">
        <f>INDEX('Energieverbruik in TJ Gemeente'!$B$4:$Q$347,MATCH($C180,'Energieverbruik in TJ Gemeente'!$B$4:$B$347,0),MATCH(Q$2,'Energieverbruik in TJ Gemeente'!$B$4:$Q$4,0))</f>
        <v>2</v>
      </c>
      <c r="R180">
        <f>INDEX('Energieverbruik in TJ Gemeente'!$B$4:$Q$347,MATCH($C180,'Energieverbruik in TJ Gemeente'!$B$4:$B$347,0),MATCH(R$2,'Energieverbruik in TJ Gemeente'!$B$4:$Q$4,0))</f>
        <v>2</v>
      </c>
      <c r="S180" cm="1">
        <f t="array" ref="S180">MAX(_xlfn._xlws.FILTER(D$1:H$1, D180:H180&lt;&gt;"?"))</f>
        <v>2023</v>
      </c>
      <c r="T180" t="e" cm="1" vm="1">
        <f t="array" ref="T180">MAX(_xlfn._xlws.FILTER(I$1:M$1, I180:M180&lt;&gt;"?"))</f>
        <v>#VALUE!</v>
      </c>
      <c r="U180" cm="1">
        <f t="array" ref="U180">MAX(_xlfn._xlws.FILTER(F$1:J$1, F180:J180&lt;&gt;"?"))</f>
        <v>2023</v>
      </c>
      <c r="V180">
        <f t="shared" si="10"/>
        <v>2573</v>
      </c>
      <c r="W180">
        <f t="shared" si="11"/>
        <v>0</v>
      </c>
      <c r="X180">
        <f t="shared" si="12"/>
        <v>2</v>
      </c>
      <c r="Y180">
        <f t="shared" si="13"/>
        <v>2575</v>
      </c>
      <c r="Z180">
        <f t="shared" si="14"/>
        <v>4.2794701766631768E-3</v>
      </c>
    </row>
    <row r="181" spans="1:26" ht="16" x14ac:dyDescent="0.2">
      <c r="A181" s="4" t="s">
        <v>546</v>
      </c>
      <c r="B181" s="4" t="s">
        <v>547</v>
      </c>
      <c r="C181" s="4" t="s">
        <v>548</v>
      </c>
      <c r="D181">
        <f>INDEX('Energieverbruik in TJ Gemeente'!$B$4:$Q$347,MATCH($C181,'Energieverbruik in TJ Gemeente'!$B$4:$B$347,0),MATCH(D$2,'Energieverbruik in TJ Gemeente'!$B$4:$Q$4,0))</f>
        <v>1090</v>
      </c>
      <c r="E181">
        <f>INDEX('Energieverbruik in TJ Gemeente'!$B$4:$Q$347,MATCH($C181,'Energieverbruik in TJ Gemeente'!$B$4:$B$347,0),MATCH(E$2,'Energieverbruik in TJ Gemeente'!$B$4:$Q$4,0))</f>
        <v>1076</v>
      </c>
      <c r="F181">
        <f>INDEX('Energieverbruik in TJ Gemeente'!$B$4:$Q$347,MATCH($C181,'Energieverbruik in TJ Gemeente'!$B$4:$B$347,0),MATCH(F$2,'Energieverbruik in TJ Gemeente'!$B$4:$Q$4,0))</f>
        <v>1091</v>
      </c>
      <c r="G181">
        <f>INDEX('Energieverbruik in TJ Gemeente'!$B$4:$Q$347,MATCH($C181,'Energieverbruik in TJ Gemeente'!$B$4:$B$347,0),MATCH(G$2,'Energieverbruik in TJ Gemeente'!$B$4:$Q$4,0))</f>
        <v>947</v>
      </c>
      <c r="H181">
        <f>INDEX('Energieverbruik in TJ Gemeente'!$B$4:$Q$347,MATCH($C181,'Energieverbruik in TJ Gemeente'!$B$4:$B$347,0),MATCH(H$2,'Energieverbruik in TJ Gemeente'!$B$4:$Q$4,0))</f>
        <v>790</v>
      </c>
      <c r="I181">
        <f>INDEX('Energieverbruik in TJ Gemeente'!$B$4:$Q$347,MATCH($C181,'Energieverbruik in TJ Gemeente'!$B$4:$B$347,0),MATCH(I$2,'Energieverbruik in TJ Gemeente'!$B$4:$Q$4,0))</f>
        <v>180</v>
      </c>
      <c r="J181">
        <f>INDEX('Energieverbruik in TJ Gemeente'!$B$4:$Q$347,MATCH($C181,'Energieverbruik in TJ Gemeente'!$B$4:$B$347,0),MATCH(J$2,'Energieverbruik in TJ Gemeente'!$B$4:$Q$4,0))</f>
        <v>152</v>
      </c>
      <c r="K181">
        <f>INDEX('Energieverbruik in TJ Gemeente'!$B$4:$Q$347,MATCH($C181,'Energieverbruik in TJ Gemeente'!$B$4:$B$347,0),MATCH(K$2,'Energieverbruik in TJ Gemeente'!$B$4:$Q$4,0))</f>
        <v>122</v>
      </c>
      <c r="L181">
        <f>INDEX('Energieverbruik in TJ Gemeente'!$B$4:$Q$347,MATCH($C181,'Energieverbruik in TJ Gemeente'!$B$4:$B$347,0),MATCH(L$2,'Energieverbruik in TJ Gemeente'!$B$4:$Q$4,0))</f>
        <v>75</v>
      </c>
      <c r="M181">
        <f>INDEX('Energieverbruik in TJ Gemeente'!$B$4:$Q$347,MATCH($C181,'Energieverbruik in TJ Gemeente'!$B$4:$B$347,0),MATCH(M$2,'Energieverbruik in TJ Gemeente'!$B$4:$Q$4,0))</f>
        <v>91</v>
      </c>
      <c r="N181">
        <f>INDEX('Energieverbruik in TJ Gemeente'!$B$4:$Q$347,MATCH($C181,'Energieverbruik in TJ Gemeente'!$B$4:$B$347,0),MATCH(N$2,'Energieverbruik in TJ Gemeente'!$B$4:$Q$4,0))</f>
        <v>2261</v>
      </c>
      <c r="O181">
        <f>INDEX('Energieverbruik in TJ Gemeente'!$B$4:$Q$347,MATCH($C181,'Energieverbruik in TJ Gemeente'!$B$4:$B$347,0),MATCH(O$2,'Energieverbruik in TJ Gemeente'!$B$4:$Q$4,0))</f>
        <v>1721</v>
      </c>
      <c r="P181">
        <f>INDEX('Energieverbruik in TJ Gemeente'!$B$4:$Q$347,MATCH($C181,'Energieverbruik in TJ Gemeente'!$B$4:$B$347,0),MATCH(P$2,'Energieverbruik in TJ Gemeente'!$B$4:$Q$4,0))</f>
        <v>1858</v>
      </c>
      <c r="Q181">
        <f>INDEX('Energieverbruik in TJ Gemeente'!$B$4:$Q$347,MATCH($C181,'Energieverbruik in TJ Gemeente'!$B$4:$B$347,0),MATCH(Q$2,'Energieverbruik in TJ Gemeente'!$B$4:$Q$4,0))</f>
        <v>1257</v>
      </c>
      <c r="R181">
        <f>INDEX('Energieverbruik in TJ Gemeente'!$B$4:$Q$347,MATCH($C181,'Energieverbruik in TJ Gemeente'!$B$4:$B$347,0),MATCH(R$2,'Energieverbruik in TJ Gemeente'!$B$4:$Q$4,0))</f>
        <v>1786</v>
      </c>
      <c r="S181" cm="1">
        <f t="array" ref="S181">MAX(_xlfn._xlws.FILTER(D$1:H$1, D181:H181&lt;&gt;"?"))</f>
        <v>2023</v>
      </c>
      <c r="T181" cm="1">
        <f t="array" ref="T181">MAX(_xlfn._xlws.FILTER(I$1:M$1, I181:M181&lt;&gt;"?"))</f>
        <v>2023</v>
      </c>
      <c r="U181" cm="1">
        <f t="array" ref="U181">MAX(_xlfn._xlws.FILTER(F$1:J$1, F181:J181&lt;&gt;"?"))</f>
        <v>2023</v>
      </c>
      <c r="V181">
        <f t="shared" si="10"/>
        <v>790</v>
      </c>
      <c r="W181">
        <f t="shared" si="11"/>
        <v>91</v>
      </c>
      <c r="X181">
        <f t="shared" si="12"/>
        <v>1786</v>
      </c>
      <c r="Y181">
        <f t="shared" si="13"/>
        <v>2667</v>
      </c>
      <c r="Z181">
        <f t="shared" si="14"/>
        <v>4.4323677519070648E-3</v>
      </c>
    </row>
    <row r="182" spans="1:26" ht="16" x14ac:dyDescent="0.2">
      <c r="A182" s="4" t="s">
        <v>549</v>
      </c>
      <c r="B182" s="4" t="s">
        <v>550</v>
      </c>
      <c r="C182" s="4" t="s">
        <v>551</v>
      </c>
      <c r="D182">
        <f>INDEX('Energieverbruik in TJ Gemeente'!$B$4:$Q$347,MATCH($C182,'Energieverbruik in TJ Gemeente'!$B$4:$B$347,0),MATCH(D$2,'Energieverbruik in TJ Gemeente'!$B$4:$Q$4,0))</f>
        <v>534</v>
      </c>
      <c r="E182">
        <f>INDEX('Energieverbruik in TJ Gemeente'!$B$4:$Q$347,MATCH($C182,'Energieverbruik in TJ Gemeente'!$B$4:$B$347,0),MATCH(E$2,'Energieverbruik in TJ Gemeente'!$B$4:$Q$4,0))</f>
        <v>503</v>
      </c>
      <c r="F182">
        <f>INDEX('Energieverbruik in TJ Gemeente'!$B$4:$Q$347,MATCH($C182,'Energieverbruik in TJ Gemeente'!$B$4:$B$347,0),MATCH(F$2,'Energieverbruik in TJ Gemeente'!$B$4:$Q$4,0))</f>
        <v>510</v>
      </c>
      <c r="G182">
        <f>INDEX('Energieverbruik in TJ Gemeente'!$B$4:$Q$347,MATCH($C182,'Energieverbruik in TJ Gemeente'!$B$4:$B$347,0),MATCH(G$2,'Energieverbruik in TJ Gemeente'!$B$4:$Q$4,0))</f>
        <v>448</v>
      </c>
      <c r="H182">
        <f>INDEX('Energieverbruik in TJ Gemeente'!$B$4:$Q$347,MATCH($C182,'Energieverbruik in TJ Gemeente'!$B$4:$B$347,0),MATCH(H$2,'Energieverbruik in TJ Gemeente'!$B$4:$Q$4,0))</f>
        <v>356</v>
      </c>
      <c r="I182">
        <f>INDEX('Energieverbruik in TJ Gemeente'!$B$4:$Q$347,MATCH($C182,'Energieverbruik in TJ Gemeente'!$B$4:$B$347,0),MATCH(I$2,'Energieverbruik in TJ Gemeente'!$B$4:$Q$4,0))</f>
        <v>64</v>
      </c>
      <c r="J182">
        <f>INDEX('Energieverbruik in TJ Gemeente'!$B$4:$Q$347,MATCH($C182,'Energieverbruik in TJ Gemeente'!$B$4:$B$347,0),MATCH(J$2,'Energieverbruik in TJ Gemeente'!$B$4:$Q$4,0))</f>
        <v>57</v>
      </c>
      <c r="K182">
        <f>INDEX('Energieverbruik in TJ Gemeente'!$B$4:$Q$347,MATCH($C182,'Energieverbruik in TJ Gemeente'!$B$4:$B$347,0),MATCH(K$2,'Energieverbruik in TJ Gemeente'!$B$4:$Q$4,0))</f>
        <v>42</v>
      </c>
      <c r="L182">
        <f>INDEX('Energieverbruik in TJ Gemeente'!$B$4:$Q$347,MATCH($C182,'Energieverbruik in TJ Gemeente'!$B$4:$B$347,0),MATCH(L$2,'Energieverbruik in TJ Gemeente'!$B$4:$Q$4,0))</f>
        <v>7</v>
      </c>
      <c r="M182">
        <f>INDEX('Energieverbruik in TJ Gemeente'!$B$4:$Q$347,MATCH($C182,'Energieverbruik in TJ Gemeente'!$B$4:$B$347,0),MATCH(M$2,'Energieverbruik in TJ Gemeente'!$B$4:$Q$4,0))</f>
        <v>6</v>
      </c>
      <c r="N182">
        <f>INDEX('Energieverbruik in TJ Gemeente'!$B$4:$Q$347,MATCH($C182,'Energieverbruik in TJ Gemeente'!$B$4:$B$347,0),MATCH(N$2,'Energieverbruik in TJ Gemeente'!$B$4:$Q$4,0))</f>
        <v>5</v>
      </c>
      <c r="O182">
        <f>INDEX('Energieverbruik in TJ Gemeente'!$B$4:$Q$347,MATCH($C182,'Energieverbruik in TJ Gemeente'!$B$4:$B$347,0),MATCH(O$2,'Energieverbruik in TJ Gemeente'!$B$4:$Q$4,0))</f>
        <v>4</v>
      </c>
      <c r="P182">
        <f>INDEX('Energieverbruik in TJ Gemeente'!$B$4:$Q$347,MATCH($C182,'Energieverbruik in TJ Gemeente'!$B$4:$B$347,0),MATCH(P$2,'Energieverbruik in TJ Gemeente'!$B$4:$Q$4,0))</f>
        <v>4</v>
      </c>
      <c r="Q182">
        <f>INDEX('Energieverbruik in TJ Gemeente'!$B$4:$Q$347,MATCH($C182,'Energieverbruik in TJ Gemeente'!$B$4:$B$347,0),MATCH(Q$2,'Energieverbruik in TJ Gemeente'!$B$4:$Q$4,0))</f>
        <v>3</v>
      </c>
      <c r="R182">
        <f>INDEX('Energieverbruik in TJ Gemeente'!$B$4:$Q$347,MATCH($C182,'Energieverbruik in TJ Gemeente'!$B$4:$B$347,0),MATCH(R$2,'Energieverbruik in TJ Gemeente'!$B$4:$Q$4,0))</f>
        <v>2</v>
      </c>
      <c r="S182" cm="1">
        <f t="array" ref="S182">MAX(_xlfn._xlws.FILTER(D$1:H$1, D182:H182&lt;&gt;"?"))</f>
        <v>2023</v>
      </c>
      <c r="T182" cm="1">
        <f t="array" ref="T182">MAX(_xlfn._xlws.FILTER(I$1:M$1, I182:M182&lt;&gt;"?"))</f>
        <v>2023</v>
      </c>
      <c r="U182" cm="1">
        <f t="array" ref="U182">MAX(_xlfn._xlws.FILTER(F$1:J$1, F182:J182&lt;&gt;"?"))</f>
        <v>2023</v>
      </c>
      <c r="V182">
        <f t="shared" si="10"/>
        <v>356</v>
      </c>
      <c r="W182">
        <f t="shared" si="11"/>
        <v>6</v>
      </c>
      <c r="X182">
        <f t="shared" si="12"/>
        <v>2</v>
      </c>
      <c r="Y182">
        <f t="shared" si="13"/>
        <v>364</v>
      </c>
      <c r="Z182">
        <f t="shared" si="14"/>
        <v>6.0494258031277529E-4</v>
      </c>
    </row>
    <row r="183" spans="1:26" ht="16" x14ac:dyDescent="0.2">
      <c r="A183" s="4" t="s">
        <v>552</v>
      </c>
      <c r="B183" s="4" t="s">
        <v>553</v>
      </c>
      <c r="C183" s="4" t="s">
        <v>554</v>
      </c>
      <c r="D183">
        <f>INDEX('Energieverbruik in TJ Gemeente'!$B$4:$Q$347,MATCH($C183,'Energieverbruik in TJ Gemeente'!$B$4:$B$347,0),MATCH(D$2,'Energieverbruik in TJ Gemeente'!$B$4:$Q$4,0))</f>
        <v>2088</v>
      </c>
      <c r="E183">
        <f>INDEX('Energieverbruik in TJ Gemeente'!$B$4:$Q$347,MATCH($C183,'Energieverbruik in TJ Gemeente'!$B$4:$B$347,0),MATCH(E$2,'Energieverbruik in TJ Gemeente'!$B$4:$Q$4,0))</f>
        <v>2024</v>
      </c>
      <c r="F183">
        <f>INDEX('Energieverbruik in TJ Gemeente'!$B$4:$Q$347,MATCH($C183,'Energieverbruik in TJ Gemeente'!$B$4:$B$347,0),MATCH(F$2,'Energieverbruik in TJ Gemeente'!$B$4:$Q$4,0))</f>
        <v>2033</v>
      </c>
      <c r="G183">
        <f>INDEX('Energieverbruik in TJ Gemeente'!$B$4:$Q$347,MATCH($C183,'Energieverbruik in TJ Gemeente'!$B$4:$B$347,0),MATCH(G$2,'Energieverbruik in TJ Gemeente'!$B$4:$Q$4,0))</f>
        <v>1772</v>
      </c>
      <c r="H183">
        <f>INDEX('Energieverbruik in TJ Gemeente'!$B$4:$Q$347,MATCH($C183,'Energieverbruik in TJ Gemeente'!$B$4:$B$347,0),MATCH(H$2,'Energieverbruik in TJ Gemeente'!$B$4:$Q$4,0))</f>
        <v>1456</v>
      </c>
      <c r="I183">
        <f>INDEX('Energieverbruik in TJ Gemeente'!$B$4:$Q$347,MATCH($C183,'Energieverbruik in TJ Gemeente'!$B$4:$B$347,0),MATCH(I$2,'Energieverbruik in TJ Gemeente'!$B$4:$Q$4,0))</f>
        <v>2107</v>
      </c>
      <c r="J183">
        <f>INDEX('Energieverbruik in TJ Gemeente'!$B$4:$Q$347,MATCH($C183,'Energieverbruik in TJ Gemeente'!$B$4:$B$347,0),MATCH(J$2,'Energieverbruik in TJ Gemeente'!$B$4:$Q$4,0))</f>
        <v>2074</v>
      </c>
      <c r="K183">
        <f>INDEX('Energieverbruik in TJ Gemeente'!$B$4:$Q$347,MATCH($C183,'Energieverbruik in TJ Gemeente'!$B$4:$B$347,0),MATCH(K$2,'Energieverbruik in TJ Gemeente'!$B$4:$Q$4,0))</f>
        <v>2186</v>
      </c>
      <c r="L183">
        <f>INDEX('Energieverbruik in TJ Gemeente'!$B$4:$Q$347,MATCH($C183,'Energieverbruik in TJ Gemeente'!$B$4:$B$347,0),MATCH(L$2,'Energieverbruik in TJ Gemeente'!$B$4:$Q$4,0))</f>
        <v>2090</v>
      </c>
      <c r="M183">
        <f>INDEX('Energieverbruik in TJ Gemeente'!$B$4:$Q$347,MATCH($C183,'Energieverbruik in TJ Gemeente'!$B$4:$B$347,0),MATCH(M$2,'Energieverbruik in TJ Gemeente'!$B$4:$Q$4,0))</f>
        <v>2106</v>
      </c>
      <c r="N183">
        <f>INDEX('Energieverbruik in TJ Gemeente'!$B$4:$Q$347,MATCH($C183,'Energieverbruik in TJ Gemeente'!$B$4:$B$347,0),MATCH(N$2,'Energieverbruik in TJ Gemeente'!$B$4:$Q$4,0))</f>
        <v>238</v>
      </c>
      <c r="O183">
        <f>INDEX('Energieverbruik in TJ Gemeente'!$B$4:$Q$347,MATCH($C183,'Energieverbruik in TJ Gemeente'!$B$4:$B$347,0),MATCH(O$2,'Energieverbruik in TJ Gemeente'!$B$4:$Q$4,0))</f>
        <v>197</v>
      </c>
      <c r="P183">
        <f>INDEX('Energieverbruik in TJ Gemeente'!$B$4:$Q$347,MATCH($C183,'Energieverbruik in TJ Gemeente'!$B$4:$B$347,0),MATCH(P$2,'Energieverbruik in TJ Gemeente'!$B$4:$Q$4,0))</f>
        <v>207</v>
      </c>
      <c r="Q183">
        <f>INDEX('Energieverbruik in TJ Gemeente'!$B$4:$Q$347,MATCH($C183,'Energieverbruik in TJ Gemeente'!$B$4:$B$347,0),MATCH(Q$2,'Energieverbruik in TJ Gemeente'!$B$4:$Q$4,0))</f>
        <v>143</v>
      </c>
      <c r="R183">
        <f>INDEX('Energieverbruik in TJ Gemeente'!$B$4:$Q$347,MATCH($C183,'Energieverbruik in TJ Gemeente'!$B$4:$B$347,0),MATCH(R$2,'Energieverbruik in TJ Gemeente'!$B$4:$Q$4,0))</f>
        <v>138</v>
      </c>
      <c r="S183" cm="1">
        <f t="array" ref="S183">MAX(_xlfn._xlws.FILTER(D$1:H$1, D183:H183&lt;&gt;"?"))</f>
        <v>2023</v>
      </c>
      <c r="T183" cm="1">
        <f t="array" ref="T183">MAX(_xlfn._xlws.FILTER(I$1:M$1, I183:M183&lt;&gt;"?"))</f>
        <v>2023</v>
      </c>
      <c r="U183" cm="1">
        <f t="array" ref="U183">MAX(_xlfn._xlws.FILTER(F$1:J$1, F183:J183&lt;&gt;"?"))</f>
        <v>2023</v>
      </c>
      <c r="V183">
        <f t="shared" si="10"/>
        <v>1456</v>
      </c>
      <c r="W183">
        <f t="shared" si="11"/>
        <v>2106</v>
      </c>
      <c r="X183">
        <f t="shared" si="12"/>
        <v>138</v>
      </c>
      <c r="Y183">
        <f t="shared" si="13"/>
        <v>3700</v>
      </c>
      <c r="Z183">
        <f t="shared" si="14"/>
        <v>6.1491416130694185E-3</v>
      </c>
    </row>
    <row r="184" spans="1:26" ht="16" x14ac:dyDescent="0.2">
      <c r="A184" s="4" t="s">
        <v>555</v>
      </c>
      <c r="B184" s="4" t="s">
        <v>556</v>
      </c>
      <c r="C184" s="4" t="s">
        <v>557</v>
      </c>
      <c r="D184">
        <f>INDEX('Energieverbruik in TJ Gemeente'!$B$4:$Q$347,MATCH($C184,'Energieverbruik in TJ Gemeente'!$B$4:$B$347,0),MATCH(D$2,'Energieverbruik in TJ Gemeente'!$B$4:$Q$4,0))</f>
        <v>889</v>
      </c>
      <c r="E184" t="str">
        <f>INDEX('Energieverbruik in TJ Gemeente'!$B$4:$Q$347,MATCH($C184,'Energieverbruik in TJ Gemeente'!$B$4:$B$347,0),MATCH(E$2,'Energieverbruik in TJ Gemeente'!$B$4:$Q$4,0))</f>
        <v>?</v>
      </c>
      <c r="F184">
        <f>INDEX('Energieverbruik in TJ Gemeente'!$B$4:$Q$347,MATCH($C184,'Energieverbruik in TJ Gemeente'!$B$4:$B$347,0),MATCH(F$2,'Energieverbruik in TJ Gemeente'!$B$4:$Q$4,0))</f>
        <v>893</v>
      </c>
      <c r="G184">
        <f>INDEX('Energieverbruik in TJ Gemeente'!$B$4:$Q$347,MATCH($C184,'Energieverbruik in TJ Gemeente'!$B$4:$B$347,0),MATCH(G$2,'Energieverbruik in TJ Gemeente'!$B$4:$Q$4,0))</f>
        <v>776</v>
      </c>
      <c r="H184">
        <f>INDEX('Energieverbruik in TJ Gemeente'!$B$4:$Q$347,MATCH($C184,'Energieverbruik in TJ Gemeente'!$B$4:$B$347,0),MATCH(H$2,'Energieverbruik in TJ Gemeente'!$B$4:$Q$4,0))</f>
        <v>651</v>
      </c>
      <c r="I184">
        <f>INDEX('Energieverbruik in TJ Gemeente'!$B$4:$Q$347,MATCH($C184,'Energieverbruik in TJ Gemeente'!$B$4:$B$347,0),MATCH(I$2,'Energieverbruik in TJ Gemeente'!$B$4:$Q$4,0))</f>
        <v>637</v>
      </c>
      <c r="J184" t="str">
        <f>INDEX('Energieverbruik in TJ Gemeente'!$B$4:$Q$347,MATCH($C184,'Energieverbruik in TJ Gemeente'!$B$4:$B$347,0),MATCH(J$2,'Energieverbruik in TJ Gemeente'!$B$4:$Q$4,0))</f>
        <v>?</v>
      </c>
      <c r="K184">
        <f>INDEX('Energieverbruik in TJ Gemeente'!$B$4:$Q$347,MATCH($C184,'Energieverbruik in TJ Gemeente'!$B$4:$B$347,0),MATCH(K$2,'Energieverbruik in TJ Gemeente'!$B$4:$Q$4,0))</f>
        <v>687</v>
      </c>
      <c r="L184">
        <f>INDEX('Energieverbruik in TJ Gemeente'!$B$4:$Q$347,MATCH($C184,'Energieverbruik in TJ Gemeente'!$B$4:$B$347,0),MATCH(L$2,'Energieverbruik in TJ Gemeente'!$B$4:$Q$4,0))</f>
        <v>646</v>
      </c>
      <c r="M184">
        <f>INDEX('Energieverbruik in TJ Gemeente'!$B$4:$Q$347,MATCH($C184,'Energieverbruik in TJ Gemeente'!$B$4:$B$347,0),MATCH(M$2,'Energieverbruik in TJ Gemeente'!$B$4:$Q$4,0))</f>
        <v>590</v>
      </c>
      <c r="N184">
        <f>INDEX('Energieverbruik in TJ Gemeente'!$B$4:$Q$347,MATCH($C184,'Energieverbruik in TJ Gemeente'!$B$4:$B$347,0),MATCH(N$2,'Energieverbruik in TJ Gemeente'!$B$4:$Q$4,0))</f>
        <v>12</v>
      </c>
      <c r="O184">
        <f>INDEX('Energieverbruik in TJ Gemeente'!$B$4:$Q$347,MATCH($C184,'Energieverbruik in TJ Gemeente'!$B$4:$B$347,0),MATCH(O$2,'Energieverbruik in TJ Gemeente'!$B$4:$Q$4,0))</f>
        <v>5</v>
      </c>
      <c r="P184">
        <f>INDEX('Energieverbruik in TJ Gemeente'!$B$4:$Q$347,MATCH($C184,'Energieverbruik in TJ Gemeente'!$B$4:$B$347,0),MATCH(P$2,'Energieverbruik in TJ Gemeente'!$B$4:$Q$4,0))</f>
        <v>6</v>
      </c>
      <c r="Q184">
        <f>INDEX('Energieverbruik in TJ Gemeente'!$B$4:$Q$347,MATCH($C184,'Energieverbruik in TJ Gemeente'!$B$4:$B$347,0),MATCH(Q$2,'Energieverbruik in TJ Gemeente'!$B$4:$Q$4,0))</f>
        <v>4</v>
      </c>
      <c r="R184">
        <f>INDEX('Energieverbruik in TJ Gemeente'!$B$4:$Q$347,MATCH($C184,'Energieverbruik in TJ Gemeente'!$B$4:$B$347,0),MATCH(R$2,'Energieverbruik in TJ Gemeente'!$B$4:$Q$4,0))</f>
        <v>4</v>
      </c>
      <c r="S184" cm="1">
        <f t="array" ref="S184">MAX(_xlfn._xlws.FILTER(D$1:H$1, D184:H184&lt;&gt;"?"))</f>
        <v>2023</v>
      </c>
      <c r="T184" cm="1">
        <f t="array" ref="T184">MAX(_xlfn._xlws.FILTER(I$1:M$1, I184:M184&lt;&gt;"?"))</f>
        <v>2023</v>
      </c>
      <c r="U184" cm="1">
        <f t="array" ref="U184">MAX(_xlfn._xlws.FILTER(F$1:J$1, F184:J184&lt;&gt;"?"))</f>
        <v>2023</v>
      </c>
      <c r="V184">
        <f t="shared" si="10"/>
        <v>651</v>
      </c>
      <c r="W184">
        <f t="shared" si="11"/>
        <v>590</v>
      </c>
      <c r="X184">
        <f t="shared" si="12"/>
        <v>4</v>
      </c>
      <c r="Y184">
        <f t="shared" si="13"/>
        <v>1245</v>
      </c>
      <c r="Z184">
        <f t="shared" si="14"/>
        <v>2.0691030562895747E-3</v>
      </c>
    </row>
    <row r="185" spans="1:26" ht="16" x14ac:dyDescent="0.2">
      <c r="A185" s="4" t="s">
        <v>558</v>
      </c>
      <c r="B185" s="4" t="s">
        <v>559</v>
      </c>
      <c r="C185" s="4" t="s">
        <v>560</v>
      </c>
      <c r="D185">
        <f>INDEX('Energieverbruik in TJ Gemeente'!$B$4:$Q$347,MATCH($C185,'Energieverbruik in TJ Gemeente'!$B$4:$B$347,0),MATCH(D$2,'Energieverbruik in TJ Gemeente'!$B$4:$Q$4,0))</f>
        <v>1188</v>
      </c>
      <c r="E185">
        <f>INDEX('Energieverbruik in TJ Gemeente'!$B$4:$Q$347,MATCH($C185,'Energieverbruik in TJ Gemeente'!$B$4:$B$347,0),MATCH(E$2,'Energieverbruik in TJ Gemeente'!$B$4:$Q$4,0))</f>
        <v>1145</v>
      </c>
      <c r="F185">
        <f>INDEX('Energieverbruik in TJ Gemeente'!$B$4:$Q$347,MATCH($C185,'Energieverbruik in TJ Gemeente'!$B$4:$B$347,0),MATCH(F$2,'Energieverbruik in TJ Gemeente'!$B$4:$Q$4,0))</f>
        <v>1183</v>
      </c>
      <c r="G185">
        <f>INDEX('Energieverbruik in TJ Gemeente'!$B$4:$Q$347,MATCH($C185,'Energieverbruik in TJ Gemeente'!$B$4:$B$347,0),MATCH(G$2,'Energieverbruik in TJ Gemeente'!$B$4:$Q$4,0))</f>
        <v>1030</v>
      </c>
      <c r="H185" t="str">
        <f>INDEX('Energieverbruik in TJ Gemeente'!$B$4:$Q$347,MATCH($C185,'Energieverbruik in TJ Gemeente'!$B$4:$B$347,0),MATCH(H$2,'Energieverbruik in TJ Gemeente'!$B$4:$Q$4,0))</f>
        <v>?</v>
      </c>
      <c r="I185" t="str">
        <f>INDEX('Energieverbruik in TJ Gemeente'!$B$4:$Q$347,MATCH($C185,'Energieverbruik in TJ Gemeente'!$B$4:$B$347,0),MATCH(I$2,'Energieverbruik in TJ Gemeente'!$B$4:$Q$4,0))</f>
        <v>?</v>
      </c>
      <c r="J185" t="str">
        <f>INDEX('Energieverbruik in TJ Gemeente'!$B$4:$Q$347,MATCH($C185,'Energieverbruik in TJ Gemeente'!$B$4:$B$347,0),MATCH(J$2,'Energieverbruik in TJ Gemeente'!$B$4:$Q$4,0))</f>
        <v>?</v>
      </c>
      <c r="K185" t="str">
        <f>INDEX('Energieverbruik in TJ Gemeente'!$B$4:$Q$347,MATCH($C185,'Energieverbruik in TJ Gemeente'!$B$4:$B$347,0),MATCH(K$2,'Energieverbruik in TJ Gemeente'!$B$4:$Q$4,0))</f>
        <v>?</v>
      </c>
      <c r="L185" t="str">
        <f>INDEX('Energieverbruik in TJ Gemeente'!$B$4:$Q$347,MATCH($C185,'Energieverbruik in TJ Gemeente'!$B$4:$B$347,0),MATCH(L$2,'Energieverbruik in TJ Gemeente'!$B$4:$Q$4,0))</f>
        <v>?</v>
      </c>
      <c r="M185" t="str">
        <f>INDEX('Energieverbruik in TJ Gemeente'!$B$4:$Q$347,MATCH($C185,'Energieverbruik in TJ Gemeente'!$B$4:$B$347,0),MATCH(M$2,'Energieverbruik in TJ Gemeente'!$B$4:$Q$4,0))</f>
        <v>?</v>
      </c>
      <c r="N185">
        <f>INDEX('Energieverbruik in TJ Gemeente'!$B$4:$Q$347,MATCH($C185,'Energieverbruik in TJ Gemeente'!$B$4:$B$347,0),MATCH(N$2,'Energieverbruik in TJ Gemeente'!$B$4:$Q$4,0))</f>
        <v>46</v>
      </c>
      <c r="O185">
        <f>INDEX('Energieverbruik in TJ Gemeente'!$B$4:$Q$347,MATCH($C185,'Energieverbruik in TJ Gemeente'!$B$4:$B$347,0),MATCH(O$2,'Energieverbruik in TJ Gemeente'!$B$4:$Q$4,0))</f>
        <v>24</v>
      </c>
      <c r="P185" t="str">
        <f>INDEX('Energieverbruik in TJ Gemeente'!$B$4:$Q$347,MATCH($C185,'Energieverbruik in TJ Gemeente'!$B$4:$B$347,0),MATCH(P$2,'Energieverbruik in TJ Gemeente'!$B$4:$Q$4,0))</f>
        <v>?</v>
      </c>
      <c r="Q185">
        <f>INDEX('Energieverbruik in TJ Gemeente'!$B$4:$Q$347,MATCH($C185,'Energieverbruik in TJ Gemeente'!$B$4:$B$347,0),MATCH(Q$2,'Energieverbruik in TJ Gemeente'!$B$4:$Q$4,0))</f>
        <v>28</v>
      </c>
      <c r="R185">
        <f>INDEX('Energieverbruik in TJ Gemeente'!$B$4:$Q$347,MATCH($C185,'Energieverbruik in TJ Gemeente'!$B$4:$B$347,0),MATCH(R$2,'Energieverbruik in TJ Gemeente'!$B$4:$Q$4,0))</f>
        <v>2</v>
      </c>
      <c r="S185" cm="1">
        <f t="array" ref="S185">MAX(_xlfn._xlws.FILTER(D$1:H$1, D185:H185&lt;&gt;"?"))</f>
        <v>2022</v>
      </c>
      <c r="T185" t="e" cm="1" vm="1">
        <f t="array" ref="T185">MAX(_xlfn._xlws.FILTER(I$1:M$1, I185:M185&lt;&gt;"?"))</f>
        <v>#VALUE!</v>
      </c>
      <c r="U185" cm="1">
        <f t="array" ref="U185">MAX(_xlfn._xlws.FILTER(F$1:J$1, F185:J185&lt;&gt;"?"))</f>
        <v>2022</v>
      </c>
      <c r="V185">
        <f t="shared" si="10"/>
        <v>1030</v>
      </c>
      <c r="W185">
        <f t="shared" si="11"/>
        <v>0</v>
      </c>
      <c r="X185">
        <f t="shared" si="12"/>
        <v>28</v>
      </c>
      <c r="Y185">
        <f t="shared" si="13"/>
        <v>1058</v>
      </c>
      <c r="Z185">
        <f t="shared" si="14"/>
        <v>1.7583221153047149E-3</v>
      </c>
    </row>
    <row r="186" spans="1:26" ht="32" x14ac:dyDescent="0.2">
      <c r="A186" s="4" t="s">
        <v>561</v>
      </c>
      <c r="B186" s="4" t="s">
        <v>562</v>
      </c>
      <c r="C186" s="4" t="s">
        <v>563</v>
      </c>
      <c r="D186">
        <f>INDEX('Energieverbruik in TJ Gemeente'!$B$4:$Q$347,MATCH($C186,'Energieverbruik in TJ Gemeente'!$B$4:$B$347,0),MATCH(D$2,'Energieverbruik in TJ Gemeente'!$B$4:$Q$4,0))</f>
        <v>368</v>
      </c>
      <c r="E186">
        <f>INDEX('Energieverbruik in TJ Gemeente'!$B$4:$Q$347,MATCH($C186,'Energieverbruik in TJ Gemeente'!$B$4:$B$347,0),MATCH(E$2,'Energieverbruik in TJ Gemeente'!$B$4:$Q$4,0))</f>
        <v>363</v>
      </c>
      <c r="F186">
        <f>INDEX('Energieverbruik in TJ Gemeente'!$B$4:$Q$347,MATCH($C186,'Energieverbruik in TJ Gemeente'!$B$4:$B$347,0),MATCH(F$2,'Energieverbruik in TJ Gemeente'!$B$4:$Q$4,0))</f>
        <v>446</v>
      </c>
      <c r="G186" t="str">
        <f>INDEX('Energieverbruik in TJ Gemeente'!$B$4:$Q$347,MATCH($C186,'Energieverbruik in TJ Gemeente'!$B$4:$B$347,0),MATCH(G$2,'Energieverbruik in TJ Gemeente'!$B$4:$Q$4,0))</f>
        <v>?</v>
      </c>
      <c r="H186" t="str">
        <f>INDEX('Energieverbruik in TJ Gemeente'!$B$4:$Q$347,MATCH($C186,'Energieverbruik in TJ Gemeente'!$B$4:$B$347,0),MATCH(H$2,'Energieverbruik in TJ Gemeente'!$B$4:$Q$4,0))</f>
        <v>?</v>
      </c>
      <c r="I186">
        <f>INDEX('Energieverbruik in TJ Gemeente'!$B$4:$Q$347,MATCH($C186,'Energieverbruik in TJ Gemeente'!$B$4:$B$347,0),MATCH(I$2,'Energieverbruik in TJ Gemeente'!$B$4:$Q$4,0))</f>
        <v>17</v>
      </c>
      <c r="J186">
        <f>INDEX('Energieverbruik in TJ Gemeente'!$B$4:$Q$347,MATCH($C186,'Energieverbruik in TJ Gemeente'!$B$4:$B$347,0),MATCH(J$2,'Energieverbruik in TJ Gemeente'!$B$4:$Q$4,0))</f>
        <v>16</v>
      </c>
      <c r="K186">
        <f>INDEX('Energieverbruik in TJ Gemeente'!$B$4:$Q$347,MATCH($C186,'Energieverbruik in TJ Gemeente'!$B$4:$B$347,0),MATCH(K$2,'Energieverbruik in TJ Gemeente'!$B$4:$Q$4,0))</f>
        <v>22</v>
      </c>
      <c r="L186" t="str">
        <f>INDEX('Energieverbruik in TJ Gemeente'!$B$4:$Q$347,MATCH($C186,'Energieverbruik in TJ Gemeente'!$B$4:$B$347,0),MATCH(L$2,'Energieverbruik in TJ Gemeente'!$B$4:$Q$4,0))</f>
        <v>?</v>
      </c>
      <c r="M186" t="str">
        <f>INDEX('Energieverbruik in TJ Gemeente'!$B$4:$Q$347,MATCH($C186,'Energieverbruik in TJ Gemeente'!$B$4:$B$347,0),MATCH(M$2,'Energieverbruik in TJ Gemeente'!$B$4:$Q$4,0))</f>
        <v>?</v>
      </c>
      <c r="N186">
        <f>INDEX('Energieverbruik in TJ Gemeente'!$B$4:$Q$347,MATCH($C186,'Energieverbruik in TJ Gemeente'!$B$4:$B$347,0),MATCH(N$2,'Energieverbruik in TJ Gemeente'!$B$4:$Q$4,0))</f>
        <v>2774</v>
      </c>
      <c r="O186">
        <f>INDEX('Energieverbruik in TJ Gemeente'!$B$4:$Q$347,MATCH($C186,'Energieverbruik in TJ Gemeente'!$B$4:$B$347,0),MATCH(O$2,'Energieverbruik in TJ Gemeente'!$B$4:$Q$4,0))</f>
        <v>2441</v>
      </c>
      <c r="P186">
        <f>INDEX('Energieverbruik in TJ Gemeente'!$B$4:$Q$347,MATCH($C186,'Energieverbruik in TJ Gemeente'!$B$4:$B$347,0),MATCH(P$2,'Energieverbruik in TJ Gemeente'!$B$4:$Q$4,0))</f>
        <v>2621</v>
      </c>
      <c r="Q186">
        <f>INDEX('Energieverbruik in TJ Gemeente'!$B$4:$Q$347,MATCH($C186,'Energieverbruik in TJ Gemeente'!$B$4:$B$347,0),MATCH(Q$2,'Energieverbruik in TJ Gemeente'!$B$4:$Q$4,0))</f>
        <v>1852</v>
      </c>
      <c r="R186">
        <f>INDEX('Energieverbruik in TJ Gemeente'!$B$4:$Q$347,MATCH($C186,'Energieverbruik in TJ Gemeente'!$B$4:$B$347,0),MATCH(R$2,'Energieverbruik in TJ Gemeente'!$B$4:$Q$4,0))</f>
        <v>1882</v>
      </c>
      <c r="S186" cm="1">
        <f t="array" ref="S186">MAX(_xlfn._xlws.FILTER(D$1:H$1, D186:H186&lt;&gt;"?"))</f>
        <v>2021</v>
      </c>
      <c r="T186" cm="1">
        <f t="array" ref="T186">MAX(_xlfn._xlws.FILTER(I$1:M$1, I186:M186&lt;&gt;"?"))</f>
        <v>2021</v>
      </c>
      <c r="U186" cm="1">
        <f t="array" ref="U186">MAX(_xlfn._xlws.FILTER(F$1:J$1, F186:J186&lt;&gt;"?"))</f>
        <v>2021</v>
      </c>
      <c r="V186">
        <f t="shared" si="10"/>
        <v>446</v>
      </c>
      <c r="W186">
        <f t="shared" si="11"/>
        <v>22</v>
      </c>
      <c r="X186">
        <f t="shared" si="12"/>
        <v>2621</v>
      </c>
      <c r="Y186">
        <f t="shared" si="13"/>
        <v>3089</v>
      </c>
      <c r="Z186">
        <f t="shared" si="14"/>
        <v>5.1337022818301178E-3</v>
      </c>
    </row>
    <row r="187" spans="1:26" ht="32" x14ac:dyDescent="0.2">
      <c r="A187" s="4" t="s">
        <v>564</v>
      </c>
      <c r="B187" s="4" t="s">
        <v>565</v>
      </c>
      <c r="C187" s="4" t="s">
        <v>566</v>
      </c>
      <c r="D187" t="str">
        <f>INDEX('Energieverbruik in TJ Gemeente'!$B$4:$Q$347,MATCH($C187,'Energieverbruik in TJ Gemeente'!$B$4:$B$347,0),MATCH(D$2,'Energieverbruik in TJ Gemeente'!$B$4:$Q$4,0))</f>
        <v>?</v>
      </c>
      <c r="E187">
        <f>INDEX('Energieverbruik in TJ Gemeente'!$B$4:$Q$347,MATCH($C187,'Energieverbruik in TJ Gemeente'!$B$4:$B$347,0),MATCH(E$2,'Energieverbruik in TJ Gemeente'!$B$4:$Q$4,0))</f>
        <v>973</v>
      </c>
      <c r="F187">
        <f>INDEX('Energieverbruik in TJ Gemeente'!$B$4:$Q$347,MATCH($C187,'Energieverbruik in TJ Gemeente'!$B$4:$B$347,0),MATCH(F$2,'Energieverbruik in TJ Gemeente'!$B$4:$Q$4,0))</f>
        <v>986</v>
      </c>
      <c r="G187">
        <f>INDEX('Energieverbruik in TJ Gemeente'!$B$4:$Q$347,MATCH($C187,'Energieverbruik in TJ Gemeente'!$B$4:$B$347,0),MATCH(G$2,'Energieverbruik in TJ Gemeente'!$B$4:$Q$4,0))</f>
        <v>861</v>
      </c>
      <c r="H187">
        <f>INDEX('Energieverbruik in TJ Gemeente'!$B$4:$Q$347,MATCH($C187,'Energieverbruik in TJ Gemeente'!$B$4:$B$347,0),MATCH(H$2,'Energieverbruik in TJ Gemeente'!$B$4:$Q$4,0))</f>
        <v>710</v>
      </c>
      <c r="I187" t="str">
        <f>INDEX('Energieverbruik in TJ Gemeente'!$B$4:$Q$347,MATCH($C187,'Energieverbruik in TJ Gemeente'!$B$4:$B$347,0),MATCH(I$2,'Energieverbruik in TJ Gemeente'!$B$4:$Q$4,0))</f>
        <v>?</v>
      </c>
      <c r="J187">
        <f>INDEX('Energieverbruik in TJ Gemeente'!$B$4:$Q$347,MATCH($C187,'Energieverbruik in TJ Gemeente'!$B$4:$B$347,0),MATCH(J$2,'Energieverbruik in TJ Gemeente'!$B$4:$Q$4,0))</f>
        <v>1050</v>
      </c>
      <c r="K187">
        <f>INDEX('Energieverbruik in TJ Gemeente'!$B$4:$Q$347,MATCH($C187,'Energieverbruik in TJ Gemeente'!$B$4:$B$347,0),MATCH(K$2,'Energieverbruik in TJ Gemeente'!$B$4:$Q$4,0))</f>
        <v>942</v>
      </c>
      <c r="L187">
        <f>INDEX('Energieverbruik in TJ Gemeente'!$B$4:$Q$347,MATCH($C187,'Energieverbruik in TJ Gemeente'!$B$4:$B$347,0),MATCH(L$2,'Energieverbruik in TJ Gemeente'!$B$4:$Q$4,0))</f>
        <v>876</v>
      </c>
      <c r="M187">
        <f>INDEX('Energieverbruik in TJ Gemeente'!$B$4:$Q$347,MATCH($C187,'Energieverbruik in TJ Gemeente'!$B$4:$B$347,0),MATCH(M$2,'Energieverbruik in TJ Gemeente'!$B$4:$Q$4,0))</f>
        <v>1201</v>
      </c>
      <c r="N187">
        <f>INDEX('Energieverbruik in TJ Gemeente'!$B$4:$Q$347,MATCH($C187,'Energieverbruik in TJ Gemeente'!$B$4:$B$347,0),MATCH(N$2,'Energieverbruik in TJ Gemeente'!$B$4:$Q$4,0))</f>
        <v>90</v>
      </c>
      <c r="O187">
        <f>INDEX('Energieverbruik in TJ Gemeente'!$B$4:$Q$347,MATCH($C187,'Energieverbruik in TJ Gemeente'!$B$4:$B$347,0),MATCH(O$2,'Energieverbruik in TJ Gemeente'!$B$4:$Q$4,0))</f>
        <v>88</v>
      </c>
      <c r="P187">
        <f>INDEX('Energieverbruik in TJ Gemeente'!$B$4:$Q$347,MATCH($C187,'Energieverbruik in TJ Gemeente'!$B$4:$B$347,0),MATCH(P$2,'Energieverbruik in TJ Gemeente'!$B$4:$Q$4,0))</f>
        <v>96</v>
      </c>
      <c r="Q187">
        <f>INDEX('Energieverbruik in TJ Gemeente'!$B$4:$Q$347,MATCH($C187,'Energieverbruik in TJ Gemeente'!$B$4:$B$347,0),MATCH(Q$2,'Energieverbruik in TJ Gemeente'!$B$4:$Q$4,0))</f>
        <v>74</v>
      </c>
      <c r="R187">
        <f>INDEX('Energieverbruik in TJ Gemeente'!$B$4:$Q$347,MATCH($C187,'Energieverbruik in TJ Gemeente'!$B$4:$B$347,0),MATCH(R$2,'Energieverbruik in TJ Gemeente'!$B$4:$Q$4,0))</f>
        <v>55</v>
      </c>
      <c r="S187" cm="1">
        <f t="array" ref="S187">MAX(_xlfn._xlws.FILTER(D$1:H$1, D187:H187&lt;&gt;"?"))</f>
        <v>2023</v>
      </c>
      <c r="T187" cm="1">
        <f t="array" ref="T187">MAX(_xlfn._xlws.FILTER(I$1:M$1, I187:M187&lt;&gt;"?"))</f>
        <v>2023</v>
      </c>
      <c r="U187" cm="1">
        <f t="array" ref="U187">MAX(_xlfn._xlws.FILTER(F$1:J$1, F187:J187&lt;&gt;"?"))</f>
        <v>2023</v>
      </c>
      <c r="V187">
        <f t="shared" si="10"/>
        <v>710</v>
      </c>
      <c r="W187">
        <f t="shared" si="11"/>
        <v>1201</v>
      </c>
      <c r="X187">
        <f t="shared" si="12"/>
        <v>55</v>
      </c>
      <c r="Y187">
        <f t="shared" si="13"/>
        <v>1966</v>
      </c>
      <c r="Z187">
        <f t="shared" si="14"/>
        <v>3.2673547057552642E-3</v>
      </c>
    </row>
    <row r="188" spans="1:26" ht="32" x14ac:dyDescent="0.2">
      <c r="A188" s="4" t="s">
        <v>567</v>
      </c>
      <c r="B188" s="4" t="s">
        <v>568</v>
      </c>
      <c r="C188" s="4" t="s">
        <v>569</v>
      </c>
      <c r="D188">
        <f>INDEX('Energieverbruik in TJ Gemeente'!$B$4:$Q$347,MATCH($C188,'Energieverbruik in TJ Gemeente'!$B$4:$B$347,0),MATCH(D$2,'Energieverbruik in TJ Gemeente'!$B$4:$Q$4,0))</f>
        <v>1699</v>
      </c>
      <c r="E188">
        <f>INDEX('Energieverbruik in TJ Gemeente'!$B$4:$Q$347,MATCH($C188,'Energieverbruik in TJ Gemeente'!$B$4:$B$347,0),MATCH(E$2,'Energieverbruik in TJ Gemeente'!$B$4:$Q$4,0))</f>
        <v>1683</v>
      </c>
      <c r="F188">
        <f>INDEX('Energieverbruik in TJ Gemeente'!$B$4:$Q$347,MATCH($C188,'Energieverbruik in TJ Gemeente'!$B$4:$B$347,0),MATCH(F$2,'Energieverbruik in TJ Gemeente'!$B$4:$Q$4,0))</f>
        <v>1679</v>
      </c>
      <c r="G188">
        <f>INDEX('Energieverbruik in TJ Gemeente'!$B$4:$Q$347,MATCH($C188,'Energieverbruik in TJ Gemeente'!$B$4:$B$347,0),MATCH(G$2,'Energieverbruik in TJ Gemeente'!$B$4:$Q$4,0))</f>
        <v>1459</v>
      </c>
      <c r="H188">
        <f>INDEX('Energieverbruik in TJ Gemeente'!$B$4:$Q$347,MATCH($C188,'Energieverbruik in TJ Gemeente'!$B$4:$B$347,0),MATCH(H$2,'Energieverbruik in TJ Gemeente'!$B$4:$Q$4,0))</f>
        <v>1188</v>
      </c>
      <c r="I188">
        <f>INDEX('Energieverbruik in TJ Gemeente'!$B$4:$Q$347,MATCH($C188,'Energieverbruik in TJ Gemeente'!$B$4:$B$347,0),MATCH(I$2,'Energieverbruik in TJ Gemeente'!$B$4:$Q$4,0))</f>
        <v>2440</v>
      </c>
      <c r="J188">
        <f>INDEX('Energieverbruik in TJ Gemeente'!$B$4:$Q$347,MATCH($C188,'Energieverbruik in TJ Gemeente'!$B$4:$B$347,0),MATCH(J$2,'Energieverbruik in TJ Gemeente'!$B$4:$Q$4,0))</f>
        <v>2434</v>
      </c>
      <c r="K188">
        <f>INDEX('Energieverbruik in TJ Gemeente'!$B$4:$Q$347,MATCH($C188,'Energieverbruik in TJ Gemeente'!$B$4:$B$347,0),MATCH(K$2,'Energieverbruik in TJ Gemeente'!$B$4:$Q$4,0))</f>
        <v>2415</v>
      </c>
      <c r="L188">
        <f>INDEX('Energieverbruik in TJ Gemeente'!$B$4:$Q$347,MATCH($C188,'Energieverbruik in TJ Gemeente'!$B$4:$B$347,0),MATCH(L$2,'Energieverbruik in TJ Gemeente'!$B$4:$Q$4,0))</f>
        <v>2036</v>
      </c>
      <c r="M188">
        <f>INDEX('Energieverbruik in TJ Gemeente'!$B$4:$Q$347,MATCH($C188,'Energieverbruik in TJ Gemeente'!$B$4:$B$347,0),MATCH(M$2,'Energieverbruik in TJ Gemeente'!$B$4:$Q$4,0))</f>
        <v>1608</v>
      </c>
      <c r="N188">
        <f>INDEX('Energieverbruik in TJ Gemeente'!$B$4:$Q$347,MATCH($C188,'Energieverbruik in TJ Gemeente'!$B$4:$B$347,0),MATCH(N$2,'Energieverbruik in TJ Gemeente'!$B$4:$Q$4,0))</f>
        <v>640</v>
      </c>
      <c r="O188">
        <f>INDEX('Energieverbruik in TJ Gemeente'!$B$4:$Q$347,MATCH($C188,'Energieverbruik in TJ Gemeente'!$B$4:$B$347,0),MATCH(O$2,'Energieverbruik in TJ Gemeente'!$B$4:$Q$4,0))</f>
        <v>744</v>
      </c>
      <c r="P188">
        <f>INDEX('Energieverbruik in TJ Gemeente'!$B$4:$Q$347,MATCH($C188,'Energieverbruik in TJ Gemeente'!$B$4:$B$347,0),MATCH(P$2,'Energieverbruik in TJ Gemeente'!$B$4:$Q$4,0))</f>
        <v>794</v>
      </c>
      <c r="Q188">
        <f>INDEX('Energieverbruik in TJ Gemeente'!$B$4:$Q$347,MATCH($C188,'Energieverbruik in TJ Gemeente'!$B$4:$B$347,0),MATCH(Q$2,'Energieverbruik in TJ Gemeente'!$B$4:$Q$4,0))</f>
        <v>604</v>
      </c>
      <c r="R188">
        <f>INDEX('Energieverbruik in TJ Gemeente'!$B$4:$Q$347,MATCH($C188,'Energieverbruik in TJ Gemeente'!$B$4:$B$347,0),MATCH(R$2,'Energieverbruik in TJ Gemeente'!$B$4:$Q$4,0))</f>
        <v>353</v>
      </c>
      <c r="S188" cm="1">
        <f t="array" ref="S188">MAX(_xlfn._xlws.FILTER(D$1:H$1, D188:H188&lt;&gt;"?"))</f>
        <v>2023</v>
      </c>
      <c r="T188" cm="1">
        <f t="array" ref="T188">MAX(_xlfn._xlws.FILTER(I$1:M$1, I188:M188&lt;&gt;"?"))</f>
        <v>2023</v>
      </c>
      <c r="U188" cm="1">
        <f t="array" ref="U188">MAX(_xlfn._xlws.FILTER(F$1:J$1, F188:J188&lt;&gt;"?"))</f>
        <v>2023</v>
      </c>
      <c r="V188">
        <f t="shared" si="10"/>
        <v>1188</v>
      </c>
      <c r="W188">
        <f t="shared" si="11"/>
        <v>1608</v>
      </c>
      <c r="X188">
        <f t="shared" si="12"/>
        <v>353</v>
      </c>
      <c r="Y188">
        <f t="shared" si="13"/>
        <v>3149</v>
      </c>
      <c r="Z188">
        <f t="shared" si="14"/>
        <v>5.2334180917717838E-3</v>
      </c>
    </row>
    <row r="189" spans="1:26" ht="16" x14ac:dyDescent="0.2">
      <c r="A189" s="4" t="s">
        <v>570</v>
      </c>
      <c r="B189" s="4" t="s">
        <v>571</v>
      </c>
      <c r="C189" s="4" t="s">
        <v>572</v>
      </c>
      <c r="D189">
        <f>INDEX('Energieverbruik in TJ Gemeente'!$B$4:$Q$347,MATCH($C189,'Energieverbruik in TJ Gemeente'!$B$4:$B$347,0),MATCH(D$2,'Energieverbruik in TJ Gemeente'!$B$4:$Q$4,0))</f>
        <v>1034</v>
      </c>
      <c r="E189">
        <f>INDEX('Energieverbruik in TJ Gemeente'!$B$4:$Q$347,MATCH($C189,'Energieverbruik in TJ Gemeente'!$B$4:$B$347,0),MATCH(E$2,'Energieverbruik in TJ Gemeente'!$B$4:$Q$4,0))</f>
        <v>1004</v>
      </c>
      <c r="F189">
        <f>INDEX('Energieverbruik in TJ Gemeente'!$B$4:$Q$347,MATCH($C189,'Energieverbruik in TJ Gemeente'!$B$4:$B$347,0),MATCH(F$2,'Energieverbruik in TJ Gemeente'!$B$4:$Q$4,0))</f>
        <v>1025</v>
      </c>
      <c r="G189">
        <f>INDEX('Energieverbruik in TJ Gemeente'!$B$4:$Q$347,MATCH($C189,'Energieverbruik in TJ Gemeente'!$B$4:$B$347,0),MATCH(G$2,'Energieverbruik in TJ Gemeente'!$B$4:$Q$4,0))</f>
        <v>878</v>
      </c>
      <c r="H189">
        <f>INDEX('Energieverbruik in TJ Gemeente'!$B$4:$Q$347,MATCH($C189,'Energieverbruik in TJ Gemeente'!$B$4:$B$347,0),MATCH(H$2,'Energieverbruik in TJ Gemeente'!$B$4:$Q$4,0))</f>
        <v>753</v>
      </c>
      <c r="I189" t="str">
        <f>INDEX('Energieverbruik in TJ Gemeente'!$B$4:$Q$347,MATCH($C189,'Energieverbruik in TJ Gemeente'!$B$4:$B$347,0),MATCH(I$2,'Energieverbruik in TJ Gemeente'!$B$4:$Q$4,0))</f>
        <v>?</v>
      </c>
      <c r="J189" t="str">
        <f>INDEX('Energieverbruik in TJ Gemeente'!$B$4:$Q$347,MATCH($C189,'Energieverbruik in TJ Gemeente'!$B$4:$B$347,0),MATCH(J$2,'Energieverbruik in TJ Gemeente'!$B$4:$Q$4,0))</f>
        <v>?</v>
      </c>
      <c r="K189">
        <f>INDEX('Energieverbruik in TJ Gemeente'!$B$4:$Q$347,MATCH($C189,'Energieverbruik in TJ Gemeente'!$B$4:$B$347,0),MATCH(K$2,'Energieverbruik in TJ Gemeente'!$B$4:$Q$4,0))</f>
        <v>8657</v>
      </c>
      <c r="L189">
        <f>INDEX('Energieverbruik in TJ Gemeente'!$B$4:$Q$347,MATCH($C189,'Energieverbruik in TJ Gemeente'!$B$4:$B$347,0),MATCH(L$2,'Energieverbruik in TJ Gemeente'!$B$4:$Q$4,0))</f>
        <v>6986</v>
      </c>
      <c r="M189" t="str">
        <f>INDEX('Energieverbruik in TJ Gemeente'!$B$4:$Q$347,MATCH($C189,'Energieverbruik in TJ Gemeente'!$B$4:$B$347,0),MATCH(M$2,'Energieverbruik in TJ Gemeente'!$B$4:$Q$4,0))</f>
        <v>?</v>
      </c>
      <c r="N189">
        <f>INDEX('Energieverbruik in TJ Gemeente'!$B$4:$Q$347,MATCH($C189,'Energieverbruik in TJ Gemeente'!$B$4:$B$347,0),MATCH(N$2,'Energieverbruik in TJ Gemeente'!$B$4:$Q$4,0))</f>
        <v>569</v>
      </c>
      <c r="O189">
        <f>INDEX('Energieverbruik in TJ Gemeente'!$B$4:$Q$347,MATCH($C189,'Energieverbruik in TJ Gemeente'!$B$4:$B$347,0),MATCH(O$2,'Energieverbruik in TJ Gemeente'!$B$4:$Q$4,0))</f>
        <v>515</v>
      </c>
      <c r="P189" t="str">
        <f>INDEX('Energieverbruik in TJ Gemeente'!$B$4:$Q$347,MATCH($C189,'Energieverbruik in TJ Gemeente'!$B$4:$B$347,0),MATCH(P$2,'Energieverbruik in TJ Gemeente'!$B$4:$Q$4,0))</f>
        <v>?</v>
      </c>
      <c r="Q189" t="str">
        <f>INDEX('Energieverbruik in TJ Gemeente'!$B$4:$Q$347,MATCH($C189,'Energieverbruik in TJ Gemeente'!$B$4:$B$347,0),MATCH(Q$2,'Energieverbruik in TJ Gemeente'!$B$4:$Q$4,0))</f>
        <v>?</v>
      </c>
      <c r="R189" t="str">
        <f>INDEX('Energieverbruik in TJ Gemeente'!$B$4:$Q$347,MATCH($C189,'Energieverbruik in TJ Gemeente'!$B$4:$B$347,0),MATCH(R$2,'Energieverbruik in TJ Gemeente'!$B$4:$Q$4,0))</f>
        <v>?</v>
      </c>
      <c r="S189" cm="1">
        <f t="array" ref="S189">MAX(_xlfn._xlws.FILTER(D$1:H$1, D189:H189&lt;&gt;"?"))</f>
        <v>2023</v>
      </c>
      <c r="T189" cm="1">
        <f t="array" ref="T189">MAX(_xlfn._xlws.FILTER(I$1:M$1, I189:M189&lt;&gt;"?"))</f>
        <v>2022</v>
      </c>
      <c r="U189" cm="1">
        <f t="array" ref="U189">MAX(_xlfn._xlws.FILTER(F$1:J$1, F189:J189&lt;&gt;"?"))</f>
        <v>2023</v>
      </c>
      <c r="V189">
        <f t="shared" si="10"/>
        <v>753</v>
      </c>
      <c r="W189">
        <f t="shared" si="11"/>
        <v>6986</v>
      </c>
      <c r="X189" t="str">
        <f t="shared" si="12"/>
        <v>?</v>
      </c>
      <c r="Y189">
        <f t="shared" si="13"/>
        <v>7739</v>
      </c>
      <c r="Z189">
        <f t="shared" si="14"/>
        <v>1.2861677552309252E-2</v>
      </c>
    </row>
    <row r="190" spans="1:26" ht="32" x14ac:dyDescent="0.2">
      <c r="A190" s="4" t="s">
        <v>573</v>
      </c>
      <c r="B190" s="4" t="s">
        <v>574</v>
      </c>
      <c r="C190" s="4" t="s">
        <v>575</v>
      </c>
      <c r="D190">
        <f>INDEX('Energieverbruik in TJ Gemeente'!$B$4:$Q$347,MATCH($C190,'Energieverbruik in TJ Gemeente'!$B$4:$B$347,0),MATCH(D$2,'Energieverbruik in TJ Gemeente'!$B$4:$Q$4,0))</f>
        <v>942</v>
      </c>
      <c r="E190">
        <f>INDEX('Energieverbruik in TJ Gemeente'!$B$4:$Q$347,MATCH($C190,'Energieverbruik in TJ Gemeente'!$B$4:$B$347,0),MATCH(E$2,'Energieverbruik in TJ Gemeente'!$B$4:$Q$4,0))</f>
        <v>908</v>
      </c>
      <c r="F190">
        <f>INDEX('Energieverbruik in TJ Gemeente'!$B$4:$Q$347,MATCH($C190,'Energieverbruik in TJ Gemeente'!$B$4:$B$347,0),MATCH(F$2,'Energieverbruik in TJ Gemeente'!$B$4:$Q$4,0))</f>
        <v>921</v>
      </c>
      <c r="G190">
        <f>INDEX('Energieverbruik in TJ Gemeente'!$B$4:$Q$347,MATCH($C190,'Energieverbruik in TJ Gemeente'!$B$4:$B$347,0),MATCH(G$2,'Energieverbruik in TJ Gemeente'!$B$4:$Q$4,0))</f>
        <v>802</v>
      </c>
      <c r="H190">
        <f>INDEX('Energieverbruik in TJ Gemeente'!$B$4:$Q$347,MATCH($C190,'Energieverbruik in TJ Gemeente'!$B$4:$B$347,0),MATCH(H$2,'Energieverbruik in TJ Gemeente'!$B$4:$Q$4,0))</f>
        <v>658</v>
      </c>
      <c r="I190">
        <f>INDEX('Energieverbruik in TJ Gemeente'!$B$4:$Q$347,MATCH($C190,'Energieverbruik in TJ Gemeente'!$B$4:$B$347,0),MATCH(I$2,'Energieverbruik in TJ Gemeente'!$B$4:$Q$4,0))</f>
        <v>321</v>
      </c>
      <c r="J190">
        <f>INDEX('Energieverbruik in TJ Gemeente'!$B$4:$Q$347,MATCH($C190,'Energieverbruik in TJ Gemeente'!$B$4:$B$347,0),MATCH(J$2,'Energieverbruik in TJ Gemeente'!$B$4:$Q$4,0))</f>
        <v>273</v>
      </c>
      <c r="K190">
        <f>INDEX('Energieverbruik in TJ Gemeente'!$B$4:$Q$347,MATCH($C190,'Energieverbruik in TJ Gemeente'!$B$4:$B$347,0),MATCH(K$2,'Energieverbruik in TJ Gemeente'!$B$4:$Q$4,0))</f>
        <v>282</v>
      </c>
      <c r="L190">
        <f>INDEX('Energieverbruik in TJ Gemeente'!$B$4:$Q$347,MATCH($C190,'Energieverbruik in TJ Gemeente'!$B$4:$B$347,0),MATCH(L$2,'Energieverbruik in TJ Gemeente'!$B$4:$Q$4,0))</f>
        <v>253</v>
      </c>
      <c r="M190">
        <f>INDEX('Energieverbruik in TJ Gemeente'!$B$4:$Q$347,MATCH($C190,'Energieverbruik in TJ Gemeente'!$B$4:$B$347,0),MATCH(M$2,'Energieverbruik in TJ Gemeente'!$B$4:$Q$4,0))</f>
        <v>243</v>
      </c>
      <c r="N190">
        <f>INDEX('Energieverbruik in TJ Gemeente'!$B$4:$Q$347,MATCH($C190,'Energieverbruik in TJ Gemeente'!$B$4:$B$347,0),MATCH(N$2,'Energieverbruik in TJ Gemeente'!$B$4:$Q$4,0))</f>
        <v>30</v>
      </c>
      <c r="O190">
        <f>INDEX('Energieverbruik in TJ Gemeente'!$B$4:$Q$347,MATCH($C190,'Energieverbruik in TJ Gemeente'!$B$4:$B$347,0),MATCH(O$2,'Energieverbruik in TJ Gemeente'!$B$4:$Q$4,0))</f>
        <v>28</v>
      </c>
      <c r="P190">
        <f>INDEX('Energieverbruik in TJ Gemeente'!$B$4:$Q$347,MATCH($C190,'Energieverbruik in TJ Gemeente'!$B$4:$B$347,0),MATCH(P$2,'Energieverbruik in TJ Gemeente'!$B$4:$Q$4,0))</f>
        <v>31</v>
      </c>
      <c r="Q190">
        <f>INDEX('Energieverbruik in TJ Gemeente'!$B$4:$Q$347,MATCH($C190,'Energieverbruik in TJ Gemeente'!$B$4:$B$347,0),MATCH(Q$2,'Energieverbruik in TJ Gemeente'!$B$4:$Q$4,0))</f>
        <v>26</v>
      </c>
      <c r="R190">
        <f>INDEX('Energieverbruik in TJ Gemeente'!$B$4:$Q$347,MATCH($C190,'Energieverbruik in TJ Gemeente'!$B$4:$B$347,0),MATCH(R$2,'Energieverbruik in TJ Gemeente'!$B$4:$Q$4,0))</f>
        <v>22</v>
      </c>
      <c r="S190" cm="1">
        <f t="array" ref="S190">MAX(_xlfn._xlws.FILTER(D$1:H$1, D190:H190&lt;&gt;"?"))</f>
        <v>2023</v>
      </c>
      <c r="T190" cm="1">
        <f t="array" ref="T190">MAX(_xlfn._xlws.FILTER(I$1:M$1, I190:M190&lt;&gt;"?"))</f>
        <v>2023</v>
      </c>
      <c r="U190" cm="1">
        <f t="array" ref="U190">MAX(_xlfn._xlws.FILTER(F$1:J$1, F190:J190&lt;&gt;"?"))</f>
        <v>2023</v>
      </c>
      <c r="V190">
        <f t="shared" si="10"/>
        <v>658</v>
      </c>
      <c r="W190">
        <f t="shared" si="11"/>
        <v>243</v>
      </c>
      <c r="X190">
        <f t="shared" si="12"/>
        <v>22</v>
      </c>
      <c r="Y190">
        <f t="shared" si="13"/>
        <v>923</v>
      </c>
      <c r="Z190">
        <f t="shared" si="14"/>
        <v>1.5339615429359659E-3</v>
      </c>
    </row>
    <row r="191" spans="1:26" ht="16" x14ac:dyDescent="0.2">
      <c r="A191" s="4" t="s">
        <v>576</v>
      </c>
      <c r="B191" s="4" t="s">
        <v>577</v>
      </c>
      <c r="C191" s="4" t="s">
        <v>578</v>
      </c>
      <c r="D191">
        <f>INDEX('Energieverbruik in TJ Gemeente'!$B$4:$Q$347,MATCH($C191,'Energieverbruik in TJ Gemeente'!$B$4:$B$347,0),MATCH(D$2,'Energieverbruik in TJ Gemeente'!$B$4:$Q$4,0))</f>
        <v>928</v>
      </c>
      <c r="E191">
        <f>INDEX('Energieverbruik in TJ Gemeente'!$B$4:$Q$347,MATCH($C191,'Energieverbruik in TJ Gemeente'!$B$4:$B$347,0),MATCH(E$2,'Energieverbruik in TJ Gemeente'!$B$4:$Q$4,0))</f>
        <v>901</v>
      </c>
      <c r="F191">
        <f>INDEX('Energieverbruik in TJ Gemeente'!$B$4:$Q$347,MATCH($C191,'Energieverbruik in TJ Gemeente'!$B$4:$B$347,0),MATCH(F$2,'Energieverbruik in TJ Gemeente'!$B$4:$Q$4,0))</f>
        <v>899</v>
      </c>
      <c r="G191">
        <f>INDEX('Energieverbruik in TJ Gemeente'!$B$4:$Q$347,MATCH($C191,'Energieverbruik in TJ Gemeente'!$B$4:$B$347,0),MATCH(G$2,'Energieverbruik in TJ Gemeente'!$B$4:$Q$4,0))</f>
        <v>795</v>
      </c>
      <c r="H191">
        <f>INDEX('Energieverbruik in TJ Gemeente'!$B$4:$Q$347,MATCH($C191,'Energieverbruik in TJ Gemeente'!$B$4:$B$347,0),MATCH(H$2,'Energieverbruik in TJ Gemeente'!$B$4:$Q$4,0))</f>
        <v>634</v>
      </c>
      <c r="I191">
        <f>INDEX('Energieverbruik in TJ Gemeente'!$B$4:$Q$347,MATCH($C191,'Energieverbruik in TJ Gemeente'!$B$4:$B$347,0),MATCH(I$2,'Energieverbruik in TJ Gemeente'!$B$4:$Q$4,0))</f>
        <v>375</v>
      </c>
      <c r="J191">
        <f>INDEX('Energieverbruik in TJ Gemeente'!$B$4:$Q$347,MATCH($C191,'Energieverbruik in TJ Gemeente'!$B$4:$B$347,0),MATCH(J$2,'Energieverbruik in TJ Gemeente'!$B$4:$Q$4,0))</f>
        <v>362</v>
      </c>
      <c r="K191">
        <f>INDEX('Energieverbruik in TJ Gemeente'!$B$4:$Q$347,MATCH($C191,'Energieverbruik in TJ Gemeente'!$B$4:$B$347,0),MATCH(K$2,'Energieverbruik in TJ Gemeente'!$B$4:$Q$4,0))</f>
        <v>364</v>
      </c>
      <c r="L191">
        <f>INDEX('Energieverbruik in TJ Gemeente'!$B$4:$Q$347,MATCH($C191,'Energieverbruik in TJ Gemeente'!$B$4:$B$347,0),MATCH(L$2,'Energieverbruik in TJ Gemeente'!$B$4:$Q$4,0))</f>
        <v>294</v>
      </c>
      <c r="M191">
        <f>INDEX('Energieverbruik in TJ Gemeente'!$B$4:$Q$347,MATCH($C191,'Energieverbruik in TJ Gemeente'!$B$4:$B$347,0),MATCH(M$2,'Energieverbruik in TJ Gemeente'!$B$4:$Q$4,0))</f>
        <v>134</v>
      </c>
      <c r="N191">
        <f>INDEX('Energieverbruik in TJ Gemeente'!$B$4:$Q$347,MATCH($C191,'Energieverbruik in TJ Gemeente'!$B$4:$B$347,0),MATCH(N$2,'Energieverbruik in TJ Gemeente'!$B$4:$Q$4,0))</f>
        <v>31</v>
      </c>
      <c r="O191">
        <f>INDEX('Energieverbruik in TJ Gemeente'!$B$4:$Q$347,MATCH($C191,'Energieverbruik in TJ Gemeente'!$B$4:$B$347,0),MATCH(O$2,'Energieverbruik in TJ Gemeente'!$B$4:$Q$4,0))</f>
        <v>20</v>
      </c>
      <c r="P191">
        <f>INDEX('Energieverbruik in TJ Gemeente'!$B$4:$Q$347,MATCH($C191,'Energieverbruik in TJ Gemeente'!$B$4:$B$347,0),MATCH(P$2,'Energieverbruik in TJ Gemeente'!$B$4:$Q$4,0))</f>
        <v>21</v>
      </c>
      <c r="Q191">
        <f>INDEX('Energieverbruik in TJ Gemeente'!$B$4:$Q$347,MATCH($C191,'Energieverbruik in TJ Gemeente'!$B$4:$B$347,0),MATCH(Q$2,'Energieverbruik in TJ Gemeente'!$B$4:$Q$4,0))</f>
        <v>18</v>
      </c>
      <c r="R191">
        <f>INDEX('Energieverbruik in TJ Gemeente'!$B$4:$Q$347,MATCH($C191,'Energieverbruik in TJ Gemeente'!$B$4:$B$347,0),MATCH(R$2,'Energieverbruik in TJ Gemeente'!$B$4:$Q$4,0))</f>
        <v>14</v>
      </c>
      <c r="S191" cm="1">
        <f t="array" ref="S191">MAX(_xlfn._xlws.FILTER(D$1:H$1, D191:H191&lt;&gt;"?"))</f>
        <v>2023</v>
      </c>
      <c r="T191" cm="1">
        <f t="array" ref="T191">MAX(_xlfn._xlws.FILTER(I$1:M$1, I191:M191&lt;&gt;"?"))</f>
        <v>2023</v>
      </c>
      <c r="U191" cm="1">
        <f t="array" ref="U191">MAX(_xlfn._xlws.FILTER(F$1:J$1, F191:J191&lt;&gt;"?"))</f>
        <v>2023</v>
      </c>
      <c r="V191">
        <f t="shared" si="10"/>
        <v>634</v>
      </c>
      <c r="W191">
        <f t="shared" si="11"/>
        <v>134</v>
      </c>
      <c r="X191">
        <f t="shared" si="12"/>
        <v>14</v>
      </c>
      <c r="Y191">
        <f t="shared" si="13"/>
        <v>782</v>
      </c>
      <c r="Z191">
        <f t="shared" si="14"/>
        <v>1.2996293895730501E-3</v>
      </c>
    </row>
    <row r="192" spans="1:26" ht="16" x14ac:dyDescent="0.2">
      <c r="A192" s="4" t="s">
        <v>579</v>
      </c>
      <c r="B192" s="4" t="s">
        <v>580</v>
      </c>
      <c r="C192" s="4" t="s">
        <v>581</v>
      </c>
      <c r="D192">
        <f>INDEX('Energieverbruik in TJ Gemeente'!$B$4:$Q$347,MATCH($C192,'Energieverbruik in TJ Gemeente'!$B$4:$B$347,0),MATCH(D$2,'Energieverbruik in TJ Gemeente'!$B$4:$Q$4,0))</f>
        <v>328</v>
      </c>
      <c r="E192">
        <f>INDEX('Energieverbruik in TJ Gemeente'!$B$4:$Q$347,MATCH($C192,'Energieverbruik in TJ Gemeente'!$B$4:$B$347,0),MATCH(E$2,'Energieverbruik in TJ Gemeente'!$B$4:$Q$4,0))</f>
        <v>314</v>
      </c>
      <c r="F192">
        <f>INDEX('Energieverbruik in TJ Gemeente'!$B$4:$Q$347,MATCH($C192,'Energieverbruik in TJ Gemeente'!$B$4:$B$347,0),MATCH(F$2,'Energieverbruik in TJ Gemeente'!$B$4:$Q$4,0))</f>
        <v>323</v>
      </c>
      <c r="G192">
        <f>INDEX('Energieverbruik in TJ Gemeente'!$B$4:$Q$347,MATCH($C192,'Energieverbruik in TJ Gemeente'!$B$4:$B$347,0),MATCH(G$2,'Energieverbruik in TJ Gemeente'!$B$4:$Q$4,0))</f>
        <v>276</v>
      </c>
      <c r="H192">
        <f>INDEX('Energieverbruik in TJ Gemeente'!$B$4:$Q$347,MATCH($C192,'Energieverbruik in TJ Gemeente'!$B$4:$B$347,0),MATCH(H$2,'Energieverbruik in TJ Gemeente'!$B$4:$Q$4,0))</f>
        <v>234</v>
      </c>
      <c r="I192">
        <f>INDEX('Energieverbruik in TJ Gemeente'!$B$4:$Q$347,MATCH($C192,'Energieverbruik in TJ Gemeente'!$B$4:$B$347,0),MATCH(I$2,'Energieverbruik in TJ Gemeente'!$B$4:$Q$4,0))</f>
        <v>23</v>
      </c>
      <c r="J192">
        <f>INDEX('Energieverbruik in TJ Gemeente'!$B$4:$Q$347,MATCH($C192,'Energieverbruik in TJ Gemeente'!$B$4:$B$347,0),MATCH(J$2,'Energieverbruik in TJ Gemeente'!$B$4:$Q$4,0))</f>
        <v>20</v>
      </c>
      <c r="K192">
        <f>INDEX('Energieverbruik in TJ Gemeente'!$B$4:$Q$347,MATCH($C192,'Energieverbruik in TJ Gemeente'!$B$4:$B$347,0),MATCH(K$2,'Energieverbruik in TJ Gemeente'!$B$4:$Q$4,0))</f>
        <v>22</v>
      </c>
      <c r="L192">
        <f>INDEX('Energieverbruik in TJ Gemeente'!$B$4:$Q$347,MATCH($C192,'Energieverbruik in TJ Gemeente'!$B$4:$B$347,0),MATCH(L$2,'Energieverbruik in TJ Gemeente'!$B$4:$Q$4,0))</f>
        <v>19</v>
      </c>
      <c r="M192">
        <f>INDEX('Energieverbruik in TJ Gemeente'!$B$4:$Q$347,MATCH($C192,'Energieverbruik in TJ Gemeente'!$B$4:$B$347,0),MATCH(M$2,'Energieverbruik in TJ Gemeente'!$B$4:$Q$4,0))</f>
        <v>18</v>
      </c>
      <c r="N192">
        <f>INDEX('Energieverbruik in TJ Gemeente'!$B$4:$Q$347,MATCH($C192,'Energieverbruik in TJ Gemeente'!$B$4:$B$347,0),MATCH(N$2,'Energieverbruik in TJ Gemeente'!$B$4:$Q$4,0))</f>
        <v>11</v>
      </c>
      <c r="O192">
        <f>INDEX('Energieverbruik in TJ Gemeente'!$B$4:$Q$347,MATCH($C192,'Energieverbruik in TJ Gemeente'!$B$4:$B$347,0),MATCH(O$2,'Energieverbruik in TJ Gemeente'!$B$4:$Q$4,0))</f>
        <v>10</v>
      </c>
      <c r="P192">
        <f>INDEX('Energieverbruik in TJ Gemeente'!$B$4:$Q$347,MATCH($C192,'Energieverbruik in TJ Gemeente'!$B$4:$B$347,0),MATCH(P$2,'Energieverbruik in TJ Gemeente'!$B$4:$Q$4,0))</f>
        <v>11</v>
      </c>
      <c r="Q192">
        <f>INDEX('Energieverbruik in TJ Gemeente'!$B$4:$Q$347,MATCH($C192,'Energieverbruik in TJ Gemeente'!$B$4:$B$347,0),MATCH(Q$2,'Energieverbruik in TJ Gemeente'!$B$4:$Q$4,0))</f>
        <v>9</v>
      </c>
      <c r="R192">
        <f>INDEX('Energieverbruik in TJ Gemeente'!$B$4:$Q$347,MATCH($C192,'Energieverbruik in TJ Gemeente'!$B$4:$B$347,0),MATCH(R$2,'Energieverbruik in TJ Gemeente'!$B$4:$Q$4,0))</f>
        <v>8</v>
      </c>
      <c r="S192" cm="1">
        <f t="array" ref="S192">MAX(_xlfn._xlws.FILTER(D$1:H$1, D192:H192&lt;&gt;"?"))</f>
        <v>2023</v>
      </c>
      <c r="T192" cm="1">
        <f t="array" ref="T192">MAX(_xlfn._xlws.FILTER(I$1:M$1, I192:M192&lt;&gt;"?"))</f>
        <v>2023</v>
      </c>
      <c r="U192" cm="1">
        <f t="array" ref="U192">MAX(_xlfn._xlws.FILTER(F$1:J$1, F192:J192&lt;&gt;"?"))</f>
        <v>2023</v>
      </c>
      <c r="V192">
        <f t="shared" si="10"/>
        <v>234</v>
      </c>
      <c r="W192">
        <f t="shared" si="11"/>
        <v>18</v>
      </c>
      <c r="X192">
        <f t="shared" si="12"/>
        <v>8</v>
      </c>
      <c r="Y192">
        <f t="shared" si="13"/>
        <v>260</v>
      </c>
      <c r="Z192">
        <f t="shared" si="14"/>
        <v>4.3210184308055378E-4</v>
      </c>
    </row>
    <row r="193" spans="1:26" ht="32" x14ac:dyDescent="0.2">
      <c r="A193" s="4" t="s">
        <v>582</v>
      </c>
      <c r="B193" s="4" t="s">
        <v>583</v>
      </c>
      <c r="C193" s="4" t="s">
        <v>584</v>
      </c>
      <c r="D193" t="str">
        <f>INDEX('Energieverbruik in TJ Gemeente'!$B$4:$Q$347,MATCH($C193,'Energieverbruik in TJ Gemeente'!$B$4:$B$347,0),MATCH(D$2,'Energieverbruik in TJ Gemeente'!$B$4:$Q$4,0))</f>
        <v>?</v>
      </c>
      <c r="E193" t="str">
        <f>INDEX('Energieverbruik in TJ Gemeente'!$B$4:$Q$347,MATCH($C193,'Energieverbruik in TJ Gemeente'!$B$4:$B$347,0),MATCH(E$2,'Energieverbruik in TJ Gemeente'!$B$4:$Q$4,0))</f>
        <v>?</v>
      </c>
      <c r="F193" t="str">
        <f>INDEX('Energieverbruik in TJ Gemeente'!$B$4:$Q$347,MATCH($C193,'Energieverbruik in TJ Gemeente'!$B$4:$B$347,0),MATCH(F$2,'Energieverbruik in TJ Gemeente'!$B$4:$Q$4,0))</f>
        <v>?</v>
      </c>
      <c r="G193">
        <f>INDEX('Energieverbruik in TJ Gemeente'!$B$4:$Q$347,MATCH($C193,'Energieverbruik in TJ Gemeente'!$B$4:$B$347,0),MATCH(G$2,'Energieverbruik in TJ Gemeente'!$B$4:$Q$4,0))</f>
        <v>187</v>
      </c>
      <c r="H193">
        <f>INDEX('Energieverbruik in TJ Gemeente'!$B$4:$Q$347,MATCH($C193,'Energieverbruik in TJ Gemeente'!$B$4:$B$347,0),MATCH(H$2,'Energieverbruik in TJ Gemeente'!$B$4:$Q$4,0))</f>
        <v>149</v>
      </c>
      <c r="I193">
        <f>INDEX('Energieverbruik in TJ Gemeente'!$B$4:$Q$347,MATCH($C193,'Energieverbruik in TJ Gemeente'!$B$4:$B$347,0),MATCH(I$2,'Energieverbruik in TJ Gemeente'!$B$4:$Q$4,0))</f>
        <v>42</v>
      </c>
      <c r="J193">
        <f>INDEX('Energieverbruik in TJ Gemeente'!$B$4:$Q$347,MATCH($C193,'Energieverbruik in TJ Gemeente'!$B$4:$B$347,0),MATCH(J$2,'Energieverbruik in TJ Gemeente'!$B$4:$Q$4,0))</f>
        <v>40</v>
      </c>
      <c r="K193">
        <f>INDEX('Energieverbruik in TJ Gemeente'!$B$4:$Q$347,MATCH($C193,'Energieverbruik in TJ Gemeente'!$B$4:$B$347,0),MATCH(K$2,'Energieverbruik in TJ Gemeente'!$B$4:$Q$4,0))</f>
        <v>41</v>
      </c>
      <c r="L193">
        <f>INDEX('Energieverbruik in TJ Gemeente'!$B$4:$Q$347,MATCH($C193,'Energieverbruik in TJ Gemeente'!$B$4:$B$347,0),MATCH(L$2,'Energieverbruik in TJ Gemeente'!$B$4:$Q$4,0))</f>
        <v>34</v>
      </c>
      <c r="M193">
        <f>INDEX('Energieverbruik in TJ Gemeente'!$B$4:$Q$347,MATCH($C193,'Energieverbruik in TJ Gemeente'!$B$4:$B$347,0),MATCH(M$2,'Energieverbruik in TJ Gemeente'!$B$4:$Q$4,0))</f>
        <v>32</v>
      </c>
      <c r="N193">
        <f>INDEX('Energieverbruik in TJ Gemeente'!$B$4:$Q$347,MATCH($C193,'Energieverbruik in TJ Gemeente'!$B$4:$B$347,0),MATCH(N$2,'Energieverbruik in TJ Gemeente'!$B$4:$Q$4,0))</f>
        <v>2</v>
      </c>
      <c r="O193">
        <f>INDEX('Energieverbruik in TJ Gemeente'!$B$4:$Q$347,MATCH($C193,'Energieverbruik in TJ Gemeente'!$B$4:$B$347,0),MATCH(O$2,'Energieverbruik in TJ Gemeente'!$B$4:$Q$4,0))</f>
        <v>1</v>
      </c>
      <c r="P193">
        <f>INDEX('Energieverbruik in TJ Gemeente'!$B$4:$Q$347,MATCH($C193,'Energieverbruik in TJ Gemeente'!$B$4:$B$347,0),MATCH(P$2,'Energieverbruik in TJ Gemeente'!$B$4:$Q$4,0))</f>
        <v>2</v>
      </c>
      <c r="Q193">
        <f>INDEX('Energieverbruik in TJ Gemeente'!$B$4:$Q$347,MATCH($C193,'Energieverbruik in TJ Gemeente'!$B$4:$B$347,0),MATCH(Q$2,'Energieverbruik in TJ Gemeente'!$B$4:$Q$4,0))</f>
        <v>1</v>
      </c>
      <c r="R193">
        <f>INDEX('Energieverbruik in TJ Gemeente'!$B$4:$Q$347,MATCH($C193,'Energieverbruik in TJ Gemeente'!$B$4:$B$347,0),MATCH(R$2,'Energieverbruik in TJ Gemeente'!$B$4:$Q$4,0))</f>
        <v>1</v>
      </c>
      <c r="S193" cm="1">
        <f t="array" ref="S193">MAX(_xlfn._xlws.FILTER(D$1:H$1, D193:H193&lt;&gt;"?"))</f>
        <v>2023</v>
      </c>
      <c r="T193" cm="1">
        <f t="array" ref="T193">MAX(_xlfn._xlws.FILTER(I$1:M$1, I193:M193&lt;&gt;"?"))</f>
        <v>2023</v>
      </c>
      <c r="U193" cm="1">
        <f t="array" ref="U193">MAX(_xlfn._xlws.FILTER(F$1:J$1, F193:J193&lt;&gt;"?"))</f>
        <v>2023</v>
      </c>
      <c r="V193">
        <f t="shared" si="10"/>
        <v>149</v>
      </c>
      <c r="W193">
        <f t="shared" si="11"/>
        <v>32</v>
      </c>
      <c r="X193">
        <f t="shared" si="12"/>
        <v>1</v>
      </c>
      <c r="Y193">
        <f t="shared" si="13"/>
        <v>182</v>
      </c>
      <c r="Z193">
        <f t="shared" si="14"/>
        <v>3.0247129015638764E-4</v>
      </c>
    </row>
    <row r="194" spans="1:26" ht="32" x14ac:dyDescent="0.2">
      <c r="A194" s="4" t="s">
        <v>585</v>
      </c>
      <c r="B194" s="4" t="s">
        <v>586</v>
      </c>
      <c r="C194" s="4" t="s">
        <v>587</v>
      </c>
      <c r="D194">
        <f>INDEX('Energieverbruik in TJ Gemeente'!$B$4:$Q$347,MATCH($C194,'Energieverbruik in TJ Gemeente'!$B$4:$B$347,0),MATCH(D$2,'Energieverbruik in TJ Gemeente'!$B$4:$Q$4,0))</f>
        <v>549</v>
      </c>
      <c r="E194">
        <f>INDEX('Energieverbruik in TJ Gemeente'!$B$4:$Q$347,MATCH($C194,'Energieverbruik in TJ Gemeente'!$B$4:$B$347,0),MATCH(E$2,'Energieverbruik in TJ Gemeente'!$B$4:$Q$4,0))</f>
        <v>536</v>
      </c>
      <c r="F194">
        <f>INDEX('Energieverbruik in TJ Gemeente'!$B$4:$Q$347,MATCH($C194,'Energieverbruik in TJ Gemeente'!$B$4:$B$347,0),MATCH(F$2,'Energieverbruik in TJ Gemeente'!$B$4:$Q$4,0))</f>
        <v>540</v>
      </c>
      <c r="G194">
        <f>INDEX('Energieverbruik in TJ Gemeente'!$B$4:$Q$347,MATCH($C194,'Energieverbruik in TJ Gemeente'!$B$4:$B$347,0),MATCH(G$2,'Energieverbruik in TJ Gemeente'!$B$4:$Q$4,0))</f>
        <v>476</v>
      </c>
      <c r="H194">
        <f>INDEX('Energieverbruik in TJ Gemeente'!$B$4:$Q$347,MATCH($C194,'Energieverbruik in TJ Gemeente'!$B$4:$B$347,0),MATCH(H$2,'Energieverbruik in TJ Gemeente'!$B$4:$Q$4,0))</f>
        <v>388</v>
      </c>
      <c r="I194">
        <f>INDEX('Energieverbruik in TJ Gemeente'!$B$4:$Q$347,MATCH($C194,'Energieverbruik in TJ Gemeente'!$B$4:$B$347,0),MATCH(I$2,'Energieverbruik in TJ Gemeente'!$B$4:$Q$4,0))</f>
        <v>490</v>
      </c>
      <c r="J194">
        <f>INDEX('Energieverbruik in TJ Gemeente'!$B$4:$Q$347,MATCH($C194,'Energieverbruik in TJ Gemeente'!$B$4:$B$347,0),MATCH(J$2,'Energieverbruik in TJ Gemeente'!$B$4:$Q$4,0))</f>
        <v>427</v>
      </c>
      <c r="K194">
        <f>INDEX('Energieverbruik in TJ Gemeente'!$B$4:$Q$347,MATCH($C194,'Energieverbruik in TJ Gemeente'!$B$4:$B$347,0),MATCH(K$2,'Energieverbruik in TJ Gemeente'!$B$4:$Q$4,0))</f>
        <v>423</v>
      </c>
      <c r="L194">
        <f>INDEX('Energieverbruik in TJ Gemeente'!$B$4:$Q$347,MATCH($C194,'Energieverbruik in TJ Gemeente'!$B$4:$B$347,0),MATCH(L$2,'Energieverbruik in TJ Gemeente'!$B$4:$Q$4,0))</f>
        <v>395</v>
      </c>
      <c r="M194">
        <f>INDEX('Energieverbruik in TJ Gemeente'!$B$4:$Q$347,MATCH($C194,'Energieverbruik in TJ Gemeente'!$B$4:$B$347,0),MATCH(M$2,'Energieverbruik in TJ Gemeente'!$B$4:$Q$4,0))</f>
        <v>433</v>
      </c>
      <c r="N194">
        <f>INDEX('Energieverbruik in TJ Gemeente'!$B$4:$Q$347,MATCH($C194,'Energieverbruik in TJ Gemeente'!$B$4:$B$347,0),MATCH(N$2,'Energieverbruik in TJ Gemeente'!$B$4:$Q$4,0))</f>
        <v>50</v>
      </c>
      <c r="O194">
        <f>INDEX('Energieverbruik in TJ Gemeente'!$B$4:$Q$347,MATCH($C194,'Energieverbruik in TJ Gemeente'!$B$4:$B$347,0),MATCH(O$2,'Energieverbruik in TJ Gemeente'!$B$4:$Q$4,0))</f>
        <v>37</v>
      </c>
      <c r="P194">
        <f>INDEX('Energieverbruik in TJ Gemeente'!$B$4:$Q$347,MATCH($C194,'Energieverbruik in TJ Gemeente'!$B$4:$B$347,0),MATCH(P$2,'Energieverbruik in TJ Gemeente'!$B$4:$Q$4,0))</f>
        <v>41</v>
      </c>
      <c r="Q194">
        <f>INDEX('Energieverbruik in TJ Gemeente'!$B$4:$Q$347,MATCH($C194,'Energieverbruik in TJ Gemeente'!$B$4:$B$347,0),MATCH(Q$2,'Energieverbruik in TJ Gemeente'!$B$4:$Q$4,0))</f>
        <v>29</v>
      </c>
      <c r="R194">
        <f>INDEX('Energieverbruik in TJ Gemeente'!$B$4:$Q$347,MATCH($C194,'Energieverbruik in TJ Gemeente'!$B$4:$B$347,0),MATCH(R$2,'Energieverbruik in TJ Gemeente'!$B$4:$Q$4,0))</f>
        <v>24</v>
      </c>
      <c r="S194" cm="1">
        <f t="array" ref="S194">MAX(_xlfn._xlws.FILTER(D$1:H$1, D194:H194&lt;&gt;"?"))</f>
        <v>2023</v>
      </c>
      <c r="T194" cm="1">
        <f t="array" ref="T194">MAX(_xlfn._xlws.FILTER(I$1:M$1, I194:M194&lt;&gt;"?"))</f>
        <v>2023</v>
      </c>
      <c r="U194" cm="1">
        <f t="array" ref="U194">MAX(_xlfn._xlws.FILTER(F$1:J$1, F194:J194&lt;&gt;"?"))</f>
        <v>2023</v>
      </c>
      <c r="V194">
        <f t="shared" si="10"/>
        <v>388</v>
      </c>
      <c r="W194">
        <f t="shared" si="11"/>
        <v>433</v>
      </c>
      <c r="X194">
        <f t="shared" si="12"/>
        <v>24</v>
      </c>
      <c r="Y194">
        <f t="shared" si="13"/>
        <v>845</v>
      </c>
      <c r="Z194">
        <f t="shared" si="14"/>
        <v>1.4043309900117996E-3</v>
      </c>
    </row>
    <row r="195" spans="1:26" ht="16" x14ac:dyDescent="0.2">
      <c r="A195" s="4" t="s">
        <v>588</v>
      </c>
      <c r="B195" s="4" t="s">
        <v>589</v>
      </c>
      <c r="C195" s="4" t="s">
        <v>590</v>
      </c>
      <c r="D195">
        <f>INDEX('Energieverbruik in TJ Gemeente'!$B$4:$Q$347,MATCH($C195,'Energieverbruik in TJ Gemeente'!$B$4:$B$347,0),MATCH(D$2,'Energieverbruik in TJ Gemeente'!$B$4:$Q$4,0))</f>
        <v>453</v>
      </c>
      <c r="E195" t="str">
        <f>INDEX('Energieverbruik in TJ Gemeente'!$B$4:$Q$347,MATCH($C195,'Energieverbruik in TJ Gemeente'!$B$4:$B$347,0),MATCH(E$2,'Energieverbruik in TJ Gemeente'!$B$4:$Q$4,0))</f>
        <v>?</v>
      </c>
      <c r="F195" t="str">
        <f>INDEX('Energieverbruik in TJ Gemeente'!$B$4:$Q$347,MATCH($C195,'Energieverbruik in TJ Gemeente'!$B$4:$B$347,0),MATCH(F$2,'Energieverbruik in TJ Gemeente'!$B$4:$Q$4,0))</f>
        <v>?</v>
      </c>
      <c r="G195">
        <f>INDEX('Energieverbruik in TJ Gemeente'!$B$4:$Q$347,MATCH($C195,'Energieverbruik in TJ Gemeente'!$B$4:$B$347,0),MATCH(G$2,'Energieverbruik in TJ Gemeente'!$B$4:$Q$4,0))</f>
        <v>394</v>
      </c>
      <c r="H195">
        <f>INDEX('Energieverbruik in TJ Gemeente'!$B$4:$Q$347,MATCH($C195,'Energieverbruik in TJ Gemeente'!$B$4:$B$347,0),MATCH(H$2,'Energieverbruik in TJ Gemeente'!$B$4:$Q$4,0))</f>
        <v>322</v>
      </c>
      <c r="I195">
        <f>INDEX('Energieverbruik in TJ Gemeente'!$B$4:$Q$347,MATCH($C195,'Energieverbruik in TJ Gemeente'!$B$4:$B$347,0),MATCH(I$2,'Energieverbruik in TJ Gemeente'!$B$4:$Q$4,0))</f>
        <v>32</v>
      </c>
      <c r="J195">
        <f>INDEX('Energieverbruik in TJ Gemeente'!$B$4:$Q$347,MATCH($C195,'Energieverbruik in TJ Gemeente'!$B$4:$B$347,0),MATCH(J$2,'Energieverbruik in TJ Gemeente'!$B$4:$Q$4,0))</f>
        <v>31</v>
      </c>
      <c r="K195">
        <f>INDEX('Energieverbruik in TJ Gemeente'!$B$4:$Q$347,MATCH($C195,'Energieverbruik in TJ Gemeente'!$B$4:$B$347,0),MATCH(K$2,'Energieverbruik in TJ Gemeente'!$B$4:$Q$4,0))</f>
        <v>34</v>
      </c>
      <c r="L195">
        <f>INDEX('Energieverbruik in TJ Gemeente'!$B$4:$Q$347,MATCH($C195,'Energieverbruik in TJ Gemeente'!$B$4:$B$347,0),MATCH(L$2,'Energieverbruik in TJ Gemeente'!$B$4:$Q$4,0))</f>
        <v>35</v>
      </c>
      <c r="M195">
        <f>INDEX('Energieverbruik in TJ Gemeente'!$B$4:$Q$347,MATCH($C195,'Energieverbruik in TJ Gemeente'!$B$4:$B$347,0),MATCH(M$2,'Energieverbruik in TJ Gemeente'!$B$4:$Q$4,0))</f>
        <v>33</v>
      </c>
      <c r="N195">
        <f>INDEX('Energieverbruik in TJ Gemeente'!$B$4:$Q$347,MATCH($C195,'Energieverbruik in TJ Gemeente'!$B$4:$B$347,0),MATCH(N$2,'Energieverbruik in TJ Gemeente'!$B$4:$Q$4,0))</f>
        <v>76</v>
      </c>
      <c r="O195">
        <f>INDEX('Energieverbruik in TJ Gemeente'!$B$4:$Q$347,MATCH($C195,'Energieverbruik in TJ Gemeente'!$B$4:$B$347,0),MATCH(O$2,'Energieverbruik in TJ Gemeente'!$B$4:$Q$4,0))</f>
        <v>70</v>
      </c>
      <c r="P195">
        <f>INDEX('Energieverbruik in TJ Gemeente'!$B$4:$Q$347,MATCH($C195,'Energieverbruik in TJ Gemeente'!$B$4:$B$347,0),MATCH(P$2,'Energieverbruik in TJ Gemeente'!$B$4:$Q$4,0))</f>
        <v>79</v>
      </c>
      <c r="Q195">
        <f>INDEX('Energieverbruik in TJ Gemeente'!$B$4:$Q$347,MATCH($C195,'Energieverbruik in TJ Gemeente'!$B$4:$B$347,0),MATCH(Q$2,'Energieverbruik in TJ Gemeente'!$B$4:$Q$4,0))</f>
        <v>65</v>
      </c>
      <c r="R195">
        <f>INDEX('Energieverbruik in TJ Gemeente'!$B$4:$Q$347,MATCH($C195,'Energieverbruik in TJ Gemeente'!$B$4:$B$347,0),MATCH(R$2,'Energieverbruik in TJ Gemeente'!$B$4:$Q$4,0))</f>
        <v>58</v>
      </c>
      <c r="S195" cm="1">
        <f t="array" ref="S195">MAX(_xlfn._xlws.FILTER(D$1:H$1, D195:H195&lt;&gt;"?"))</f>
        <v>2023</v>
      </c>
      <c r="T195" cm="1">
        <f t="array" ref="T195">MAX(_xlfn._xlws.FILTER(I$1:M$1, I195:M195&lt;&gt;"?"))</f>
        <v>2023</v>
      </c>
      <c r="U195" cm="1">
        <f t="array" ref="U195">MAX(_xlfn._xlws.FILTER(F$1:J$1, F195:J195&lt;&gt;"?"))</f>
        <v>2023</v>
      </c>
      <c r="V195">
        <f t="shared" si="10"/>
        <v>322</v>
      </c>
      <c r="W195">
        <f t="shared" si="11"/>
        <v>33</v>
      </c>
      <c r="X195">
        <f t="shared" si="12"/>
        <v>58</v>
      </c>
      <c r="Y195">
        <f t="shared" si="13"/>
        <v>413</v>
      </c>
      <c r="Z195">
        <f t="shared" si="14"/>
        <v>6.8637715843180268E-4</v>
      </c>
    </row>
    <row r="196" spans="1:26" ht="16" x14ac:dyDescent="0.2">
      <c r="A196" s="4" t="s">
        <v>591</v>
      </c>
      <c r="B196" s="4" t="s">
        <v>592</v>
      </c>
      <c r="C196" s="4" t="s">
        <v>593</v>
      </c>
      <c r="D196">
        <f>INDEX('Energieverbruik in TJ Gemeente'!$B$4:$Q$347,MATCH($C196,'Energieverbruik in TJ Gemeente'!$B$4:$B$347,0),MATCH(D$2,'Energieverbruik in TJ Gemeente'!$B$4:$Q$4,0))</f>
        <v>829</v>
      </c>
      <c r="E196" t="str">
        <f>INDEX('Energieverbruik in TJ Gemeente'!$B$4:$Q$347,MATCH($C196,'Energieverbruik in TJ Gemeente'!$B$4:$B$347,0),MATCH(E$2,'Energieverbruik in TJ Gemeente'!$B$4:$Q$4,0))</f>
        <v>?</v>
      </c>
      <c r="F196">
        <f>INDEX('Energieverbruik in TJ Gemeente'!$B$4:$Q$347,MATCH($C196,'Energieverbruik in TJ Gemeente'!$B$4:$B$347,0),MATCH(F$2,'Energieverbruik in TJ Gemeente'!$B$4:$Q$4,0))</f>
        <v>803</v>
      </c>
      <c r="G196">
        <f>INDEX('Energieverbruik in TJ Gemeente'!$B$4:$Q$347,MATCH($C196,'Energieverbruik in TJ Gemeente'!$B$4:$B$347,0),MATCH(G$2,'Energieverbruik in TJ Gemeente'!$B$4:$Q$4,0))</f>
        <v>687</v>
      </c>
      <c r="H196">
        <f>INDEX('Energieverbruik in TJ Gemeente'!$B$4:$Q$347,MATCH($C196,'Energieverbruik in TJ Gemeente'!$B$4:$B$347,0),MATCH(H$2,'Energieverbruik in TJ Gemeente'!$B$4:$Q$4,0))</f>
        <v>593</v>
      </c>
      <c r="I196">
        <f>INDEX('Energieverbruik in TJ Gemeente'!$B$4:$Q$347,MATCH($C196,'Energieverbruik in TJ Gemeente'!$B$4:$B$347,0),MATCH(I$2,'Energieverbruik in TJ Gemeente'!$B$4:$Q$4,0))</f>
        <v>142</v>
      </c>
      <c r="J196">
        <f>INDEX('Energieverbruik in TJ Gemeente'!$B$4:$Q$347,MATCH($C196,'Energieverbruik in TJ Gemeente'!$B$4:$B$347,0),MATCH(J$2,'Energieverbruik in TJ Gemeente'!$B$4:$Q$4,0))</f>
        <v>129</v>
      </c>
      <c r="K196">
        <f>INDEX('Energieverbruik in TJ Gemeente'!$B$4:$Q$347,MATCH($C196,'Energieverbruik in TJ Gemeente'!$B$4:$B$347,0),MATCH(K$2,'Energieverbruik in TJ Gemeente'!$B$4:$Q$4,0))</f>
        <v>139</v>
      </c>
      <c r="L196">
        <f>INDEX('Energieverbruik in TJ Gemeente'!$B$4:$Q$347,MATCH($C196,'Energieverbruik in TJ Gemeente'!$B$4:$B$347,0),MATCH(L$2,'Energieverbruik in TJ Gemeente'!$B$4:$Q$4,0))</f>
        <v>134</v>
      </c>
      <c r="M196">
        <f>INDEX('Energieverbruik in TJ Gemeente'!$B$4:$Q$347,MATCH($C196,'Energieverbruik in TJ Gemeente'!$B$4:$B$347,0),MATCH(M$2,'Energieverbruik in TJ Gemeente'!$B$4:$Q$4,0))</f>
        <v>132</v>
      </c>
      <c r="N196">
        <f>INDEX('Energieverbruik in TJ Gemeente'!$B$4:$Q$347,MATCH($C196,'Energieverbruik in TJ Gemeente'!$B$4:$B$347,0),MATCH(N$2,'Energieverbruik in TJ Gemeente'!$B$4:$Q$4,0))</f>
        <v>2</v>
      </c>
      <c r="O196">
        <f>INDEX('Energieverbruik in TJ Gemeente'!$B$4:$Q$347,MATCH($C196,'Energieverbruik in TJ Gemeente'!$B$4:$B$347,0),MATCH(O$2,'Energieverbruik in TJ Gemeente'!$B$4:$Q$4,0))</f>
        <v>1</v>
      </c>
      <c r="P196">
        <f>INDEX('Energieverbruik in TJ Gemeente'!$B$4:$Q$347,MATCH($C196,'Energieverbruik in TJ Gemeente'!$B$4:$B$347,0),MATCH(P$2,'Energieverbruik in TJ Gemeente'!$B$4:$Q$4,0))</f>
        <v>1</v>
      </c>
      <c r="Q196" t="str">
        <f>INDEX('Energieverbruik in TJ Gemeente'!$B$4:$Q$347,MATCH($C196,'Energieverbruik in TJ Gemeente'!$B$4:$B$347,0),MATCH(Q$2,'Energieverbruik in TJ Gemeente'!$B$4:$Q$4,0))</f>
        <v>?</v>
      </c>
      <c r="R196">
        <f>INDEX('Energieverbruik in TJ Gemeente'!$B$4:$Q$347,MATCH($C196,'Energieverbruik in TJ Gemeente'!$B$4:$B$347,0),MATCH(R$2,'Energieverbruik in TJ Gemeente'!$B$4:$Q$4,0))</f>
        <v>1</v>
      </c>
      <c r="S196" cm="1">
        <f t="array" ref="S196">MAX(_xlfn._xlws.FILTER(D$1:H$1, D196:H196&lt;&gt;"?"))</f>
        <v>2023</v>
      </c>
      <c r="T196" cm="1">
        <f t="array" ref="T196">MAX(_xlfn._xlws.FILTER(I$1:M$1, I196:M196&lt;&gt;"?"))</f>
        <v>2023</v>
      </c>
      <c r="U196" cm="1">
        <f t="array" ref="U196">MAX(_xlfn._xlws.FILTER(F$1:J$1, F196:J196&lt;&gt;"?"))</f>
        <v>2023</v>
      </c>
      <c r="V196">
        <f t="shared" ref="V196:V259" si="15">IFERROR(INDEX($D196:$H196,MATCH(S196,$D$1:$H$1,0)),0)</f>
        <v>593</v>
      </c>
      <c r="W196">
        <f t="shared" ref="W196:W259" si="16">IFERROR(INDEX($I196:$M196,MATCH(T196,$I$1:$M$1,0)),0)</f>
        <v>132</v>
      </c>
      <c r="X196">
        <f t="shared" ref="X196:X259" si="17">IFERROR(INDEX($N196:$R196,MATCH(U196,$N$1:$R$1,0)),0)</f>
        <v>1</v>
      </c>
      <c r="Y196">
        <f t="shared" ref="Y196:Y259" si="18">SUM(V196:X196)</f>
        <v>726</v>
      </c>
      <c r="Z196">
        <f t="shared" ref="Z196:Z259" si="19">Y196/SUM($Y$3:$Y$344)</f>
        <v>1.2065613002941616E-3</v>
      </c>
    </row>
    <row r="197" spans="1:26" ht="16" x14ac:dyDescent="0.2">
      <c r="A197" s="4" t="s">
        <v>594</v>
      </c>
      <c r="B197" s="4" t="s">
        <v>595</v>
      </c>
      <c r="C197" s="4" t="s">
        <v>596</v>
      </c>
      <c r="D197">
        <f>INDEX('Energieverbruik in TJ Gemeente'!$B$4:$Q$347,MATCH($C197,'Energieverbruik in TJ Gemeente'!$B$4:$B$347,0),MATCH(D$2,'Energieverbruik in TJ Gemeente'!$B$4:$Q$4,0))</f>
        <v>671</v>
      </c>
      <c r="E197">
        <f>INDEX('Energieverbruik in TJ Gemeente'!$B$4:$Q$347,MATCH($C197,'Energieverbruik in TJ Gemeente'!$B$4:$B$347,0),MATCH(E$2,'Energieverbruik in TJ Gemeente'!$B$4:$Q$4,0))</f>
        <v>655</v>
      </c>
      <c r="F197">
        <f>INDEX('Energieverbruik in TJ Gemeente'!$B$4:$Q$347,MATCH($C197,'Energieverbruik in TJ Gemeente'!$B$4:$B$347,0),MATCH(F$2,'Energieverbruik in TJ Gemeente'!$B$4:$Q$4,0))</f>
        <v>651</v>
      </c>
      <c r="G197">
        <f>INDEX('Energieverbruik in TJ Gemeente'!$B$4:$Q$347,MATCH($C197,'Energieverbruik in TJ Gemeente'!$B$4:$B$347,0),MATCH(G$2,'Energieverbruik in TJ Gemeente'!$B$4:$Q$4,0))</f>
        <v>554</v>
      </c>
      <c r="H197">
        <f>INDEX('Energieverbruik in TJ Gemeente'!$B$4:$Q$347,MATCH($C197,'Energieverbruik in TJ Gemeente'!$B$4:$B$347,0),MATCH(H$2,'Energieverbruik in TJ Gemeente'!$B$4:$Q$4,0))</f>
        <v>462</v>
      </c>
      <c r="I197">
        <f>INDEX('Energieverbruik in TJ Gemeente'!$B$4:$Q$347,MATCH($C197,'Energieverbruik in TJ Gemeente'!$B$4:$B$347,0),MATCH(I$2,'Energieverbruik in TJ Gemeente'!$B$4:$Q$4,0))</f>
        <v>59</v>
      </c>
      <c r="J197">
        <f>INDEX('Energieverbruik in TJ Gemeente'!$B$4:$Q$347,MATCH($C197,'Energieverbruik in TJ Gemeente'!$B$4:$B$347,0),MATCH(J$2,'Energieverbruik in TJ Gemeente'!$B$4:$Q$4,0))</f>
        <v>47</v>
      </c>
      <c r="K197">
        <f>INDEX('Energieverbruik in TJ Gemeente'!$B$4:$Q$347,MATCH($C197,'Energieverbruik in TJ Gemeente'!$B$4:$B$347,0),MATCH(K$2,'Energieverbruik in TJ Gemeente'!$B$4:$Q$4,0))</f>
        <v>44</v>
      </c>
      <c r="L197">
        <f>INDEX('Energieverbruik in TJ Gemeente'!$B$4:$Q$347,MATCH($C197,'Energieverbruik in TJ Gemeente'!$B$4:$B$347,0),MATCH(L$2,'Energieverbruik in TJ Gemeente'!$B$4:$Q$4,0))</f>
        <v>33</v>
      </c>
      <c r="M197">
        <f>INDEX('Energieverbruik in TJ Gemeente'!$B$4:$Q$347,MATCH($C197,'Energieverbruik in TJ Gemeente'!$B$4:$B$347,0),MATCH(M$2,'Energieverbruik in TJ Gemeente'!$B$4:$Q$4,0))</f>
        <v>35</v>
      </c>
      <c r="N197">
        <f>INDEX('Energieverbruik in TJ Gemeente'!$B$4:$Q$347,MATCH($C197,'Energieverbruik in TJ Gemeente'!$B$4:$B$347,0),MATCH(N$2,'Energieverbruik in TJ Gemeente'!$B$4:$Q$4,0))</f>
        <v>734</v>
      </c>
      <c r="O197">
        <f>INDEX('Energieverbruik in TJ Gemeente'!$B$4:$Q$347,MATCH($C197,'Energieverbruik in TJ Gemeente'!$B$4:$B$347,0),MATCH(O$2,'Energieverbruik in TJ Gemeente'!$B$4:$Q$4,0))</f>
        <v>678</v>
      </c>
      <c r="P197">
        <f>INDEX('Energieverbruik in TJ Gemeente'!$B$4:$Q$347,MATCH($C197,'Energieverbruik in TJ Gemeente'!$B$4:$B$347,0),MATCH(P$2,'Energieverbruik in TJ Gemeente'!$B$4:$Q$4,0))</f>
        <v>720</v>
      </c>
      <c r="Q197">
        <f>INDEX('Energieverbruik in TJ Gemeente'!$B$4:$Q$347,MATCH($C197,'Energieverbruik in TJ Gemeente'!$B$4:$B$347,0),MATCH(Q$2,'Energieverbruik in TJ Gemeente'!$B$4:$Q$4,0))</f>
        <v>414</v>
      </c>
      <c r="R197">
        <f>INDEX('Energieverbruik in TJ Gemeente'!$B$4:$Q$347,MATCH($C197,'Energieverbruik in TJ Gemeente'!$B$4:$B$347,0),MATCH(R$2,'Energieverbruik in TJ Gemeente'!$B$4:$Q$4,0))</f>
        <v>401</v>
      </c>
      <c r="S197" cm="1">
        <f t="array" ref="S197">MAX(_xlfn._xlws.FILTER(D$1:H$1, D197:H197&lt;&gt;"?"))</f>
        <v>2023</v>
      </c>
      <c r="T197" cm="1">
        <f t="array" ref="T197">MAX(_xlfn._xlws.FILTER(I$1:M$1, I197:M197&lt;&gt;"?"))</f>
        <v>2023</v>
      </c>
      <c r="U197" cm="1">
        <f t="array" ref="U197">MAX(_xlfn._xlws.FILTER(F$1:J$1, F197:J197&lt;&gt;"?"))</f>
        <v>2023</v>
      </c>
      <c r="V197">
        <f t="shared" si="15"/>
        <v>462</v>
      </c>
      <c r="W197">
        <f t="shared" si="16"/>
        <v>35</v>
      </c>
      <c r="X197">
        <f t="shared" si="17"/>
        <v>401</v>
      </c>
      <c r="Y197">
        <f t="shared" si="18"/>
        <v>898</v>
      </c>
      <c r="Z197">
        <f t="shared" si="19"/>
        <v>1.4924132887936049E-3</v>
      </c>
    </row>
    <row r="198" spans="1:26" ht="16" x14ac:dyDescent="0.2">
      <c r="A198" s="4" t="s">
        <v>597</v>
      </c>
      <c r="B198" s="4" t="s">
        <v>598</v>
      </c>
      <c r="C198" s="4" t="s">
        <v>599</v>
      </c>
      <c r="D198">
        <f>INDEX('Energieverbruik in TJ Gemeente'!$B$4:$Q$347,MATCH($C198,'Energieverbruik in TJ Gemeente'!$B$4:$B$347,0),MATCH(D$2,'Energieverbruik in TJ Gemeente'!$B$4:$Q$4,0))</f>
        <v>1029</v>
      </c>
      <c r="E198">
        <f>INDEX('Energieverbruik in TJ Gemeente'!$B$4:$Q$347,MATCH($C198,'Energieverbruik in TJ Gemeente'!$B$4:$B$347,0),MATCH(E$2,'Energieverbruik in TJ Gemeente'!$B$4:$Q$4,0))</f>
        <v>983</v>
      </c>
      <c r="F198">
        <f>INDEX('Energieverbruik in TJ Gemeente'!$B$4:$Q$347,MATCH($C198,'Energieverbruik in TJ Gemeente'!$B$4:$B$347,0),MATCH(F$2,'Energieverbruik in TJ Gemeente'!$B$4:$Q$4,0))</f>
        <v>1016</v>
      </c>
      <c r="G198">
        <f>INDEX('Energieverbruik in TJ Gemeente'!$B$4:$Q$347,MATCH($C198,'Energieverbruik in TJ Gemeente'!$B$4:$B$347,0),MATCH(G$2,'Energieverbruik in TJ Gemeente'!$B$4:$Q$4,0))</f>
        <v>898</v>
      </c>
      <c r="H198">
        <f>INDEX('Energieverbruik in TJ Gemeente'!$B$4:$Q$347,MATCH($C198,'Energieverbruik in TJ Gemeente'!$B$4:$B$347,0),MATCH(H$2,'Energieverbruik in TJ Gemeente'!$B$4:$Q$4,0))</f>
        <v>744</v>
      </c>
      <c r="I198">
        <f>INDEX('Energieverbruik in TJ Gemeente'!$B$4:$Q$347,MATCH($C198,'Energieverbruik in TJ Gemeente'!$B$4:$B$347,0),MATCH(I$2,'Energieverbruik in TJ Gemeente'!$B$4:$Q$4,0))</f>
        <v>509</v>
      </c>
      <c r="J198">
        <f>INDEX('Energieverbruik in TJ Gemeente'!$B$4:$Q$347,MATCH($C198,'Energieverbruik in TJ Gemeente'!$B$4:$B$347,0),MATCH(J$2,'Energieverbruik in TJ Gemeente'!$B$4:$Q$4,0))</f>
        <v>470</v>
      </c>
      <c r="K198">
        <f>INDEX('Energieverbruik in TJ Gemeente'!$B$4:$Q$347,MATCH($C198,'Energieverbruik in TJ Gemeente'!$B$4:$B$347,0),MATCH(K$2,'Energieverbruik in TJ Gemeente'!$B$4:$Q$4,0))</f>
        <v>478</v>
      </c>
      <c r="L198">
        <f>INDEX('Energieverbruik in TJ Gemeente'!$B$4:$Q$347,MATCH($C198,'Energieverbruik in TJ Gemeente'!$B$4:$B$347,0),MATCH(L$2,'Energieverbruik in TJ Gemeente'!$B$4:$Q$4,0))</f>
        <v>469</v>
      </c>
      <c r="M198">
        <f>INDEX('Energieverbruik in TJ Gemeente'!$B$4:$Q$347,MATCH($C198,'Energieverbruik in TJ Gemeente'!$B$4:$B$347,0),MATCH(M$2,'Energieverbruik in TJ Gemeente'!$B$4:$Q$4,0))</f>
        <v>365</v>
      </c>
      <c r="N198">
        <f>INDEX('Energieverbruik in TJ Gemeente'!$B$4:$Q$347,MATCH($C198,'Energieverbruik in TJ Gemeente'!$B$4:$B$347,0),MATCH(N$2,'Energieverbruik in TJ Gemeente'!$B$4:$Q$4,0))</f>
        <v>22</v>
      </c>
      <c r="O198">
        <f>INDEX('Energieverbruik in TJ Gemeente'!$B$4:$Q$347,MATCH($C198,'Energieverbruik in TJ Gemeente'!$B$4:$B$347,0),MATCH(O$2,'Energieverbruik in TJ Gemeente'!$B$4:$Q$4,0))</f>
        <v>13</v>
      </c>
      <c r="P198">
        <f>INDEX('Energieverbruik in TJ Gemeente'!$B$4:$Q$347,MATCH($C198,'Energieverbruik in TJ Gemeente'!$B$4:$B$347,0),MATCH(P$2,'Energieverbruik in TJ Gemeente'!$B$4:$Q$4,0))</f>
        <v>14</v>
      </c>
      <c r="Q198">
        <f>INDEX('Energieverbruik in TJ Gemeente'!$B$4:$Q$347,MATCH($C198,'Energieverbruik in TJ Gemeente'!$B$4:$B$347,0),MATCH(Q$2,'Energieverbruik in TJ Gemeente'!$B$4:$Q$4,0))</f>
        <v>11</v>
      </c>
      <c r="R198" t="str">
        <f>INDEX('Energieverbruik in TJ Gemeente'!$B$4:$Q$347,MATCH($C198,'Energieverbruik in TJ Gemeente'!$B$4:$B$347,0),MATCH(R$2,'Energieverbruik in TJ Gemeente'!$B$4:$Q$4,0))</f>
        <v>?</v>
      </c>
      <c r="S198" cm="1">
        <f t="array" ref="S198">MAX(_xlfn._xlws.FILTER(D$1:H$1, D198:H198&lt;&gt;"?"))</f>
        <v>2023</v>
      </c>
      <c r="T198" cm="1">
        <f t="array" ref="T198">MAX(_xlfn._xlws.FILTER(I$1:M$1, I198:M198&lt;&gt;"?"))</f>
        <v>2023</v>
      </c>
      <c r="U198" cm="1">
        <f t="array" ref="U198">MAX(_xlfn._xlws.FILTER(F$1:J$1, F198:J198&lt;&gt;"?"))</f>
        <v>2023</v>
      </c>
      <c r="V198">
        <f t="shared" si="15"/>
        <v>744</v>
      </c>
      <c r="W198">
        <f t="shared" si="16"/>
        <v>365</v>
      </c>
      <c r="X198" t="str">
        <f t="shared" si="17"/>
        <v>?</v>
      </c>
      <c r="Y198">
        <f t="shared" si="18"/>
        <v>1109</v>
      </c>
      <c r="Z198">
        <f t="shared" si="19"/>
        <v>1.8430805537551311E-3</v>
      </c>
    </row>
    <row r="199" spans="1:26" ht="16" x14ac:dyDescent="0.2">
      <c r="A199" s="4" t="s">
        <v>600</v>
      </c>
      <c r="B199" s="4" t="s">
        <v>601</v>
      </c>
      <c r="C199" s="4" t="s">
        <v>602</v>
      </c>
      <c r="D199">
        <f>INDEX('Energieverbruik in TJ Gemeente'!$B$4:$Q$347,MATCH($C199,'Energieverbruik in TJ Gemeente'!$B$4:$B$347,0),MATCH(D$2,'Energieverbruik in TJ Gemeente'!$B$4:$Q$4,0))</f>
        <v>4384</v>
      </c>
      <c r="E199">
        <f>INDEX('Energieverbruik in TJ Gemeente'!$B$4:$Q$347,MATCH($C199,'Energieverbruik in TJ Gemeente'!$B$4:$B$347,0),MATCH(E$2,'Energieverbruik in TJ Gemeente'!$B$4:$Q$4,0))</f>
        <v>4211</v>
      </c>
      <c r="F199">
        <f>INDEX('Energieverbruik in TJ Gemeente'!$B$4:$Q$347,MATCH($C199,'Energieverbruik in TJ Gemeente'!$B$4:$B$347,0),MATCH(F$2,'Energieverbruik in TJ Gemeente'!$B$4:$Q$4,0))</f>
        <v>4349</v>
      </c>
      <c r="G199">
        <f>INDEX('Energieverbruik in TJ Gemeente'!$B$4:$Q$347,MATCH($C199,'Energieverbruik in TJ Gemeente'!$B$4:$B$347,0),MATCH(G$2,'Energieverbruik in TJ Gemeente'!$B$4:$Q$4,0))</f>
        <v>3888</v>
      </c>
      <c r="H199">
        <f>INDEX('Energieverbruik in TJ Gemeente'!$B$4:$Q$347,MATCH($C199,'Energieverbruik in TJ Gemeente'!$B$4:$B$347,0),MATCH(H$2,'Energieverbruik in TJ Gemeente'!$B$4:$Q$4,0))</f>
        <v>3321</v>
      </c>
      <c r="I199">
        <f>INDEX('Energieverbruik in TJ Gemeente'!$B$4:$Q$347,MATCH($C199,'Energieverbruik in TJ Gemeente'!$B$4:$B$347,0),MATCH(I$2,'Energieverbruik in TJ Gemeente'!$B$4:$Q$4,0))</f>
        <v>605</v>
      </c>
      <c r="J199">
        <f>INDEX('Energieverbruik in TJ Gemeente'!$B$4:$Q$347,MATCH($C199,'Energieverbruik in TJ Gemeente'!$B$4:$B$347,0),MATCH(J$2,'Energieverbruik in TJ Gemeente'!$B$4:$Q$4,0))</f>
        <v>573</v>
      </c>
      <c r="K199">
        <f>INDEX('Energieverbruik in TJ Gemeente'!$B$4:$Q$347,MATCH($C199,'Energieverbruik in TJ Gemeente'!$B$4:$B$347,0),MATCH(K$2,'Energieverbruik in TJ Gemeente'!$B$4:$Q$4,0))</f>
        <v>573</v>
      </c>
      <c r="L199">
        <f>INDEX('Energieverbruik in TJ Gemeente'!$B$4:$Q$347,MATCH($C199,'Energieverbruik in TJ Gemeente'!$B$4:$B$347,0),MATCH(L$2,'Energieverbruik in TJ Gemeente'!$B$4:$Q$4,0))</f>
        <v>540</v>
      </c>
      <c r="M199">
        <f>INDEX('Energieverbruik in TJ Gemeente'!$B$4:$Q$347,MATCH($C199,'Energieverbruik in TJ Gemeente'!$B$4:$B$347,0),MATCH(M$2,'Energieverbruik in TJ Gemeente'!$B$4:$Q$4,0))</f>
        <v>471</v>
      </c>
      <c r="N199">
        <f>INDEX('Energieverbruik in TJ Gemeente'!$B$4:$Q$347,MATCH($C199,'Energieverbruik in TJ Gemeente'!$B$4:$B$347,0),MATCH(N$2,'Energieverbruik in TJ Gemeente'!$B$4:$Q$4,0))</f>
        <v>39</v>
      </c>
      <c r="O199">
        <f>INDEX('Energieverbruik in TJ Gemeente'!$B$4:$Q$347,MATCH($C199,'Energieverbruik in TJ Gemeente'!$B$4:$B$347,0),MATCH(O$2,'Energieverbruik in TJ Gemeente'!$B$4:$Q$4,0))</f>
        <v>31</v>
      </c>
      <c r="P199">
        <f>INDEX('Energieverbruik in TJ Gemeente'!$B$4:$Q$347,MATCH($C199,'Energieverbruik in TJ Gemeente'!$B$4:$B$347,0),MATCH(P$2,'Energieverbruik in TJ Gemeente'!$B$4:$Q$4,0))</f>
        <v>36</v>
      </c>
      <c r="Q199">
        <f>INDEX('Energieverbruik in TJ Gemeente'!$B$4:$Q$347,MATCH($C199,'Energieverbruik in TJ Gemeente'!$B$4:$B$347,0),MATCH(Q$2,'Energieverbruik in TJ Gemeente'!$B$4:$Q$4,0))</f>
        <v>24</v>
      </c>
      <c r="R199">
        <f>INDEX('Energieverbruik in TJ Gemeente'!$B$4:$Q$347,MATCH($C199,'Energieverbruik in TJ Gemeente'!$B$4:$B$347,0),MATCH(R$2,'Energieverbruik in TJ Gemeente'!$B$4:$Q$4,0))</f>
        <v>14</v>
      </c>
      <c r="S199" cm="1">
        <f t="array" ref="S199">MAX(_xlfn._xlws.FILTER(D$1:H$1, D199:H199&lt;&gt;"?"))</f>
        <v>2023</v>
      </c>
      <c r="T199" cm="1">
        <f t="array" ref="T199">MAX(_xlfn._xlws.FILTER(I$1:M$1, I199:M199&lt;&gt;"?"))</f>
        <v>2023</v>
      </c>
      <c r="U199" cm="1">
        <f t="array" ref="U199">MAX(_xlfn._xlws.FILTER(F$1:J$1, F199:J199&lt;&gt;"?"))</f>
        <v>2023</v>
      </c>
      <c r="V199">
        <f t="shared" si="15"/>
        <v>3321</v>
      </c>
      <c r="W199">
        <f t="shared" si="16"/>
        <v>471</v>
      </c>
      <c r="X199">
        <f t="shared" si="17"/>
        <v>14</v>
      </c>
      <c r="Y199">
        <f t="shared" si="18"/>
        <v>3806</v>
      </c>
      <c r="Z199">
        <f t="shared" si="19"/>
        <v>6.3253062106330294E-3</v>
      </c>
    </row>
    <row r="200" spans="1:26" ht="16" x14ac:dyDescent="0.2">
      <c r="A200" s="4" t="s">
        <v>603</v>
      </c>
      <c r="B200" s="4" t="s">
        <v>604</v>
      </c>
      <c r="C200" s="4" t="s">
        <v>605</v>
      </c>
      <c r="D200" t="str">
        <f>INDEX('Energieverbruik in TJ Gemeente'!$B$4:$Q$347,MATCH($C200,'Energieverbruik in TJ Gemeente'!$B$4:$B$347,0),MATCH(D$2,'Energieverbruik in TJ Gemeente'!$B$4:$Q$4,0))</f>
        <v>?</v>
      </c>
      <c r="E200">
        <f>INDEX('Energieverbruik in TJ Gemeente'!$B$4:$Q$347,MATCH($C200,'Energieverbruik in TJ Gemeente'!$B$4:$B$347,0),MATCH(E$2,'Energieverbruik in TJ Gemeente'!$B$4:$Q$4,0))</f>
        <v>1653</v>
      </c>
      <c r="F200">
        <f>INDEX('Energieverbruik in TJ Gemeente'!$B$4:$Q$347,MATCH($C200,'Energieverbruik in TJ Gemeente'!$B$4:$B$347,0),MATCH(F$2,'Energieverbruik in TJ Gemeente'!$B$4:$Q$4,0))</f>
        <v>1656</v>
      </c>
      <c r="G200">
        <f>INDEX('Energieverbruik in TJ Gemeente'!$B$4:$Q$347,MATCH($C200,'Energieverbruik in TJ Gemeente'!$B$4:$B$347,0),MATCH(G$2,'Energieverbruik in TJ Gemeente'!$B$4:$Q$4,0))</f>
        <v>1457</v>
      </c>
      <c r="H200">
        <f>INDEX('Energieverbruik in TJ Gemeente'!$B$4:$Q$347,MATCH($C200,'Energieverbruik in TJ Gemeente'!$B$4:$B$347,0),MATCH(H$2,'Energieverbruik in TJ Gemeente'!$B$4:$Q$4,0))</f>
        <v>1259</v>
      </c>
      <c r="I200" t="str">
        <f>INDEX('Energieverbruik in TJ Gemeente'!$B$4:$Q$347,MATCH($C200,'Energieverbruik in TJ Gemeente'!$B$4:$B$347,0),MATCH(I$2,'Energieverbruik in TJ Gemeente'!$B$4:$Q$4,0))</f>
        <v>?</v>
      </c>
      <c r="J200" t="str">
        <f>INDEX('Energieverbruik in TJ Gemeente'!$B$4:$Q$347,MATCH($C200,'Energieverbruik in TJ Gemeente'!$B$4:$B$347,0),MATCH(J$2,'Energieverbruik in TJ Gemeente'!$B$4:$Q$4,0))</f>
        <v>?</v>
      </c>
      <c r="K200" t="str">
        <f>INDEX('Energieverbruik in TJ Gemeente'!$B$4:$Q$347,MATCH($C200,'Energieverbruik in TJ Gemeente'!$B$4:$B$347,0),MATCH(K$2,'Energieverbruik in TJ Gemeente'!$B$4:$Q$4,0))</f>
        <v>?</v>
      </c>
      <c r="L200" t="str">
        <f>INDEX('Energieverbruik in TJ Gemeente'!$B$4:$Q$347,MATCH($C200,'Energieverbruik in TJ Gemeente'!$B$4:$B$347,0),MATCH(L$2,'Energieverbruik in TJ Gemeente'!$B$4:$Q$4,0))</f>
        <v>?</v>
      </c>
      <c r="M200">
        <f>INDEX('Energieverbruik in TJ Gemeente'!$B$4:$Q$347,MATCH($C200,'Energieverbruik in TJ Gemeente'!$B$4:$B$347,0),MATCH(M$2,'Energieverbruik in TJ Gemeente'!$B$4:$Q$4,0))</f>
        <v>31</v>
      </c>
      <c r="N200">
        <f>INDEX('Energieverbruik in TJ Gemeente'!$B$4:$Q$347,MATCH($C200,'Energieverbruik in TJ Gemeente'!$B$4:$B$347,0),MATCH(N$2,'Energieverbruik in TJ Gemeente'!$B$4:$Q$4,0))</f>
        <v>1</v>
      </c>
      <c r="O200">
        <f>INDEX('Energieverbruik in TJ Gemeente'!$B$4:$Q$347,MATCH($C200,'Energieverbruik in TJ Gemeente'!$B$4:$B$347,0),MATCH(O$2,'Energieverbruik in TJ Gemeente'!$B$4:$Q$4,0))</f>
        <v>1</v>
      </c>
      <c r="P200">
        <f>INDEX('Energieverbruik in TJ Gemeente'!$B$4:$Q$347,MATCH($C200,'Energieverbruik in TJ Gemeente'!$B$4:$B$347,0),MATCH(P$2,'Energieverbruik in TJ Gemeente'!$B$4:$Q$4,0))</f>
        <v>1</v>
      </c>
      <c r="Q200">
        <f>INDEX('Energieverbruik in TJ Gemeente'!$B$4:$Q$347,MATCH($C200,'Energieverbruik in TJ Gemeente'!$B$4:$B$347,0),MATCH(Q$2,'Energieverbruik in TJ Gemeente'!$B$4:$Q$4,0))</f>
        <v>1</v>
      </c>
      <c r="R200">
        <f>INDEX('Energieverbruik in TJ Gemeente'!$B$4:$Q$347,MATCH($C200,'Energieverbruik in TJ Gemeente'!$B$4:$B$347,0),MATCH(R$2,'Energieverbruik in TJ Gemeente'!$B$4:$Q$4,0))</f>
        <v>1</v>
      </c>
      <c r="S200" cm="1">
        <f t="array" ref="S200">MAX(_xlfn._xlws.FILTER(D$1:H$1, D200:H200&lt;&gt;"?"))</f>
        <v>2023</v>
      </c>
      <c r="T200" cm="1">
        <f t="array" ref="T200">MAX(_xlfn._xlws.FILTER(I$1:M$1, I200:M200&lt;&gt;"?"))</f>
        <v>2023</v>
      </c>
      <c r="U200" cm="1">
        <f t="array" ref="U200">MAX(_xlfn._xlws.FILTER(F$1:J$1, F200:J200&lt;&gt;"?"))</f>
        <v>2023</v>
      </c>
      <c r="V200">
        <f t="shared" si="15"/>
        <v>1259</v>
      </c>
      <c r="W200">
        <f t="shared" si="16"/>
        <v>31</v>
      </c>
      <c r="X200">
        <f t="shared" si="17"/>
        <v>1</v>
      </c>
      <c r="Y200">
        <f t="shared" si="18"/>
        <v>1291</v>
      </c>
      <c r="Z200">
        <f t="shared" si="19"/>
        <v>2.1455518439115187E-3</v>
      </c>
    </row>
    <row r="201" spans="1:26" ht="32" x14ac:dyDescent="0.2">
      <c r="A201" s="4" t="s">
        <v>606</v>
      </c>
      <c r="B201" s="4" t="s">
        <v>607</v>
      </c>
      <c r="C201" s="4" t="s">
        <v>608</v>
      </c>
      <c r="D201">
        <f>INDEX('Energieverbruik in TJ Gemeente'!$B$4:$Q$347,MATCH($C201,'Energieverbruik in TJ Gemeente'!$B$4:$B$347,0),MATCH(D$2,'Energieverbruik in TJ Gemeente'!$B$4:$Q$4,0))</f>
        <v>1221</v>
      </c>
      <c r="E201">
        <f>INDEX('Energieverbruik in TJ Gemeente'!$B$4:$Q$347,MATCH($C201,'Energieverbruik in TJ Gemeente'!$B$4:$B$347,0),MATCH(E$2,'Energieverbruik in TJ Gemeente'!$B$4:$Q$4,0))</f>
        <v>1221</v>
      </c>
      <c r="F201">
        <f>INDEX('Energieverbruik in TJ Gemeente'!$B$4:$Q$347,MATCH($C201,'Energieverbruik in TJ Gemeente'!$B$4:$B$347,0),MATCH(F$2,'Energieverbruik in TJ Gemeente'!$B$4:$Q$4,0))</f>
        <v>1212</v>
      </c>
      <c r="G201">
        <f>INDEX('Energieverbruik in TJ Gemeente'!$B$4:$Q$347,MATCH($C201,'Energieverbruik in TJ Gemeente'!$B$4:$B$347,0),MATCH(G$2,'Energieverbruik in TJ Gemeente'!$B$4:$Q$4,0))</f>
        <v>1072</v>
      </c>
      <c r="H201">
        <f>INDEX('Energieverbruik in TJ Gemeente'!$B$4:$Q$347,MATCH($C201,'Energieverbruik in TJ Gemeente'!$B$4:$B$347,0),MATCH(H$2,'Energieverbruik in TJ Gemeente'!$B$4:$Q$4,0))</f>
        <v>873</v>
      </c>
      <c r="I201">
        <f>INDEX('Energieverbruik in TJ Gemeente'!$B$4:$Q$347,MATCH($C201,'Energieverbruik in TJ Gemeente'!$B$4:$B$347,0),MATCH(I$2,'Energieverbruik in TJ Gemeente'!$B$4:$Q$4,0))</f>
        <v>238</v>
      </c>
      <c r="J201">
        <f>INDEX('Energieverbruik in TJ Gemeente'!$B$4:$Q$347,MATCH($C201,'Energieverbruik in TJ Gemeente'!$B$4:$B$347,0),MATCH(J$2,'Energieverbruik in TJ Gemeente'!$B$4:$Q$4,0))</f>
        <v>231</v>
      </c>
      <c r="K201">
        <f>INDEX('Energieverbruik in TJ Gemeente'!$B$4:$Q$347,MATCH($C201,'Energieverbruik in TJ Gemeente'!$B$4:$B$347,0),MATCH(K$2,'Energieverbruik in TJ Gemeente'!$B$4:$Q$4,0))</f>
        <v>235</v>
      </c>
      <c r="L201">
        <f>INDEX('Energieverbruik in TJ Gemeente'!$B$4:$Q$347,MATCH($C201,'Energieverbruik in TJ Gemeente'!$B$4:$B$347,0),MATCH(L$2,'Energieverbruik in TJ Gemeente'!$B$4:$Q$4,0))</f>
        <v>214</v>
      </c>
      <c r="M201" t="str">
        <f>INDEX('Energieverbruik in TJ Gemeente'!$B$4:$Q$347,MATCH($C201,'Energieverbruik in TJ Gemeente'!$B$4:$B$347,0),MATCH(M$2,'Energieverbruik in TJ Gemeente'!$B$4:$Q$4,0))</f>
        <v>?</v>
      </c>
      <c r="N201">
        <f>INDEX('Energieverbruik in TJ Gemeente'!$B$4:$Q$347,MATCH($C201,'Energieverbruik in TJ Gemeente'!$B$4:$B$347,0),MATCH(N$2,'Energieverbruik in TJ Gemeente'!$B$4:$Q$4,0))</f>
        <v>75</v>
      </c>
      <c r="O201">
        <f>INDEX('Energieverbruik in TJ Gemeente'!$B$4:$Q$347,MATCH($C201,'Energieverbruik in TJ Gemeente'!$B$4:$B$347,0),MATCH(O$2,'Energieverbruik in TJ Gemeente'!$B$4:$Q$4,0))</f>
        <v>39</v>
      </c>
      <c r="P201">
        <f>INDEX('Energieverbruik in TJ Gemeente'!$B$4:$Q$347,MATCH($C201,'Energieverbruik in TJ Gemeente'!$B$4:$B$347,0),MATCH(P$2,'Energieverbruik in TJ Gemeente'!$B$4:$Q$4,0))</f>
        <v>41</v>
      </c>
      <c r="Q201">
        <f>INDEX('Energieverbruik in TJ Gemeente'!$B$4:$Q$347,MATCH($C201,'Energieverbruik in TJ Gemeente'!$B$4:$B$347,0),MATCH(Q$2,'Energieverbruik in TJ Gemeente'!$B$4:$Q$4,0))</f>
        <v>30</v>
      </c>
      <c r="R201">
        <f>INDEX('Energieverbruik in TJ Gemeente'!$B$4:$Q$347,MATCH($C201,'Energieverbruik in TJ Gemeente'!$B$4:$B$347,0),MATCH(R$2,'Energieverbruik in TJ Gemeente'!$B$4:$Q$4,0))</f>
        <v>25</v>
      </c>
      <c r="S201" cm="1">
        <f t="array" ref="S201">MAX(_xlfn._xlws.FILTER(D$1:H$1, D201:H201&lt;&gt;"?"))</f>
        <v>2023</v>
      </c>
      <c r="T201" cm="1">
        <f t="array" ref="T201">MAX(_xlfn._xlws.FILTER(I$1:M$1, I201:M201&lt;&gt;"?"))</f>
        <v>2022</v>
      </c>
      <c r="U201" cm="1">
        <f t="array" ref="U201">MAX(_xlfn._xlws.FILTER(F$1:J$1, F201:J201&lt;&gt;"?"))</f>
        <v>2023</v>
      </c>
      <c r="V201">
        <f t="shared" si="15"/>
        <v>873</v>
      </c>
      <c r="W201">
        <f t="shared" si="16"/>
        <v>214</v>
      </c>
      <c r="X201">
        <f t="shared" si="17"/>
        <v>25</v>
      </c>
      <c r="Y201">
        <f t="shared" si="18"/>
        <v>1112</v>
      </c>
      <c r="Z201">
        <f t="shared" si="19"/>
        <v>1.8480663442522146E-3</v>
      </c>
    </row>
    <row r="202" spans="1:26" ht="32" x14ac:dyDescent="0.2">
      <c r="A202" s="4" t="s">
        <v>609</v>
      </c>
      <c r="B202" s="4" t="s">
        <v>610</v>
      </c>
      <c r="C202" s="4" t="s">
        <v>611</v>
      </c>
      <c r="D202" t="str">
        <f>INDEX('Energieverbruik in TJ Gemeente'!$B$4:$Q$347,MATCH($C202,'Energieverbruik in TJ Gemeente'!$B$4:$B$347,0),MATCH(D$2,'Energieverbruik in TJ Gemeente'!$B$4:$Q$4,0))</f>
        <v>?</v>
      </c>
      <c r="E202">
        <f>INDEX('Energieverbruik in TJ Gemeente'!$B$4:$Q$347,MATCH($C202,'Energieverbruik in TJ Gemeente'!$B$4:$B$347,0),MATCH(E$2,'Energieverbruik in TJ Gemeente'!$B$4:$Q$4,0))</f>
        <v>257</v>
      </c>
      <c r="F202" t="str">
        <f>INDEX('Energieverbruik in TJ Gemeente'!$B$4:$Q$347,MATCH($C202,'Energieverbruik in TJ Gemeente'!$B$4:$B$347,0),MATCH(F$2,'Energieverbruik in TJ Gemeente'!$B$4:$Q$4,0))</f>
        <v>?</v>
      </c>
      <c r="G202">
        <f>INDEX('Energieverbruik in TJ Gemeente'!$B$4:$Q$347,MATCH($C202,'Energieverbruik in TJ Gemeente'!$B$4:$B$347,0),MATCH(G$2,'Energieverbruik in TJ Gemeente'!$B$4:$Q$4,0))</f>
        <v>256</v>
      </c>
      <c r="H202">
        <f>INDEX('Energieverbruik in TJ Gemeente'!$B$4:$Q$347,MATCH($C202,'Energieverbruik in TJ Gemeente'!$B$4:$B$347,0),MATCH(H$2,'Energieverbruik in TJ Gemeente'!$B$4:$Q$4,0))</f>
        <v>222</v>
      </c>
      <c r="I202">
        <f>INDEX('Energieverbruik in TJ Gemeente'!$B$4:$Q$347,MATCH($C202,'Energieverbruik in TJ Gemeente'!$B$4:$B$347,0),MATCH(I$2,'Energieverbruik in TJ Gemeente'!$B$4:$Q$4,0))</f>
        <v>3</v>
      </c>
      <c r="J202">
        <f>INDEX('Energieverbruik in TJ Gemeente'!$B$4:$Q$347,MATCH($C202,'Energieverbruik in TJ Gemeente'!$B$4:$B$347,0),MATCH(J$2,'Energieverbruik in TJ Gemeente'!$B$4:$Q$4,0))</f>
        <v>2</v>
      </c>
      <c r="K202">
        <f>INDEX('Energieverbruik in TJ Gemeente'!$B$4:$Q$347,MATCH($C202,'Energieverbruik in TJ Gemeente'!$B$4:$B$347,0),MATCH(K$2,'Energieverbruik in TJ Gemeente'!$B$4:$Q$4,0))</f>
        <v>3</v>
      </c>
      <c r="L202">
        <f>INDEX('Energieverbruik in TJ Gemeente'!$B$4:$Q$347,MATCH($C202,'Energieverbruik in TJ Gemeente'!$B$4:$B$347,0),MATCH(L$2,'Energieverbruik in TJ Gemeente'!$B$4:$Q$4,0))</f>
        <v>2</v>
      </c>
      <c r="M202">
        <f>INDEX('Energieverbruik in TJ Gemeente'!$B$4:$Q$347,MATCH($C202,'Energieverbruik in TJ Gemeente'!$B$4:$B$347,0),MATCH(M$2,'Energieverbruik in TJ Gemeente'!$B$4:$Q$4,0))</f>
        <v>2</v>
      </c>
      <c r="N202">
        <f>INDEX('Energieverbruik in TJ Gemeente'!$B$4:$Q$347,MATCH($C202,'Energieverbruik in TJ Gemeente'!$B$4:$B$347,0),MATCH(N$2,'Energieverbruik in TJ Gemeente'!$B$4:$Q$4,0))</f>
        <v>7</v>
      </c>
      <c r="O202">
        <f>INDEX('Energieverbruik in TJ Gemeente'!$B$4:$Q$347,MATCH($C202,'Energieverbruik in TJ Gemeente'!$B$4:$B$347,0),MATCH(O$2,'Energieverbruik in TJ Gemeente'!$B$4:$Q$4,0))</f>
        <v>5</v>
      </c>
      <c r="P202">
        <f>INDEX('Energieverbruik in TJ Gemeente'!$B$4:$Q$347,MATCH($C202,'Energieverbruik in TJ Gemeente'!$B$4:$B$347,0),MATCH(P$2,'Energieverbruik in TJ Gemeente'!$B$4:$Q$4,0))</f>
        <v>6</v>
      </c>
      <c r="Q202">
        <f>INDEX('Energieverbruik in TJ Gemeente'!$B$4:$Q$347,MATCH($C202,'Energieverbruik in TJ Gemeente'!$B$4:$B$347,0),MATCH(Q$2,'Energieverbruik in TJ Gemeente'!$B$4:$Q$4,0))</f>
        <v>8</v>
      </c>
      <c r="R202">
        <f>INDEX('Energieverbruik in TJ Gemeente'!$B$4:$Q$347,MATCH($C202,'Energieverbruik in TJ Gemeente'!$B$4:$B$347,0),MATCH(R$2,'Energieverbruik in TJ Gemeente'!$B$4:$Q$4,0))</f>
        <v>8</v>
      </c>
      <c r="S202" cm="1">
        <f t="array" ref="S202">MAX(_xlfn._xlws.FILTER(D$1:H$1, D202:H202&lt;&gt;"?"))</f>
        <v>2023</v>
      </c>
      <c r="T202" cm="1">
        <f t="array" ref="T202">MAX(_xlfn._xlws.FILTER(I$1:M$1, I202:M202&lt;&gt;"?"))</f>
        <v>2023</v>
      </c>
      <c r="U202" cm="1">
        <f t="array" ref="U202">MAX(_xlfn._xlws.FILTER(F$1:J$1, F202:J202&lt;&gt;"?"))</f>
        <v>2023</v>
      </c>
      <c r="V202">
        <f t="shared" si="15"/>
        <v>222</v>
      </c>
      <c r="W202">
        <f t="shared" si="16"/>
        <v>2</v>
      </c>
      <c r="X202">
        <f t="shared" si="17"/>
        <v>8</v>
      </c>
      <c r="Y202">
        <f t="shared" si="18"/>
        <v>232</v>
      </c>
      <c r="Z202">
        <f t="shared" si="19"/>
        <v>3.8556779844110952E-4</v>
      </c>
    </row>
    <row r="203" spans="1:26" ht="32" x14ac:dyDescent="0.2">
      <c r="A203" s="4" t="s">
        <v>612</v>
      </c>
      <c r="B203" s="4" t="s">
        <v>613</v>
      </c>
      <c r="C203" s="4" t="s">
        <v>614</v>
      </c>
      <c r="D203">
        <f>INDEX('Energieverbruik in TJ Gemeente'!$B$4:$Q$347,MATCH($C203,'Energieverbruik in TJ Gemeente'!$B$4:$B$347,0),MATCH(D$2,'Energieverbruik in TJ Gemeente'!$B$4:$Q$4,0))</f>
        <v>987</v>
      </c>
      <c r="E203" t="str">
        <f>INDEX('Energieverbruik in TJ Gemeente'!$B$4:$Q$347,MATCH($C203,'Energieverbruik in TJ Gemeente'!$B$4:$B$347,0),MATCH(E$2,'Energieverbruik in TJ Gemeente'!$B$4:$Q$4,0))</f>
        <v>?</v>
      </c>
      <c r="F203">
        <f>INDEX('Energieverbruik in TJ Gemeente'!$B$4:$Q$347,MATCH($C203,'Energieverbruik in TJ Gemeente'!$B$4:$B$347,0),MATCH(F$2,'Energieverbruik in TJ Gemeente'!$B$4:$Q$4,0))</f>
        <v>969</v>
      </c>
      <c r="G203">
        <f>INDEX('Energieverbruik in TJ Gemeente'!$B$4:$Q$347,MATCH($C203,'Energieverbruik in TJ Gemeente'!$B$4:$B$347,0),MATCH(G$2,'Energieverbruik in TJ Gemeente'!$B$4:$Q$4,0))</f>
        <v>848</v>
      </c>
      <c r="H203">
        <f>INDEX('Energieverbruik in TJ Gemeente'!$B$4:$Q$347,MATCH($C203,'Energieverbruik in TJ Gemeente'!$B$4:$B$347,0),MATCH(H$2,'Energieverbruik in TJ Gemeente'!$B$4:$Q$4,0))</f>
        <v>689</v>
      </c>
      <c r="I203">
        <f>INDEX('Energieverbruik in TJ Gemeente'!$B$4:$Q$347,MATCH($C203,'Energieverbruik in TJ Gemeente'!$B$4:$B$347,0),MATCH(I$2,'Energieverbruik in TJ Gemeente'!$B$4:$Q$4,0))</f>
        <v>45</v>
      </c>
      <c r="J203" t="str">
        <f>INDEX('Energieverbruik in TJ Gemeente'!$B$4:$Q$347,MATCH($C203,'Energieverbruik in TJ Gemeente'!$B$4:$B$347,0),MATCH(J$2,'Energieverbruik in TJ Gemeente'!$B$4:$Q$4,0))</f>
        <v>?</v>
      </c>
      <c r="K203">
        <f>INDEX('Energieverbruik in TJ Gemeente'!$B$4:$Q$347,MATCH($C203,'Energieverbruik in TJ Gemeente'!$B$4:$B$347,0),MATCH(K$2,'Energieverbruik in TJ Gemeente'!$B$4:$Q$4,0))</f>
        <v>49</v>
      </c>
      <c r="L203">
        <f>INDEX('Energieverbruik in TJ Gemeente'!$B$4:$Q$347,MATCH($C203,'Energieverbruik in TJ Gemeente'!$B$4:$B$347,0),MATCH(L$2,'Energieverbruik in TJ Gemeente'!$B$4:$Q$4,0))</f>
        <v>42</v>
      </c>
      <c r="M203">
        <f>INDEX('Energieverbruik in TJ Gemeente'!$B$4:$Q$347,MATCH($C203,'Energieverbruik in TJ Gemeente'!$B$4:$B$347,0),MATCH(M$2,'Energieverbruik in TJ Gemeente'!$B$4:$Q$4,0))</f>
        <v>39</v>
      </c>
      <c r="N203">
        <f>INDEX('Energieverbruik in TJ Gemeente'!$B$4:$Q$347,MATCH($C203,'Energieverbruik in TJ Gemeente'!$B$4:$B$347,0),MATCH(N$2,'Energieverbruik in TJ Gemeente'!$B$4:$Q$4,0))</f>
        <v>24</v>
      </c>
      <c r="O203">
        <f>INDEX('Energieverbruik in TJ Gemeente'!$B$4:$Q$347,MATCH($C203,'Energieverbruik in TJ Gemeente'!$B$4:$B$347,0),MATCH(O$2,'Energieverbruik in TJ Gemeente'!$B$4:$Q$4,0))</f>
        <v>22</v>
      </c>
      <c r="P203">
        <f>INDEX('Energieverbruik in TJ Gemeente'!$B$4:$Q$347,MATCH($C203,'Energieverbruik in TJ Gemeente'!$B$4:$B$347,0),MATCH(P$2,'Energieverbruik in TJ Gemeente'!$B$4:$Q$4,0))</f>
        <v>25</v>
      </c>
      <c r="Q203">
        <f>INDEX('Energieverbruik in TJ Gemeente'!$B$4:$Q$347,MATCH($C203,'Energieverbruik in TJ Gemeente'!$B$4:$B$347,0),MATCH(Q$2,'Energieverbruik in TJ Gemeente'!$B$4:$Q$4,0))</f>
        <v>20</v>
      </c>
      <c r="R203">
        <f>INDEX('Energieverbruik in TJ Gemeente'!$B$4:$Q$347,MATCH($C203,'Energieverbruik in TJ Gemeente'!$B$4:$B$347,0),MATCH(R$2,'Energieverbruik in TJ Gemeente'!$B$4:$Q$4,0))</f>
        <v>16</v>
      </c>
      <c r="S203" cm="1">
        <f t="array" ref="S203">MAX(_xlfn._xlws.FILTER(D$1:H$1, D203:H203&lt;&gt;"?"))</f>
        <v>2023</v>
      </c>
      <c r="T203" cm="1">
        <f t="array" ref="T203">MAX(_xlfn._xlws.FILTER(I$1:M$1, I203:M203&lt;&gt;"?"))</f>
        <v>2023</v>
      </c>
      <c r="U203" cm="1">
        <f t="array" ref="U203">MAX(_xlfn._xlws.FILTER(F$1:J$1, F203:J203&lt;&gt;"?"))</f>
        <v>2023</v>
      </c>
      <c r="V203">
        <f t="shared" si="15"/>
        <v>689</v>
      </c>
      <c r="W203">
        <f t="shared" si="16"/>
        <v>39</v>
      </c>
      <c r="X203">
        <f t="shared" si="17"/>
        <v>16</v>
      </c>
      <c r="Y203">
        <f t="shared" si="18"/>
        <v>744</v>
      </c>
      <c r="Z203">
        <f t="shared" si="19"/>
        <v>1.2364760432766616E-3</v>
      </c>
    </row>
    <row r="204" spans="1:26" ht="32" x14ac:dyDescent="0.2">
      <c r="A204" s="4" t="s">
        <v>615</v>
      </c>
      <c r="B204" s="4" t="s">
        <v>616</v>
      </c>
      <c r="C204" s="4" t="s">
        <v>617</v>
      </c>
      <c r="D204">
        <f>INDEX('Energieverbruik in TJ Gemeente'!$B$4:$Q$347,MATCH($C204,'Energieverbruik in TJ Gemeente'!$B$4:$B$347,0),MATCH(D$2,'Energieverbruik in TJ Gemeente'!$B$4:$Q$4,0))</f>
        <v>1208</v>
      </c>
      <c r="E204">
        <f>INDEX('Energieverbruik in TJ Gemeente'!$B$4:$Q$347,MATCH($C204,'Energieverbruik in TJ Gemeente'!$B$4:$B$347,0),MATCH(E$2,'Energieverbruik in TJ Gemeente'!$B$4:$Q$4,0))</f>
        <v>1224</v>
      </c>
      <c r="F204" t="str">
        <f>INDEX('Energieverbruik in TJ Gemeente'!$B$4:$Q$347,MATCH($C204,'Energieverbruik in TJ Gemeente'!$B$4:$B$347,0),MATCH(F$2,'Energieverbruik in TJ Gemeente'!$B$4:$Q$4,0))</f>
        <v>?</v>
      </c>
      <c r="G204" t="str">
        <f>INDEX('Energieverbruik in TJ Gemeente'!$B$4:$Q$347,MATCH($C204,'Energieverbruik in TJ Gemeente'!$B$4:$B$347,0),MATCH(G$2,'Energieverbruik in TJ Gemeente'!$B$4:$Q$4,0))</f>
        <v>?</v>
      </c>
      <c r="H204" t="str">
        <f>INDEX('Energieverbruik in TJ Gemeente'!$B$4:$Q$347,MATCH($C204,'Energieverbruik in TJ Gemeente'!$B$4:$B$347,0),MATCH(H$2,'Energieverbruik in TJ Gemeente'!$B$4:$Q$4,0))</f>
        <v>?</v>
      </c>
      <c r="I204">
        <f>INDEX('Energieverbruik in TJ Gemeente'!$B$4:$Q$347,MATCH($C204,'Energieverbruik in TJ Gemeente'!$B$4:$B$347,0),MATCH(I$2,'Energieverbruik in TJ Gemeente'!$B$4:$Q$4,0))</f>
        <v>138</v>
      </c>
      <c r="J204">
        <f>INDEX('Energieverbruik in TJ Gemeente'!$B$4:$Q$347,MATCH($C204,'Energieverbruik in TJ Gemeente'!$B$4:$B$347,0),MATCH(J$2,'Energieverbruik in TJ Gemeente'!$B$4:$Q$4,0))</f>
        <v>122</v>
      </c>
      <c r="K204">
        <f>INDEX('Energieverbruik in TJ Gemeente'!$B$4:$Q$347,MATCH($C204,'Energieverbruik in TJ Gemeente'!$B$4:$B$347,0),MATCH(K$2,'Energieverbruik in TJ Gemeente'!$B$4:$Q$4,0))</f>
        <v>128</v>
      </c>
      <c r="L204" t="str">
        <f>INDEX('Energieverbruik in TJ Gemeente'!$B$4:$Q$347,MATCH($C204,'Energieverbruik in TJ Gemeente'!$B$4:$B$347,0),MATCH(L$2,'Energieverbruik in TJ Gemeente'!$B$4:$Q$4,0))</f>
        <v>?</v>
      </c>
      <c r="M204" t="str">
        <f>INDEX('Energieverbruik in TJ Gemeente'!$B$4:$Q$347,MATCH($C204,'Energieverbruik in TJ Gemeente'!$B$4:$B$347,0),MATCH(M$2,'Energieverbruik in TJ Gemeente'!$B$4:$Q$4,0))</f>
        <v>?</v>
      </c>
      <c r="N204" t="str">
        <f>INDEX('Energieverbruik in TJ Gemeente'!$B$4:$Q$347,MATCH($C204,'Energieverbruik in TJ Gemeente'!$B$4:$B$347,0),MATCH(N$2,'Energieverbruik in TJ Gemeente'!$B$4:$Q$4,0))</f>
        <v>?</v>
      </c>
      <c r="O204" t="str">
        <f>INDEX('Energieverbruik in TJ Gemeente'!$B$4:$Q$347,MATCH($C204,'Energieverbruik in TJ Gemeente'!$B$4:$B$347,0),MATCH(O$2,'Energieverbruik in TJ Gemeente'!$B$4:$Q$4,0))</f>
        <v>?</v>
      </c>
      <c r="P204">
        <f>INDEX('Energieverbruik in TJ Gemeente'!$B$4:$Q$347,MATCH($C204,'Energieverbruik in TJ Gemeente'!$B$4:$B$347,0),MATCH(P$2,'Energieverbruik in TJ Gemeente'!$B$4:$Q$4,0))</f>
        <v>3286</v>
      </c>
      <c r="Q204" t="str">
        <f>INDEX('Energieverbruik in TJ Gemeente'!$B$4:$Q$347,MATCH($C204,'Energieverbruik in TJ Gemeente'!$B$4:$B$347,0),MATCH(Q$2,'Energieverbruik in TJ Gemeente'!$B$4:$Q$4,0))</f>
        <v>?</v>
      </c>
      <c r="R204">
        <f>INDEX('Energieverbruik in TJ Gemeente'!$B$4:$Q$347,MATCH($C204,'Energieverbruik in TJ Gemeente'!$B$4:$B$347,0),MATCH(R$2,'Energieverbruik in TJ Gemeente'!$B$4:$Q$4,0))</f>
        <v>3097</v>
      </c>
      <c r="S204" cm="1">
        <f t="array" ref="S204">MAX(_xlfn._xlws.FILTER(D$1:H$1, D204:H204&lt;&gt;"?"))</f>
        <v>2020</v>
      </c>
      <c r="T204" cm="1">
        <f t="array" ref="T204">MAX(_xlfn._xlws.FILTER(I$1:M$1, I204:M204&lt;&gt;"?"))</f>
        <v>2021</v>
      </c>
      <c r="U204" cm="1">
        <f t="array" ref="U204">MAX(_xlfn._xlws.FILTER(F$1:J$1, F204:J204&lt;&gt;"?"))</f>
        <v>2020</v>
      </c>
      <c r="V204">
        <f t="shared" si="15"/>
        <v>1224</v>
      </c>
      <c r="W204">
        <f t="shared" si="16"/>
        <v>128</v>
      </c>
      <c r="X204" t="str">
        <f t="shared" si="17"/>
        <v>?</v>
      </c>
      <c r="Y204">
        <f t="shared" si="18"/>
        <v>1352</v>
      </c>
      <c r="Z204">
        <f t="shared" si="19"/>
        <v>2.2469295840188796E-3</v>
      </c>
    </row>
    <row r="205" spans="1:26" ht="16" x14ac:dyDescent="0.2">
      <c r="A205" s="4" t="s">
        <v>618</v>
      </c>
      <c r="B205" s="4" t="s">
        <v>619</v>
      </c>
      <c r="C205" s="4" t="s">
        <v>620</v>
      </c>
      <c r="D205">
        <f>INDEX('Energieverbruik in TJ Gemeente'!$B$4:$Q$347,MATCH($C205,'Energieverbruik in TJ Gemeente'!$B$4:$B$347,0),MATCH(D$2,'Energieverbruik in TJ Gemeente'!$B$4:$Q$4,0))</f>
        <v>1297</v>
      </c>
      <c r="E205">
        <f>INDEX('Energieverbruik in TJ Gemeente'!$B$4:$Q$347,MATCH($C205,'Energieverbruik in TJ Gemeente'!$B$4:$B$347,0),MATCH(E$2,'Energieverbruik in TJ Gemeente'!$B$4:$Q$4,0))</f>
        <v>1205</v>
      </c>
      <c r="F205">
        <f>INDEX('Energieverbruik in TJ Gemeente'!$B$4:$Q$347,MATCH($C205,'Energieverbruik in TJ Gemeente'!$B$4:$B$347,0),MATCH(F$2,'Energieverbruik in TJ Gemeente'!$B$4:$Q$4,0))</f>
        <v>1236</v>
      </c>
      <c r="G205">
        <f>INDEX('Energieverbruik in TJ Gemeente'!$B$4:$Q$347,MATCH($C205,'Energieverbruik in TJ Gemeente'!$B$4:$B$347,0),MATCH(G$2,'Energieverbruik in TJ Gemeente'!$B$4:$Q$4,0))</f>
        <v>1068</v>
      </c>
      <c r="H205">
        <f>INDEX('Energieverbruik in TJ Gemeente'!$B$4:$Q$347,MATCH($C205,'Energieverbruik in TJ Gemeente'!$B$4:$B$347,0),MATCH(H$2,'Energieverbruik in TJ Gemeente'!$B$4:$Q$4,0))</f>
        <v>908</v>
      </c>
      <c r="I205">
        <f>INDEX('Energieverbruik in TJ Gemeente'!$B$4:$Q$347,MATCH($C205,'Energieverbruik in TJ Gemeente'!$B$4:$B$347,0),MATCH(I$2,'Energieverbruik in TJ Gemeente'!$B$4:$Q$4,0))</f>
        <v>34</v>
      </c>
      <c r="J205">
        <f>INDEX('Energieverbruik in TJ Gemeente'!$B$4:$Q$347,MATCH($C205,'Energieverbruik in TJ Gemeente'!$B$4:$B$347,0),MATCH(J$2,'Energieverbruik in TJ Gemeente'!$B$4:$Q$4,0))</f>
        <v>31</v>
      </c>
      <c r="K205">
        <f>INDEX('Energieverbruik in TJ Gemeente'!$B$4:$Q$347,MATCH($C205,'Energieverbruik in TJ Gemeente'!$B$4:$B$347,0),MATCH(K$2,'Energieverbruik in TJ Gemeente'!$B$4:$Q$4,0))</f>
        <v>38</v>
      </c>
      <c r="L205">
        <f>INDEX('Energieverbruik in TJ Gemeente'!$B$4:$Q$347,MATCH($C205,'Energieverbruik in TJ Gemeente'!$B$4:$B$347,0),MATCH(L$2,'Energieverbruik in TJ Gemeente'!$B$4:$Q$4,0))</f>
        <v>28</v>
      </c>
      <c r="M205">
        <f>INDEX('Energieverbruik in TJ Gemeente'!$B$4:$Q$347,MATCH($C205,'Energieverbruik in TJ Gemeente'!$B$4:$B$347,0),MATCH(M$2,'Energieverbruik in TJ Gemeente'!$B$4:$Q$4,0))</f>
        <v>24</v>
      </c>
      <c r="N205">
        <f>INDEX('Energieverbruik in TJ Gemeente'!$B$4:$Q$347,MATCH($C205,'Energieverbruik in TJ Gemeente'!$B$4:$B$347,0),MATCH(N$2,'Energieverbruik in TJ Gemeente'!$B$4:$Q$4,0))</f>
        <v>189</v>
      </c>
      <c r="O205">
        <f>INDEX('Energieverbruik in TJ Gemeente'!$B$4:$Q$347,MATCH($C205,'Energieverbruik in TJ Gemeente'!$B$4:$B$347,0),MATCH(O$2,'Energieverbruik in TJ Gemeente'!$B$4:$Q$4,0))</f>
        <v>170</v>
      </c>
      <c r="P205">
        <f>INDEX('Energieverbruik in TJ Gemeente'!$B$4:$Q$347,MATCH($C205,'Energieverbruik in TJ Gemeente'!$B$4:$B$347,0),MATCH(P$2,'Energieverbruik in TJ Gemeente'!$B$4:$Q$4,0))</f>
        <v>185</v>
      </c>
      <c r="Q205">
        <f>INDEX('Energieverbruik in TJ Gemeente'!$B$4:$Q$347,MATCH($C205,'Energieverbruik in TJ Gemeente'!$B$4:$B$347,0),MATCH(Q$2,'Energieverbruik in TJ Gemeente'!$B$4:$Q$4,0))</f>
        <v>147</v>
      </c>
      <c r="R205">
        <f>INDEX('Energieverbruik in TJ Gemeente'!$B$4:$Q$347,MATCH($C205,'Energieverbruik in TJ Gemeente'!$B$4:$B$347,0),MATCH(R$2,'Energieverbruik in TJ Gemeente'!$B$4:$Q$4,0))</f>
        <v>132</v>
      </c>
      <c r="S205" cm="1">
        <f t="array" ref="S205">MAX(_xlfn._xlws.FILTER(D$1:H$1, D205:H205&lt;&gt;"?"))</f>
        <v>2023</v>
      </c>
      <c r="T205" cm="1">
        <f t="array" ref="T205">MAX(_xlfn._xlws.FILTER(I$1:M$1, I205:M205&lt;&gt;"?"))</f>
        <v>2023</v>
      </c>
      <c r="U205" cm="1">
        <f t="array" ref="U205">MAX(_xlfn._xlws.FILTER(F$1:J$1, F205:J205&lt;&gt;"?"))</f>
        <v>2023</v>
      </c>
      <c r="V205">
        <f t="shared" si="15"/>
        <v>908</v>
      </c>
      <c r="W205">
        <f t="shared" si="16"/>
        <v>24</v>
      </c>
      <c r="X205">
        <f t="shared" si="17"/>
        <v>132</v>
      </c>
      <c r="Y205">
        <f t="shared" si="18"/>
        <v>1064</v>
      </c>
      <c r="Z205">
        <f t="shared" si="19"/>
        <v>1.7682936962988816E-3</v>
      </c>
    </row>
    <row r="206" spans="1:26" ht="16" x14ac:dyDescent="0.2">
      <c r="A206" s="4" t="s">
        <v>621</v>
      </c>
      <c r="B206" s="4" t="s">
        <v>622</v>
      </c>
      <c r="C206" s="4" t="s">
        <v>1059</v>
      </c>
      <c r="D206" t="str">
        <f>INDEX('Energieverbruik in TJ Gemeente'!$B$4:$Q$347,MATCH($C206,'Energieverbruik in TJ Gemeente'!$B$4:$B$347,0),MATCH(D$2,'Energieverbruik in TJ Gemeente'!$B$4:$Q$4,0))</f>
        <v>?</v>
      </c>
      <c r="E206" t="str">
        <f>INDEX('Energieverbruik in TJ Gemeente'!$B$4:$Q$347,MATCH($C206,'Energieverbruik in TJ Gemeente'!$B$4:$B$347,0),MATCH(E$2,'Energieverbruik in TJ Gemeente'!$B$4:$Q$4,0))</f>
        <v>?</v>
      </c>
      <c r="F206" t="str">
        <f>INDEX('Energieverbruik in TJ Gemeente'!$B$4:$Q$347,MATCH($C206,'Energieverbruik in TJ Gemeente'!$B$4:$B$347,0),MATCH(F$2,'Energieverbruik in TJ Gemeente'!$B$4:$Q$4,0))</f>
        <v>?</v>
      </c>
      <c r="G206">
        <f>INDEX('Energieverbruik in TJ Gemeente'!$B$4:$Q$347,MATCH($C206,'Energieverbruik in TJ Gemeente'!$B$4:$B$347,0),MATCH(G$2,'Energieverbruik in TJ Gemeente'!$B$4:$Q$4,0))</f>
        <v>524</v>
      </c>
      <c r="H206">
        <f>INDEX('Energieverbruik in TJ Gemeente'!$B$4:$Q$347,MATCH($C206,'Energieverbruik in TJ Gemeente'!$B$4:$B$347,0),MATCH(H$2,'Energieverbruik in TJ Gemeente'!$B$4:$Q$4,0))</f>
        <v>425</v>
      </c>
      <c r="I206">
        <f>INDEX('Energieverbruik in TJ Gemeente'!$B$4:$Q$347,MATCH($C206,'Energieverbruik in TJ Gemeente'!$B$4:$B$347,0),MATCH(I$2,'Energieverbruik in TJ Gemeente'!$B$4:$Q$4,0))</f>
        <v>56</v>
      </c>
      <c r="J206">
        <f>INDEX('Energieverbruik in TJ Gemeente'!$B$4:$Q$347,MATCH($C206,'Energieverbruik in TJ Gemeente'!$B$4:$B$347,0),MATCH(J$2,'Energieverbruik in TJ Gemeente'!$B$4:$Q$4,0))</f>
        <v>52</v>
      </c>
      <c r="K206">
        <f>INDEX('Energieverbruik in TJ Gemeente'!$B$4:$Q$347,MATCH($C206,'Energieverbruik in TJ Gemeente'!$B$4:$B$347,0),MATCH(K$2,'Energieverbruik in TJ Gemeente'!$B$4:$Q$4,0))</f>
        <v>58</v>
      </c>
      <c r="L206">
        <f>INDEX('Energieverbruik in TJ Gemeente'!$B$4:$Q$347,MATCH($C206,'Energieverbruik in TJ Gemeente'!$B$4:$B$347,0),MATCH(L$2,'Energieverbruik in TJ Gemeente'!$B$4:$Q$4,0))</f>
        <v>56</v>
      </c>
      <c r="M206">
        <f>INDEX('Energieverbruik in TJ Gemeente'!$B$4:$Q$347,MATCH($C206,'Energieverbruik in TJ Gemeente'!$B$4:$B$347,0),MATCH(M$2,'Energieverbruik in TJ Gemeente'!$B$4:$Q$4,0))</f>
        <v>61</v>
      </c>
      <c r="N206">
        <f>INDEX('Energieverbruik in TJ Gemeente'!$B$4:$Q$347,MATCH($C206,'Energieverbruik in TJ Gemeente'!$B$4:$B$347,0),MATCH(N$2,'Energieverbruik in TJ Gemeente'!$B$4:$Q$4,0))</f>
        <v>12</v>
      </c>
      <c r="O206">
        <f>INDEX('Energieverbruik in TJ Gemeente'!$B$4:$Q$347,MATCH($C206,'Energieverbruik in TJ Gemeente'!$B$4:$B$347,0),MATCH(O$2,'Energieverbruik in TJ Gemeente'!$B$4:$Q$4,0))</f>
        <v>9</v>
      </c>
      <c r="P206">
        <f>INDEX('Energieverbruik in TJ Gemeente'!$B$4:$Q$347,MATCH($C206,'Energieverbruik in TJ Gemeente'!$B$4:$B$347,0),MATCH(P$2,'Energieverbruik in TJ Gemeente'!$B$4:$Q$4,0))</f>
        <v>9</v>
      </c>
      <c r="Q206">
        <f>INDEX('Energieverbruik in TJ Gemeente'!$B$4:$Q$347,MATCH($C206,'Energieverbruik in TJ Gemeente'!$B$4:$B$347,0),MATCH(Q$2,'Energieverbruik in TJ Gemeente'!$B$4:$Q$4,0))</f>
        <v>7</v>
      </c>
      <c r="R206">
        <f>INDEX('Energieverbruik in TJ Gemeente'!$B$4:$Q$347,MATCH($C206,'Energieverbruik in TJ Gemeente'!$B$4:$B$347,0),MATCH(R$2,'Energieverbruik in TJ Gemeente'!$B$4:$Q$4,0))</f>
        <v>5</v>
      </c>
      <c r="S206" cm="1">
        <f t="array" ref="S206">MAX(_xlfn._xlws.FILTER(D$1:H$1, D206:H206&lt;&gt;"?"))</f>
        <v>2023</v>
      </c>
      <c r="T206" cm="1">
        <f t="array" ref="T206">MAX(_xlfn._xlws.FILTER(I$1:M$1, I206:M206&lt;&gt;"?"))</f>
        <v>2023</v>
      </c>
      <c r="U206" cm="1">
        <f t="array" ref="U206">MAX(_xlfn._xlws.FILTER(F$1:J$1, F206:J206&lt;&gt;"?"))</f>
        <v>2023</v>
      </c>
      <c r="V206">
        <f t="shared" si="15"/>
        <v>425</v>
      </c>
      <c r="W206">
        <f t="shared" si="16"/>
        <v>61</v>
      </c>
      <c r="X206">
        <f t="shared" si="17"/>
        <v>5</v>
      </c>
      <c r="Y206">
        <f t="shared" si="18"/>
        <v>491</v>
      </c>
      <c r="Z206">
        <f t="shared" si="19"/>
        <v>8.1600771135596881E-4</v>
      </c>
    </row>
    <row r="207" spans="1:26" ht="16" x14ac:dyDescent="0.2">
      <c r="A207" s="4" t="s">
        <v>623</v>
      </c>
      <c r="B207" s="4" t="s">
        <v>624</v>
      </c>
      <c r="C207" s="4" t="s">
        <v>625</v>
      </c>
      <c r="D207">
        <f>INDEX('Energieverbruik in TJ Gemeente'!$B$4:$Q$347,MATCH($C207,'Energieverbruik in TJ Gemeente'!$B$4:$B$347,0),MATCH(D$2,'Energieverbruik in TJ Gemeente'!$B$4:$Q$4,0))</f>
        <v>732</v>
      </c>
      <c r="E207">
        <f>INDEX('Energieverbruik in TJ Gemeente'!$B$4:$Q$347,MATCH($C207,'Energieverbruik in TJ Gemeente'!$B$4:$B$347,0),MATCH(E$2,'Energieverbruik in TJ Gemeente'!$B$4:$Q$4,0))</f>
        <v>691</v>
      </c>
      <c r="F207">
        <f>INDEX('Energieverbruik in TJ Gemeente'!$B$4:$Q$347,MATCH($C207,'Energieverbruik in TJ Gemeente'!$B$4:$B$347,0),MATCH(F$2,'Energieverbruik in TJ Gemeente'!$B$4:$Q$4,0))</f>
        <v>710</v>
      </c>
      <c r="G207">
        <f>INDEX('Energieverbruik in TJ Gemeente'!$B$4:$Q$347,MATCH($C207,'Energieverbruik in TJ Gemeente'!$B$4:$B$347,0),MATCH(G$2,'Energieverbruik in TJ Gemeente'!$B$4:$Q$4,0))</f>
        <v>630</v>
      </c>
      <c r="H207">
        <f>INDEX('Energieverbruik in TJ Gemeente'!$B$4:$Q$347,MATCH($C207,'Energieverbruik in TJ Gemeente'!$B$4:$B$347,0),MATCH(H$2,'Energieverbruik in TJ Gemeente'!$B$4:$Q$4,0))</f>
        <v>510</v>
      </c>
      <c r="I207">
        <f>INDEX('Energieverbruik in TJ Gemeente'!$B$4:$Q$347,MATCH($C207,'Energieverbruik in TJ Gemeente'!$B$4:$B$347,0),MATCH(I$2,'Energieverbruik in TJ Gemeente'!$B$4:$Q$4,0))</f>
        <v>457</v>
      </c>
      <c r="J207">
        <f>INDEX('Energieverbruik in TJ Gemeente'!$B$4:$Q$347,MATCH($C207,'Energieverbruik in TJ Gemeente'!$B$4:$B$347,0),MATCH(J$2,'Energieverbruik in TJ Gemeente'!$B$4:$Q$4,0))</f>
        <v>461</v>
      </c>
      <c r="K207">
        <f>INDEX('Energieverbruik in TJ Gemeente'!$B$4:$Q$347,MATCH($C207,'Energieverbruik in TJ Gemeente'!$B$4:$B$347,0),MATCH(K$2,'Energieverbruik in TJ Gemeente'!$B$4:$Q$4,0))</f>
        <v>429</v>
      </c>
      <c r="L207" t="str">
        <f>INDEX('Energieverbruik in TJ Gemeente'!$B$4:$Q$347,MATCH($C207,'Energieverbruik in TJ Gemeente'!$B$4:$B$347,0),MATCH(L$2,'Energieverbruik in TJ Gemeente'!$B$4:$Q$4,0))</f>
        <v>?</v>
      </c>
      <c r="M207">
        <f>INDEX('Energieverbruik in TJ Gemeente'!$B$4:$Q$347,MATCH($C207,'Energieverbruik in TJ Gemeente'!$B$4:$B$347,0),MATCH(M$2,'Energieverbruik in TJ Gemeente'!$B$4:$Q$4,0))</f>
        <v>396</v>
      </c>
      <c r="N207">
        <f>INDEX('Energieverbruik in TJ Gemeente'!$B$4:$Q$347,MATCH($C207,'Energieverbruik in TJ Gemeente'!$B$4:$B$347,0),MATCH(N$2,'Energieverbruik in TJ Gemeente'!$B$4:$Q$4,0))</f>
        <v>18</v>
      </c>
      <c r="O207">
        <f>INDEX('Energieverbruik in TJ Gemeente'!$B$4:$Q$347,MATCH($C207,'Energieverbruik in TJ Gemeente'!$B$4:$B$347,0),MATCH(O$2,'Energieverbruik in TJ Gemeente'!$B$4:$Q$4,0))</f>
        <v>11</v>
      </c>
      <c r="P207">
        <f>INDEX('Energieverbruik in TJ Gemeente'!$B$4:$Q$347,MATCH($C207,'Energieverbruik in TJ Gemeente'!$B$4:$B$347,0),MATCH(P$2,'Energieverbruik in TJ Gemeente'!$B$4:$Q$4,0))</f>
        <v>11</v>
      </c>
      <c r="Q207">
        <f>INDEX('Energieverbruik in TJ Gemeente'!$B$4:$Q$347,MATCH($C207,'Energieverbruik in TJ Gemeente'!$B$4:$B$347,0),MATCH(Q$2,'Energieverbruik in TJ Gemeente'!$B$4:$Q$4,0))</f>
        <v>9</v>
      </c>
      <c r="R207">
        <f>INDEX('Energieverbruik in TJ Gemeente'!$B$4:$Q$347,MATCH($C207,'Energieverbruik in TJ Gemeente'!$B$4:$B$347,0),MATCH(R$2,'Energieverbruik in TJ Gemeente'!$B$4:$Q$4,0))</f>
        <v>7</v>
      </c>
      <c r="S207" cm="1">
        <f t="array" ref="S207">MAX(_xlfn._xlws.FILTER(D$1:H$1, D207:H207&lt;&gt;"?"))</f>
        <v>2023</v>
      </c>
      <c r="T207" cm="1">
        <f t="array" ref="T207">MAX(_xlfn._xlws.FILTER(I$1:M$1, I207:M207&lt;&gt;"?"))</f>
        <v>2023</v>
      </c>
      <c r="U207" cm="1">
        <f t="array" ref="U207">MAX(_xlfn._xlws.FILTER(F$1:J$1, F207:J207&lt;&gt;"?"))</f>
        <v>2023</v>
      </c>
      <c r="V207">
        <f t="shared" si="15"/>
        <v>510</v>
      </c>
      <c r="W207">
        <f t="shared" si="16"/>
        <v>396</v>
      </c>
      <c r="X207">
        <f t="shared" si="17"/>
        <v>7</v>
      </c>
      <c r="Y207">
        <f t="shared" si="18"/>
        <v>913</v>
      </c>
      <c r="Z207">
        <f t="shared" si="19"/>
        <v>1.5173422412790214E-3</v>
      </c>
    </row>
    <row r="208" spans="1:26" ht="16" x14ac:dyDescent="0.2">
      <c r="A208" s="4" t="s">
        <v>626</v>
      </c>
      <c r="B208" s="4" t="s">
        <v>627</v>
      </c>
      <c r="C208" s="4" t="s">
        <v>628</v>
      </c>
      <c r="D208" t="str">
        <f>INDEX('Energieverbruik in TJ Gemeente'!$B$4:$Q$347,MATCH($C208,'Energieverbruik in TJ Gemeente'!$B$4:$B$347,0),MATCH(D$2,'Energieverbruik in TJ Gemeente'!$B$4:$Q$4,0))</f>
        <v>?</v>
      </c>
      <c r="E208">
        <f>INDEX('Energieverbruik in TJ Gemeente'!$B$4:$Q$347,MATCH($C208,'Energieverbruik in TJ Gemeente'!$B$4:$B$347,0),MATCH(E$2,'Energieverbruik in TJ Gemeente'!$B$4:$Q$4,0))</f>
        <v>510</v>
      </c>
      <c r="F208" t="str">
        <f>INDEX('Energieverbruik in TJ Gemeente'!$B$4:$Q$347,MATCH($C208,'Energieverbruik in TJ Gemeente'!$B$4:$B$347,0),MATCH(F$2,'Energieverbruik in TJ Gemeente'!$B$4:$Q$4,0))</f>
        <v>?</v>
      </c>
      <c r="G208">
        <f>INDEX('Energieverbruik in TJ Gemeente'!$B$4:$Q$347,MATCH($C208,'Energieverbruik in TJ Gemeente'!$B$4:$B$347,0),MATCH(G$2,'Energieverbruik in TJ Gemeente'!$B$4:$Q$4,0))</f>
        <v>465</v>
      </c>
      <c r="H208">
        <f>INDEX('Energieverbruik in TJ Gemeente'!$B$4:$Q$347,MATCH($C208,'Energieverbruik in TJ Gemeente'!$B$4:$B$347,0),MATCH(H$2,'Energieverbruik in TJ Gemeente'!$B$4:$Q$4,0))</f>
        <v>400</v>
      </c>
      <c r="I208">
        <f>INDEX('Energieverbruik in TJ Gemeente'!$B$4:$Q$347,MATCH($C208,'Energieverbruik in TJ Gemeente'!$B$4:$B$347,0),MATCH(I$2,'Energieverbruik in TJ Gemeente'!$B$4:$Q$4,0))</f>
        <v>2</v>
      </c>
      <c r="J208">
        <f>INDEX('Energieverbruik in TJ Gemeente'!$B$4:$Q$347,MATCH($C208,'Energieverbruik in TJ Gemeente'!$B$4:$B$347,0),MATCH(J$2,'Energieverbruik in TJ Gemeente'!$B$4:$Q$4,0))</f>
        <v>2</v>
      </c>
      <c r="K208">
        <f>INDEX('Energieverbruik in TJ Gemeente'!$B$4:$Q$347,MATCH($C208,'Energieverbruik in TJ Gemeente'!$B$4:$B$347,0),MATCH(K$2,'Energieverbruik in TJ Gemeente'!$B$4:$Q$4,0))</f>
        <v>4</v>
      </c>
      <c r="L208">
        <f>INDEX('Energieverbruik in TJ Gemeente'!$B$4:$Q$347,MATCH($C208,'Energieverbruik in TJ Gemeente'!$B$4:$B$347,0),MATCH(L$2,'Energieverbruik in TJ Gemeente'!$B$4:$Q$4,0))</f>
        <v>2</v>
      </c>
      <c r="M208">
        <f>INDEX('Energieverbruik in TJ Gemeente'!$B$4:$Q$347,MATCH($C208,'Energieverbruik in TJ Gemeente'!$B$4:$B$347,0),MATCH(M$2,'Energieverbruik in TJ Gemeente'!$B$4:$Q$4,0))</f>
        <v>2</v>
      </c>
      <c r="N208">
        <f>INDEX('Energieverbruik in TJ Gemeente'!$B$4:$Q$347,MATCH($C208,'Energieverbruik in TJ Gemeente'!$B$4:$B$347,0),MATCH(N$2,'Energieverbruik in TJ Gemeente'!$B$4:$Q$4,0))</f>
        <v>4</v>
      </c>
      <c r="O208">
        <f>INDEX('Energieverbruik in TJ Gemeente'!$B$4:$Q$347,MATCH($C208,'Energieverbruik in TJ Gemeente'!$B$4:$B$347,0),MATCH(O$2,'Energieverbruik in TJ Gemeente'!$B$4:$Q$4,0))</f>
        <v>3</v>
      </c>
      <c r="P208">
        <f>INDEX('Energieverbruik in TJ Gemeente'!$B$4:$Q$347,MATCH($C208,'Energieverbruik in TJ Gemeente'!$B$4:$B$347,0),MATCH(P$2,'Energieverbruik in TJ Gemeente'!$B$4:$Q$4,0))</f>
        <v>3</v>
      </c>
      <c r="Q208">
        <f>INDEX('Energieverbruik in TJ Gemeente'!$B$4:$Q$347,MATCH($C208,'Energieverbruik in TJ Gemeente'!$B$4:$B$347,0),MATCH(Q$2,'Energieverbruik in TJ Gemeente'!$B$4:$Q$4,0))</f>
        <v>2</v>
      </c>
      <c r="R208">
        <f>INDEX('Energieverbruik in TJ Gemeente'!$B$4:$Q$347,MATCH($C208,'Energieverbruik in TJ Gemeente'!$B$4:$B$347,0),MATCH(R$2,'Energieverbruik in TJ Gemeente'!$B$4:$Q$4,0))</f>
        <v>0</v>
      </c>
      <c r="S208" cm="1">
        <f t="array" ref="S208">MAX(_xlfn._xlws.FILTER(D$1:H$1, D208:H208&lt;&gt;"?"))</f>
        <v>2023</v>
      </c>
      <c r="T208" cm="1">
        <f t="array" ref="T208">MAX(_xlfn._xlws.FILTER(I$1:M$1, I208:M208&lt;&gt;"?"))</f>
        <v>2023</v>
      </c>
      <c r="U208" cm="1">
        <f t="array" ref="U208">MAX(_xlfn._xlws.FILTER(F$1:J$1, F208:J208&lt;&gt;"?"))</f>
        <v>2023</v>
      </c>
      <c r="V208">
        <f t="shared" si="15"/>
        <v>400</v>
      </c>
      <c r="W208">
        <f t="shared" si="16"/>
        <v>2</v>
      </c>
      <c r="X208">
        <f t="shared" si="17"/>
        <v>0</v>
      </c>
      <c r="Y208">
        <f t="shared" si="18"/>
        <v>402</v>
      </c>
      <c r="Z208">
        <f t="shared" si="19"/>
        <v>6.6809592660916392E-4</v>
      </c>
    </row>
    <row r="209" spans="1:26" ht="16" x14ac:dyDescent="0.2">
      <c r="A209" s="4" t="s">
        <v>629</v>
      </c>
      <c r="B209" s="4" t="s">
        <v>630</v>
      </c>
      <c r="C209" s="4" t="s">
        <v>631</v>
      </c>
      <c r="D209" t="str">
        <f>INDEX('Energieverbruik in TJ Gemeente'!$B$4:$Q$347,MATCH($C209,'Energieverbruik in TJ Gemeente'!$B$4:$B$347,0),MATCH(D$2,'Energieverbruik in TJ Gemeente'!$B$4:$Q$4,0))</f>
        <v>?</v>
      </c>
      <c r="E209" t="str">
        <f>INDEX('Energieverbruik in TJ Gemeente'!$B$4:$Q$347,MATCH($C209,'Energieverbruik in TJ Gemeente'!$B$4:$B$347,0),MATCH(E$2,'Energieverbruik in TJ Gemeente'!$B$4:$Q$4,0))</f>
        <v>?</v>
      </c>
      <c r="F209" t="str">
        <f>INDEX('Energieverbruik in TJ Gemeente'!$B$4:$Q$347,MATCH($C209,'Energieverbruik in TJ Gemeente'!$B$4:$B$347,0),MATCH(F$2,'Energieverbruik in TJ Gemeente'!$B$4:$Q$4,0))</f>
        <v>?</v>
      </c>
      <c r="G209" t="str">
        <f>INDEX('Energieverbruik in TJ Gemeente'!$B$4:$Q$347,MATCH($C209,'Energieverbruik in TJ Gemeente'!$B$4:$B$347,0),MATCH(G$2,'Energieverbruik in TJ Gemeente'!$B$4:$Q$4,0))</f>
        <v>?</v>
      </c>
      <c r="H209" t="str">
        <f>INDEX('Energieverbruik in TJ Gemeente'!$B$4:$Q$347,MATCH($C209,'Energieverbruik in TJ Gemeente'!$B$4:$B$347,0),MATCH(H$2,'Energieverbruik in TJ Gemeente'!$B$4:$Q$4,0))</f>
        <v>?</v>
      </c>
      <c r="I209">
        <f>INDEX('Energieverbruik in TJ Gemeente'!$B$4:$Q$347,MATCH($C209,'Energieverbruik in TJ Gemeente'!$B$4:$B$347,0),MATCH(I$2,'Energieverbruik in TJ Gemeente'!$B$4:$Q$4,0))</f>
        <v>36</v>
      </c>
      <c r="J209">
        <f>INDEX('Energieverbruik in TJ Gemeente'!$B$4:$Q$347,MATCH($C209,'Energieverbruik in TJ Gemeente'!$B$4:$B$347,0),MATCH(J$2,'Energieverbruik in TJ Gemeente'!$B$4:$Q$4,0))</f>
        <v>37</v>
      </c>
      <c r="K209">
        <f>INDEX('Energieverbruik in TJ Gemeente'!$B$4:$Q$347,MATCH($C209,'Energieverbruik in TJ Gemeente'!$B$4:$B$347,0),MATCH(K$2,'Energieverbruik in TJ Gemeente'!$B$4:$Q$4,0))</f>
        <v>42</v>
      </c>
      <c r="L209">
        <f>INDEX('Energieverbruik in TJ Gemeente'!$B$4:$Q$347,MATCH($C209,'Energieverbruik in TJ Gemeente'!$B$4:$B$347,0),MATCH(L$2,'Energieverbruik in TJ Gemeente'!$B$4:$Q$4,0))</f>
        <v>37</v>
      </c>
      <c r="M209" t="str">
        <f>INDEX('Energieverbruik in TJ Gemeente'!$B$4:$Q$347,MATCH($C209,'Energieverbruik in TJ Gemeente'!$B$4:$B$347,0),MATCH(M$2,'Energieverbruik in TJ Gemeente'!$B$4:$Q$4,0))</f>
        <v>?</v>
      </c>
      <c r="N209">
        <f>INDEX('Energieverbruik in TJ Gemeente'!$B$4:$Q$347,MATCH($C209,'Energieverbruik in TJ Gemeente'!$B$4:$B$347,0),MATCH(N$2,'Energieverbruik in TJ Gemeente'!$B$4:$Q$4,0))</f>
        <v>220</v>
      </c>
      <c r="O209">
        <f>INDEX('Energieverbruik in TJ Gemeente'!$B$4:$Q$347,MATCH($C209,'Energieverbruik in TJ Gemeente'!$B$4:$B$347,0),MATCH(O$2,'Energieverbruik in TJ Gemeente'!$B$4:$Q$4,0))</f>
        <v>236</v>
      </c>
      <c r="P209">
        <f>INDEX('Energieverbruik in TJ Gemeente'!$B$4:$Q$347,MATCH($C209,'Energieverbruik in TJ Gemeente'!$B$4:$B$347,0),MATCH(P$2,'Energieverbruik in TJ Gemeente'!$B$4:$Q$4,0))</f>
        <v>258</v>
      </c>
      <c r="Q209">
        <f>INDEX('Energieverbruik in TJ Gemeente'!$B$4:$Q$347,MATCH($C209,'Energieverbruik in TJ Gemeente'!$B$4:$B$347,0),MATCH(Q$2,'Energieverbruik in TJ Gemeente'!$B$4:$Q$4,0))</f>
        <v>192</v>
      </c>
      <c r="R209">
        <f>INDEX('Energieverbruik in TJ Gemeente'!$B$4:$Q$347,MATCH($C209,'Energieverbruik in TJ Gemeente'!$B$4:$B$347,0),MATCH(R$2,'Energieverbruik in TJ Gemeente'!$B$4:$Q$4,0))</f>
        <v>199</v>
      </c>
      <c r="S209" t="e" cm="1" vm="1">
        <f t="array" ref="S209">MAX(_xlfn._xlws.FILTER(D$1:H$1, D209:H209&lt;&gt;"?"))</f>
        <v>#VALUE!</v>
      </c>
      <c r="T209" cm="1">
        <f t="array" ref="T209">MAX(_xlfn._xlws.FILTER(I$1:M$1, I209:M209&lt;&gt;"?"))</f>
        <v>2022</v>
      </c>
      <c r="U209" cm="1">
        <f t="array" ref="U209">MAX(_xlfn._xlws.FILTER(F$1:J$1, F209:J209&lt;&gt;"?"))</f>
        <v>2020</v>
      </c>
      <c r="V209">
        <f t="shared" si="15"/>
        <v>0</v>
      </c>
      <c r="W209">
        <f t="shared" si="16"/>
        <v>37</v>
      </c>
      <c r="X209">
        <f t="shared" si="17"/>
        <v>236</v>
      </c>
      <c r="Y209">
        <f t="shared" si="18"/>
        <v>273</v>
      </c>
      <c r="Z209">
        <f t="shared" si="19"/>
        <v>4.5370693523458147E-4</v>
      </c>
    </row>
    <row r="210" spans="1:26" ht="16" x14ac:dyDescent="0.2">
      <c r="A210" s="4" t="s">
        <v>632</v>
      </c>
      <c r="B210" s="4" t="s">
        <v>633</v>
      </c>
      <c r="C210" s="4" t="s">
        <v>634</v>
      </c>
      <c r="D210">
        <f>INDEX('Energieverbruik in TJ Gemeente'!$B$4:$Q$347,MATCH($C210,'Energieverbruik in TJ Gemeente'!$B$4:$B$347,0),MATCH(D$2,'Energieverbruik in TJ Gemeente'!$B$4:$Q$4,0))</f>
        <v>885</v>
      </c>
      <c r="E210">
        <f>INDEX('Energieverbruik in TJ Gemeente'!$B$4:$Q$347,MATCH($C210,'Energieverbruik in TJ Gemeente'!$B$4:$B$347,0),MATCH(E$2,'Energieverbruik in TJ Gemeente'!$B$4:$Q$4,0))</f>
        <v>842</v>
      </c>
      <c r="F210">
        <f>INDEX('Energieverbruik in TJ Gemeente'!$B$4:$Q$347,MATCH($C210,'Energieverbruik in TJ Gemeente'!$B$4:$B$347,0),MATCH(F$2,'Energieverbruik in TJ Gemeente'!$B$4:$Q$4,0))</f>
        <v>853</v>
      </c>
      <c r="G210">
        <f>INDEX('Energieverbruik in TJ Gemeente'!$B$4:$Q$347,MATCH($C210,'Energieverbruik in TJ Gemeente'!$B$4:$B$347,0),MATCH(G$2,'Energieverbruik in TJ Gemeente'!$B$4:$Q$4,0))</f>
        <v>744</v>
      </c>
      <c r="H210">
        <f>INDEX('Energieverbruik in TJ Gemeente'!$B$4:$Q$347,MATCH($C210,'Energieverbruik in TJ Gemeente'!$B$4:$B$347,0),MATCH(H$2,'Energieverbruik in TJ Gemeente'!$B$4:$Q$4,0))</f>
        <v>620</v>
      </c>
      <c r="I210">
        <f>INDEX('Energieverbruik in TJ Gemeente'!$B$4:$Q$347,MATCH($C210,'Energieverbruik in TJ Gemeente'!$B$4:$B$347,0),MATCH(I$2,'Energieverbruik in TJ Gemeente'!$B$4:$Q$4,0))</f>
        <v>33</v>
      </c>
      <c r="J210">
        <f>INDEX('Energieverbruik in TJ Gemeente'!$B$4:$Q$347,MATCH($C210,'Energieverbruik in TJ Gemeente'!$B$4:$B$347,0),MATCH(J$2,'Energieverbruik in TJ Gemeente'!$B$4:$Q$4,0))</f>
        <v>30</v>
      </c>
      <c r="K210">
        <f>INDEX('Energieverbruik in TJ Gemeente'!$B$4:$Q$347,MATCH($C210,'Energieverbruik in TJ Gemeente'!$B$4:$B$347,0),MATCH(K$2,'Energieverbruik in TJ Gemeente'!$B$4:$Q$4,0))</f>
        <v>35</v>
      </c>
      <c r="L210">
        <f>INDEX('Energieverbruik in TJ Gemeente'!$B$4:$Q$347,MATCH($C210,'Energieverbruik in TJ Gemeente'!$B$4:$B$347,0),MATCH(L$2,'Energieverbruik in TJ Gemeente'!$B$4:$Q$4,0))</f>
        <v>29</v>
      </c>
      <c r="M210">
        <f>INDEX('Energieverbruik in TJ Gemeente'!$B$4:$Q$347,MATCH($C210,'Energieverbruik in TJ Gemeente'!$B$4:$B$347,0),MATCH(M$2,'Energieverbruik in TJ Gemeente'!$B$4:$Q$4,0))</f>
        <v>31</v>
      </c>
      <c r="N210">
        <f>INDEX('Energieverbruik in TJ Gemeente'!$B$4:$Q$347,MATCH($C210,'Energieverbruik in TJ Gemeente'!$B$4:$B$347,0),MATCH(N$2,'Energieverbruik in TJ Gemeente'!$B$4:$Q$4,0))</f>
        <v>64</v>
      </c>
      <c r="O210">
        <f>INDEX('Energieverbruik in TJ Gemeente'!$B$4:$Q$347,MATCH($C210,'Energieverbruik in TJ Gemeente'!$B$4:$B$347,0),MATCH(O$2,'Energieverbruik in TJ Gemeente'!$B$4:$Q$4,0))</f>
        <v>67</v>
      </c>
      <c r="P210">
        <f>INDEX('Energieverbruik in TJ Gemeente'!$B$4:$Q$347,MATCH($C210,'Energieverbruik in TJ Gemeente'!$B$4:$B$347,0),MATCH(P$2,'Energieverbruik in TJ Gemeente'!$B$4:$Q$4,0))</f>
        <v>114</v>
      </c>
      <c r="Q210">
        <f>INDEX('Energieverbruik in TJ Gemeente'!$B$4:$Q$347,MATCH($C210,'Energieverbruik in TJ Gemeente'!$B$4:$B$347,0),MATCH(Q$2,'Energieverbruik in TJ Gemeente'!$B$4:$Q$4,0))</f>
        <v>98</v>
      </c>
      <c r="R210">
        <f>INDEX('Energieverbruik in TJ Gemeente'!$B$4:$Q$347,MATCH($C210,'Energieverbruik in TJ Gemeente'!$B$4:$B$347,0),MATCH(R$2,'Energieverbruik in TJ Gemeente'!$B$4:$Q$4,0))</f>
        <v>91</v>
      </c>
      <c r="S210" cm="1">
        <f t="array" ref="S210">MAX(_xlfn._xlws.FILTER(D$1:H$1, D210:H210&lt;&gt;"?"))</f>
        <v>2023</v>
      </c>
      <c r="T210" cm="1">
        <f t="array" ref="T210">MAX(_xlfn._xlws.FILTER(I$1:M$1, I210:M210&lt;&gt;"?"))</f>
        <v>2023</v>
      </c>
      <c r="U210" cm="1">
        <f t="array" ref="U210">MAX(_xlfn._xlws.FILTER(F$1:J$1, F210:J210&lt;&gt;"?"))</f>
        <v>2023</v>
      </c>
      <c r="V210">
        <f t="shared" si="15"/>
        <v>620</v>
      </c>
      <c r="W210">
        <f t="shared" si="16"/>
        <v>31</v>
      </c>
      <c r="X210">
        <f t="shared" si="17"/>
        <v>91</v>
      </c>
      <c r="Y210">
        <f t="shared" si="18"/>
        <v>742</v>
      </c>
      <c r="Z210">
        <f t="shared" si="19"/>
        <v>1.2331521829452726E-3</v>
      </c>
    </row>
    <row r="211" spans="1:26" ht="16" x14ac:dyDescent="0.2">
      <c r="A211" s="4" t="s">
        <v>635</v>
      </c>
      <c r="B211" s="4" t="s">
        <v>636</v>
      </c>
      <c r="C211" s="4" t="s">
        <v>637</v>
      </c>
      <c r="D211">
        <f>INDEX('Energieverbruik in TJ Gemeente'!$B$4:$Q$347,MATCH($C211,'Energieverbruik in TJ Gemeente'!$B$4:$B$347,0),MATCH(D$2,'Energieverbruik in TJ Gemeente'!$B$4:$Q$4,0))</f>
        <v>1189</v>
      </c>
      <c r="E211">
        <f>INDEX('Energieverbruik in TJ Gemeente'!$B$4:$Q$347,MATCH($C211,'Energieverbruik in TJ Gemeente'!$B$4:$B$347,0),MATCH(E$2,'Energieverbruik in TJ Gemeente'!$B$4:$Q$4,0))</f>
        <v>1201</v>
      </c>
      <c r="F211">
        <f>INDEX('Energieverbruik in TJ Gemeente'!$B$4:$Q$347,MATCH($C211,'Energieverbruik in TJ Gemeente'!$B$4:$B$347,0),MATCH(F$2,'Energieverbruik in TJ Gemeente'!$B$4:$Q$4,0))</f>
        <v>1207</v>
      </c>
      <c r="G211">
        <f>INDEX('Energieverbruik in TJ Gemeente'!$B$4:$Q$347,MATCH($C211,'Energieverbruik in TJ Gemeente'!$B$4:$B$347,0),MATCH(G$2,'Energieverbruik in TJ Gemeente'!$B$4:$Q$4,0))</f>
        <v>1047</v>
      </c>
      <c r="H211">
        <f>INDEX('Energieverbruik in TJ Gemeente'!$B$4:$Q$347,MATCH($C211,'Energieverbruik in TJ Gemeente'!$B$4:$B$347,0),MATCH(H$2,'Energieverbruik in TJ Gemeente'!$B$4:$Q$4,0))</f>
        <v>857</v>
      </c>
      <c r="I211">
        <f>INDEX('Energieverbruik in TJ Gemeente'!$B$4:$Q$347,MATCH($C211,'Energieverbruik in TJ Gemeente'!$B$4:$B$347,0),MATCH(I$2,'Energieverbruik in TJ Gemeente'!$B$4:$Q$4,0))</f>
        <v>1152</v>
      </c>
      <c r="J211">
        <f>INDEX('Energieverbruik in TJ Gemeente'!$B$4:$Q$347,MATCH($C211,'Energieverbruik in TJ Gemeente'!$B$4:$B$347,0),MATCH(J$2,'Energieverbruik in TJ Gemeente'!$B$4:$Q$4,0))</f>
        <v>1012</v>
      </c>
      <c r="K211">
        <f>INDEX('Energieverbruik in TJ Gemeente'!$B$4:$Q$347,MATCH($C211,'Energieverbruik in TJ Gemeente'!$B$4:$B$347,0),MATCH(K$2,'Energieverbruik in TJ Gemeente'!$B$4:$Q$4,0))</f>
        <v>1195</v>
      </c>
      <c r="L211">
        <f>INDEX('Energieverbruik in TJ Gemeente'!$B$4:$Q$347,MATCH($C211,'Energieverbruik in TJ Gemeente'!$B$4:$B$347,0),MATCH(L$2,'Energieverbruik in TJ Gemeente'!$B$4:$Q$4,0))</f>
        <v>878</v>
      </c>
      <c r="M211">
        <f>INDEX('Energieverbruik in TJ Gemeente'!$B$4:$Q$347,MATCH($C211,'Energieverbruik in TJ Gemeente'!$B$4:$B$347,0),MATCH(M$2,'Energieverbruik in TJ Gemeente'!$B$4:$Q$4,0))</f>
        <v>674</v>
      </c>
      <c r="N211">
        <f>INDEX('Energieverbruik in TJ Gemeente'!$B$4:$Q$347,MATCH($C211,'Energieverbruik in TJ Gemeente'!$B$4:$B$347,0),MATCH(N$2,'Energieverbruik in TJ Gemeente'!$B$4:$Q$4,0))</f>
        <v>29</v>
      </c>
      <c r="O211">
        <f>INDEX('Energieverbruik in TJ Gemeente'!$B$4:$Q$347,MATCH($C211,'Energieverbruik in TJ Gemeente'!$B$4:$B$347,0),MATCH(O$2,'Energieverbruik in TJ Gemeente'!$B$4:$Q$4,0))</f>
        <v>28</v>
      </c>
      <c r="P211">
        <f>INDEX('Energieverbruik in TJ Gemeente'!$B$4:$Q$347,MATCH($C211,'Energieverbruik in TJ Gemeente'!$B$4:$B$347,0),MATCH(P$2,'Energieverbruik in TJ Gemeente'!$B$4:$Q$4,0))</f>
        <v>29</v>
      </c>
      <c r="Q211">
        <f>INDEX('Energieverbruik in TJ Gemeente'!$B$4:$Q$347,MATCH($C211,'Energieverbruik in TJ Gemeente'!$B$4:$B$347,0),MATCH(Q$2,'Energieverbruik in TJ Gemeente'!$B$4:$Q$4,0))</f>
        <v>24</v>
      </c>
      <c r="R211">
        <f>INDEX('Energieverbruik in TJ Gemeente'!$B$4:$Q$347,MATCH($C211,'Energieverbruik in TJ Gemeente'!$B$4:$B$347,0),MATCH(R$2,'Energieverbruik in TJ Gemeente'!$B$4:$Q$4,0))</f>
        <v>21</v>
      </c>
      <c r="S211" cm="1">
        <f t="array" ref="S211">MAX(_xlfn._xlws.FILTER(D$1:H$1, D211:H211&lt;&gt;"?"))</f>
        <v>2023</v>
      </c>
      <c r="T211" cm="1">
        <f t="array" ref="T211">MAX(_xlfn._xlws.FILTER(I$1:M$1, I211:M211&lt;&gt;"?"))</f>
        <v>2023</v>
      </c>
      <c r="U211" cm="1">
        <f t="array" ref="U211">MAX(_xlfn._xlws.FILTER(F$1:J$1, F211:J211&lt;&gt;"?"))</f>
        <v>2023</v>
      </c>
      <c r="V211">
        <f t="shared" si="15"/>
        <v>857</v>
      </c>
      <c r="W211">
        <f t="shared" si="16"/>
        <v>674</v>
      </c>
      <c r="X211">
        <f t="shared" si="17"/>
        <v>21</v>
      </c>
      <c r="Y211">
        <f t="shared" si="18"/>
        <v>1552</v>
      </c>
      <c r="Z211">
        <f t="shared" si="19"/>
        <v>2.5793156171577672E-3</v>
      </c>
    </row>
    <row r="212" spans="1:26" ht="16" x14ac:dyDescent="0.2">
      <c r="A212" s="4" t="s">
        <v>638</v>
      </c>
      <c r="B212" s="4" t="s">
        <v>639</v>
      </c>
      <c r="C212" s="4" t="s">
        <v>640</v>
      </c>
      <c r="D212">
        <f>INDEX('Energieverbruik in TJ Gemeente'!$B$4:$Q$347,MATCH($C212,'Energieverbruik in TJ Gemeente'!$B$4:$B$347,0),MATCH(D$2,'Energieverbruik in TJ Gemeente'!$B$4:$Q$4,0))</f>
        <v>595</v>
      </c>
      <c r="E212">
        <f>INDEX('Energieverbruik in TJ Gemeente'!$B$4:$Q$347,MATCH($C212,'Energieverbruik in TJ Gemeente'!$B$4:$B$347,0),MATCH(E$2,'Energieverbruik in TJ Gemeente'!$B$4:$Q$4,0))</f>
        <v>571</v>
      </c>
      <c r="F212">
        <f>INDEX('Energieverbruik in TJ Gemeente'!$B$4:$Q$347,MATCH($C212,'Energieverbruik in TJ Gemeente'!$B$4:$B$347,0),MATCH(F$2,'Energieverbruik in TJ Gemeente'!$B$4:$Q$4,0))</f>
        <v>567</v>
      </c>
      <c r="G212">
        <f>INDEX('Energieverbruik in TJ Gemeente'!$B$4:$Q$347,MATCH($C212,'Energieverbruik in TJ Gemeente'!$B$4:$B$347,0),MATCH(G$2,'Energieverbruik in TJ Gemeente'!$B$4:$Q$4,0))</f>
        <v>508</v>
      </c>
      <c r="H212" t="str">
        <f>INDEX('Energieverbruik in TJ Gemeente'!$B$4:$Q$347,MATCH($C212,'Energieverbruik in TJ Gemeente'!$B$4:$B$347,0),MATCH(H$2,'Energieverbruik in TJ Gemeente'!$B$4:$Q$4,0))</f>
        <v>?</v>
      </c>
      <c r="I212" t="str">
        <f>INDEX('Energieverbruik in TJ Gemeente'!$B$4:$Q$347,MATCH($C212,'Energieverbruik in TJ Gemeente'!$B$4:$B$347,0),MATCH(I$2,'Energieverbruik in TJ Gemeente'!$B$4:$Q$4,0))</f>
        <v>?</v>
      </c>
      <c r="J212">
        <f>INDEX('Energieverbruik in TJ Gemeente'!$B$4:$Q$347,MATCH($C212,'Energieverbruik in TJ Gemeente'!$B$4:$B$347,0),MATCH(J$2,'Energieverbruik in TJ Gemeente'!$B$4:$Q$4,0))</f>
        <v>103</v>
      </c>
      <c r="K212">
        <f>INDEX('Energieverbruik in TJ Gemeente'!$B$4:$Q$347,MATCH($C212,'Energieverbruik in TJ Gemeente'!$B$4:$B$347,0),MATCH(K$2,'Energieverbruik in TJ Gemeente'!$B$4:$Q$4,0))</f>
        <v>106</v>
      </c>
      <c r="L212">
        <f>INDEX('Energieverbruik in TJ Gemeente'!$B$4:$Q$347,MATCH($C212,'Energieverbruik in TJ Gemeente'!$B$4:$B$347,0),MATCH(L$2,'Energieverbruik in TJ Gemeente'!$B$4:$Q$4,0))</f>
        <v>103</v>
      </c>
      <c r="M212" t="str">
        <f>INDEX('Energieverbruik in TJ Gemeente'!$B$4:$Q$347,MATCH($C212,'Energieverbruik in TJ Gemeente'!$B$4:$B$347,0),MATCH(M$2,'Energieverbruik in TJ Gemeente'!$B$4:$Q$4,0))</f>
        <v>?</v>
      </c>
      <c r="N212">
        <f>INDEX('Energieverbruik in TJ Gemeente'!$B$4:$Q$347,MATCH($C212,'Energieverbruik in TJ Gemeente'!$B$4:$B$347,0),MATCH(N$2,'Energieverbruik in TJ Gemeente'!$B$4:$Q$4,0))</f>
        <v>23</v>
      </c>
      <c r="O212">
        <f>INDEX('Energieverbruik in TJ Gemeente'!$B$4:$Q$347,MATCH($C212,'Energieverbruik in TJ Gemeente'!$B$4:$B$347,0),MATCH(O$2,'Energieverbruik in TJ Gemeente'!$B$4:$Q$4,0))</f>
        <v>16</v>
      </c>
      <c r="P212">
        <f>INDEX('Energieverbruik in TJ Gemeente'!$B$4:$Q$347,MATCH($C212,'Energieverbruik in TJ Gemeente'!$B$4:$B$347,0),MATCH(P$2,'Energieverbruik in TJ Gemeente'!$B$4:$Q$4,0))</f>
        <v>16</v>
      </c>
      <c r="Q212">
        <f>INDEX('Energieverbruik in TJ Gemeente'!$B$4:$Q$347,MATCH($C212,'Energieverbruik in TJ Gemeente'!$B$4:$B$347,0),MATCH(Q$2,'Energieverbruik in TJ Gemeente'!$B$4:$Q$4,0))</f>
        <v>14</v>
      </c>
      <c r="R212">
        <f>INDEX('Energieverbruik in TJ Gemeente'!$B$4:$Q$347,MATCH($C212,'Energieverbruik in TJ Gemeente'!$B$4:$B$347,0),MATCH(R$2,'Energieverbruik in TJ Gemeente'!$B$4:$Q$4,0))</f>
        <v>12</v>
      </c>
      <c r="S212" cm="1">
        <f t="array" ref="S212">MAX(_xlfn._xlws.FILTER(D$1:H$1, D212:H212&lt;&gt;"?"))</f>
        <v>2022</v>
      </c>
      <c r="T212" cm="1">
        <f t="array" ref="T212">MAX(_xlfn._xlws.FILTER(I$1:M$1, I212:M212&lt;&gt;"?"))</f>
        <v>2022</v>
      </c>
      <c r="U212" cm="1">
        <f t="array" ref="U212">MAX(_xlfn._xlws.FILTER(F$1:J$1, F212:J212&lt;&gt;"?"))</f>
        <v>2022</v>
      </c>
      <c r="V212">
        <f t="shared" si="15"/>
        <v>508</v>
      </c>
      <c r="W212">
        <f t="shared" si="16"/>
        <v>103</v>
      </c>
      <c r="X212">
        <f t="shared" si="17"/>
        <v>14</v>
      </c>
      <c r="Y212">
        <f t="shared" si="18"/>
        <v>625</v>
      </c>
      <c r="Z212">
        <f t="shared" si="19"/>
        <v>1.0387063535590236E-3</v>
      </c>
    </row>
    <row r="213" spans="1:26" ht="16" x14ac:dyDescent="0.2">
      <c r="A213" s="4" t="s">
        <v>641</v>
      </c>
      <c r="B213" s="4" t="s">
        <v>642</v>
      </c>
      <c r="C213" s="4" t="s">
        <v>643</v>
      </c>
      <c r="D213">
        <f>INDEX('Energieverbruik in TJ Gemeente'!$B$4:$Q$347,MATCH($C213,'Energieverbruik in TJ Gemeente'!$B$4:$B$347,0),MATCH(D$2,'Energieverbruik in TJ Gemeente'!$B$4:$Q$4,0))</f>
        <v>844</v>
      </c>
      <c r="E213" t="str">
        <f>INDEX('Energieverbruik in TJ Gemeente'!$B$4:$Q$347,MATCH($C213,'Energieverbruik in TJ Gemeente'!$B$4:$B$347,0),MATCH(E$2,'Energieverbruik in TJ Gemeente'!$B$4:$Q$4,0))</f>
        <v>?</v>
      </c>
      <c r="F213">
        <f>INDEX('Energieverbruik in TJ Gemeente'!$B$4:$Q$347,MATCH($C213,'Energieverbruik in TJ Gemeente'!$B$4:$B$347,0),MATCH(F$2,'Energieverbruik in TJ Gemeente'!$B$4:$Q$4,0))</f>
        <v>901</v>
      </c>
      <c r="G213">
        <f>INDEX('Energieverbruik in TJ Gemeente'!$B$4:$Q$347,MATCH($C213,'Energieverbruik in TJ Gemeente'!$B$4:$B$347,0),MATCH(G$2,'Energieverbruik in TJ Gemeente'!$B$4:$Q$4,0))</f>
        <v>794</v>
      </c>
      <c r="H213" t="str">
        <f>INDEX('Energieverbruik in TJ Gemeente'!$B$4:$Q$347,MATCH($C213,'Energieverbruik in TJ Gemeente'!$B$4:$B$347,0),MATCH(H$2,'Energieverbruik in TJ Gemeente'!$B$4:$Q$4,0))</f>
        <v>?</v>
      </c>
      <c r="I213">
        <f>INDEX('Energieverbruik in TJ Gemeente'!$B$4:$Q$347,MATCH($C213,'Energieverbruik in TJ Gemeente'!$B$4:$B$347,0),MATCH(I$2,'Energieverbruik in TJ Gemeente'!$B$4:$Q$4,0))</f>
        <v>272</v>
      </c>
      <c r="J213">
        <f>INDEX('Energieverbruik in TJ Gemeente'!$B$4:$Q$347,MATCH($C213,'Energieverbruik in TJ Gemeente'!$B$4:$B$347,0),MATCH(J$2,'Energieverbruik in TJ Gemeente'!$B$4:$Q$4,0))</f>
        <v>206</v>
      </c>
      <c r="K213">
        <f>INDEX('Energieverbruik in TJ Gemeente'!$B$4:$Q$347,MATCH($C213,'Energieverbruik in TJ Gemeente'!$B$4:$B$347,0),MATCH(K$2,'Energieverbruik in TJ Gemeente'!$B$4:$Q$4,0))</f>
        <v>282</v>
      </c>
      <c r="L213">
        <f>INDEX('Energieverbruik in TJ Gemeente'!$B$4:$Q$347,MATCH($C213,'Energieverbruik in TJ Gemeente'!$B$4:$B$347,0),MATCH(L$2,'Energieverbruik in TJ Gemeente'!$B$4:$Q$4,0))</f>
        <v>263</v>
      </c>
      <c r="M213">
        <f>INDEX('Energieverbruik in TJ Gemeente'!$B$4:$Q$347,MATCH($C213,'Energieverbruik in TJ Gemeente'!$B$4:$B$347,0),MATCH(M$2,'Energieverbruik in TJ Gemeente'!$B$4:$Q$4,0))</f>
        <v>246</v>
      </c>
      <c r="N213">
        <f>INDEX('Energieverbruik in TJ Gemeente'!$B$4:$Q$347,MATCH($C213,'Energieverbruik in TJ Gemeente'!$B$4:$B$347,0),MATCH(N$2,'Energieverbruik in TJ Gemeente'!$B$4:$Q$4,0))</f>
        <v>6</v>
      </c>
      <c r="O213">
        <f>INDEX('Energieverbruik in TJ Gemeente'!$B$4:$Q$347,MATCH($C213,'Energieverbruik in TJ Gemeente'!$B$4:$B$347,0),MATCH(O$2,'Energieverbruik in TJ Gemeente'!$B$4:$Q$4,0))</f>
        <v>2</v>
      </c>
      <c r="P213">
        <f>INDEX('Energieverbruik in TJ Gemeente'!$B$4:$Q$347,MATCH($C213,'Energieverbruik in TJ Gemeente'!$B$4:$B$347,0),MATCH(P$2,'Energieverbruik in TJ Gemeente'!$B$4:$Q$4,0))</f>
        <v>2</v>
      </c>
      <c r="Q213">
        <f>INDEX('Energieverbruik in TJ Gemeente'!$B$4:$Q$347,MATCH($C213,'Energieverbruik in TJ Gemeente'!$B$4:$B$347,0),MATCH(Q$2,'Energieverbruik in TJ Gemeente'!$B$4:$Q$4,0))</f>
        <v>1</v>
      </c>
      <c r="R213">
        <f>INDEX('Energieverbruik in TJ Gemeente'!$B$4:$Q$347,MATCH($C213,'Energieverbruik in TJ Gemeente'!$B$4:$B$347,0),MATCH(R$2,'Energieverbruik in TJ Gemeente'!$B$4:$Q$4,0))</f>
        <v>1</v>
      </c>
      <c r="S213" cm="1">
        <f t="array" ref="S213">MAX(_xlfn._xlws.FILTER(D$1:H$1, D213:H213&lt;&gt;"?"))</f>
        <v>2022</v>
      </c>
      <c r="T213" cm="1">
        <f t="array" ref="T213">MAX(_xlfn._xlws.FILTER(I$1:M$1, I213:M213&lt;&gt;"?"))</f>
        <v>2023</v>
      </c>
      <c r="U213" cm="1">
        <f t="array" ref="U213">MAX(_xlfn._xlws.FILTER(F$1:J$1, F213:J213&lt;&gt;"?"))</f>
        <v>2022</v>
      </c>
      <c r="V213">
        <f t="shared" si="15"/>
        <v>794</v>
      </c>
      <c r="W213">
        <f t="shared" si="16"/>
        <v>246</v>
      </c>
      <c r="X213">
        <f t="shared" si="17"/>
        <v>1</v>
      </c>
      <c r="Y213">
        <f t="shared" si="18"/>
        <v>1041</v>
      </c>
      <c r="Z213">
        <f t="shared" si="19"/>
        <v>1.7300693024879094E-3</v>
      </c>
    </row>
    <row r="214" spans="1:26" ht="16" x14ac:dyDescent="0.2">
      <c r="A214" s="4" t="s">
        <v>644</v>
      </c>
      <c r="B214" s="4" t="s">
        <v>645</v>
      </c>
      <c r="C214" s="4" t="s">
        <v>646</v>
      </c>
      <c r="D214">
        <f>INDEX('Energieverbruik in TJ Gemeente'!$B$4:$Q$347,MATCH($C214,'Energieverbruik in TJ Gemeente'!$B$4:$B$347,0),MATCH(D$2,'Energieverbruik in TJ Gemeente'!$B$4:$Q$4,0))</f>
        <v>449</v>
      </c>
      <c r="E214" t="str">
        <f>INDEX('Energieverbruik in TJ Gemeente'!$B$4:$Q$347,MATCH($C214,'Energieverbruik in TJ Gemeente'!$B$4:$B$347,0),MATCH(E$2,'Energieverbruik in TJ Gemeente'!$B$4:$Q$4,0))</f>
        <v>?</v>
      </c>
      <c r="F214">
        <f>INDEX('Energieverbruik in TJ Gemeente'!$B$4:$Q$347,MATCH($C214,'Energieverbruik in TJ Gemeente'!$B$4:$B$347,0),MATCH(F$2,'Energieverbruik in TJ Gemeente'!$B$4:$Q$4,0))</f>
        <v>438</v>
      </c>
      <c r="G214">
        <f>INDEX('Energieverbruik in TJ Gemeente'!$B$4:$Q$347,MATCH($C214,'Energieverbruik in TJ Gemeente'!$B$4:$B$347,0),MATCH(G$2,'Energieverbruik in TJ Gemeente'!$B$4:$Q$4,0))</f>
        <v>386</v>
      </c>
      <c r="H214">
        <f>INDEX('Energieverbruik in TJ Gemeente'!$B$4:$Q$347,MATCH($C214,'Energieverbruik in TJ Gemeente'!$B$4:$B$347,0),MATCH(H$2,'Energieverbruik in TJ Gemeente'!$B$4:$Q$4,0))</f>
        <v>315</v>
      </c>
      <c r="I214">
        <f>INDEX('Energieverbruik in TJ Gemeente'!$B$4:$Q$347,MATCH($C214,'Energieverbruik in TJ Gemeente'!$B$4:$B$347,0),MATCH(I$2,'Energieverbruik in TJ Gemeente'!$B$4:$Q$4,0))</f>
        <v>74</v>
      </c>
      <c r="J214">
        <f>INDEX('Energieverbruik in TJ Gemeente'!$B$4:$Q$347,MATCH($C214,'Energieverbruik in TJ Gemeente'!$B$4:$B$347,0),MATCH(J$2,'Energieverbruik in TJ Gemeente'!$B$4:$Q$4,0))</f>
        <v>70</v>
      </c>
      <c r="K214">
        <f>INDEX('Energieverbruik in TJ Gemeente'!$B$4:$Q$347,MATCH($C214,'Energieverbruik in TJ Gemeente'!$B$4:$B$347,0),MATCH(K$2,'Energieverbruik in TJ Gemeente'!$B$4:$Q$4,0))</f>
        <v>69</v>
      </c>
      <c r="L214">
        <f>INDEX('Energieverbruik in TJ Gemeente'!$B$4:$Q$347,MATCH($C214,'Energieverbruik in TJ Gemeente'!$B$4:$B$347,0),MATCH(L$2,'Energieverbruik in TJ Gemeente'!$B$4:$Q$4,0))</f>
        <v>65</v>
      </c>
      <c r="M214">
        <f>INDEX('Energieverbruik in TJ Gemeente'!$B$4:$Q$347,MATCH($C214,'Energieverbruik in TJ Gemeente'!$B$4:$B$347,0),MATCH(M$2,'Energieverbruik in TJ Gemeente'!$B$4:$Q$4,0))</f>
        <v>63</v>
      </c>
      <c r="N214">
        <f>INDEX('Energieverbruik in TJ Gemeente'!$B$4:$Q$347,MATCH($C214,'Energieverbruik in TJ Gemeente'!$B$4:$B$347,0),MATCH(N$2,'Energieverbruik in TJ Gemeente'!$B$4:$Q$4,0))</f>
        <v>37</v>
      </c>
      <c r="O214">
        <f>INDEX('Energieverbruik in TJ Gemeente'!$B$4:$Q$347,MATCH($C214,'Energieverbruik in TJ Gemeente'!$B$4:$B$347,0),MATCH(O$2,'Energieverbruik in TJ Gemeente'!$B$4:$Q$4,0))</f>
        <v>32</v>
      </c>
      <c r="P214">
        <f>INDEX('Energieverbruik in TJ Gemeente'!$B$4:$Q$347,MATCH($C214,'Energieverbruik in TJ Gemeente'!$B$4:$B$347,0),MATCH(P$2,'Energieverbruik in TJ Gemeente'!$B$4:$Q$4,0))</f>
        <v>35</v>
      </c>
      <c r="Q214">
        <f>INDEX('Energieverbruik in TJ Gemeente'!$B$4:$Q$347,MATCH($C214,'Energieverbruik in TJ Gemeente'!$B$4:$B$347,0),MATCH(Q$2,'Energieverbruik in TJ Gemeente'!$B$4:$Q$4,0))</f>
        <v>27</v>
      </c>
      <c r="R214">
        <f>INDEX('Energieverbruik in TJ Gemeente'!$B$4:$Q$347,MATCH($C214,'Energieverbruik in TJ Gemeente'!$B$4:$B$347,0),MATCH(R$2,'Energieverbruik in TJ Gemeente'!$B$4:$Q$4,0))</f>
        <v>30</v>
      </c>
      <c r="S214" cm="1">
        <f t="array" ref="S214">MAX(_xlfn._xlws.FILTER(D$1:H$1, D214:H214&lt;&gt;"?"))</f>
        <v>2023</v>
      </c>
      <c r="T214" cm="1">
        <f t="array" ref="T214">MAX(_xlfn._xlws.FILTER(I$1:M$1, I214:M214&lt;&gt;"?"))</f>
        <v>2023</v>
      </c>
      <c r="U214" cm="1">
        <f t="array" ref="U214">MAX(_xlfn._xlws.FILTER(F$1:J$1, F214:J214&lt;&gt;"?"))</f>
        <v>2023</v>
      </c>
      <c r="V214">
        <f t="shared" si="15"/>
        <v>315</v>
      </c>
      <c r="W214">
        <f t="shared" si="16"/>
        <v>63</v>
      </c>
      <c r="X214">
        <f t="shared" si="17"/>
        <v>30</v>
      </c>
      <c r="Y214">
        <f t="shared" si="18"/>
        <v>408</v>
      </c>
      <c r="Z214">
        <f t="shared" si="19"/>
        <v>6.7806750760333054E-4</v>
      </c>
    </row>
    <row r="215" spans="1:26" ht="16" x14ac:dyDescent="0.2">
      <c r="A215" s="4" t="s">
        <v>647</v>
      </c>
      <c r="B215" s="4" t="s">
        <v>648</v>
      </c>
      <c r="C215" s="4" t="s">
        <v>649</v>
      </c>
      <c r="D215">
        <f>INDEX('Energieverbruik in TJ Gemeente'!$B$4:$Q$347,MATCH($C215,'Energieverbruik in TJ Gemeente'!$B$4:$B$347,0),MATCH(D$2,'Energieverbruik in TJ Gemeente'!$B$4:$Q$4,0))</f>
        <v>533</v>
      </c>
      <c r="E215">
        <f>INDEX('Energieverbruik in TJ Gemeente'!$B$4:$Q$347,MATCH($C215,'Energieverbruik in TJ Gemeente'!$B$4:$B$347,0),MATCH(E$2,'Energieverbruik in TJ Gemeente'!$B$4:$Q$4,0))</f>
        <v>518</v>
      </c>
      <c r="F215">
        <f>INDEX('Energieverbruik in TJ Gemeente'!$B$4:$Q$347,MATCH($C215,'Energieverbruik in TJ Gemeente'!$B$4:$B$347,0),MATCH(F$2,'Energieverbruik in TJ Gemeente'!$B$4:$Q$4,0))</f>
        <v>523</v>
      </c>
      <c r="G215">
        <f>INDEX('Energieverbruik in TJ Gemeente'!$B$4:$Q$347,MATCH($C215,'Energieverbruik in TJ Gemeente'!$B$4:$B$347,0),MATCH(G$2,'Energieverbruik in TJ Gemeente'!$B$4:$Q$4,0))</f>
        <v>462</v>
      </c>
      <c r="H215">
        <f>INDEX('Energieverbruik in TJ Gemeente'!$B$4:$Q$347,MATCH($C215,'Energieverbruik in TJ Gemeente'!$B$4:$B$347,0),MATCH(H$2,'Energieverbruik in TJ Gemeente'!$B$4:$Q$4,0))</f>
        <v>377</v>
      </c>
      <c r="I215">
        <f>INDEX('Energieverbruik in TJ Gemeente'!$B$4:$Q$347,MATCH($C215,'Energieverbruik in TJ Gemeente'!$B$4:$B$347,0),MATCH(I$2,'Energieverbruik in TJ Gemeente'!$B$4:$Q$4,0))</f>
        <v>87</v>
      </c>
      <c r="J215">
        <f>INDEX('Energieverbruik in TJ Gemeente'!$B$4:$Q$347,MATCH($C215,'Energieverbruik in TJ Gemeente'!$B$4:$B$347,0),MATCH(J$2,'Energieverbruik in TJ Gemeente'!$B$4:$Q$4,0))</f>
        <v>109</v>
      </c>
      <c r="K215">
        <f>INDEX('Energieverbruik in TJ Gemeente'!$B$4:$Q$347,MATCH($C215,'Energieverbruik in TJ Gemeente'!$B$4:$B$347,0),MATCH(K$2,'Energieverbruik in TJ Gemeente'!$B$4:$Q$4,0))</f>
        <v>134</v>
      </c>
      <c r="L215">
        <f>INDEX('Energieverbruik in TJ Gemeente'!$B$4:$Q$347,MATCH($C215,'Energieverbruik in TJ Gemeente'!$B$4:$B$347,0),MATCH(L$2,'Energieverbruik in TJ Gemeente'!$B$4:$Q$4,0))</f>
        <v>115</v>
      </c>
      <c r="M215">
        <f>INDEX('Energieverbruik in TJ Gemeente'!$B$4:$Q$347,MATCH($C215,'Energieverbruik in TJ Gemeente'!$B$4:$B$347,0),MATCH(M$2,'Energieverbruik in TJ Gemeente'!$B$4:$Q$4,0))</f>
        <v>115</v>
      </c>
      <c r="N215">
        <f>INDEX('Energieverbruik in TJ Gemeente'!$B$4:$Q$347,MATCH($C215,'Energieverbruik in TJ Gemeente'!$B$4:$B$347,0),MATCH(N$2,'Energieverbruik in TJ Gemeente'!$B$4:$Q$4,0))</f>
        <v>54</v>
      </c>
      <c r="O215">
        <f>INDEX('Energieverbruik in TJ Gemeente'!$B$4:$Q$347,MATCH($C215,'Energieverbruik in TJ Gemeente'!$B$4:$B$347,0),MATCH(O$2,'Energieverbruik in TJ Gemeente'!$B$4:$Q$4,0))</f>
        <v>50</v>
      </c>
      <c r="P215">
        <f>INDEX('Energieverbruik in TJ Gemeente'!$B$4:$Q$347,MATCH($C215,'Energieverbruik in TJ Gemeente'!$B$4:$B$347,0),MATCH(P$2,'Energieverbruik in TJ Gemeente'!$B$4:$Q$4,0))</f>
        <v>51</v>
      </c>
      <c r="Q215">
        <f>INDEX('Energieverbruik in TJ Gemeente'!$B$4:$Q$347,MATCH($C215,'Energieverbruik in TJ Gemeente'!$B$4:$B$347,0),MATCH(Q$2,'Energieverbruik in TJ Gemeente'!$B$4:$Q$4,0))</f>
        <v>37</v>
      </c>
      <c r="R215">
        <f>INDEX('Energieverbruik in TJ Gemeente'!$B$4:$Q$347,MATCH($C215,'Energieverbruik in TJ Gemeente'!$B$4:$B$347,0),MATCH(R$2,'Energieverbruik in TJ Gemeente'!$B$4:$Q$4,0))</f>
        <v>29</v>
      </c>
      <c r="S215" cm="1">
        <f t="array" ref="S215">MAX(_xlfn._xlws.FILTER(D$1:H$1, D215:H215&lt;&gt;"?"))</f>
        <v>2023</v>
      </c>
      <c r="T215" cm="1">
        <f t="array" ref="T215">MAX(_xlfn._xlws.FILTER(I$1:M$1, I215:M215&lt;&gt;"?"))</f>
        <v>2023</v>
      </c>
      <c r="U215" cm="1">
        <f t="array" ref="U215">MAX(_xlfn._xlws.FILTER(F$1:J$1, F215:J215&lt;&gt;"?"))</f>
        <v>2023</v>
      </c>
      <c r="V215">
        <f t="shared" si="15"/>
        <v>377</v>
      </c>
      <c r="W215">
        <f t="shared" si="16"/>
        <v>115</v>
      </c>
      <c r="X215">
        <f t="shared" si="17"/>
        <v>29</v>
      </c>
      <c r="Y215">
        <f t="shared" si="18"/>
        <v>521</v>
      </c>
      <c r="Z215">
        <f t="shared" si="19"/>
        <v>8.6586561632680194E-4</v>
      </c>
    </row>
    <row r="216" spans="1:26" ht="16" x14ac:dyDescent="0.2">
      <c r="A216" s="4" t="s">
        <v>650</v>
      </c>
      <c r="B216" s="4" t="s">
        <v>651</v>
      </c>
      <c r="C216" s="4" t="s">
        <v>652</v>
      </c>
      <c r="D216">
        <f>INDEX('Energieverbruik in TJ Gemeente'!$B$4:$Q$347,MATCH($C216,'Energieverbruik in TJ Gemeente'!$B$4:$B$347,0),MATCH(D$2,'Energieverbruik in TJ Gemeente'!$B$4:$Q$4,0))</f>
        <v>805</v>
      </c>
      <c r="E216">
        <f>INDEX('Energieverbruik in TJ Gemeente'!$B$4:$Q$347,MATCH($C216,'Energieverbruik in TJ Gemeente'!$B$4:$B$347,0),MATCH(E$2,'Energieverbruik in TJ Gemeente'!$B$4:$Q$4,0))</f>
        <v>787</v>
      </c>
      <c r="F216">
        <f>INDEX('Energieverbruik in TJ Gemeente'!$B$4:$Q$347,MATCH($C216,'Energieverbruik in TJ Gemeente'!$B$4:$B$347,0),MATCH(F$2,'Energieverbruik in TJ Gemeente'!$B$4:$Q$4,0))</f>
        <v>803</v>
      </c>
      <c r="G216">
        <f>INDEX('Energieverbruik in TJ Gemeente'!$B$4:$Q$347,MATCH($C216,'Energieverbruik in TJ Gemeente'!$B$4:$B$347,0),MATCH(G$2,'Energieverbruik in TJ Gemeente'!$B$4:$Q$4,0))</f>
        <v>706</v>
      </c>
      <c r="H216">
        <f>INDEX('Energieverbruik in TJ Gemeente'!$B$4:$Q$347,MATCH($C216,'Energieverbruik in TJ Gemeente'!$B$4:$B$347,0),MATCH(H$2,'Energieverbruik in TJ Gemeente'!$B$4:$Q$4,0))</f>
        <v>569</v>
      </c>
      <c r="I216">
        <f>INDEX('Energieverbruik in TJ Gemeente'!$B$4:$Q$347,MATCH($C216,'Energieverbruik in TJ Gemeente'!$B$4:$B$347,0),MATCH(I$2,'Energieverbruik in TJ Gemeente'!$B$4:$Q$4,0))</f>
        <v>209</v>
      </c>
      <c r="J216">
        <f>INDEX('Energieverbruik in TJ Gemeente'!$B$4:$Q$347,MATCH($C216,'Energieverbruik in TJ Gemeente'!$B$4:$B$347,0),MATCH(J$2,'Energieverbruik in TJ Gemeente'!$B$4:$Q$4,0))</f>
        <v>182</v>
      </c>
      <c r="K216">
        <f>INDEX('Energieverbruik in TJ Gemeente'!$B$4:$Q$347,MATCH($C216,'Energieverbruik in TJ Gemeente'!$B$4:$B$347,0),MATCH(K$2,'Energieverbruik in TJ Gemeente'!$B$4:$Q$4,0))</f>
        <v>192</v>
      </c>
      <c r="L216">
        <f>INDEX('Energieverbruik in TJ Gemeente'!$B$4:$Q$347,MATCH($C216,'Energieverbruik in TJ Gemeente'!$B$4:$B$347,0),MATCH(L$2,'Energieverbruik in TJ Gemeente'!$B$4:$Q$4,0))</f>
        <v>167</v>
      </c>
      <c r="M216">
        <f>INDEX('Energieverbruik in TJ Gemeente'!$B$4:$Q$347,MATCH($C216,'Energieverbruik in TJ Gemeente'!$B$4:$B$347,0),MATCH(M$2,'Energieverbruik in TJ Gemeente'!$B$4:$Q$4,0))</f>
        <v>170</v>
      </c>
      <c r="N216">
        <f>INDEX('Energieverbruik in TJ Gemeente'!$B$4:$Q$347,MATCH($C216,'Energieverbruik in TJ Gemeente'!$B$4:$B$347,0),MATCH(N$2,'Energieverbruik in TJ Gemeente'!$B$4:$Q$4,0))</f>
        <v>63</v>
      </c>
      <c r="O216">
        <f>INDEX('Energieverbruik in TJ Gemeente'!$B$4:$Q$347,MATCH($C216,'Energieverbruik in TJ Gemeente'!$B$4:$B$347,0),MATCH(O$2,'Energieverbruik in TJ Gemeente'!$B$4:$Q$4,0))</f>
        <v>52</v>
      </c>
      <c r="P216">
        <f>INDEX('Energieverbruik in TJ Gemeente'!$B$4:$Q$347,MATCH($C216,'Energieverbruik in TJ Gemeente'!$B$4:$B$347,0),MATCH(P$2,'Energieverbruik in TJ Gemeente'!$B$4:$Q$4,0))</f>
        <v>54</v>
      </c>
      <c r="Q216">
        <f>INDEX('Energieverbruik in TJ Gemeente'!$B$4:$Q$347,MATCH($C216,'Energieverbruik in TJ Gemeente'!$B$4:$B$347,0),MATCH(Q$2,'Energieverbruik in TJ Gemeente'!$B$4:$Q$4,0))</f>
        <v>42</v>
      </c>
      <c r="R216">
        <f>INDEX('Energieverbruik in TJ Gemeente'!$B$4:$Q$347,MATCH($C216,'Energieverbruik in TJ Gemeente'!$B$4:$B$347,0),MATCH(R$2,'Energieverbruik in TJ Gemeente'!$B$4:$Q$4,0))</f>
        <v>34</v>
      </c>
      <c r="S216" cm="1">
        <f t="array" ref="S216">MAX(_xlfn._xlws.FILTER(D$1:H$1, D216:H216&lt;&gt;"?"))</f>
        <v>2023</v>
      </c>
      <c r="T216" cm="1">
        <f t="array" ref="T216">MAX(_xlfn._xlws.FILTER(I$1:M$1, I216:M216&lt;&gt;"?"))</f>
        <v>2023</v>
      </c>
      <c r="U216" cm="1">
        <f t="array" ref="U216">MAX(_xlfn._xlws.FILTER(F$1:J$1, F216:J216&lt;&gt;"?"))</f>
        <v>2023</v>
      </c>
      <c r="V216">
        <f t="shared" si="15"/>
        <v>569</v>
      </c>
      <c r="W216">
        <f t="shared" si="16"/>
        <v>170</v>
      </c>
      <c r="X216">
        <f t="shared" si="17"/>
        <v>34</v>
      </c>
      <c r="Y216">
        <f t="shared" si="18"/>
        <v>773</v>
      </c>
      <c r="Z216">
        <f t="shared" si="19"/>
        <v>1.2846720180818001E-3</v>
      </c>
    </row>
    <row r="217" spans="1:26" ht="16" x14ac:dyDescent="0.2">
      <c r="A217" s="4" t="s">
        <v>653</v>
      </c>
      <c r="B217" s="4" t="s">
        <v>654</v>
      </c>
      <c r="C217" s="4" t="s">
        <v>655</v>
      </c>
      <c r="D217" t="str">
        <f>INDEX('Energieverbruik in TJ Gemeente'!$B$4:$Q$347,MATCH($C217,'Energieverbruik in TJ Gemeente'!$B$4:$B$347,0),MATCH(D$2,'Energieverbruik in TJ Gemeente'!$B$4:$Q$4,0))</f>
        <v>?</v>
      </c>
      <c r="E217" t="str">
        <f>INDEX('Energieverbruik in TJ Gemeente'!$B$4:$Q$347,MATCH($C217,'Energieverbruik in TJ Gemeente'!$B$4:$B$347,0),MATCH(E$2,'Energieverbruik in TJ Gemeente'!$B$4:$Q$4,0))</f>
        <v>?</v>
      </c>
      <c r="F217" t="str">
        <f>INDEX('Energieverbruik in TJ Gemeente'!$B$4:$Q$347,MATCH($C217,'Energieverbruik in TJ Gemeente'!$B$4:$B$347,0),MATCH(F$2,'Energieverbruik in TJ Gemeente'!$B$4:$Q$4,0))</f>
        <v>?</v>
      </c>
      <c r="G217" t="str">
        <f>INDEX('Energieverbruik in TJ Gemeente'!$B$4:$Q$347,MATCH($C217,'Energieverbruik in TJ Gemeente'!$B$4:$B$347,0),MATCH(G$2,'Energieverbruik in TJ Gemeente'!$B$4:$Q$4,0))</f>
        <v>?</v>
      </c>
      <c r="H217" t="str">
        <f>INDEX('Energieverbruik in TJ Gemeente'!$B$4:$Q$347,MATCH($C217,'Energieverbruik in TJ Gemeente'!$B$4:$B$347,0),MATCH(H$2,'Energieverbruik in TJ Gemeente'!$B$4:$Q$4,0))</f>
        <v>?</v>
      </c>
      <c r="I217" t="str">
        <f>INDEX('Energieverbruik in TJ Gemeente'!$B$4:$Q$347,MATCH($C217,'Energieverbruik in TJ Gemeente'!$B$4:$B$347,0),MATCH(I$2,'Energieverbruik in TJ Gemeente'!$B$4:$Q$4,0))</f>
        <v>?</v>
      </c>
      <c r="J217" t="str">
        <f>INDEX('Energieverbruik in TJ Gemeente'!$B$4:$Q$347,MATCH($C217,'Energieverbruik in TJ Gemeente'!$B$4:$B$347,0),MATCH(J$2,'Energieverbruik in TJ Gemeente'!$B$4:$Q$4,0))</f>
        <v>?</v>
      </c>
      <c r="K217" t="str">
        <f>INDEX('Energieverbruik in TJ Gemeente'!$B$4:$Q$347,MATCH($C217,'Energieverbruik in TJ Gemeente'!$B$4:$B$347,0),MATCH(K$2,'Energieverbruik in TJ Gemeente'!$B$4:$Q$4,0))</f>
        <v>?</v>
      </c>
      <c r="L217" t="str">
        <f>INDEX('Energieverbruik in TJ Gemeente'!$B$4:$Q$347,MATCH($C217,'Energieverbruik in TJ Gemeente'!$B$4:$B$347,0),MATCH(L$2,'Energieverbruik in TJ Gemeente'!$B$4:$Q$4,0))</f>
        <v>?</v>
      </c>
      <c r="M217" t="str">
        <f>INDEX('Energieverbruik in TJ Gemeente'!$B$4:$Q$347,MATCH($C217,'Energieverbruik in TJ Gemeente'!$B$4:$B$347,0),MATCH(M$2,'Energieverbruik in TJ Gemeente'!$B$4:$Q$4,0))</f>
        <v>?</v>
      </c>
      <c r="N217">
        <f>INDEX('Energieverbruik in TJ Gemeente'!$B$4:$Q$347,MATCH($C217,'Energieverbruik in TJ Gemeente'!$B$4:$B$347,0),MATCH(N$2,'Energieverbruik in TJ Gemeente'!$B$4:$Q$4,0))</f>
        <v>171</v>
      </c>
      <c r="O217" t="str">
        <f>INDEX('Energieverbruik in TJ Gemeente'!$B$4:$Q$347,MATCH($C217,'Energieverbruik in TJ Gemeente'!$B$4:$B$347,0),MATCH(O$2,'Energieverbruik in TJ Gemeente'!$B$4:$Q$4,0))</f>
        <v>?</v>
      </c>
      <c r="P217">
        <f>INDEX('Energieverbruik in TJ Gemeente'!$B$4:$Q$347,MATCH($C217,'Energieverbruik in TJ Gemeente'!$B$4:$B$347,0),MATCH(P$2,'Energieverbruik in TJ Gemeente'!$B$4:$Q$4,0))</f>
        <v>204</v>
      </c>
      <c r="Q217">
        <f>INDEX('Energieverbruik in TJ Gemeente'!$B$4:$Q$347,MATCH($C217,'Energieverbruik in TJ Gemeente'!$B$4:$B$347,0),MATCH(Q$2,'Energieverbruik in TJ Gemeente'!$B$4:$Q$4,0))</f>
        <v>141</v>
      </c>
      <c r="R217" t="str">
        <f>INDEX('Energieverbruik in TJ Gemeente'!$B$4:$Q$347,MATCH($C217,'Energieverbruik in TJ Gemeente'!$B$4:$B$347,0),MATCH(R$2,'Energieverbruik in TJ Gemeente'!$B$4:$Q$4,0))</f>
        <v>?</v>
      </c>
      <c r="S217" t="e" cm="1" vm="1">
        <f t="array" ref="S217">MAX(_xlfn._xlws.FILTER(D$1:H$1, D217:H217&lt;&gt;"?"))</f>
        <v>#VALUE!</v>
      </c>
      <c r="T217" t="e" cm="1" vm="1">
        <f t="array" ref="T217">MAX(_xlfn._xlws.FILTER(I$1:M$1, I217:M217&lt;&gt;"?"))</f>
        <v>#VALUE!</v>
      </c>
      <c r="U217" t="e" cm="1" vm="1">
        <f t="array" ref="U217">MAX(_xlfn._xlws.FILTER(F$1:J$1, F217:J217&lt;&gt;"?"))</f>
        <v>#VALUE!</v>
      </c>
      <c r="V217">
        <f t="shared" si="15"/>
        <v>0</v>
      </c>
      <c r="W217">
        <f t="shared" si="16"/>
        <v>0</v>
      </c>
      <c r="X217">
        <f t="shared" si="17"/>
        <v>0</v>
      </c>
      <c r="Y217">
        <f t="shared" si="18"/>
        <v>0</v>
      </c>
      <c r="Z217">
        <f t="shared" si="19"/>
        <v>0</v>
      </c>
    </row>
    <row r="218" spans="1:26" ht="32" x14ac:dyDescent="0.2">
      <c r="A218" s="4" t="s">
        <v>656</v>
      </c>
      <c r="B218" s="4" t="s">
        <v>657</v>
      </c>
      <c r="C218" s="4" t="s">
        <v>658</v>
      </c>
      <c r="D218">
        <f>INDEX('Energieverbruik in TJ Gemeente'!$B$4:$Q$347,MATCH($C218,'Energieverbruik in TJ Gemeente'!$B$4:$B$347,0),MATCH(D$2,'Energieverbruik in TJ Gemeente'!$B$4:$Q$4,0))</f>
        <v>725</v>
      </c>
      <c r="E218">
        <f>INDEX('Energieverbruik in TJ Gemeente'!$B$4:$Q$347,MATCH($C218,'Energieverbruik in TJ Gemeente'!$B$4:$B$347,0),MATCH(E$2,'Energieverbruik in TJ Gemeente'!$B$4:$Q$4,0))</f>
        <v>698</v>
      </c>
      <c r="F218">
        <f>INDEX('Energieverbruik in TJ Gemeente'!$B$4:$Q$347,MATCH($C218,'Energieverbruik in TJ Gemeente'!$B$4:$B$347,0),MATCH(F$2,'Energieverbruik in TJ Gemeente'!$B$4:$Q$4,0))</f>
        <v>701</v>
      </c>
      <c r="G218">
        <f>INDEX('Energieverbruik in TJ Gemeente'!$B$4:$Q$347,MATCH($C218,'Energieverbruik in TJ Gemeente'!$B$4:$B$347,0),MATCH(G$2,'Energieverbruik in TJ Gemeente'!$B$4:$Q$4,0))</f>
        <v>599</v>
      </c>
      <c r="H218">
        <f>INDEX('Energieverbruik in TJ Gemeente'!$B$4:$Q$347,MATCH($C218,'Energieverbruik in TJ Gemeente'!$B$4:$B$347,0),MATCH(H$2,'Energieverbruik in TJ Gemeente'!$B$4:$Q$4,0))</f>
        <v>480</v>
      </c>
      <c r="I218">
        <f>INDEX('Energieverbruik in TJ Gemeente'!$B$4:$Q$347,MATCH($C218,'Energieverbruik in TJ Gemeente'!$B$4:$B$347,0),MATCH(I$2,'Energieverbruik in TJ Gemeente'!$B$4:$Q$4,0))</f>
        <v>148</v>
      </c>
      <c r="J218">
        <f>INDEX('Energieverbruik in TJ Gemeente'!$B$4:$Q$347,MATCH($C218,'Energieverbruik in TJ Gemeente'!$B$4:$B$347,0),MATCH(J$2,'Energieverbruik in TJ Gemeente'!$B$4:$Q$4,0))</f>
        <v>140</v>
      </c>
      <c r="K218">
        <f>INDEX('Energieverbruik in TJ Gemeente'!$B$4:$Q$347,MATCH($C218,'Energieverbruik in TJ Gemeente'!$B$4:$B$347,0),MATCH(K$2,'Energieverbruik in TJ Gemeente'!$B$4:$Q$4,0))</f>
        <v>133</v>
      </c>
      <c r="L218">
        <f>INDEX('Energieverbruik in TJ Gemeente'!$B$4:$Q$347,MATCH($C218,'Energieverbruik in TJ Gemeente'!$B$4:$B$347,0),MATCH(L$2,'Energieverbruik in TJ Gemeente'!$B$4:$Q$4,0))</f>
        <v>128</v>
      </c>
      <c r="M218">
        <f>INDEX('Energieverbruik in TJ Gemeente'!$B$4:$Q$347,MATCH($C218,'Energieverbruik in TJ Gemeente'!$B$4:$B$347,0),MATCH(M$2,'Energieverbruik in TJ Gemeente'!$B$4:$Q$4,0))</f>
        <v>109</v>
      </c>
      <c r="N218">
        <f>INDEX('Energieverbruik in TJ Gemeente'!$B$4:$Q$347,MATCH($C218,'Energieverbruik in TJ Gemeente'!$B$4:$B$347,0),MATCH(N$2,'Energieverbruik in TJ Gemeente'!$B$4:$Q$4,0))</f>
        <v>48</v>
      </c>
      <c r="O218">
        <f>INDEX('Energieverbruik in TJ Gemeente'!$B$4:$Q$347,MATCH($C218,'Energieverbruik in TJ Gemeente'!$B$4:$B$347,0),MATCH(O$2,'Energieverbruik in TJ Gemeente'!$B$4:$Q$4,0))</f>
        <v>32</v>
      </c>
      <c r="P218">
        <f>INDEX('Energieverbruik in TJ Gemeente'!$B$4:$Q$347,MATCH($C218,'Energieverbruik in TJ Gemeente'!$B$4:$B$347,0),MATCH(P$2,'Energieverbruik in TJ Gemeente'!$B$4:$Q$4,0))</f>
        <v>32</v>
      </c>
      <c r="Q218">
        <f>INDEX('Energieverbruik in TJ Gemeente'!$B$4:$Q$347,MATCH($C218,'Energieverbruik in TJ Gemeente'!$B$4:$B$347,0),MATCH(Q$2,'Energieverbruik in TJ Gemeente'!$B$4:$Q$4,0))</f>
        <v>33</v>
      </c>
      <c r="R218">
        <f>INDEX('Energieverbruik in TJ Gemeente'!$B$4:$Q$347,MATCH($C218,'Energieverbruik in TJ Gemeente'!$B$4:$B$347,0),MATCH(R$2,'Energieverbruik in TJ Gemeente'!$B$4:$Q$4,0))</f>
        <v>27</v>
      </c>
      <c r="S218" cm="1">
        <f t="array" ref="S218">MAX(_xlfn._xlws.FILTER(D$1:H$1, D218:H218&lt;&gt;"?"))</f>
        <v>2023</v>
      </c>
      <c r="T218" cm="1">
        <f t="array" ref="T218">MAX(_xlfn._xlws.FILTER(I$1:M$1, I218:M218&lt;&gt;"?"))</f>
        <v>2023</v>
      </c>
      <c r="U218" cm="1">
        <f t="array" ref="U218">MAX(_xlfn._xlws.FILTER(F$1:J$1, F218:J218&lt;&gt;"?"))</f>
        <v>2023</v>
      </c>
      <c r="V218">
        <f t="shared" si="15"/>
        <v>480</v>
      </c>
      <c r="W218">
        <f t="shared" si="16"/>
        <v>109</v>
      </c>
      <c r="X218">
        <f t="shared" si="17"/>
        <v>27</v>
      </c>
      <c r="Y218">
        <f t="shared" si="18"/>
        <v>616</v>
      </c>
      <c r="Z218">
        <f t="shared" si="19"/>
        <v>1.0237489820677736E-3</v>
      </c>
    </row>
    <row r="219" spans="1:26" ht="16" x14ac:dyDescent="0.2">
      <c r="A219" s="4" t="s">
        <v>659</v>
      </c>
      <c r="B219" s="4" t="s">
        <v>660</v>
      </c>
      <c r="C219" s="4" t="s">
        <v>661</v>
      </c>
      <c r="D219" t="str">
        <f>INDEX('Energieverbruik in TJ Gemeente'!$B$4:$Q$347,MATCH($C219,'Energieverbruik in TJ Gemeente'!$B$4:$B$347,0),MATCH(D$2,'Energieverbruik in TJ Gemeente'!$B$4:$Q$4,0))</f>
        <v>?</v>
      </c>
      <c r="E219">
        <f>INDEX('Energieverbruik in TJ Gemeente'!$B$4:$Q$347,MATCH($C219,'Energieverbruik in TJ Gemeente'!$B$4:$B$347,0),MATCH(E$2,'Energieverbruik in TJ Gemeente'!$B$4:$Q$4,0))</f>
        <v>203</v>
      </c>
      <c r="F219" t="str">
        <f>INDEX('Energieverbruik in TJ Gemeente'!$B$4:$Q$347,MATCH($C219,'Energieverbruik in TJ Gemeente'!$B$4:$B$347,0),MATCH(F$2,'Energieverbruik in TJ Gemeente'!$B$4:$Q$4,0))</f>
        <v>?</v>
      </c>
      <c r="G219" t="str">
        <f>INDEX('Energieverbruik in TJ Gemeente'!$B$4:$Q$347,MATCH($C219,'Energieverbruik in TJ Gemeente'!$B$4:$B$347,0),MATCH(G$2,'Energieverbruik in TJ Gemeente'!$B$4:$Q$4,0))</f>
        <v>?</v>
      </c>
      <c r="H219">
        <f>INDEX('Energieverbruik in TJ Gemeente'!$B$4:$Q$347,MATCH($C219,'Energieverbruik in TJ Gemeente'!$B$4:$B$347,0),MATCH(H$2,'Energieverbruik in TJ Gemeente'!$B$4:$Q$4,0))</f>
        <v>153</v>
      </c>
      <c r="I219">
        <f>INDEX('Energieverbruik in TJ Gemeente'!$B$4:$Q$347,MATCH($C219,'Energieverbruik in TJ Gemeente'!$B$4:$B$347,0),MATCH(I$2,'Energieverbruik in TJ Gemeente'!$B$4:$Q$4,0))</f>
        <v>45</v>
      </c>
      <c r="J219">
        <f>INDEX('Energieverbruik in TJ Gemeente'!$B$4:$Q$347,MATCH($C219,'Energieverbruik in TJ Gemeente'!$B$4:$B$347,0),MATCH(J$2,'Energieverbruik in TJ Gemeente'!$B$4:$Q$4,0))</f>
        <v>32</v>
      </c>
      <c r="K219">
        <f>INDEX('Energieverbruik in TJ Gemeente'!$B$4:$Q$347,MATCH($C219,'Energieverbruik in TJ Gemeente'!$B$4:$B$347,0),MATCH(K$2,'Energieverbruik in TJ Gemeente'!$B$4:$Q$4,0))</f>
        <v>34</v>
      </c>
      <c r="L219">
        <f>INDEX('Energieverbruik in TJ Gemeente'!$B$4:$Q$347,MATCH($C219,'Energieverbruik in TJ Gemeente'!$B$4:$B$347,0),MATCH(L$2,'Energieverbruik in TJ Gemeente'!$B$4:$Q$4,0))</f>
        <v>31</v>
      </c>
      <c r="M219">
        <f>INDEX('Energieverbruik in TJ Gemeente'!$B$4:$Q$347,MATCH($C219,'Energieverbruik in TJ Gemeente'!$B$4:$B$347,0),MATCH(M$2,'Energieverbruik in TJ Gemeente'!$B$4:$Q$4,0))</f>
        <v>29</v>
      </c>
      <c r="N219">
        <f>INDEX('Energieverbruik in TJ Gemeente'!$B$4:$Q$347,MATCH($C219,'Energieverbruik in TJ Gemeente'!$B$4:$B$347,0),MATCH(N$2,'Energieverbruik in TJ Gemeente'!$B$4:$Q$4,0))</f>
        <v>1</v>
      </c>
      <c r="O219">
        <f>INDEX('Energieverbruik in TJ Gemeente'!$B$4:$Q$347,MATCH($C219,'Energieverbruik in TJ Gemeente'!$B$4:$B$347,0),MATCH(O$2,'Energieverbruik in TJ Gemeente'!$B$4:$Q$4,0))</f>
        <v>1</v>
      </c>
      <c r="P219">
        <f>INDEX('Energieverbruik in TJ Gemeente'!$B$4:$Q$347,MATCH($C219,'Energieverbruik in TJ Gemeente'!$B$4:$B$347,0),MATCH(P$2,'Energieverbruik in TJ Gemeente'!$B$4:$Q$4,0))</f>
        <v>1</v>
      </c>
      <c r="Q219">
        <f>INDEX('Energieverbruik in TJ Gemeente'!$B$4:$Q$347,MATCH($C219,'Energieverbruik in TJ Gemeente'!$B$4:$B$347,0),MATCH(Q$2,'Energieverbruik in TJ Gemeente'!$B$4:$Q$4,0))</f>
        <v>1</v>
      </c>
      <c r="R219">
        <f>INDEX('Energieverbruik in TJ Gemeente'!$B$4:$Q$347,MATCH($C219,'Energieverbruik in TJ Gemeente'!$B$4:$B$347,0),MATCH(R$2,'Energieverbruik in TJ Gemeente'!$B$4:$Q$4,0))</f>
        <v>0</v>
      </c>
      <c r="S219" cm="1">
        <f t="array" ref="S219">MAX(_xlfn._xlws.FILTER(D$1:H$1, D219:H219&lt;&gt;"?"))</f>
        <v>2023</v>
      </c>
      <c r="T219" cm="1">
        <f t="array" ref="T219">MAX(_xlfn._xlws.FILTER(I$1:M$1, I219:M219&lt;&gt;"?"))</f>
        <v>2023</v>
      </c>
      <c r="U219" cm="1">
        <f t="array" ref="U219">MAX(_xlfn._xlws.FILTER(F$1:J$1, F219:J219&lt;&gt;"?"))</f>
        <v>2023</v>
      </c>
      <c r="V219">
        <f t="shared" si="15"/>
        <v>153</v>
      </c>
      <c r="W219">
        <f t="shared" si="16"/>
        <v>29</v>
      </c>
      <c r="X219">
        <f t="shared" si="17"/>
        <v>0</v>
      </c>
      <c r="Y219">
        <f t="shared" si="18"/>
        <v>182</v>
      </c>
      <c r="Z219">
        <f t="shared" si="19"/>
        <v>3.0247129015638764E-4</v>
      </c>
    </row>
    <row r="220" spans="1:26" ht="16" x14ac:dyDescent="0.2">
      <c r="A220" s="4" t="s">
        <v>662</v>
      </c>
      <c r="B220" s="4" t="s">
        <v>663</v>
      </c>
      <c r="C220" s="4" t="s">
        <v>664</v>
      </c>
      <c r="D220">
        <f>INDEX('Energieverbruik in TJ Gemeente'!$B$4:$Q$347,MATCH($C220,'Energieverbruik in TJ Gemeente'!$B$4:$B$347,0),MATCH(D$2,'Energieverbruik in TJ Gemeente'!$B$4:$Q$4,0))</f>
        <v>273</v>
      </c>
      <c r="E220">
        <f>INDEX('Energieverbruik in TJ Gemeente'!$B$4:$Q$347,MATCH($C220,'Energieverbruik in TJ Gemeente'!$B$4:$B$347,0),MATCH(E$2,'Energieverbruik in TJ Gemeente'!$B$4:$Q$4,0))</f>
        <v>269</v>
      </c>
      <c r="F220">
        <f>INDEX('Energieverbruik in TJ Gemeente'!$B$4:$Q$347,MATCH($C220,'Energieverbruik in TJ Gemeente'!$B$4:$B$347,0),MATCH(F$2,'Energieverbruik in TJ Gemeente'!$B$4:$Q$4,0))</f>
        <v>273</v>
      </c>
      <c r="G220">
        <f>INDEX('Energieverbruik in TJ Gemeente'!$B$4:$Q$347,MATCH($C220,'Energieverbruik in TJ Gemeente'!$B$4:$B$347,0),MATCH(G$2,'Energieverbruik in TJ Gemeente'!$B$4:$Q$4,0))</f>
        <v>236</v>
      </c>
      <c r="H220">
        <f>INDEX('Energieverbruik in TJ Gemeente'!$B$4:$Q$347,MATCH($C220,'Energieverbruik in TJ Gemeente'!$B$4:$B$347,0),MATCH(H$2,'Energieverbruik in TJ Gemeente'!$B$4:$Q$4,0))</f>
        <v>202</v>
      </c>
      <c r="I220">
        <f>INDEX('Energieverbruik in TJ Gemeente'!$B$4:$Q$347,MATCH($C220,'Energieverbruik in TJ Gemeente'!$B$4:$B$347,0),MATCH(I$2,'Energieverbruik in TJ Gemeente'!$B$4:$Q$4,0))</f>
        <v>39</v>
      </c>
      <c r="J220">
        <f>INDEX('Energieverbruik in TJ Gemeente'!$B$4:$Q$347,MATCH($C220,'Energieverbruik in TJ Gemeente'!$B$4:$B$347,0),MATCH(J$2,'Energieverbruik in TJ Gemeente'!$B$4:$Q$4,0))</f>
        <v>32</v>
      </c>
      <c r="K220">
        <f>INDEX('Energieverbruik in TJ Gemeente'!$B$4:$Q$347,MATCH($C220,'Energieverbruik in TJ Gemeente'!$B$4:$B$347,0),MATCH(K$2,'Energieverbruik in TJ Gemeente'!$B$4:$Q$4,0))</f>
        <v>36</v>
      </c>
      <c r="L220">
        <f>INDEX('Energieverbruik in TJ Gemeente'!$B$4:$Q$347,MATCH($C220,'Energieverbruik in TJ Gemeente'!$B$4:$B$347,0),MATCH(L$2,'Energieverbruik in TJ Gemeente'!$B$4:$Q$4,0))</f>
        <v>35</v>
      </c>
      <c r="M220">
        <f>INDEX('Energieverbruik in TJ Gemeente'!$B$4:$Q$347,MATCH($C220,'Energieverbruik in TJ Gemeente'!$B$4:$B$347,0),MATCH(M$2,'Energieverbruik in TJ Gemeente'!$B$4:$Q$4,0))</f>
        <v>33</v>
      </c>
      <c r="N220">
        <f>INDEX('Energieverbruik in TJ Gemeente'!$B$4:$Q$347,MATCH($C220,'Energieverbruik in TJ Gemeente'!$B$4:$B$347,0),MATCH(N$2,'Energieverbruik in TJ Gemeente'!$B$4:$Q$4,0))</f>
        <v>48</v>
      </c>
      <c r="O220">
        <f>INDEX('Energieverbruik in TJ Gemeente'!$B$4:$Q$347,MATCH($C220,'Energieverbruik in TJ Gemeente'!$B$4:$B$347,0),MATCH(O$2,'Energieverbruik in TJ Gemeente'!$B$4:$Q$4,0))</f>
        <v>60</v>
      </c>
      <c r="P220">
        <f>INDEX('Energieverbruik in TJ Gemeente'!$B$4:$Q$347,MATCH($C220,'Energieverbruik in TJ Gemeente'!$B$4:$B$347,0),MATCH(P$2,'Energieverbruik in TJ Gemeente'!$B$4:$Q$4,0))</f>
        <v>69</v>
      </c>
      <c r="Q220">
        <f>INDEX('Energieverbruik in TJ Gemeente'!$B$4:$Q$347,MATCH($C220,'Energieverbruik in TJ Gemeente'!$B$4:$B$347,0),MATCH(Q$2,'Energieverbruik in TJ Gemeente'!$B$4:$Q$4,0))</f>
        <v>43</v>
      </c>
      <c r="R220">
        <f>INDEX('Energieverbruik in TJ Gemeente'!$B$4:$Q$347,MATCH($C220,'Energieverbruik in TJ Gemeente'!$B$4:$B$347,0),MATCH(R$2,'Energieverbruik in TJ Gemeente'!$B$4:$Q$4,0))</f>
        <v>40</v>
      </c>
      <c r="S220" cm="1">
        <f t="array" ref="S220">MAX(_xlfn._xlws.FILTER(D$1:H$1, D220:H220&lt;&gt;"?"))</f>
        <v>2023</v>
      </c>
      <c r="T220" cm="1">
        <f t="array" ref="T220">MAX(_xlfn._xlws.FILTER(I$1:M$1, I220:M220&lt;&gt;"?"))</f>
        <v>2023</v>
      </c>
      <c r="U220" cm="1">
        <f t="array" ref="U220">MAX(_xlfn._xlws.FILTER(F$1:J$1, F220:J220&lt;&gt;"?"))</f>
        <v>2023</v>
      </c>
      <c r="V220">
        <f t="shared" si="15"/>
        <v>202</v>
      </c>
      <c r="W220">
        <f t="shared" si="16"/>
        <v>33</v>
      </c>
      <c r="X220">
        <f t="shared" si="17"/>
        <v>40</v>
      </c>
      <c r="Y220">
        <f t="shared" si="18"/>
        <v>275</v>
      </c>
      <c r="Z220">
        <f t="shared" si="19"/>
        <v>4.5703079556597034E-4</v>
      </c>
    </row>
    <row r="221" spans="1:26" ht="16" x14ac:dyDescent="0.2">
      <c r="A221" s="4" t="s">
        <v>665</v>
      </c>
      <c r="B221" s="4" t="s">
        <v>666</v>
      </c>
      <c r="C221" s="4" t="s">
        <v>667</v>
      </c>
      <c r="D221" t="str">
        <f>INDEX('Energieverbruik in TJ Gemeente'!$B$4:$Q$347,MATCH($C221,'Energieverbruik in TJ Gemeente'!$B$4:$B$347,0),MATCH(D$2,'Energieverbruik in TJ Gemeente'!$B$4:$Q$4,0))</f>
        <v>?</v>
      </c>
      <c r="E221">
        <f>INDEX('Energieverbruik in TJ Gemeente'!$B$4:$Q$347,MATCH($C221,'Energieverbruik in TJ Gemeente'!$B$4:$B$347,0),MATCH(E$2,'Energieverbruik in TJ Gemeente'!$B$4:$Q$4,0))</f>
        <v>817</v>
      </c>
      <c r="F221">
        <f>INDEX('Energieverbruik in TJ Gemeente'!$B$4:$Q$347,MATCH($C221,'Energieverbruik in TJ Gemeente'!$B$4:$B$347,0),MATCH(F$2,'Energieverbruik in TJ Gemeente'!$B$4:$Q$4,0))</f>
        <v>809</v>
      </c>
      <c r="G221">
        <f>INDEX('Energieverbruik in TJ Gemeente'!$B$4:$Q$347,MATCH($C221,'Energieverbruik in TJ Gemeente'!$B$4:$B$347,0),MATCH(G$2,'Energieverbruik in TJ Gemeente'!$B$4:$Q$4,0))</f>
        <v>699</v>
      </c>
      <c r="H221">
        <f>INDEX('Energieverbruik in TJ Gemeente'!$B$4:$Q$347,MATCH($C221,'Energieverbruik in TJ Gemeente'!$B$4:$B$347,0),MATCH(H$2,'Energieverbruik in TJ Gemeente'!$B$4:$Q$4,0))</f>
        <v>572</v>
      </c>
      <c r="I221">
        <f>INDEX('Energieverbruik in TJ Gemeente'!$B$4:$Q$347,MATCH($C221,'Energieverbruik in TJ Gemeente'!$B$4:$B$347,0),MATCH(I$2,'Energieverbruik in TJ Gemeente'!$B$4:$Q$4,0))</f>
        <v>52</v>
      </c>
      <c r="J221">
        <f>INDEX('Energieverbruik in TJ Gemeente'!$B$4:$Q$347,MATCH($C221,'Energieverbruik in TJ Gemeente'!$B$4:$B$347,0),MATCH(J$2,'Energieverbruik in TJ Gemeente'!$B$4:$Q$4,0))</f>
        <v>40</v>
      </c>
      <c r="K221">
        <f>INDEX('Energieverbruik in TJ Gemeente'!$B$4:$Q$347,MATCH($C221,'Energieverbruik in TJ Gemeente'!$B$4:$B$347,0),MATCH(K$2,'Energieverbruik in TJ Gemeente'!$B$4:$Q$4,0))</f>
        <v>44</v>
      </c>
      <c r="L221">
        <f>INDEX('Energieverbruik in TJ Gemeente'!$B$4:$Q$347,MATCH($C221,'Energieverbruik in TJ Gemeente'!$B$4:$B$347,0),MATCH(L$2,'Energieverbruik in TJ Gemeente'!$B$4:$Q$4,0))</f>
        <v>37</v>
      </c>
      <c r="M221">
        <f>INDEX('Energieverbruik in TJ Gemeente'!$B$4:$Q$347,MATCH($C221,'Energieverbruik in TJ Gemeente'!$B$4:$B$347,0),MATCH(M$2,'Energieverbruik in TJ Gemeente'!$B$4:$Q$4,0))</f>
        <v>37</v>
      </c>
      <c r="N221">
        <f>INDEX('Energieverbruik in TJ Gemeente'!$B$4:$Q$347,MATCH($C221,'Energieverbruik in TJ Gemeente'!$B$4:$B$347,0),MATCH(N$2,'Energieverbruik in TJ Gemeente'!$B$4:$Q$4,0))</f>
        <v>49</v>
      </c>
      <c r="O221">
        <f>INDEX('Energieverbruik in TJ Gemeente'!$B$4:$Q$347,MATCH($C221,'Energieverbruik in TJ Gemeente'!$B$4:$B$347,0),MATCH(O$2,'Energieverbruik in TJ Gemeente'!$B$4:$Q$4,0))</f>
        <v>28</v>
      </c>
      <c r="P221">
        <f>INDEX('Energieverbruik in TJ Gemeente'!$B$4:$Q$347,MATCH($C221,'Energieverbruik in TJ Gemeente'!$B$4:$B$347,0),MATCH(P$2,'Energieverbruik in TJ Gemeente'!$B$4:$Q$4,0))</f>
        <v>31</v>
      </c>
      <c r="Q221">
        <f>INDEX('Energieverbruik in TJ Gemeente'!$B$4:$Q$347,MATCH($C221,'Energieverbruik in TJ Gemeente'!$B$4:$B$347,0),MATCH(Q$2,'Energieverbruik in TJ Gemeente'!$B$4:$Q$4,0))</f>
        <v>24</v>
      </c>
      <c r="R221">
        <f>INDEX('Energieverbruik in TJ Gemeente'!$B$4:$Q$347,MATCH($C221,'Energieverbruik in TJ Gemeente'!$B$4:$B$347,0),MATCH(R$2,'Energieverbruik in TJ Gemeente'!$B$4:$Q$4,0))</f>
        <v>21</v>
      </c>
      <c r="S221" cm="1">
        <f t="array" ref="S221">MAX(_xlfn._xlws.FILTER(D$1:H$1, D221:H221&lt;&gt;"?"))</f>
        <v>2023</v>
      </c>
      <c r="T221" cm="1">
        <f t="array" ref="T221">MAX(_xlfn._xlws.FILTER(I$1:M$1, I221:M221&lt;&gt;"?"))</f>
        <v>2023</v>
      </c>
      <c r="U221" cm="1">
        <f t="array" ref="U221">MAX(_xlfn._xlws.FILTER(F$1:J$1, F221:J221&lt;&gt;"?"))</f>
        <v>2023</v>
      </c>
      <c r="V221">
        <f t="shared" si="15"/>
        <v>572</v>
      </c>
      <c r="W221">
        <f t="shared" si="16"/>
        <v>37</v>
      </c>
      <c r="X221">
        <f t="shared" si="17"/>
        <v>21</v>
      </c>
      <c r="Y221">
        <f t="shared" si="18"/>
        <v>630</v>
      </c>
      <c r="Z221">
        <f t="shared" si="19"/>
        <v>1.0470160043874956E-3</v>
      </c>
    </row>
    <row r="222" spans="1:26" ht="16" x14ac:dyDescent="0.2">
      <c r="A222" s="4" t="s">
        <v>668</v>
      </c>
      <c r="B222" s="4" t="s">
        <v>669</v>
      </c>
      <c r="C222" s="4" t="s">
        <v>670</v>
      </c>
      <c r="D222">
        <f>INDEX('Energieverbruik in TJ Gemeente'!$B$4:$Q$347,MATCH($C222,'Energieverbruik in TJ Gemeente'!$B$4:$B$347,0),MATCH(D$2,'Energieverbruik in TJ Gemeente'!$B$4:$Q$4,0))</f>
        <v>2259</v>
      </c>
      <c r="E222">
        <f>INDEX('Energieverbruik in TJ Gemeente'!$B$4:$Q$347,MATCH($C222,'Energieverbruik in TJ Gemeente'!$B$4:$B$347,0),MATCH(E$2,'Energieverbruik in TJ Gemeente'!$B$4:$Q$4,0))</f>
        <v>2210</v>
      </c>
      <c r="F222">
        <f>INDEX('Energieverbruik in TJ Gemeente'!$B$4:$Q$347,MATCH($C222,'Energieverbruik in TJ Gemeente'!$B$4:$B$347,0),MATCH(F$2,'Energieverbruik in TJ Gemeente'!$B$4:$Q$4,0))</f>
        <v>2266</v>
      </c>
      <c r="G222">
        <f>INDEX('Energieverbruik in TJ Gemeente'!$B$4:$Q$347,MATCH($C222,'Energieverbruik in TJ Gemeente'!$B$4:$B$347,0),MATCH(G$2,'Energieverbruik in TJ Gemeente'!$B$4:$Q$4,0))</f>
        <v>1990</v>
      </c>
      <c r="H222">
        <f>INDEX('Energieverbruik in TJ Gemeente'!$B$4:$Q$347,MATCH($C222,'Energieverbruik in TJ Gemeente'!$B$4:$B$347,0),MATCH(H$2,'Energieverbruik in TJ Gemeente'!$B$4:$Q$4,0))</f>
        <v>1651</v>
      </c>
      <c r="I222">
        <f>INDEX('Energieverbruik in TJ Gemeente'!$B$4:$Q$347,MATCH($C222,'Energieverbruik in TJ Gemeente'!$B$4:$B$347,0),MATCH(I$2,'Energieverbruik in TJ Gemeente'!$B$4:$Q$4,0))</f>
        <v>1174</v>
      </c>
      <c r="J222">
        <f>INDEX('Energieverbruik in TJ Gemeente'!$B$4:$Q$347,MATCH($C222,'Energieverbruik in TJ Gemeente'!$B$4:$B$347,0),MATCH(J$2,'Energieverbruik in TJ Gemeente'!$B$4:$Q$4,0))</f>
        <v>1176</v>
      </c>
      <c r="K222">
        <f>INDEX('Energieverbruik in TJ Gemeente'!$B$4:$Q$347,MATCH($C222,'Energieverbruik in TJ Gemeente'!$B$4:$B$347,0),MATCH(K$2,'Energieverbruik in TJ Gemeente'!$B$4:$Q$4,0))</f>
        <v>1229</v>
      </c>
      <c r="L222">
        <f>INDEX('Energieverbruik in TJ Gemeente'!$B$4:$Q$347,MATCH($C222,'Energieverbruik in TJ Gemeente'!$B$4:$B$347,0),MATCH(L$2,'Energieverbruik in TJ Gemeente'!$B$4:$Q$4,0))</f>
        <v>1118</v>
      </c>
      <c r="M222">
        <f>INDEX('Energieverbruik in TJ Gemeente'!$B$4:$Q$347,MATCH($C222,'Energieverbruik in TJ Gemeente'!$B$4:$B$347,0),MATCH(M$2,'Energieverbruik in TJ Gemeente'!$B$4:$Q$4,0))</f>
        <v>1087</v>
      </c>
      <c r="N222">
        <f>INDEX('Energieverbruik in TJ Gemeente'!$B$4:$Q$347,MATCH($C222,'Energieverbruik in TJ Gemeente'!$B$4:$B$347,0),MATCH(N$2,'Energieverbruik in TJ Gemeente'!$B$4:$Q$4,0))</f>
        <v>117</v>
      </c>
      <c r="O222">
        <f>INDEX('Energieverbruik in TJ Gemeente'!$B$4:$Q$347,MATCH($C222,'Energieverbruik in TJ Gemeente'!$B$4:$B$347,0),MATCH(O$2,'Energieverbruik in TJ Gemeente'!$B$4:$Q$4,0))</f>
        <v>84</v>
      </c>
      <c r="P222">
        <f>INDEX('Energieverbruik in TJ Gemeente'!$B$4:$Q$347,MATCH($C222,'Energieverbruik in TJ Gemeente'!$B$4:$B$347,0),MATCH(P$2,'Energieverbruik in TJ Gemeente'!$B$4:$Q$4,0))</f>
        <v>95</v>
      </c>
      <c r="Q222">
        <f>INDEX('Energieverbruik in TJ Gemeente'!$B$4:$Q$347,MATCH($C222,'Energieverbruik in TJ Gemeente'!$B$4:$B$347,0),MATCH(Q$2,'Energieverbruik in TJ Gemeente'!$B$4:$Q$4,0))</f>
        <v>56</v>
      </c>
      <c r="R222">
        <f>INDEX('Energieverbruik in TJ Gemeente'!$B$4:$Q$347,MATCH($C222,'Energieverbruik in TJ Gemeente'!$B$4:$B$347,0),MATCH(R$2,'Energieverbruik in TJ Gemeente'!$B$4:$Q$4,0))</f>
        <v>53</v>
      </c>
      <c r="S222" cm="1">
        <f t="array" ref="S222">MAX(_xlfn._xlws.FILTER(D$1:H$1, D222:H222&lt;&gt;"?"))</f>
        <v>2023</v>
      </c>
      <c r="T222" cm="1">
        <f t="array" ref="T222">MAX(_xlfn._xlws.FILTER(I$1:M$1, I222:M222&lt;&gt;"?"))</f>
        <v>2023</v>
      </c>
      <c r="U222" cm="1">
        <f t="array" ref="U222">MAX(_xlfn._xlws.FILTER(F$1:J$1, F222:J222&lt;&gt;"?"))</f>
        <v>2023</v>
      </c>
      <c r="V222">
        <f t="shared" si="15"/>
        <v>1651</v>
      </c>
      <c r="W222">
        <f t="shared" si="16"/>
        <v>1087</v>
      </c>
      <c r="X222">
        <f t="shared" si="17"/>
        <v>53</v>
      </c>
      <c r="Y222">
        <f t="shared" si="18"/>
        <v>2791</v>
      </c>
      <c r="Z222">
        <f t="shared" si="19"/>
        <v>4.6384470924531749E-3</v>
      </c>
    </row>
    <row r="223" spans="1:26" ht="32" x14ac:dyDescent="0.2">
      <c r="A223" s="4" t="s">
        <v>671</v>
      </c>
      <c r="B223" s="4" t="s">
        <v>672</v>
      </c>
      <c r="C223" s="4" t="s">
        <v>673</v>
      </c>
      <c r="D223" t="str">
        <f>INDEX('Energieverbruik in TJ Gemeente'!$B$4:$Q$347,MATCH($C223,'Energieverbruik in TJ Gemeente'!$B$4:$B$347,0),MATCH(D$2,'Energieverbruik in TJ Gemeente'!$B$4:$Q$4,0))</f>
        <v>?</v>
      </c>
      <c r="E223">
        <f>INDEX('Energieverbruik in TJ Gemeente'!$B$4:$Q$347,MATCH($C223,'Energieverbruik in TJ Gemeente'!$B$4:$B$347,0),MATCH(E$2,'Energieverbruik in TJ Gemeente'!$B$4:$Q$4,0))</f>
        <v>997</v>
      </c>
      <c r="F223">
        <f>INDEX('Energieverbruik in TJ Gemeente'!$B$4:$Q$347,MATCH($C223,'Energieverbruik in TJ Gemeente'!$B$4:$B$347,0),MATCH(F$2,'Energieverbruik in TJ Gemeente'!$B$4:$Q$4,0))</f>
        <v>998</v>
      </c>
      <c r="G223">
        <f>INDEX('Energieverbruik in TJ Gemeente'!$B$4:$Q$347,MATCH($C223,'Energieverbruik in TJ Gemeente'!$B$4:$B$347,0),MATCH(G$2,'Energieverbruik in TJ Gemeente'!$B$4:$Q$4,0))</f>
        <v>889</v>
      </c>
      <c r="H223">
        <f>INDEX('Energieverbruik in TJ Gemeente'!$B$4:$Q$347,MATCH($C223,'Energieverbruik in TJ Gemeente'!$B$4:$B$347,0),MATCH(H$2,'Energieverbruik in TJ Gemeente'!$B$4:$Q$4,0))</f>
        <v>714</v>
      </c>
      <c r="I223">
        <f>INDEX('Energieverbruik in TJ Gemeente'!$B$4:$Q$347,MATCH($C223,'Energieverbruik in TJ Gemeente'!$B$4:$B$347,0),MATCH(I$2,'Energieverbruik in TJ Gemeente'!$B$4:$Q$4,0))</f>
        <v>195</v>
      </c>
      <c r="J223">
        <f>INDEX('Energieverbruik in TJ Gemeente'!$B$4:$Q$347,MATCH($C223,'Energieverbruik in TJ Gemeente'!$B$4:$B$347,0),MATCH(J$2,'Energieverbruik in TJ Gemeente'!$B$4:$Q$4,0))</f>
        <v>159</v>
      </c>
      <c r="K223">
        <f>INDEX('Energieverbruik in TJ Gemeente'!$B$4:$Q$347,MATCH($C223,'Energieverbruik in TJ Gemeente'!$B$4:$B$347,0),MATCH(K$2,'Energieverbruik in TJ Gemeente'!$B$4:$Q$4,0))</f>
        <v>175</v>
      </c>
      <c r="L223">
        <f>INDEX('Energieverbruik in TJ Gemeente'!$B$4:$Q$347,MATCH($C223,'Energieverbruik in TJ Gemeente'!$B$4:$B$347,0),MATCH(L$2,'Energieverbruik in TJ Gemeente'!$B$4:$Q$4,0))</f>
        <v>137</v>
      </c>
      <c r="M223">
        <f>INDEX('Energieverbruik in TJ Gemeente'!$B$4:$Q$347,MATCH($C223,'Energieverbruik in TJ Gemeente'!$B$4:$B$347,0),MATCH(M$2,'Energieverbruik in TJ Gemeente'!$B$4:$Q$4,0))</f>
        <v>157</v>
      </c>
      <c r="N223">
        <f>INDEX('Energieverbruik in TJ Gemeente'!$B$4:$Q$347,MATCH($C223,'Energieverbruik in TJ Gemeente'!$B$4:$B$347,0),MATCH(N$2,'Energieverbruik in TJ Gemeente'!$B$4:$Q$4,0))</f>
        <v>49</v>
      </c>
      <c r="O223">
        <f>INDEX('Energieverbruik in TJ Gemeente'!$B$4:$Q$347,MATCH($C223,'Energieverbruik in TJ Gemeente'!$B$4:$B$347,0),MATCH(O$2,'Energieverbruik in TJ Gemeente'!$B$4:$Q$4,0))</f>
        <v>26</v>
      </c>
      <c r="P223">
        <f>INDEX('Energieverbruik in TJ Gemeente'!$B$4:$Q$347,MATCH($C223,'Energieverbruik in TJ Gemeente'!$B$4:$B$347,0),MATCH(P$2,'Energieverbruik in TJ Gemeente'!$B$4:$Q$4,0))</f>
        <v>31</v>
      </c>
      <c r="Q223">
        <f>INDEX('Energieverbruik in TJ Gemeente'!$B$4:$Q$347,MATCH($C223,'Energieverbruik in TJ Gemeente'!$B$4:$B$347,0),MATCH(Q$2,'Energieverbruik in TJ Gemeente'!$B$4:$Q$4,0))</f>
        <v>23</v>
      </c>
      <c r="R223">
        <f>INDEX('Energieverbruik in TJ Gemeente'!$B$4:$Q$347,MATCH($C223,'Energieverbruik in TJ Gemeente'!$B$4:$B$347,0),MATCH(R$2,'Energieverbruik in TJ Gemeente'!$B$4:$Q$4,0))</f>
        <v>18</v>
      </c>
      <c r="S223" cm="1">
        <f t="array" ref="S223">MAX(_xlfn._xlws.FILTER(D$1:H$1, D223:H223&lt;&gt;"?"))</f>
        <v>2023</v>
      </c>
      <c r="T223" cm="1">
        <f t="array" ref="T223">MAX(_xlfn._xlws.FILTER(I$1:M$1, I223:M223&lt;&gt;"?"))</f>
        <v>2023</v>
      </c>
      <c r="U223" cm="1">
        <f t="array" ref="U223">MAX(_xlfn._xlws.FILTER(F$1:J$1, F223:J223&lt;&gt;"?"))</f>
        <v>2023</v>
      </c>
      <c r="V223">
        <f t="shared" si="15"/>
        <v>714</v>
      </c>
      <c r="W223">
        <f t="shared" si="16"/>
        <v>157</v>
      </c>
      <c r="X223">
        <f t="shared" si="17"/>
        <v>18</v>
      </c>
      <c r="Y223">
        <f t="shared" si="18"/>
        <v>889</v>
      </c>
      <c r="Z223">
        <f t="shared" si="19"/>
        <v>1.4774559173023549E-3</v>
      </c>
    </row>
    <row r="224" spans="1:26" ht="32" x14ac:dyDescent="0.2">
      <c r="A224" s="4" t="s">
        <v>674</v>
      </c>
      <c r="B224" s="4" t="s">
        <v>675</v>
      </c>
      <c r="C224" s="4" t="s">
        <v>676</v>
      </c>
      <c r="D224">
        <f>INDEX('Energieverbruik in TJ Gemeente'!$B$4:$Q$347,MATCH($C224,'Energieverbruik in TJ Gemeente'!$B$4:$B$347,0),MATCH(D$2,'Energieverbruik in TJ Gemeente'!$B$4:$Q$4,0))</f>
        <v>493</v>
      </c>
      <c r="E224">
        <f>INDEX('Energieverbruik in TJ Gemeente'!$B$4:$Q$347,MATCH($C224,'Energieverbruik in TJ Gemeente'!$B$4:$B$347,0),MATCH(E$2,'Energieverbruik in TJ Gemeente'!$B$4:$Q$4,0))</f>
        <v>424</v>
      </c>
      <c r="F224">
        <f>INDEX('Energieverbruik in TJ Gemeente'!$B$4:$Q$347,MATCH($C224,'Energieverbruik in TJ Gemeente'!$B$4:$B$347,0),MATCH(F$2,'Energieverbruik in TJ Gemeente'!$B$4:$Q$4,0))</f>
        <v>415</v>
      </c>
      <c r="G224">
        <f>INDEX('Energieverbruik in TJ Gemeente'!$B$4:$Q$347,MATCH($C224,'Energieverbruik in TJ Gemeente'!$B$4:$B$347,0),MATCH(G$2,'Energieverbruik in TJ Gemeente'!$B$4:$Q$4,0))</f>
        <v>347</v>
      </c>
      <c r="H224">
        <f>INDEX('Energieverbruik in TJ Gemeente'!$B$4:$Q$347,MATCH($C224,'Energieverbruik in TJ Gemeente'!$B$4:$B$347,0),MATCH(H$2,'Energieverbruik in TJ Gemeente'!$B$4:$Q$4,0))</f>
        <v>300</v>
      </c>
      <c r="I224" t="str">
        <f>INDEX('Energieverbruik in TJ Gemeente'!$B$4:$Q$347,MATCH($C224,'Energieverbruik in TJ Gemeente'!$B$4:$B$347,0),MATCH(I$2,'Energieverbruik in TJ Gemeente'!$B$4:$Q$4,0))</f>
        <v>?</v>
      </c>
      <c r="J224" t="str">
        <f>INDEX('Energieverbruik in TJ Gemeente'!$B$4:$Q$347,MATCH($C224,'Energieverbruik in TJ Gemeente'!$B$4:$B$347,0),MATCH(J$2,'Energieverbruik in TJ Gemeente'!$B$4:$Q$4,0))</f>
        <v>?</v>
      </c>
      <c r="K224" t="str">
        <f>INDEX('Energieverbruik in TJ Gemeente'!$B$4:$Q$347,MATCH($C224,'Energieverbruik in TJ Gemeente'!$B$4:$B$347,0),MATCH(K$2,'Energieverbruik in TJ Gemeente'!$B$4:$Q$4,0))</f>
        <v>?</v>
      </c>
      <c r="L224">
        <f>INDEX('Energieverbruik in TJ Gemeente'!$B$4:$Q$347,MATCH($C224,'Energieverbruik in TJ Gemeente'!$B$4:$B$347,0),MATCH(L$2,'Energieverbruik in TJ Gemeente'!$B$4:$Q$4,0))</f>
        <v>37</v>
      </c>
      <c r="M224">
        <f>INDEX('Energieverbruik in TJ Gemeente'!$B$4:$Q$347,MATCH($C224,'Energieverbruik in TJ Gemeente'!$B$4:$B$347,0),MATCH(M$2,'Energieverbruik in TJ Gemeente'!$B$4:$Q$4,0))</f>
        <v>35</v>
      </c>
      <c r="N224">
        <f>INDEX('Energieverbruik in TJ Gemeente'!$B$4:$Q$347,MATCH($C224,'Energieverbruik in TJ Gemeente'!$B$4:$B$347,0),MATCH(N$2,'Energieverbruik in TJ Gemeente'!$B$4:$Q$4,0))</f>
        <v>2</v>
      </c>
      <c r="O224">
        <f>INDEX('Energieverbruik in TJ Gemeente'!$B$4:$Q$347,MATCH($C224,'Energieverbruik in TJ Gemeente'!$B$4:$B$347,0),MATCH(O$2,'Energieverbruik in TJ Gemeente'!$B$4:$Q$4,0))</f>
        <v>3</v>
      </c>
      <c r="P224">
        <f>INDEX('Energieverbruik in TJ Gemeente'!$B$4:$Q$347,MATCH($C224,'Energieverbruik in TJ Gemeente'!$B$4:$B$347,0),MATCH(P$2,'Energieverbruik in TJ Gemeente'!$B$4:$Q$4,0))</f>
        <v>3</v>
      </c>
      <c r="Q224">
        <f>INDEX('Energieverbruik in TJ Gemeente'!$B$4:$Q$347,MATCH($C224,'Energieverbruik in TJ Gemeente'!$B$4:$B$347,0),MATCH(Q$2,'Energieverbruik in TJ Gemeente'!$B$4:$Q$4,0))</f>
        <v>3</v>
      </c>
      <c r="R224">
        <f>INDEX('Energieverbruik in TJ Gemeente'!$B$4:$Q$347,MATCH($C224,'Energieverbruik in TJ Gemeente'!$B$4:$B$347,0),MATCH(R$2,'Energieverbruik in TJ Gemeente'!$B$4:$Q$4,0))</f>
        <v>3</v>
      </c>
      <c r="S224" cm="1">
        <f t="array" ref="S224">MAX(_xlfn._xlws.FILTER(D$1:H$1, D224:H224&lt;&gt;"?"))</f>
        <v>2023</v>
      </c>
      <c r="T224" cm="1">
        <f t="array" ref="T224">MAX(_xlfn._xlws.FILTER(I$1:M$1, I224:M224&lt;&gt;"?"))</f>
        <v>2023</v>
      </c>
      <c r="U224" cm="1">
        <f t="array" ref="U224">MAX(_xlfn._xlws.FILTER(F$1:J$1, F224:J224&lt;&gt;"?"))</f>
        <v>2023</v>
      </c>
      <c r="V224">
        <f t="shared" si="15"/>
        <v>300</v>
      </c>
      <c r="W224">
        <f t="shared" si="16"/>
        <v>35</v>
      </c>
      <c r="X224">
        <f t="shared" si="17"/>
        <v>3</v>
      </c>
      <c r="Y224">
        <f t="shared" si="18"/>
        <v>338</v>
      </c>
      <c r="Z224">
        <f t="shared" si="19"/>
        <v>5.6173239600471991E-4</v>
      </c>
    </row>
    <row r="225" spans="1:26" ht="16" x14ac:dyDescent="0.2">
      <c r="A225" s="4" t="s">
        <v>677</v>
      </c>
      <c r="B225" s="4" t="s">
        <v>678</v>
      </c>
      <c r="C225" s="4" t="s">
        <v>679</v>
      </c>
      <c r="D225" t="str">
        <f>INDEX('Energieverbruik in TJ Gemeente'!$B$4:$Q$347,MATCH($C225,'Energieverbruik in TJ Gemeente'!$B$4:$B$347,0),MATCH(D$2,'Energieverbruik in TJ Gemeente'!$B$4:$Q$4,0))</f>
        <v>?</v>
      </c>
      <c r="E225" t="str">
        <f>INDEX('Energieverbruik in TJ Gemeente'!$B$4:$Q$347,MATCH($C225,'Energieverbruik in TJ Gemeente'!$B$4:$B$347,0),MATCH(E$2,'Energieverbruik in TJ Gemeente'!$B$4:$Q$4,0))</f>
        <v>?</v>
      </c>
      <c r="F225" t="str">
        <f>INDEX('Energieverbruik in TJ Gemeente'!$B$4:$Q$347,MATCH($C225,'Energieverbruik in TJ Gemeente'!$B$4:$B$347,0),MATCH(F$2,'Energieverbruik in TJ Gemeente'!$B$4:$Q$4,0))</f>
        <v>?</v>
      </c>
      <c r="G225">
        <f>INDEX('Energieverbruik in TJ Gemeente'!$B$4:$Q$347,MATCH($C225,'Energieverbruik in TJ Gemeente'!$B$4:$B$347,0),MATCH(G$2,'Energieverbruik in TJ Gemeente'!$B$4:$Q$4,0))</f>
        <v>201</v>
      </c>
      <c r="H225">
        <f>INDEX('Energieverbruik in TJ Gemeente'!$B$4:$Q$347,MATCH($C225,'Energieverbruik in TJ Gemeente'!$B$4:$B$347,0),MATCH(H$2,'Energieverbruik in TJ Gemeente'!$B$4:$Q$4,0))</f>
        <v>167</v>
      </c>
      <c r="I225">
        <f>INDEX('Energieverbruik in TJ Gemeente'!$B$4:$Q$347,MATCH($C225,'Energieverbruik in TJ Gemeente'!$B$4:$B$347,0),MATCH(I$2,'Energieverbruik in TJ Gemeente'!$B$4:$Q$4,0))</f>
        <v>23</v>
      </c>
      <c r="J225">
        <f>INDEX('Energieverbruik in TJ Gemeente'!$B$4:$Q$347,MATCH($C225,'Energieverbruik in TJ Gemeente'!$B$4:$B$347,0),MATCH(J$2,'Energieverbruik in TJ Gemeente'!$B$4:$Q$4,0))</f>
        <v>21</v>
      </c>
      <c r="K225">
        <f>INDEX('Energieverbruik in TJ Gemeente'!$B$4:$Q$347,MATCH($C225,'Energieverbruik in TJ Gemeente'!$B$4:$B$347,0),MATCH(K$2,'Energieverbruik in TJ Gemeente'!$B$4:$Q$4,0))</f>
        <v>21</v>
      </c>
      <c r="L225">
        <f>INDEX('Energieverbruik in TJ Gemeente'!$B$4:$Q$347,MATCH($C225,'Energieverbruik in TJ Gemeente'!$B$4:$B$347,0),MATCH(L$2,'Energieverbruik in TJ Gemeente'!$B$4:$Q$4,0))</f>
        <v>14</v>
      </c>
      <c r="M225">
        <f>INDEX('Energieverbruik in TJ Gemeente'!$B$4:$Q$347,MATCH($C225,'Energieverbruik in TJ Gemeente'!$B$4:$B$347,0),MATCH(M$2,'Energieverbruik in TJ Gemeente'!$B$4:$Q$4,0))</f>
        <v>10</v>
      </c>
      <c r="N225">
        <f>INDEX('Energieverbruik in TJ Gemeente'!$B$4:$Q$347,MATCH($C225,'Energieverbruik in TJ Gemeente'!$B$4:$B$347,0),MATCH(N$2,'Energieverbruik in TJ Gemeente'!$B$4:$Q$4,0))</f>
        <v>9</v>
      </c>
      <c r="O225">
        <f>INDEX('Energieverbruik in TJ Gemeente'!$B$4:$Q$347,MATCH($C225,'Energieverbruik in TJ Gemeente'!$B$4:$B$347,0),MATCH(O$2,'Energieverbruik in TJ Gemeente'!$B$4:$Q$4,0))</f>
        <v>8</v>
      </c>
      <c r="P225">
        <f>INDEX('Energieverbruik in TJ Gemeente'!$B$4:$Q$347,MATCH($C225,'Energieverbruik in TJ Gemeente'!$B$4:$B$347,0),MATCH(P$2,'Energieverbruik in TJ Gemeente'!$B$4:$Q$4,0))</f>
        <v>9</v>
      </c>
      <c r="Q225">
        <f>INDEX('Energieverbruik in TJ Gemeente'!$B$4:$Q$347,MATCH($C225,'Energieverbruik in TJ Gemeente'!$B$4:$B$347,0),MATCH(Q$2,'Energieverbruik in TJ Gemeente'!$B$4:$Q$4,0))</f>
        <v>7</v>
      </c>
      <c r="R225">
        <f>INDEX('Energieverbruik in TJ Gemeente'!$B$4:$Q$347,MATCH($C225,'Energieverbruik in TJ Gemeente'!$B$4:$B$347,0),MATCH(R$2,'Energieverbruik in TJ Gemeente'!$B$4:$Q$4,0))</f>
        <v>6</v>
      </c>
      <c r="S225" cm="1">
        <f t="array" ref="S225">MAX(_xlfn._xlws.FILTER(D$1:H$1, D225:H225&lt;&gt;"?"))</f>
        <v>2023</v>
      </c>
      <c r="T225" cm="1">
        <f t="array" ref="T225">MAX(_xlfn._xlws.FILTER(I$1:M$1, I225:M225&lt;&gt;"?"))</f>
        <v>2023</v>
      </c>
      <c r="U225" cm="1">
        <f t="array" ref="U225">MAX(_xlfn._xlws.FILTER(F$1:J$1, F225:J225&lt;&gt;"?"))</f>
        <v>2023</v>
      </c>
      <c r="V225">
        <f t="shared" si="15"/>
        <v>167</v>
      </c>
      <c r="W225">
        <f t="shared" si="16"/>
        <v>10</v>
      </c>
      <c r="X225">
        <f t="shared" si="17"/>
        <v>6</v>
      </c>
      <c r="Y225">
        <f t="shared" si="18"/>
        <v>183</v>
      </c>
      <c r="Z225">
        <f t="shared" si="19"/>
        <v>3.0413322032208208E-4</v>
      </c>
    </row>
    <row r="226" spans="1:26" ht="16" x14ac:dyDescent="0.2">
      <c r="A226" s="4" t="s">
        <v>680</v>
      </c>
      <c r="B226" s="4" t="s">
        <v>681</v>
      </c>
      <c r="C226" s="4" t="s">
        <v>682</v>
      </c>
      <c r="D226">
        <f>INDEX('Energieverbruik in TJ Gemeente'!$B$4:$Q$347,MATCH($C226,'Energieverbruik in TJ Gemeente'!$B$4:$B$347,0),MATCH(D$2,'Energieverbruik in TJ Gemeente'!$B$4:$Q$4,0))</f>
        <v>1125</v>
      </c>
      <c r="E226">
        <f>INDEX('Energieverbruik in TJ Gemeente'!$B$4:$Q$347,MATCH($C226,'Energieverbruik in TJ Gemeente'!$B$4:$B$347,0),MATCH(E$2,'Energieverbruik in TJ Gemeente'!$B$4:$Q$4,0))</f>
        <v>1111</v>
      </c>
      <c r="F226">
        <f>INDEX('Energieverbruik in TJ Gemeente'!$B$4:$Q$347,MATCH($C226,'Energieverbruik in TJ Gemeente'!$B$4:$B$347,0),MATCH(F$2,'Energieverbruik in TJ Gemeente'!$B$4:$Q$4,0))</f>
        <v>1120</v>
      </c>
      <c r="G226">
        <f>INDEX('Energieverbruik in TJ Gemeente'!$B$4:$Q$347,MATCH($C226,'Energieverbruik in TJ Gemeente'!$B$4:$B$347,0),MATCH(G$2,'Energieverbruik in TJ Gemeente'!$B$4:$Q$4,0))</f>
        <v>970</v>
      </c>
      <c r="H226">
        <f>INDEX('Energieverbruik in TJ Gemeente'!$B$4:$Q$347,MATCH($C226,'Energieverbruik in TJ Gemeente'!$B$4:$B$347,0),MATCH(H$2,'Energieverbruik in TJ Gemeente'!$B$4:$Q$4,0))</f>
        <v>786</v>
      </c>
      <c r="I226">
        <f>INDEX('Energieverbruik in TJ Gemeente'!$B$4:$Q$347,MATCH($C226,'Energieverbruik in TJ Gemeente'!$B$4:$B$347,0),MATCH(I$2,'Energieverbruik in TJ Gemeente'!$B$4:$Q$4,0))</f>
        <v>348</v>
      </c>
      <c r="J226">
        <f>INDEX('Energieverbruik in TJ Gemeente'!$B$4:$Q$347,MATCH($C226,'Energieverbruik in TJ Gemeente'!$B$4:$B$347,0),MATCH(J$2,'Energieverbruik in TJ Gemeente'!$B$4:$Q$4,0))</f>
        <v>342</v>
      </c>
      <c r="K226">
        <f>INDEX('Energieverbruik in TJ Gemeente'!$B$4:$Q$347,MATCH($C226,'Energieverbruik in TJ Gemeente'!$B$4:$B$347,0),MATCH(K$2,'Energieverbruik in TJ Gemeente'!$B$4:$Q$4,0))</f>
        <v>349</v>
      </c>
      <c r="L226">
        <f>INDEX('Energieverbruik in TJ Gemeente'!$B$4:$Q$347,MATCH($C226,'Energieverbruik in TJ Gemeente'!$B$4:$B$347,0),MATCH(L$2,'Energieverbruik in TJ Gemeente'!$B$4:$Q$4,0))</f>
        <v>313</v>
      </c>
      <c r="M226">
        <f>INDEX('Energieverbruik in TJ Gemeente'!$B$4:$Q$347,MATCH($C226,'Energieverbruik in TJ Gemeente'!$B$4:$B$347,0),MATCH(M$2,'Energieverbruik in TJ Gemeente'!$B$4:$Q$4,0))</f>
        <v>305</v>
      </c>
      <c r="N226">
        <f>INDEX('Energieverbruik in TJ Gemeente'!$B$4:$Q$347,MATCH($C226,'Energieverbruik in TJ Gemeente'!$B$4:$B$347,0),MATCH(N$2,'Energieverbruik in TJ Gemeente'!$B$4:$Q$4,0))</f>
        <v>148</v>
      </c>
      <c r="O226">
        <f>INDEX('Energieverbruik in TJ Gemeente'!$B$4:$Q$347,MATCH($C226,'Energieverbruik in TJ Gemeente'!$B$4:$B$347,0),MATCH(O$2,'Energieverbruik in TJ Gemeente'!$B$4:$Q$4,0))</f>
        <v>123</v>
      </c>
      <c r="P226">
        <f>INDEX('Energieverbruik in TJ Gemeente'!$B$4:$Q$347,MATCH($C226,'Energieverbruik in TJ Gemeente'!$B$4:$B$347,0),MATCH(P$2,'Energieverbruik in TJ Gemeente'!$B$4:$Q$4,0))</f>
        <v>131</v>
      </c>
      <c r="Q226">
        <f>INDEX('Energieverbruik in TJ Gemeente'!$B$4:$Q$347,MATCH($C226,'Energieverbruik in TJ Gemeente'!$B$4:$B$347,0),MATCH(Q$2,'Energieverbruik in TJ Gemeente'!$B$4:$Q$4,0))</f>
        <v>86</v>
      </c>
      <c r="R226">
        <f>INDEX('Energieverbruik in TJ Gemeente'!$B$4:$Q$347,MATCH($C226,'Energieverbruik in TJ Gemeente'!$B$4:$B$347,0),MATCH(R$2,'Energieverbruik in TJ Gemeente'!$B$4:$Q$4,0))</f>
        <v>90</v>
      </c>
      <c r="S226" cm="1">
        <f t="array" ref="S226">MAX(_xlfn._xlws.FILTER(D$1:H$1, D226:H226&lt;&gt;"?"))</f>
        <v>2023</v>
      </c>
      <c r="T226" cm="1">
        <f t="array" ref="T226">MAX(_xlfn._xlws.FILTER(I$1:M$1, I226:M226&lt;&gt;"?"))</f>
        <v>2023</v>
      </c>
      <c r="U226" cm="1">
        <f t="array" ref="U226">MAX(_xlfn._xlws.FILTER(F$1:J$1, F226:J226&lt;&gt;"?"))</f>
        <v>2023</v>
      </c>
      <c r="V226">
        <f t="shared" si="15"/>
        <v>786</v>
      </c>
      <c r="W226">
        <f t="shared" si="16"/>
        <v>305</v>
      </c>
      <c r="X226">
        <f t="shared" si="17"/>
        <v>90</v>
      </c>
      <c r="Y226">
        <f t="shared" si="18"/>
        <v>1181</v>
      </c>
      <c r="Z226">
        <f t="shared" si="19"/>
        <v>1.9627395256851306E-3</v>
      </c>
    </row>
    <row r="227" spans="1:26" ht="16" x14ac:dyDescent="0.2">
      <c r="A227" s="4" t="s">
        <v>683</v>
      </c>
      <c r="B227" s="4" t="s">
        <v>684</v>
      </c>
      <c r="C227" s="4" t="s">
        <v>685</v>
      </c>
      <c r="D227">
        <f>INDEX('Energieverbruik in TJ Gemeente'!$B$4:$Q$347,MATCH($C227,'Energieverbruik in TJ Gemeente'!$B$4:$B$347,0),MATCH(D$2,'Energieverbruik in TJ Gemeente'!$B$4:$Q$4,0))</f>
        <v>592</v>
      </c>
      <c r="E227">
        <f>INDEX('Energieverbruik in TJ Gemeente'!$B$4:$Q$347,MATCH($C227,'Energieverbruik in TJ Gemeente'!$B$4:$B$347,0),MATCH(E$2,'Energieverbruik in TJ Gemeente'!$B$4:$Q$4,0))</f>
        <v>581</v>
      </c>
      <c r="F227">
        <f>INDEX('Energieverbruik in TJ Gemeente'!$B$4:$Q$347,MATCH($C227,'Energieverbruik in TJ Gemeente'!$B$4:$B$347,0),MATCH(F$2,'Energieverbruik in TJ Gemeente'!$B$4:$Q$4,0))</f>
        <v>599</v>
      </c>
      <c r="G227" t="str">
        <f>INDEX('Energieverbruik in TJ Gemeente'!$B$4:$Q$347,MATCH($C227,'Energieverbruik in TJ Gemeente'!$B$4:$B$347,0),MATCH(G$2,'Energieverbruik in TJ Gemeente'!$B$4:$Q$4,0))</f>
        <v>?</v>
      </c>
      <c r="H227" t="str">
        <f>INDEX('Energieverbruik in TJ Gemeente'!$B$4:$Q$347,MATCH($C227,'Energieverbruik in TJ Gemeente'!$B$4:$B$347,0),MATCH(H$2,'Energieverbruik in TJ Gemeente'!$B$4:$Q$4,0))</f>
        <v>?</v>
      </c>
      <c r="I227">
        <f>INDEX('Energieverbruik in TJ Gemeente'!$B$4:$Q$347,MATCH($C227,'Energieverbruik in TJ Gemeente'!$B$4:$B$347,0),MATCH(I$2,'Energieverbruik in TJ Gemeente'!$B$4:$Q$4,0))</f>
        <v>109</v>
      </c>
      <c r="J227">
        <f>INDEX('Energieverbruik in TJ Gemeente'!$B$4:$Q$347,MATCH($C227,'Energieverbruik in TJ Gemeente'!$B$4:$B$347,0),MATCH(J$2,'Energieverbruik in TJ Gemeente'!$B$4:$Q$4,0))</f>
        <v>107</v>
      </c>
      <c r="K227">
        <f>INDEX('Energieverbruik in TJ Gemeente'!$B$4:$Q$347,MATCH($C227,'Energieverbruik in TJ Gemeente'!$B$4:$B$347,0),MATCH(K$2,'Energieverbruik in TJ Gemeente'!$B$4:$Q$4,0))</f>
        <v>104</v>
      </c>
      <c r="L227" t="str">
        <f>INDEX('Energieverbruik in TJ Gemeente'!$B$4:$Q$347,MATCH($C227,'Energieverbruik in TJ Gemeente'!$B$4:$B$347,0),MATCH(L$2,'Energieverbruik in TJ Gemeente'!$B$4:$Q$4,0))</f>
        <v>?</v>
      </c>
      <c r="M227" t="str">
        <f>INDEX('Energieverbruik in TJ Gemeente'!$B$4:$Q$347,MATCH($C227,'Energieverbruik in TJ Gemeente'!$B$4:$B$347,0),MATCH(M$2,'Energieverbruik in TJ Gemeente'!$B$4:$Q$4,0))</f>
        <v>?</v>
      </c>
      <c r="N227" t="str">
        <f>INDEX('Energieverbruik in TJ Gemeente'!$B$4:$Q$347,MATCH($C227,'Energieverbruik in TJ Gemeente'!$B$4:$B$347,0),MATCH(N$2,'Energieverbruik in TJ Gemeente'!$B$4:$Q$4,0))</f>
        <v>?</v>
      </c>
      <c r="O227" t="str">
        <f>INDEX('Energieverbruik in TJ Gemeente'!$B$4:$Q$347,MATCH($C227,'Energieverbruik in TJ Gemeente'!$B$4:$B$347,0),MATCH(O$2,'Energieverbruik in TJ Gemeente'!$B$4:$Q$4,0))</f>
        <v>?</v>
      </c>
      <c r="P227" t="str">
        <f>INDEX('Energieverbruik in TJ Gemeente'!$B$4:$Q$347,MATCH($C227,'Energieverbruik in TJ Gemeente'!$B$4:$B$347,0),MATCH(P$2,'Energieverbruik in TJ Gemeente'!$B$4:$Q$4,0))</f>
        <v>?</v>
      </c>
      <c r="Q227" t="str">
        <f>INDEX('Energieverbruik in TJ Gemeente'!$B$4:$Q$347,MATCH($C227,'Energieverbruik in TJ Gemeente'!$B$4:$B$347,0),MATCH(Q$2,'Energieverbruik in TJ Gemeente'!$B$4:$Q$4,0))</f>
        <v>?</v>
      </c>
      <c r="R227" t="str">
        <f>INDEX('Energieverbruik in TJ Gemeente'!$B$4:$Q$347,MATCH($C227,'Energieverbruik in TJ Gemeente'!$B$4:$B$347,0),MATCH(R$2,'Energieverbruik in TJ Gemeente'!$B$4:$Q$4,0))</f>
        <v>?</v>
      </c>
      <c r="S227" cm="1">
        <f t="array" ref="S227">MAX(_xlfn._xlws.FILTER(D$1:H$1, D227:H227&lt;&gt;"?"))</f>
        <v>2021</v>
      </c>
      <c r="T227" cm="1">
        <f t="array" ref="T227">MAX(_xlfn._xlws.FILTER(I$1:M$1, I227:M227&lt;&gt;"?"))</f>
        <v>2021</v>
      </c>
      <c r="U227" cm="1">
        <f t="array" ref="U227">MAX(_xlfn._xlws.FILTER(F$1:J$1, F227:J227&lt;&gt;"?"))</f>
        <v>2021</v>
      </c>
      <c r="V227">
        <f t="shared" si="15"/>
        <v>599</v>
      </c>
      <c r="W227">
        <f t="shared" si="16"/>
        <v>104</v>
      </c>
      <c r="X227" t="str">
        <f t="shared" si="17"/>
        <v>?</v>
      </c>
      <c r="Y227">
        <f t="shared" si="18"/>
        <v>703</v>
      </c>
      <c r="Z227">
        <f t="shared" si="19"/>
        <v>1.1683369064831896E-3</v>
      </c>
    </row>
    <row r="228" spans="1:26" ht="16" x14ac:dyDescent="0.2">
      <c r="A228" s="4" t="s">
        <v>686</v>
      </c>
      <c r="B228" s="4" t="s">
        <v>687</v>
      </c>
      <c r="C228" s="4" t="s">
        <v>688</v>
      </c>
      <c r="D228">
        <f>INDEX('Energieverbruik in TJ Gemeente'!$B$4:$Q$347,MATCH($C228,'Energieverbruik in TJ Gemeente'!$B$4:$B$347,0),MATCH(D$2,'Energieverbruik in TJ Gemeente'!$B$4:$Q$4,0))</f>
        <v>1138</v>
      </c>
      <c r="E228">
        <f>INDEX('Energieverbruik in TJ Gemeente'!$B$4:$Q$347,MATCH($C228,'Energieverbruik in TJ Gemeente'!$B$4:$B$347,0),MATCH(E$2,'Energieverbruik in TJ Gemeente'!$B$4:$Q$4,0))</f>
        <v>1097</v>
      </c>
      <c r="F228">
        <f>INDEX('Energieverbruik in TJ Gemeente'!$B$4:$Q$347,MATCH($C228,'Energieverbruik in TJ Gemeente'!$B$4:$B$347,0),MATCH(F$2,'Energieverbruik in TJ Gemeente'!$B$4:$Q$4,0))</f>
        <v>1093</v>
      </c>
      <c r="G228" t="str">
        <f>INDEX('Energieverbruik in TJ Gemeente'!$B$4:$Q$347,MATCH($C228,'Energieverbruik in TJ Gemeente'!$B$4:$B$347,0),MATCH(G$2,'Energieverbruik in TJ Gemeente'!$B$4:$Q$4,0))</f>
        <v>?</v>
      </c>
      <c r="H228" t="str">
        <f>INDEX('Energieverbruik in TJ Gemeente'!$B$4:$Q$347,MATCH($C228,'Energieverbruik in TJ Gemeente'!$B$4:$B$347,0),MATCH(H$2,'Energieverbruik in TJ Gemeente'!$B$4:$Q$4,0))</f>
        <v>?</v>
      </c>
      <c r="I228">
        <f>INDEX('Energieverbruik in TJ Gemeente'!$B$4:$Q$347,MATCH($C228,'Energieverbruik in TJ Gemeente'!$B$4:$B$347,0),MATCH(I$2,'Energieverbruik in TJ Gemeente'!$B$4:$Q$4,0))</f>
        <v>462</v>
      </c>
      <c r="J228">
        <f>INDEX('Energieverbruik in TJ Gemeente'!$B$4:$Q$347,MATCH($C228,'Energieverbruik in TJ Gemeente'!$B$4:$B$347,0),MATCH(J$2,'Energieverbruik in TJ Gemeente'!$B$4:$Q$4,0))</f>
        <v>508</v>
      </c>
      <c r="K228">
        <f>INDEX('Energieverbruik in TJ Gemeente'!$B$4:$Q$347,MATCH($C228,'Energieverbruik in TJ Gemeente'!$B$4:$B$347,0),MATCH(K$2,'Energieverbruik in TJ Gemeente'!$B$4:$Q$4,0))</f>
        <v>489</v>
      </c>
      <c r="L228" t="str">
        <f>INDEX('Energieverbruik in TJ Gemeente'!$B$4:$Q$347,MATCH($C228,'Energieverbruik in TJ Gemeente'!$B$4:$B$347,0),MATCH(L$2,'Energieverbruik in TJ Gemeente'!$B$4:$Q$4,0))</f>
        <v>?</v>
      </c>
      <c r="M228" t="str">
        <f>INDEX('Energieverbruik in TJ Gemeente'!$B$4:$Q$347,MATCH($C228,'Energieverbruik in TJ Gemeente'!$B$4:$B$347,0),MATCH(M$2,'Energieverbruik in TJ Gemeente'!$B$4:$Q$4,0))</f>
        <v>?</v>
      </c>
      <c r="N228">
        <f>INDEX('Energieverbruik in TJ Gemeente'!$B$4:$Q$347,MATCH($C228,'Energieverbruik in TJ Gemeente'!$B$4:$B$347,0),MATCH(N$2,'Energieverbruik in TJ Gemeente'!$B$4:$Q$4,0))</f>
        <v>3717</v>
      </c>
      <c r="O228" t="str">
        <f>INDEX('Energieverbruik in TJ Gemeente'!$B$4:$Q$347,MATCH($C228,'Energieverbruik in TJ Gemeente'!$B$4:$B$347,0),MATCH(O$2,'Energieverbruik in TJ Gemeente'!$B$4:$Q$4,0))</f>
        <v>?</v>
      </c>
      <c r="P228" t="str">
        <f>INDEX('Energieverbruik in TJ Gemeente'!$B$4:$Q$347,MATCH($C228,'Energieverbruik in TJ Gemeente'!$B$4:$B$347,0),MATCH(P$2,'Energieverbruik in TJ Gemeente'!$B$4:$Q$4,0))</f>
        <v>?</v>
      </c>
      <c r="Q228">
        <f>INDEX('Energieverbruik in TJ Gemeente'!$B$4:$Q$347,MATCH($C228,'Energieverbruik in TJ Gemeente'!$B$4:$B$347,0),MATCH(Q$2,'Energieverbruik in TJ Gemeente'!$B$4:$Q$4,0))</f>
        <v>2382</v>
      </c>
      <c r="R228">
        <f>INDEX('Energieverbruik in TJ Gemeente'!$B$4:$Q$347,MATCH($C228,'Energieverbruik in TJ Gemeente'!$B$4:$B$347,0),MATCH(R$2,'Energieverbruik in TJ Gemeente'!$B$4:$Q$4,0))</f>
        <v>2565</v>
      </c>
      <c r="S228" cm="1">
        <f t="array" ref="S228">MAX(_xlfn._xlws.FILTER(D$1:H$1, D228:H228&lt;&gt;"?"))</f>
        <v>2021</v>
      </c>
      <c r="T228" cm="1">
        <f t="array" ref="T228">MAX(_xlfn._xlws.FILTER(I$1:M$1, I228:M228&lt;&gt;"?"))</f>
        <v>2021</v>
      </c>
      <c r="U228" cm="1">
        <f t="array" ref="U228">MAX(_xlfn._xlws.FILTER(F$1:J$1, F228:J228&lt;&gt;"?"))</f>
        <v>2021</v>
      </c>
      <c r="V228">
        <f t="shared" si="15"/>
        <v>1093</v>
      </c>
      <c r="W228">
        <f t="shared" si="16"/>
        <v>489</v>
      </c>
      <c r="X228" t="str">
        <f t="shared" si="17"/>
        <v>?</v>
      </c>
      <c r="Y228">
        <f t="shared" si="18"/>
        <v>1582</v>
      </c>
      <c r="Z228">
        <f t="shared" si="19"/>
        <v>2.6291735221286002E-3</v>
      </c>
    </row>
    <row r="229" spans="1:26" ht="16" x14ac:dyDescent="0.2">
      <c r="A229" s="4" t="s">
        <v>689</v>
      </c>
      <c r="B229" s="4" t="s">
        <v>690</v>
      </c>
      <c r="C229" s="4" t="s">
        <v>691</v>
      </c>
      <c r="D229">
        <f>INDEX('Energieverbruik in TJ Gemeente'!$B$4:$Q$347,MATCH($C229,'Energieverbruik in TJ Gemeente'!$B$4:$B$347,0),MATCH(D$2,'Energieverbruik in TJ Gemeente'!$B$4:$Q$4,0))</f>
        <v>350</v>
      </c>
      <c r="E229">
        <f>INDEX('Energieverbruik in TJ Gemeente'!$B$4:$Q$347,MATCH($C229,'Energieverbruik in TJ Gemeente'!$B$4:$B$347,0),MATCH(E$2,'Energieverbruik in TJ Gemeente'!$B$4:$Q$4,0))</f>
        <v>346</v>
      </c>
      <c r="F229">
        <f>INDEX('Energieverbruik in TJ Gemeente'!$B$4:$Q$347,MATCH($C229,'Energieverbruik in TJ Gemeente'!$B$4:$B$347,0),MATCH(F$2,'Energieverbruik in TJ Gemeente'!$B$4:$Q$4,0))</f>
        <v>340</v>
      </c>
      <c r="G229">
        <f>INDEX('Energieverbruik in TJ Gemeente'!$B$4:$Q$347,MATCH($C229,'Energieverbruik in TJ Gemeente'!$B$4:$B$347,0),MATCH(G$2,'Energieverbruik in TJ Gemeente'!$B$4:$Q$4,0))</f>
        <v>298</v>
      </c>
      <c r="H229">
        <f>INDEX('Energieverbruik in TJ Gemeente'!$B$4:$Q$347,MATCH($C229,'Energieverbruik in TJ Gemeente'!$B$4:$B$347,0),MATCH(H$2,'Energieverbruik in TJ Gemeente'!$B$4:$Q$4,0))</f>
        <v>241</v>
      </c>
      <c r="I229">
        <f>INDEX('Energieverbruik in TJ Gemeente'!$B$4:$Q$347,MATCH($C229,'Energieverbruik in TJ Gemeente'!$B$4:$B$347,0),MATCH(I$2,'Energieverbruik in TJ Gemeente'!$B$4:$Q$4,0))</f>
        <v>372</v>
      </c>
      <c r="J229">
        <f>INDEX('Energieverbruik in TJ Gemeente'!$B$4:$Q$347,MATCH($C229,'Energieverbruik in TJ Gemeente'!$B$4:$B$347,0),MATCH(J$2,'Energieverbruik in TJ Gemeente'!$B$4:$Q$4,0))</f>
        <v>348</v>
      </c>
      <c r="K229">
        <f>INDEX('Energieverbruik in TJ Gemeente'!$B$4:$Q$347,MATCH($C229,'Energieverbruik in TJ Gemeente'!$B$4:$B$347,0),MATCH(K$2,'Energieverbruik in TJ Gemeente'!$B$4:$Q$4,0))</f>
        <v>364</v>
      </c>
      <c r="L229">
        <f>INDEX('Energieverbruik in TJ Gemeente'!$B$4:$Q$347,MATCH($C229,'Energieverbruik in TJ Gemeente'!$B$4:$B$347,0),MATCH(L$2,'Energieverbruik in TJ Gemeente'!$B$4:$Q$4,0))</f>
        <v>355</v>
      </c>
      <c r="M229">
        <f>INDEX('Energieverbruik in TJ Gemeente'!$B$4:$Q$347,MATCH($C229,'Energieverbruik in TJ Gemeente'!$B$4:$B$347,0),MATCH(M$2,'Energieverbruik in TJ Gemeente'!$B$4:$Q$4,0))</f>
        <v>309</v>
      </c>
      <c r="N229">
        <f>INDEX('Energieverbruik in TJ Gemeente'!$B$4:$Q$347,MATCH($C229,'Energieverbruik in TJ Gemeente'!$B$4:$B$347,0),MATCH(N$2,'Energieverbruik in TJ Gemeente'!$B$4:$Q$4,0))</f>
        <v>6</v>
      </c>
      <c r="O229">
        <f>INDEX('Energieverbruik in TJ Gemeente'!$B$4:$Q$347,MATCH($C229,'Energieverbruik in TJ Gemeente'!$B$4:$B$347,0),MATCH(O$2,'Energieverbruik in TJ Gemeente'!$B$4:$Q$4,0))</f>
        <v>5</v>
      </c>
      <c r="P229">
        <f>INDEX('Energieverbruik in TJ Gemeente'!$B$4:$Q$347,MATCH($C229,'Energieverbruik in TJ Gemeente'!$B$4:$B$347,0),MATCH(P$2,'Energieverbruik in TJ Gemeente'!$B$4:$Q$4,0))</f>
        <v>5</v>
      </c>
      <c r="Q229">
        <f>INDEX('Energieverbruik in TJ Gemeente'!$B$4:$Q$347,MATCH($C229,'Energieverbruik in TJ Gemeente'!$B$4:$B$347,0),MATCH(Q$2,'Energieverbruik in TJ Gemeente'!$B$4:$Q$4,0))</f>
        <v>4</v>
      </c>
      <c r="R229">
        <f>INDEX('Energieverbruik in TJ Gemeente'!$B$4:$Q$347,MATCH($C229,'Energieverbruik in TJ Gemeente'!$B$4:$B$347,0),MATCH(R$2,'Energieverbruik in TJ Gemeente'!$B$4:$Q$4,0))</f>
        <v>3</v>
      </c>
      <c r="S229" cm="1">
        <f t="array" ref="S229">MAX(_xlfn._xlws.FILTER(D$1:H$1, D229:H229&lt;&gt;"?"))</f>
        <v>2023</v>
      </c>
      <c r="T229" cm="1">
        <f t="array" ref="T229">MAX(_xlfn._xlws.FILTER(I$1:M$1, I229:M229&lt;&gt;"?"))</f>
        <v>2023</v>
      </c>
      <c r="U229" cm="1">
        <f t="array" ref="U229">MAX(_xlfn._xlws.FILTER(F$1:J$1, F229:J229&lt;&gt;"?"))</f>
        <v>2023</v>
      </c>
      <c r="V229">
        <f t="shared" si="15"/>
        <v>241</v>
      </c>
      <c r="W229">
        <f t="shared" si="16"/>
        <v>309</v>
      </c>
      <c r="X229">
        <f t="shared" si="17"/>
        <v>3</v>
      </c>
      <c r="Y229">
        <f t="shared" si="18"/>
        <v>553</v>
      </c>
      <c r="Z229">
        <f t="shared" si="19"/>
        <v>9.1904738162902394E-4</v>
      </c>
    </row>
    <row r="230" spans="1:26" ht="32" x14ac:dyDescent="0.2">
      <c r="A230" s="4" t="s">
        <v>692</v>
      </c>
      <c r="B230" s="4" t="s">
        <v>693</v>
      </c>
      <c r="C230" s="4" t="s">
        <v>694</v>
      </c>
      <c r="D230">
        <f>INDEX('Energieverbruik in TJ Gemeente'!$B$4:$Q$347,MATCH($C230,'Energieverbruik in TJ Gemeente'!$B$4:$B$347,0),MATCH(D$2,'Energieverbruik in TJ Gemeente'!$B$4:$Q$4,0))</f>
        <v>869</v>
      </c>
      <c r="E230">
        <f>INDEX('Energieverbruik in TJ Gemeente'!$B$4:$Q$347,MATCH($C230,'Energieverbruik in TJ Gemeente'!$B$4:$B$347,0),MATCH(E$2,'Energieverbruik in TJ Gemeente'!$B$4:$Q$4,0))</f>
        <v>884</v>
      </c>
      <c r="F230">
        <f>INDEX('Energieverbruik in TJ Gemeente'!$B$4:$Q$347,MATCH($C230,'Energieverbruik in TJ Gemeente'!$B$4:$B$347,0),MATCH(F$2,'Energieverbruik in TJ Gemeente'!$B$4:$Q$4,0))</f>
        <v>871</v>
      </c>
      <c r="G230">
        <f>INDEX('Energieverbruik in TJ Gemeente'!$B$4:$Q$347,MATCH($C230,'Energieverbruik in TJ Gemeente'!$B$4:$B$347,0),MATCH(G$2,'Energieverbruik in TJ Gemeente'!$B$4:$Q$4,0))</f>
        <v>749</v>
      </c>
      <c r="H230">
        <f>INDEX('Energieverbruik in TJ Gemeente'!$B$4:$Q$347,MATCH($C230,'Energieverbruik in TJ Gemeente'!$B$4:$B$347,0),MATCH(H$2,'Energieverbruik in TJ Gemeente'!$B$4:$Q$4,0))</f>
        <v>637</v>
      </c>
      <c r="I230">
        <f>INDEX('Energieverbruik in TJ Gemeente'!$B$4:$Q$347,MATCH($C230,'Energieverbruik in TJ Gemeente'!$B$4:$B$347,0),MATCH(I$2,'Energieverbruik in TJ Gemeente'!$B$4:$Q$4,0))</f>
        <v>18</v>
      </c>
      <c r="J230">
        <f>INDEX('Energieverbruik in TJ Gemeente'!$B$4:$Q$347,MATCH($C230,'Energieverbruik in TJ Gemeente'!$B$4:$B$347,0),MATCH(J$2,'Energieverbruik in TJ Gemeente'!$B$4:$Q$4,0))</f>
        <v>16</v>
      </c>
      <c r="K230">
        <f>INDEX('Energieverbruik in TJ Gemeente'!$B$4:$Q$347,MATCH($C230,'Energieverbruik in TJ Gemeente'!$B$4:$B$347,0),MATCH(K$2,'Energieverbruik in TJ Gemeente'!$B$4:$Q$4,0))</f>
        <v>19</v>
      </c>
      <c r="L230">
        <f>INDEX('Energieverbruik in TJ Gemeente'!$B$4:$Q$347,MATCH($C230,'Energieverbruik in TJ Gemeente'!$B$4:$B$347,0),MATCH(L$2,'Energieverbruik in TJ Gemeente'!$B$4:$Q$4,0))</f>
        <v>14</v>
      </c>
      <c r="M230">
        <f>INDEX('Energieverbruik in TJ Gemeente'!$B$4:$Q$347,MATCH($C230,'Energieverbruik in TJ Gemeente'!$B$4:$B$347,0),MATCH(M$2,'Energieverbruik in TJ Gemeente'!$B$4:$Q$4,0))</f>
        <v>12</v>
      </c>
      <c r="N230">
        <f>INDEX('Energieverbruik in TJ Gemeente'!$B$4:$Q$347,MATCH($C230,'Energieverbruik in TJ Gemeente'!$B$4:$B$347,0),MATCH(N$2,'Energieverbruik in TJ Gemeente'!$B$4:$Q$4,0))</f>
        <v>3648</v>
      </c>
      <c r="O230">
        <f>INDEX('Energieverbruik in TJ Gemeente'!$B$4:$Q$347,MATCH($C230,'Energieverbruik in TJ Gemeente'!$B$4:$B$347,0),MATCH(O$2,'Energieverbruik in TJ Gemeente'!$B$4:$Q$4,0))</f>
        <v>3438</v>
      </c>
      <c r="P230">
        <f>INDEX('Energieverbruik in TJ Gemeente'!$B$4:$Q$347,MATCH($C230,'Energieverbruik in TJ Gemeente'!$B$4:$B$347,0),MATCH(P$2,'Energieverbruik in TJ Gemeente'!$B$4:$Q$4,0))</f>
        <v>3533</v>
      </c>
      <c r="Q230">
        <f>INDEX('Energieverbruik in TJ Gemeente'!$B$4:$Q$347,MATCH($C230,'Energieverbruik in TJ Gemeente'!$B$4:$B$347,0),MATCH(Q$2,'Energieverbruik in TJ Gemeente'!$B$4:$Q$4,0))</f>
        <v>2154</v>
      </c>
      <c r="R230">
        <f>INDEX('Energieverbruik in TJ Gemeente'!$B$4:$Q$347,MATCH($C230,'Energieverbruik in TJ Gemeente'!$B$4:$B$347,0),MATCH(R$2,'Energieverbruik in TJ Gemeente'!$B$4:$Q$4,0))</f>
        <v>2643</v>
      </c>
      <c r="S230" cm="1">
        <f t="array" ref="S230">MAX(_xlfn._xlws.FILTER(D$1:H$1, D230:H230&lt;&gt;"?"))</f>
        <v>2023</v>
      </c>
      <c r="T230" cm="1">
        <f t="array" ref="T230">MAX(_xlfn._xlws.FILTER(I$1:M$1, I230:M230&lt;&gt;"?"))</f>
        <v>2023</v>
      </c>
      <c r="U230" cm="1">
        <f t="array" ref="U230">MAX(_xlfn._xlws.FILTER(F$1:J$1, F230:J230&lt;&gt;"?"))</f>
        <v>2023</v>
      </c>
      <c r="V230">
        <f t="shared" si="15"/>
        <v>637</v>
      </c>
      <c r="W230">
        <f t="shared" si="16"/>
        <v>12</v>
      </c>
      <c r="X230">
        <f t="shared" si="17"/>
        <v>2643</v>
      </c>
      <c r="Y230">
        <f t="shared" si="18"/>
        <v>3292</v>
      </c>
      <c r="Z230">
        <f t="shared" si="19"/>
        <v>5.4710741054660884E-3</v>
      </c>
    </row>
    <row r="231" spans="1:26" ht="16" x14ac:dyDescent="0.2">
      <c r="A231" s="4" t="s">
        <v>695</v>
      </c>
      <c r="B231" s="4" t="s">
        <v>696</v>
      </c>
      <c r="C231" s="4" t="s">
        <v>697</v>
      </c>
      <c r="D231" t="str">
        <f>INDEX('Energieverbruik in TJ Gemeente'!$B$4:$Q$347,MATCH($C231,'Energieverbruik in TJ Gemeente'!$B$4:$B$347,0),MATCH(D$2,'Energieverbruik in TJ Gemeente'!$B$4:$Q$4,0))</f>
        <v>?</v>
      </c>
      <c r="E231" t="str">
        <f>INDEX('Energieverbruik in TJ Gemeente'!$B$4:$Q$347,MATCH($C231,'Energieverbruik in TJ Gemeente'!$B$4:$B$347,0),MATCH(E$2,'Energieverbruik in TJ Gemeente'!$B$4:$Q$4,0))</f>
        <v>?</v>
      </c>
      <c r="F231" t="str">
        <f>INDEX('Energieverbruik in TJ Gemeente'!$B$4:$Q$347,MATCH($C231,'Energieverbruik in TJ Gemeente'!$B$4:$B$347,0),MATCH(F$2,'Energieverbruik in TJ Gemeente'!$B$4:$Q$4,0))</f>
        <v>?</v>
      </c>
      <c r="G231">
        <f>INDEX('Energieverbruik in TJ Gemeente'!$B$4:$Q$347,MATCH($C231,'Energieverbruik in TJ Gemeente'!$B$4:$B$347,0),MATCH(G$2,'Energieverbruik in TJ Gemeente'!$B$4:$Q$4,0))</f>
        <v>709</v>
      </c>
      <c r="H231">
        <f>INDEX('Energieverbruik in TJ Gemeente'!$B$4:$Q$347,MATCH($C231,'Energieverbruik in TJ Gemeente'!$B$4:$B$347,0),MATCH(H$2,'Energieverbruik in TJ Gemeente'!$B$4:$Q$4,0))</f>
        <v>597</v>
      </c>
      <c r="I231" t="str">
        <f>INDEX('Energieverbruik in TJ Gemeente'!$B$4:$Q$347,MATCH($C231,'Energieverbruik in TJ Gemeente'!$B$4:$B$347,0),MATCH(I$2,'Energieverbruik in TJ Gemeente'!$B$4:$Q$4,0))</f>
        <v>?</v>
      </c>
      <c r="J231" t="str">
        <f>INDEX('Energieverbruik in TJ Gemeente'!$B$4:$Q$347,MATCH($C231,'Energieverbruik in TJ Gemeente'!$B$4:$B$347,0),MATCH(J$2,'Energieverbruik in TJ Gemeente'!$B$4:$Q$4,0))</f>
        <v>?</v>
      </c>
      <c r="K231" t="str">
        <f>INDEX('Energieverbruik in TJ Gemeente'!$B$4:$Q$347,MATCH($C231,'Energieverbruik in TJ Gemeente'!$B$4:$B$347,0),MATCH(K$2,'Energieverbruik in TJ Gemeente'!$B$4:$Q$4,0))</f>
        <v>?</v>
      </c>
      <c r="L231" t="str">
        <f>INDEX('Energieverbruik in TJ Gemeente'!$B$4:$Q$347,MATCH($C231,'Energieverbruik in TJ Gemeente'!$B$4:$B$347,0),MATCH(L$2,'Energieverbruik in TJ Gemeente'!$B$4:$Q$4,0))</f>
        <v>?</v>
      </c>
      <c r="M231" t="str">
        <f>INDEX('Energieverbruik in TJ Gemeente'!$B$4:$Q$347,MATCH($C231,'Energieverbruik in TJ Gemeente'!$B$4:$B$347,0),MATCH(M$2,'Energieverbruik in TJ Gemeente'!$B$4:$Q$4,0))</f>
        <v>?</v>
      </c>
      <c r="N231" t="str">
        <f>INDEX('Energieverbruik in TJ Gemeente'!$B$4:$Q$347,MATCH($C231,'Energieverbruik in TJ Gemeente'!$B$4:$B$347,0),MATCH(N$2,'Energieverbruik in TJ Gemeente'!$B$4:$Q$4,0))</f>
        <v>?</v>
      </c>
      <c r="O231" t="str">
        <f>INDEX('Energieverbruik in TJ Gemeente'!$B$4:$Q$347,MATCH($C231,'Energieverbruik in TJ Gemeente'!$B$4:$B$347,0),MATCH(O$2,'Energieverbruik in TJ Gemeente'!$B$4:$Q$4,0))</f>
        <v>?</v>
      </c>
      <c r="P231" t="str">
        <f>INDEX('Energieverbruik in TJ Gemeente'!$B$4:$Q$347,MATCH($C231,'Energieverbruik in TJ Gemeente'!$B$4:$B$347,0),MATCH(P$2,'Energieverbruik in TJ Gemeente'!$B$4:$Q$4,0))</f>
        <v>?</v>
      </c>
      <c r="Q231">
        <f>INDEX('Energieverbruik in TJ Gemeente'!$B$4:$Q$347,MATCH($C231,'Energieverbruik in TJ Gemeente'!$B$4:$B$347,0),MATCH(Q$2,'Energieverbruik in TJ Gemeente'!$B$4:$Q$4,0))</f>
        <v>76</v>
      </c>
      <c r="R231">
        <f>INDEX('Energieverbruik in TJ Gemeente'!$B$4:$Q$347,MATCH($C231,'Energieverbruik in TJ Gemeente'!$B$4:$B$347,0),MATCH(R$2,'Energieverbruik in TJ Gemeente'!$B$4:$Q$4,0))</f>
        <v>91</v>
      </c>
      <c r="S231" cm="1">
        <f t="array" ref="S231">MAX(_xlfn._xlws.FILTER(D$1:H$1, D231:H231&lt;&gt;"?"))</f>
        <v>2023</v>
      </c>
      <c r="T231" t="e" cm="1" vm="1">
        <f t="array" ref="T231">MAX(_xlfn._xlws.FILTER(I$1:M$1, I231:M231&lt;&gt;"?"))</f>
        <v>#VALUE!</v>
      </c>
      <c r="U231" cm="1">
        <f t="array" ref="U231">MAX(_xlfn._xlws.FILTER(F$1:J$1, F231:J231&lt;&gt;"?"))</f>
        <v>2023</v>
      </c>
      <c r="V231">
        <f t="shared" si="15"/>
        <v>597</v>
      </c>
      <c r="W231">
        <f t="shared" si="16"/>
        <v>0</v>
      </c>
      <c r="X231">
        <f t="shared" si="17"/>
        <v>91</v>
      </c>
      <c r="Y231">
        <f t="shared" si="18"/>
        <v>688</v>
      </c>
      <c r="Z231">
        <f t="shared" si="19"/>
        <v>1.1434079539977731E-3</v>
      </c>
    </row>
    <row r="232" spans="1:26" ht="16" x14ac:dyDescent="0.2">
      <c r="A232" s="4" t="s">
        <v>698</v>
      </c>
      <c r="B232" s="4" t="s">
        <v>699</v>
      </c>
      <c r="C232" s="4" t="s">
        <v>700</v>
      </c>
      <c r="D232">
        <f>INDEX('Energieverbruik in TJ Gemeente'!$B$4:$Q$347,MATCH($C232,'Energieverbruik in TJ Gemeente'!$B$4:$B$347,0),MATCH(D$2,'Energieverbruik in TJ Gemeente'!$B$4:$Q$4,0))</f>
        <v>624</v>
      </c>
      <c r="E232">
        <f>INDEX('Energieverbruik in TJ Gemeente'!$B$4:$Q$347,MATCH($C232,'Energieverbruik in TJ Gemeente'!$B$4:$B$347,0),MATCH(E$2,'Energieverbruik in TJ Gemeente'!$B$4:$Q$4,0))</f>
        <v>587</v>
      </c>
      <c r="F232">
        <f>INDEX('Energieverbruik in TJ Gemeente'!$B$4:$Q$347,MATCH($C232,'Energieverbruik in TJ Gemeente'!$B$4:$B$347,0),MATCH(F$2,'Energieverbruik in TJ Gemeente'!$B$4:$Q$4,0))</f>
        <v>595</v>
      </c>
      <c r="G232">
        <f>INDEX('Energieverbruik in TJ Gemeente'!$B$4:$Q$347,MATCH($C232,'Energieverbruik in TJ Gemeente'!$B$4:$B$347,0),MATCH(G$2,'Energieverbruik in TJ Gemeente'!$B$4:$Q$4,0))</f>
        <v>526</v>
      </c>
      <c r="H232">
        <f>INDEX('Energieverbruik in TJ Gemeente'!$B$4:$Q$347,MATCH($C232,'Energieverbruik in TJ Gemeente'!$B$4:$B$347,0),MATCH(H$2,'Energieverbruik in TJ Gemeente'!$B$4:$Q$4,0))</f>
        <v>436</v>
      </c>
      <c r="I232">
        <f>INDEX('Energieverbruik in TJ Gemeente'!$B$4:$Q$347,MATCH($C232,'Energieverbruik in TJ Gemeente'!$B$4:$B$347,0),MATCH(I$2,'Energieverbruik in TJ Gemeente'!$B$4:$Q$4,0))</f>
        <v>125</v>
      </c>
      <c r="J232">
        <f>INDEX('Energieverbruik in TJ Gemeente'!$B$4:$Q$347,MATCH($C232,'Energieverbruik in TJ Gemeente'!$B$4:$B$347,0),MATCH(J$2,'Energieverbruik in TJ Gemeente'!$B$4:$Q$4,0))</f>
        <v>158</v>
      </c>
      <c r="K232">
        <f>INDEX('Energieverbruik in TJ Gemeente'!$B$4:$Q$347,MATCH($C232,'Energieverbruik in TJ Gemeente'!$B$4:$B$347,0),MATCH(K$2,'Energieverbruik in TJ Gemeente'!$B$4:$Q$4,0))</f>
        <v>156</v>
      </c>
      <c r="L232">
        <f>INDEX('Energieverbruik in TJ Gemeente'!$B$4:$Q$347,MATCH($C232,'Energieverbruik in TJ Gemeente'!$B$4:$B$347,0),MATCH(L$2,'Energieverbruik in TJ Gemeente'!$B$4:$Q$4,0))</f>
        <v>100</v>
      </c>
      <c r="M232">
        <f>INDEX('Energieverbruik in TJ Gemeente'!$B$4:$Q$347,MATCH($C232,'Energieverbruik in TJ Gemeente'!$B$4:$B$347,0),MATCH(M$2,'Energieverbruik in TJ Gemeente'!$B$4:$Q$4,0))</f>
        <v>123</v>
      </c>
      <c r="N232">
        <f>INDEX('Energieverbruik in TJ Gemeente'!$B$4:$Q$347,MATCH($C232,'Energieverbruik in TJ Gemeente'!$B$4:$B$347,0),MATCH(N$2,'Energieverbruik in TJ Gemeente'!$B$4:$Q$4,0))</f>
        <v>38</v>
      </c>
      <c r="O232">
        <f>INDEX('Energieverbruik in TJ Gemeente'!$B$4:$Q$347,MATCH($C232,'Energieverbruik in TJ Gemeente'!$B$4:$B$347,0),MATCH(O$2,'Energieverbruik in TJ Gemeente'!$B$4:$Q$4,0))</f>
        <v>31</v>
      </c>
      <c r="P232">
        <f>INDEX('Energieverbruik in TJ Gemeente'!$B$4:$Q$347,MATCH($C232,'Energieverbruik in TJ Gemeente'!$B$4:$B$347,0),MATCH(P$2,'Energieverbruik in TJ Gemeente'!$B$4:$Q$4,0))</f>
        <v>33</v>
      </c>
      <c r="Q232">
        <f>INDEX('Energieverbruik in TJ Gemeente'!$B$4:$Q$347,MATCH($C232,'Energieverbruik in TJ Gemeente'!$B$4:$B$347,0),MATCH(Q$2,'Energieverbruik in TJ Gemeente'!$B$4:$Q$4,0))</f>
        <v>27</v>
      </c>
      <c r="R232">
        <f>INDEX('Energieverbruik in TJ Gemeente'!$B$4:$Q$347,MATCH($C232,'Energieverbruik in TJ Gemeente'!$B$4:$B$347,0),MATCH(R$2,'Energieverbruik in TJ Gemeente'!$B$4:$Q$4,0))</f>
        <v>22</v>
      </c>
      <c r="S232" cm="1">
        <f t="array" ref="S232">MAX(_xlfn._xlws.FILTER(D$1:H$1, D232:H232&lt;&gt;"?"))</f>
        <v>2023</v>
      </c>
      <c r="T232" cm="1">
        <f t="array" ref="T232">MAX(_xlfn._xlws.FILTER(I$1:M$1, I232:M232&lt;&gt;"?"))</f>
        <v>2023</v>
      </c>
      <c r="U232" cm="1">
        <f t="array" ref="U232">MAX(_xlfn._xlws.FILTER(F$1:J$1, F232:J232&lt;&gt;"?"))</f>
        <v>2023</v>
      </c>
      <c r="V232">
        <f t="shared" si="15"/>
        <v>436</v>
      </c>
      <c r="W232">
        <f t="shared" si="16"/>
        <v>123</v>
      </c>
      <c r="X232">
        <f t="shared" si="17"/>
        <v>22</v>
      </c>
      <c r="Y232">
        <f t="shared" si="18"/>
        <v>581</v>
      </c>
      <c r="Z232">
        <f t="shared" si="19"/>
        <v>9.6558142626846819E-4</v>
      </c>
    </row>
    <row r="233" spans="1:26" ht="16" x14ac:dyDescent="0.2">
      <c r="A233" s="4" t="s">
        <v>701</v>
      </c>
      <c r="B233" s="4" t="s">
        <v>702</v>
      </c>
      <c r="C233" s="4" t="s">
        <v>703</v>
      </c>
      <c r="D233">
        <f>INDEX('Energieverbruik in TJ Gemeente'!$B$4:$Q$347,MATCH($C233,'Energieverbruik in TJ Gemeente'!$B$4:$B$347,0),MATCH(D$2,'Energieverbruik in TJ Gemeente'!$B$4:$Q$4,0))</f>
        <v>946</v>
      </c>
      <c r="E233">
        <f>INDEX('Energieverbruik in TJ Gemeente'!$B$4:$Q$347,MATCH($C233,'Energieverbruik in TJ Gemeente'!$B$4:$B$347,0),MATCH(E$2,'Energieverbruik in TJ Gemeente'!$B$4:$Q$4,0))</f>
        <v>929</v>
      </c>
      <c r="F233">
        <f>INDEX('Energieverbruik in TJ Gemeente'!$B$4:$Q$347,MATCH($C233,'Energieverbruik in TJ Gemeente'!$B$4:$B$347,0),MATCH(F$2,'Energieverbruik in TJ Gemeente'!$B$4:$Q$4,0))</f>
        <v>943</v>
      </c>
      <c r="G233">
        <f>INDEX('Energieverbruik in TJ Gemeente'!$B$4:$Q$347,MATCH($C233,'Energieverbruik in TJ Gemeente'!$B$4:$B$347,0),MATCH(G$2,'Energieverbruik in TJ Gemeente'!$B$4:$Q$4,0))</f>
        <v>822</v>
      </c>
      <c r="H233">
        <f>INDEX('Energieverbruik in TJ Gemeente'!$B$4:$Q$347,MATCH($C233,'Energieverbruik in TJ Gemeente'!$B$4:$B$347,0),MATCH(H$2,'Energieverbruik in TJ Gemeente'!$B$4:$Q$4,0))</f>
        <v>681</v>
      </c>
      <c r="I233">
        <f>INDEX('Energieverbruik in TJ Gemeente'!$B$4:$Q$347,MATCH($C233,'Energieverbruik in TJ Gemeente'!$B$4:$B$347,0),MATCH(I$2,'Energieverbruik in TJ Gemeente'!$B$4:$Q$4,0))</f>
        <v>210</v>
      </c>
      <c r="J233">
        <f>INDEX('Energieverbruik in TJ Gemeente'!$B$4:$Q$347,MATCH($C233,'Energieverbruik in TJ Gemeente'!$B$4:$B$347,0),MATCH(J$2,'Energieverbruik in TJ Gemeente'!$B$4:$Q$4,0))</f>
        <v>228</v>
      </c>
      <c r="K233">
        <f>INDEX('Energieverbruik in TJ Gemeente'!$B$4:$Q$347,MATCH($C233,'Energieverbruik in TJ Gemeente'!$B$4:$B$347,0),MATCH(K$2,'Energieverbruik in TJ Gemeente'!$B$4:$Q$4,0))</f>
        <v>240</v>
      </c>
      <c r="L233">
        <f>INDEX('Energieverbruik in TJ Gemeente'!$B$4:$Q$347,MATCH($C233,'Energieverbruik in TJ Gemeente'!$B$4:$B$347,0),MATCH(L$2,'Energieverbruik in TJ Gemeente'!$B$4:$Q$4,0))</f>
        <v>218</v>
      </c>
      <c r="M233">
        <f>INDEX('Energieverbruik in TJ Gemeente'!$B$4:$Q$347,MATCH($C233,'Energieverbruik in TJ Gemeente'!$B$4:$B$347,0),MATCH(M$2,'Energieverbruik in TJ Gemeente'!$B$4:$Q$4,0))</f>
        <v>217</v>
      </c>
      <c r="N233">
        <f>INDEX('Energieverbruik in TJ Gemeente'!$B$4:$Q$347,MATCH($C233,'Energieverbruik in TJ Gemeente'!$B$4:$B$347,0),MATCH(N$2,'Energieverbruik in TJ Gemeente'!$B$4:$Q$4,0))</f>
        <v>78</v>
      </c>
      <c r="O233">
        <f>INDEX('Energieverbruik in TJ Gemeente'!$B$4:$Q$347,MATCH($C233,'Energieverbruik in TJ Gemeente'!$B$4:$B$347,0),MATCH(O$2,'Energieverbruik in TJ Gemeente'!$B$4:$Q$4,0))</f>
        <v>76</v>
      </c>
      <c r="P233">
        <f>INDEX('Energieverbruik in TJ Gemeente'!$B$4:$Q$347,MATCH($C233,'Energieverbruik in TJ Gemeente'!$B$4:$B$347,0),MATCH(P$2,'Energieverbruik in TJ Gemeente'!$B$4:$Q$4,0))</f>
        <v>80</v>
      </c>
      <c r="Q233">
        <f>INDEX('Energieverbruik in TJ Gemeente'!$B$4:$Q$347,MATCH($C233,'Energieverbruik in TJ Gemeente'!$B$4:$B$347,0),MATCH(Q$2,'Energieverbruik in TJ Gemeente'!$B$4:$Q$4,0))</f>
        <v>62</v>
      </c>
      <c r="R233">
        <f>INDEX('Energieverbruik in TJ Gemeente'!$B$4:$Q$347,MATCH($C233,'Energieverbruik in TJ Gemeente'!$B$4:$B$347,0),MATCH(R$2,'Energieverbruik in TJ Gemeente'!$B$4:$Q$4,0))</f>
        <v>51</v>
      </c>
      <c r="S233" cm="1">
        <f t="array" ref="S233">MAX(_xlfn._xlws.FILTER(D$1:H$1, D233:H233&lt;&gt;"?"))</f>
        <v>2023</v>
      </c>
      <c r="T233" cm="1">
        <f t="array" ref="T233">MAX(_xlfn._xlws.FILTER(I$1:M$1, I233:M233&lt;&gt;"?"))</f>
        <v>2023</v>
      </c>
      <c r="U233" cm="1">
        <f t="array" ref="U233">MAX(_xlfn._xlws.FILTER(F$1:J$1, F233:J233&lt;&gt;"?"))</f>
        <v>2023</v>
      </c>
      <c r="V233">
        <f t="shared" si="15"/>
        <v>681</v>
      </c>
      <c r="W233">
        <f t="shared" si="16"/>
        <v>217</v>
      </c>
      <c r="X233">
        <f t="shared" si="17"/>
        <v>51</v>
      </c>
      <c r="Y233">
        <f t="shared" si="18"/>
        <v>949</v>
      </c>
      <c r="Z233">
        <f t="shared" si="19"/>
        <v>1.5771717272440211E-3</v>
      </c>
    </row>
    <row r="234" spans="1:26" ht="16" x14ac:dyDescent="0.2">
      <c r="A234" s="4" t="s">
        <v>704</v>
      </c>
      <c r="B234" s="4" t="s">
        <v>705</v>
      </c>
      <c r="C234" s="4" t="s">
        <v>706</v>
      </c>
      <c r="D234">
        <f>INDEX('Energieverbruik in TJ Gemeente'!$B$4:$Q$347,MATCH($C234,'Energieverbruik in TJ Gemeente'!$B$4:$B$347,0),MATCH(D$2,'Energieverbruik in TJ Gemeente'!$B$4:$Q$4,0))</f>
        <v>478</v>
      </c>
      <c r="E234">
        <f>INDEX('Energieverbruik in TJ Gemeente'!$B$4:$Q$347,MATCH($C234,'Energieverbruik in TJ Gemeente'!$B$4:$B$347,0),MATCH(E$2,'Energieverbruik in TJ Gemeente'!$B$4:$Q$4,0))</f>
        <v>473</v>
      </c>
      <c r="F234">
        <f>INDEX('Energieverbruik in TJ Gemeente'!$B$4:$Q$347,MATCH($C234,'Energieverbruik in TJ Gemeente'!$B$4:$B$347,0),MATCH(F$2,'Energieverbruik in TJ Gemeente'!$B$4:$Q$4,0))</f>
        <v>489</v>
      </c>
      <c r="G234">
        <f>INDEX('Energieverbruik in TJ Gemeente'!$B$4:$Q$347,MATCH($C234,'Energieverbruik in TJ Gemeente'!$B$4:$B$347,0),MATCH(G$2,'Energieverbruik in TJ Gemeente'!$B$4:$Q$4,0))</f>
        <v>419</v>
      </c>
      <c r="H234">
        <f>INDEX('Energieverbruik in TJ Gemeente'!$B$4:$Q$347,MATCH($C234,'Energieverbruik in TJ Gemeente'!$B$4:$B$347,0),MATCH(H$2,'Energieverbruik in TJ Gemeente'!$B$4:$Q$4,0))</f>
        <v>356</v>
      </c>
      <c r="I234">
        <f>INDEX('Energieverbruik in TJ Gemeente'!$B$4:$Q$347,MATCH($C234,'Energieverbruik in TJ Gemeente'!$B$4:$B$347,0),MATCH(I$2,'Energieverbruik in TJ Gemeente'!$B$4:$Q$4,0))</f>
        <v>994</v>
      </c>
      <c r="J234" t="str">
        <f>INDEX('Energieverbruik in TJ Gemeente'!$B$4:$Q$347,MATCH($C234,'Energieverbruik in TJ Gemeente'!$B$4:$B$347,0),MATCH(J$2,'Energieverbruik in TJ Gemeente'!$B$4:$Q$4,0))</f>
        <v>?</v>
      </c>
      <c r="K234">
        <f>INDEX('Energieverbruik in TJ Gemeente'!$B$4:$Q$347,MATCH($C234,'Energieverbruik in TJ Gemeente'!$B$4:$B$347,0),MATCH(K$2,'Energieverbruik in TJ Gemeente'!$B$4:$Q$4,0))</f>
        <v>983</v>
      </c>
      <c r="L234" t="str">
        <f>INDEX('Energieverbruik in TJ Gemeente'!$B$4:$Q$347,MATCH($C234,'Energieverbruik in TJ Gemeente'!$B$4:$B$347,0),MATCH(L$2,'Energieverbruik in TJ Gemeente'!$B$4:$Q$4,0))</f>
        <v>?</v>
      </c>
      <c r="M234" t="str">
        <f>INDEX('Energieverbruik in TJ Gemeente'!$B$4:$Q$347,MATCH($C234,'Energieverbruik in TJ Gemeente'!$B$4:$B$347,0),MATCH(M$2,'Energieverbruik in TJ Gemeente'!$B$4:$Q$4,0))</f>
        <v>?</v>
      </c>
      <c r="N234" t="str">
        <f>INDEX('Energieverbruik in TJ Gemeente'!$B$4:$Q$347,MATCH($C234,'Energieverbruik in TJ Gemeente'!$B$4:$B$347,0),MATCH(N$2,'Energieverbruik in TJ Gemeente'!$B$4:$Q$4,0))</f>
        <v>?</v>
      </c>
      <c r="O234" t="str">
        <f>INDEX('Energieverbruik in TJ Gemeente'!$B$4:$Q$347,MATCH($C234,'Energieverbruik in TJ Gemeente'!$B$4:$B$347,0),MATCH(O$2,'Energieverbruik in TJ Gemeente'!$B$4:$Q$4,0))</f>
        <v>?</v>
      </c>
      <c r="P234">
        <f>INDEX('Energieverbruik in TJ Gemeente'!$B$4:$Q$347,MATCH($C234,'Energieverbruik in TJ Gemeente'!$B$4:$B$347,0),MATCH(P$2,'Energieverbruik in TJ Gemeente'!$B$4:$Q$4,0))</f>
        <v>1508</v>
      </c>
      <c r="Q234" t="str">
        <f>INDEX('Energieverbruik in TJ Gemeente'!$B$4:$Q$347,MATCH($C234,'Energieverbruik in TJ Gemeente'!$B$4:$B$347,0),MATCH(Q$2,'Energieverbruik in TJ Gemeente'!$B$4:$Q$4,0))</f>
        <v>?</v>
      </c>
      <c r="R234" t="str">
        <f>INDEX('Energieverbruik in TJ Gemeente'!$B$4:$Q$347,MATCH($C234,'Energieverbruik in TJ Gemeente'!$B$4:$B$347,0),MATCH(R$2,'Energieverbruik in TJ Gemeente'!$B$4:$Q$4,0))</f>
        <v>?</v>
      </c>
      <c r="S234" cm="1">
        <f t="array" ref="S234">MAX(_xlfn._xlws.FILTER(D$1:H$1, D234:H234&lt;&gt;"?"))</f>
        <v>2023</v>
      </c>
      <c r="T234" cm="1">
        <f t="array" ref="T234">MAX(_xlfn._xlws.FILTER(I$1:M$1, I234:M234&lt;&gt;"?"))</f>
        <v>2021</v>
      </c>
      <c r="U234" cm="1">
        <f t="array" ref="U234">MAX(_xlfn._xlws.FILTER(F$1:J$1, F234:J234&lt;&gt;"?"))</f>
        <v>2023</v>
      </c>
      <c r="V234">
        <f t="shared" si="15"/>
        <v>356</v>
      </c>
      <c r="W234">
        <f t="shared" si="16"/>
        <v>983</v>
      </c>
      <c r="X234" t="str">
        <f t="shared" si="17"/>
        <v>?</v>
      </c>
      <c r="Y234">
        <f t="shared" si="18"/>
        <v>1339</v>
      </c>
      <c r="Z234">
        <f t="shared" si="19"/>
        <v>2.2253244918648517E-3</v>
      </c>
    </row>
    <row r="235" spans="1:26" ht="16" x14ac:dyDescent="0.2">
      <c r="A235" s="4" t="s">
        <v>707</v>
      </c>
      <c r="B235" s="4" t="s">
        <v>708</v>
      </c>
      <c r="C235" s="4" t="s">
        <v>709</v>
      </c>
      <c r="D235" t="str">
        <f>INDEX('Energieverbruik in TJ Gemeente'!$B$4:$Q$347,MATCH($C235,'Energieverbruik in TJ Gemeente'!$B$4:$B$347,0),MATCH(D$2,'Energieverbruik in TJ Gemeente'!$B$4:$Q$4,0))</f>
        <v>?</v>
      </c>
      <c r="E235" t="str">
        <f>INDEX('Energieverbruik in TJ Gemeente'!$B$4:$Q$347,MATCH($C235,'Energieverbruik in TJ Gemeente'!$B$4:$B$347,0),MATCH(E$2,'Energieverbruik in TJ Gemeente'!$B$4:$Q$4,0))</f>
        <v>?</v>
      </c>
      <c r="F235" t="str">
        <f>INDEX('Energieverbruik in TJ Gemeente'!$B$4:$Q$347,MATCH($C235,'Energieverbruik in TJ Gemeente'!$B$4:$B$347,0),MATCH(F$2,'Energieverbruik in TJ Gemeente'!$B$4:$Q$4,0))</f>
        <v>?</v>
      </c>
      <c r="G235" t="str">
        <f>INDEX('Energieverbruik in TJ Gemeente'!$B$4:$Q$347,MATCH($C235,'Energieverbruik in TJ Gemeente'!$B$4:$B$347,0),MATCH(G$2,'Energieverbruik in TJ Gemeente'!$B$4:$Q$4,0))</f>
        <v>?</v>
      </c>
      <c r="H235" t="str">
        <f>INDEX('Energieverbruik in TJ Gemeente'!$B$4:$Q$347,MATCH($C235,'Energieverbruik in TJ Gemeente'!$B$4:$B$347,0),MATCH(H$2,'Energieverbruik in TJ Gemeente'!$B$4:$Q$4,0))</f>
        <v>?</v>
      </c>
      <c r="I235" t="str">
        <f>INDEX('Energieverbruik in TJ Gemeente'!$B$4:$Q$347,MATCH($C235,'Energieverbruik in TJ Gemeente'!$B$4:$B$347,0),MATCH(I$2,'Energieverbruik in TJ Gemeente'!$B$4:$Q$4,0))</f>
        <v>?</v>
      </c>
      <c r="J235" t="str">
        <f>INDEX('Energieverbruik in TJ Gemeente'!$B$4:$Q$347,MATCH($C235,'Energieverbruik in TJ Gemeente'!$B$4:$B$347,0),MATCH(J$2,'Energieverbruik in TJ Gemeente'!$B$4:$Q$4,0))</f>
        <v>?</v>
      </c>
      <c r="K235" t="str">
        <f>INDEX('Energieverbruik in TJ Gemeente'!$B$4:$Q$347,MATCH($C235,'Energieverbruik in TJ Gemeente'!$B$4:$B$347,0),MATCH(K$2,'Energieverbruik in TJ Gemeente'!$B$4:$Q$4,0))</f>
        <v>?</v>
      </c>
      <c r="L235" t="str">
        <f>INDEX('Energieverbruik in TJ Gemeente'!$B$4:$Q$347,MATCH($C235,'Energieverbruik in TJ Gemeente'!$B$4:$B$347,0),MATCH(L$2,'Energieverbruik in TJ Gemeente'!$B$4:$Q$4,0))</f>
        <v>?</v>
      </c>
      <c r="M235" t="str">
        <f>INDEX('Energieverbruik in TJ Gemeente'!$B$4:$Q$347,MATCH($C235,'Energieverbruik in TJ Gemeente'!$B$4:$B$347,0),MATCH(M$2,'Energieverbruik in TJ Gemeente'!$B$4:$Q$4,0))</f>
        <v>?</v>
      </c>
      <c r="N235">
        <f>INDEX('Energieverbruik in TJ Gemeente'!$B$4:$Q$347,MATCH($C235,'Energieverbruik in TJ Gemeente'!$B$4:$B$347,0),MATCH(N$2,'Energieverbruik in TJ Gemeente'!$B$4:$Q$4,0))</f>
        <v>5</v>
      </c>
      <c r="O235">
        <f>INDEX('Energieverbruik in TJ Gemeente'!$B$4:$Q$347,MATCH($C235,'Energieverbruik in TJ Gemeente'!$B$4:$B$347,0),MATCH(O$2,'Energieverbruik in TJ Gemeente'!$B$4:$Q$4,0))</f>
        <v>5</v>
      </c>
      <c r="P235">
        <f>INDEX('Energieverbruik in TJ Gemeente'!$B$4:$Q$347,MATCH($C235,'Energieverbruik in TJ Gemeente'!$B$4:$B$347,0),MATCH(P$2,'Energieverbruik in TJ Gemeente'!$B$4:$Q$4,0))</f>
        <v>6</v>
      </c>
      <c r="Q235">
        <f>INDEX('Energieverbruik in TJ Gemeente'!$B$4:$Q$347,MATCH($C235,'Energieverbruik in TJ Gemeente'!$B$4:$B$347,0),MATCH(Q$2,'Energieverbruik in TJ Gemeente'!$B$4:$Q$4,0))</f>
        <v>5</v>
      </c>
      <c r="R235">
        <f>INDEX('Energieverbruik in TJ Gemeente'!$B$4:$Q$347,MATCH($C235,'Energieverbruik in TJ Gemeente'!$B$4:$B$347,0),MATCH(R$2,'Energieverbruik in TJ Gemeente'!$B$4:$Q$4,0))</f>
        <v>5</v>
      </c>
      <c r="S235" t="e" cm="1" vm="1">
        <f t="array" ref="S235">MAX(_xlfn._xlws.FILTER(D$1:H$1, D235:H235&lt;&gt;"?"))</f>
        <v>#VALUE!</v>
      </c>
      <c r="T235" t="e" cm="1" vm="1">
        <f t="array" ref="T235">MAX(_xlfn._xlws.FILTER(I$1:M$1, I235:M235&lt;&gt;"?"))</f>
        <v>#VALUE!</v>
      </c>
      <c r="U235" t="e" cm="1" vm="1">
        <f t="array" ref="U235">MAX(_xlfn._xlws.FILTER(F$1:J$1, F235:J235&lt;&gt;"?"))</f>
        <v>#VALUE!</v>
      </c>
      <c r="V235">
        <f t="shared" si="15"/>
        <v>0</v>
      </c>
      <c r="W235">
        <f t="shared" si="16"/>
        <v>0</v>
      </c>
      <c r="X235">
        <f t="shared" si="17"/>
        <v>0</v>
      </c>
      <c r="Y235">
        <f t="shared" si="18"/>
        <v>0</v>
      </c>
      <c r="Z235">
        <f t="shared" si="19"/>
        <v>0</v>
      </c>
    </row>
    <row r="236" spans="1:26" ht="16" x14ac:dyDescent="0.2">
      <c r="A236" s="4" t="s">
        <v>710</v>
      </c>
      <c r="B236" s="4" t="s">
        <v>711</v>
      </c>
      <c r="C236" s="4" t="s">
        <v>712</v>
      </c>
      <c r="D236" t="str">
        <f>INDEX('Energieverbruik in TJ Gemeente'!$B$4:$Q$347,MATCH($C236,'Energieverbruik in TJ Gemeente'!$B$4:$B$347,0),MATCH(D$2,'Energieverbruik in TJ Gemeente'!$B$4:$Q$4,0))</f>
        <v>?</v>
      </c>
      <c r="E236" t="str">
        <f>INDEX('Energieverbruik in TJ Gemeente'!$B$4:$Q$347,MATCH($C236,'Energieverbruik in TJ Gemeente'!$B$4:$B$347,0),MATCH(E$2,'Energieverbruik in TJ Gemeente'!$B$4:$Q$4,0))</f>
        <v>?</v>
      </c>
      <c r="F236" t="str">
        <f>INDEX('Energieverbruik in TJ Gemeente'!$B$4:$Q$347,MATCH($C236,'Energieverbruik in TJ Gemeente'!$B$4:$B$347,0),MATCH(F$2,'Energieverbruik in TJ Gemeente'!$B$4:$Q$4,0))</f>
        <v>?</v>
      </c>
      <c r="G236">
        <f>INDEX('Energieverbruik in TJ Gemeente'!$B$4:$Q$347,MATCH($C236,'Energieverbruik in TJ Gemeente'!$B$4:$B$347,0),MATCH(G$2,'Energieverbruik in TJ Gemeente'!$B$4:$Q$4,0))</f>
        <v>106</v>
      </c>
      <c r="H236">
        <f>INDEX('Energieverbruik in TJ Gemeente'!$B$4:$Q$347,MATCH($C236,'Energieverbruik in TJ Gemeente'!$B$4:$B$347,0),MATCH(H$2,'Energieverbruik in TJ Gemeente'!$B$4:$Q$4,0))</f>
        <v>88</v>
      </c>
      <c r="I236">
        <f>INDEX('Energieverbruik in TJ Gemeente'!$B$4:$Q$347,MATCH($C236,'Energieverbruik in TJ Gemeente'!$B$4:$B$347,0),MATCH(I$2,'Energieverbruik in TJ Gemeente'!$B$4:$Q$4,0))</f>
        <v>14</v>
      </c>
      <c r="J236">
        <f>INDEX('Energieverbruik in TJ Gemeente'!$B$4:$Q$347,MATCH($C236,'Energieverbruik in TJ Gemeente'!$B$4:$B$347,0),MATCH(J$2,'Energieverbruik in TJ Gemeente'!$B$4:$Q$4,0))</f>
        <v>13</v>
      </c>
      <c r="K236">
        <f>INDEX('Energieverbruik in TJ Gemeente'!$B$4:$Q$347,MATCH($C236,'Energieverbruik in TJ Gemeente'!$B$4:$B$347,0),MATCH(K$2,'Energieverbruik in TJ Gemeente'!$B$4:$Q$4,0))</f>
        <v>14</v>
      </c>
      <c r="L236">
        <f>INDEX('Energieverbruik in TJ Gemeente'!$B$4:$Q$347,MATCH($C236,'Energieverbruik in TJ Gemeente'!$B$4:$B$347,0),MATCH(L$2,'Energieverbruik in TJ Gemeente'!$B$4:$Q$4,0))</f>
        <v>10</v>
      </c>
      <c r="M236">
        <f>INDEX('Energieverbruik in TJ Gemeente'!$B$4:$Q$347,MATCH($C236,'Energieverbruik in TJ Gemeente'!$B$4:$B$347,0),MATCH(M$2,'Energieverbruik in TJ Gemeente'!$B$4:$Q$4,0))</f>
        <v>9</v>
      </c>
      <c r="N236" t="str">
        <f>INDEX('Energieverbruik in TJ Gemeente'!$B$4:$Q$347,MATCH($C236,'Energieverbruik in TJ Gemeente'!$B$4:$B$347,0),MATCH(N$2,'Energieverbruik in TJ Gemeente'!$B$4:$Q$4,0))</f>
        <v>?</v>
      </c>
      <c r="O236">
        <f>INDEX('Energieverbruik in TJ Gemeente'!$B$4:$Q$347,MATCH($C236,'Energieverbruik in TJ Gemeente'!$B$4:$B$347,0),MATCH(O$2,'Energieverbruik in TJ Gemeente'!$B$4:$Q$4,0))</f>
        <v>9</v>
      </c>
      <c r="P236">
        <f>INDEX('Energieverbruik in TJ Gemeente'!$B$4:$Q$347,MATCH($C236,'Energieverbruik in TJ Gemeente'!$B$4:$B$347,0),MATCH(P$2,'Energieverbruik in TJ Gemeente'!$B$4:$Q$4,0))</f>
        <v>10</v>
      </c>
      <c r="Q236">
        <f>INDEX('Energieverbruik in TJ Gemeente'!$B$4:$Q$347,MATCH($C236,'Energieverbruik in TJ Gemeente'!$B$4:$B$347,0),MATCH(Q$2,'Energieverbruik in TJ Gemeente'!$B$4:$Q$4,0))</f>
        <v>7</v>
      </c>
      <c r="R236">
        <f>INDEX('Energieverbruik in TJ Gemeente'!$B$4:$Q$347,MATCH($C236,'Energieverbruik in TJ Gemeente'!$B$4:$B$347,0),MATCH(R$2,'Energieverbruik in TJ Gemeente'!$B$4:$Q$4,0))</f>
        <v>6</v>
      </c>
      <c r="S236" cm="1">
        <f t="array" ref="S236">MAX(_xlfn._xlws.FILTER(D$1:H$1, D236:H236&lt;&gt;"?"))</f>
        <v>2023</v>
      </c>
      <c r="T236" cm="1">
        <f t="array" ref="T236">MAX(_xlfn._xlws.FILTER(I$1:M$1, I236:M236&lt;&gt;"?"))</f>
        <v>2023</v>
      </c>
      <c r="U236" cm="1">
        <f t="array" ref="U236">MAX(_xlfn._xlws.FILTER(F$1:J$1, F236:J236&lt;&gt;"?"))</f>
        <v>2023</v>
      </c>
      <c r="V236">
        <f t="shared" si="15"/>
        <v>88</v>
      </c>
      <c r="W236">
        <f t="shared" si="16"/>
        <v>9</v>
      </c>
      <c r="X236">
        <f t="shared" si="17"/>
        <v>6</v>
      </c>
      <c r="Y236">
        <f t="shared" si="18"/>
        <v>103</v>
      </c>
      <c r="Z236">
        <f t="shared" si="19"/>
        <v>1.7117880706652707E-4</v>
      </c>
    </row>
    <row r="237" spans="1:26" ht="32" x14ac:dyDescent="0.2">
      <c r="A237" s="4" t="s">
        <v>713</v>
      </c>
      <c r="B237" s="4" t="s">
        <v>714</v>
      </c>
      <c r="C237" s="4" t="s">
        <v>715</v>
      </c>
      <c r="D237" t="str">
        <f>INDEX('Energieverbruik in TJ Gemeente'!$B$4:$Q$347,MATCH($C237,'Energieverbruik in TJ Gemeente'!$B$4:$B$347,0),MATCH(D$2,'Energieverbruik in TJ Gemeente'!$B$4:$Q$4,0))</f>
        <v>?</v>
      </c>
      <c r="E237" t="str">
        <f>INDEX('Energieverbruik in TJ Gemeente'!$B$4:$Q$347,MATCH($C237,'Energieverbruik in TJ Gemeente'!$B$4:$B$347,0),MATCH(E$2,'Energieverbruik in TJ Gemeente'!$B$4:$Q$4,0))</f>
        <v>?</v>
      </c>
      <c r="F237" t="str">
        <f>INDEX('Energieverbruik in TJ Gemeente'!$B$4:$Q$347,MATCH($C237,'Energieverbruik in TJ Gemeente'!$B$4:$B$347,0),MATCH(F$2,'Energieverbruik in TJ Gemeente'!$B$4:$Q$4,0))</f>
        <v>?</v>
      </c>
      <c r="G237">
        <f>INDEX('Energieverbruik in TJ Gemeente'!$B$4:$Q$347,MATCH($C237,'Energieverbruik in TJ Gemeente'!$B$4:$B$347,0),MATCH(G$2,'Energieverbruik in TJ Gemeente'!$B$4:$Q$4,0))</f>
        <v>284</v>
      </c>
      <c r="H237">
        <f>INDEX('Energieverbruik in TJ Gemeente'!$B$4:$Q$347,MATCH($C237,'Energieverbruik in TJ Gemeente'!$B$4:$B$347,0),MATCH(H$2,'Energieverbruik in TJ Gemeente'!$B$4:$Q$4,0))</f>
        <v>225</v>
      </c>
      <c r="I237">
        <f>INDEX('Energieverbruik in TJ Gemeente'!$B$4:$Q$347,MATCH($C237,'Energieverbruik in TJ Gemeente'!$B$4:$B$347,0),MATCH(I$2,'Energieverbruik in TJ Gemeente'!$B$4:$Q$4,0))</f>
        <v>12</v>
      </c>
      <c r="J237">
        <f>INDEX('Energieverbruik in TJ Gemeente'!$B$4:$Q$347,MATCH($C237,'Energieverbruik in TJ Gemeente'!$B$4:$B$347,0),MATCH(J$2,'Energieverbruik in TJ Gemeente'!$B$4:$Q$4,0))</f>
        <v>10</v>
      </c>
      <c r="K237">
        <f>INDEX('Energieverbruik in TJ Gemeente'!$B$4:$Q$347,MATCH($C237,'Energieverbruik in TJ Gemeente'!$B$4:$B$347,0),MATCH(K$2,'Energieverbruik in TJ Gemeente'!$B$4:$Q$4,0))</f>
        <v>12</v>
      </c>
      <c r="L237">
        <f>INDEX('Energieverbruik in TJ Gemeente'!$B$4:$Q$347,MATCH($C237,'Energieverbruik in TJ Gemeente'!$B$4:$B$347,0),MATCH(L$2,'Energieverbruik in TJ Gemeente'!$B$4:$Q$4,0))</f>
        <v>11</v>
      </c>
      <c r="M237">
        <f>INDEX('Energieverbruik in TJ Gemeente'!$B$4:$Q$347,MATCH($C237,'Energieverbruik in TJ Gemeente'!$B$4:$B$347,0),MATCH(M$2,'Energieverbruik in TJ Gemeente'!$B$4:$Q$4,0))</f>
        <v>10</v>
      </c>
      <c r="N237">
        <f>INDEX('Energieverbruik in TJ Gemeente'!$B$4:$Q$347,MATCH($C237,'Energieverbruik in TJ Gemeente'!$B$4:$B$347,0),MATCH(N$2,'Energieverbruik in TJ Gemeente'!$B$4:$Q$4,0))</f>
        <v>57</v>
      </c>
      <c r="O237">
        <f>INDEX('Energieverbruik in TJ Gemeente'!$B$4:$Q$347,MATCH($C237,'Energieverbruik in TJ Gemeente'!$B$4:$B$347,0),MATCH(O$2,'Energieverbruik in TJ Gemeente'!$B$4:$Q$4,0))</f>
        <v>47</v>
      </c>
      <c r="P237">
        <f>INDEX('Energieverbruik in TJ Gemeente'!$B$4:$Q$347,MATCH($C237,'Energieverbruik in TJ Gemeente'!$B$4:$B$347,0),MATCH(P$2,'Energieverbruik in TJ Gemeente'!$B$4:$Q$4,0))</f>
        <v>50</v>
      </c>
      <c r="Q237">
        <f>INDEX('Energieverbruik in TJ Gemeente'!$B$4:$Q$347,MATCH($C237,'Energieverbruik in TJ Gemeente'!$B$4:$B$347,0),MATCH(Q$2,'Energieverbruik in TJ Gemeente'!$B$4:$Q$4,0))</f>
        <v>36</v>
      </c>
      <c r="R237">
        <f>INDEX('Energieverbruik in TJ Gemeente'!$B$4:$Q$347,MATCH($C237,'Energieverbruik in TJ Gemeente'!$B$4:$B$347,0),MATCH(R$2,'Energieverbruik in TJ Gemeente'!$B$4:$Q$4,0))</f>
        <v>32</v>
      </c>
      <c r="S237" cm="1">
        <f t="array" ref="S237">MAX(_xlfn._xlws.FILTER(D$1:H$1, D237:H237&lt;&gt;"?"))</f>
        <v>2023</v>
      </c>
      <c r="T237" cm="1">
        <f t="array" ref="T237">MAX(_xlfn._xlws.FILTER(I$1:M$1, I237:M237&lt;&gt;"?"))</f>
        <v>2023</v>
      </c>
      <c r="U237" cm="1">
        <f t="array" ref="U237">MAX(_xlfn._xlws.FILTER(F$1:J$1, F237:J237&lt;&gt;"?"))</f>
        <v>2023</v>
      </c>
      <c r="V237">
        <f t="shared" si="15"/>
        <v>225</v>
      </c>
      <c r="W237">
        <f t="shared" si="16"/>
        <v>10</v>
      </c>
      <c r="X237">
        <f t="shared" si="17"/>
        <v>32</v>
      </c>
      <c r="Y237">
        <f t="shared" si="18"/>
        <v>267</v>
      </c>
      <c r="Z237">
        <f t="shared" si="19"/>
        <v>4.4373535424041484E-4</v>
      </c>
    </row>
    <row r="238" spans="1:26" ht="16" x14ac:dyDescent="0.2">
      <c r="A238" s="4" t="s">
        <v>716</v>
      </c>
      <c r="B238" s="4" t="s">
        <v>717</v>
      </c>
      <c r="C238" s="4" t="s">
        <v>718</v>
      </c>
      <c r="D238">
        <f>INDEX('Energieverbruik in TJ Gemeente'!$B$4:$Q$347,MATCH($C238,'Energieverbruik in TJ Gemeente'!$B$4:$B$347,0),MATCH(D$2,'Energieverbruik in TJ Gemeente'!$B$4:$Q$4,0))</f>
        <v>1285</v>
      </c>
      <c r="E238">
        <f>INDEX('Energieverbruik in TJ Gemeente'!$B$4:$Q$347,MATCH($C238,'Energieverbruik in TJ Gemeente'!$B$4:$B$347,0),MATCH(E$2,'Energieverbruik in TJ Gemeente'!$B$4:$Q$4,0))</f>
        <v>1232</v>
      </c>
      <c r="F238">
        <f>INDEX('Energieverbruik in TJ Gemeente'!$B$4:$Q$347,MATCH($C238,'Energieverbruik in TJ Gemeente'!$B$4:$B$347,0),MATCH(F$2,'Energieverbruik in TJ Gemeente'!$B$4:$Q$4,0))</f>
        <v>1245</v>
      </c>
      <c r="G238">
        <f>INDEX('Energieverbruik in TJ Gemeente'!$B$4:$Q$347,MATCH($C238,'Energieverbruik in TJ Gemeente'!$B$4:$B$347,0),MATCH(G$2,'Energieverbruik in TJ Gemeente'!$B$4:$Q$4,0))</f>
        <v>1083</v>
      </c>
      <c r="H238">
        <f>INDEX('Energieverbruik in TJ Gemeente'!$B$4:$Q$347,MATCH($C238,'Energieverbruik in TJ Gemeente'!$B$4:$B$347,0),MATCH(H$2,'Energieverbruik in TJ Gemeente'!$B$4:$Q$4,0))</f>
        <v>896</v>
      </c>
      <c r="I238">
        <f>INDEX('Energieverbruik in TJ Gemeente'!$B$4:$Q$347,MATCH($C238,'Energieverbruik in TJ Gemeente'!$B$4:$B$347,0),MATCH(I$2,'Energieverbruik in TJ Gemeente'!$B$4:$Q$4,0))</f>
        <v>102</v>
      </c>
      <c r="J238">
        <f>INDEX('Energieverbruik in TJ Gemeente'!$B$4:$Q$347,MATCH($C238,'Energieverbruik in TJ Gemeente'!$B$4:$B$347,0),MATCH(J$2,'Energieverbruik in TJ Gemeente'!$B$4:$Q$4,0))</f>
        <v>86</v>
      </c>
      <c r="K238">
        <f>INDEX('Energieverbruik in TJ Gemeente'!$B$4:$Q$347,MATCH($C238,'Energieverbruik in TJ Gemeente'!$B$4:$B$347,0),MATCH(K$2,'Energieverbruik in TJ Gemeente'!$B$4:$Q$4,0))</f>
        <v>95</v>
      </c>
      <c r="L238">
        <f>INDEX('Energieverbruik in TJ Gemeente'!$B$4:$Q$347,MATCH($C238,'Energieverbruik in TJ Gemeente'!$B$4:$B$347,0),MATCH(L$2,'Energieverbruik in TJ Gemeente'!$B$4:$Q$4,0))</f>
        <v>80</v>
      </c>
      <c r="M238">
        <f>INDEX('Energieverbruik in TJ Gemeente'!$B$4:$Q$347,MATCH($C238,'Energieverbruik in TJ Gemeente'!$B$4:$B$347,0),MATCH(M$2,'Energieverbruik in TJ Gemeente'!$B$4:$Q$4,0))</f>
        <v>76</v>
      </c>
      <c r="N238">
        <f>INDEX('Energieverbruik in TJ Gemeente'!$B$4:$Q$347,MATCH($C238,'Energieverbruik in TJ Gemeente'!$B$4:$B$347,0),MATCH(N$2,'Energieverbruik in TJ Gemeente'!$B$4:$Q$4,0))</f>
        <v>6</v>
      </c>
      <c r="O238">
        <f>INDEX('Energieverbruik in TJ Gemeente'!$B$4:$Q$347,MATCH($C238,'Energieverbruik in TJ Gemeente'!$B$4:$B$347,0),MATCH(O$2,'Energieverbruik in TJ Gemeente'!$B$4:$Q$4,0))</f>
        <v>5</v>
      </c>
      <c r="P238">
        <f>INDEX('Energieverbruik in TJ Gemeente'!$B$4:$Q$347,MATCH($C238,'Energieverbruik in TJ Gemeente'!$B$4:$B$347,0),MATCH(P$2,'Energieverbruik in TJ Gemeente'!$B$4:$Q$4,0))</f>
        <v>6</v>
      </c>
      <c r="Q238">
        <f>INDEX('Energieverbruik in TJ Gemeente'!$B$4:$Q$347,MATCH($C238,'Energieverbruik in TJ Gemeente'!$B$4:$B$347,0),MATCH(Q$2,'Energieverbruik in TJ Gemeente'!$B$4:$Q$4,0))</f>
        <v>4</v>
      </c>
      <c r="R238">
        <f>INDEX('Energieverbruik in TJ Gemeente'!$B$4:$Q$347,MATCH($C238,'Energieverbruik in TJ Gemeente'!$B$4:$B$347,0),MATCH(R$2,'Energieverbruik in TJ Gemeente'!$B$4:$Q$4,0))</f>
        <v>3</v>
      </c>
      <c r="S238" cm="1">
        <f t="array" ref="S238">MAX(_xlfn._xlws.FILTER(D$1:H$1, D238:H238&lt;&gt;"?"))</f>
        <v>2023</v>
      </c>
      <c r="T238" cm="1">
        <f t="array" ref="T238">MAX(_xlfn._xlws.FILTER(I$1:M$1, I238:M238&lt;&gt;"?"))</f>
        <v>2023</v>
      </c>
      <c r="U238" cm="1">
        <f t="array" ref="U238">MAX(_xlfn._xlws.FILTER(F$1:J$1, F238:J238&lt;&gt;"?"))</f>
        <v>2023</v>
      </c>
      <c r="V238">
        <f t="shared" si="15"/>
        <v>896</v>
      </c>
      <c r="W238">
        <f t="shared" si="16"/>
        <v>76</v>
      </c>
      <c r="X238">
        <f t="shared" si="17"/>
        <v>3</v>
      </c>
      <c r="Y238">
        <f t="shared" si="18"/>
        <v>975</v>
      </c>
      <c r="Z238">
        <f t="shared" si="19"/>
        <v>1.6203819115520766E-3</v>
      </c>
    </row>
    <row r="239" spans="1:26" ht="16" x14ac:dyDescent="0.2">
      <c r="A239" s="4" t="s">
        <v>719</v>
      </c>
      <c r="B239" s="4" t="s">
        <v>720</v>
      </c>
      <c r="C239" s="4" t="s">
        <v>721</v>
      </c>
      <c r="D239" t="str">
        <f>INDEX('Energieverbruik in TJ Gemeente'!$B$4:$Q$347,MATCH($C239,'Energieverbruik in TJ Gemeente'!$B$4:$B$347,0),MATCH(D$2,'Energieverbruik in TJ Gemeente'!$B$4:$Q$4,0))</f>
        <v>?</v>
      </c>
      <c r="E239" t="str">
        <f>INDEX('Energieverbruik in TJ Gemeente'!$B$4:$Q$347,MATCH($C239,'Energieverbruik in TJ Gemeente'!$B$4:$B$347,0),MATCH(E$2,'Energieverbruik in TJ Gemeente'!$B$4:$Q$4,0))</f>
        <v>?</v>
      </c>
      <c r="F239" t="str">
        <f>INDEX('Energieverbruik in TJ Gemeente'!$B$4:$Q$347,MATCH($C239,'Energieverbruik in TJ Gemeente'!$B$4:$B$347,0),MATCH(F$2,'Energieverbruik in TJ Gemeente'!$B$4:$Q$4,0))</f>
        <v>?</v>
      </c>
      <c r="G239">
        <f>INDEX('Energieverbruik in TJ Gemeente'!$B$4:$Q$347,MATCH($C239,'Energieverbruik in TJ Gemeente'!$B$4:$B$347,0),MATCH(G$2,'Energieverbruik in TJ Gemeente'!$B$4:$Q$4,0))</f>
        <v>420</v>
      </c>
      <c r="H239">
        <f>INDEX('Energieverbruik in TJ Gemeente'!$B$4:$Q$347,MATCH($C239,'Energieverbruik in TJ Gemeente'!$B$4:$B$347,0),MATCH(H$2,'Energieverbruik in TJ Gemeente'!$B$4:$Q$4,0))</f>
        <v>347</v>
      </c>
      <c r="I239">
        <f>INDEX('Energieverbruik in TJ Gemeente'!$B$4:$Q$347,MATCH($C239,'Energieverbruik in TJ Gemeente'!$B$4:$B$347,0),MATCH(I$2,'Energieverbruik in TJ Gemeente'!$B$4:$Q$4,0))</f>
        <v>160</v>
      </c>
      <c r="J239">
        <f>INDEX('Energieverbruik in TJ Gemeente'!$B$4:$Q$347,MATCH($C239,'Energieverbruik in TJ Gemeente'!$B$4:$B$347,0),MATCH(J$2,'Energieverbruik in TJ Gemeente'!$B$4:$Q$4,0))</f>
        <v>147</v>
      </c>
      <c r="K239">
        <f>INDEX('Energieverbruik in TJ Gemeente'!$B$4:$Q$347,MATCH($C239,'Energieverbruik in TJ Gemeente'!$B$4:$B$347,0),MATCH(K$2,'Energieverbruik in TJ Gemeente'!$B$4:$Q$4,0))</f>
        <v>176</v>
      </c>
      <c r="L239">
        <f>INDEX('Energieverbruik in TJ Gemeente'!$B$4:$Q$347,MATCH($C239,'Energieverbruik in TJ Gemeente'!$B$4:$B$347,0),MATCH(L$2,'Energieverbruik in TJ Gemeente'!$B$4:$Q$4,0))</f>
        <v>127</v>
      </c>
      <c r="M239">
        <f>INDEX('Energieverbruik in TJ Gemeente'!$B$4:$Q$347,MATCH($C239,'Energieverbruik in TJ Gemeente'!$B$4:$B$347,0),MATCH(M$2,'Energieverbruik in TJ Gemeente'!$B$4:$Q$4,0))</f>
        <v>143</v>
      </c>
      <c r="N239">
        <f>INDEX('Energieverbruik in TJ Gemeente'!$B$4:$Q$347,MATCH($C239,'Energieverbruik in TJ Gemeente'!$B$4:$B$347,0),MATCH(N$2,'Energieverbruik in TJ Gemeente'!$B$4:$Q$4,0))</f>
        <v>8</v>
      </c>
      <c r="O239">
        <f>INDEX('Energieverbruik in TJ Gemeente'!$B$4:$Q$347,MATCH($C239,'Energieverbruik in TJ Gemeente'!$B$4:$B$347,0),MATCH(O$2,'Energieverbruik in TJ Gemeente'!$B$4:$Q$4,0))</f>
        <v>6</v>
      </c>
      <c r="P239">
        <f>INDEX('Energieverbruik in TJ Gemeente'!$B$4:$Q$347,MATCH($C239,'Energieverbruik in TJ Gemeente'!$B$4:$B$347,0),MATCH(P$2,'Energieverbruik in TJ Gemeente'!$B$4:$Q$4,0))</f>
        <v>6</v>
      </c>
      <c r="Q239">
        <f>INDEX('Energieverbruik in TJ Gemeente'!$B$4:$Q$347,MATCH($C239,'Energieverbruik in TJ Gemeente'!$B$4:$B$347,0),MATCH(Q$2,'Energieverbruik in TJ Gemeente'!$B$4:$Q$4,0))</f>
        <v>6</v>
      </c>
      <c r="R239">
        <f>INDEX('Energieverbruik in TJ Gemeente'!$B$4:$Q$347,MATCH($C239,'Energieverbruik in TJ Gemeente'!$B$4:$B$347,0),MATCH(R$2,'Energieverbruik in TJ Gemeente'!$B$4:$Q$4,0))</f>
        <v>5</v>
      </c>
      <c r="S239" cm="1">
        <f t="array" ref="S239">MAX(_xlfn._xlws.FILTER(D$1:H$1, D239:H239&lt;&gt;"?"))</f>
        <v>2023</v>
      </c>
      <c r="T239" cm="1">
        <f t="array" ref="T239">MAX(_xlfn._xlws.FILTER(I$1:M$1, I239:M239&lt;&gt;"?"))</f>
        <v>2023</v>
      </c>
      <c r="U239" cm="1">
        <f t="array" ref="U239">MAX(_xlfn._xlws.FILTER(F$1:J$1, F239:J239&lt;&gt;"?"))</f>
        <v>2023</v>
      </c>
      <c r="V239">
        <f t="shared" si="15"/>
        <v>347</v>
      </c>
      <c r="W239">
        <f t="shared" si="16"/>
        <v>143</v>
      </c>
      <c r="X239">
        <f t="shared" si="17"/>
        <v>5</v>
      </c>
      <c r="Y239">
        <f t="shared" si="18"/>
        <v>495</v>
      </c>
      <c r="Z239">
        <f t="shared" si="19"/>
        <v>8.2265543201874656E-4</v>
      </c>
    </row>
    <row r="240" spans="1:26" ht="16" x14ac:dyDescent="0.2">
      <c r="A240" s="4" t="s">
        <v>722</v>
      </c>
      <c r="B240" s="4" t="s">
        <v>723</v>
      </c>
      <c r="C240" s="4" t="s">
        <v>724</v>
      </c>
      <c r="D240">
        <f>INDEX('Energieverbruik in TJ Gemeente'!$B$4:$Q$347,MATCH($C240,'Energieverbruik in TJ Gemeente'!$B$4:$B$347,0),MATCH(D$2,'Energieverbruik in TJ Gemeente'!$B$4:$Q$4,0))</f>
        <v>962</v>
      </c>
      <c r="E240">
        <f>INDEX('Energieverbruik in TJ Gemeente'!$B$4:$Q$347,MATCH($C240,'Energieverbruik in TJ Gemeente'!$B$4:$B$347,0),MATCH(E$2,'Energieverbruik in TJ Gemeente'!$B$4:$Q$4,0))</f>
        <v>923</v>
      </c>
      <c r="F240">
        <f>INDEX('Energieverbruik in TJ Gemeente'!$B$4:$Q$347,MATCH($C240,'Energieverbruik in TJ Gemeente'!$B$4:$B$347,0),MATCH(F$2,'Energieverbruik in TJ Gemeente'!$B$4:$Q$4,0))</f>
        <v>952</v>
      </c>
      <c r="G240">
        <f>INDEX('Energieverbruik in TJ Gemeente'!$B$4:$Q$347,MATCH($C240,'Energieverbruik in TJ Gemeente'!$B$4:$B$347,0),MATCH(G$2,'Energieverbruik in TJ Gemeente'!$B$4:$Q$4,0))</f>
        <v>811</v>
      </c>
      <c r="H240">
        <f>INDEX('Energieverbruik in TJ Gemeente'!$B$4:$Q$347,MATCH($C240,'Energieverbruik in TJ Gemeente'!$B$4:$B$347,0),MATCH(H$2,'Energieverbruik in TJ Gemeente'!$B$4:$Q$4,0))</f>
        <v>686</v>
      </c>
      <c r="I240">
        <f>INDEX('Energieverbruik in TJ Gemeente'!$B$4:$Q$347,MATCH($C240,'Energieverbruik in TJ Gemeente'!$B$4:$B$347,0),MATCH(I$2,'Energieverbruik in TJ Gemeente'!$B$4:$Q$4,0))</f>
        <v>98</v>
      </c>
      <c r="J240">
        <f>INDEX('Energieverbruik in TJ Gemeente'!$B$4:$Q$347,MATCH($C240,'Energieverbruik in TJ Gemeente'!$B$4:$B$347,0),MATCH(J$2,'Energieverbruik in TJ Gemeente'!$B$4:$Q$4,0))</f>
        <v>73</v>
      </c>
      <c r="K240">
        <f>INDEX('Energieverbruik in TJ Gemeente'!$B$4:$Q$347,MATCH($C240,'Energieverbruik in TJ Gemeente'!$B$4:$B$347,0),MATCH(K$2,'Energieverbruik in TJ Gemeente'!$B$4:$Q$4,0))</f>
        <v>78</v>
      </c>
      <c r="L240">
        <f>INDEX('Energieverbruik in TJ Gemeente'!$B$4:$Q$347,MATCH($C240,'Energieverbruik in TJ Gemeente'!$B$4:$B$347,0),MATCH(L$2,'Energieverbruik in TJ Gemeente'!$B$4:$Q$4,0))</f>
        <v>72</v>
      </c>
      <c r="M240">
        <f>INDEX('Energieverbruik in TJ Gemeente'!$B$4:$Q$347,MATCH($C240,'Energieverbruik in TJ Gemeente'!$B$4:$B$347,0),MATCH(M$2,'Energieverbruik in TJ Gemeente'!$B$4:$Q$4,0))</f>
        <v>59</v>
      </c>
      <c r="N240">
        <f>INDEX('Energieverbruik in TJ Gemeente'!$B$4:$Q$347,MATCH($C240,'Energieverbruik in TJ Gemeente'!$B$4:$B$347,0),MATCH(N$2,'Energieverbruik in TJ Gemeente'!$B$4:$Q$4,0))</f>
        <v>317</v>
      </c>
      <c r="O240">
        <f>INDEX('Energieverbruik in TJ Gemeente'!$B$4:$Q$347,MATCH($C240,'Energieverbruik in TJ Gemeente'!$B$4:$B$347,0),MATCH(O$2,'Energieverbruik in TJ Gemeente'!$B$4:$Q$4,0))</f>
        <v>295</v>
      </c>
      <c r="P240">
        <f>INDEX('Energieverbruik in TJ Gemeente'!$B$4:$Q$347,MATCH($C240,'Energieverbruik in TJ Gemeente'!$B$4:$B$347,0),MATCH(P$2,'Energieverbruik in TJ Gemeente'!$B$4:$Q$4,0))</f>
        <v>262</v>
      </c>
      <c r="Q240">
        <f>INDEX('Energieverbruik in TJ Gemeente'!$B$4:$Q$347,MATCH($C240,'Energieverbruik in TJ Gemeente'!$B$4:$B$347,0),MATCH(Q$2,'Energieverbruik in TJ Gemeente'!$B$4:$Q$4,0))</f>
        <v>198</v>
      </c>
      <c r="R240">
        <f>INDEX('Energieverbruik in TJ Gemeente'!$B$4:$Q$347,MATCH($C240,'Energieverbruik in TJ Gemeente'!$B$4:$B$347,0),MATCH(R$2,'Energieverbruik in TJ Gemeente'!$B$4:$Q$4,0))</f>
        <v>212</v>
      </c>
      <c r="S240" cm="1">
        <f t="array" ref="S240">MAX(_xlfn._xlws.FILTER(D$1:H$1, D240:H240&lt;&gt;"?"))</f>
        <v>2023</v>
      </c>
      <c r="T240" cm="1">
        <f t="array" ref="T240">MAX(_xlfn._xlws.FILTER(I$1:M$1, I240:M240&lt;&gt;"?"))</f>
        <v>2023</v>
      </c>
      <c r="U240" cm="1">
        <f t="array" ref="U240">MAX(_xlfn._xlws.FILTER(F$1:J$1, F240:J240&lt;&gt;"?"))</f>
        <v>2023</v>
      </c>
      <c r="V240">
        <f t="shared" si="15"/>
        <v>686</v>
      </c>
      <c r="W240">
        <f t="shared" si="16"/>
        <v>59</v>
      </c>
      <c r="X240">
        <f t="shared" si="17"/>
        <v>212</v>
      </c>
      <c r="Y240">
        <f t="shared" si="18"/>
        <v>957</v>
      </c>
      <c r="Z240">
        <f t="shared" si="19"/>
        <v>1.5904671685695766E-3</v>
      </c>
    </row>
    <row r="241" spans="1:26" ht="32" x14ac:dyDescent="0.2">
      <c r="A241" s="4" t="s">
        <v>725</v>
      </c>
      <c r="B241" s="4" t="s">
        <v>726</v>
      </c>
      <c r="C241" s="4" t="s">
        <v>727</v>
      </c>
      <c r="D241" t="str">
        <f>INDEX('Energieverbruik in TJ Gemeente'!$B$4:$Q$347,MATCH($C241,'Energieverbruik in TJ Gemeente'!$B$4:$B$347,0),MATCH(D$2,'Energieverbruik in TJ Gemeente'!$B$4:$Q$4,0))</f>
        <v>?</v>
      </c>
      <c r="E241">
        <f>INDEX('Energieverbruik in TJ Gemeente'!$B$4:$Q$347,MATCH($C241,'Energieverbruik in TJ Gemeente'!$B$4:$B$347,0),MATCH(E$2,'Energieverbruik in TJ Gemeente'!$B$4:$Q$4,0))</f>
        <v>941</v>
      </c>
      <c r="F241" t="str">
        <f>INDEX('Energieverbruik in TJ Gemeente'!$B$4:$Q$347,MATCH($C241,'Energieverbruik in TJ Gemeente'!$B$4:$B$347,0),MATCH(F$2,'Energieverbruik in TJ Gemeente'!$B$4:$Q$4,0))</f>
        <v>?</v>
      </c>
      <c r="G241">
        <f>INDEX('Energieverbruik in TJ Gemeente'!$B$4:$Q$347,MATCH($C241,'Energieverbruik in TJ Gemeente'!$B$4:$B$347,0),MATCH(G$2,'Energieverbruik in TJ Gemeente'!$B$4:$Q$4,0))</f>
        <v>842</v>
      </c>
      <c r="H241">
        <f>INDEX('Energieverbruik in TJ Gemeente'!$B$4:$Q$347,MATCH($C241,'Energieverbruik in TJ Gemeente'!$B$4:$B$347,0),MATCH(H$2,'Energieverbruik in TJ Gemeente'!$B$4:$Q$4,0))</f>
        <v>686</v>
      </c>
      <c r="I241">
        <f>INDEX('Energieverbruik in TJ Gemeente'!$B$4:$Q$347,MATCH($C241,'Energieverbruik in TJ Gemeente'!$B$4:$B$347,0),MATCH(I$2,'Energieverbruik in TJ Gemeente'!$B$4:$Q$4,0))</f>
        <v>155</v>
      </c>
      <c r="J241">
        <f>INDEX('Energieverbruik in TJ Gemeente'!$B$4:$Q$347,MATCH($C241,'Energieverbruik in TJ Gemeente'!$B$4:$B$347,0),MATCH(J$2,'Energieverbruik in TJ Gemeente'!$B$4:$Q$4,0))</f>
        <v>157</v>
      </c>
      <c r="K241">
        <f>INDEX('Energieverbruik in TJ Gemeente'!$B$4:$Q$347,MATCH($C241,'Energieverbruik in TJ Gemeente'!$B$4:$B$347,0),MATCH(K$2,'Energieverbruik in TJ Gemeente'!$B$4:$Q$4,0))</f>
        <v>165</v>
      </c>
      <c r="L241">
        <f>INDEX('Energieverbruik in TJ Gemeente'!$B$4:$Q$347,MATCH($C241,'Energieverbruik in TJ Gemeente'!$B$4:$B$347,0),MATCH(L$2,'Energieverbruik in TJ Gemeente'!$B$4:$Q$4,0))</f>
        <v>146</v>
      </c>
      <c r="M241">
        <f>INDEX('Energieverbruik in TJ Gemeente'!$B$4:$Q$347,MATCH($C241,'Energieverbruik in TJ Gemeente'!$B$4:$B$347,0),MATCH(M$2,'Energieverbruik in TJ Gemeente'!$B$4:$Q$4,0))</f>
        <v>141</v>
      </c>
      <c r="N241">
        <f>INDEX('Energieverbruik in TJ Gemeente'!$B$4:$Q$347,MATCH($C241,'Energieverbruik in TJ Gemeente'!$B$4:$B$347,0),MATCH(N$2,'Energieverbruik in TJ Gemeente'!$B$4:$Q$4,0))</f>
        <v>37</v>
      </c>
      <c r="O241">
        <f>INDEX('Energieverbruik in TJ Gemeente'!$B$4:$Q$347,MATCH($C241,'Energieverbruik in TJ Gemeente'!$B$4:$B$347,0),MATCH(O$2,'Energieverbruik in TJ Gemeente'!$B$4:$Q$4,0))</f>
        <v>31</v>
      </c>
      <c r="P241">
        <f>INDEX('Energieverbruik in TJ Gemeente'!$B$4:$Q$347,MATCH($C241,'Energieverbruik in TJ Gemeente'!$B$4:$B$347,0),MATCH(P$2,'Energieverbruik in TJ Gemeente'!$B$4:$Q$4,0))</f>
        <v>33</v>
      </c>
      <c r="Q241">
        <f>INDEX('Energieverbruik in TJ Gemeente'!$B$4:$Q$347,MATCH($C241,'Energieverbruik in TJ Gemeente'!$B$4:$B$347,0),MATCH(Q$2,'Energieverbruik in TJ Gemeente'!$B$4:$Q$4,0))</f>
        <v>27</v>
      </c>
      <c r="R241">
        <f>INDEX('Energieverbruik in TJ Gemeente'!$B$4:$Q$347,MATCH($C241,'Energieverbruik in TJ Gemeente'!$B$4:$B$347,0),MATCH(R$2,'Energieverbruik in TJ Gemeente'!$B$4:$Q$4,0))</f>
        <v>21</v>
      </c>
      <c r="S241" cm="1">
        <f t="array" ref="S241">MAX(_xlfn._xlws.FILTER(D$1:H$1, D241:H241&lt;&gt;"?"))</f>
        <v>2023</v>
      </c>
      <c r="T241" cm="1">
        <f t="array" ref="T241">MAX(_xlfn._xlws.FILTER(I$1:M$1, I241:M241&lt;&gt;"?"))</f>
        <v>2023</v>
      </c>
      <c r="U241" cm="1">
        <f t="array" ref="U241">MAX(_xlfn._xlws.FILTER(F$1:J$1, F241:J241&lt;&gt;"?"))</f>
        <v>2023</v>
      </c>
      <c r="V241">
        <f t="shared" si="15"/>
        <v>686</v>
      </c>
      <c r="W241">
        <f t="shared" si="16"/>
        <v>141</v>
      </c>
      <c r="X241">
        <f t="shared" si="17"/>
        <v>21</v>
      </c>
      <c r="Y241">
        <f t="shared" si="18"/>
        <v>848</v>
      </c>
      <c r="Z241">
        <f t="shared" si="19"/>
        <v>1.4093167805088831E-3</v>
      </c>
    </row>
    <row r="242" spans="1:26" ht="16" x14ac:dyDescent="0.2">
      <c r="A242" s="4" t="s">
        <v>728</v>
      </c>
      <c r="B242" s="4" t="s">
        <v>729</v>
      </c>
      <c r="C242" s="4" t="s">
        <v>730</v>
      </c>
      <c r="D242">
        <f>INDEX('Energieverbruik in TJ Gemeente'!$B$4:$Q$347,MATCH($C242,'Energieverbruik in TJ Gemeente'!$B$4:$B$347,0),MATCH(D$2,'Energieverbruik in TJ Gemeente'!$B$4:$Q$4,0))</f>
        <v>1414</v>
      </c>
      <c r="E242">
        <f>INDEX('Energieverbruik in TJ Gemeente'!$B$4:$Q$347,MATCH($C242,'Energieverbruik in TJ Gemeente'!$B$4:$B$347,0),MATCH(E$2,'Energieverbruik in TJ Gemeente'!$B$4:$Q$4,0))</f>
        <v>1344</v>
      </c>
      <c r="F242">
        <f>INDEX('Energieverbruik in TJ Gemeente'!$B$4:$Q$347,MATCH($C242,'Energieverbruik in TJ Gemeente'!$B$4:$B$347,0),MATCH(F$2,'Energieverbruik in TJ Gemeente'!$B$4:$Q$4,0))</f>
        <v>1347</v>
      </c>
      <c r="G242">
        <f>INDEX('Energieverbruik in TJ Gemeente'!$B$4:$Q$347,MATCH($C242,'Energieverbruik in TJ Gemeente'!$B$4:$B$347,0),MATCH(G$2,'Energieverbruik in TJ Gemeente'!$B$4:$Q$4,0))</f>
        <v>1142</v>
      </c>
      <c r="H242">
        <f>INDEX('Energieverbruik in TJ Gemeente'!$B$4:$Q$347,MATCH($C242,'Energieverbruik in TJ Gemeente'!$B$4:$B$347,0),MATCH(H$2,'Energieverbruik in TJ Gemeente'!$B$4:$Q$4,0))</f>
        <v>1002</v>
      </c>
      <c r="I242">
        <f>INDEX('Energieverbruik in TJ Gemeente'!$B$4:$Q$347,MATCH($C242,'Energieverbruik in TJ Gemeente'!$B$4:$B$347,0),MATCH(I$2,'Energieverbruik in TJ Gemeente'!$B$4:$Q$4,0))</f>
        <v>69</v>
      </c>
      <c r="J242">
        <f>INDEX('Energieverbruik in TJ Gemeente'!$B$4:$Q$347,MATCH($C242,'Energieverbruik in TJ Gemeente'!$B$4:$B$347,0),MATCH(J$2,'Energieverbruik in TJ Gemeente'!$B$4:$Q$4,0))</f>
        <v>60</v>
      </c>
      <c r="K242">
        <f>INDEX('Energieverbruik in TJ Gemeente'!$B$4:$Q$347,MATCH($C242,'Energieverbruik in TJ Gemeente'!$B$4:$B$347,0),MATCH(K$2,'Energieverbruik in TJ Gemeente'!$B$4:$Q$4,0))</f>
        <v>65</v>
      </c>
      <c r="L242" t="str">
        <f>INDEX('Energieverbruik in TJ Gemeente'!$B$4:$Q$347,MATCH($C242,'Energieverbruik in TJ Gemeente'!$B$4:$B$347,0),MATCH(L$2,'Energieverbruik in TJ Gemeente'!$B$4:$Q$4,0))</f>
        <v>?</v>
      </c>
      <c r="M242" t="str">
        <f>INDEX('Energieverbruik in TJ Gemeente'!$B$4:$Q$347,MATCH($C242,'Energieverbruik in TJ Gemeente'!$B$4:$B$347,0),MATCH(M$2,'Energieverbruik in TJ Gemeente'!$B$4:$Q$4,0))</f>
        <v>?</v>
      </c>
      <c r="N242">
        <f>INDEX('Energieverbruik in TJ Gemeente'!$B$4:$Q$347,MATCH($C242,'Energieverbruik in TJ Gemeente'!$B$4:$B$347,0),MATCH(N$2,'Energieverbruik in TJ Gemeente'!$B$4:$Q$4,0))</f>
        <v>16</v>
      </c>
      <c r="O242" t="str">
        <f>INDEX('Energieverbruik in TJ Gemeente'!$B$4:$Q$347,MATCH($C242,'Energieverbruik in TJ Gemeente'!$B$4:$B$347,0),MATCH(O$2,'Energieverbruik in TJ Gemeente'!$B$4:$Q$4,0))</f>
        <v>?</v>
      </c>
      <c r="P242" t="str">
        <f>INDEX('Energieverbruik in TJ Gemeente'!$B$4:$Q$347,MATCH($C242,'Energieverbruik in TJ Gemeente'!$B$4:$B$347,0),MATCH(P$2,'Energieverbruik in TJ Gemeente'!$B$4:$Q$4,0))</f>
        <v>?</v>
      </c>
      <c r="Q242" t="str">
        <f>INDEX('Energieverbruik in TJ Gemeente'!$B$4:$Q$347,MATCH($C242,'Energieverbruik in TJ Gemeente'!$B$4:$B$347,0),MATCH(Q$2,'Energieverbruik in TJ Gemeente'!$B$4:$Q$4,0))</f>
        <v>?</v>
      </c>
      <c r="R242">
        <f>INDEX('Energieverbruik in TJ Gemeente'!$B$4:$Q$347,MATCH($C242,'Energieverbruik in TJ Gemeente'!$B$4:$B$347,0),MATCH(R$2,'Energieverbruik in TJ Gemeente'!$B$4:$Q$4,0))</f>
        <v>1</v>
      </c>
      <c r="S242" cm="1">
        <f t="array" ref="S242">MAX(_xlfn._xlws.FILTER(D$1:H$1, D242:H242&lt;&gt;"?"))</f>
        <v>2023</v>
      </c>
      <c r="T242" cm="1">
        <f t="array" ref="T242">MAX(_xlfn._xlws.FILTER(I$1:M$1, I242:M242&lt;&gt;"?"))</f>
        <v>2021</v>
      </c>
      <c r="U242" cm="1">
        <f t="array" ref="U242">MAX(_xlfn._xlws.FILTER(F$1:J$1, F242:J242&lt;&gt;"?"))</f>
        <v>2023</v>
      </c>
      <c r="V242">
        <f t="shared" si="15"/>
        <v>1002</v>
      </c>
      <c r="W242">
        <f t="shared" si="16"/>
        <v>65</v>
      </c>
      <c r="X242">
        <f t="shared" si="17"/>
        <v>1</v>
      </c>
      <c r="Y242">
        <f t="shared" si="18"/>
        <v>1068</v>
      </c>
      <c r="Z242">
        <f t="shared" si="19"/>
        <v>1.7749414169616594E-3</v>
      </c>
    </row>
    <row r="243" spans="1:26" ht="16" x14ac:dyDescent="0.2">
      <c r="A243" s="4" t="s">
        <v>731</v>
      </c>
      <c r="B243" s="4" t="s">
        <v>732</v>
      </c>
      <c r="C243" s="4" t="s">
        <v>733</v>
      </c>
      <c r="D243">
        <f>INDEX('Energieverbruik in TJ Gemeente'!$B$4:$Q$347,MATCH($C243,'Energieverbruik in TJ Gemeente'!$B$4:$B$347,0),MATCH(D$2,'Energieverbruik in TJ Gemeente'!$B$4:$Q$4,0))</f>
        <v>605</v>
      </c>
      <c r="E243">
        <f>INDEX('Energieverbruik in TJ Gemeente'!$B$4:$Q$347,MATCH($C243,'Energieverbruik in TJ Gemeente'!$B$4:$B$347,0),MATCH(E$2,'Energieverbruik in TJ Gemeente'!$B$4:$Q$4,0))</f>
        <v>563</v>
      </c>
      <c r="F243" t="str">
        <f>INDEX('Energieverbruik in TJ Gemeente'!$B$4:$Q$347,MATCH($C243,'Energieverbruik in TJ Gemeente'!$B$4:$B$347,0),MATCH(F$2,'Energieverbruik in TJ Gemeente'!$B$4:$Q$4,0))</f>
        <v>?</v>
      </c>
      <c r="G243" t="str">
        <f>INDEX('Energieverbruik in TJ Gemeente'!$B$4:$Q$347,MATCH($C243,'Energieverbruik in TJ Gemeente'!$B$4:$B$347,0),MATCH(G$2,'Energieverbruik in TJ Gemeente'!$B$4:$Q$4,0))</f>
        <v>?</v>
      </c>
      <c r="H243" t="str">
        <f>INDEX('Energieverbruik in TJ Gemeente'!$B$4:$Q$347,MATCH($C243,'Energieverbruik in TJ Gemeente'!$B$4:$B$347,0),MATCH(H$2,'Energieverbruik in TJ Gemeente'!$B$4:$Q$4,0))</f>
        <v>?</v>
      </c>
      <c r="I243" t="str">
        <f>INDEX('Energieverbruik in TJ Gemeente'!$B$4:$Q$347,MATCH($C243,'Energieverbruik in TJ Gemeente'!$B$4:$B$347,0),MATCH(I$2,'Energieverbruik in TJ Gemeente'!$B$4:$Q$4,0))</f>
        <v>?</v>
      </c>
      <c r="J243" t="str">
        <f>INDEX('Energieverbruik in TJ Gemeente'!$B$4:$Q$347,MATCH($C243,'Energieverbruik in TJ Gemeente'!$B$4:$B$347,0),MATCH(J$2,'Energieverbruik in TJ Gemeente'!$B$4:$Q$4,0))</f>
        <v>?</v>
      </c>
      <c r="K243" t="str">
        <f>INDEX('Energieverbruik in TJ Gemeente'!$B$4:$Q$347,MATCH($C243,'Energieverbruik in TJ Gemeente'!$B$4:$B$347,0),MATCH(K$2,'Energieverbruik in TJ Gemeente'!$B$4:$Q$4,0))</f>
        <v>?</v>
      </c>
      <c r="L243" t="str">
        <f>INDEX('Energieverbruik in TJ Gemeente'!$B$4:$Q$347,MATCH($C243,'Energieverbruik in TJ Gemeente'!$B$4:$B$347,0),MATCH(L$2,'Energieverbruik in TJ Gemeente'!$B$4:$Q$4,0))</f>
        <v>?</v>
      </c>
      <c r="M243" t="str">
        <f>INDEX('Energieverbruik in TJ Gemeente'!$B$4:$Q$347,MATCH($C243,'Energieverbruik in TJ Gemeente'!$B$4:$B$347,0),MATCH(M$2,'Energieverbruik in TJ Gemeente'!$B$4:$Q$4,0))</f>
        <v>?</v>
      </c>
      <c r="N243">
        <f>INDEX('Energieverbruik in TJ Gemeente'!$B$4:$Q$347,MATCH($C243,'Energieverbruik in TJ Gemeente'!$B$4:$B$347,0),MATCH(N$2,'Energieverbruik in TJ Gemeente'!$B$4:$Q$4,0))</f>
        <v>19</v>
      </c>
      <c r="O243">
        <f>INDEX('Energieverbruik in TJ Gemeente'!$B$4:$Q$347,MATCH($C243,'Energieverbruik in TJ Gemeente'!$B$4:$B$347,0),MATCH(O$2,'Energieverbruik in TJ Gemeente'!$B$4:$Q$4,0))</f>
        <v>20</v>
      </c>
      <c r="P243">
        <f>INDEX('Energieverbruik in TJ Gemeente'!$B$4:$Q$347,MATCH($C243,'Energieverbruik in TJ Gemeente'!$B$4:$B$347,0),MATCH(P$2,'Energieverbruik in TJ Gemeente'!$B$4:$Q$4,0))</f>
        <v>15</v>
      </c>
      <c r="Q243">
        <f>INDEX('Energieverbruik in TJ Gemeente'!$B$4:$Q$347,MATCH($C243,'Energieverbruik in TJ Gemeente'!$B$4:$B$347,0),MATCH(Q$2,'Energieverbruik in TJ Gemeente'!$B$4:$Q$4,0))</f>
        <v>7</v>
      </c>
      <c r="R243">
        <f>INDEX('Energieverbruik in TJ Gemeente'!$B$4:$Q$347,MATCH($C243,'Energieverbruik in TJ Gemeente'!$B$4:$B$347,0),MATCH(R$2,'Energieverbruik in TJ Gemeente'!$B$4:$Q$4,0))</f>
        <v>6</v>
      </c>
      <c r="S243" cm="1">
        <f t="array" ref="S243">MAX(_xlfn._xlws.FILTER(D$1:H$1, D243:H243&lt;&gt;"?"))</f>
        <v>2020</v>
      </c>
      <c r="T243" t="e" cm="1" vm="1">
        <f t="array" ref="T243">MAX(_xlfn._xlws.FILTER(I$1:M$1, I243:M243&lt;&gt;"?"))</f>
        <v>#VALUE!</v>
      </c>
      <c r="U243" t="e" cm="1" vm="1">
        <f t="array" ref="U243">MAX(_xlfn._xlws.FILTER(F$1:J$1, F243:J243&lt;&gt;"?"))</f>
        <v>#VALUE!</v>
      </c>
      <c r="V243">
        <f t="shared" si="15"/>
        <v>563</v>
      </c>
      <c r="W243">
        <f t="shared" si="16"/>
        <v>0</v>
      </c>
      <c r="X243">
        <f t="shared" si="17"/>
        <v>0</v>
      </c>
      <c r="Y243">
        <f t="shared" si="18"/>
        <v>563</v>
      </c>
      <c r="Z243">
        <f t="shared" si="19"/>
        <v>9.3566668328596832E-4</v>
      </c>
    </row>
    <row r="244" spans="1:26" ht="16" x14ac:dyDescent="0.2">
      <c r="A244" s="4" t="s">
        <v>734</v>
      </c>
      <c r="B244" s="4" t="s">
        <v>735</v>
      </c>
      <c r="C244" s="4" t="s">
        <v>736</v>
      </c>
      <c r="D244">
        <f>INDEX('Energieverbruik in TJ Gemeente'!$B$4:$Q$347,MATCH($C244,'Energieverbruik in TJ Gemeente'!$B$4:$B$347,0),MATCH(D$2,'Energieverbruik in TJ Gemeente'!$B$4:$Q$4,0))</f>
        <v>1662</v>
      </c>
      <c r="E244">
        <f>INDEX('Energieverbruik in TJ Gemeente'!$B$4:$Q$347,MATCH($C244,'Energieverbruik in TJ Gemeente'!$B$4:$B$347,0),MATCH(E$2,'Energieverbruik in TJ Gemeente'!$B$4:$Q$4,0))</f>
        <v>1608</v>
      </c>
      <c r="F244">
        <f>INDEX('Energieverbruik in TJ Gemeente'!$B$4:$Q$347,MATCH($C244,'Energieverbruik in TJ Gemeente'!$B$4:$B$347,0),MATCH(F$2,'Energieverbruik in TJ Gemeente'!$B$4:$Q$4,0))</f>
        <v>1645</v>
      </c>
      <c r="G244">
        <f>INDEX('Energieverbruik in TJ Gemeente'!$B$4:$Q$347,MATCH($C244,'Energieverbruik in TJ Gemeente'!$B$4:$B$347,0),MATCH(G$2,'Energieverbruik in TJ Gemeente'!$B$4:$Q$4,0))</f>
        <v>1464</v>
      </c>
      <c r="H244">
        <f>INDEX('Energieverbruik in TJ Gemeente'!$B$4:$Q$347,MATCH($C244,'Energieverbruik in TJ Gemeente'!$B$4:$B$347,0),MATCH(H$2,'Energieverbruik in TJ Gemeente'!$B$4:$Q$4,0))</f>
        <v>1215</v>
      </c>
      <c r="I244">
        <f>INDEX('Energieverbruik in TJ Gemeente'!$B$4:$Q$347,MATCH($C244,'Energieverbruik in TJ Gemeente'!$B$4:$B$347,0),MATCH(I$2,'Energieverbruik in TJ Gemeente'!$B$4:$Q$4,0))</f>
        <v>4128</v>
      </c>
      <c r="J244">
        <f>INDEX('Energieverbruik in TJ Gemeente'!$B$4:$Q$347,MATCH($C244,'Energieverbruik in TJ Gemeente'!$B$4:$B$347,0),MATCH(J$2,'Energieverbruik in TJ Gemeente'!$B$4:$Q$4,0))</f>
        <v>30</v>
      </c>
      <c r="K244">
        <f>INDEX('Energieverbruik in TJ Gemeente'!$B$4:$Q$347,MATCH($C244,'Energieverbruik in TJ Gemeente'!$B$4:$B$347,0),MATCH(K$2,'Energieverbruik in TJ Gemeente'!$B$4:$Q$4,0))</f>
        <v>4310</v>
      </c>
      <c r="L244">
        <f>INDEX('Energieverbruik in TJ Gemeente'!$B$4:$Q$347,MATCH($C244,'Energieverbruik in TJ Gemeente'!$B$4:$B$347,0),MATCH(L$2,'Energieverbruik in TJ Gemeente'!$B$4:$Q$4,0))</f>
        <v>4141</v>
      </c>
      <c r="M244">
        <f>INDEX('Energieverbruik in TJ Gemeente'!$B$4:$Q$347,MATCH($C244,'Energieverbruik in TJ Gemeente'!$B$4:$B$347,0),MATCH(M$2,'Energieverbruik in TJ Gemeente'!$B$4:$Q$4,0))</f>
        <v>3991</v>
      </c>
      <c r="N244">
        <f>INDEX('Energieverbruik in TJ Gemeente'!$B$4:$Q$347,MATCH($C244,'Energieverbruik in TJ Gemeente'!$B$4:$B$347,0),MATCH(N$2,'Energieverbruik in TJ Gemeente'!$B$4:$Q$4,0))</f>
        <v>9</v>
      </c>
      <c r="O244" t="str">
        <f>INDEX('Energieverbruik in TJ Gemeente'!$B$4:$Q$347,MATCH($C244,'Energieverbruik in TJ Gemeente'!$B$4:$B$347,0),MATCH(O$2,'Energieverbruik in TJ Gemeente'!$B$4:$Q$4,0))</f>
        <v>?</v>
      </c>
      <c r="P244">
        <f>INDEX('Energieverbruik in TJ Gemeente'!$B$4:$Q$347,MATCH($C244,'Energieverbruik in TJ Gemeente'!$B$4:$B$347,0),MATCH(P$2,'Energieverbruik in TJ Gemeente'!$B$4:$Q$4,0))</f>
        <v>8</v>
      </c>
      <c r="Q244">
        <f>INDEX('Energieverbruik in TJ Gemeente'!$B$4:$Q$347,MATCH($C244,'Energieverbruik in TJ Gemeente'!$B$4:$B$347,0),MATCH(Q$2,'Energieverbruik in TJ Gemeente'!$B$4:$Q$4,0))</f>
        <v>7</v>
      </c>
      <c r="R244">
        <f>INDEX('Energieverbruik in TJ Gemeente'!$B$4:$Q$347,MATCH($C244,'Energieverbruik in TJ Gemeente'!$B$4:$B$347,0),MATCH(R$2,'Energieverbruik in TJ Gemeente'!$B$4:$Q$4,0))</f>
        <v>6</v>
      </c>
      <c r="S244" cm="1">
        <f t="array" ref="S244">MAX(_xlfn._xlws.FILTER(D$1:H$1, D244:H244&lt;&gt;"?"))</f>
        <v>2023</v>
      </c>
      <c r="T244" cm="1">
        <f t="array" ref="T244">MAX(_xlfn._xlws.FILTER(I$1:M$1, I244:M244&lt;&gt;"?"))</f>
        <v>2023</v>
      </c>
      <c r="U244" cm="1">
        <f t="array" ref="U244">MAX(_xlfn._xlws.FILTER(F$1:J$1, F244:J244&lt;&gt;"?"))</f>
        <v>2023</v>
      </c>
      <c r="V244">
        <f t="shared" si="15"/>
        <v>1215</v>
      </c>
      <c r="W244">
        <f t="shared" si="16"/>
        <v>3991</v>
      </c>
      <c r="X244">
        <f t="shared" si="17"/>
        <v>6</v>
      </c>
      <c r="Y244">
        <f t="shared" si="18"/>
        <v>5212</v>
      </c>
      <c r="Z244">
        <f t="shared" si="19"/>
        <v>8.6619800235994086E-3</v>
      </c>
    </row>
    <row r="245" spans="1:26" ht="16" x14ac:dyDescent="0.2">
      <c r="A245" s="4" t="s">
        <v>740</v>
      </c>
      <c r="B245" s="4" t="s">
        <v>741</v>
      </c>
      <c r="C245" s="4" t="s">
        <v>742</v>
      </c>
      <c r="D245" t="str">
        <f>INDEX('Energieverbruik in TJ Gemeente'!$B$4:$Q$347,MATCH($C245,'Energieverbruik in TJ Gemeente'!$B$4:$B$347,0),MATCH(D$2,'Energieverbruik in TJ Gemeente'!$B$4:$Q$4,0))</f>
        <v>?</v>
      </c>
      <c r="E245">
        <f>INDEX('Energieverbruik in TJ Gemeente'!$B$4:$Q$347,MATCH($C245,'Energieverbruik in TJ Gemeente'!$B$4:$B$347,0),MATCH(E$2,'Energieverbruik in TJ Gemeente'!$B$4:$Q$4,0))</f>
        <v>1917</v>
      </c>
      <c r="F245">
        <f>INDEX('Energieverbruik in TJ Gemeente'!$B$4:$Q$347,MATCH($C245,'Energieverbruik in TJ Gemeente'!$B$4:$B$347,0),MATCH(F$2,'Energieverbruik in TJ Gemeente'!$B$4:$Q$4,0))</f>
        <v>1944</v>
      </c>
      <c r="G245">
        <f>INDEX('Energieverbruik in TJ Gemeente'!$B$4:$Q$347,MATCH($C245,'Energieverbruik in TJ Gemeente'!$B$4:$B$347,0),MATCH(G$2,'Energieverbruik in TJ Gemeente'!$B$4:$Q$4,0))</f>
        <v>1692</v>
      </c>
      <c r="H245">
        <f>INDEX('Energieverbruik in TJ Gemeente'!$B$4:$Q$347,MATCH($C245,'Energieverbruik in TJ Gemeente'!$B$4:$B$347,0),MATCH(H$2,'Energieverbruik in TJ Gemeente'!$B$4:$Q$4,0))</f>
        <v>1431</v>
      </c>
      <c r="I245">
        <f>INDEX('Energieverbruik in TJ Gemeente'!$B$4:$Q$347,MATCH($C245,'Energieverbruik in TJ Gemeente'!$B$4:$B$347,0),MATCH(I$2,'Energieverbruik in TJ Gemeente'!$B$4:$Q$4,0))</f>
        <v>488</v>
      </c>
      <c r="J245">
        <f>INDEX('Energieverbruik in TJ Gemeente'!$B$4:$Q$347,MATCH($C245,'Energieverbruik in TJ Gemeente'!$B$4:$B$347,0),MATCH(J$2,'Energieverbruik in TJ Gemeente'!$B$4:$Q$4,0))</f>
        <v>555</v>
      </c>
      <c r="K245">
        <f>INDEX('Energieverbruik in TJ Gemeente'!$B$4:$Q$347,MATCH($C245,'Energieverbruik in TJ Gemeente'!$B$4:$B$347,0),MATCH(K$2,'Energieverbruik in TJ Gemeente'!$B$4:$Q$4,0))</f>
        <v>557</v>
      </c>
      <c r="L245">
        <f>INDEX('Energieverbruik in TJ Gemeente'!$B$4:$Q$347,MATCH($C245,'Energieverbruik in TJ Gemeente'!$B$4:$B$347,0),MATCH(L$2,'Energieverbruik in TJ Gemeente'!$B$4:$Q$4,0))</f>
        <v>559</v>
      </c>
      <c r="M245">
        <f>INDEX('Energieverbruik in TJ Gemeente'!$B$4:$Q$347,MATCH($C245,'Energieverbruik in TJ Gemeente'!$B$4:$B$347,0),MATCH(M$2,'Energieverbruik in TJ Gemeente'!$B$4:$Q$4,0))</f>
        <v>515</v>
      </c>
      <c r="N245">
        <f>INDEX('Energieverbruik in TJ Gemeente'!$B$4:$Q$347,MATCH($C245,'Energieverbruik in TJ Gemeente'!$B$4:$B$347,0),MATCH(N$2,'Energieverbruik in TJ Gemeente'!$B$4:$Q$4,0))</f>
        <v>436</v>
      </c>
      <c r="O245">
        <f>INDEX('Energieverbruik in TJ Gemeente'!$B$4:$Q$347,MATCH($C245,'Energieverbruik in TJ Gemeente'!$B$4:$B$347,0),MATCH(O$2,'Energieverbruik in TJ Gemeente'!$B$4:$Q$4,0))</f>
        <v>407</v>
      </c>
      <c r="P245">
        <f>INDEX('Energieverbruik in TJ Gemeente'!$B$4:$Q$347,MATCH($C245,'Energieverbruik in TJ Gemeente'!$B$4:$B$347,0),MATCH(P$2,'Energieverbruik in TJ Gemeente'!$B$4:$Q$4,0))</f>
        <v>396</v>
      </c>
      <c r="Q245">
        <f>INDEX('Energieverbruik in TJ Gemeente'!$B$4:$Q$347,MATCH($C245,'Energieverbruik in TJ Gemeente'!$B$4:$B$347,0),MATCH(Q$2,'Energieverbruik in TJ Gemeente'!$B$4:$Q$4,0))</f>
        <v>191</v>
      </c>
      <c r="R245">
        <f>INDEX('Energieverbruik in TJ Gemeente'!$B$4:$Q$347,MATCH($C245,'Energieverbruik in TJ Gemeente'!$B$4:$B$347,0),MATCH(R$2,'Energieverbruik in TJ Gemeente'!$B$4:$Q$4,0))</f>
        <v>277</v>
      </c>
      <c r="S245" cm="1">
        <f t="array" ref="S245">MAX(_xlfn._xlws.FILTER(D$1:H$1, D245:H245&lt;&gt;"?"))</f>
        <v>2023</v>
      </c>
      <c r="T245" cm="1">
        <f t="array" ref="T245">MAX(_xlfn._xlws.FILTER(I$1:M$1, I245:M245&lt;&gt;"?"))</f>
        <v>2023</v>
      </c>
      <c r="U245" cm="1">
        <f t="array" ref="U245">MAX(_xlfn._xlws.FILTER(F$1:J$1, F245:J245&lt;&gt;"?"))</f>
        <v>2023</v>
      </c>
      <c r="V245">
        <f t="shared" si="15"/>
        <v>1431</v>
      </c>
      <c r="W245">
        <f t="shared" si="16"/>
        <v>515</v>
      </c>
      <c r="X245">
        <f t="shared" si="17"/>
        <v>277</v>
      </c>
      <c r="Y245">
        <f t="shared" si="18"/>
        <v>2223</v>
      </c>
      <c r="Z245">
        <f t="shared" si="19"/>
        <v>3.6944707583387347E-3</v>
      </c>
    </row>
    <row r="246" spans="1:26" ht="16" x14ac:dyDescent="0.2">
      <c r="A246" s="4" t="s">
        <v>743</v>
      </c>
      <c r="B246" s="4" t="s">
        <v>744</v>
      </c>
      <c r="C246" s="4" t="s">
        <v>745</v>
      </c>
      <c r="D246">
        <f>INDEX('Energieverbruik in TJ Gemeente'!$B$4:$Q$347,MATCH($C246,'Energieverbruik in TJ Gemeente'!$B$4:$B$347,0),MATCH(D$2,'Energieverbruik in TJ Gemeente'!$B$4:$Q$4,0))</f>
        <v>14705</v>
      </c>
      <c r="E246">
        <f>INDEX('Energieverbruik in TJ Gemeente'!$B$4:$Q$347,MATCH($C246,'Energieverbruik in TJ Gemeente'!$B$4:$B$347,0),MATCH(E$2,'Energieverbruik in TJ Gemeente'!$B$4:$Q$4,0))</f>
        <v>14303</v>
      </c>
      <c r="F246">
        <f>INDEX('Energieverbruik in TJ Gemeente'!$B$4:$Q$347,MATCH($C246,'Energieverbruik in TJ Gemeente'!$B$4:$B$347,0),MATCH(F$2,'Energieverbruik in TJ Gemeente'!$B$4:$Q$4,0))</f>
        <v>14300</v>
      </c>
      <c r="G246">
        <f>INDEX('Energieverbruik in TJ Gemeente'!$B$4:$Q$347,MATCH($C246,'Energieverbruik in TJ Gemeente'!$B$4:$B$347,0),MATCH(G$2,'Energieverbruik in TJ Gemeente'!$B$4:$Q$4,0))</f>
        <v>12012</v>
      </c>
      <c r="H246">
        <f>INDEX('Energieverbruik in TJ Gemeente'!$B$4:$Q$347,MATCH($C246,'Energieverbruik in TJ Gemeente'!$B$4:$B$347,0),MATCH(H$2,'Energieverbruik in TJ Gemeente'!$B$4:$Q$4,0))</f>
        <v>11527</v>
      </c>
      <c r="I246">
        <f>INDEX('Energieverbruik in TJ Gemeente'!$B$4:$Q$347,MATCH($C246,'Energieverbruik in TJ Gemeente'!$B$4:$B$347,0),MATCH(I$2,'Energieverbruik in TJ Gemeente'!$B$4:$Q$4,0))</f>
        <v>118704</v>
      </c>
      <c r="J246">
        <f>INDEX('Energieverbruik in TJ Gemeente'!$B$4:$Q$347,MATCH($C246,'Energieverbruik in TJ Gemeente'!$B$4:$B$347,0),MATCH(J$2,'Energieverbruik in TJ Gemeente'!$B$4:$Q$4,0))</f>
        <v>118600</v>
      </c>
      <c r="K246">
        <f>INDEX('Energieverbruik in TJ Gemeente'!$B$4:$Q$347,MATCH($C246,'Energieverbruik in TJ Gemeente'!$B$4:$B$347,0),MATCH(K$2,'Energieverbruik in TJ Gemeente'!$B$4:$Q$4,0))</f>
        <v>114916</v>
      </c>
      <c r="L246">
        <f>INDEX('Energieverbruik in TJ Gemeente'!$B$4:$Q$347,MATCH($C246,'Energieverbruik in TJ Gemeente'!$B$4:$B$347,0),MATCH(L$2,'Energieverbruik in TJ Gemeente'!$B$4:$Q$4,0))</f>
        <v>86154</v>
      </c>
      <c r="M246">
        <f>INDEX('Energieverbruik in TJ Gemeente'!$B$4:$Q$347,MATCH($C246,'Energieverbruik in TJ Gemeente'!$B$4:$B$347,0),MATCH(M$2,'Energieverbruik in TJ Gemeente'!$B$4:$Q$4,0))</f>
        <v>87873</v>
      </c>
      <c r="N246">
        <f>INDEX('Energieverbruik in TJ Gemeente'!$B$4:$Q$347,MATCH($C246,'Energieverbruik in TJ Gemeente'!$B$4:$B$347,0),MATCH(N$2,'Energieverbruik in TJ Gemeente'!$B$4:$Q$4,0))</f>
        <v>929</v>
      </c>
      <c r="O246">
        <f>INDEX('Energieverbruik in TJ Gemeente'!$B$4:$Q$347,MATCH($C246,'Energieverbruik in TJ Gemeente'!$B$4:$B$347,0),MATCH(O$2,'Energieverbruik in TJ Gemeente'!$B$4:$Q$4,0))</f>
        <v>927</v>
      </c>
      <c r="P246">
        <f>INDEX('Energieverbruik in TJ Gemeente'!$B$4:$Q$347,MATCH($C246,'Energieverbruik in TJ Gemeente'!$B$4:$B$347,0),MATCH(P$2,'Energieverbruik in TJ Gemeente'!$B$4:$Q$4,0))</f>
        <v>977</v>
      </c>
      <c r="Q246">
        <f>INDEX('Energieverbruik in TJ Gemeente'!$B$4:$Q$347,MATCH($C246,'Energieverbruik in TJ Gemeente'!$B$4:$B$347,0),MATCH(Q$2,'Energieverbruik in TJ Gemeente'!$B$4:$Q$4,0))</f>
        <v>718</v>
      </c>
      <c r="R246">
        <f>INDEX('Energieverbruik in TJ Gemeente'!$B$4:$Q$347,MATCH($C246,'Energieverbruik in TJ Gemeente'!$B$4:$B$347,0),MATCH(R$2,'Energieverbruik in TJ Gemeente'!$B$4:$Q$4,0))</f>
        <v>780</v>
      </c>
      <c r="S246" cm="1">
        <f t="array" ref="S246">MAX(_xlfn._xlws.FILTER(D$1:H$1, D246:H246&lt;&gt;"?"))</f>
        <v>2023</v>
      </c>
      <c r="T246" cm="1">
        <f t="array" ref="T246">MAX(_xlfn._xlws.FILTER(I$1:M$1, I246:M246&lt;&gt;"?"))</f>
        <v>2023</v>
      </c>
      <c r="U246" cm="1">
        <f t="array" ref="U246">MAX(_xlfn._xlws.FILTER(F$1:J$1, F246:J246&lt;&gt;"?"))</f>
        <v>2023</v>
      </c>
      <c r="V246">
        <f t="shared" si="15"/>
        <v>11527</v>
      </c>
      <c r="W246">
        <f t="shared" si="16"/>
        <v>87873</v>
      </c>
      <c r="X246">
        <f t="shared" si="17"/>
        <v>780</v>
      </c>
      <c r="Y246">
        <f t="shared" si="18"/>
        <v>100180</v>
      </c>
      <c r="Z246">
        <f t="shared" si="19"/>
        <v>0.16649216399926875</v>
      </c>
    </row>
    <row r="247" spans="1:26" ht="16" x14ac:dyDescent="0.2">
      <c r="A247" s="4" t="s">
        <v>746</v>
      </c>
      <c r="B247" s="4" t="s">
        <v>747</v>
      </c>
      <c r="C247" s="4" t="s">
        <v>748</v>
      </c>
      <c r="D247" t="str">
        <f>INDEX('Energieverbruik in TJ Gemeente'!$B$4:$Q$347,MATCH($C247,'Energieverbruik in TJ Gemeente'!$B$4:$B$347,0),MATCH(D$2,'Energieverbruik in TJ Gemeente'!$B$4:$Q$4,0))</f>
        <v>?</v>
      </c>
      <c r="E247" t="str">
        <f>INDEX('Energieverbruik in TJ Gemeente'!$B$4:$Q$347,MATCH($C247,'Energieverbruik in TJ Gemeente'!$B$4:$B$347,0),MATCH(E$2,'Energieverbruik in TJ Gemeente'!$B$4:$Q$4,0))</f>
        <v>?</v>
      </c>
      <c r="F247" t="str">
        <f>INDEX('Energieverbruik in TJ Gemeente'!$B$4:$Q$347,MATCH($C247,'Energieverbruik in TJ Gemeente'!$B$4:$B$347,0),MATCH(F$2,'Energieverbruik in TJ Gemeente'!$B$4:$Q$4,0))</f>
        <v>?</v>
      </c>
      <c r="G247">
        <f>INDEX('Energieverbruik in TJ Gemeente'!$B$4:$Q$347,MATCH($C247,'Energieverbruik in TJ Gemeente'!$B$4:$B$347,0),MATCH(G$2,'Energieverbruik in TJ Gemeente'!$B$4:$Q$4,0))</f>
        <v>48</v>
      </c>
      <c r="H247" t="str">
        <f>INDEX('Energieverbruik in TJ Gemeente'!$B$4:$Q$347,MATCH($C247,'Energieverbruik in TJ Gemeente'!$B$4:$B$347,0),MATCH(H$2,'Energieverbruik in TJ Gemeente'!$B$4:$Q$4,0))</f>
        <v>?</v>
      </c>
      <c r="I247" t="str">
        <f>INDEX('Energieverbruik in TJ Gemeente'!$B$4:$Q$347,MATCH($C247,'Energieverbruik in TJ Gemeente'!$B$4:$B$347,0),MATCH(I$2,'Energieverbruik in TJ Gemeente'!$B$4:$Q$4,0))</f>
        <v>?</v>
      </c>
      <c r="J247" t="str">
        <f>INDEX('Energieverbruik in TJ Gemeente'!$B$4:$Q$347,MATCH($C247,'Energieverbruik in TJ Gemeente'!$B$4:$B$347,0),MATCH(J$2,'Energieverbruik in TJ Gemeente'!$B$4:$Q$4,0))</f>
        <v>?</v>
      </c>
      <c r="K247" t="str">
        <f>INDEX('Energieverbruik in TJ Gemeente'!$B$4:$Q$347,MATCH($C247,'Energieverbruik in TJ Gemeente'!$B$4:$B$347,0),MATCH(K$2,'Energieverbruik in TJ Gemeente'!$B$4:$Q$4,0))</f>
        <v>?</v>
      </c>
      <c r="L247" t="str">
        <f>INDEX('Energieverbruik in TJ Gemeente'!$B$4:$Q$347,MATCH($C247,'Energieverbruik in TJ Gemeente'!$B$4:$B$347,0),MATCH(L$2,'Energieverbruik in TJ Gemeente'!$B$4:$Q$4,0))</f>
        <v>?</v>
      </c>
      <c r="M247" t="str">
        <f>INDEX('Energieverbruik in TJ Gemeente'!$B$4:$Q$347,MATCH($C247,'Energieverbruik in TJ Gemeente'!$B$4:$B$347,0),MATCH(M$2,'Energieverbruik in TJ Gemeente'!$B$4:$Q$4,0))</f>
        <v>?</v>
      </c>
      <c r="N247" t="str">
        <f>INDEX('Energieverbruik in TJ Gemeente'!$B$4:$Q$347,MATCH($C247,'Energieverbruik in TJ Gemeente'!$B$4:$B$347,0),MATCH(N$2,'Energieverbruik in TJ Gemeente'!$B$4:$Q$4,0))</f>
        <v>?</v>
      </c>
      <c r="O247" t="str">
        <f>INDEX('Energieverbruik in TJ Gemeente'!$B$4:$Q$347,MATCH($C247,'Energieverbruik in TJ Gemeente'!$B$4:$B$347,0),MATCH(O$2,'Energieverbruik in TJ Gemeente'!$B$4:$Q$4,0))</f>
        <v>?</v>
      </c>
      <c r="P247" t="str">
        <f>INDEX('Energieverbruik in TJ Gemeente'!$B$4:$Q$347,MATCH($C247,'Energieverbruik in TJ Gemeente'!$B$4:$B$347,0),MATCH(P$2,'Energieverbruik in TJ Gemeente'!$B$4:$Q$4,0))</f>
        <v>?</v>
      </c>
      <c r="Q247" t="str">
        <f>INDEX('Energieverbruik in TJ Gemeente'!$B$4:$Q$347,MATCH($C247,'Energieverbruik in TJ Gemeente'!$B$4:$B$347,0),MATCH(Q$2,'Energieverbruik in TJ Gemeente'!$B$4:$Q$4,0))</f>
        <v>?</v>
      </c>
      <c r="R247" t="str">
        <f>INDEX('Energieverbruik in TJ Gemeente'!$B$4:$Q$347,MATCH($C247,'Energieverbruik in TJ Gemeente'!$B$4:$B$347,0),MATCH(R$2,'Energieverbruik in TJ Gemeente'!$B$4:$Q$4,0))</f>
        <v>?</v>
      </c>
      <c r="S247" cm="1">
        <f t="array" ref="S247">MAX(_xlfn._xlws.FILTER(D$1:H$1, D247:H247&lt;&gt;"?"))</f>
        <v>2022</v>
      </c>
      <c r="T247" t="e" cm="1" vm="1">
        <f t="array" ref="T247">MAX(_xlfn._xlws.FILTER(I$1:M$1, I247:M247&lt;&gt;"?"))</f>
        <v>#VALUE!</v>
      </c>
      <c r="U247" cm="1">
        <f t="array" ref="U247">MAX(_xlfn._xlws.FILTER(F$1:J$1, F247:J247&lt;&gt;"?"))</f>
        <v>2022</v>
      </c>
      <c r="V247">
        <f t="shared" si="15"/>
        <v>48</v>
      </c>
      <c r="W247">
        <f t="shared" si="16"/>
        <v>0</v>
      </c>
      <c r="X247" t="str">
        <f t="shared" si="17"/>
        <v>?</v>
      </c>
      <c r="Y247">
        <f t="shared" si="18"/>
        <v>48</v>
      </c>
      <c r="Z247">
        <f t="shared" si="19"/>
        <v>7.9772647953333005E-5</v>
      </c>
    </row>
    <row r="248" spans="1:26" ht="16" x14ac:dyDescent="0.2">
      <c r="A248" s="4" t="s">
        <v>749</v>
      </c>
      <c r="B248" s="4" t="s">
        <v>750</v>
      </c>
      <c r="C248" s="4" t="s">
        <v>751</v>
      </c>
      <c r="D248">
        <f>INDEX('Energieverbruik in TJ Gemeente'!$B$4:$Q$347,MATCH($C248,'Energieverbruik in TJ Gemeente'!$B$4:$B$347,0),MATCH(D$2,'Energieverbruik in TJ Gemeente'!$B$4:$Q$4,0))</f>
        <v>604</v>
      </c>
      <c r="E248" t="str">
        <f>INDEX('Energieverbruik in TJ Gemeente'!$B$4:$Q$347,MATCH($C248,'Energieverbruik in TJ Gemeente'!$B$4:$B$347,0),MATCH(E$2,'Energieverbruik in TJ Gemeente'!$B$4:$Q$4,0))</f>
        <v>?</v>
      </c>
      <c r="F248" t="str">
        <f>INDEX('Energieverbruik in TJ Gemeente'!$B$4:$Q$347,MATCH($C248,'Energieverbruik in TJ Gemeente'!$B$4:$B$347,0),MATCH(F$2,'Energieverbruik in TJ Gemeente'!$B$4:$Q$4,0))</f>
        <v>?</v>
      </c>
      <c r="G248">
        <f>INDEX('Energieverbruik in TJ Gemeente'!$B$4:$Q$347,MATCH($C248,'Energieverbruik in TJ Gemeente'!$B$4:$B$347,0),MATCH(G$2,'Energieverbruik in TJ Gemeente'!$B$4:$Q$4,0))</f>
        <v>514</v>
      </c>
      <c r="H248">
        <f>INDEX('Energieverbruik in TJ Gemeente'!$B$4:$Q$347,MATCH($C248,'Energieverbruik in TJ Gemeente'!$B$4:$B$347,0),MATCH(H$2,'Energieverbruik in TJ Gemeente'!$B$4:$Q$4,0))</f>
        <v>425</v>
      </c>
      <c r="I248">
        <f>INDEX('Energieverbruik in TJ Gemeente'!$B$4:$Q$347,MATCH($C248,'Energieverbruik in TJ Gemeente'!$B$4:$B$347,0),MATCH(I$2,'Energieverbruik in TJ Gemeente'!$B$4:$Q$4,0))</f>
        <v>80</v>
      </c>
      <c r="J248">
        <f>INDEX('Energieverbruik in TJ Gemeente'!$B$4:$Q$347,MATCH($C248,'Energieverbruik in TJ Gemeente'!$B$4:$B$347,0),MATCH(J$2,'Energieverbruik in TJ Gemeente'!$B$4:$Q$4,0))</f>
        <v>78</v>
      </c>
      <c r="K248">
        <f>INDEX('Energieverbruik in TJ Gemeente'!$B$4:$Q$347,MATCH($C248,'Energieverbruik in TJ Gemeente'!$B$4:$B$347,0),MATCH(K$2,'Energieverbruik in TJ Gemeente'!$B$4:$Q$4,0))</f>
        <v>85</v>
      </c>
      <c r="L248">
        <f>INDEX('Energieverbruik in TJ Gemeente'!$B$4:$Q$347,MATCH($C248,'Energieverbruik in TJ Gemeente'!$B$4:$B$347,0),MATCH(L$2,'Energieverbruik in TJ Gemeente'!$B$4:$Q$4,0))</f>
        <v>84</v>
      </c>
      <c r="M248">
        <f>INDEX('Energieverbruik in TJ Gemeente'!$B$4:$Q$347,MATCH($C248,'Energieverbruik in TJ Gemeente'!$B$4:$B$347,0),MATCH(M$2,'Energieverbruik in TJ Gemeente'!$B$4:$Q$4,0))</f>
        <v>83</v>
      </c>
      <c r="N248">
        <f>INDEX('Energieverbruik in TJ Gemeente'!$B$4:$Q$347,MATCH($C248,'Energieverbruik in TJ Gemeente'!$B$4:$B$347,0),MATCH(N$2,'Energieverbruik in TJ Gemeente'!$B$4:$Q$4,0))</f>
        <v>54</v>
      </c>
      <c r="O248">
        <f>INDEX('Energieverbruik in TJ Gemeente'!$B$4:$Q$347,MATCH($C248,'Energieverbruik in TJ Gemeente'!$B$4:$B$347,0),MATCH(O$2,'Energieverbruik in TJ Gemeente'!$B$4:$Q$4,0))</f>
        <v>42</v>
      </c>
      <c r="P248">
        <f>INDEX('Energieverbruik in TJ Gemeente'!$B$4:$Q$347,MATCH($C248,'Energieverbruik in TJ Gemeente'!$B$4:$B$347,0),MATCH(P$2,'Energieverbruik in TJ Gemeente'!$B$4:$Q$4,0))</f>
        <v>49</v>
      </c>
      <c r="Q248">
        <f>INDEX('Energieverbruik in TJ Gemeente'!$B$4:$Q$347,MATCH($C248,'Energieverbruik in TJ Gemeente'!$B$4:$B$347,0),MATCH(Q$2,'Energieverbruik in TJ Gemeente'!$B$4:$Q$4,0))</f>
        <v>39</v>
      </c>
      <c r="R248">
        <f>INDEX('Energieverbruik in TJ Gemeente'!$B$4:$Q$347,MATCH($C248,'Energieverbruik in TJ Gemeente'!$B$4:$B$347,0),MATCH(R$2,'Energieverbruik in TJ Gemeente'!$B$4:$Q$4,0))</f>
        <v>30</v>
      </c>
      <c r="S248" cm="1">
        <f t="array" ref="S248">MAX(_xlfn._xlws.FILTER(D$1:H$1, D248:H248&lt;&gt;"?"))</f>
        <v>2023</v>
      </c>
      <c r="T248" cm="1">
        <f t="array" ref="T248">MAX(_xlfn._xlws.FILTER(I$1:M$1, I248:M248&lt;&gt;"?"))</f>
        <v>2023</v>
      </c>
      <c r="U248" cm="1">
        <f t="array" ref="U248">MAX(_xlfn._xlws.FILTER(F$1:J$1, F248:J248&lt;&gt;"?"))</f>
        <v>2023</v>
      </c>
      <c r="V248">
        <f t="shared" si="15"/>
        <v>425</v>
      </c>
      <c r="W248">
        <f t="shared" si="16"/>
        <v>83</v>
      </c>
      <c r="X248">
        <f t="shared" si="17"/>
        <v>30</v>
      </c>
      <c r="Y248">
        <f t="shared" si="18"/>
        <v>538</v>
      </c>
      <c r="Z248">
        <f t="shared" si="19"/>
        <v>8.9411842914360743E-4</v>
      </c>
    </row>
    <row r="249" spans="1:26" ht="16" x14ac:dyDescent="0.2">
      <c r="A249" s="4" t="s">
        <v>752</v>
      </c>
      <c r="B249" s="4" t="s">
        <v>753</v>
      </c>
      <c r="C249" s="4" t="s">
        <v>754</v>
      </c>
      <c r="D249">
        <f>INDEX('Energieverbruik in TJ Gemeente'!$B$4:$Q$347,MATCH($C249,'Energieverbruik in TJ Gemeente'!$B$4:$B$347,0),MATCH(D$2,'Energieverbruik in TJ Gemeente'!$B$4:$Q$4,0))</f>
        <v>1242</v>
      </c>
      <c r="E249">
        <f>INDEX('Energieverbruik in TJ Gemeente'!$B$4:$Q$347,MATCH($C249,'Energieverbruik in TJ Gemeente'!$B$4:$B$347,0),MATCH(E$2,'Energieverbruik in TJ Gemeente'!$B$4:$Q$4,0))</f>
        <v>1218</v>
      </c>
      <c r="F249">
        <f>INDEX('Energieverbruik in TJ Gemeente'!$B$4:$Q$347,MATCH($C249,'Energieverbruik in TJ Gemeente'!$B$4:$B$347,0),MATCH(F$2,'Energieverbruik in TJ Gemeente'!$B$4:$Q$4,0))</f>
        <v>1248</v>
      </c>
      <c r="G249">
        <f>INDEX('Energieverbruik in TJ Gemeente'!$B$4:$Q$347,MATCH($C249,'Energieverbruik in TJ Gemeente'!$B$4:$B$347,0),MATCH(G$2,'Energieverbruik in TJ Gemeente'!$B$4:$Q$4,0))</f>
        <v>1079</v>
      </c>
      <c r="H249" t="str">
        <f>INDEX('Energieverbruik in TJ Gemeente'!$B$4:$Q$347,MATCH($C249,'Energieverbruik in TJ Gemeente'!$B$4:$B$347,0),MATCH(H$2,'Energieverbruik in TJ Gemeente'!$B$4:$Q$4,0))</f>
        <v>?</v>
      </c>
      <c r="I249" t="str">
        <f>INDEX('Energieverbruik in TJ Gemeente'!$B$4:$Q$347,MATCH($C249,'Energieverbruik in TJ Gemeente'!$B$4:$B$347,0),MATCH(I$2,'Energieverbruik in TJ Gemeente'!$B$4:$Q$4,0))</f>
        <v>?</v>
      </c>
      <c r="J249" t="str">
        <f>INDEX('Energieverbruik in TJ Gemeente'!$B$4:$Q$347,MATCH($C249,'Energieverbruik in TJ Gemeente'!$B$4:$B$347,0),MATCH(J$2,'Energieverbruik in TJ Gemeente'!$B$4:$Q$4,0))</f>
        <v>?</v>
      </c>
      <c r="K249" t="str">
        <f>INDEX('Energieverbruik in TJ Gemeente'!$B$4:$Q$347,MATCH($C249,'Energieverbruik in TJ Gemeente'!$B$4:$B$347,0),MATCH(K$2,'Energieverbruik in TJ Gemeente'!$B$4:$Q$4,0))</f>
        <v>?</v>
      </c>
      <c r="L249">
        <f>INDEX('Energieverbruik in TJ Gemeente'!$B$4:$Q$347,MATCH($C249,'Energieverbruik in TJ Gemeente'!$B$4:$B$347,0),MATCH(L$2,'Energieverbruik in TJ Gemeente'!$B$4:$Q$4,0))</f>
        <v>92</v>
      </c>
      <c r="M249">
        <f>INDEX('Energieverbruik in TJ Gemeente'!$B$4:$Q$347,MATCH($C249,'Energieverbruik in TJ Gemeente'!$B$4:$B$347,0),MATCH(M$2,'Energieverbruik in TJ Gemeente'!$B$4:$Q$4,0))</f>
        <v>84</v>
      </c>
      <c r="N249" t="str">
        <f>INDEX('Energieverbruik in TJ Gemeente'!$B$4:$Q$347,MATCH($C249,'Energieverbruik in TJ Gemeente'!$B$4:$B$347,0),MATCH(N$2,'Energieverbruik in TJ Gemeente'!$B$4:$Q$4,0))</f>
        <v>?</v>
      </c>
      <c r="O249" t="str">
        <f>INDEX('Energieverbruik in TJ Gemeente'!$B$4:$Q$347,MATCH($C249,'Energieverbruik in TJ Gemeente'!$B$4:$B$347,0),MATCH(O$2,'Energieverbruik in TJ Gemeente'!$B$4:$Q$4,0))</f>
        <v>?</v>
      </c>
      <c r="P249" t="str">
        <f>INDEX('Energieverbruik in TJ Gemeente'!$B$4:$Q$347,MATCH($C249,'Energieverbruik in TJ Gemeente'!$B$4:$B$347,0),MATCH(P$2,'Energieverbruik in TJ Gemeente'!$B$4:$Q$4,0))</f>
        <v>?</v>
      </c>
      <c r="Q249">
        <f>INDEX('Energieverbruik in TJ Gemeente'!$B$4:$Q$347,MATCH($C249,'Energieverbruik in TJ Gemeente'!$B$4:$B$347,0),MATCH(Q$2,'Energieverbruik in TJ Gemeente'!$B$4:$Q$4,0))</f>
        <v>166</v>
      </c>
      <c r="R249" t="str">
        <f>INDEX('Energieverbruik in TJ Gemeente'!$B$4:$Q$347,MATCH($C249,'Energieverbruik in TJ Gemeente'!$B$4:$B$347,0),MATCH(R$2,'Energieverbruik in TJ Gemeente'!$B$4:$Q$4,0))</f>
        <v>?</v>
      </c>
      <c r="S249" cm="1">
        <f t="array" ref="S249">MAX(_xlfn._xlws.FILTER(D$1:H$1, D249:H249&lt;&gt;"?"))</f>
        <v>2022</v>
      </c>
      <c r="T249" cm="1">
        <f t="array" ref="T249">MAX(_xlfn._xlws.FILTER(I$1:M$1, I249:M249&lt;&gt;"?"))</f>
        <v>2023</v>
      </c>
      <c r="U249" cm="1">
        <f t="array" ref="U249">MAX(_xlfn._xlws.FILTER(F$1:J$1, F249:J249&lt;&gt;"?"))</f>
        <v>2022</v>
      </c>
      <c r="V249">
        <f t="shared" si="15"/>
        <v>1079</v>
      </c>
      <c r="W249">
        <f t="shared" si="16"/>
        <v>84</v>
      </c>
      <c r="X249">
        <f t="shared" si="17"/>
        <v>166</v>
      </c>
      <c r="Y249">
        <f t="shared" si="18"/>
        <v>1329</v>
      </c>
      <c r="Z249">
        <f t="shared" si="19"/>
        <v>2.2087051902079076E-3</v>
      </c>
    </row>
    <row r="250" spans="1:26" ht="32" x14ac:dyDescent="0.2">
      <c r="A250" s="4" t="s">
        <v>755</v>
      </c>
      <c r="B250" s="4" t="s">
        <v>756</v>
      </c>
      <c r="C250" s="4" t="s">
        <v>757</v>
      </c>
      <c r="D250" t="str">
        <f>INDEX('Energieverbruik in TJ Gemeente'!$B$4:$Q$347,MATCH($C250,'Energieverbruik in TJ Gemeente'!$B$4:$B$347,0),MATCH(D$2,'Energieverbruik in TJ Gemeente'!$B$4:$Q$4,0))</f>
        <v>?</v>
      </c>
      <c r="E250" t="str">
        <f>INDEX('Energieverbruik in TJ Gemeente'!$B$4:$Q$347,MATCH($C250,'Energieverbruik in TJ Gemeente'!$B$4:$B$347,0),MATCH(E$2,'Energieverbruik in TJ Gemeente'!$B$4:$Q$4,0))</f>
        <v>?</v>
      </c>
      <c r="F250">
        <f>INDEX('Energieverbruik in TJ Gemeente'!$B$4:$Q$347,MATCH($C250,'Energieverbruik in TJ Gemeente'!$B$4:$B$347,0),MATCH(F$2,'Energieverbruik in TJ Gemeente'!$B$4:$Q$4,0))</f>
        <v>222</v>
      </c>
      <c r="G250">
        <f>INDEX('Energieverbruik in TJ Gemeente'!$B$4:$Q$347,MATCH($C250,'Energieverbruik in TJ Gemeente'!$B$4:$B$347,0),MATCH(G$2,'Energieverbruik in TJ Gemeente'!$B$4:$Q$4,0))</f>
        <v>194</v>
      </c>
      <c r="H250">
        <f>INDEX('Energieverbruik in TJ Gemeente'!$B$4:$Q$347,MATCH($C250,'Energieverbruik in TJ Gemeente'!$B$4:$B$347,0),MATCH(H$2,'Energieverbruik in TJ Gemeente'!$B$4:$Q$4,0))</f>
        <v>160</v>
      </c>
      <c r="I250">
        <f>INDEX('Energieverbruik in TJ Gemeente'!$B$4:$Q$347,MATCH($C250,'Energieverbruik in TJ Gemeente'!$B$4:$B$347,0),MATCH(I$2,'Energieverbruik in TJ Gemeente'!$B$4:$Q$4,0))</f>
        <v>88</v>
      </c>
      <c r="J250">
        <f>INDEX('Energieverbruik in TJ Gemeente'!$B$4:$Q$347,MATCH($C250,'Energieverbruik in TJ Gemeente'!$B$4:$B$347,0),MATCH(J$2,'Energieverbruik in TJ Gemeente'!$B$4:$Q$4,0))</f>
        <v>76</v>
      </c>
      <c r="K250">
        <f>INDEX('Energieverbruik in TJ Gemeente'!$B$4:$Q$347,MATCH($C250,'Energieverbruik in TJ Gemeente'!$B$4:$B$347,0),MATCH(K$2,'Energieverbruik in TJ Gemeente'!$B$4:$Q$4,0))</f>
        <v>79</v>
      </c>
      <c r="L250">
        <f>INDEX('Energieverbruik in TJ Gemeente'!$B$4:$Q$347,MATCH($C250,'Energieverbruik in TJ Gemeente'!$B$4:$B$347,0),MATCH(L$2,'Energieverbruik in TJ Gemeente'!$B$4:$Q$4,0))</f>
        <v>74</v>
      </c>
      <c r="M250">
        <f>INDEX('Energieverbruik in TJ Gemeente'!$B$4:$Q$347,MATCH($C250,'Energieverbruik in TJ Gemeente'!$B$4:$B$347,0),MATCH(M$2,'Energieverbruik in TJ Gemeente'!$B$4:$Q$4,0))</f>
        <v>72</v>
      </c>
      <c r="N250">
        <f>INDEX('Energieverbruik in TJ Gemeente'!$B$4:$Q$347,MATCH($C250,'Energieverbruik in TJ Gemeente'!$B$4:$B$347,0),MATCH(N$2,'Energieverbruik in TJ Gemeente'!$B$4:$Q$4,0))</f>
        <v>2</v>
      </c>
      <c r="O250" t="str">
        <f>INDEX('Energieverbruik in TJ Gemeente'!$B$4:$Q$347,MATCH($C250,'Energieverbruik in TJ Gemeente'!$B$4:$B$347,0),MATCH(O$2,'Energieverbruik in TJ Gemeente'!$B$4:$Q$4,0))</f>
        <v>?</v>
      </c>
      <c r="P250" t="str">
        <f>INDEX('Energieverbruik in TJ Gemeente'!$B$4:$Q$347,MATCH($C250,'Energieverbruik in TJ Gemeente'!$B$4:$B$347,0),MATCH(P$2,'Energieverbruik in TJ Gemeente'!$B$4:$Q$4,0))</f>
        <v>?</v>
      </c>
      <c r="Q250" t="str">
        <f>INDEX('Energieverbruik in TJ Gemeente'!$B$4:$Q$347,MATCH($C250,'Energieverbruik in TJ Gemeente'!$B$4:$B$347,0),MATCH(Q$2,'Energieverbruik in TJ Gemeente'!$B$4:$Q$4,0))</f>
        <v>?</v>
      </c>
      <c r="R250" t="str">
        <f>INDEX('Energieverbruik in TJ Gemeente'!$B$4:$Q$347,MATCH($C250,'Energieverbruik in TJ Gemeente'!$B$4:$B$347,0),MATCH(R$2,'Energieverbruik in TJ Gemeente'!$B$4:$Q$4,0))</f>
        <v>?</v>
      </c>
      <c r="S250" cm="1">
        <f t="array" ref="S250">MAX(_xlfn._xlws.FILTER(D$1:H$1, D250:H250&lt;&gt;"?"))</f>
        <v>2023</v>
      </c>
      <c r="T250" cm="1">
        <f t="array" ref="T250">MAX(_xlfn._xlws.FILTER(I$1:M$1, I250:M250&lt;&gt;"?"))</f>
        <v>2023</v>
      </c>
      <c r="U250" cm="1">
        <f t="array" ref="U250">MAX(_xlfn._xlws.FILTER(F$1:J$1, F250:J250&lt;&gt;"?"))</f>
        <v>2023</v>
      </c>
      <c r="V250">
        <f t="shared" si="15"/>
        <v>160</v>
      </c>
      <c r="W250">
        <f t="shared" si="16"/>
        <v>72</v>
      </c>
      <c r="X250" t="str">
        <f t="shared" si="17"/>
        <v>?</v>
      </c>
      <c r="Y250">
        <f t="shared" si="18"/>
        <v>232</v>
      </c>
      <c r="Z250">
        <f t="shared" si="19"/>
        <v>3.8556779844110952E-4</v>
      </c>
    </row>
    <row r="251" spans="1:26" ht="16" x14ac:dyDescent="0.2">
      <c r="A251" s="4" t="s">
        <v>758</v>
      </c>
      <c r="B251" s="4" t="s">
        <v>759</v>
      </c>
      <c r="C251" s="4" t="s">
        <v>760</v>
      </c>
      <c r="D251">
        <f>INDEX('Energieverbruik in TJ Gemeente'!$B$4:$Q$347,MATCH($C251,'Energieverbruik in TJ Gemeente'!$B$4:$B$347,0),MATCH(D$2,'Energieverbruik in TJ Gemeente'!$B$4:$Q$4,0))</f>
        <v>1655</v>
      </c>
      <c r="E251">
        <f>INDEX('Energieverbruik in TJ Gemeente'!$B$4:$Q$347,MATCH($C251,'Energieverbruik in TJ Gemeente'!$B$4:$B$347,0),MATCH(E$2,'Energieverbruik in TJ Gemeente'!$B$4:$Q$4,0))</f>
        <v>1617</v>
      </c>
      <c r="F251">
        <f>INDEX('Energieverbruik in TJ Gemeente'!$B$4:$Q$347,MATCH($C251,'Energieverbruik in TJ Gemeente'!$B$4:$B$347,0),MATCH(F$2,'Energieverbruik in TJ Gemeente'!$B$4:$Q$4,0))</f>
        <v>1653</v>
      </c>
      <c r="G251">
        <f>INDEX('Energieverbruik in TJ Gemeente'!$B$4:$Q$347,MATCH($C251,'Energieverbruik in TJ Gemeente'!$B$4:$B$347,0),MATCH(G$2,'Energieverbruik in TJ Gemeente'!$B$4:$Q$4,0))</f>
        <v>1446</v>
      </c>
      <c r="H251">
        <f>INDEX('Energieverbruik in TJ Gemeente'!$B$4:$Q$347,MATCH($C251,'Energieverbruik in TJ Gemeente'!$B$4:$B$347,0),MATCH(H$2,'Energieverbruik in TJ Gemeente'!$B$4:$Q$4,0))</f>
        <v>1264</v>
      </c>
      <c r="I251">
        <f>INDEX('Energieverbruik in TJ Gemeente'!$B$4:$Q$347,MATCH($C251,'Energieverbruik in TJ Gemeente'!$B$4:$B$347,0),MATCH(I$2,'Energieverbruik in TJ Gemeente'!$B$4:$Q$4,0))</f>
        <v>142</v>
      </c>
      <c r="J251">
        <f>INDEX('Energieverbruik in TJ Gemeente'!$B$4:$Q$347,MATCH($C251,'Energieverbruik in TJ Gemeente'!$B$4:$B$347,0),MATCH(J$2,'Energieverbruik in TJ Gemeente'!$B$4:$Q$4,0))</f>
        <v>130</v>
      </c>
      <c r="K251">
        <f>INDEX('Energieverbruik in TJ Gemeente'!$B$4:$Q$347,MATCH($C251,'Energieverbruik in TJ Gemeente'!$B$4:$B$347,0),MATCH(K$2,'Energieverbruik in TJ Gemeente'!$B$4:$Q$4,0))</f>
        <v>150</v>
      </c>
      <c r="L251">
        <f>INDEX('Energieverbruik in TJ Gemeente'!$B$4:$Q$347,MATCH($C251,'Energieverbruik in TJ Gemeente'!$B$4:$B$347,0),MATCH(L$2,'Energieverbruik in TJ Gemeente'!$B$4:$Q$4,0))</f>
        <v>117</v>
      </c>
      <c r="M251">
        <f>INDEX('Energieverbruik in TJ Gemeente'!$B$4:$Q$347,MATCH($C251,'Energieverbruik in TJ Gemeente'!$B$4:$B$347,0),MATCH(M$2,'Energieverbruik in TJ Gemeente'!$B$4:$Q$4,0))</f>
        <v>116</v>
      </c>
      <c r="N251">
        <f>INDEX('Energieverbruik in TJ Gemeente'!$B$4:$Q$347,MATCH($C251,'Energieverbruik in TJ Gemeente'!$B$4:$B$347,0),MATCH(N$2,'Energieverbruik in TJ Gemeente'!$B$4:$Q$4,0))</f>
        <v>1</v>
      </c>
      <c r="O251">
        <f>INDEX('Energieverbruik in TJ Gemeente'!$B$4:$Q$347,MATCH($C251,'Energieverbruik in TJ Gemeente'!$B$4:$B$347,0),MATCH(O$2,'Energieverbruik in TJ Gemeente'!$B$4:$Q$4,0))</f>
        <v>1</v>
      </c>
      <c r="P251">
        <f>INDEX('Energieverbruik in TJ Gemeente'!$B$4:$Q$347,MATCH($C251,'Energieverbruik in TJ Gemeente'!$B$4:$B$347,0),MATCH(P$2,'Energieverbruik in TJ Gemeente'!$B$4:$Q$4,0))</f>
        <v>1</v>
      </c>
      <c r="Q251">
        <f>INDEX('Energieverbruik in TJ Gemeente'!$B$4:$Q$347,MATCH($C251,'Energieverbruik in TJ Gemeente'!$B$4:$B$347,0),MATCH(Q$2,'Energieverbruik in TJ Gemeente'!$B$4:$Q$4,0))</f>
        <v>0</v>
      </c>
      <c r="R251">
        <f>INDEX('Energieverbruik in TJ Gemeente'!$B$4:$Q$347,MATCH($C251,'Energieverbruik in TJ Gemeente'!$B$4:$B$347,0),MATCH(R$2,'Energieverbruik in TJ Gemeente'!$B$4:$Q$4,0))</f>
        <v>1</v>
      </c>
      <c r="S251" cm="1">
        <f t="array" ref="S251">MAX(_xlfn._xlws.FILTER(D$1:H$1, D251:H251&lt;&gt;"?"))</f>
        <v>2023</v>
      </c>
      <c r="T251" cm="1">
        <f t="array" ref="T251">MAX(_xlfn._xlws.FILTER(I$1:M$1, I251:M251&lt;&gt;"?"))</f>
        <v>2023</v>
      </c>
      <c r="U251" cm="1">
        <f t="array" ref="U251">MAX(_xlfn._xlws.FILTER(F$1:J$1, F251:J251&lt;&gt;"?"))</f>
        <v>2023</v>
      </c>
      <c r="V251">
        <f t="shared" si="15"/>
        <v>1264</v>
      </c>
      <c r="W251">
        <f t="shared" si="16"/>
        <v>116</v>
      </c>
      <c r="X251">
        <f t="shared" si="17"/>
        <v>1</v>
      </c>
      <c r="Y251">
        <f t="shared" si="18"/>
        <v>1381</v>
      </c>
      <c r="Z251">
        <f t="shared" si="19"/>
        <v>2.2951255588240182E-3</v>
      </c>
    </row>
    <row r="252" spans="1:26" ht="32" x14ac:dyDescent="0.2">
      <c r="A252" s="4" t="s">
        <v>761</v>
      </c>
      <c r="B252" s="4" t="s">
        <v>762</v>
      </c>
      <c r="C252" s="4" t="s">
        <v>763</v>
      </c>
      <c r="D252" t="str">
        <f>INDEX('Energieverbruik in TJ Gemeente'!$B$4:$Q$347,MATCH($C252,'Energieverbruik in TJ Gemeente'!$B$4:$B$347,0),MATCH(D$2,'Energieverbruik in TJ Gemeente'!$B$4:$Q$4,0))</f>
        <v>?</v>
      </c>
      <c r="E252" t="str">
        <f>INDEX('Energieverbruik in TJ Gemeente'!$B$4:$Q$347,MATCH($C252,'Energieverbruik in TJ Gemeente'!$B$4:$B$347,0),MATCH(E$2,'Energieverbruik in TJ Gemeente'!$B$4:$Q$4,0))</f>
        <v>?</v>
      </c>
      <c r="F252" t="str">
        <f>INDEX('Energieverbruik in TJ Gemeente'!$B$4:$Q$347,MATCH($C252,'Energieverbruik in TJ Gemeente'!$B$4:$B$347,0),MATCH(F$2,'Energieverbruik in TJ Gemeente'!$B$4:$Q$4,0))</f>
        <v>?</v>
      </c>
      <c r="G252">
        <f>INDEX('Energieverbruik in TJ Gemeente'!$B$4:$Q$347,MATCH($C252,'Energieverbruik in TJ Gemeente'!$B$4:$B$347,0),MATCH(G$2,'Energieverbruik in TJ Gemeente'!$B$4:$Q$4,0))</f>
        <v>59</v>
      </c>
      <c r="H252">
        <f>INDEX('Energieverbruik in TJ Gemeente'!$B$4:$Q$347,MATCH($C252,'Energieverbruik in TJ Gemeente'!$B$4:$B$347,0),MATCH(H$2,'Energieverbruik in TJ Gemeente'!$B$4:$Q$4,0))</f>
        <v>50</v>
      </c>
      <c r="I252" t="str">
        <f>INDEX('Energieverbruik in TJ Gemeente'!$B$4:$Q$347,MATCH($C252,'Energieverbruik in TJ Gemeente'!$B$4:$B$347,0),MATCH(I$2,'Energieverbruik in TJ Gemeente'!$B$4:$Q$4,0))</f>
        <v>?</v>
      </c>
      <c r="J252" t="str">
        <f>INDEX('Energieverbruik in TJ Gemeente'!$B$4:$Q$347,MATCH($C252,'Energieverbruik in TJ Gemeente'!$B$4:$B$347,0),MATCH(J$2,'Energieverbruik in TJ Gemeente'!$B$4:$Q$4,0))</f>
        <v>?</v>
      </c>
      <c r="K252" t="str">
        <f>INDEX('Energieverbruik in TJ Gemeente'!$B$4:$Q$347,MATCH($C252,'Energieverbruik in TJ Gemeente'!$B$4:$B$347,0),MATCH(K$2,'Energieverbruik in TJ Gemeente'!$B$4:$Q$4,0))</f>
        <v>?</v>
      </c>
      <c r="L252" t="str">
        <f>INDEX('Energieverbruik in TJ Gemeente'!$B$4:$Q$347,MATCH($C252,'Energieverbruik in TJ Gemeente'!$B$4:$B$347,0),MATCH(L$2,'Energieverbruik in TJ Gemeente'!$B$4:$Q$4,0))</f>
        <v>?</v>
      </c>
      <c r="M252" t="str">
        <f>INDEX('Energieverbruik in TJ Gemeente'!$B$4:$Q$347,MATCH($C252,'Energieverbruik in TJ Gemeente'!$B$4:$B$347,0),MATCH(M$2,'Energieverbruik in TJ Gemeente'!$B$4:$Q$4,0))</f>
        <v>?</v>
      </c>
      <c r="N252">
        <f>INDEX('Energieverbruik in TJ Gemeente'!$B$4:$Q$347,MATCH($C252,'Energieverbruik in TJ Gemeente'!$B$4:$B$347,0),MATCH(N$2,'Energieverbruik in TJ Gemeente'!$B$4:$Q$4,0))</f>
        <v>3</v>
      </c>
      <c r="O252">
        <f>INDEX('Energieverbruik in TJ Gemeente'!$B$4:$Q$347,MATCH($C252,'Energieverbruik in TJ Gemeente'!$B$4:$B$347,0),MATCH(O$2,'Energieverbruik in TJ Gemeente'!$B$4:$Q$4,0))</f>
        <v>3</v>
      </c>
      <c r="P252">
        <f>INDEX('Energieverbruik in TJ Gemeente'!$B$4:$Q$347,MATCH($C252,'Energieverbruik in TJ Gemeente'!$B$4:$B$347,0),MATCH(P$2,'Energieverbruik in TJ Gemeente'!$B$4:$Q$4,0))</f>
        <v>3</v>
      </c>
      <c r="Q252">
        <f>INDEX('Energieverbruik in TJ Gemeente'!$B$4:$Q$347,MATCH($C252,'Energieverbruik in TJ Gemeente'!$B$4:$B$347,0),MATCH(Q$2,'Energieverbruik in TJ Gemeente'!$B$4:$Q$4,0))</f>
        <v>3</v>
      </c>
      <c r="R252">
        <f>INDEX('Energieverbruik in TJ Gemeente'!$B$4:$Q$347,MATCH($C252,'Energieverbruik in TJ Gemeente'!$B$4:$B$347,0),MATCH(R$2,'Energieverbruik in TJ Gemeente'!$B$4:$Q$4,0))</f>
        <v>2</v>
      </c>
      <c r="S252" cm="1">
        <f t="array" ref="S252">MAX(_xlfn._xlws.FILTER(D$1:H$1, D252:H252&lt;&gt;"?"))</f>
        <v>2023</v>
      </c>
      <c r="T252" t="e" cm="1" vm="1">
        <f t="array" ref="T252">MAX(_xlfn._xlws.FILTER(I$1:M$1, I252:M252&lt;&gt;"?"))</f>
        <v>#VALUE!</v>
      </c>
      <c r="U252" cm="1">
        <f t="array" ref="U252">MAX(_xlfn._xlws.FILTER(F$1:J$1, F252:J252&lt;&gt;"?"))</f>
        <v>2023</v>
      </c>
      <c r="V252">
        <f t="shared" si="15"/>
        <v>50</v>
      </c>
      <c r="W252">
        <f t="shared" si="16"/>
        <v>0</v>
      </c>
      <c r="X252">
        <f t="shared" si="17"/>
        <v>2</v>
      </c>
      <c r="Y252">
        <f t="shared" si="18"/>
        <v>52</v>
      </c>
      <c r="Z252">
        <f t="shared" si="19"/>
        <v>8.6420368616110755E-5</v>
      </c>
    </row>
    <row r="253" spans="1:26" ht="32" x14ac:dyDescent="0.2">
      <c r="A253" s="4" t="s">
        <v>764</v>
      </c>
      <c r="B253" s="4" t="s">
        <v>765</v>
      </c>
      <c r="C253" s="4" t="s">
        <v>766</v>
      </c>
      <c r="D253">
        <f>INDEX('Energieverbruik in TJ Gemeente'!$B$4:$Q$347,MATCH($C253,'Energieverbruik in TJ Gemeente'!$B$4:$B$347,0),MATCH(D$2,'Energieverbruik in TJ Gemeente'!$B$4:$Q$4,0))</f>
        <v>1113</v>
      </c>
      <c r="E253">
        <f>INDEX('Energieverbruik in TJ Gemeente'!$B$4:$Q$347,MATCH($C253,'Energieverbruik in TJ Gemeente'!$B$4:$B$347,0),MATCH(E$2,'Energieverbruik in TJ Gemeente'!$B$4:$Q$4,0))</f>
        <v>1044</v>
      </c>
      <c r="F253">
        <f>INDEX('Energieverbruik in TJ Gemeente'!$B$4:$Q$347,MATCH($C253,'Energieverbruik in TJ Gemeente'!$B$4:$B$347,0),MATCH(F$2,'Energieverbruik in TJ Gemeente'!$B$4:$Q$4,0))</f>
        <v>1103</v>
      </c>
      <c r="G253">
        <f>INDEX('Energieverbruik in TJ Gemeente'!$B$4:$Q$347,MATCH($C253,'Energieverbruik in TJ Gemeente'!$B$4:$B$347,0),MATCH(G$2,'Energieverbruik in TJ Gemeente'!$B$4:$Q$4,0))</f>
        <v>962</v>
      </c>
      <c r="H253">
        <f>INDEX('Energieverbruik in TJ Gemeente'!$B$4:$Q$347,MATCH($C253,'Energieverbruik in TJ Gemeente'!$B$4:$B$347,0),MATCH(H$2,'Energieverbruik in TJ Gemeente'!$B$4:$Q$4,0))</f>
        <v>809</v>
      </c>
      <c r="I253">
        <f>INDEX('Energieverbruik in TJ Gemeente'!$B$4:$Q$347,MATCH($C253,'Energieverbruik in TJ Gemeente'!$B$4:$B$347,0),MATCH(I$2,'Energieverbruik in TJ Gemeente'!$B$4:$Q$4,0))</f>
        <v>57</v>
      </c>
      <c r="J253">
        <f>INDEX('Energieverbruik in TJ Gemeente'!$B$4:$Q$347,MATCH($C253,'Energieverbruik in TJ Gemeente'!$B$4:$B$347,0),MATCH(J$2,'Energieverbruik in TJ Gemeente'!$B$4:$Q$4,0))</f>
        <v>36</v>
      </c>
      <c r="K253">
        <f>INDEX('Energieverbruik in TJ Gemeente'!$B$4:$Q$347,MATCH($C253,'Energieverbruik in TJ Gemeente'!$B$4:$B$347,0),MATCH(K$2,'Energieverbruik in TJ Gemeente'!$B$4:$Q$4,0))</f>
        <v>57</v>
      </c>
      <c r="L253">
        <f>INDEX('Energieverbruik in TJ Gemeente'!$B$4:$Q$347,MATCH($C253,'Energieverbruik in TJ Gemeente'!$B$4:$B$347,0),MATCH(L$2,'Energieverbruik in TJ Gemeente'!$B$4:$Q$4,0))</f>
        <v>51</v>
      </c>
      <c r="M253">
        <f>INDEX('Energieverbruik in TJ Gemeente'!$B$4:$Q$347,MATCH($C253,'Energieverbruik in TJ Gemeente'!$B$4:$B$347,0),MATCH(M$2,'Energieverbruik in TJ Gemeente'!$B$4:$Q$4,0))</f>
        <v>46</v>
      </c>
      <c r="N253">
        <f>INDEX('Energieverbruik in TJ Gemeente'!$B$4:$Q$347,MATCH($C253,'Energieverbruik in TJ Gemeente'!$B$4:$B$347,0),MATCH(N$2,'Energieverbruik in TJ Gemeente'!$B$4:$Q$4,0))</f>
        <v>524</v>
      </c>
      <c r="O253">
        <f>INDEX('Energieverbruik in TJ Gemeente'!$B$4:$Q$347,MATCH($C253,'Energieverbruik in TJ Gemeente'!$B$4:$B$347,0),MATCH(O$2,'Energieverbruik in TJ Gemeente'!$B$4:$Q$4,0))</f>
        <v>210</v>
      </c>
      <c r="P253">
        <f>INDEX('Energieverbruik in TJ Gemeente'!$B$4:$Q$347,MATCH($C253,'Energieverbruik in TJ Gemeente'!$B$4:$B$347,0),MATCH(P$2,'Energieverbruik in TJ Gemeente'!$B$4:$Q$4,0))</f>
        <v>498</v>
      </c>
      <c r="Q253">
        <f>INDEX('Energieverbruik in TJ Gemeente'!$B$4:$Q$347,MATCH($C253,'Energieverbruik in TJ Gemeente'!$B$4:$B$347,0),MATCH(Q$2,'Energieverbruik in TJ Gemeente'!$B$4:$Q$4,0))</f>
        <v>269</v>
      </c>
      <c r="R253">
        <f>INDEX('Energieverbruik in TJ Gemeente'!$B$4:$Q$347,MATCH($C253,'Energieverbruik in TJ Gemeente'!$B$4:$B$347,0),MATCH(R$2,'Energieverbruik in TJ Gemeente'!$B$4:$Q$4,0))</f>
        <v>365</v>
      </c>
      <c r="S253" cm="1">
        <f t="array" ref="S253">MAX(_xlfn._xlws.FILTER(D$1:H$1, D253:H253&lt;&gt;"?"))</f>
        <v>2023</v>
      </c>
      <c r="T253" cm="1">
        <f t="array" ref="T253">MAX(_xlfn._xlws.FILTER(I$1:M$1, I253:M253&lt;&gt;"?"))</f>
        <v>2023</v>
      </c>
      <c r="U253" cm="1">
        <f t="array" ref="U253">MAX(_xlfn._xlws.FILTER(F$1:J$1, F253:J253&lt;&gt;"?"))</f>
        <v>2023</v>
      </c>
      <c r="V253">
        <f t="shared" si="15"/>
        <v>809</v>
      </c>
      <c r="W253">
        <f t="shared" si="16"/>
        <v>46</v>
      </c>
      <c r="X253">
        <f t="shared" si="17"/>
        <v>365</v>
      </c>
      <c r="Y253">
        <f t="shared" si="18"/>
        <v>1220</v>
      </c>
      <c r="Z253">
        <f t="shared" si="19"/>
        <v>2.0275548021472137E-3</v>
      </c>
    </row>
    <row r="254" spans="1:26" ht="16" x14ac:dyDescent="0.2">
      <c r="A254" s="4" t="s">
        <v>767</v>
      </c>
      <c r="B254" s="4" t="s">
        <v>768</v>
      </c>
      <c r="C254" s="4" t="s">
        <v>769</v>
      </c>
      <c r="D254" t="str">
        <f>INDEX('Energieverbruik in TJ Gemeente'!$B$4:$Q$347,MATCH($C254,'Energieverbruik in TJ Gemeente'!$B$4:$B$347,0),MATCH(D$2,'Energieverbruik in TJ Gemeente'!$B$4:$Q$4,0))</f>
        <v>?</v>
      </c>
      <c r="E254" t="str">
        <f>INDEX('Energieverbruik in TJ Gemeente'!$B$4:$Q$347,MATCH($C254,'Energieverbruik in TJ Gemeente'!$B$4:$B$347,0),MATCH(E$2,'Energieverbruik in TJ Gemeente'!$B$4:$Q$4,0))</f>
        <v>?</v>
      </c>
      <c r="F254" t="str">
        <f>INDEX('Energieverbruik in TJ Gemeente'!$B$4:$Q$347,MATCH($C254,'Energieverbruik in TJ Gemeente'!$B$4:$B$347,0),MATCH(F$2,'Energieverbruik in TJ Gemeente'!$B$4:$Q$4,0))</f>
        <v>?</v>
      </c>
      <c r="G254">
        <f>INDEX('Energieverbruik in TJ Gemeente'!$B$4:$Q$347,MATCH($C254,'Energieverbruik in TJ Gemeente'!$B$4:$B$347,0),MATCH(G$2,'Energieverbruik in TJ Gemeente'!$B$4:$Q$4,0))</f>
        <v>254</v>
      </c>
      <c r="H254">
        <f>INDEX('Energieverbruik in TJ Gemeente'!$B$4:$Q$347,MATCH($C254,'Energieverbruik in TJ Gemeente'!$B$4:$B$347,0),MATCH(H$2,'Energieverbruik in TJ Gemeente'!$B$4:$Q$4,0))</f>
        <v>204</v>
      </c>
      <c r="I254">
        <f>INDEX('Energieverbruik in TJ Gemeente'!$B$4:$Q$347,MATCH($C254,'Energieverbruik in TJ Gemeente'!$B$4:$B$347,0),MATCH(I$2,'Energieverbruik in TJ Gemeente'!$B$4:$Q$4,0))</f>
        <v>4</v>
      </c>
      <c r="J254">
        <f>INDEX('Energieverbruik in TJ Gemeente'!$B$4:$Q$347,MATCH($C254,'Energieverbruik in TJ Gemeente'!$B$4:$B$347,0),MATCH(J$2,'Energieverbruik in TJ Gemeente'!$B$4:$Q$4,0))</f>
        <v>3</v>
      </c>
      <c r="K254">
        <f>INDEX('Energieverbruik in TJ Gemeente'!$B$4:$Q$347,MATCH($C254,'Energieverbruik in TJ Gemeente'!$B$4:$B$347,0),MATCH(K$2,'Energieverbruik in TJ Gemeente'!$B$4:$Q$4,0))</f>
        <v>3</v>
      </c>
      <c r="L254">
        <f>INDEX('Energieverbruik in TJ Gemeente'!$B$4:$Q$347,MATCH($C254,'Energieverbruik in TJ Gemeente'!$B$4:$B$347,0),MATCH(L$2,'Energieverbruik in TJ Gemeente'!$B$4:$Q$4,0))</f>
        <v>3</v>
      </c>
      <c r="M254">
        <f>INDEX('Energieverbruik in TJ Gemeente'!$B$4:$Q$347,MATCH($C254,'Energieverbruik in TJ Gemeente'!$B$4:$B$347,0),MATCH(M$2,'Energieverbruik in TJ Gemeente'!$B$4:$Q$4,0))</f>
        <v>2</v>
      </c>
      <c r="N254">
        <f>INDEX('Energieverbruik in TJ Gemeente'!$B$4:$Q$347,MATCH($C254,'Energieverbruik in TJ Gemeente'!$B$4:$B$347,0),MATCH(N$2,'Energieverbruik in TJ Gemeente'!$B$4:$Q$4,0))</f>
        <v>2</v>
      </c>
      <c r="O254">
        <f>INDEX('Energieverbruik in TJ Gemeente'!$B$4:$Q$347,MATCH($C254,'Energieverbruik in TJ Gemeente'!$B$4:$B$347,0),MATCH(O$2,'Energieverbruik in TJ Gemeente'!$B$4:$Q$4,0))</f>
        <v>2</v>
      </c>
      <c r="P254">
        <f>INDEX('Energieverbruik in TJ Gemeente'!$B$4:$Q$347,MATCH($C254,'Energieverbruik in TJ Gemeente'!$B$4:$B$347,0),MATCH(P$2,'Energieverbruik in TJ Gemeente'!$B$4:$Q$4,0))</f>
        <v>2</v>
      </c>
      <c r="Q254">
        <f>INDEX('Energieverbruik in TJ Gemeente'!$B$4:$Q$347,MATCH($C254,'Energieverbruik in TJ Gemeente'!$B$4:$B$347,0),MATCH(Q$2,'Energieverbruik in TJ Gemeente'!$B$4:$Q$4,0))</f>
        <v>2</v>
      </c>
      <c r="R254">
        <f>INDEX('Energieverbruik in TJ Gemeente'!$B$4:$Q$347,MATCH($C254,'Energieverbruik in TJ Gemeente'!$B$4:$B$347,0),MATCH(R$2,'Energieverbruik in TJ Gemeente'!$B$4:$Q$4,0))</f>
        <v>2</v>
      </c>
      <c r="S254" cm="1">
        <f t="array" ref="S254">MAX(_xlfn._xlws.FILTER(D$1:H$1, D254:H254&lt;&gt;"?"))</f>
        <v>2023</v>
      </c>
      <c r="T254" cm="1">
        <f t="array" ref="T254">MAX(_xlfn._xlws.FILTER(I$1:M$1, I254:M254&lt;&gt;"?"))</f>
        <v>2023</v>
      </c>
      <c r="U254" cm="1">
        <f t="array" ref="U254">MAX(_xlfn._xlws.FILTER(F$1:J$1, F254:J254&lt;&gt;"?"))</f>
        <v>2023</v>
      </c>
      <c r="V254">
        <f t="shared" si="15"/>
        <v>204</v>
      </c>
      <c r="W254">
        <f t="shared" si="16"/>
        <v>2</v>
      </c>
      <c r="X254">
        <f t="shared" si="17"/>
        <v>2</v>
      </c>
      <c r="Y254">
        <f t="shared" si="18"/>
        <v>208</v>
      </c>
      <c r="Z254">
        <f t="shared" si="19"/>
        <v>3.4568147446444302E-4</v>
      </c>
    </row>
    <row r="255" spans="1:26" ht="48" x14ac:dyDescent="0.2">
      <c r="A255" s="4" t="s">
        <v>770</v>
      </c>
      <c r="B255" s="4" t="s">
        <v>771</v>
      </c>
      <c r="C255" s="4" t="s">
        <v>772</v>
      </c>
      <c r="D255">
        <f>INDEX('Energieverbruik in TJ Gemeente'!$B$4:$Q$347,MATCH($C255,'Energieverbruik in TJ Gemeente'!$B$4:$B$347,0),MATCH(D$2,'Energieverbruik in TJ Gemeente'!$B$4:$Q$4,0))</f>
        <v>738</v>
      </c>
      <c r="E255">
        <f>INDEX('Energieverbruik in TJ Gemeente'!$B$4:$Q$347,MATCH($C255,'Energieverbruik in TJ Gemeente'!$B$4:$B$347,0),MATCH(E$2,'Energieverbruik in TJ Gemeente'!$B$4:$Q$4,0))</f>
        <v>713</v>
      </c>
      <c r="F255">
        <f>INDEX('Energieverbruik in TJ Gemeente'!$B$4:$Q$347,MATCH($C255,'Energieverbruik in TJ Gemeente'!$B$4:$B$347,0),MATCH(F$2,'Energieverbruik in TJ Gemeente'!$B$4:$Q$4,0))</f>
        <v>721</v>
      </c>
      <c r="G255">
        <f>INDEX('Energieverbruik in TJ Gemeente'!$B$4:$Q$347,MATCH($C255,'Energieverbruik in TJ Gemeente'!$B$4:$B$347,0),MATCH(G$2,'Energieverbruik in TJ Gemeente'!$B$4:$Q$4,0))</f>
        <v>629</v>
      </c>
      <c r="H255">
        <f>INDEX('Energieverbruik in TJ Gemeente'!$B$4:$Q$347,MATCH($C255,'Energieverbruik in TJ Gemeente'!$B$4:$B$347,0),MATCH(H$2,'Energieverbruik in TJ Gemeente'!$B$4:$Q$4,0))</f>
        <v>519</v>
      </c>
      <c r="I255">
        <f>INDEX('Energieverbruik in TJ Gemeente'!$B$4:$Q$347,MATCH($C255,'Energieverbruik in TJ Gemeente'!$B$4:$B$347,0),MATCH(I$2,'Energieverbruik in TJ Gemeente'!$B$4:$Q$4,0))</f>
        <v>13</v>
      </c>
      <c r="J255">
        <f>INDEX('Energieverbruik in TJ Gemeente'!$B$4:$Q$347,MATCH($C255,'Energieverbruik in TJ Gemeente'!$B$4:$B$347,0),MATCH(J$2,'Energieverbruik in TJ Gemeente'!$B$4:$Q$4,0))</f>
        <v>11</v>
      </c>
      <c r="K255">
        <f>INDEX('Energieverbruik in TJ Gemeente'!$B$4:$Q$347,MATCH($C255,'Energieverbruik in TJ Gemeente'!$B$4:$B$347,0),MATCH(K$2,'Energieverbruik in TJ Gemeente'!$B$4:$Q$4,0))</f>
        <v>12</v>
      </c>
      <c r="L255">
        <f>INDEX('Energieverbruik in TJ Gemeente'!$B$4:$Q$347,MATCH($C255,'Energieverbruik in TJ Gemeente'!$B$4:$B$347,0),MATCH(L$2,'Energieverbruik in TJ Gemeente'!$B$4:$Q$4,0))</f>
        <v>10</v>
      </c>
      <c r="M255">
        <f>INDEX('Energieverbruik in TJ Gemeente'!$B$4:$Q$347,MATCH($C255,'Energieverbruik in TJ Gemeente'!$B$4:$B$347,0),MATCH(M$2,'Energieverbruik in TJ Gemeente'!$B$4:$Q$4,0))</f>
        <v>9</v>
      </c>
      <c r="N255">
        <f>INDEX('Energieverbruik in TJ Gemeente'!$B$4:$Q$347,MATCH($C255,'Energieverbruik in TJ Gemeente'!$B$4:$B$347,0),MATCH(N$2,'Energieverbruik in TJ Gemeente'!$B$4:$Q$4,0))</f>
        <v>25</v>
      </c>
      <c r="O255">
        <f>INDEX('Energieverbruik in TJ Gemeente'!$B$4:$Q$347,MATCH($C255,'Energieverbruik in TJ Gemeente'!$B$4:$B$347,0),MATCH(O$2,'Energieverbruik in TJ Gemeente'!$B$4:$Q$4,0))</f>
        <v>13</v>
      </c>
      <c r="P255">
        <f>INDEX('Energieverbruik in TJ Gemeente'!$B$4:$Q$347,MATCH($C255,'Energieverbruik in TJ Gemeente'!$B$4:$B$347,0),MATCH(P$2,'Energieverbruik in TJ Gemeente'!$B$4:$Q$4,0))</f>
        <v>14</v>
      </c>
      <c r="Q255">
        <f>INDEX('Energieverbruik in TJ Gemeente'!$B$4:$Q$347,MATCH($C255,'Energieverbruik in TJ Gemeente'!$B$4:$B$347,0),MATCH(Q$2,'Energieverbruik in TJ Gemeente'!$B$4:$Q$4,0))</f>
        <v>11</v>
      </c>
      <c r="R255">
        <f>INDEX('Energieverbruik in TJ Gemeente'!$B$4:$Q$347,MATCH($C255,'Energieverbruik in TJ Gemeente'!$B$4:$B$347,0),MATCH(R$2,'Energieverbruik in TJ Gemeente'!$B$4:$Q$4,0))</f>
        <v>10</v>
      </c>
      <c r="S255" cm="1">
        <f t="array" ref="S255">MAX(_xlfn._xlws.FILTER(D$1:H$1, D255:H255&lt;&gt;"?"))</f>
        <v>2023</v>
      </c>
      <c r="T255" cm="1">
        <f t="array" ref="T255">MAX(_xlfn._xlws.FILTER(I$1:M$1, I255:M255&lt;&gt;"?"))</f>
        <v>2023</v>
      </c>
      <c r="U255" cm="1">
        <f t="array" ref="U255">MAX(_xlfn._xlws.FILTER(F$1:J$1, F255:J255&lt;&gt;"?"))</f>
        <v>2023</v>
      </c>
      <c r="V255">
        <f t="shared" si="15"/>
        <v>519</v>
      </c>
      <c r="W255">
        <f t="shared" si="16"/>
        <v>9</v>
      </c>
      <c r="X255">
        <f t="shared" si="17"/>
        <v>10</v>
      </c>
      <c r="Y255">
        <f t="shared" si="18"/>
        <v>538</v>
      </c>
      <c r="Z255">
        <f t="shared" si="19"/>
        <v>8.9411842914360743E-4</v>
      </c>
    </row>
    <row r="256" spans="1:26" ht="32" x14ac:dyDescent="0.2">
      <c r="A256" s="4" t="s">
        <v>773</v>
      </c>
      <c r="B256" s="4" t="s">
        <v>774</v>
      </c>
      <c r="C256" s="4" t="s">
        <v>775</v>
      </c>
      <c r="D256" t="str">
        <f>INDEX('Energieverbruik in TJ Gemeente'!$B$4:$Q$347,MATCH($C256,'Energieverbruik in TJ Gemeente'!$B$4:$B$347,0),MATCH(D$2,'Energieverbruik in TJ Gemeente'!$B$4:$Q$4,0))</f>
        <v>?</v>
      </c>
      <c r="E256">
        <f>INDEX('Energieverbruik in TJ Gemeente'!$B$4:$Q$347,MATCH($C256,'Energieverbruik in TJ Gemeente'!$B$4:$B$347,0),MATCH(E$2,'Energieverbruik in TJ Gemeente'!$B$4:$Q$4,0))</f>
        <v>2577</v>
      </c>
      <c r="F256">
        <f>INDEX('Energieverbruik in TJ Gemeente'!$B$4:$Q$347,MATCH($C256,'Energieverbruik in TJ Gemeente'!$B$4:$B$347,0),MATCH(F$2,'Energieverbruik in TJ Gemeente'!$B$4:$Q$4,0))</f>
        <v>2597</v>
      </c>
      <c r="G256" t="str">
        <f>INDEX('Energieverbruik in TJ Gemeente'!$B$4:$Q$347,MATCH($C256,'Energieverbruik in TJ Gemeente'!$B$4:$B$347,0),MATCH(G$2,'Energieverbruik in TJ Gemeente'!$B$4:$Q$4,0))</f>
        <v>?</v>
      </c>
      <c r="H256">
        <f>INDEX('Energieverbruik in TJ Gemeente'!$B$4:$Q$347,MATCH($C256,'Energieverbruik in TJ Gemeente'!$B$4:$B$347,0),MATCH(H$2,'Energieverbruik in TJ Gemeente'!$B$4:$Q$4,0))</f>
        <v>1873</v>
      </c>
      <c r="I256" t="str">
        <f>INDEX('Energieverbruik in TJ Gemeente'!$B$4:$Q$347,MATCH($C256,'Energieverbruik in TJ Gemeente'!$B$4:$B$347,0),MATCH(I$2,'Energieverbruik in TJ Gemeente'!$B$4:$Q$4,0))</f>
        <v>?</v>
      </c>
      <c r="J256" t="str">
        <f>INDEX('Energieverbruik in TJ Gemeente'!$B$4:$Q$347,MATCH($C256,'Energieverbruik in TJ Gemeente'!$B$4:$B$347,0),MATCH(J$2,'Energieverbruik in TJ Gemeente'!$B$4:$Q$4,0))</f>
        <v>?</v>
      </c>
      <c r="K256" t="str">
        <f>INDEX('Energieverbruik in TJ Gemeente'!$B$4:$Q$347,MATCH($C256,'Energieverbruik in TJ Gemeente'!$B$4:$B$347,0),MATCH(K$2,'Energieverbruik in TJ Gemeente'!$B$4:$Q$4,0))</f>
        <v>?</v>
      </c>
      <c r="L256" t="str">
        <f>INDEX('Energieverbruik in TJ Gemeente'!$B$4:$Q$347,MATCH($C256,'Energieverbruik in TJ Gemeente'!$B$4:$B$347,0),MATCH(L$2,'Energieverbruik in TJ Gemeente'!$B$4:$Q$4,0))</f>
        <v>?</v>
      </c>
      <c r="M256" t="str">
        <f>INDEX('Energieverbruik in TJ Gemeente'!$B$4:$Q$347,MATCH($C256,'Energieverbruik in TJ Gemeente'!$B$4:$B$347,0),MATCH(M$2,'Energieverbruik in TJ Gemeente'!$B$4:$Q$4,0))</f>
        <v>?</v>
      </c>
      <c r="N256" t="str">
        <f>INDEX('Energieverbruik in TJ Gemeente'!$B$4:$Q$347,MATCH($C256,'Energieverbruik in TJ Gemeente'!$B$4:$B$347,0),MATCH(N$2,'Energieverbruik in TJ Gemeente'!$B$4:$Q$4,0))</f>
        <v>?</v>
      </c>
      <c r="O256">
        <f>INDEX('Energieverbruik in TJ Gemeente'!$B$4:$Q$347,MATCH($C256,'Energieverbruik in TJ Gemeente'!$B$4:$B$347,0),MATCH(O$2,'Energieverbruik in TJ Gemeente'!$B$4:$Q$4,0))</f>
        <v>9</v>
      </c>
      <c r="P256">
        <f>INDEX('Energieverbruik in TJ Gemeente'!$B$4:$Q$347,MATCH($C256,'Energieverbruik in TJ Gemeente'!$B$4:$B$347,0),MATCH(P$2,'Energieverbruik in TJ Gemeente'!$B$4:$Q$4,0))</f>
        <v>10</v>
      </c>
      <c r="Q256">
        <f>INDEX('Energieverbruik in TJ Gemeente'!$B$4:$Q$347,MATCH($C256,'Energieverbruik in TJ Gemeente'!$B$4:$B$347,0),MATCH(Q$2,'Energieverbruik in TJ Gemeente'!$B$4:$Q$4,0))</f>
        <v>7</v>
      </c>
      <c r="R256">
        <f>INDEX('Energieverbruik in TJ Gemeente'!$B$4:$Q$347,MATCH($C256,'Energieverbruik in TJ Gemeente'!$B$4:$B$347,0),MATCH(R$2,'Energieverbruik in TJ Gemeente'!$B$4:$Q$4,0))</f>
        <v>5</v>
      </c>
      <c r="S256" cm="1">
        <f t="array" ref="S256">MAX(_xlfn._xlws.FILTER(D$1:H$1, D256:H256&lt;&gt;"?"))</f>
        <v>2023</v>
      </c>
      <c r="T256" t="e" cm="1" vm="1">
        <f t="array" ref="T256">MAX(_xlfn._xlws.FILTER(I$1:M$1, I256:M256&lt;&gt;"?"))</f>
        <v>#VALUE!</v>
      </c>
      <c r="U256" cm="1">
        <f t="array" ref="U256">MAX(_xlfn._xlws.FILTER(F$1:J$1, F256:J256&lt;&gt;"?"))</f>
        <v>2023</v>
      </c>
      <c r="V256">
        <f t="shared" si="15"/>
        <v>1873</v>
      </c>
      <c r="W256">
        <f t="shared" si="16"/>
        <v>0</v>
      </c>
      <c r="X256">
        <f t="shared" si="17"/>
        <v>5</v>
      </c>
      <c r="Y256">
        <f t="shared" si="18"/>
        <v>1878</v>
      </c>
      <c r="Z256">
        <f t="shared" si="19"/>
        <v>3.1211048511741537E-3</v>
      </c>
    </row>
    <row r="257" spans="1:26" ht="16" x14ac:dyDescent="0.2">
      <c r="A257" s="4" t="s">
        <v>776</v>
      </c>
      <c r="B257" s="4" t="s">
        <v>777</v>
      </c>
      <c r="C257" s="4" t="s">
        <v>778</v>
      </c>
      <c r="D257">
        <f>INDEX('Energieverbruik in TJ Gemeente'!$B$4:$Q$347,MATCH($C257,'Energieverbruik in TJ Gemeente'!$B$4:$B$347,0),MATCH(D$2,'Energieverbruik in TJ Gemeente'!$B$4:$Q$4,0))</f>
        <v>551</v>
      </c>
      <c r="E257" t="str">
        <f>INDEX('Energieverbruik in TJ Gemeente'!$B$4:$Q$347,MATCH($C257,'Energieverbruik in TJ Gemeente'!$B$4:$B$347,0),MATCH(E$2,'Energieverbruik in TJ Gemeente'!$B$4:$Q$4,0))</f>
        <v>?</v>
      </c>
      <c r="F257" t="str">
        <f>INDEX('Energieverbruik in TJ Gemeente'!$B$4:$Q$347,MATCH($C257,'Energieverbruik in TJ Gemeente'!$B$4:$B$347,0),MATCH(F$2,'Energieverbruik in TJ Gemeente'!$B$4:$Q$4,0))</f>
        <v>?</v>
      </c>
      <c r="G257">
        <f>INDEX('Energieverbruik in TJ Gemeente'!$B$4:$Q$347,MATCH($C257,'Energieverbruik in TJ Gemeente'!$B$4:$B$347,0),MATCH(G$2,'Energieverbruik in TJ Gemeente'!$B$4:$Q$4,0))</f>
        <v>471</v>
      </c>
      <c r="H257">
        <f>INDEX('Energieverbruik in TJ Gemeente'!$B$4:$Q$347,MATCH($C257,'Energieverbruik in TJ Gemeente'!$B$4:$B$347,0),MATCH(H$2,'Energieverbruik in TJ Gemeente'!$B$4:$Q$4,0))</f>
        <v>412</v>
      </c>
      <c r="I257">
        <f>INDEX('Energieverbruik in TJ Gemeente'!$B$4:$Q$347,MATCH($C257,'Energieverbruik in TJ Gemeente'!$B$4:$B$347,0),MATCH(I$2,'Energieverbruik in TJ Gemeente'!$B$4:$Q$4,0))</f>
        <v>154</v>
      </c>
      <c r="J257">
        <f>INDEX('Energieverbruik in TJ Gemeente'!$B$4:$Q$347,MATCH($C257,'Energieverbruik in TJ Gemeente'!$B$4:$B$347,0),MATCH(J$2,'Energieverbruik in TJ Gemeente'!$B$4:$Q$4,0))</f>
        <v>144</v>
      </c>
      <c r="K257">
        <f>INDEX('Energieverbruik in TJ Gemeente'!$B$4:$Q$347,MATCH($C257,'Energieverbruik in TJ Gemeente'!$B$4:$B$347,0),MATCH(K$2,'Energieverbruik in TJ Gemeente'!$B$4:$Q$4,0))</f>
        <v>158</v>
      </c>
      <c r="L257">
        <f>INDEX('Energieverbruik in TJ Gemeente'!$B$4:$Q$347,MATCH($C257,'Energieverbruik in TJ Gemeente'!$B$4:$B$347,0),MATCH(L$2,'Energieverbruik in TJ Gemeente'!$B$4:$Q$4,0))</f>
        <v>152</v>
      </c>
      <c r="M257">
        <f>INDEX('Energieverbruik in TJ Gemeente'!$B$4:$Q$347,MATCH($C257,'Energieverbruik in TJ Gemeente'!$B$4:$B$347,0),MATCH(M$2,'Energieverbruik in TJ Gemeente'!$B$4:$Q$4,0))</f>
        <v>147</v>
      </c>
      <c r="N257" t="str">
        <f>INDEX('Energieverbruik in TJ Gemeente'!$B$4:$Q$347,MATCH($C257,'Energieverbruik in TJ Gemeente'!$B$4:$B$347,0),MATCH(N$2,'Energieverbruik in TJ Gemeente'!$B$4:$Q$4,0))</f>
        <v>?</v>
      </c>
      <c r="O257" t="str">
        <f>INDEX('Energieverbruik in TJ Gemeente'!$B$4:$Q$347,MATCH($C257,'Energieverbruik in TJ Gemeente'!$B$4:$B$347,0),MATCH(O$2,'Energieverbruik in TJ Gemeente'!$B$4:$Q$4,0))</f>
        <v>?</v>
      </c>
      <c r="P257" t="str">
        <f>INDEX('Energieverbruik in TJ Gemeente'!$B$4:$Q$347,MATCH($C257,'Energieverbruik in TJ Gemeente'!$B$4:$B$347,0),MATCH(P$2,'Energieverbruik in TJ Gemeente'!$B$4:$Q$4,0))</f>
        <v>?</v>
      </c>
      <c r="Q257" t="str">
        <f>INDEX('Energieverbruik in TJ Gemeente'!$B$4:$Q$347,MATCH($C257,'Energieverbruik in TJ Gemeente'!$B$4:$B$347,0),MATCH(Q$2,'Energieverbruik in TJ Gemeente'!$B$4:$Q$4,0))</f>
        <v>?</v>
      </c>
      <c r="R257" t="str">
        <f>INDEX('Energieverbruik in TJ Gemeente'!$B$4:$Q$347,MATCH($C257,'Energieverbruik in TJ Gemeente'!$B$4:$B$347,0),MATCH(R$2,'Energieverbruik in TJ Gemeente'!$B$4:$Q$4,0))</f>
        <v>?</v>
      </c>
      <c r="S257" cm="1">
        <f t="array" ref="S257">MAX(_xlfn._xlws.FILTER(D$1:H$1, D257:H257&lt;&gt;"?"))</f>
        <v>2023</v>
      </c>
      <c r="T257" cm="1">
        <f t="array" ref="T257">MAX(_xlfn._xlws.FILTER(I$1:M$1, I257:M257&lt;&gt;"?"))</f>
        <v>2023</v>
      </c>
      <c r="U257" cm="1">
        <f t="array" ref="U257">MAX(_xlfn._xlws.FILTER(F$1:J$1, F257:J257&lt;&gt;"?"))</f>
        <v>2023</v>
      </c>
      <c r="V257">
        <f t="shared" si="15"/>
        <v>412</v>
      </c>
      <c r="W257">
        <f t="shared" si="16"/>
        <v>147</v>
      </c>
      <c r="X257" t="str">
        <f t="shared" si="17"/>
        <v>?</v>
      </c>
      <c r="Y257">
        <f t="shared" si="18"/>
        <v>559</v>
      </c>
      <c r="Z257">
        <f t="shared" si="19"/>
        <v>9.2901896262319057E-4</v>
      </c>
    </row>
    <row r="258" spans="1:26" ht="16" x14ac:dyDescent="0.2">
      <c r="A258" s="4" t="s">
        <v>779</v>
      </c>
      <c r="B258" s="4" t="s">
        <v>780</v>
      </c>
      <c r="C258" s="4" t="s">
        <v>781</v>
      </c>
      <c r="D258">
        <f>INDEX('Energieverbruik in TJ Gemeente'!$B$4:$Q$347,MATCH($C258,'Energieverbruik in TJ Gemeente'!$B$4:$B$347,0),MATCH(D$2,'Energieverbruik in TJ Gemeente'!$B$4:$Q$4,0))</f>
        <v>913</v>
      </c>
      <c r="E258">
        <f>INDEX('Energieverbruik in TJ Gemeente'!$B$4:$Q$347,MATCH($C258,'Energieverbruik in TJ Gemeente'!$B$4:$B$347,0),MATCH(E$2,'Energieverbruik in TJ Gemeente'!$B$4:$Q$4,0))</f>
        <v>882</v>
      </c>
      <c r="F258">
        <f>INDEX('Energieverbruik in TJ Gemeente'!$B$4:$Q$347,MATCH($C258,'Energieverbruik in TJ Gemeente'!$B$4:$B$347,0),MATCH(F$2,'Energieverbruik in TJ Gemeente'!$B$4:$Q$4,0))</f>
        <v>920</v>
      </c>
      <c r="G258">
        <f>INDEX('Energieverbruik in TJ Gemeente'!$B$4:$Q$347,MATCH($C258,'Energieverbruik in TJ Gemeente'!$B$4:$B$347,0),MATCH(G$2,'Energieverbruik in TJ Gemeente'!$B$4:$Q$4,0))</f>
        <v>821</v>
      </c>
      <c r="H258">
        <f>INDEX('Energieverbruik in TJ Gemeente'!$B$4:$Q$347,MATCH($C258,'Energieverbruik in TJ Gemeente'!$B$4:$B$347,0),MATCH(H$2,'Energieverbruik in TJ Gemeente'!$B$4:$Q$4,0))</f>
        <v>711</v>
      </c>
      <c r="I258">
        <f>INDEX('Energieverbruik in TJ Gemeente'!$B$4:$Q$347,MATCH($C258,'Energieverbruik in TJ Gemeente'!$B$4:$B$347,0),MATCH(I$2,'Energieverbruik in TJ Gemeente'!$B$4:$Q$4,0))</f>
        <v>43</v>
      </c>
      <c r="J258">
        <f>INDEX('Energieverbruik in TJ Gemeente'!$B$4:$Q$347,MATCH($C258,'Energieverbruik in TJ Gemeente'!$B$4:$B$347,0),MATCH(J$2,'Energieverbruik in TJ Gemeente'!$B$4:$Q$4,0))</f>
        <v>27</v>
      </c>
      <c r="K258">
        <f>INDEX('Energieverbruik in TJ Gemeente'!$B$4:$Q$347,MATCH($C258,'Energieverbruik in TJ Gemeente'!$B$4:$B$347,0),MATCH(K$2,'Energieverbruik in TJ Gemeente'!$B$4:$Q$4,0))</f>
        <v>38</v>
      </c>
      <c r="L258">
        <f>INDEX('Energieverbruik in TJ Gemeente'!$B$4:$Q$347,MATCH($C258,'Energieverbruik in TJ Gemeente'!$B$4:$B$347,0),MATCH(L$2,'Energieverbruik in TJ Gemeente'!$B$4:$Q$4,0))</f>
        <v>38</v>
      </c>
      <c r="M258">
        <f>INDEX('Energieverbruik in TJ Gemeente'!$B$4:$Q$347,MATCH($C258,'Energieverbruik in TJ Gemeente'!$B$4:$B$347,0),MATCH(M$2,'Energieverbruik in TJ Gemeente'!$B$4:$Q$4,0))</f>
        <v>35</v>
      </c>
      <c r="N258">
        <f>INDEX('Energieverbruik in TJ Gemeente'!$B$4:$Q$347,MATCH($C258,'Energieverbruik in TJ Gemeente'!$B$4:$B$347,0),MATCH(N$2,'Energieverbruik in TJ Gemeente'!$B$4:$Q$4,0))</f>
        <v>19</v>
      </c>
      <c r="O258">
        <f>INDEX('Energieverbruik in TJ Gemeente'!$B$4:$Q$347,MATCH($C258,'Energieverbruik in TJ Gemeente'!$B$4:$B$347,0),MATCH(O$2,'Energieverbruik in TJ Gemeente'!$B$4:$Q$4,0))</f>
        <v>6</v>
      </c>
      <c r="P258">
        <f>INDEX('Energieverbruik in TJ Gemeente'!$B$4:$Q$347,MATCH($C258,'Energieverbruik in TJ Gemeente'!$B$4:$B$347,0),MATCH(P$2,'Energieverbruik in TJ Gemeente'!$B$4:$Q$4,0))</f>
        <v>7</v>
      </c>
      <c r="Q258">
        <f>INDEX('Energieverbruik in TJ Gemeente'!$B$4:$Q$347,MATCH($C258,'Energieverbruik in TJ Gemeente'!$B$4:$B$347,0),MATCH(Q$2,'Energieverbruik in TJ Gemeente'!$B$4:$Q$4,0))</f>
        <v>5</v>
      </c>
      <c r="R258">
        <f>INDEX('Energieverbruik in TJ Gemeente'!$B$4:$Q$347,MATCH($C258,'Energieverbruik in TJ Gemeente'!$B$4:$B$347,0),MATCH(R$2,'Energieverbruik in TJ Gemeente'!$B$4:$Q$4,0))</f>
        <v>5</v>
      </c>
      <c r="S258" cm="1">
        <f t="array" ref="S258">MAX(_xlfn._xlws.FILTER(D$1:H$1, D258:H258&lt;&gt;"?"))</f>
        <v>2023</v>
      </c>
      <c r="T258" cm="1">
        <f t="array" ref="T258">MAX(_xlfn._xlws.FILTER(I$1:M$1, I258:M258&lt;&gt;"?"))</f>
        <v>2023</v>
      </c>
      <c r="U258" cm="1">
        <f t="array" ref="U258">MAX(_xlfn._xlws.FILTER(F$1:J$1, F258:J258&lt;&gt;"?"))</f>
        <v>2023</v>
      </c>
      <c r="V258">
        <f t="shared" si="15"/>
        <v>711</v>
      </c>
      <c r="W258">
        <f t="shared" si="16"/>
        <v>35</v>
      </c>
      <c r="X258">
        <f t="shared" si="17"/>
        <v>5</v>
      </c>
      <c r="Y258">
        <f t="shared" si="18"/>
        <v>751</v>
      </c>
      <c r="Z258">
        <f t="shared" si="19"/>
        <v>1.2481095544365226E-3</v>
      </c>
    </row>
    <row r="259" spans="1:26" ht="32" x14ac:dyDescent="0.2">
      <c r="A259" s="4" t="s">
        <v>782</v>
      </c>
      <c r="B259" s="4" t="s">
        <v>783</v>
      </c>
      <c r="C259" s="4" t="s">
        <v>784</v>
      </c>
      <c r="D259">
        <f>INDEX('Energieverbruik in TJ Gemeente'!$B$4:$Q$347,MATCH($C259,'Energieverbruik in TJ Gemeente'!$B$4:$B$347,0),MATCH(D$2,'Energieverbruik in TJ Gemeente'!$B$4:$Q$4,0))</f>
        <v>1509</v>
      </c>
      <c r="E259">
        <f>INDEX('Energieverbruik in TJ Gemeente'!$B$4:$Q$347,MATCH($C259,'Energieverbruik in TJ Gemeente'!$B$4:$B$347,0),MATCH(E$2,'Energieverbruik in TJ Gemeente'!$B$4:$Q$4,0))</f>
        <v>1482</v>
      </c>
      <c r="F259">
        <f>INDEX('Energieverbruik in TJ Gemeente'!$B$4:$Q$347,MATCH($C259,'Energieverbruik in TJ Gemeente'!$B$4:$B$347,0),MATCH(F$2,'Energieverbruik in TJ Gemeente'!$B$4:$Q$4,0))</f>
        <v>1506</v>
      </c>
      <c r="G259">
        <f>INDEX('Energieverbruik in TJ Gemeente'!$B$4:$Q$347,MATCH($C259,'Energieverbruik in TJ Gemeente'!$B$4:$B$347,0),MATCH(G$2,'Energieverbruik in TJ Gemeente'!$B$4:$Q$4,0))</f>
        <v>1333</v>
      </c>
      <c r="H259">
        <f>INDEX('Energieverbruik in TJ Gemeente'!$B$4:$Q$347,MATCH($C259,'Energieverbruik in TJ Gemeente'!$B$4:$B$347,0),MATCH(H$2,'Energieverbruik in TJ Gemeente'!$B$4:$Q$4,0))</f>
        <v>1115</v>
      </c>
      <c r="I259">
        <f>INDEX('Energieverbruik in TJ Gemeente'!$B$4:$Q$347,MATCH($C259,'Energieverbruik in TJ Gemeente'!$B$4:$B$347,0),MATCH(I$2,'Energieverbruik in TJ Gemeente'!$B$4:$Q$4,0))</f>
        <v>265</v>
      </c>
      <c r="J259">
        <f>INDEX('Energieverbruik in TJ Gemeente'!$B$4:$Q$347,MATCH($C259,'Energieverbruik in TJ Gemeente'!$B$4:$B$347,0),MATCH(J$2,'Energieverbruik in TJ Gemeente'!$B$4:$Q$4,0))</f>
        <v>253</v>
      </c>
      <c r="K259">
        <f>INDEX('Energieverbruik in TJ Gemeente'!$B$4:$Q$347,MATCH($C259,'Energieverbruik in TJ Gemeente'!$B$4:$B$347,0),MATCH(K$2,'Energieverbruik in TJ Gemeente'!$B$4:$Q$4,0))</f>
        <v>261</v>
      </c>
      <c r="L259">
        <f>INDEX('Energieverbruik in TJ Gemeente'!$B$4:$Q$347,MATCH($C259,'Energieverbruik in TJ Gemeente'!$B$4:$B$347,0),MATCH(L$2,'Energieverbruik in TJ Gemeente'!$B$4:$Q$4,0))</f>
        <v>226</v>
      </c>
      <c r="M259">
        <f>INDEX('Energieverbruik in TJ Gemeente'!$B$4:$Q$347,MATCH($C259,'Energieverbruik in TJ Gemeente'!$B$4:$B$347,0),MATCH(M$2,'Energieverbruik in TJ Gemeente'!$B$4:$Q$4,0))</f>
        <v>212</v>
      </c>
      <c r="N259">
        <f>INDEX('Energieverbruik in TJ Gemeente'!$B$4:$Q$347,MATCH($C259,'Energieverbruik in TJ Gemeente'!$B$4:$B$347,0),MATCH(N$2,'Energieverbruik in TJ Gemeente'!$B$4:$Q$4,0))</f>
        <v>33</v>
      </c>
      <c r="O259">
        <f>INDEX('Energieverbruik in TJ Gemeente'!$B$4:$Q$347,MATCH($C259,'Energieverbruik in TJ Gemeente'!$B$4:$B$347,0),MATCH(O$2,'Energieverbruik in TJ Gemeente'!$B$4:$Q$4,0))</f>
        <v>20</v>
      </c>
      <c r="P259" t="str">
        <f>INDEX('Energieverbruik in TJ Gemeente'!$B$4:$Q$347,MATCH($C259,'Energieverbruik in TJ Gemeente'!$B$4:$B$347,0),MATCH(P$2,'Energieverbruik in TJ Gemeente'!$B$4:$Q$4,0))</f>
        <v>?</v>
      </c>
      <c r="Q259" t="str">
        <f>INDEX('Energieverbruik in TJ Gemeente'!$B$4:$Q$347,MATCH($C259,'Energieverbruik in TJ Gemeente'!$B$4:$B$347,0),MATCH(Q$2,'Energieverbruik in TJ Gemeente'!$B$4:$Q$4,0))</f>
        <v>?</v>
      </c>
      <c r="R259">
        <f>INDEX('Energieverbruik in TJ Gemeente'!$B$4:$Q$347,MATCH($C259,'Energieverbruik in TJ Gemeente'!$B$4:$B$347,0),MATCH(R$2,'Energieverbruik in TJ Gemeente'!$B$4:$Q$4,0))</f>
        <v>16</v>
      </c>
      <c r="S259" cm="1">
        <f t="array" ref="S259">MAX(_xlfn._xlws.FILTER(D$1:H$1, D259:H259&lt;&gt;"?"))</f>
        <v>2023</v>
      </c>
      <c r="T259" cm="1">
        <f t="array" ref="T259">MAX(_xlfn._xlws.FILTER(I$1:M$1, I259:M259&lt;&gt;"?"))</f>
        <v>2023</v>
      </c>
      <c r="U259" cm="1">
        <f t="array" ref="U259">MAX(_xlfn._xlws.FILTER(F$1:J$1, F259:J259&lt;&gt;"?"))</f>
        <v>2023</v>
      </c>
      <c r="V259">
        <f t="shared" si="15"/>
        <v>1115</v>
      </c>
      <c r="W259">
        <f t="shared" si="16"/>
        <v>212</v>
      </c>
      <c r="X259">
        <f t="shared" si="17"/>
        <v>16</v>
      </c>
      <c r="Y259">
        <f t="shared" si="18"/>
        <v>1343</v>
      </c>
      <c r="Z259">
        <f t="shared" si="19"/>
        <v>2.2319722125276296E-3</v>
      </c>
    </row>
    <row r="260" spans="1:26" ht="16" x14ac:dyDescent="0.2">
      <c r="A260" s="4" t="s">
        <v>785</v>
      </c>
      <c r="B260" s="4" t="s">
        <v>786</v>
      </c>
      <c r="C260" s="4" t="s">
        <v>787</v>
      </c>
      <c r="D260">
        <f>INDEX('Energieverbruik in TJ Gemeente'!$B$4:$Q$347,MATCH($C260,'Energieverbruik in TJ Gemeente'!$B$4:$B$347,0),MATCH(D$2,'Energieverbruik in TJ Gemeente'!$B$4:$Q$4,0))</f>
        <v>1293</v>
      </c>
      <c r="E260">
        <f>INDEX('Energieverbruik in TJ Gemeente'!$B$4:$Q$347,MATCH($C260,'Energieverbruik in TJ Gemeente'!$B$4:$B$347,0),MATCH(E$2,'Energieverbruik in TJ Gemeente'!$B$4:$Q$4,0))</f>
        <v>1245</v>
      </c>
      <c r="F260">
        <f>INDEX('Energieverbruik in TJ Gemeente'!$B$4:$Q$347,MATCH($C260,'Energieverbruik in TJ Gemeente'!$B$4:$B$347,0),MATCH(F$2,'Energieverbruik in TJ Gemeente'!$B$4:$Q$4,0))</f>
        <v>1270</v>
      </c>
      <c r="G260">
        <f>INDEX('Energieverbruik in TJ Gemeente'!$B$4:$Q$347,MATCH($C260,'Energieverbruik in TJ Gemeente'!$B$4:$B$347,0),MATCH(G$2,'Energieverbruik in TJ Gemeente'!$B$4:$Q$4,0))</f>
        <v>1106</v>
      </c>
      <c r="H260">
        <f>INDEX('Energieverbruik in TJ Gemeente'!$B$4:$Q$347,MATCH($C260,'Energieverbruik in TJ Gemeente'!$B$4:$B$347,0),MATCH(H$2,'Energieverbruik in TJ Gemeente'!$B$4:$Q$4,0))</f>
        <v>931</v>
      </c>
      <c r="I260">
        <f>INDEX('Energieverbruik in TJ Gemeente'!$B$4:$Q$347,MATCH($C260,'Energieverbruik in TJ Gemeente'!$B$4:$B$347,0),MATCH(I$2,'Energieverbruik in TJ Gemeente'!$B$4:$Q$4,0))</f>
        <v>118</v>
      </c>
      <c r="J260">
        <f>INDEX('Energieverbruik in TJ Gemeente'!$B$4:$Q$347,MATCH($C260,'Energieverbruik in TJ Gemeente'!$B$4:$B$347,0),MATCH(J$2,'Energieverbruik in TJ Gemeente'!$B$4:$Q$4,0))</f>
        <v>110</v>
      </c>
      <c r="K260">
        <f>INDEX('Energieverbruik in TJ Gemeente'!$B$4:$Q$347,MATCH($C260,'Energieverbruik in TJ Gemeente'!$B$4:$B$347,0),MATCH(K$2,'Energieverbruik in TJ Gemeente'!$B$4:$Q$4,0))</f>
        <v>122</v>
      </c>
      <c r="L260">
        <f>INDEX('Energieverbruik in TJ Gemeente'!$B$4:$Q$347,MATCH($C260,'Energieverbruik in TJ Gemeente'!$B$4:$B$347,0),MATCH(L$2,'Energieverbruik in TJ Gemeente'!$B$4:$Q$4,0))</f>
        <v>111</v>
      </c>
      <c r="M260">
        <f>INDEX('Energieverbruik in TJ Gemeente'!$B$4:$Q$347,MATCH($C260,'Energieverbruik in TJ Gemeente'!$B$4:$B$347,0),MATCH(M$2,'Energieverbruik in TJ Gemeente'!$B$4:$Q$4,0))</f>
        <v>111</v>
      </c>
      <c r="N260">
        <f>INDEX('Energieverbruik in TJ Gemeente'!$B$4:$Q$347,MATCH($C260,'Energieverbruik in TJ Gemeente'!$B$4:$B$347,0),MATCH(N$2,'Energieverbruik in TJ Gemeente'!$B$4:$Q$4,0))</f>
        <v>4</v>
      </c>
      <c r="O260">
        <f>INDEX('Energieverbruik in TJ Gemeente'!$B$4:$Q$347,MATCH($C260,'Energieverbruik in TJ Gemeente'!$B$4:$B$347,0),MATCH(O$2,'Energieverbruik in TJ Gemeente'!$B$4:$Q$4,0))</f>
        <v>4</v>
      </c>
      <c r="P260">
        <f>INDEX('Energieverbruik in TJ Gemeente'!$B$4:$Q$347,MATCH($C260,'Energieverbruik in TJ Gemeente'!$B$4:$B$347,0),MATCH(P$2,'Energieverbruik in TJ Gemeente'!$B$4:$Q$4,0))</f>
        <v>4</v>
      </c>
      <c r="Q260">
        <f>INDEX('Energieverbruik in TJ Gemeente'!$B$4:$Q$347,MATCH($C260,'Energieverbruik in TJ Gemeente'!$B$4:$B$347,0),MATCH(Q$2,'Energieverbruik in TJ Gemeente'!$B$4:$Q$4,0))</f>
        <v>3</v>
      </c>
      <c r="R260">
        <f>INDEX('Energieverbruik in TJ Gemeente'!$B$4:$Q$347,MATCH($C260,'Energieverbruik in TJ Gemeente'!$B$4:$B$347,0),MATCH(R$2,'Energieverbruik in TJ Gemeente'!$B$4:$Q$4,0))</f>
        <v>3</v>
      </c>
      <c r="S260" cm="1">
        <f t="array" ref="S260">MAX(_xlfn._xlws.FILTER(D$1:H$1, D260:H260&lt;&gt;"?"))</f>
        <v>2023</v>
      </c>
      <c r="T260" cm="1">
        <f t="array" ref="T260">MAX(_xlfn._xlws.FILTER(I$1:M$1, I260:M260&lt;&gt;"?"))</f>
        <v>2023</v>
      </c>
      <c r="U260" cm="1">
        <f t="array" ref="U260">MAX(_xlfn._xlws.FILTER(F$1:J$1, F260:J260&lt;&gt;"?"))</f>
        <v>2023</v>
      </c>
      <c r="V260">
        <f t="shared" ref="V260:V323" si="20">IFERROR(INDEX($D260:$H260,MATCH(S260,$D$1:$H$1,0)),0)</f>
        <v>931</v>
      </c>
      <c r="W260">
        <f t="shared" ref="W260:W323" si="21">IFERROR(INDEX($I260:$M260,MATCH(T260,$I$1:$M$1,0)),0)</f>
        <v>111</v>
      </c>
      <c r="X260">
        <f t="shared" ref="X260:X323" si="22">IFERROR(INDEX($N260:$R260,MATCH(U260,$N$1:$R$1,0)),0)</f>
        <v>3</v>
      </c>
      <c r="Y260">
        <f t="shared" ref="Y260:Y323" si="23">SUM(V260:X260)</f>
        <v>1045</v>
      </c>
      <c r="Z260">
        <f t="shared" ref="Z260:Z323" si="24">Y260/SUM($Y$3:$Y$344)</f>
        <v>1.7367170231506871E-3</v>
      </c>
    </row>
    <row r="261" spans="1:26" ht="16" x14ac:dyDescent="0.2">
      <c r="A261" s="4" t="s">
        <v>788</v>
      </c>
      <c r="B261" s="4" t="s">
        <v>789</v>
      </c>
      <c r="C261" s="4" t="s">
        <v>790</v>
      </c>
      <c r="D261">
        <f>INDEX('Energieverbruik in TJ Gemeente'!$B$4:$Q$347,MATCH($C261,'Energieverbruik in TJ Gemeente'!$B$4:$B$347,0),MATCH(D$2,'Energieverbruik in TJ Gemeente'!$B$4:$Q$4,0))</f>
        <v>486</v>
      </c>
      <c r="E261">
        <f>INDEX('Energieverbruik in TJ Gemeente'!$B$4:$Q$347,MATCH($C261,'Energieverbruik in TJ Gemeente'!$B$4:$B$347,0),MATCH(E$2,'Energieverbruik in TJ Gemeente'!$B$4:$Q$4,0))</f>
        <v>464</v>
      </c>
      <c r="F261">
        <f>INDEX('Energieverbruik in TJ Gemeente'!$B$4:$Q$347,MATCH($C261,'Energieverbruik in TJ Gemeente'!$B$4:$B$347,0),MATCH(F$2,'Energieverbruik in TJ Gemeente'!$B$4:$Q$4,0))</f>
        <v>468</v>
      </c>
      <c r="G261">
        <f>INDEX('Energieverbruik in TJ Gemeente'!$B$4:$Q$347,MATCH($C261,'Energieverbruik in TJ Gemeente'!$B$4:$B$347,0),MATCH(G$2,'Energieverbruik in TJ Gemeente'!$B$4:$Q$4,0))</f>
        <v>415</v>
      </c>
      <c r="H261">
        <f>INDEX('Energieverbruik in TJ Gemeente'!$B$4:$Q$347,MATCH($C261,'Energieverbruik in TJ Gemeente'!$B$4:$B$347,0),MATCH(H$2,'Energieverbruik in TJ Gemeente'!$B$4:$Q$4,0))</f>
        <v>334</v>
      </c>
      <c r="I261">
        <f>INDEX('Energieverbruik in TJ Gemeente'!$B$4:$Q$347,MATCH($C261,'Energieverbruik in TJ Gemeente'!$B$4:$B$347,0),MATCH(I$2,'Energieverbruik in TJ Gemeente'!$B$4:$Q$4,0))</f>
        <v>71</v>
      </c>
      <c r="J261">
        <f>INDEX('Energieverbruik in TJ Gemeente'!$B$4:$Q$347,MATCH($C261,'Energieverbruik in TJ Gemeente'!$B$4:$B$347,0),MATCH(J$2,'Energieverbruik in TJ Gemeente'!$B$4:$Q$4,0))</f>
        <v>65</v>
      </c>
      <c r="K261">
        <f>INDEX('Energieverbruik in TJ Gemeente'!$B$4:$Q$347,MATCH($C261,'Energieverbruik in TJ Gemeente'!$B$4:$B$347,0),MATCH(K$2,'Energieverbruik in TJ Gemeente'!$B$4:$Q$4,0))</f>
        <v>64</v>
      </c>
      <c r="L261">
        <f>INDEX('Energieverbruik in TJ Gemeente'!$B$4:$Q$347,MATCH($C261,'Energieverbruik in TJ Gemeente'!$B$4:$B$347,0),MATCH(L$2,'Energieverbruik in TJ Gemeente'!$B$4:$Q$4,0))</f>
        <v>62</v>
      </c>
      <c r="M261">
        <f>INDEX('Energieverbruik in TJ Gemeente'!$B$4:$Q$347,MATCH($C261,'Energieverbruik in TJ Gemeente'!$B$4:$B$347,0),MATCH(M$2,'Energieverbruik in TJ Gemeente'!$B$4:$Q$4,0))</f>
        <v>60</v>
      </c>
      <c r="N261">
        <f>INDEX('Energieverbruik in TJ Gemeente'!$B$4:$Q$347,MATCH($C261,'Energieverbruik in TJ Gemeente'!$B$4:$B$347,0),MATCH(N$2,'Energieverbruik in TJ Gemeente'!$B$4:$Q$4,0))</f>
        <v>1421</v>
      </c>
      <c r="O261">
        <f>INDEX('Energieverbruik in TJ Gemeente'!$B$4:$Q$347,MATCH($C261,'Energieverbruik in TJ Gemeente'!$B$4:$B$347,0),MATCH(O$2,'Energieverbruik in TJ Gemeente'!$B$4:$Q$4,0))</f>
        <v>1517</v>
      </c>
      <c r="P261">
        <f>INDEX('Energieverbruik in TJ Gemeente'!$B$4:$Q$347,MATCH($C261,'Energieverbruik in TJ Gemeente'!$B$4:$B$347,0),MATCH(P$2,'Energieverbruik in TJ Gemeente'!$B$4:$Q$4,0))</f>
        <v>1489</v>
      </c>
      <c r="Q261">
        <f>INDEX('Energieverbruik in TJ Gemeente'!$B$4:$Q$347,MATCH($C261,'Energieverbruik in TJ Gemeente'!$B$4:$B$347,0),MATCH(Q$2,'Energieverbruik in TJ Gemeente'!$B$4:$Q$4,0))</f>
        <v>1050</v>
      </c>
      <c r="R261">
        <f>INDEX('Energieverbruik in TJ Gemeente'!$B$4:$Q$347,MATCH($C261,'Energieverbruik in TJ Gemeente'!$B$4:$B$347,0),MATCH(R$2,'Energieverbruik in TJ Gemeente'!$B$4:$Q$4,0))</f>
        <v>1342</v>
      </c>
      <c r="S261" cm="1">
        <f t="array" ref="S261">MAX(_xlfn._xlws.FILTER(D$1:H$1, D261:H261&lt;&gt;"?"))</f>
        <v>2023</v>
      </c>
      <c r="T261" cm="1">
        <f t="array" ref="T261">MAX(_xlfn._xlws.FILTER(I$1:M$1, I261:M261&lt;&gt;"?"))</f>
        <v>2023</v>
      </c>
      <c r="U261" cm="1">
        <f t="array" ref="U261">MAX(_xlfn._xlws.FILTER(F$1:J$1, F261:J261&lt;&gt;"?"))</f>
        <v>2023</v>
      </c>
      <c r="V261">
        <f t="shared" si="20"/>
        <v>334</v>
      </c>
      <c r="W261">
        <f t="shared" si="21"/>
        <v>60</v>
      </c>
      <c r="X261">
        <f t="shared" si="22"/>
        <v>1342</v>
      </c>
      <c r="Y261">
        <f t="shared" si="23"/>
        <v>1736</v>
      </c>
      <c r="Z261">
        <f t="shared" si="24"/>
        <v>2.8851107676455437E-3</v>
      </c>
    </row>
    <row r="262" spans="1:26" ht="32" x14ac:dyDescent="0.2">
      <c r="A262" s="4" t="s">
        <v>791</v>
      </c>
      <c r="B262" s="4" t="s">
        <v>792</v>
      </c>
      <c r="C262" s="4" t="s">
        <v>793</v>
      </c>
      <c r="D262" t="str">
        <f>INDEX('Energieverbruik in TJ Gemeente'!$B$4:$Q$347,MATCH($C262,'Energieverbruik in TJ Gemeente'!$B$4:$B$347,0),MATCH(D$2,'Energieverbruik in TJ Gemeente'!$B$4:$Q$4,0))</f>
        <v>?</v>
      </c>
      <c r="E262">
        <f>INDEX('Energieverbruik in TJ Gemeente'!$B$4:$Q$347,MATCH($C262,'Energieverbruik in TJ Gemeente'!$B$4:$B$347,0),MATCH(E$2,'Energieverbruik in TJ Gemeente'!$B$4:$Q$4,0))</f>
        <v>483</v>
      </c>
      <c r="F262">
        <f>INDEX('Energieverbruik in TJ Gemeente'!$B$4:$Q$347,MATCH($C262,'Energieverbruik in TJ Gemeente'!$B$4:$B$347,0),MATCH(F$2,'Energieverbruik in TJ Gemeente'!$B$4:$Q$4,0))</f>
        <v>501</v>
      </c>
      <c r="G262">
        <f>INDEX('Energieverbruik in TJ Gemeente'!$B$4:$Q$347,MATCH($C262,'Energieverbruik in TJ Gemeente'!$B$4:$B$347,0),MATCH(G$2,'Energieverbruik in TJ Gemeente'!$B$4:$Q$4,0))</f>
        <v>435</v>
      </c>
      <c r="H262">
        <f>INDEX('Energieverbruik in TJ Gemeente'!$B$4:$Q$347,MATCH($C262,'Energieverbruik in TJ Gemeente'!$B$4:$B$347,0),MATCH(H$2,'Energieverbruik in TJ Gemeente'!$B$4:$Q$4,0))</f>
        <v>359</v>
      </c>
      <c r="I262">
        <f>INDEX('Energieverbruik in TJ Gemeente'!$B$4:$Q$347,MATCH($C262,'Energieverbruik in TJ Gemeente'!$B$4:$B$347,0),MATCH(I$2,'Energieverbruik in TJ Gemeente'!$B$4:$Q$4,0))</f>
        <v>354</v>
      </c>
      <c r="J262" t="str">
        <f>INDEX('Energieverbruik in TJ Gemeente'!$B$4:$Q$347,MATCH($C262,'Energieverbruik in TJ Gemeente'!$B$4:$B$347,0),MATCH(J$2,'Energieverbruik in TJ Gemeente'!$B$4:$Q$4,0))</f>
        <v>?</v>
      </c>
      <c r="K262">
        <f>INDEX('Energieverbruik in TJ Gemeente'!$B$4:$Q$347,MATCH($C262,'Energieverbruik in TJ Gemeente'!$B$4:$B$347,0),MATCH(K$2,'Energieverbruik in TJ Gemeente'!$B$4:$Q$4,0))</f>
        <v>800</v>
      </c>
      <c r="L262">
        <f>INDEX('Energieverbruik in TJ Gemeente'!$B$4:$Q$347,MATCH($C262,'Energieverbruik in TJ Gemeente'!$B$4:$B$347,0),MATCH(L$2,'Energieverbruik in TJ Gemeente'!$B$4:$Q$4,0))</f>
        <v>370</v>
      </c>
      <c r="M262">
        <f>INDEX('Energieverbruik in TJ Gemeente'!$B$4:$Q$347,MATCH($C262,'Energieverbruik in TJ Gemeente'!$B$4:$B$347,0),MATCH(M$2,'Energieverbruik in TJ Gemeente'!$B$4:$Q$4,0))</f>
        <v>886</v>
      </c>
      <c r="N262">
        <f>INDEX('Energieverbruik in TJ Gemeente'!$B$4:$Q$347,MATCH($C262,'Energieverbruik in TJ Gemeente'!$B$4:$B$347,0),MATCH(N$2,'Energieverbruik in TJ Gemeente'!$B$4:$Q$4,0))</f>
        <v>10</v>
      </c>
      <c r="O262">
        <f>INDEX('Energieverbruik in TJ Gemeente'!$B$4:$Q$347,MATCH($C262,'Energieverbruik in TJ Gemeente'!$B$4:$B$347,0),MATCH(O$2,'Energieverbruik in TJ Gemeente'!$B$4:$Q$4,0))</f>
        <v>8</v>
      </c>
      <c r="P262">
        <f>INDEX('Energieverbruik in TJ Gemeente'!$B$4:$Q$347,MATCH($C262,'Energieverbruik in TJ Gemeente'!$B$4:$B$347,0),MATCH(P$2,'Energieverbruik in TJ Gemeente'!$B$4:$Q$4,0))</f>
        <v>10</v>
      </c>
      <c r="Q262">
        <f>INDEX('Energieverbruik in TJ Gemeente'!$B$4:$Q$347,MATCH($C262,'Energieverbruik in TJ Gemeente'!$B$4:$B$347,0),MATCH(Q$2,'Energieverbruik in TJ Gemeente'!$B$4:$Q$4,0))</f>
        <v>6</v>
      </c>
      <c r="R262">
        <f>INDEX('Energieverbruik in TJ Gemeente'!$B$4:$Q$347,MATCH($C262,'Energieverbruik in TJ Gemeente'!$B$4:$B$347,0),MATCH(R$2,'Energieverbruik in TJ Gemeente'!$B$4:$Q$4,0))</f>
        <v>6</v>
      </c>
      <c r="S262" cm="1">
        <f t="array" ref="S262">MAX(_xlfn._xlws.FILTER(D$1:H$1, D262:H262&lt;&gt;"?"))</f>
        <v>2023</v>
      </c>
      <c r="T262" cm="1">
        <f t="array" ref="T262">MAX(_xlfn._xlws.FILTER(I$1:M$1, I262:M262&lt;&gt;"?"))</f>
        <v>2023</v>
      </c>
      <c r="U262" cm="1">
        <f t="array" ref="U262">MAX(_xlfn._xlws.FILTER(F$1:J$1, F262:J262&lt;&gt;"?"))</f>
        <v>2023</v>
      </c>
      <c r="V262">
        <f t="shared" si="20"/>
        <v>359</v>
      </c>
      <c r="W262">
        <f t="shared" si="21"/>
        <v>886</v>
      </c>
      <c r="X262">
        <f t="shared" si="22"/>
        <v>6</v>
      </c>
      <c r="Y262">
        <f t="shared" si="23"/>
        <v>1251</v>
      </c>
      <c r="Z262">
        <f t="shared" si="24"/>
        <v>2.0790746372837412E-3</v>
      </c>
    </row>
    <row r="263" spans="1:26" ht="16" x14ac:dyDescent="0.2">
      <c r="A263" s="4" t="s">
        <v>794</v>
      </c>
      <c r="B263" s="4" t="s">
        <v>795</v>
      </c>
      <c r="C263" s="4" t="s">
        <v>796</v>
      </c>
      <c r="D263" t="str">
        <f>INDEX('Energieverbruik in TJ Gemeente'!$B$4:$Q$347,MATCH($C263,'Energieverbruik in TJ Gemeente'!$B$4:$B$347,0),MATCH(D$2,'Energieverbruik in TJ Gemeente'!$B$4:$Q$4,0))</f>
        <v>?</v>
      </c>
      <c r="E263">
        <f>INDEX('Energieverbruik in TJ Gemeente'!$B$4:$Q$347,MATCH($C263,'Energieverbruik in TJ Gemeente'!$B$4:$B$347,0),MATCH(E$2,'Energieverbruik in TJ Gemeente'!$B$4:$Q$4,0))</f>
        <v>954</v>
      </c>
      <c r="F263">
        <f>INDEX('Energieverbruik in TJ Gemeente'!$B$4:$Q$347,MATCH($C263,'Energieverbruik in TJ Gemeente'!$B$4:$B$347,0),MATCH(F$2,'Energieverbruik in TJ Gemeente'!$B$4:$Q$4,0))</f>
        <v>938</v>
      </c>
      <c r="G263">
        <f>INDEX('Energieverbruik in TJ Gemeente'!$B$4:$Q$347,MATCH($C263,'Energieverbruik in TJ Gemeente'!$B$4:$B$347,0),MATCH(G$2,'Energieverbruik in TJ Gemeente'!$B$4:$Q$4,0))</f>
        <v>822</v>
      </c>
      <c r="H263">
        <f>INDEX('Energieverbruik in TJ Gemeente'!$B$4:$Q$347,MATCH($C263,'Energieverbruik in TJ Gemeente'!$B$4:$B$347,0),MATCH(H$2,'Energieverbruik in TJ Gemeente'!$B$4:$Q$4,0))</f>
        <v>674</v>
      </c>
      <c r="I263">
        <f>INDEX('Energieverbruik in TJ Gemeente'!$B$4:$Q$347,MATCH($C263,'Energieverbruik in TJ Gemeente'!$B$4:$B$347,0),MATCH(I$2,'Energieverbruik in TJ Gemeente'!$B$4:$Q$4,0))</f>
        <v>57</v>
      </c>
      <c r="J263">
        <f>INDEX('Energieverbruik in TJ Gemeente'!$B$4:$Q$347,MATCH($C263,'Energieverbruik in TJ Gemeente'!$B$4:$B$347,0),MATCH(J$2,'Energieverbruik in TJ Gemeente'!$B$4:$Q$4,0))</f>
        <v>57</v>
      </c>
      <c r="K263">
        <f>INDEX('Energieverbruik in TJ Gemeente'!$B$4:$Q$347,MATCH($C263,'Energieverbruik in TJ Gemeente'!$B$4:$B$347,0),MATCH(K$2,'Energieverbruik in TJ Gemeente'!$B$4:$Q$4,0))</f>
        <v>60</v>
      </c>
      <c r="L263">
        <f>INDEX('Energieverbruik in TJ Gemeente'!$B$4:$Q$347,MATCH($C263,'Energieverbruik in TJ Gemeente'!$B$4:$B$347,0),MATCH(L$2,'Energieverbruik in TJ Gemeente'!$B$4:$Q$4,0))</f>
        <v>55</v>
      </c>
      <c r="M263">
        <f>INDEX('Energieverbruik in TJ Gemeente'!$B$4:$Q$347,MATCH($C263,'Energieverbruik in TJ Gemeente'!$B$4:$B$347,0),MATCH(M$2,'Energieverbruik in TJ Gemeente'!$B$4:$Q$4,0))</f>
        <v>52</v>
      </c>
      <c r="N263">
        <f>INDEX('Energieverbruik in TJ Gemeente'!$B$4:$Q$347,MATCH($C263,'Energieverbruik in TJ Gemeente'!$B$4:$B$347,0),MATCH(N$2,'Energieverbruik in TJ Gemeente'!$B$4:$Q$4,0))</f>
        <v>17</v>
      </c>
      <c r="O263">
        <f>INDEX('Energieverbruik in TJ Gemeente'!$B$4:$Q$347,MATCH($C263,'Energieverbruik in TJ Gemeente'!$B$4:$B$347,0),MATCH(O$2,'Energieverbruik in TJ Gemeente'!$B$4:$Q$4,0))</f>
        <v>16</v>
      </c>
      <c r="P263">
        <f>INDEX('Energieverbruik in TJ Gemeente'!$B$4:$Q$347,MATCH($C263,'Energieverbruik in TJ Gemeente'!$B$4:$B$347,0),MATCH(P$2,'Energieverbruik in TJ Gemeente'!$B$4:$Q$4,0))</f>
        <v>17</v>
      </c>
      <c r="Q263">
        <f>INDEX('Energieverbruik in TJ Gemeente'!$B$4:$Q$347,MATCH($C263,'Energieverbruik in TJ Gemeente'!$B$4:$B$347,0),MATCH(Q$2,'Energieverbruik in TJ Gemeente'!$B$4:$Q$4,0))</f>
        <v>14</v>
      </c>
      <c r="R263">
        <f>INDEX('Energieverbruik in TJ Gemeente'!$B$4:$Q$347,MATCH($C263,'Energieverbruik in TJ Gemeente'!$B$4:$B$347,0),MATCH(R$2,'Energieverbruik in TJ Gemeente'!$B$4:$Q$4,0))</f>
        <v>11</v>
      </c>
      <c r="S263" cm="1">
        <f t="array" ref="S263">MAX(_xlfn._xlws.FILTER(D$1:H$1, D263:H263&lt;&gt;"?"))</f>
        <v>2023</v>
      </c>
      <c r="T263" cm="1">
        <f t="array" ref="T263">MAX(_xlfn._xlws.FILTER(I$1:M$1, I263:M263&lt;&gt;"?"))</f>
        <v>2023</v>
      </c>
      <c r="U263" cm="1">
        <f t="array" ref="U263">MAX(_xlfn._xlws.FILTER(F$1:J$1, F263:J263&lt;&gt;"?"))</f>
        <v>2023</v>
      </c>
      <c r="V263">
        <f t="shared" si="20"/>
        <v>674</v>
      </c>
      <c r="W263">
        <f t="shared" si="21"/>
        <v>52</v>
      </c>
      <c r="X263">
        <f t="shared" si="22"/>
        <v>11</v>
      </c>
      <c r="Y263">
        <f t="shared" si="23"/>
        <v>737</v>
      </c>
      <c r="Z263">
        <f t="shared" si="24"/>
        <v>1.2248425321168004E-3</v>
      </c>
    </row>
    <row r="264" spans="1:26" ht="16" x14ac:dyDescent="0.2">
      <c r="A264" s="4" t="s">
        <v>797</v>
      </c>
      <c r="B264" s="4" t="s">
        <v>798</v>
      </c>
      <c r="C264" s="4" t="s">
        <v>799</v>
      </c>
      <c r="D264">
        <f>INDEX('Energieverbruik in TJ Gemeente'!$B$4:$Q$347,MATCH($C264,'Energieverbruik in TJ Gemeente'!$B$4:$B$347,0),MATCH(D$2,'Energieverbruik in TJ Gemeente'!$B$4:$Q$4,0))</f>
        <v>412</v>
      </c>
      <c r="E264">
        <f>INDEX('Energieverbruik in TJ Gemeente'!$B$4:$Q$347,MATCH($C264,'Energieverbruik in TJ Gemeente'!$B$4:$B$347,0),MATCH(E$2,'Energieverbruik in TJ Gemeente'!$B$4:$Q$4,0))</f>
        <v>406</v>
      </c>
      <c r="F264">
        <f>INDEX('Energieverbruik in TJ Gemeente'!$B$4:$Q$347,MATCH($C264,'Energieverbruik in TJ Gemeente'!$B$4:$B$347,0),MATCH(F$2,'Energieverbruik in TJ Gemeente'!$B$4:$Q$4,0))</f>
        <v>414</v>
      </c>
      <c r="G264">
        <f>INDEX('Energieverbruik in TJ Gemeente'!$B$4:$Q$347,MATCH($C264,'Energieverbruik in TJ Gemeente'!$B$4:$B$347,0),MATCH(G$2,'Energieverbruik in TJ Gemeente'!$B$4:$Q$4,0))</f>
        <v>363</v>
      </c>
      <c r="H264">
        <f>INDEX('Energieverbruik in TJ Gemeente'!$B$4:$Q$347,MATCH($C264,'Energieverbruik in TJ Gemeente'!$B$4:$B$347,0),MATCH(H$2,'Energieverbruik in TJ Gemeente'!$B$4:$Q$4,0))</f>
        <v>293</v>
      </c>
      <c r="I264">
        <f>INDEX('Energieverbruik in TJ Gemeente'!$B$4:$Q$347,MATCH($C264,'Energieverbruik in TJ Gemeente'!$B$4:$B$347,0),MATCH(I$2,'Energieverbruik in TJ Gemeente'!$B$4:$Q$4,0))</f>
        <v>196</v>
      </c>
      <c r="J264">
        <f>INDEX('Energieverbruik in TJ Gemeente'!$B$4:$Q$347,MATCH($C264,'Energieverbruik in TJ Gemeente'!$B$4:$B$347,0),MATCH(J$2,'Energieverbruik in TJ Gemeente'!$B$4:$Q$4,0))</f>
        <v>180</v>
      </c>
      <c r="K264">
        <f>INDEX('Energieverbruik in TJ Gemeente'!$B$4:$Q$347,MATCH($C264,'Energieverbruik in TJ Gemeente'!$B$4:$B$347,0),MATCH(K$2,'Energieverbruik in TJ Gemeente'!$B$4:$Q$4,0))</f>
        <v>167</v>
      </c>
      <c r="L264">
        <f>INDEX('Energieverbruik in TJ Gemeente'!$B$4:$Q$347,MATCH($C264,'Energieverbruik in TJ Gemeente'!$B$4:$B$347,0),MATCH(L$2,'Energieverbruik in TJ Gemeente'!$B$4:$Q$4,0))</f>
        <v>163</v>
      </c>
      <c r="M264">
        <f>INDEX('Energieverbruik in TJ Gemeente'!$B$4:$Q$347,MATCH($C264,'Energieverbruik in TJ Gemeente'!$B$4:$B$347,0),MATCH(M$2,'Energieverbruik in TJ Gemeente'!$B$4:$Q$4,0))</f>
        <v>152</v>
      </c>
      <c r="N264">
        <f>INDEX('Energieverbruik in TJ Gemeente'!$B$4:$Q$347,MATCH($C264,'Energieverbruik in TJ Gemeente'!$B$4:$B$347,0),MATCH(N$2,'Energieverbruik in TJ Gemeente'!$B$4:$Q$4,0))</f>
        <v>41</v>
      </c>
      <c r="O264">
        <f>INDEX('Energieverbruik in TJ Gemeente'!$B$4:$Q$347,MATCH($C264,'Energieverbruik in TJ Gemeente'!$B$4:$B$347,0),MATCH(O$2,'Energieverbruik in TJ Gemeente'!$B$4:$Q$4,0))</f>
        <v>19</v>
      </c>
      <c r="P264">
        <f>INDEX('Energieverbruik in TJ Gemeente'!$B$4:$Q$347,MATCH($C264,'Energieverbruik in TJ Gemeente'!$B$4:$B$347,0),MATCH(P$2,'Energieverbruik in TJ Gemeente'!$B$4:$Q$4,0))</f>
        <v>22</v>
      </c>
      <c r="Q264">
        <f>INDEX('Energieverbruik in TJ Gemeente'!$B$4:$Q$347,MATCH($C264,'Energieverbruik in TJ Gemeente'!$B$4:$B$347,0),MATCH(Q$2,'Energieverbruik in TJ Gemeente'!$B$4:$Q$4,0))</f>
        <v>18</v>
      </c>
      <c r="R264">
        <f>INDEX('Energieverbruik in TJ Gemeente'!$B$4:$Q$347,MATCH($C264,'Energieverbruik in TJ Gemeente'!$B$4:$B$347,0),MATCH(R$2,'Energieverbruik in TJ Gemeente'!$B$4:$Q$4,0))</f>
        <v>16</v>
      </c>
      <c r="S264" cm="1">
        <f t="array" ref="S264">MAX(_xlfn._xlws.FILTER(D$1:H$1, D264:H264&lt;&gt;"?"))</f>
        <v>2023</v>
      </c>
      <c r="T264" cm="1">
        <f t="array" ref="T264">MAX(_xlfn._xlws.FILTER(I$1:M$1, I264:M264&lt;&gt;"?"))</f>
        <v>2023</v>
      </c>
      <c r="U264" cm="1">
        <f t="array" ref="U264">MAX(_xlfn._xlws.FILTER(F$1:J$1, F264:J264&lt;&gt;"?"))</f>
        <v>2023</v>
      </c>
      <c r="V264">
        <f t="shared" si="20"/>
        <v>293</v>
      </c>
      <c r="W264">
        <f t="shared" si="21"/>
        <v>152</v>
      </c>
      <c r="X264">
        <f t="shared" si="22"/>
        <v>16</v>
      </c>
      <c r="Y264">
        <f t="shared" si="23"/>
        <v>461</v>
      </c>
      <c r="Z264">
        <f t="shared" si="24"/>
        <v>7.6614980638513568E-4</v>
      </c>
    </row>
    <row r="265" spans="1:26" ht="16" x14ac:dyDescent="0.2">
      <c r="A265" s="4" t="s">
        <v>800</v>
      </c>
      <c r="B265" s="4" t="s">
        <v>801</v>
      </c>
      <c r="C265" s="4" t="s">
        <v>802</v>
      </c>
      <c r="D265">
        <f>INDEX('Energieverbruik in TJ Gemeente'!$B$4:$Q$347,MATCH($C265,'Energieverbruik in TJ Gemeente'!$B$4:$B$347,0),MATCH(D$2,'Energieverbruik in TJ Gemeente'!$B$4:$Q$4,0))</f>
        <v>514</v>
      </c>
      <c r="E265">
        <f>INDEX('Energieverbruik in TJ Gemeente'!$B$4:$Q$347,MATCH($C265,'Energieverbruik in TJ Gemeente'!$B$4:$B$347,0),MATCH(E$2,'Energieverbruik in TJ Gemeente'!$B$4:$Q$4,0))</f>
        <v>498</v>
      </c>
      <c r="F265">
        <f>INDEX('Energieverbruik in TJ Gemeente'!$B$4:$Q$347,MATCH($C265,'Energieverbruik in TJ Gemeente'!$B$4:$B$347,0),MATCH(F$2,'Energieverbruik in TJ Gemeente'!$B$4:$Q$4,0))</f>
        <v>517</v>
      </c>
      <c r="G265">
        <f>INDEX('Energieverbruik in TJ Gemeente'!$B$4:$Q$347,MATCH($C265,'Energieverbruik in TJ Gemeente'!$B$4:$B$347,0),MATCH(G$2,'Energieverbruik in TJ Gemeente'!$B$4:$Q$4,0))</f>
        <v>439</v>
      </c>
      <c r="H265">
        <f>INDEX('Energieverbruik in TJ Gemeente'!$B$4:$Q$347,MATCH($C265,'Energieverbruik in TJ Gemeente'!$B$4:$B$347,0),MATCH(H$2,'Energieverbruik in TJ Gemeente'!$B$4:$Q$4,0))</f>
        <v>379</v>
      </c>
      <c r="I265">
        <f>INDEX('Energieverbruik in TJ Gemeente'!$B$4:$Q$347,MATCH($C265,'Energieverbruik in TJ Gemeente'!$B$4:$B$347,0),MATCH(I$2,'Energieverbruik in TJ Gemeente'!$B$4:$Q$4,0))</f>
        <v>7</v>
      </c>
      <c r="J265">
        <f>INDEX('Energieverbruik in TJ Gemeente'!$B$4:$Q$347,MATCH($C265,'Energieverbruik in TJ Gemeente'!$B$4:$B$347,0),MATCH(J$2,'Energieverbruik in TJ Gemeente'!$B$4:$Q$4,0))</f>
        <v>6</v>
      </c>
      <c r="K265">
        <f>INDEX('Energieverbruik in TJ Gemeente'!$B$4:$Q$347,MATCH($C265,'Energieverbruik in TJ Gemeente'!$B$4:$B$347,0),MATCH(K$2,'Energieverbruik in TJ Gemeente'!$B$4:$Q$4,0))</f>
        <v>7</v>
      </c>
      <c r="L265">
        <f>INDEX('Energieverbruik in TJ Gemeente'!$B$4:$Q$347,MATCH($C265,'Energieverbruik in TJ Gemeente'!$B$4:$B$347,0),MATCH(L$2,'Energieverbruik in TJ Gemeente'!$B$4:$Q$4,0))</f>
        <v>5</v>
      </c>
      <c r="M265" t="str">
        <f>INDEX('Energieverbruik in TJ Gemeente'!$B$4:$Q$347,MATCH($C265,'Energieverbruik in TJ Gemeente'!$B$4:$B$347,0),MATCH(M$2,'Energieverbruik in TJ Gemeente'!$B$4:$Q$4,0))</f>
        <v>?</v>
      </c>
      <c r="N265">
        <f>INDEX('Energieverbruik in TJ Gemeente'!$B$4:$Q$347,MATCH($C265,'Energieverbruik in TJ Gemeente'!$B$4:$B$347,0),MATCH(N$2,'Energieverbruik in TJ Gemeente'!$B$4:$Q$4,0))</f>
        <v>159</v>
      </c>
      <c r="O265">
        <f>INDEX('Energieverbruik in TJ Gemeente'!$B$4:$Q$347,MATCH($C265,'Energieverbruik in TJ Gemeente'!$B$4:$B$347,0),MATCH(O$2,'Energieverbruik in TJ Gemeente'!$B$4:$Q$4,0))</f>
        <v>153</v>
      </c>
      <c r="P265">
        <f>INDEX('Energieverbruik in TJ Gemeente'!$B$4:$Q$347,MATCH($C265,'Energieverbruik in TJ Gemeente'!$B$4:$B$347,0),MATCH(P$2,'Energieverbruik in TJ Gemeente'!$B$4:$Q$4,0))</f>
        <v>171</v>
      </c>
      <c r="Q265">
        <f>INDEX('Energieverbruik in TJ Gemeente'!$B$4:$Q$347,MATCH($C265,'Energieverbruik in TJ Gemeente'!$B$4:$B$347,0),MATCH(Q$2,'Energieverbruik in TJ Gemeente'!$B$4:$Q$4,0))</f>
        <v>133</v>
      </c>
      <c r="R265">
        <f>INDEX('Energieverbruik in TJ Gemeente'!$B$4:$Q$347,MATCH($C265,'Energieverbruik in TJ Gemeente'!$B$4:$B$347,0),MATCH(R$2,'Energieverbruik in TJ Gemeente'!$B$4:$Q$4,0))</f>
        <v>125</v>
      </c>
      <c r="S265" cm="1">
        <f t="array" ref="S265">MAX(_xlfn._xlws.FILTER(D$1:H$1, D265:H265&lt;&gt;"?"))</f>
        <v>2023</v>
      </c>
      <c r="T265" cm="1">
        <f t="array" ref="T265">MAX(_xlfn._xlws.FILTER(I$1:M$1, I265:M265&lt;&gt;"?"))</f>
        <v>2022</v>
      </c>
      <c r="U265" cm="1">
        <f t="array" ref="U265">MAX(_xlfn._xlws.FILTER(F$1:J$1, F265:J265&lt;&gt;"?"))</f>
        <v>2023</v>
      </c>
      <c r="V265">
        <f t="shared" si="20"/>
        <v>379</v>
      </c>
      <c r="W265">
        <f t="shared" si="21"/>
        <v>5</v>
      </c>
      <c r="X265">
        <f t="shared" si="22"/>
        <v>125</v>
      </c>
      <c r="Y265">
        <f t="shared" si="23"/>
        <v>509</v>
      </c>
      <c r="Z265">
        <f t="shared" si="24"/>
        <v>8.4592245433846869E-4</v>
      </c>
    </row>
    <row r="266" spans="1:26" ht="16" x14ac:dyDescent="0.2">
      <c r="A266" s="4" t="s">
        <v>803</v>
      </c>
      <c r="B266" s="4" t="s">
        <v>804</v>
      </c>
      <c r="C266" s="4" t="s">
        <v>805</v>
      </c>
      <c r="D266">
        <f>INDEX('Energieverbruik in TJ Gemeente'!$B$4:$Q$347,MATCH($C266,'Energieverbruik in TJ Gemeente'!$B$4:$B$347,0),MATCH(D$2,'Energieverbruik in TJ Gemeente'!$B$4:$Q$4,0))</f>
        <v>561</v>
      </c>
      <c r="E266">
        <f>INDEX('Energieverbruik in TJ Gemeente'!$B$4:$Q$347,MATCH($C266,'Energieverbruik in TJ Gemeente'!$B$4:$B$347,0),MATCH(E$2,'Energieverbruik in TJ Gemeente'!$B$4:$Q$4,0))</f>
        <v>549</v>
      </c>
      <c r="F266">
        <f>INDEX('Energieverbruik in TJ Gemeente'!$B$4:$Q$347,MATCH($C266,'Energieverbruik in TJ Gemeente'!$B$4:$B$347,0),MATCH(F$2,'Energieverbruik in TJ Gemeente'!$B$4:$Q$4,0))</f>
        <v>545</v>
      </c>
      <c r="G266">
        <f>INDEX('Energieverbruik in TJ Gemeente'!$B$4:$Q$347,MATCH($C266,'Energieverbruik in TJ Gemeente'!$B$4:$B$347,0),MATCH(G$2,'Energieverbruik in TJ Gemeente'!$B$4:$Q$4,0))</f>
        <v>469</v>
      </c>
      <c r="H266">
        <f>INDEX('Energieverbruik in TJ Gemeente'!$B$4:$Q$347,MATCH($C266,'Energieverbruik in TJ Gemeente'!$B$4:$B$347,0),MATCH(H$2,'Energieverbruik in TJ Gemeente'!$B$4:$Q$4,0))</f>
        <v>391</v>
      </c>
      <c r="I266" t="str">
        <f>INDEX('Energieverbruik in TJ Gemeente'!$B$4:$Q$347,MATCH($C266,'Energieverbruik in TJ Gemeente'!$B$4:$B$347,0),MATCH(I$2,'Energieverbruik in TJ Gemeente'!$B$4:$Q$4,0))</f>
        <v>?</v>
      </c>
      <c r="J266" t="str">
        <f>INDEX('Energieverbruik in TJ Gemeente'!$B$4:$Q$347,MATCH($C266,'Energieverbruik in TJ Gemeente'!$B$4:$B$347,0),MATCH(J$2,'Energieverbruik in TJ Gemeente'!$B$4:$Q$4,0))</f>
        <v>?</v>
      </c>
      <c r="K266" t="str">
        <f>INDEX('Energieverbruik in TJ Gemeente'!$B$4:$Q$347,MATCH($C266,'Energieverbruik in TJ Gemeente'!$B$4:$B$347,0),MATCH(K$2,'Energieverbruik in TJ Gemeente'!$B$4:$Q$4,0))</f>
        <v>?</v>
      </c>
      <c r="L266" t="str">
        <f>INDEX('Energieverbruik in TJ Gemeente'!$B$4:$Q$347,MATCH($C266,'Energieverbruik in TJ Gemeente'!$B$4:$B$347,0),MATCH(L$2,'Energieverbruik in TJ Gemeente'!$B$4:$Q$4,0))</f>
        <v>?</v>
      </c>
      <c r="M266">
        <f>INDEX('Energieverbruik in TJ Gemeente'!$B$4:$Q$347,MATCH($C266,'Energieverbruik in TJ Gemeente'!$B$4:$B$347,0),MATCH(M$2,'Energieverbruik in TJ Gemeente'!$B$4:$Q$4,0))</f>
        <v>2198</v>
      </c>
      <c r="N266" t="str">
        <f>INDEX('Energieverbruik in TJ Gemeente'!$B$4:$Q$347,MATCH($C266,'Energieverbruik in TJ Gemeente'!$B$4:$B$347,0),MATCH(N$2,'Energieverbruik in TJ Gemeente'!$B$4:$Q$4,0))</f>
        <v>?</v>
      </c>
      <c r="O266" t="str">
        <f>INDEX('Energieverbruik in TJ Gemeente'!$B$4:$Q$347,MATCH($C266,'Energieverbruik in TJ Gemeente'!$B$4:$B$347,0),MATCH(O$2,'Energieverbruik in TJ Gemeente'!$B$4:$Q$4,0))</f>
        <v>?</v>
      </c>
      <c r="P266" t="str">
        <f>INDEX('Energieverbruik in TJ Gemeente'!$B$4:$Q$347,MATCH($C266,'Energieverbruik in TJ Gemeente'!$B$4:$B$347,0),MATCH(P$2,'Energieverbruik in TJ Gemeente'!$B$4:$Q$4,0))</f>
        <v>?</v>
      </c>
      <c r="Q266" t="str">
        <f>INDEX('Energieverbruik in TJ Gemeente'!$B$4:$Q$347,MATCH($C266,'Energieverbruik in TJ Gemeente'!$B$4:$B$347,0),MATCH(Q$2,'Energieverbruik in TJ Gemeente'!$B$4:$Q$4,0))</f>
        <v>?</v>
      </c>
      <c r="R266">
        <f>INDEX('Energieverbruik in TJ Gemeente'!$B$4:$Q$347,MATCH($C266,'Energieverbruik in TJ Gemeente'!$B$4:$B$347,0),MATCH(R$2,'Energieverbruik in TJ Gemeente'!$B$4:$Q$4,0))</f>
        <v>3213</v>
      </c>
      <c r="S266" cm="1">
        <f t="array" ref="S266">MAX(_xlfn._xlws.FILTER(D$1:H$1, D266:H266&lt;&gt;"?"))</f>
        <v>2023</v>
      </c>
      <c r="T266" cm="1">
        <f t="array" ref="T266">MAX(_xlfn._xlws.FILTER(I$1:M$1, I266:M266&lt;&gt;"?"))</f>
        <v>2023</v>
      </c>
      <c r="U266" cm="1">
        <f t="array" ref="U266">MAX(_xlfn._xlws.FILTER(F$1:J$1, F266:J266&lt;&gt;"?"))</f>
        <v>2023</v>
      </c>
      <c r="V266">
        <f t="shared" si="20"/>
        <v>391</v>
      </c>
      <c r="W266">
        <f t="shared" si="21"/>
        <v>2198</v>
      </c>
      <c r="X266">
        <f t="shared" si="22"/>
        <v>3213</v>
      </c>
      <c r="Y266">
        <f t="shared" si="23"/>
        <v>5802</v>
      </c>
      <c r="Z266">
        <f t="shared" si="24"/>
        <v>9.6425188213591258E-3</v>
      </c>
    </row>
    <row r="267" spans="1:26" ht="32" x14ac:dyDescent="0.2">
      <c r="A267" s="4" t="s">
        <v>806</v>
      </c>
      <c r="B267" s="4" t="s">
        <v>807</v>
      </c>
      <c r="C267" s="4" t="s">
        <v>808</v>
      </c>
      <c r="D267">
        <f>INDEX('Energieverbruik in TJ Gemeente'!$B$4:$Q$347,MATCH($C267,'Energieverbruik in TJ Gemeente'!$B$4:$B$347,0),MATCH(D$2,'Energieverbruik in TJ Gemeente'!$B$4:$Q$4,0))</f>
        <v>1210</v>
      </c>
      <c r="E267">
        <f>INDEX('Energieverbruik in TJ Gemeente'!$B$4:$Q$347,MATCH($C267,'Energieverbruik in TJ Gemeente'!$B$4:$B$347,0),MATCH(E$2,'Energieverbruik in TJ Gemeente'!$B$4:$Q$4,0))</f>
        <v>1192</v>
      </c>
      <c r="F267">
        <f>INDEX('Energieverbruik in TJ Gemeente'!$B$4:$Q$347,MATCH($C267,'Energieverbruik in TJ Gemeente'!$B$4:$B$347,0),MATCH(F$2,'Energieverbruik in TJ Gemeente'!$B$4:$Q$4,0))</f>
        <v>1207</v>
      </c>
      <c r="G267">
        <f>INDEX('Energieverbruik in TJ Gemeente'!$B$4:$Q$347,MATCH($C267,'Energieverbruik in TJ Gemeente'!$B$4:$B$347,0),MATCH(G$2,'Energieverbruik in TJ Gemeente'!$B$4:$Q$4,0))</f>
        <v>1058</v>
      </c>
      <c r="H267">
        <f>INDEX('Energieverbruik in TJ Gemeente'!$B$4:$Q$347,MATCH($C267,'Energieverbruik in TJ Gemeente'!$B$4:$B$347,0),MATCH(H$2,'Energieverbruik in TJ Gemeente'!$B$4:$Q$4,0))</f>
        <v>862</v>
      </c>
      <c r="I267">
        <f>INDEX('Energieverbruik in TJ Gemeente'!$B$4:$Q$347,MATCH($C267,'Energieverbruik in TJ Gemeente'!$B$4:$B$347,0),MATCH(I$2,'Energieverbruik in TJ Gemeente'!$B$4:$Q$4,0))</f>
        <v>66</v>
      </c>
      <c r="J267">
        <f>INDEX('Energieverbruik in TJ Gemeente'!$B$4:$Q$347,MATCH($C267,'Energieverbruik in TJ Gemeente'!$B$4:$B$347,0),MATCH(J$2,'Energieverbruik in TJ Gemeente'!$B$4:$Q$4,0))</f>
        <v>63</v>
      </c>
      <c r="K267">
        <f>INDEX('Energieverbruik in TJ Gemeente'!$B$4:$Q$347,MATCH($C267,'Energieverbruik in TJ Gemeente'!$B$4:$B$347,0),MATCH(K$2,'Energieverbruik in TJ Gemeente'!$B$4:$Q$4,0))</f>
        <v>80</v>
      </c>
      <c r="L267">
        <f>INDEX('Energieverbruik in TJ Gemeente'!$B$4:$Q$347,MATCH($C267,'Energieverbruik in TJ Gemeente'!$B$4:$B$347,0),MATCH(L$2,'Energieverbruik in TJ Gemeente'!$B$4:$Q$4,0))</f>
        <v>66</v>
      </c>
      <c r="M267">
        <f>INDEX('Energieverbruik in TJ Gemeente'!$B$4:$Q$347,MATCH($C267,'Energieverbruik in TJ Gemeente'!$B$4:$B$347,0),MATCH(M$2,'Energieverbruik in TJ Gemeente'!$B$4:$Q$4,0))</f>
        <v>60</v>
      </c>
      <c r="N267">
        <f>INDEX('Energieverbruik in TJ Gemeente'!$B$4:$Q$347,MATCH($C267,'Energieverbruik in TJ Gemeente'!$B$4:$B$347,0),MATCH(N$2,'Energieverbruik in TJ Gemeente'!$B$4:$Q$4,0))</f>
        <v>56</v>
      </c>
      <c r="O267">
        <f>INDEX('Energieverbruik in TJ Gemeente'!$B$4:$Q$347,MATCH($C267,'Energieverbruik in TJ Gemeente'!$B$4:$B$347,0),MATCH(O$2,'Energieverbruik in TJ Gemeente'!$B$4:$Q$4,0))</f>
        <v>29</v>
      </c>
      <c r="P267">
        <f>INDEX('Energieverbruik in TJ Gemeente'!$B$4:$Q$347,MATCH($C267,'Energieverbruik in TJ Gemeente'!$B$4:$B$347,0),MATCH(P$2,'Energieverbruik in TJ Gemeente'!$B$4:$Q$4,0))</f>
        <v>31</v>
      </c>
      <c r="Q267">
        <f>INDEX('Energieverbruik in TJ Gemeente'!$B$4:$Q$347,MATCH($C267,'Energieverbruik in TJ Gemeente'!$B$4:$B$347,0),MATCH(Q$2,'Energieverbruik in TJ Gemeente'!$B$4:$Q$4,0))</f>
        <v>23</v>
      </c>
      <c r="R267">
        <f>INDEX('Energieverbruik in TJ Gemeente'!$B$4:$Q$347,MATCH($C267,'Energieverbruik in TJ Gemeente'!$B$4:$B$347,0),MATCH(R$2,'Energieverbruik in TJ Gemeente'!$B$4:$Q$4,0))</f>
        <v>31</v>
      </c>
      <c r="S267" cm="1">
        <f t="array" ref="S267">MAX(_xlfn._xlws.FILTER(D$1:H$1, D267:H267&lt;&gt;"?"))</f>
        <v>2023</v>
      </c>
      <c r="T267" cm="1">
        <f t="array" ref="T267">MAX(_xlfn._xlws.FILTER(I$1:M$1, I267:M267&lt;&gt;"?"))</f>
        <v>2023</v>
      </c>
      <c r="U267" cm="1">
        <f t="array" ref="U267">MAX(_xlfn._xlws.FILTER(F$1:J$1, F267:J267&lt;&gt;"?"))</f>
        <v>2023</v>
      </c>
      <c r="V267">
        <f t="shared" si="20"/>
        <v>862</v>
      </c>
      <c r="W267">
        <f t="shared" si="21"/>
        <v>60</v>
      </c>
      <c r="X267">
        <f t="shared" si="22"/>
        <v>31</v>
      </c>
      <c r="Y267">
        <f t="shared" si="23"/>
        <v>953</v>
      </c>
      <c r="Z267">
        <f t="shared" si="24"/>
        <v>1.5838194479067989E-3</v>
      </c>
    </row>
    <row r="268" spans="1:26" ht="16" x14ac:dyDescent="0.2">
      <c r="A268" s="4" t="s">
        <v>809</v>
      </c>
      <c r="B268" s="4" t="s">
        <v>810</v>
      </c>
      <c r="C268" s="4" t="s">
        <v>811</v>
      </c>
      <c r="D268">
        <f>INDEX('Energieverbruik in TJ Gemeente'!$B$4:$Q$347,MATCH($C268,'Energieverbruik in TJ Gemeente'!$B$4:$B$347,0),MATCH(D$2,'Energieverbruik in TJ Gemeente'!$B$4:$Q$4,0))</f>
        <v>724</v>
      </c>
      <c r="E268">
        <f>INDEX('Energieverbruik in TJ Gemeente'!$B$4:$Q$347,MATCH($C268,'Energieverbruik in TJ Gemeente'!$B$4:$B$347,0),MATCH(E$2,'Energieverbruik in TJ Gemeente'!$B$4:$Q$4,0))</f>
        <v>765</v>
      </c>
      <c r="F268">
        <f>INDEX('Energieverbruik in TJ Gemeente'!$B$4:$Q$347,MATCH($C268,'Energieverbruik in TJ Gemeente'!$B$4:$B$347,0),MATCH(F$2,'Energieverbruik in TJ Gemeente'!$B$4:$Q$4,0))</f>
        <v>688</v>
      </c>
      <c r="G268" t="str">
        <f>INDEX('Energieverbruik in TJ Gemeente'!$B$4:$Q$347,MATCH($C268,'Energieverbruik in TJ Gemeente'!$B$4:$B$347,0),MATCH(G$2,'Energieverbruik in TJ Gemeente'!$B$4:$Q$4,0))</f>
        <v>?</v>
      </c>
      <c r="H268" t="str">
        <f>INDEX('Energieverbruik in TJ Gemeente'!$B$4:$Q$347,MATCH($C268,'Energieverbruik in TJ Gemeente'!$B$4:$B$347,0),MATCH(H$2,'Energieverbruik in TJ Gemeente'!$B$4:$Q$4,0))</f>
        <v>?</v>
      </c>
      <c r="I268">
        <f>INDEX('Energieverbruik in TJ Gemeente'!$B$4:$Q$347,MATCH($C268,'Energieverbruik in TJ Gemeente'!$B$4:$B$347,0),MATCH(I$2,'Energieverbruik in TJ Gemeente'!$B$4:$Q$4,0))</f>
        <v>30</v>
      </c>
      <c r="J268" t="str">
        <f>INDEX('Energieverbruik in TJ Gemeente'!$B$4:$Q$347,MATCH($C268,'Energieverbruik in TJ Gemeente'!$B$4:$B$347,0),MATCH(J$2,'Energieverbruik in TJ Gemeente'!$B$4:$Q$4,0))</f>
        <v>?</v>
      </c>
      <c r="K268" t="str">
        <f>INDEX('Energieverbruik in TJ Gemeente'!$B$4:$Q$347,MATCH($C268,'Energieverbruik in TJ Gemeente'!$B$4:$B$347,0),MATCH(K$2,'Energieverbruik in TJ Gemeente'!$B$4:$Q$4,0))</f>
        <v>?</v>
      </c>
      <c r="L268" t="str">
        <f>INDEX('Energieverbruik in TJ Gemeente'!$B$4:$Q$347,MATCH($C268,'Energieverbruik in TJ Gemeente'!$B$4:$B$347,0),MATCH(L$2,'Energieverbruik in TJ Gemeente'!$B$4:$Q$4,0))</f>
        <v>?</v>
      </c>
      <c r="M268" t="str">
        <f>INDEX('Energieverbruik in TJ Gemeente'!$B$4:$Q$347,MATCH($C268,'Energieverbruik in TJ Gemeente'!$B$4:$B$347,0),MATCH(M$2,'Energieverbruik in TJ Gemeente'!$B$4:$Q$4,0))</f>
        <v>?</v>
      </c>
      <c r="N268">
        <f>INDEX('Energieverbruik in TJ Gemeente'!$B$4:$Q$347,MATCH($C268,'Energieverbruik in TJ Gemeente'!$B$4:$B$347,0),MATCH(N$2,'Energieverbruik in TJ Gemeente'!$B$4:$Q$4,0))</f>
        <v>1</v>
      </c>
      <c r="O268">
        <f>INDEX('Energieverbruik in TJ Gemeente'!$B$4:$Q$347,MATCH($C268,'Energieverbruik in TJ Gemeente'!$B$4:$B$347,0),MATCH(O$2,'Energieverbruik in TJ Gemeente'!$B$4:$Q$4,0))</f>
        <v>1</v>
      </c>
      <c r="P268">
        <f>INDEX('Energieverbruik in TJ Gemeente'!$B$4:$Q$347,MATCH($C268,'Energieverbruik in TJ Gemeente'!$B$4:$B$347,0),MATCH(P$2,'Energieverbruik in TJ Gemeente'!$B$4:$Q$4,0))</f>
        <v>1</v>
      </c>
      <c r="Q268">
        <f>INDEX('Energieverbruik in TJ Gemeente'!$B$4:$Q$347,MATCH($C268,'Energieverbruik in TJ Gemeente'!$B$4:$B$347,0),MATCH(Q$2,'Energieverbruik in TJ Gemeente'!$B$4:$Q$4,0))</f>
        <v>1</v>
      </c>
      <c r="R268">
        <f>INDEX('Energieverbruik in TJ Gemeente'!$B$4:$Q$347,MATCH($C268,'Energieverbruik in TJ Gemeente'!$B$4:$B$347,0),MATCH(R$2,'Energieverbruik in TJ Gemeente'!$B$4:$Q$4,0))</f>
        <v>1</v>
      </c>
      <c r="S268" cm="1">
        <f t="array" ref="S268">MAX(_xlfn._xlws.FILTER(D$1:H$1, D268:H268&lt;&gt;"?"))</f>
        <v>2021</v>
      </c>
      <c r="T268" cm="1">
        <f t="array" ref="T268">MAX(_xlfn._xlws.FILTER(I$1:M$1, I268:M268&lt;&gt;"?"))</f>
        <v>2019</v>
      </c>
      <c r="U268" cm="1">
        <f t="array" ref="U268">MAX(_xlfn._xlws.FILTER(F$1:J$1, F268:J268&lt;&gt;"?"))</f>
        <v>2021</v>
      </c>
      <c r="V268">
        <f t="shared" si="20"/>
        <v>688</v>
      </c>
      <c r="W268">
        <f t="shared" si="21"/>
        <v>30</v>
      </c>
      <c r="X268">
        <f t="shared" si="22"/>
        <v>1</v>
      </c>
      <c r="Y268">
        <f t="shared" si="23"/>
        <v>719</v>
      </c>
      <c r="Z268">
        <f t="shared" si="24"/>
        <v>1.1949277891343006E-3</v>
      </c>
    </row>
    <row r="269" spans="1:26" ht="32" x14ac:dyDescent="0.2">
      <c r="A269" s="4" t="s">
        <v>812</v>
      </c>
      <c r="B269" s="4" t="s">
        <v>813</v>
      </c>
      <c r="C269" s="4" t="s">
        <v>814</v>
      </c>
      <c r="D269">
        <f>INDEX('Energieverbruik in TJ Gemeente'!$B$4:$Q$347,MATCH($C269,'Energieverbruik in TJ Gemeente'!$B$4:$B$347,0),MATCH(D$2,'Energieverbruik in TJ Gemeente'!$B$4:$Q$4,0))</f>
        <v>1529</v>
      </c>
      <c r="E269">
        <f>INDEX('Energieverbruik in TJ Gemeente'!$B$4:$Q$347,MATCH($C269,'Energieverbruik in TJ Gemeente'!$B$4:$B$347,0),MATCH(E$2,'Energieverbruik in TJ Gemeente'!$B$4:$Q$4,0))</f>
        <v>1465</v>
      </c>
      <c r="F269">
        <f>INDEX('Energieverbruik in TJ Gemeente'!$B$4:$Q$347,MATCH($C269,'Energieverbruik in TJ Gemeente'!$B$4:$B$347,0),MATCH(F$2,'Energieverbruik in TJ Gemeente'!$B$4:$Q$4,0))</f>
        <v>1490</v>
      </c>
      <c r="G269">
        <f>INDEX('Energieverbruik in TJ Gemeente'!$B$4:$Q$347,MATCH($C269,'Energieverbruik in TJ Gemeente'!$B$4:$B$347,0),MATCH(G$2,'Energieverbruik in TJ Gemeente'!$B$4:$Q$4,0))</f>
        <v>1288</v>
      </c>
      <c r="H269">
        <f>INDEX('Energieverbruik in TJ Gemeente'!$B$4:$Q$347,MATCH($C269,'Energieverbruik in TJ Gemeente'!$B$4:$B$347,0),MATCH(H$2,'Energieverbruik in TJ Gemeente'!$B$4:$Q$4,0))</f>
        <v>1088</v>
      </c>
      <c r="I269">
        <f>INDEX('Energieverbruik in TJ Gemeente'!$B$4:$Q$347,MATCH($C269,'Energieverbruik in TJ Gemeente'!$B$4:$B$347,0),MATCH(I$2,'Energieverbruik in TJ Gemeente'!$B$4:$Q$4,0))</f>
        <v>82</v>
      </c>
      <c r="J269">
        <f>INDEX('Energieverbruik in TJ Gemeente'!$B$4:$Q$347,MATCH($C269,'Energieverbruik in TJ Gemeente'!$B$4:$B$347,0),MATCH(J$2,'Energieverbruik in TJ Gemeente'!$B$4:$Q$4,0))</f>
        <v>74</v>
      </c>
      <c r="K269">
        <f>INDEX('Energieverbruik in TJ Gemeente'!$B$4:$Q$347,MATCH($C269,'Energieverbruik in TJ Gemeente'!$B$4:$B$347,0),MATCH(K$2,'Energieverbruik in TJ Gemeente'!$B$4:$Q$4,0))</f>
        <v>82</v>
      </c>
      <c r="L269">
        <f>INDEX('Energieverbruik in TJ Gemeente'!$B$4:$Q$347,MATCH($C269,'Energieverbruik in TJ Gemeente'!$B$4:$B$347,0),MATCH(L$2,'Energieverbruik in TJ Gemeente'!$B$4:$Q$4,0))</f>
        <v>71</v>
      </c>
      <c r="M269">
        <f>INDEX('Energieverbruik in TJ Gemeente'!$B$4:$Q$347,MATCH($C269,'Energieverbruik in TJ Gemeente'!$B$4:$B$347,0),MATCH(M$2,'Energieverbruik in TJ Gemeente'!$B$4:$Q$4,0))</f>
        <v>70</v>
      </c>
      <c r="N269">
        <f>INDEX('Energieverbruik in TJ Gemeente'!$B$4:$Q$347,MATCH($C269,'Energieverbruik in TJ Gemeente'!$B$4:$B$347,0),MATCH(N$2,'Energieverbruik in TJ Gemeente'!$B$4:$Q$4,0))</f>
        <v>110</v>
      </c>
      <c r="O269">
        <f>INDEX('Energieverbruik in TJ Gemeente'!$B$4:$Q$347,MATCH($C269,'Energieverbruik in TJ Gemeente'!$B$4:$B$347,0),MATCH(O$2,'Energieverbruik in TJ Gemeente'!$B$4:$Q$4,0))</f>
        <v>99</v>
      </c>
      <c r="P269">
        <f>INDEX('Energieverbruik in TJ Gemeente'!$B$4:$Q$347,MATCH($C269,'Energieverbruik in TJ Gemeente'!$B$4:$B$347,0),MATCH(P$2,'Energieverbruik in TJ Gemeente'!$B$4:$Q$4,0))</f>
        <v>96</v>
      </c>
      <c r="Q269">
        <f>INDEX('Energieverbruik in TJ Gemeente'!$B$4:$Q$347,MATCH($C269,'Energieverbruik in TJ Gemeente'!$B$4:$B$347,0),MATCH(Q$2,'Energieverbruik in TJ Gemeente'!$B$4:$Q$4,0))</f>
        <v>80</v>
      </c>
      <c r="R269">
        <f>INDEX('Energieverbruik in TJ Gemeente'!$B$4:$Q$347,MATCH($C269,'Energieverbruik in TJ Gemeente'!$B$4:$B$347,0),MATCH(R$2,'Energieverbruik in TJ Gemeente'!$B$4:$Q$4,0))</f>
        <v>92</v>
      </c>
      <c r="S269" cm="1">
        <f t="array" ref="S269">MAX(_xlfn._xlws.FILTER(D$1:H$1, D269:H269&lt;&gt;"?"))</f>
        <v>2023</v>
      </c>
      <c r="T269" cm="1">
        <f t="array" ref="T269">MAX(_xlfn._xlws.FILTER(I$1:M$1, I269:M269&lt;&gt;"?"))</f>
        <v>2023</v>
      </c>
      <c r="U269" cm="1">
        <f t="array" ref="U269">MAX(_xlfn._xlws.FILTER(F$1:J$1, F269:J269&lt;&gt;"?"))</f>
        <v>2023</v>
      </c>
      <c r="V269">
        <f t="shared" si="20"/>
        <v>1088</v>
      </c>
      <c r="W269">
        <f t="shared" si="21"/>
        <v>70</v>
      </c>
      <c r="X269">
        <f t="shared" si="22"/>
        <v>92</v>
      </c>
      <c r="Y269">
        <f t="shared" si="23"/>
        <v>1250</v>
      </c>
      <c r="Z269">
        <f t="shared" si="24"/>
        <v>2.0774127071180471E-3</v>
      </c>
    </row>
    <row r="270" spans="1:26" ht="32" x14ac:dyDescent="0.2">
      <c r="A270" s="4" t="s">
        <v>815</v>
      </c>
      <c r="B270" s="4" t="s">
        <v>816</v>
      </c>
      <c r="C270" s="4" t="s">
        <v>817</v>
      </c>
      <c r="D270">
        <f>INDEX('Energieverbruik in TJ Gemeente'!$B$4:$Q$347,MATCH($C270,'Energieverbruik in TJ Gemeente'!$B$4:$B$347,0),MATCH(D$2,'Energieverbruik in TJ Gemeente'!$B$4:$Q$4,0))</f>
        <v>2560</v>
      </c>
      <c r="E270" t="str">
        <f>INDEX('Energieverbruik in TJ Gemeente'!$B$4:$Q$347,MATCH($C270,'Energieverbruik in TJ Gemeente'!$B$4:$B$347,0),MATCH(E$2,'Energieverbruik in TJ Gemeente'!$B$4:$Q$4,0))</f>
        <v>?</v>
      </c>
      <c r="F270">
        <f>INDEX('Energieverbruik in TJ Gemeente'!$B$4:$Q$347,MATCH($C270,'Energieverbruik in TJ Gemeente'!$B$4:$B$347,0),MATCH(F$2,'Energieverbruik in TJ Gemeente'!$B$4:$Q$4,0))</f>
        <v>2548</v>
      </c>
      <c r="G270">
        <f>INDEX('Energieverbruik in TJ Gemeente'!$B$4:$Q$347,MATCH($C270,'Energieverbruik in TJ Gemeente'!$B$4:$B$347,0),MATCH(G$2,'Energieverbruik in TJ Gemeente'!$B$4:$Q$4,0))</f>
        <v>2206</v>
      </c>
      <c r="H270">
        <f>INDEX('Energieverbruik in TJ Gemeente'!$B$4:$Q$347,MATCH($C270,'Energieverbruik in TJ Gemeente'!$B$4:$B$347,0),MATCH(H$2,'Energieverbruik in TJ Gemeente'!$B$4:$Q$4,0))</f>
        <v>1830</v>
      </c>
      <c r="I270">
        <f>INDEX('Energieverbruik in TJ Gemeente'!$B$4:$Q$347,MATCH($C270,'Energieverbruik in TJ Gemeente'!$B$4:$B$347,0),MATCH(I$2,'Energieverbruik in TJ Gemeente'!$B$4:$Q$4,0))</f>
        <v>889</v>
      </c>
      <c r="J270">
        <f>INDEX('Energieverbruik in TJ Gemeente'!$B$4:$Q$347,MATCH($C270,'Energieverbruik in TJ Gemeente'!$B$4:$B$347,0),MATCH(J$2,'Energieverbruik in TJ Gemeente'!$B$4:$Q$4,0))</f>
        <v>942</v>
      </c>
      <c r="K270">
        <f>INDEX('Energieverbruik in TJ Gemeente'!$B$4:$Q$347,MATCH($C270,'Energieverbruik in TJ Gemeente'!$B$4:$B$347,0),MATCH(K$2,'Energieverbruik in TJ Gemeente'!$B$4:$Q$4,0))</f>
        <v>963</v>
      </c>
      <c r="L270">
        <f>INDEX('Energieverbruik in TJ Gemeente'!$B$4:$Q$347,MATCH($C270,'Energieverbruik in TJ Gemeente'!$B$4:$B$347,0),MATCH(L$2,'Energieverbruik in TJ Gemeente'!$B$4:$Q$4,0))</f>
        <v>910</v>
      </c>
      <c r="M270" t="str">
        <f>INDEX('Energieverbruik in TJ Gemeente'!$B$4:$Q$347,MATCH($C270,'Energieverbruik in TJ Gemeente'!$B$4:$B$347,0),MATCH(M$2,'Energieverbruik in TJ Gemeente'!$B$4:$Q$4,0))</f>
        <v>?</v>
      </c>
      <c r="N270" t="str">
        <f>INDEX('Energieverbruik in TJ Gemeente'!$B$4:$Q$347,MATCH($C270,'Energieverbruik in TJ Gemeente'!$B$4:$B$347,0),MATCH(N$2,'Energieverbruik in TJ Gemeente'!$B$4:$Q$4,0))</f>
        <v>?</v>
      </c>
      <c r="O270">
        <f>INDEX('Energieverbruik in TJ Gemeente'!$B$4:$Q$347,MATCH($C270,'Energieverbruik in TJ Gemeente'!$B$4:$B$347,0),MATCH(O$2,'Energieverbruik in TJ Gemeente'!$B$4:$Q$4,0))</f>
        <v>81</v>
      </c>
      <c r="P270">
        <f>INDEX('Energieverbruik in TJ Gemeente'!$B$4:$Q$347,MATCH($C270,'Energieverbruik in TJ Gemeente'!$B$4:$B$347,0),MATCH(P$2,'Energieverbruik in TJ Gemeente'!$B$4:$Q$4,0))</f>
        <v>91</v>
      </c>
      <c r="Q270">
        <f>INDEX('Energieverbruik in TJ Gemeente'!$B$4:$Q$347,MATCH($C270,'Energieverbruik in TJ Gemeente'!$B$4:$B$347,0),MATCH(Q$2,'Energieverbruik in TJ Gemeente'!$B$4:$Q$4,0))</f>
        <v>43</v>
      </c>
      <c r="R270" t="str">
        <f>INDEX('Energieverbruik in TJ Gemeente'!$B$4:$Q$347,MATCH($C270,'Energieverbruik in TJ Gemeente'!$B$4:$B$347,0),MATCH(R$2,'Energieverbruik in TJ Gemeente'!$B$4:$Q$4,0))</f>
        <v>?</v>
      </c>
      <c r="S270" cm="1">
        <f t="array" ref="S270">MAX(_xlfn._xlws.FILTER(D$1:H$1, D270:H270&lt;&gt;"?"))</f>
        <v>2023</v>
      </c>
      <c r="T270" cm="1">
        <f t="array" ref="T270">MAX(_xlfn._xlws.FILTER(I$1:M$1, I270:M270&lt;&gt;"?"))</f>
        <v>2022</v>
      </c>
      <c r="U270" cm="1">
        <f t="array" ref="U270">MAX(_xlfn._xlws.FILTER(F$1:J$1, F270:J270&lt;&gt;"?"))</f>
        <v>2023</v>
      </c>
      <c r="V270">
        <f t="shared" si="20"/>
        <v>1830</v>
      </c>
      <c r="W270">
        <f t="shared" si="21"/>
        <v>910</v>
      </c>
      <c r="X270" t="str">
        <f t="shared" si="22"/>
        <v>?</v>
      </c>
      <c r="Y270">
        <f t="shared" si="23"/>
        <v>2740</v>
      </c>
      <c r="Z270">
        <f t="shared" si="24"/>
        <v>4.5536886540027584E-3</v>
      </c>
    </row>
    <row r="271" spans="1:26" ht="16" x14ac:dyDescent="0.2">
      <c r="A271" s="4" t="s">
        <v>818</v>
      </c>
      <c r="B271" s="4" t="s">
        <v>819</v>
      </c>
      <c r="C271" s="4" t="s">
        <v>820</v>
      </c>
      <c r="D271">
        <f>INDEX('Energieverbruik in TJ Gemeente'!$B$4:$Q$347,MATCH($C271,'Energieverbruik in TJ Gemeente'!$B$4:$B$347,0),MATCH(D$2,'Energieverbruik in TJ Gemeente'!$B$4:$Q$4,0))</f>
        <v>1484</v>
      </c>
      <c r="E271">
        <f>INDEX('Energieverbruik in TJ Gemeente'!$B$4:$Q$347,MATCH($C271,'Energieverbruik in TJ Gemeente'!$B$4:$B$347,0),MATCH(E$2,'Energieverbruik in TJ Gemeente'!$B$4:$Q$4,0))</f>
        <v>1431</v>
      </c>
      <c r="F271">
        <f>INDEX('Energieverbruik in TJ Gemeente'!$B$4:$Q$347,MATCH($C271,'Energieverbruik in TJ Gemeente'!$B$4:$B$347,0),MATCH(F$2,'Energieverbruik in TJ Gemeente'!$B$4:$Q$4,0))</f>
        <v>1465</v>
      </c>
      <c r="G271">
        <f>INDEX('Energieverbruik in TJ Gemeente'!$B$4:$Q$347,MATCH($C271,'Energieverbruik in TJ Gemeente'!$B$4:$B$347,0),MATCH(G$2,'Energieverbruik in TJ Gemeente'!$B$4:$Q$4,0))</f>
        <v>1286</v>
      </c>
      <c r="H271">
        <f>INDEX('Energieverbruik in TJ Gemeente'!$B$4:$Q$347,MATCH($C271,'Energieverbruik in TJ Gemeente'!$B$4:$B$347,0),MATCH(H$2,'Energieverbruik in TJ Gemeente'!$B$4:$Q$4,0))</f>
        <v>1085</v>
      </c>
      <c r="I271" t="str">
        <f>INDEX('Energieverbruik in TJ Gemeente'!$B$4:$Q$347,MATCH($C271,'Energieverbruik in TJ Gemeente'!$B$4:$B$347,0),MATCH(I$2,'Energieverbruik in TJ Gemeente'!$B$4:$Q$4,0))</f>
        <v>?</v>
      </c>
      <c r="J271" t="str">
        <f>INDEX('Energieverbruik in TJ Gemeente'!$B$4:$Q$347,MATCH($C271,'Energieverbruik in TJ Gemeente'!$B$4:$B$347,0),MATCH(J$2,'Energieverbruik in TJ Gemeente'!$B$4:$Q$4,0))</f>
        <v>?</v>
      </c>
      <c r="K271" t="str">
        <f>INDEX('Energieverbruik in TJ Gemeente'!$B$4:$Q$347,MATCH($C271,'Energieverbruik in TJ Gemeente'!$B$4:$B$347,0),MATCH(K$2,'Energieverbruik in TJ Gemeente'!$B$4:$Q$4,0))</f>
        <v>?</v>
      </c>
      <c r="L271" t="str">
        <f>INDEX('Energieverbruik in TJ Gemeente'!$B$4:$Q$347,MATCH($C271,'Energieverbruik in TJ Gemeente'!$B$4:$B$347,0),MATCH(L$2,'Energieverbruik in TJ Gemeente'!$B$4:$Q$4,0))</f>
        <v>?</v>
      </c>
      <c r="M271" t="str">
        <f>INDEX('Energieverbruik in TJ Gemeente'!$B$4:$Q$347,MATCH($C271,'Energieverbruik in TJ Gemeente'!$B$4:$B$347,0),MATCH(M$2,'Energieverbruik in TJ Gemeente'!$B$4:$Q$4,0))</f>
        <v>?</v>
      </c>
      <c r="N271">
        <f>INDEX('Energieverbruik in TJ Gemeente'!$B$4:$Q$347,MATCH($C271,'Energieverbruik in TJ Gemeente'!$B$4:$B$347,0),MATCH(N$2,'Energieverbruik in TJ Gemeente'!$B$4:$Q$4,0))</f>
        <v>17</v>
      </c>
      <c r="O271">
        <f>INDEX('Energieverbruik in TJ Gemeente'!$B$4:$Q$347,MATCH($C271,'Energieverbruik in TJ Gemeente'!$B$4:$B$347,0),MATCH(O$2,'Energieverbruik in TJ Gemeente'!$B$4:$Q$4,0))</f>
        <v>4</v>
      </c>
      <c r="P271">
        <f>INDEX('Energieverbruik in TJ Gemeente'!$B$4:$Q$347,MATCH($C271,'Energieverbruik in TJ Gemeente'!$B$4:$B$347,0),MATCH(P$2,'Energieverbruik in TJ Gemeente'!$B$4:$Q$4,0))</f>
        <v>5</v>
      </c>
      <c r="Q271">
        <f>INDEX('Energieverbruik in TJ Gemeente'!$B$4:$Q$347,MATCH($C271,'Energieverbruik in TJ Gemeente'!$B$4:$B$347,0),MATCH(Q$2,'Energieverbruik in TJ Gemeente'!$B$4:$Q$4,0))</f>
        <v>4</v>
      </c>
      <c r="R271">
        <f>INDEX('Energieverbruik in TJ Gemeente'!$B$4:$Q$347,MATCH($C271,'Energieverbruik in TJ Gemeente'!$B$4:$B$347,0),MATCH(R$2,'Energieverbruik in TJ Gemeente'!$B$4:$Q$4,0))</f>
        <v>3</v>
      </c>
      <c r="S271" cm="1">
        <f t="array" ref="S271">MAX(_xlfn._xlws.FILTER(D$1:H$1, D271:H271&lt;&gt;"?"))</f>
        <v>2023</v>
      </c>
      <c r="T271" t="e" cm="1" vm="1">
        <f t="array" ref="T271">MAX(_xlfn._xlws.FILTER(I$1:M$1, I271:M271&lt;&gt;"?"))</f>
        <v>#VALUE!</v>
      </c>
      <c r="U271" cm="1">
        <f t="array" ref="U271">MAX(_xlfn._xlws.FILTER(F$1:J$1, F271:J271&lt;&gt;"?"))</f>
        <v>2023</v>
      </c>
      <c r="V271">
        <f t="shared" si="20"/>
        <v>1085</v>
      </c>
      <c r="W271">
        <f t="shared" si="21"/>
        <v>0</v>
      </c>
      <c r="X271">
        <f t="shared" si="22"/>
        <v>3</v>
      </c>
      <c r="Y271">
        <f t="shared" si="23"/>
        <v>1088</v>
      </c>
      <c r="Z271">
        <f t="shared" si="24"/>
        <v>1.8081800202755481E-3</v>
      </c>
    </row>
    <row r="272" spans="1:26" ht="16" x14ac:dyDescent="0.2">
      <c r="A272" s="4" t="s">
        <v>821</v>
      </c>
      <c r="B272" s="4" t="s">
        <v>822</v>
      </c>
      <c r="C272" s="4" t="s">
        <v>823</v>
      </c>
      <c r="D272">
        <f>INDEX('Energieverbruik in TJ Gemeente'!$B$4:$Q$347,MATCH($C272,'Energieverbruik in TJ Gemeente'!$B$4:$B$347,0),MATCH(D$2,'Energieverbruik in TJ Gemeente'!$B$4:$Q$4,0))</f>
        <v>245</v>
      </c>
      <c r="E272">
        <f>INDEX('Energieverbruik in TJ Gemeente'!$B$4:$Q$347,MATCH($C272,'Energieverbruik in TJ Gemeente'!$B$4:$B$347,0),MATCH(E$2,'Energieverbruik in TJ Gemeente'!$B$4:$Q$4,0))</f>
        <v>229</v>
      </c>
      <c r="F272">
        <f>INDEX('Energieverbruik in TJ Gemeente'!$B$4:$Q$347,MATCH($C272,'Energieverbruik in TJ Gemeente'!$B$4:$B$347,0),MATCH(F$2,'Energieverbruik in TJ Gemeente'!$B$4:$Q$4,0))</f>
        <v>244</v>
      </c>
      <c r="G272">
        <f>INDEX('Energieverbruik in TJ Gemeente'!$B$4:$Q$347,MATCH($C272,'Energieverbruik in TJ Gemeente'!$B$4:$B$347,0),MATCH(G$2,'Energieverbruik in TJ Gemeente'!$B$4:$Q$4,0))</f>
        <v>210</v>
      </c>
      <c r="H272">
        <f>INDEX('Energieverbruik in TJ Gemeente'!$B$4:$Q$347,MATCH($C272,'Energieverbruik in TJ Gemeente'!$B$4:$B$347,0),MATCH(H$2,'Energieverbruik in TJ Gemeente'!$B$4:$Q$4,0))</f>
        <v>176</v>
      </c>
      <c r="I272">
        <f>INDEX('Energieverbruik in TJ Gemeente'!$B$4:$Q$347,MATCH($C272,'Energieverbruik in TJ Gemeente'!$B$4:$B$347,0),MATCH(I$2,'Energieverbruik in TJ Gemeente'!$B$4:$Q$4,0))</f>
        <v>4</v>
      </c>
      <c r="J272">
        <f>INDEX('Energieverbruik in TJ Gemeente'!$B$4:$Q$347,MATCH($C272,'Energieverbruik in TJ Gemeente'!$B$4:$B$347,0),MATCH(J$2,'Energieverbruik in TJ Gemeente'!$B$4:$Q$4,0))</f>
        <v>3</v>
      </c>
      <c r="K272">
        <f>INDEX('Energieverbruik in TJ Gemeente'!$B$4:$Q$347,MATCH($C272,'Energieverbruik in TJ Gemeente'!$B$4:$B$347,0),MATCH(K$2,'Energieverbruik in TJ Gemeente'!$B$4:$Q$4,0))</f>
        <v>3</v>
      </c>
      <c r="L272">
        <f>INDEX('Energieverbruik in TJ Gemeente'!$B$4:$Q$347,MATCH($C272,'Energieverbruik in TJ Gemeente'!$B$4:$B$347,0),MATCH(L$2,'Energieverbruik in TJ Gemeente'!$B$4:$Q$4,0))</f>
        <v>3</v>
      </c>
      <c r="M272">
        <f>INDEX('Energieverbruik in TJ Gemeente'!$B$4:$Q$347,MATCH($C272,'Energieverbruik in TJ Gemeente'!$B$4:$B$347,0),MATCH(M$2,'Energieverbruik in TJ Gemeente'!$B$4:$Q$4,0))</f>
        <v>2</v>
      </c>
      <c r="N272">
        <f>INDEX('Energieverbruik in TJ Gemeente'!$B$4:$Q$347,MATCH($C272,'Energieverbruik in TJ Gemeente'!$B$4:$B$347,0),MATCH(N$2,'Energieverbruik in TJ Gemeente'!$B$4:$Q$4,0))</f>
        <v>5</v>
      </c>
      <c r="O272">
        <f>INDEX('Energieverbruik in TJ Gemeente'!$B$4:$Q$347,MATCH($C272,'Energieverbruik in TJ Gemeente'!$B$4:$B$347,0),MATCH(O$2,'Energieverbruik in TJ Gemeente'!$B$4:$Q$4,0))</f>
        <v>2</v>
      </c>
      <c r="P272">
        <f>INDEX('Energieverbruik in TJ Gemeente'!$B$4:$Q$347,MATCH($C272,'Energieverbruik in TJ Gemeente'!$B$4:$B$347,0),MATCH(P$2,'Energieverbruik in TJ Gemeente'!$B$4:$Q$4,0))</f>
        <v>2</v>
      </c>
      <c r="Q272">
        <f>INDEX('Energieverbruik in TJ Gemeente'!$B$4:$Q$347,MATCH($C272,'Energieverbruik in TJ Gemeente'!$B$4:$B$347,0),MATCH(Q$2,'Energieverbruik in TJ Gemeente'!$B$4:$Q$4,0))</f>
        <v>2</v>
      </c>
      <c r="R272">
        <f>INDEX('Energieverbruik in TJ Gemeente'!$B$4:$Q$347,MATCH($C272,'Energieverbruik in TJ Gemeente'!$B$4:$B$347,0),MATCH(R$2,'Energieverbruik in TJ Gemeente'!$B$4:$Q$4,0))</f>
        <v>1</v>
      </c>
      <c r="S272" cm="1">
        <f t="array" ref="S272">MAX(_xlfn._xlws.FILTER(D$1:H$1, D272:H272&lt;&gt;"?"))</f>
        <v>2023</v>
      </c>
      <c r="T272" cm="1">
        <f t="array" ref="T272">MAX(_xlfn._xlws.FILTER(I$1:M$1, I272:M272&lt;&gt;"?"))</f>
        <v>2023</v>
      </c>
      <c r="U272" cm="1">
        <f t="array" ref="U272">MAX(_xlfn._xlws.FILTER(F$1:J$1, F272:J272&lt;&gt;"?"))</f>
        <v>2023</v>
      </c>
      <c r="V272">
        <f t="shared" si="20"/>
        <v>176</v>
      </c>
      <c r="W272">
        <f t="shared" si="21"/>
        <v>2</v>
      </c>
      <c r="X272">
        <f t="shared" si="22"/>
        <v>1</v>
      </c>
      <c r="Y272">
        <f t="shared" si="23"/>
        <v>179</v>
      </c>
      <c r="Z272">
        <f t="shared" si="24"/>
        <v>2.9748549965930433E-4</v>
      </c>
    </row>
    <row r="273" spans="1:26" ht="16" x14ac:dyDescent="0.2">
      <c r="A273" s="4" t="s">
        <v>824</v>
      </c>
      <c r="B273" s="4" t="s">
        <v>825</v>
      </c>
      <c r="C273" s="4" t="s">
        <v>826</v>
      </c>
      <c r="D273">
        <f>INDEX('Energieverbruik in TJ Gemeente'!$B$4:$Q$347,MATCH($C273,'Energieverbruik in TJ Gemeente'!$B$4:$B$347,0),MATCH(D$2,'Energieverbruik in TJ Gemeente'!$B$4:$Q$4,0))</f>
        <v>654</v>
      </c>
      <c r="E273">
        <f>INDEX('Energieverbruik in TJ Gemeente'!$B$4:$Q$347,MATCH($C273,'Energieverbruik in TJ Gemeente'!$B$4:$B$347,0),MATCH(E$2,'Energieverbruik in TJ Gemeente'!$B$4:$Q$4,0))</f>
        <v>603</v>
      </c>
      <c r="F273">
        <f>INDEX('Energieverbruik in TJ Gemeente'!$B$4:$Q$347,MATCH($C273,'Energieverbruik in TJ Gemeente'!$B$4:$B$347,0),MATCH(F$2,'Energieverbruik in TJ Gemeente'!$B$4:$Q$4,0))</f>
        <v>616</v>
      </c>
      <c r="G273">
        <f>INDEX('Energieverbruik in TJ Gemeente'!$B$4:$Q$347,MATCH($C273,'Energieverbruik in TJ Gemeente'!$B$4:$B$347,0),MATCH(G$2,'Energieverbruik in TJ Gemeente'!$B$4:$Q$4,0))</f>
        <v>534</v>
      </c>
      <c r="H273">
        <f>INDEX('Energieverbruik in TJ Gemeente'!$B$4:$Q$347,MATCH($C273,'Energieverbruik in TJ Gemeente'!$B$4:$B$347,0),MATCH(H$2,'Energieverbruik in TJ Gemeente'!$B$4:$Q$4,0))</f>
        <v>467</v>
      </c>
      <c r="I273" t="str">
        <f>INDEX('Energieverbruik in TJ Gemeente'!$B$4:$Q$347,MATCH($C273,'Energieverbruik in TJ Gemeente'!$B$4:$B$347,0),MATCH(I$2,'Energieverbruik in TJ Gemeente'!$B$4:$Q$4,0))</f>
        <v>?</v>
      </c>
      <c r="J273" t="str">
        <f>INDEX('Energieverbruik in TJ Gemeente'!$B$4:$Q$347,MATCH($C273,'Energieverbruik in TJ Gemeente'!$B$4:$B$347,0),MATCH(J$2,'Energieverbruik in TJ Gemeente'!$B$4:$Q$4,0))</f>
        <v>?</v>
      </c>
      <c r="K273">
        <f>INDEX('Energieverbruik in TJ Gemeente'!$B$4:$Q$347,MATCH($C273,'Energieverbruik in TJ Gemeente'!$B$4:$B$347,0),MATCH(K$2,'Energieverbruik in TJ Gemeente'!$B$4:$Q$4,0))</f>
        <v>18</v>
      </c>
      <c r="L273">
        <f>INDEX('Energieverbruik in TJ Gemeente'!$B$4:$Q$347,MATCH($C273,'Energieverbruik in TJ Gemeente'!$B$4:$B$347,0),MATCH(L$2,'Energieverbruik in TJ Gemeente'!$B$4:$Q$4,0))</f>
        <v>15</v>
      </c>
      <c r="M273">
        <f>INDEX('Energieverbruik in TJ Gemeente'!$B$4:$Q$347,MATCH($C273,'Energieverbruik in TJ Gemeente'!$B$4:$B$347,0),MATCH(M$2,'Energieverbruik in TJ Gemeente'!$B$4:$Q$4,0))</f>
        <v>14</v>
      </c>
      <c r="N273">
        <f>INDEX('Energieverbruik in TJ Gemeente'!$B$4:$Q$347,MATCH($C273,'Energieverbruik in TJ Gemeente'!$B$4:$B$347,0),MATCH(N$2,'Energieverbruik in TJ Gemeente'!$B$4:$Q$4,0))</f>
        <v>21</v>
      </c>
      <c r="O273">
        <f>INDEX('Energieverbruik in TJ Gemeente'!$B$4:$Q$347,MATCH($C273,'Energieverbruik in TJ Gemeente'!$B$4:$B$347,0),MATCH(O$2,'Energieverbruik in TJ Gemeente'!$B$4:$Q$4,0))</f>
        <v>17</v>
      </c>
      <c r="P273">
        <f>INDEX('Energieverbruik in TJ Gemeente'!$B$4:$Q$347,MATCH($C273,'Energieverbruik in TJ Gemeente'!$B$4:$B$347,0),MATCH(P$2,'Energieverbruik in TJ Gemeente'!$B$4:$Q$4,0))</f>
        <v>19</v>
      </c>
      <c r="Q273">
        <f>INDEX('Energieverbruik in TJ Gemeente'!$B$4:$Q$347,MATCH($C273,'Energieverbruik in TJ Gemeente'!$B$4:$B$347,0),MATCH(Q$2,'Energieverbruik in TJ Gemeente'!$B$4:$Q$4,0))</f>
        <v>16</v>
      </c>
      <c r="R273">
        <f>INDEX('Energieverbruik in TJ Gemeente'!$B$4:$Q$347,MATCH($C273,'Energieverbruik in TJ Gemeente'!$B$4:$B$347,0),MATCH(R$2,'Energieverbruik in TJ Gemeente'!$B$4:$Q$4,0))</f>
        <v>13</v>
      </c>
      <c r="S273" cm="1">
        <f t="array" ref="S273">MAX(_xlfn._xlws.FILTER(D$1:H$1, D273:H273&lt;&gt;"?"))</f>
        <v>2023</v>
      </c>
      <c r="T273" cm="1">
        <f t="array" ref="T273">MAX(_xlfn._xlws.FILTER(I$1:M$1, I273:M273&lt;&gt;"?"))</f>
        <v>2023</v>
      </c>
      <c r="U273" cm="1">
        <f t="array" ref="U273">MAX(_xlfn._xlws.FILTER(F$1:J$1, F273:J273&lt;&gt;"?"))</f>
        <v>2023</v>
      </c>
      <c r="V273">
        <f t="shared" si="20"/>
        <v>467</v>
      </c>
      <c r="W273">
        <f t="shared" si="21"/>
        <v>14</v>
      </c>
      <c r="X273">
        <f t="shared" si="22"/>
        <v>13</v>
      </c>
      <c r="Y273">
        <f t="shared" si="23"/>
        <v>494</v>
      </c>
      <c r="Z273">
        <f t="shared" si="24"/>
        <v>8.2099350185305218E-4</v>
      </c>
    </row>
    <row r="274" spans="1:26" ht="16" x14ac:dyDescent="0.2">
      <c r="A274" s="4" t="s">
        <v>827</v>
      </c>
      <c r="B274" s="4" t="s">
        <v>828</v>
      </c>
      <c r="C274" s="4" t="s">
        <v>829</v>
      </c>
      <c r="D274">
        <f>INDEX('Energieverbruik in TJ Gemeente'!$B$4:$Q$347,MATCH($C274,'Energieverbruik in TJ Gemeente'!$B$4:$B$347,0),MATCH(D$2,'Energieverbruik in TJ Gemeente'!$B$4:$Q$4,0))</f>
        <v>813</v>
      </c>
      <c r="E274">
        <f>INDEX('Energieverbruik in TJ Gemeente'!$B$4:$Q$347,MATCH($C274,'Energieverbruik in TJ Gemeente'!$B$4:$B$347,0),MATCH(E$2,'Energieverbruik in TJ Gemeente'!$B$4:$Q$4,0))</f>
        <v>805</v>
      </c>
      <c r="F274">
        <f>INDEX('Energieverbruik in TJ Gemeente'!$B$4:$Q$347,MATCH($C274,'Energieverbruik in TJ Gemeente'!$B$4:$B$347,0),MATCH(F$2,'Energieverbruik in TJ Gemeente'!$B$4:$Q$4,0))</f>
        <v>823</v>
      </c>
      <c r="G274">
        <f>INDEX('Energieverbruik in TJ Gemeente'!$B$4:$Q$347,MATCH($C274,'Energieverbruik in TJ Gemeente'!$B$4:$B$347,0),MATCH(G$2,'Energieverbruik in TJ Gemeente'!$B$4:$Q$4,0))</f>
        <v>713</v>
      </c>
      <c r="H274">
        <f>INDEX('Energieverbruik in TJ Gemeente'!$B$4:$Q$347,MATCH($C274,'Energieverbruik in TJ Gemeente'!$B$4:$B$347,0),MATCH(H$2,'Energieverbruik in TJ Gemeente'!$B$4:$Q$4,0))</f>
        <v>611</v>
      </c>
      <c r="I274">
        <f>INDEX('Energieverbruik in TJ Gemeente'!$B$4:$Q$347,MATCH($C274,'Energieverbruik in TJ Gemeente'!$B$4:$B$347,0),MATCH(I$2,'Energieverbruik in TJ Gemeente'!$B$4:$Q$4,0))</f>
        <v>139</v>
      </c>
      <c r="J274">
        <f>INDEX('Energieverbruik in TJ Gemeente'!$B$4:$Q$347,MATCH($C274,'Energieverbruik in TJ Gemeente'!$B$4:$B$347,0),MATCH(J$2,'Energieverbruik in TJ Gemeente'!$B$4:$Q$4,0))</f>
        <v>129</v>
      </c>
      <c r="K274">
        <f>INDEX('Energieverbruik in TJ Gemeente'!$B$4:$Q$347,MATCH($C274,'Energieverbruik in TJ Gemeente'!$B$4:$B$347,0),MATCH(K$2,'Energieverbruik in TJ Gemeente'!$B$4:$Q$4,0))</f>
        <v>140</v>
      </c>
      <c r="L274">
        <f>INDEX('Energieverbruik in TJ Gemeente'!$B$4:$Q$347,MATCH($C274,'Energieverbruik in TJ Gemeente'!$B$4:$B$347,0),MATCH(L$2,'Energieverbruik in TJ Gemeente'!$B$4:$Q$4,0))</f>
        <v>120</v>
      </c>
      <c r="M274">
        <f>INDEX('Energieverbruik in TJ Gemeente'!$B$4:$Q$347,MATCH($C274,'Energieverbruik in TJ Gemeente'!$B$4:$B$347,0),MATCH(M$2,'Energieverbruik in TJ Gemeente'!$B$4:$Q$4,0))</f>
        <v>115</v>
      </c>
      <c r="N274">
        <f>INDEX('Energieverbruik in TJ Gemeente'!$B$4:$Q$347,MATCH($C274,'Energieverbruik in TJ Gemeente'!$B$4:$B$347,0),MATCH(N$2,'Energieverbruik in TJ Gemeente'!$B$4:$Q$4,0))</f>
        <v>81</v>
      </c>
      <c r="O274">
        <f>INDEX('Energieverbruik in TJ Gemeente'!$B$4:$Q$347,MATCH($C274,'Energieverbruik in TJ Gemeente'!$B$4:$B$347,0),MATCH(O$2,'Energieverbruik in TJ Gemeente'!$B$4:$Q$4,0))</f>
        <v>71</v>
      </c>
      <c r="P274">
        <f>INDEX('Energieverbruik in TJ Gemeente'!$B$4:$Q$347,MATCH($C274,'Energieverbruik in TJ Gemeente'!$B$4:$B$347,0),MATCH(P$2,'Energieverbruik in TJ Gemeente'!$B$4:$Q$4,0))</f>
        <v>75</v>
      </c>
      <c r="Q274">
        <f>INDEX('Energieverbruik in TJ Gemeente'!$B$4:$Q$347,MATCH($C274,'Energieverbruik in TJ Gemeente'!$B$4:$B$347,0),MATCH(Q$2,'Energieverbruik in TJ Gemeente'!$B$4:$Q$4,0))</f>
        <v>55</v>
      </c>
      <c r="R274">
        <f>INDEX('Energieverbruik in TJ Gemeente'!$B$4:$Q$347,MATCH($C274,'Energieverbruik in TJ Gemeente'!$B$4:$B$347,0),MATCH(R$2,'Energieverbruik in TJ Gemeente'!$B$4:$Q$4,0))</f>
        <v>45</v>
      </c>
      <c r="S274" cm="1">
        <f t="array" ref="S274">MAX(_xlfn._xlws.FILTER(D$1:H$1, D274:H274&lt;&gt;"?"))</f>
        <v>2023</v>
      </c>
      <c r="T274" cm="1">
        <f t="array" ref="T274">MAX(_xlfn._xlws.FILTER(I$1:M$1, I274:M274&lt;&gt;"?"))</f>
        <v>2023</v>
      </c>
      <c r="U274" cm="1">
        <f t="array" ref="U274">MAX(_xlfn._xlws.FILTER(F$1:J$1, F274:J274&lt;&gt;"?"))</f>
        <v>2023</v>
      </c>
      <c r="V274">
        <f t="shared" si="20"/>
        <v>611</v>
      </c>
      <c r="W274">
        <f t="shared" si="21"/>
        <v>115</v>
      </c>
      <c r="X274">
        <f t="shared" si="22"/>
        <v>45</v>
      </c>
      <c r="Y274">
        <f t="shared" si="23"/>
        <v>771</v>
      </c>
      <c r="Z274">
        <f t="shared" si="24"/>
        <v>1.2813481577504113E-3</v>
      </c>
    </row>
    <row r="275" spans="1:26" ht="16" x14ac:dyDescent="0.2">
      <c r="A275" s="4" t="s">
        <v>830</v>
      </c>
      <c r="B275" s="4" t="s">
        <v>831</v>
      </c>
      <c r="C275" s="4" t="s">
        <v>832</v>
      </c>
      <c r="D275">
        <f>INDEX('Energieverbruik in TJ Gemeente'!$B$4:$Q$347,MATCH($C275,'Energieverbruik in TJ Gemeente'!$B$4:$B$347,0),MATCH(D$2,'Energieverbruik in TJ Gemeente'!$B$4:$Q$4,0))</f>
        <v>568</v>
      </c>
      <c r="E275">
        <f>INDEX('Energieverbruik in TJ Gemeente'!$B$4:$Q$347,MATCH($C275,'Energieverbruik in TJ Gemeente'!$B$4:$B$347,0),MATCH(E$2,'Energieverbruik in TJ Gemeente'!$B$4:$Q$4,0))</f>
        <v>546</v>
      </c>
      <c r="F275">
        <f>INDEX('Energieverbruik in TJ Gemeente'!$B$4:$Q$347,MATCH($C275,'Energieverbruik in TJ Gemeente'!$B$4:$B$347,0),MATCH(F$2,'Energieverbruik in TJ Gemeente'!$B$4:$Q$4,0))</f>
        <v>567</v>
      </c>
      <c r="G275">
        <f>INDEX('Energieverbruik in TJ Gemeente'!$B$4:$Q$347,MATCH($C275,'Energieverbruik in TJ Gemeente'!$B$4:$B$347,0),MATCH(G$2,'Energieverbruik in TJ Gemeente'!$B$4:$Q$4,0))</f>
        <v>501</v>
      </c>
      <c r="H275">
        <f>INDEX('Energieverbruik in TJ Gemeente'!$B$4:$Q$347,MATCH($C275,'Energieverbruik in TJ Gemeente'!$B$4:$B$347,0),MATCH(H$2,'Energieverbruik in TJ Gemeente'!$B$4:$Q$4,0))</f>
        <v>418</v>
      </c>
      <c r="I275">
        <f>INDEX('Energieverbruik in TJ Gemeente'!$B$4:$Q$347,MATCH($C275,'Energieverbruik in TJ Gemeente'!$B$4:$B$347,0),MATCH(I$2,'Energieverbruik in TJ Gemeente'!$B$4:$Q$4,0))</f>
        <v>65</v>
      </c>
      <c r="J275">
        <f>INDEX('Energieverbruik in TJ Gemeente'!$B$4:$Q$347,MATCH($C275,'Energieverbruik in TJ Gemeente'!$B$4:$B$347,0),MATCH(J$2,'Energieverbruik in TJ Gemeente'!$B$4:$Q$4,0))</f>
        <v>42</v>
      </c>
      <c r="K275">
        <f>INDEX('Energieverbruik in TJ Gemeente'!$B$4:$Q$347,MATCH($C275,'Energieverbruik in TJ Gemeente'!$B$4:$B$347,0),MATCH(K$2,'Energieverbruik in TJ Gemeente'!$B$4:$Q$4,0))</f>
        <v>70</v>
      </c>
      <c r="L275">
        <f>INDEX('Energieverbruik in TJ Gemeente'!$B$4:$Q$347,MATCH($C275,'Energieverbruik in TJ Gemeente'!$B$4:$B$347,0),MATCH(L$2,'Energieverbruik in TJ Gemeente'!$B$4:$Q$4,0))</f>
        <v>65</v>
      </c>
      <c r="M275">
        <f>INDEX('Energieverbruik in TJ Gemeente'!$B$4:$Q$347,MATCH($C275,'Energieverbruik in TJ Gemeente'!$B$4:$B$347,0),MATCH(M$2,'Energieverbruik in TJ Gemeente'!$B$4:$Q$4,0))</f>
        <v>58</v>
      </c>
      <c r="N275">
        <f>INDEX('Energieverbruik in TJ Gemeente'!$B$4:$Q$347,MATCH($C275,'Energieverbruik in TJ Gemeente'!$B$4:$B$347,0),MATCH(N$2,'Energieverbruik in TJ Gemeente'!$B$4:$Q$4,0))</f>
        <v>514</v>
      </c>
      <c r="O275">
        <f>INDEX('Energieverbruik in TJ Gemeente'!$B$4:$Q$347,MATCH($C275,'Energieverbruik in TJ Gemeente'!$B$4:$B$347,0),MATCH(O$2,'Energieverbruik in TJ Gemeente'!$B$4:$Q$4,0))</f>
        <v>225</v>
      </c>
      <c r="P275">
        <f>INDEX('Energieverbruik in TJ Gemeente'!$B$4:$Q$347,MATCH($C275,'Energieverbruik in TJ Gemeente'!$B$4:$B$347,0),MATCH(P$2,'Energieverbruik in TJ Gemeente'!$B$4:$Q$4,0))</f>
        <v>461</v>
      </c>
      <c r="Q275">
        <f>INDEX('Energieverbruik in TJ Gemeente'!$B$4:$Q$347,MATCH($C275,'Energieverbruik in TJ Gemeente'!$B$4:$B$347,0),MATCH(Q$2,'Energieverbruik in TJ Gemeente'!$B$4:$Q$4,0))</f>
        <v>265</v>
      </c>
      <c r="R275">
        <f>INDEX('Energieverbruik in TJ Gemeente'!$B$4:$Q$347,MATCH($C275,'Energieverbruik in TJ Gemeente'!$B$4:$B$347,0),MATCH(R$2,'Energieverbruik in TJ Gemeente'!$B$4:$Q$4,0))</f>
        <v>355</v>
      </c>
      <c r="S275" cm="1">
        <f t="array" ref="S275">MAX(_xlfn._xlws.FILTER(D$1:H$1, D275:H275&lt;&gt;"?"))</f>
        <v>2023</v>
      </c>
      <c r="T275" cm="1">
        <f t="array" ref="T275">MAX(_xlfn._xlws.FILTER(I$1:M$1, I275:M275&lt;&gt;"?"))</f>
        <v>2023</v>
      </c>
      <c r="U275" cm="1">
        <f t="array" ref="U275">MAX(_xlfn._xlws.FILTER(F$1:J$1, F275:J275&lt;&gt;"?"))</f>
        <v>2023</v>
      </c>
      <c r="V275">
        <f t="shared" si="20"/>
        <v>418</v>
      </c>
      <c r="W275">
        <f t="shared" si="21"/>
        <v>58</v>
      </c>
      <c r="X275">
        <f t="shared" si="22"/>
        <v>355</v>
      </c>
      <c r="Y275">
        <f t="shared" si="23"/>
        <v>831</v>
      </c>
      <c r="Z275">
        <f t="shared" si="24"/>
        <v>1.3810639676920776E-3</v>
      </c>
    </row>
    <row r="276" spans="1:26" ht="16" x14ac:dyDescent="0.2">
      <c r="A276" s="4" t="s">
        <v>833</v>
      </c>
      <c r="B276" s="4" t="s">
        <v>834</v>
      </c>
      <c r="C276" s="4" t="s">
        <v>835</v>
      </c>
      <c r="D276">
        <f>INDEX('Energieverbruik in TJ Gemeente'!$B$4:$Q$347,MATCH($C276,'Energieverbruik in TJ Gemeente'!$B$4:$B$347,0),MATCH(D$2,'Energieverbruik in TJ Gemeente'!$B$4:$Q$4,0))</f>
        <v>1059</v>
      </c>
      <c r="E276">
        <f>INDEX('Energieverbruik in TJ Gemeente'!$B$4:$Q$347,MATCH($C276,'Energieverbruik in TJ Gemeente'!$B$4:$B$347,0),MATCH(E$2,'Energieverbruik in TJ Gemeente'!$B$4:$Q$4,0))</f>
        <v>1006</v>
      </c>
      <c r="F276">
        <f>INDEX('Energieverbruik in TJ Gemeente'!$B$4:$Q$347,MATCH($C276,'Energieverbruik in TJ Gemeente'!$B$4:$B$347,0),MATCH(F$2,'Energieverbruik in TJ Gemeente'!$B$4:$Q$4,0))</f>
        <v>1089</v>
      </c>
      <c r="G276">
        <f>INDEX('Energieverbruik in TJ Gemeente'!$B$4:$Q$347,MATCH($C276,'Energieverbruik in TJ Gemeente'!$B$4:$B$347,0),MATCH(G$2,'Energieverbruik in TJ Gemeente'!$B$4:$Q$4,0))</f>
        <v>953</v>
      </c>
      <c r="H276">
        <f>INDEX('Energieverbruik in TJ Gemeente'!$B$4:$Q$347,MATCH($C276,'Energieverbruik in TJ Gemeente'!$B$4:$B$347,0),MATCH(H$2,'Energieverbruik in TJ Gemeente'!$B$4:$Q$4,0))</f>
        <v>820</v>
      </c>
      <c r="I276">
        <f>INDEX('Energieverbruik in TJ Gemeente'!$B$4:$Q$347,MATCH($C276,'Energieverbruik in TJ Gemeente'!$B$4:$B$347,0),MATCH(I$2,'Energieverbruik in TJ Gemeente'!$B$4:$Q$4,0))</f>
        <v>707</v>
      </c>
      <c r="J276">
        <f>INDEX('Energieverbruik in TJ Gemeente'!$B$4:$Q$347,MATCH($C276,'Energieverbruik in TJ Gemeente'!$B$4:$B$347,0),MATCH(J$2,'Energieverbruik in TJ Gemeente'!$B$4:$Q$4,0))</f>
        <v>733</v>
      </c>
      <c r="K276">
        <f>INDEX('Energieverbruik in TJ Gemeente'!$B$4:$Q$347,MATCH($C276,'Energieverbruik in TJ Gemeente'!$B$4:$B$347,0),MATCH(K$2,'Energieverbruik in TJ Gemeente'!$B$4:$Q$4,0))</f>
        <v>830</v>
      </c>
      <c r="L276">
        <f>INDEX('Energieverbruik in TJ Gemeente'!$B$4:$Q$347,MATCH($C276,'Energieverbruik in TJ Gemeente'!$B$4:$B$347,0),MATCH(L$2,'Energieverbruik in TJ Gemeente'!$B$4:$Q$4,0))</f>
        <v>717</v>
      </c>
      <c r="M276">
        <f>INDEX('Energieverbruik in TJ Gemeente'!$B$4:$Q$347,MATCH($C276,'Energieverbruik in TJ Gemeente'!$B$4:$B$347,0),MATCH(M$2,'Energieverbruik in TJ Gemeente'!$B$4:$Q$4,0))</f>
        <v>623</v>
      </c>
      <c r="N276">
        <f>INDEX('Energieverbruik in TJ Gemeente'!$B$4:$Q$347,MATCH($C276,'Energieverbruik in TJ Gemeente'!$B$4:$B$347,0),MATCH(N$2,'Energieverbruik in TJ Gemeente'!$B$4:$Q$4,0))</f>
        <v>5</v>
      </c>
      <c r="O276">
        <f>INDEX('Energieverbruik in TJ Gemeente'!$B$4:$Q$347,MATCH($C276,'Energieverbruik in TJ Gemeente'!$B$4:$B$347,0),MATCH(O$2,'Energieverbruik in TJ Gemeente'!$B$4:$Q$4,0))</f>
        <v>2</v>
      </c>
      <c r="P276">
        <f>INDEX('Energieverbruik in TJ Gemeente'!$B$4:$Q$347,MATCH($C276,'Energieverbruik in TJ Gemeente'!$B$4:$B$347,0),MATCH(P$2,'Energieverbruik in TJ Gemeente'!$B$4:$Q$4,0))</f>
        <v>2</v>
      </c>
      <c r="Q276">
        <f>INDEX('Energieverbruik in TJ Gemeente'!$B$4:$Q$347,MATCH($C276,'Energieverbruik in TJ Gemeente'!$B$4:$B$347,0),MATCH(Q$2,'Energieverbruik in TJ Gemeente'!$B$4:$Q$4,0))</f>
        <v>2</v>
      </c>
      <c r="R276">
        <f>INDEX('Energieverbruik in TJ Gemeente'!$B$4:$Q$347,MATCH($C276,'Energieverbruik in TJ Gemeente'!$B$4:$B$347,0),MATCH(R$2,'Energieverbruik in TJ Gemeente'!$B$4:$Q$4,0))</f>
        <v>2</v>
      </c>
      <c r="S276" cm="1">
        <f t="array" ref="S276">MAX(_xlfn._xlws.FILTER(D$1:H$1, D276:H276&lt;&gt;"?"))</f>
        <v>2023</v>
      </c>
      <c r="T276" cm="1">
        <f t="array" ref="T276">MAX(_xlfn._xlws.FILTER(I$1:M$1, I276:M276&lt;&gt;"?"))</f>
        <v>2023</v>
      </c>
      <c r="U276" cm="1">
        <f t="array" ref="U276">MAX(_xlfn._xlws.FILTER(F$1:J$1, F276:J276&lt;&gt;"?"))</f>
        <v>2023</v>
      </c>
      <c r="V276">
        <f t="shared" si="20"/>
        <v>820</v>
      </c>
      <c r="W276">
        <f t="shared" si="21"/>
        <v>623</v>
      </c>
      <c r="X276">
        <f t="shared" si="22"/>
        <v>2</v>
      </c>
      <c r="Y276">
        <f t="shared" si="23"/>
        <v>1445</v>
      </c>
      <c r="Z276">
        <f t="shared" si="24"/>
        <v>2.4014890894284622E-3</v>
      </c>
    </row>
    <row r="277" spans="1:26" ht="16" x14ac:dyDescent="0.2">
      <c r="A277" s="4" t="s">
        <v>836</v>
      </c>
      <c r="B277" s="4" t="s">
        <v>837</v>
      </c>
      <c r="C277" s="4" t="s">
        <v>838</v>
      </c>
      <c r="D277">
        <f>INDEX('Energieverbruik in TJ Gemeente'!$B$4:$Q$347,MATCH($C277,'Energieverbruik in TJ Gemeente'!$B$4:$B$347,0),MATCH(D$2,'Energieverbruik in TJ Gemeente'!$B$4:$Q$4,0))</f>
        <v>3992</v>
      </c>
      <c r="E277">
        <f>INDEX('Energieverbruik in TJ Gemeente'!$B$4:$Q$347,MATCH($C277,'Energieverbruik in TJ Gemeente'!$B$4:$B$347,0),MATCH(E$2,'Energieverbruik in TJ Gemeente'!$B$4:$Q$4,0))</f>
        <v>3979</v>
      </c>
      <c r="F277">
        <f>INDEX('Energieverbruik in TJ Gemeente'!$B$4:$Q$347,MATCH($C277,'Energieverbruik in TJ Gemeente'!$B$4:$B$347,0),MATCH(F$2,'Energieverbruik in TJ Gemeente'!$B$4:$Q$4,0))</f>
        <v>4038</v>
      </c>
      <c r="G277">
        <f>INDEX('Energieverbruik in TJ Gemeente'!$B$4:$Q$347,MATCH($C277,'Energieverbruik in TJ Gemeente'!$B$4:$B$347,0),MATCH(G$2,'Energieverbruik in TJ Gemeente'!$B$4:$Q$4,0))</f>
        <v>3556</v>
      </c>
      <c r="H277" t="str">
        <f>INDEX('Energieverbruik in TJ Gemeente'!$B$4:$Q$347,MATCH($C277,'Energieverbruik in TJ Gemeente'!$B$4:$B$347,0),MATCH(H$2,'Energieverbruik in TJ Gemeente'!$B$4:$Q$4,0))</f>
        <v>?</v>
      </c>
      <c r="I277">
        <f>INDEX('Energieverbruik in TJ Gemeente'!$B$4:$Q$347,MATCH($C277,'Energieverbruik in TJ Gemeente'!$B$4:$B$347,0),MATCH(I$2,'Energieverbruik in TJ Gemeente'!$B$4:$Q$4,0))</f>
        <v>1820</v>
      </c>
      <c r="J277">
        <f>INDEX('Energieverbruik in TJ Gemeente'!$B$4:$Q$347,MATCH($C277,'Energieverbruik in TJ Gemeente'!$B$4:$B$347,0),MATCH(J$2,'Energieverbruik in TJ Gemeente'!$B$4:$Q$4,0))</f>
        <v>1617</v>
      </c>
      <c r="K277">
        <f>INDEX('Energieverbruik in TJ Gemeente'!$B$4:$Q$347,MATCH($C277,'Energieverbruik in TJ Gemeente'!$B$4:$B$347,0),MATCH(K$2,'Energieverbruik in TJ Gemeente'!$B$4:$Q$4,0))</f>
        <v>1733</v>
      </c>
      <c r="L277">
        <f>INDEX('Energieverbruik in TJ Gemeente'!$B$4:$Q$347,MATCH($C277,'Energieverbruik in TJ Gemeente'!$B$4:$B$347,0),MATCH(L$2,'Energieverbruik in TJ Gemeente'!$B$4:$Q$4,0))</f>
        <v>1702</v>
      </c>
      <c r="M277" t="str">
        <f>INDEX('Energieverbruik in TJ Gemeente'!$B$4:$Q$347,MATCH($C277,'Energieverbruik in TJ Gemeente'!$B$4:$B$347,0),MATCH(M$2,'Energieverbruik in TJ Gemeente'!$B$4:$Q$4,0))</f>
        <v>?</v>
      </c>
      <c r="N277">
        <f>INDEX('Energieverbruik in TJ Gemeente'!$B$4:$Q$347,MATCH($C277,'Energieverbruik in TJ Gemeente'!$B$4:$B$347,0),MATCH(N$2,'Energieverbruik in TJ Gemeente'!$B$4:$Q$4,0))</f>
        <v>24</v>
      </c>
      <c r="O277">
        <f>INDEX('Energieverbruik in TJ Gemeente'!$B$4:$Q$347,MATCH($C277,'Energieverbruik in TJ Gemeente'!$B$4:$B$347,0),MATCH(O$2,'Energieverbruik in TJ Gemeente'!$B$4:$Q$4,0))</f>
        <v>20</v>
      </c>
      <c r="P277">
        <f>INDEX('Energieverbruik in TJ Gemeente'!$B$4:$Q$347,MATCH($C277,'Energieverbruik in TJ Gemeente'!$B$4:$B$347,0),MATCH(P$2,'Energieverbruik in TJ Gemeente'!$B$4:$Q$4,0))</f>
        <v>36</v>
      </c>
      <c r="Q277">
        <f>INDEX('Energieverbruik in TJ Gemeente'!$B$4:$Q$347,MATCH($C277,'Energieverbruik in TJ Gemeente'!$B$4:$B$347,0),MATCH(Q$2,'Energieverbruik in TJ Gemeente'!$B$4:$Q$4,0))</f>
        <v>28</v>
      </c>
      <c r="R277">
        <f>INDEX('Energieverbruik in TJ Gemeente'!$B$4:$Q$347,MATCH($C277,'Energieverbruik in TJ Gemeente'!$B$4:$B$347,0),MATCH(R$2,'Energieverbruik in TJ Gemeente'!$B$4:$Q$4,0))</f>
        <v>24</v>
      </c>
      <c r="S277" cm="1">
        <f t="array" ref="S277">MAX(_xlfn._xlws.FILTER(D$1:H$1, D277:H277&lt;&gt;"?"))</f>
        <v>2022</v>
      </c>
      <c r="T277" cm="1">
        <f t="array" ref="T277">MAX(_xlfn._xlws.FILTER(I$1:M$1, I277:M277&lt;&gt;"?"))</f>
        <v>2022</v>
      </c>
      <c r="U277" cm="1">
        <f t="array" ref="U277">MAX(_xlfn._xlws.FILTER(F$1:J$1, F277:J277&lt;&gt;"?"))</f>
        <v>2022</v>
      </c>
      <c r="V277">
        <f t="shared" si="20"/>
        <v>3556</v>
      </c>
      <c r="W277">
        <f t="shared" si="21"/>
        <v>1702</v>
      </c>
      <c r="X277">
        <f t="shared" si="22"/>
        <v>28</v>
      </c>
      <c r="Y277">
        <f t="shared" si="23"/>
        <v>5286</v>
      </c>
      <c r="Z277">
        <f t="shared" si="24"/>
        <v>8.7849628558607975E-3</v>
      </c>
    </row>
    <row r="278" spans="1:26" ht="16" x14ac:dyDescent="0.2">
      <c r="A278" s="4" t="s">
        <v>839</v>
      </c>
      <c r="B278" s="4" t="s">
        <v>840</v>
      </c>
      <c r="C278" s="4" t="s">
        <v>841</v>
      </c>
      <c r="D278">
        <f>INDEX('Energieverbruik in TJ Gemeente'!$B$4:$Q$347,MATCH($C278,'Energieverbruik in TJ Gemeente'!$B$4:$B$347,0),MATCH(D$2,'Energieverbruik in TJ Gemeente'!$B$4:$Q$4,0))</f>
        <v>575</v>
      </c>
      <c r="E278">
        <f>INDEX('Energieverbruik in TJ Gemeente'!$B$4:$Q$347,MATCH($C278,'Energieverbruik in TJ Gemeente'!$B$4:$B$347,0),MATCH(E$2,'Energieverbruik in TJ Gemeente'!$B$4:$Q$4,0))</f>
        <v>550</v>
      </c>
      <c r="F278">
        <f>INDEX('Energieverbruik in TJ Gemeente'!$B$4:$Q$347,MATCH($C278,'Energieverbruik in TJ Gemeente'!$B$4:$B$347,0),MATCH(F$2,'Energieverbruik in TJ Gemeente'!$B$4:$Q$4,0))</f>
        <v>592</v>
      </c>
      <c r="G278">
        <f>INDEX('Energieverbruik in TJ Gemeente'!$B$4:$Q$347,MATCH($C278,'Energieverbruik in TJ Gemeente'!$B$4:$B$347,0),MATCH(G$2,'Energieverbruik in TJ Gemeente'!$B$4:$Q$4,0))</f>
        <v>525</v>
      </c>
      <c r="H278">
        <f>INDEX('Energieverbruik in TJ Gemeente'!$B$4:$Q$347,MATCH($C278,'Energieverbruik in TJ Gemeente'!$B$4:$B$347,0),MATCH(H$2,'Energieverbruik in TJ Gemeente'!$B$4:$Q$4,0))</f>
        <v>420</v>
      </c>
      <c r="I278">
        <f>INDEX('Energieverbruik in TJ Gemeente'!$B$4:$Q$347,MATCH($C278,'Energieverbruik in TJ Gemeente'!$B$4:$B$347,0),MATCH(I$2,'Energieverbruik in TJ Gemeente'!$B$4:$Q$4,0))</f>
        <v>47</v>
      </c>
      <c r="J278">
        <f>INDEX('Energieverbruik in TJ Gemeente'!$B$4:$Q$347,MATCH($C278,'Energieverbruik in TJ Gemeente'!$B$4:$B$347,0),MATCH(J$2,'Energieverbruik in TJ Gemeente'!$B$4:$Q$4,0))</f>
        <v>48</v>
      </c>
      <c r="K278">
        <f>INDEX('Energieverbruik in TJ Gemeente'!$B$4:$Q$347,MATCH($C278,'Energieverbruik in TJ Gemeente'!$B$4:$B$347,0),MATCH(K$2,'Energieverbruik in TJ Gemeente'!$B$4:$Q$4,0))</f>
        <v>55</v>
      </c>
      <c r="L278">
        <f>INDEX('Energieverbruik in TJ Gemeente'!$B$4:$Q$347,MATCH($C278,'Energieverbruik in TJ Gemeente'!$B$4:$B$347,0),MATCH(L$2,'Energieverbruik in TJ Gemeente'!$B$4:$Q$4,0))</f>
        <v>41</v>
      </c>
      <c r="M278" t="str">
        <f>INDEX('Energieverbruik in TJ Gemeente'!$B$4:$Q$347,MATCH($C278,'Energieverbruik in TJ Gemeente'!$B$4:$B$347,0),MATCH(M$2,'Energieverbruik in TJ Gemeente'!$B$4:$Q$4,0))</f>
        <v>?</v>
      </c>
      <c r="N278">
        <f>INDEX('Energieverbruik in TJ Gemeente'!$B$4:$Q$347,MATCH($C278,'Energieverbruik in TJ Gemeente'!$B$4:$B$347,0),MATCH(N$2,'Energieverbruik in TJ Gemeente'!$B$4:$Q$4,0))</f>
        <v>77</v>
      </c>
      <c r="O278">
        <f>INDEX('Energieverbruik in TJ Gemeente'!$B$4:$Q$347,MATCH($C278,'Energieverbruik in TJ Gemeente'!$B$4:$B$347,0),MATCH(O$2,'Energieverbruik in TJ Gemeente'!$B$4:$Q$4,0))</f>
        <v>49</v>
      </c>
      <c r="P278">
        <f>INDEX('Energieverbruik in TJ Gemeente'!$B$4:$Q$347,MATCH($C278,'Energieverbruik in TJ Gemeente'!$B$4:$B$347,0),MATCH(P$2,'Energieverbruik in TJ Gemeente'!$B$4:$Q$4,0))</f>
        <v>55</v>
      </c>
      <c r="Q278">
        <f>INDEX('Energieverbruik in TJ Gemeente'!$B$4:$Q$347,MATCH($C278,'Energieverbruik in TJ Gemeente'!$B$4:$B$347,0),MATCH(Q$2,'Energieverbruik in TJ Gemeente'!$B$4:$Q$4,0))</f>
        <v>44</v>
      </c>
      <c r="R278">
        <f>INDEX('Energieverbruik in TJ Gemeente'!$B$4:$Q$347,MATCH($C278,'Energieverbruik in TJ Gemeente'!$B$4:$B$347,0),MATCH(R$2,'Energieverbruik in TJ Gemeente'!$B$4:$Q$4,0))</f>
        <v>34</v>
      </c>
      <c r="S278" cm="1">
        <f t="array" ref="S278">MAX(_xlfn._xlws.FILTER(D$1:H$1, D278:H278&lt;&gt;"?"))</f>
        <v>2023</v>
      </c>
      <c r="T278" cm="1">
        <f t="array" ref="T278">MAX(_xlfn._xlws.FILTER(I$1:M$1, I278:M278&lt;&gt;"?"))</f>
        <v>2022</v>
      </c>
      <c r="U278" cm="1">
        <f t="array" ref="U278">MAX(_xlfn._xlws.FILTER(F$1:J$1, F278:J278&lt;&gt;"?"))</f>
        <v>2023</v>
      </c>
      <c r="V278">
        <f t="shared" si="20"/>
        <v>420</v>
      </c>
      <c r="W278">
        <f t="shared" si="21"/>
        <v>41</v>
      </c>
      <c r="X278">
        <f t="shared" si="22"/>
        <v>34</v>
      </c>
      <c r="Y278">
        <f t="shared" si="23"/>
        <v>495</v>
      </c>
      <c r="Z278">
        <f t="shared" si="24"/>
        <v>8.2265543201874656E-4</v>
      </c>
    </row>
    <row r="279" spans="1:26" ht="16" x14ac:dyDescent="0.2">
      <c r="A279" s="4" t="s">
        <v>842</v>
      </c>
      <c r="B279" s="4" t="s">
        <v>843</v>
      </c>
      <c r="C279" s="4" t="s">
        <v>844</v>
      </c>
      <c r="D279">
        <f>INDEX('Energieverbruik in TJ Gemeente'!$B$4:$Q$347,MATCH($C279,'Energieverbruik in TJ Gemeente'!$B$4:$B$347,0),MATCH(D$2,'Energieverbruik in TJ Gemeente'!$B$4:$Q$4,0))</f>
        <v>811</v>
      </c>
      <c r="E279">
        <f>INDEX('Energieverbruik in TJ Gemeente'!$B$4:$Q$347,MATCH($C279,'Energieverbruik in TJ Gemeente'!$B$4:$B$347,0),MATCH(E$2,'Energieverbruik in TJ Gemeente'!$B$4:$Q$4,0))</f>
        <v>809</v>
      </c>
      <c r="F279">
        <f>INDEX('Energieverbruik in TJ Gemeente'!$B$4:$Q$347,MATCH($C279,'Energieverbruik in TJ Gemeente'!$B$4:$B$347,0),MATCH(F$2,'Energieverbruik in TJ Gemeente'!$B$4:$Q$4,0))</f>
        <v>859</v>
      </c>
      <c r="G279">
        <f>INDEX('Energieverbruik in TJ Gemeente'!$B$4:$Q$347,MATCH($C279,'Energieverbruik in TJ Gemeente'!$B$4:$B$347,0),MATCH(G$2,'Energieverbruik in TJ Gemeente'!$B$4:$Q$4,0))</f>
        <v>765</v>
      </c>
      <c r="H279">
        <f>INDEX('Energieverbruik in TJ Gemeente'!$B$4:$Q$347,MATCH($C279,'Energieverbruik in TJ Gemeente'!$B$4:$B$347,0),MATCH(H$2,'Energieverbruik in TJ Gemeente'!$B$4:$Q$4,0))</f>
        <v>620</v>
      </c>
      <c r="I279">
        <f>INDEX('Energieverbruik in TJ Gemeente'!$B$4:$Q$347,MATCH($C279,'Energieverbruik in TJ Gemeente'!$B$4:$B$347,0),MATCH(I$2,'Energieverbruik in TJ Gemeente'!$B$4:$Q$4,0))</f>
        <v>184</v>
      </c>
      <c r="J279">
        <f>INDEX('Energieverbruik in TJ Gemeente'!$B$4:$Q$347,MATCH($C279,'Energieverbruik in TJ Gemeente'!$B$4:$B$347,0),MATCH(J$2,'Energieverbruik in TJ Gemeente'!$B$4:$Q$4,0))</f>
        <v>159</v>
      </c>
      <c r="K279">
        <f>INDEX('Energieverbruik in TJ Gemeente'!$B$4:$Q$347,MATCH($C279,'Energieverbruik in TJ Gemeente'!$B$4:$B$347,0),MATCH(K$2,'Energieverbruik in TJ Gemeente'!$B$4:$Q$4,0))</f>
        <v>183</v>
      </c>
      <c r="L279">
        <f>INDEX('Energieverbruik in TJ Gemeente'!$B$4:$Q$347,MATCH($C279,'Energieverbruik in TJ Gemeente'!$B$4:$B$347,0),MATCH(L$2,'Energieverbruik in TJ Gemeente'!$B$4:$Q$4,0))</f>
        <v>160</v>
      </c>
      <c r="M279">
        <f>INDEX('Energieverbruik in TJ Gemeente'!$B$4:$Q$347,MATCH($C279,'Energieverbruik in TJ Gemeente'!$B$4:$B$347,0),MATCH(M$2,'Energieverbruik in TJ Gemeente'!$B$4:$Q$4,0))</f>
        <v>161</v>
      </c>
      <c r="N279">
        <f>INDEX('Energieverbruik in TJ Gemeente'!$B$4:$Q$347,MATCH($C279,'Energieverbruik in TJ Gemeente'!$B$4:$B$347,0),MATCH(N$2,'Energieverbruik in TJ Gemeente'!$B$4:$Q$4,0))</f>
        <v>41</v>
      </c>
      <c r="O279">
        <f>INDEX('Energieverbruik in TJ Gemeente'!$B$4:$Q$347,MATCH($C279,'Energieverbruik in TJ Gemeente'!$B$4:$B$347,0),MATCH(O$2,'Energieverbruik in TJ Gemeente'!$B$4:$Q$4,0))</f>
        <v>27</v>
      </c>
      <c r="P279">
        <f>INDEX('Energieverbruik in TJ Gemeente'!$B$4:$Q$347,MATCH($C279,'Energieverbruik in TJ Gemeente'!$B$4:$B$347,0),MATCH(P$2,'Energieverbruik in TJ Gemeente'!$B$4:$Q$4,0))</f>
        <v>30</v>
      </c>
      <c r="Q279">
        <f>INDEX('Energieverbruik in TJ Gemeente'!$B$4:$Q$347,MATCH($C279,'Energieverbruik in TJ Gemeente'!$B$4:$B$347,0),MATCH(Q$2,'Energieverbruik in TJ Gemeente'!$B$4:$Q$4,0))</f>
        <v>19</v>
      </c>
      <c r="R279">
        <f>INDEX('Energieverbruik in TJ Gemeente'!$B$4:$Q$347,MATCH($C279,'Energieverbruik in TJ Gemeente'!$B$4:$B$347,0),MATCH(R$2,'Energieverbruik in TJ Gemeente'!$B$4:$Q$4,0))</f>
        <v>24</v>
      </c>
      <c r="S279" cm="1">
        <f t="array" ref="S279">MAX(_xlfn._xlws.FILTER(D$1:H$1, D279:H279&lt;&gt;"?"))</f>
        <v>2023</v>
      </c>
      <c r="T279" cm="1">
        <f t="array" ref="T279">MAX(_xlfn._xlws.FILTER(I$1:M$1, I279:M279&lt;&gt;"?"))</f>
        <v>2023</v>
      </c>
      <c r="U279" cm="1">
        <f t="array" ref="U279">MAX(_xlfn._xlws.FILTER(F$1:J$1, F279:J279&lt;&gt;"?"))</f>
        <v>2023</v>
      </c>
      <c r="V279">
        <f t="shared" si="20"/>
        <v>620</v>
      </c>
      <c r="W279">
        <f t="shared" si="21"/>
        <v>161</v>
      </c>
      <c r="X279">
        <f t="shared" si="22"/>
        <v>24</v>
      </c>
      <c r="Y279">
        <f t="shared" si="23"/>
        <v>805</v>
      </c>
      <c r="Z279">
        <f t="shared" si="24"/>
        <v>1.3378537833840221E-3</v>
      </c>
    </row>
    <row r="280" spans="1:26" ht="16" x14ac:dyDescent="0.2">
      <c r="A280" s="4" t="s">
        <v>845</v>
      </c>
      <c r="B280" s="4" t="s">
        <v>846</v>
      </c>
      <c r="C280" s="4" t="s">
        <v>847</v>
      </c>
      <c r="D280">
        <f>INDEX('Energieverbruik in TJ Gemeente'!$B$4:$Q$347,MATCH($C280,'Energieverbruik in TJ Gemeente'!$B$4:$B$347,0),MATCH(D$2,'Energieverbruik in TJ Gemeente'!$B$4:$Q$4,0))</f>
        <v>1035</v>
      </c>
      <c r="E280" t="str">
        <f>INDEX('Energieverbruik in TJ Gemeente'!$B$4:$Q$347,MATCH($C280,'Energieverbruik in TJ Gemeente'!$B$4:$B$347,0),MATCH(E$2,'Energieverbruik in TJ Gemeente'!$B$4:$Q$4,0))</f>
        <v>?</v>
      </c>
      <c r="F280">
        <f>INDEX('Energieverbruik in TJ Gemeente'!$B$4:$Q$347,MATCH($C280,'Energieverbruik in TJ Gemeente'!$B$4:$B$347,0),MATCH(F$2,'Energieverbruik in TJ Gemeente'!$B$4:$Q$4,0))</f>
        <v>1011</v>
      </c>
      <c r="G280">
        <f>INDEX('Energieverbruik in TJ Gemeente'!$B$4:$Q$347,MATCH($C280,'Energieverbruik in TJ Gemeente'!$B$4:$B$347,0),MATCH(G$2,'Energieverbruik in TJ Gemeente'!$B$4:$Q$4,0))</f>
        <v>888</v>
      </c>
      <c r="H280">
        <f>INDEX('Energieverbruik in TJ Gemeente'!$B$4:$Q$347,MATCH($C280,'Energieverbruik in TJ Gemeente'!$B$4:$B$347,0),MATCH(H$2,'Energieverbruik in TJ Gemeente'!$B$4:$Q$4,0))</f>
        <v>736</v>
      </c>
      <c r="I280">
        <f>INDEX('Energieverbruik in TJ Gemeente'!$B$4:$Q$347,MATCH($C280,'Energieverbruik in TJ Gemeente'!$B$4:$B$347,0),MATCH(I$2,'Energieverbruik in TJ Gemeente'!$B$4:$Q$4,0))</f>
        <v>14</v>
      </c>
      <c r="J280" t="str">
        <f>INDEX('Energieverbruik in TJ Gemeente'!$B$4:$Q$347,MATCH($C280,'Energieverbruik in TJ Gemeente'!$B$4:$B$347,0),MATCH(J$2,'Energieverbruik in TJ Gemeente'!$B$4:$Q$4,0))</f>
        <v>?</v>
      </c>
      <c r="K280">
        <f>INDEX('Energieverbruik in TJ Gemeente'!$B$4:$Q$347,MATCH($C280,'Energieverbruik in TJ Gemeente'!$B$4:$B$347,0),MATCH(K$2,'Energieverbruik in TJ Gemeente'!$B$4:$Q$4,0))</f>
        <v>17</v>
      </c>
      <c r="L280">
        <f>INDEX('Energieverbruik in TJ Gemeente'!$B$4:$Q$347,MATCH($C280,'Energieverbruik in TJ Gemeente'!$B$4:$B$347,0),MATCH(L$2,'Energieverbruik in TJ Gemeente'!$B$4:$Q$4,0))</f>
        <v>15</v>
      </c>
      <c r="M280">
        <f>INDEX('Energieverbruik in TJ Gemeente'!$B$4:$Q$347,MATCH($C280,'Energieverbruik in TJ Gemeente'!$B$4:$B$347,0),MATCH(M$2,'Energieverbruik in TJ Gemeente'!$B$4:$Q$4,0))</f>
        <v>12</v>
      </c>
      <c r="N280">
        <f>INDEX('Energieverbruik in TJ Gemeente'!$B$4:$Q$347,MATCH($C280,'Energieverbruik in TJ Gemeente'!$B$4:$B$347,0),MATCH(N$2,'Energieverbruik in TJ Gemeente'!$B$4:$Q$4,0))</f>
        <v>40</v>
      </c>
      <c r="O280">
        <f>INDEX('Energieverbruik in TJ Gemeente'!$B$4:$Q$347,MATCH($C280,'Energieverbruik in TJ Gemeente'!$B$4:$B$347,0),MATCH(O$2,'Energieverbruik in TJ Gemeente'!$B$4:$Q$4,0))</f>
        <v>35</v>
      </c>
      <c r="P280">
        <f>INDEX('Energieverbruik in TJ Gemeente'!$B$4:$Q$347,MATCH($C280,'Energieverbruik in TJ Gemeente'!$B$4:$B$347,0),MATCH(P$2,'Energieverbruik in TJ Gemeente'!$B$4:$Q$4,0))</f>
        <v>38</v>
      </c>
      <c r="Q280">
        <f>INDEX('Energieverbruik in TJ Gemeente'!$B$4:$Q$347,MATCH($C280,'Energieverbruik in TJ Gemeente'!$B$4:$B$347,0),MATCH(Q$2,'Energieverbruik in TJ Gemeente'!$B$4:$Q$4,0))</f>
        <v>31</v>
      </c>
      <c r="R280">
        <f>INDEX('Energieverbruik in TJ Gemeente'!$B$4:$Q$347,MATCH($C280,'Energieverbruik in TJ Gemeente'!$B$4:$B$347,0),MATCH(R$2,'Energieverbruik in TJ Gemeente'!$B$4:$Q$4,0))</f>
        <v>23</v>
      </c>
      <c r="S280" cm="1">
        <f t="array" ref="S280">MAX(_xlfn._xlws.FILTER(D$1:H$1, D280:H280&lt;&gt;"?"))</f>
        <v>2023</v>
      </c>
      <c r="T280" cm="1">
        <f t="array" ref="T280">MAX(_xlfn._xlws.FILTER(I$1:M$1, I280:M280&lt;&gt;"?"))</f>
        <v>2023</v>
      </c>
      <c r="U280" cm="1">
        <f t="array" ref="U280">MAX(_xlfn._xlws.FILTER(F$1:J$1, F280:J280&lt;&gt;"?"))</f>
        <v>2023</v>
      </c>
      <c r="V280">
        <f t="shared" si="20"/>
        <v>736</v>
      </c>
      <c r="W280">
        <f t="shared" si="21"/>
        <v>12</v>
      </c>
      <c r="X280">
        <f t="shared" si="22"/>
        <v>23</v>
      </c>
      <c r="Y280">
        <f t="shared" si="23"/>
        <v>771</v>
      </c>
      <c r="Z280">
        <f t="shared" si="24"/>
        <v>1.2813481577504113E-3</v>
      </c>
    </row>
    <row r="281" spans="1:26" ht="32" x14ac:dyDescent="0.2">
      <c r="A281" s="4" t="s">
        <v>848</v>
      </c>
      <c r="B281" s="4" t="s">
        <v>849</v>
      </c>
      <c r="C281" s="4" t="s">
        <v>850</v>
      </c>
      <c r="D281">
        <f>INDEX('Energieverbruik in TJ Gemeente'!$B$4:$Q$347,MATCH($C281,'Energieverbruik in TJ Gemeente'!$B$4:$B$347,0),MATCH(D$2,'Energieverbruik in TJ Gemeente'!$B$4:$Q$4,0))</f>
        <v>846</v>
      </c>
      <c r="E281">
        <f>INDEX('Energieverbruik in TJ Gemeente'!$B$4:$Q$347,MATCH($C281,'Energieverbruik in TJ Gemeente'!$B$4:$B$347,0),MATCH(E$2,'Energieverbruik in TJ Gemeente'!$B$4:$Q$4,0))</f>
        <v>826</v>
      </c>
      <c r="F281">
        <f>INDEX('Energieverbruik in TJ Gemeente'!$B$4:$Q$347,MATCH($C281,'Energieverbruik in TJ Gemeente'!$B$4:$B$347,0),MATCH(F$2,'Energieverbruik in TJ Gemeente'!$B$4:$Q$4,0))</f>
        <v>799</v>
      </c>
      <c r="G281" t="str">
        <f>INDEX('Energieverbruik in TJ Gemeente'!$B$4:$Q$347,MATCH($C281,'Energieverbruik in TJ Gemeente'!$B$4:$B$347,0),MATCH(G$2,'Energieverbruik in TJ Gemeente'!$B$4:$Q$4,0))</f>
        <v>?</v>
      </c>
      <c r="H281" t="str">
        <f>INDEX('Energieverbruik in TJ Gemeente'!$B$4:$Q$347,MATCH($C281,'Energieverbruik in TJ Gemeente'!$B$4:$B$347,0),MATCH(H$2,'Energieverbruik in TJ Gemeente'!$B$4:$Q$4,0))</f>
        <v>?</v>
      </c>
      <c r="I281" t="str">
        <f>INDEX('Energieverbruik in TJ Gemeente'!$B$4:$Q$347,MATCH($C281,'Energieverbruik in TJ Gemeente'!$B$4:$B$347,0),MATCH(I$2,'Energieverbruik in TJ Gemeente'!$B$4:$Q$4,0))</f>
        <v>?</v>
      </c>
      <c r="J281" t="str">
        <f>INDEX('Energieverbruik in TJ Gemeente'!$B$4:$Q$347,MATCH($C281,'Energieverbruik in TJ Gemeente'!$B$4:$B$347,0),MATCH(J$2,'Energieverbruik in TJ Gemeente'!$B$4:$Q$4,0))</f>
        <v>?</v>
      </c>
      <c r="K281" t="str">
        <f>INDEX('Energieverbruik in TJ Gemeente'!$B$4:$Q$347,MATCH($C281,'Energieverbruik in TJ Gemeente'!$B$4:$B$347,0),MATCH(K$2,'Energieverbruik in TJ Gemeente'!$B$4:$Q$4,0))</f>
        <v>?</v>
      </c>
      <c r="L281" t="str">
        <f>INDEX('Energieverbruik in TJ Gemeente'!$B$4:$Q$347,MATCH($C281,'Energieverbruik in TJ Gemeente'!$B$4:$B$347,0),MATCH(L$2,'Energieverbruik in TJ Gemeente'!$B$4:$Q$4,0))</f>
        <v>?</v>
      </c>
      <c r="M281">
        <f>INDEX('Energieverbruik in TJ Gemeente'!$B$4:$Q$347,MATCH($C281,'Energieverbruik in TJ Gemeente'!$B$4:$B$347,0),MATCH(M$2,'Energieverbruik in TJ Gemeente'!$B$4:$Q$4,0))</f>
        <v>688</v>
      </c>
      <c r="N281">
        <f>INDEX('Energieverbruik in TJ Gemeente'!$B$4:$Q$347,MATCH($C281,'Energieverbruik in TJ Gemeente'!$B$4:$B$347,0),MATCH(N$2,'Energieverbruik in TJ Gemeente'!$B$4:$Q$4,0))</f>
        <v>31</v>
      </c>
      <c r="O281">
        <f>INDEX('Energieverbruik in TJ Gemeente'!$B$4:$Q$347,MATCH($C281,'Energieverbruik in TJ Gemeente'!$B$4:$B$347,0),MATCH(O$2,'Energieverbruik in TJ Gemeente'!$B$4:$Q$4,0))</f>
        <v>18</v>
      </c>
      <c r="P281">
        <f>INDEX('Energieverbruik in TJ Gemeente'!$B$4:$Q$347,MATCH($C281,'Energieverbruik in TJ Gemeente'!$B$4:$B$347,0),MATCH(P$2,'Energieverbruik in TJ Gemeente'!$B$4:$Q$4,0))</f>
        <v>19</v>
      </c>
      <c r="Q281">
        <f>INDEX('Energieverbruik in TJ Gemeente'!$B$4:$Q$347,MATCH($C281,'Energieverbruik in TJ Gemeente'!$B$4:$B$347,0),MATCH(Q$2,'Energieverbruik in TJ Gemeente'!$B$4:$Q$4,0))</f>
        <v>15</v>
      </c>
      <c r="R281">
        <f>INDEX('Energieverbruik in TJ Gemeente'!$B$4:$Q$347,MATCH($C281,'Energieverbruik in TJ Gemeente'!$B$4:$B$347,0),MATCH(R$2,'Energieverbruik in TJ Gemeente'!$B$4:$Q$4,0))</f>
        <v>15</v>
      </c>
      <c r="S281" cm="1">
        <f t="array" ref="S281">MAX(_xlfn._xlws.FILTER(D$1:H$1, D281:H281&lt;&gt;"?"))</f>
        <v>2021</v>
      </c>
      <c r="T281" cm="1">
        <f t="array" ref="T281">MAX(_xlfn._xlws.FILTER(I$1:M$1, I281:M281&lt;&gt;"?"))</f>
        <v>2023</v>
      </c>
      <c r="U281" cm="1">
        <f t="array" ref="U281">MAX(_xlfn._xlws.FILTER(F$1:J$1, F281:J281&lt;&gt;"?"))</f>
        <v>2021</v>
      </c>
      <c r="V281">
        <f t="shared" si="20"/>
        <v>799</v>
      </c>
      <c r="W281">
        <f t="shared" si="21"/>
        <v>688</v>
      </c>
      <c r="X281">
        <f t="shared" si="22"/>
        <v>19</v>
      </c>
      <c r="Y281">
        <f t="shared" si="23"/>
        <v>1506</v>
      </c>
      <c r="Z281">
        <f t="shared" si="24"/>
        <v>2.5028668295358227E-3</v>
      </c>
    </row>
    <row r="282" spans="1:26" ht="16" x14ac:dyDescent="0.2">
      <c r="A282" s="4" t="s">
        <v>851</v>
      </c>
      <c r="B282" s="4" t="s">
        <v>852</v>
      </c>
      <c r="C282" s="4" t="s">
        <v>853</v>
      </c>
      <c r="D282">
        <f>INDEX('Energieverbruik in TJ Gemeente'!$B$4:$Q$347,MATCH($C282,'Energieverbruik in TJ Gemeente'!$B$4:$B$347,0),MATCH(D$2,'Energieverbruik in TJ Gemeente'!$B$4:$Q$4,0))</f>
        <v>272</v>
      </c>
      <c r="E282">
        <f>INDEX('Energieverbruik in TJ Gemeente'!$B$4:$Q$347,MATCH($C282,'Energieverbruik in TJ Gemeente'!$B$4:$B$347,0),MATCH(E$2,'Energieverbruik in TJ Gemeente'!$B$4:$Q$4,0))</f>
        <v>270</v>
      </c>
      <c r="F282">
        <f>INDEX('Energieverbruik in TJ Gemeente'!$B$4:$Q$347,MATCH($C282,'Energieverbruik in TJ Gemeente'!$B$4:$B$347,0),MATCH(F$2,'Energieverbruik in TJ Gemeente'!$B$4:$Q$4,0))</f>
        <v>271</v>
      </c>
      <c r="G282">
        <f>INDEX('Energieverbruik in TJ Gemeente'!$B$4:$Q$347,MATCH($C282,'Energieverbruik in TJ Gemeente'!$B$4:$B$347,0),MATCH(G$2,'Energieverbruik in TJ Gemeente'!$B$4:$Q$4,0))</f>
        <v>236</v>
      </c>
      <c r="H282">
        <f>INDEX('Energieverbruik in TJ Gemeente'!$B$4:$Q$347,MATCH($C282,'Energieverbruik in TJ Gemeente'!$B$4:$B$347,0),MATCH(H$2,'Energieverbruik in TJ Gemeente'!$B$4:$Q$4,0))</f>
        <v>198</v>
      </c>
      <c r="I282">
        <f>INDEX('Energieverbruik in TJ Gemeente'!$B$4:$Q$347,MATCH($C282,'Energieverbruik in TJ Gemeente'!$B$4:$B$347,0),MATCH(I$2,'Energieverbruik in TJ Gemeente'!$B$4:$Q$4,0))</f>
        <v>10</v>
      </c>
      <c r="J282">
        <f>INDEX('Energieverbruik in TJ Gemeente'!$B$4:$Q$347,MATCH($C282,'Energieverbruik in TJ Gemeente'!$B$4:$B$347,0),MATCH(J$2,'Energieverbruik in TJ Gemeente'!$B$4:$Q$4,0))</f>
        <v>10</v>
      </c>
      <c r="K282">
        <f>INDEX('Energieverbruik in TJ Gemeente'!$B$4:$Q$347,MATCH($C282,'Energieverbruik in TJ Gemeente'!$B$4:$B$347,0),MATCH(K$2,'Energieverbruik in TJ Gemeente'!$B$4:$Q$4,0))</f>
        <v>12</v>
      </c>
      <c r="L282">
        <f>INDEX('Energieverbruik in TJ Gemeente'!$B$4:$Q$347,MATCH($C282,'Energieverbruik in TJ Gemeente'!$B$4:$B$347,0),MATCH(L$2,'Energieverbruik in TJ Gemeente'!$B$4:$Q$4,0))</f>
        <v>9</v>
      </c>
      <c r="M282">
        <f>INDEX('Energieverbruik in TJ Gemeente'!$B$4:$Q$347,MATCH($C282,'Energieverbruik in TJ Gemeente'!$B$4:$B$347,0),MATCH(M$2,'Energieverbruik in TJ Gemeente'!$B$4:$Q$4,0))</f>
        <v>8</v>
      </c>
      <c r="N282">
        <f>INDEX('Energieverbruik in TJ Gemeente'!$B$4:$Q$347,MATCH($C282,'Energieverbruik in TJ Gemeente'!$B$4:$B$347,0),MATCH(N$2,'Energieverbruik in TJ Gemeente'!$B$4:$Q$4,0))</f>
        <v>3</v>
      </c>
      <c r="O282">
        <f>INDEX('Energieverbruik in TJ Gemeente'!$B$4:$Q$347,MATCH($C282,'Energieverbruik in TJ Gemeente'!$B$4:$B$347,0),MATCH(O$2,'Energieverbruik in TJ Gemeente'!$B$4:$Q$4,0))</f>
        <v>2</v>
      </c>
      <c r="P282">
        <f>INDEX('Energieverbruik in TJ Gemeente'!$B$4:$Q$347,MATCH($C282,'Energieverbruik in TJ Gemeente'!$B$4:$B$347,0),MATCH(P$2,'Energieverbruik in TJ Gemeente'!$B$4:$Q$4,0))</f>
        <v>2</v>
      </c>
      <c r="Q282">
        <f>INDEX('Energieverbruik in TJ Gemeente'!$B$4:$Q$347,MATCH($C282,'Energieverbruik in TJ Gemeente'!$B$4:$B$347,0),MATCH(Q$2,'Energieverbruik in TJ Gemeente'!$B$4:$Q$4,0))</f>
        <v>2</v>
      </c>
      <c r="R282">
        <f>INDEX('Energieverbruik in TJ Gemeente'!$B$4:$Q$347,MATCH($C282,'Energieverbruik in TJ Gemeente'!$B$4:$B$347,0),MATCH(R$2,'Energieverbruik in TJ Gemeente'!$B$4:$Q$4,0))</f>
        <v>2</v>
      </c>
      <c r="S282" cm="1">
        <f t="array" ref="S282">MAX(_xlfn._xlws.FILTER(D$1:H$1, D282:H282&lt;&gt;"?"))</f>
        <v>2023</v>
      </c>
      <c r="T282" cm="1">
        <f t="array" ref="T282">MAX(_xlfn._xlws.FILTER(I$1:M$1, I282:M282&lt;&gt;"?"))</f>
        <v>2023</v>
      </c>
      <c r="U282" cm="1">
        <f t="array" ref="U282">MAX(_xlfn._xlws.FILTER(F$1:J$1, F282:J282&lt;&gt;"?"))</f>
        <v>2023</v>
      </c>
      <c r="V282">
        <f t="shared" si="20"/>
        <v>198</v>
      </c>
      <c r="W282">
        <f t="shared" si="21"/>
        <v>8</v>
      </c>
      <c r="X282">
        <f t="shared" si="22"/>
        <v>2</v>
      </c>
      <c r="Y282">
        <f t="shared" si="23"/>
        <v>208</v>
      </c>
      <c r="Z282">
        <f t="shared" si="24"/>
        <v>3.4568147446444302E-4</v>
      </c>
    </row>
    <row r="283" spans="1:26" ht="16" x14ac:dyDescent="0.2">
      <c r="A283" s="4" t="s">
        <v>854</v>
      </c>
      <c r="B283" s="4" t="s">
        <v>855</v>
      </c>
      <c r="C283" s="4" t="s">
        <v>856</v>
      </c>
      <c r="D283" t="str">
        <f>INDEX('Energieverbruik in TJ Gemeente'!$B$4:$Q$347,MATCH($C283,'Energieverbruik in TJ Gemeente'!$B$4:$B$347,0),MATCH(D$2,'Energieverbruik in TJ Gemeente'!$B$4:$Q$4,0))</f>
        <v>?</v>
      </c>
      <c r="E283" t="str">
        <f>INDEX('Energieverbruik in TJ Gemeente'!$B$4:$Q$347,MATCH($C283,'Energieverbruik in TJ Gemeente'!$B$4:$B$347,0),MATCH(E$2,'Energieverbruik in TJ Gemeente'!$B$4:$Q$4,0))</f>
        <v>?</v>
      </c>
      <c r="F283">
        <f>INDEX('Energieverbruik in TJ Gemeente'!$B$4:$Q$347,MATCH($C283,'Energieverbruik in TJ Gemeente'!$B$4:$B$347,0),MATCH(F$2,'Energieverbruik in TJ Gemeente'!$B$4:$Q$4,0))</f>
        <v>599</v>
      </c>
      <c r="G283" t="str">
        <f>INDEX('Energieverbruik in TJ Gemeente'!$B$4:$Q$347,MATCH($C283,'Energieverbruik in TJ Gemeente'!$B$4:$B$347,0),MATCH(G$2,'Energieverbruik in TJ Gemeente'!$B$4:$Q$4,0))</f>
        <v>?</v>
      </c>
      <c r="H283" t="str">
        <f>INDEX('Energieverbruik in TJ Gemeente'!$B$4:$Q$347,MATCH($C283,'Energieverbruik in TJ Gemeente'!$B$4:$B$347,0),MATCH(H$2,'Energieverbruik in TJ Gemeente'!$B$4:$Q$4,0))</f>
        <v>?</v>
      </c>
      <c r="I283">
        <f>INDEX('Energieverbruik in TJ Gemeente'!$B$4:$Q$347,MATCH($C283,'Energieverbruik in TJ Gemeente'!$B$4:$B$347,0),MATCH(I$2,'Energieverbruik in TJ Gemeente'!$B$4:$Q$4,0))</f>
        <v>142</v>
      </c>
      <c r="J283" t="str">
        <f>INDEX('Energieverbruik in TJ Gemeente'!$B$4:$Q$347,MATCH($C283,'Energieverbruik in TJ Gemeente'!$B$4:$B$347,0),MATCH(J$2,'Energieverbruik in TJ Gemeente'!$B$4:$Q$4,0))</f>
        <v>?</v>
      </c>
      <c r="K283">
        <f>INDEX('Energieverbruik in TJ Gemeente'!$B$4:$Q$347,MATCH($C283,'Energieverbruik in TJ Gemeente'!$B$4:$B$347,0),MATCH(K$2,'Energieverbruik in TJ Gemeente'!$B$4:$Q$4,0))</f>
        <v>70</v>
      </c>
      <c r="L283" t="str">
        <f>INDEX('Energieverbruik in TJ Gemeente'!$B$4:$Q$347,MATCH($C283,'Energieverbruik in TJ Gemeente'!$B$4:$B$347,0),MATCH(L$2,'Energieverbruik in TJ Gemeente'!$B$4:$Q$4,0))</f>
        <v>?</v>
      </c>
      <c r="M283" t="str">
        <f>INDEX('Energieverbruik in TJ Gemeente'!$B$4:$Q$347,MATCH($C283,'Energieverbruik in TJ Gemeente'!$B$4:$B$347,0),MATCH(M$2,'Energieverbruik in TJ Gemeente'!$B$4:$Q$4,0))</f>
        <v>?</v>
      </c>
      <c r="N283" t="str">
        <f>INDEX('Energieverbruik in TJ Gemeente'!$B$4:$Q$347,MATCH($C283,'Energieverbruik in TJ Gemeente'!$B$4:$B$347,0),MATCH(N$2,'Energieverbruik in TJ Gemeente'!$B$4:$Q$4,0))</f>
        <v>?</v>
      </c>
      <c r="O283" t="str">
        <f>INDEX('Energieverbruik in TJ Gemeente'!$B$4:$Q$347,MATCH($C283,'Energieverbruik in TJ Gemeente'!$B$4:$B$347,0),MATCH(O$2,'Energieverbruik in TJ Gemeente'!$B$4:$Q$4,0))</f>
        <v>?</v>
      </c>
      <c r="P283" t="str">
        <f>INDEX('Energieverbruik in TJ Gemeente'!$B$4:$Q$347,MATCH($C283,'Energieverbruik in TJ Gemeente'!$B$4:$B$347,0),MATCH(P$2,'Energieverbruik in TJ Gemeente'!$B$4:$Q$4,0))</f>
        <v>?</v>
      </c>
      <c r="Q283" t="str">
        <f>INDEX('Energieverbruik in TJ Gemeente'!$B$4:$Q$347,MATCH($C283,'Energieverbruik in TJ Gemeente'!$B$4:$B$347,0),MATCH(Q$2,'Energieverbruik in TJ Gemeente'!$B$4:$Q$4,0))</f>
        <v>?</v>
      </c>
      <c r="R283" t="str">
        <f>INDEX('Energieverbruik in TJ Gemeente'!$B$4:$Q$347,MATCH($C283,'Energieverbruik in TJ Gemeente'!$B$4:$B$347,0),MATCH(R$2,'Energieverbruik in TJ Gemeente'!$B$4:$Q$4,0))</f>
        <v>?</v>
      </c>
      <c r="S283" cm="1">
        <f t="array" ref="S283">MAX(_xlfn._xlws.FILTER(D$1:H$1, D283:H283&lt;&gt;"?"))</f>
        <v>2021</v>
      </c>
      <c r="T283" cm="1">
        <f t="array" ref="T283">MAX(_xlfn._xlws.FILTER(I$1:M$1, I283:M283&lt;&gt;"?"))</f>
        <v>2021</v>
      </c>
      <c r="U283" cm="1">
        <f t="array" ref="U283">MAX(_xlfn._xlws.FILTER(F$1:J$1, F283:J283&lt;&gt;"?"))</f>
        <v>2021</v>
      </c>
      <c r="V283">
        <f t="shared" si="20"/>
        <v>599</v>
      </c>
      <c r="W283">
        <f t="shared" si="21"/>
        <v>70</v>
      </c>
      <c r="X283" t="str">
        <f t="shared" si="22"/>
        <v>?</v>
      </c>
      <c r="Y283">
        <f t="shared" si="23"/>
        <v>669</v>
      </c>
      <c r="Z283">
        <f t="shared" si="24"/>
        <v>1.1118312808495786E-3</v>
      </c>
    </row>
    <row r="284" spans="1:26" ht="16" x14ac:dyDescent="0.2">
      <c r="A284" s="4" t="s">
        <v>857</v>
      </c>
      <c r="B284" s="4" t="s">
        <v>858</v>
      </c>
      <c r="C284" s="4" t="s">
        <v>859</v>
      </c>
      <c r="D284">
        <f>INDEX('Energieverbruik in TJ Gemeente'!$B$4:$Q$347,MATCH($C284,'Energieverbruik in TJ Gemeente'!$B$4:$B$347,0),MATCH(D$2,'Energieverbruik in TJ Gemeente'!$B$4:$Q$4,0))</f>
        <v>416</v>
      </c>
      <c r="E284">
        <f>INDEX('Energieverbruik in TJ Gemeente'!$B$4:$Q$347,MATCH($C284,'Energieverbruik in TJ Gemeente'!$B$4:$B$347,0),MATCH(E$2,'Energieverbruik in TJ Gemeente'!$B$4:$Q$4,0))</f>
        <v>408</v>
      </c>
      <c r="F284">
        <f>INDEX('Energieverbruik in TJ Gemeente'!$B$4:$Q$347,MATCH($C284,'Energieverbruik in TJ Gemeente'!$B$4:$B$347,0),MATCH(F$2,'Energieverbruik in TJ Gemeente'!$B$4:$Q$4,0))</f>
        <v>417</v>
      </c>
      <c r="G284">
        <f>INDEX('Energieverbruik in TJ Gemeente'!$B$4:$Q$347,MATCH($C284,'Energieverbruik in TJ Gemeente'!$B$4:$B$347,0),MATCH(G$2,'Energieverbruik in TJ Gemeente'!$B$4:$Q$4,0))</f>
        <v>354</v>
      </c>
      <c r="H284">
        <f>INDEX('Energieverbruik in TJ Gemeente'!$B$4:$Q$347,MATCH($C284,'Energieverbruik in TJ Gemeente'!$B$4:$B$347,0),MATCH(H$2,'Energieverbruik in TJ Gemeente'!$B$4:$Q$4,0))</f>
        <v>285</v>
      </c>
      <c r="I284">
        <f>INDEX('Energieverbruik in TJ Gemeente'!$B$4:$Q$347,MATCH($C284,'Energieverbruik in TJ Gemeente'!$B$4:$B$347,0),MATCH(I$2,'Energieverbruik in TJ Gemeente'!$B$4:$Q$4,0))</f>
        <v>53</v>
      </c>
      <c r="J284">
        <f>INDEX('Energieverbruik in TJ Gemeente'!$B$4:$Q$347,MATCH($C284,'Energieverbruik in TJ Gemeente'!$B$4:$B$347,0),MATCH(J$2,'Energieverbruik in TJ Gemeente'!$B$4:$Q$4,0))</f>
        <v>48</v>
      </c>
      <c r="K284">
        <f>INDEX('Energieverbruik in TJ Gemeente'!$B$4:$Q$347,MATCH($C284,'Energieverbruik in TJ Gemeente'!$B$4:$B$347,0),MATCH(K$2,'Energieverbruik in TJ Gemeente'!$B$4:$Q$4,0))</f>
        <v>53</v>
      </c>
      <c r="L284">
        <f>INDEX('Energieverbruik in TJ Gemeente'!$B$4:$Q$347,MATCH($C284,'Energieverbruik in TJ Gemeente'!$B$4:$B$347,0),MATCH(L$2,'Energieverbruik in TJ Gemeente'!$B$4:$Q$4,0))</f>
        <v>42</v>
      </c>
      <c r="M284">
        <f>INDEX('Energieverbruik in TJ Gemeente'!$B$4:$Q$347,MATCH($C284,'Energieverbruik in TJ Gemeente'!$B$4:$B$347,0),MATCH(M$2,'Energieverbruik in TJ Gemeente'!$B$4:$Q$4,0))</f>
        <v>39</v>
      </c>
      <c r="N284">
        <f>INDEX('Energieverbruik in TJ Gemeente'!$B$4:$Q$347,MATCH($C284,'Energieverbruik in TJ Gemeente'!$B$4:$B$347,0),MATCH(N$2,'Energieverbruik in TJ Gemeente'!$B$4:$Q$4,0))</f>
        <v>4</v>
      </c>
      <c r="O284">
        <f>INDEX('Energieverbruik in TJ Gemeente'!$B$4:$Q$347,MATCH($C284,'Energieverbruik in TJ Gemeente'!$B$4:$B$347,0),MATCH(O$2,'Energieverbruik in TJ Gemeente'!$B$4:$Q$4,0))</f>
        <v>3</v>
      </c>
      <c r="P284">
        <f>INDEX('Energieverbruik in TJ Gemeente'!$B$4:$Q$347,MATCH($C284,'Energieverbruik in TJ Gemeente'!$B$4:$B$347,0),MATCH(P$2,'Energieverbruik in TJ Gemeente'!$B$4:$Q$4,0))</f>
        <v>3</v>
      </c>
      <c r="Q284">
        <f>INDEX('Energieverbruik in TJ Gemeente'!$B$4:$Q$347,MATCH($C284,'Energieverbruik in TJ Gemeente'!$B$4:$B$347,0),MATCH(Q$2,'Energieverbruik in TJ Gemeente'!$B$4:$Q$4,0))</f>
        <v>2</v>
      </c>
      <c r="R284">
        <f>INDEX('Energieverbruik in TJ Gemeente'!$B$4:$Q$347,MATCH($C284,'Energieverbruik in TJ Gemeente'!$B$4:$B$347,0),MATCH(R$2,'Energieverbruik in TJ Gemeente'!$B$4:$Q$4,0))</f>
        <v>2</v>
      </c>
      <c r="S284" cm="1">
        <f t="array" ref="S284">MAX(_xlfn._xlws.FILTER(D$1:H$1, D284:H284&lt;&gt;"?"))</f>
        <v>2023</v>
      </c>
      <c r="T284" cm="1">
        <f t="array" ref="T284">MAX(_xlfn._xlws.FILTER(I$1:M$1, I284:M284&lt;&gt;"?"))</f>
        <v>2023</v>
      </c>
      <c r="U284" cm="1">
        <f t="array" ref="U284">MAX(_xlfn._xlws.FILTER(F$1:J$1, F284:J284&lt;&gt;"?"))</f>
        <v>2023</v>
      </c>
      <c r="V284">
        <f t="shared" si="20"/>
        <v>285</v>
      </c>
      <c r="W284">
        <f t="shared" si="21"/>
        <v>39</v>
      </c>
      <c r="X284">
        <f t="shared" si="22"/>
        <v>2</v>
      </c>
      <c r="Y284">
        <f t="shared" si="23"/>
        <v>326</v>
      </c>
      <c r="Z284">
        <f t="shared" si="24"/>
        <v>5.4178923401638666E-4</v>
      </c>
    </row>
    <row r="285" spans="1:26" ht="16" x14ac:dyDescent="0.2">
      <c r="A285" s="4" t="s">
        <v>860</v>
      </c>
      <c r="B285" s="4" t="s">
        <v>861</v>
      </c>
      <c r="C285" s="4" t="s">
        <v>61</v>
      </c>
      <c r="D285">
        <f>INDEX('Energieverbruik in TJ Gemeente'!$B$4:$Q$347,MATCH($C285,'Energieverbruik in TJ Gemeente'!$B$4:$B$347,0),MATCH(D$2,'Energieverbruik in TJ Gemeente'!$B$4:$Q$4,0))</f>
        <v>6074</v>
      </c>
      <c r="E285">
        <f>INDEX('Energieverbruik in TJ Gemeente'!$B$4:$Q$347,MATCH($C285,'Energieverbruik in TJ Gemeente'!$B$4:$B$347,0),MATCH(E$2,'Energieverbruik in TJ Gemeente'!$B$4:$Q$4,0))</f>
        <v>5902</v>
      </c>
      <c r="F285">
        <f>INDEX('Energieverbruik in TJ Gemeente'!$B$4:$Q$347,MATCH($C285,'Energieverbruik in TJ Gemeente'!$B$4:$B$347,0),MATCH(F$2,'Energieverbruik in TJ Gemeente'!$B$4:$Q$4,0))</f>
        <v>5878</v>
      </c>
      <c r="G285">
        <f>INDEX('Energieverbruik in TJ Gemeente'!$B$4:$Q$347,MATCH($C285,'Energieverbruik in TJ Gemeente'!$B$4:$B$347,0),MATCH(G$2,'Energieverbruik in TJ Gemeente'!$B$4:$Q$4,0))</f>
        <v>5279</v>
      </c>
      <c r="H285">
        <f>INDEX('Energieverbruik in TJ Gemeente'!$B$4:$Q$347,MATCH($C285,'Energieverbruik in TJ Gemeente'!$B$4:$B$347,0),MATCH(H$2,'Energieverbruik in TJ Gemeente'!$B$4:$Q$4,0))</f>
        <v>4643</v>
      </c>
      <c r="I285">
        <f>INDEX('Energieverbruik in TJ Gemeente'!$B$4:$Q$347,MATCH($C285,'Energieverbruik in TJ Gemeente'!$B$4:$B$347,0),MATCH(I$2,'Energieverbruik in TJ Gemeente'!$B$4:$Q$4,0))</f>
        <v>546</v>
      </c>
      <c r="J285">
        <f>INDEX('Energieverbruik in TJ Gemeente'!$B$4:$Q$347,MATCH($C285,'Energieverbruik in TJ Gemeente'!$B$4:$B$347,0),MATCH(J$2,'Energieverbruik in TJ Gemeente'!$B$4:$Q$4,0))</f>
        <v>486</v>
      </c>
      <c r="K285" t="str">
        <f>INDEX('Energieverbruik in TJ Gemeente'!$B$4:$Q$347,MATCH($C285,'Energieverbruik in TJ Gemeente'!$B$4:$B$347,0),MATCH(K$2,'Energieverbruik in TJ Gemeente'!$B$4:$Q$4,0))</f>
        <v>?</v>
      </c>
      <c r="L285" t="str">
        <f>INDEX('Energieverbruik in TJ Gemeente'!$B$4:$Q$347,MATCH($C285,'Energieverbruik in TJ Gemeente'!$B$4:$B$347,0),MATCH(L$2,'Energieverbruik in TJ Gemeente'!$B$4:$Q$4,0))</f>
        <v>?</v>
      </c>
      <c r="M285" t="str">
        <f>INDEX('Energieverbruik in TJ Gemeente'!$B$4:$Q$347,MATCH($C285,'Energieverbruik in TJ Gemeente'!$B$4:$B$347,0),MATCH(M$2,'Energieverbruik in TJ Gemeente'!$B$4:$Q$4,0))</f>
        <v>?</v>
      </c>
      <c r="N285">
        <f>INDEX('Energieverbruik in TJ Gemeente'!$B$4:$Q$347,MATCH($C285,'Energieverbruik in TJ Gemeente'!$B$4:$B$347,0),MATCH(N$2,'Energieverbruik in TJ Gemeente'!$B$4:$Q$4,0))</f>
        <v>7</v>
      </c>
      <c r="O285">
        <f>INDEX('Energieverbruik in TJ Gemeente'!$B$4:$Q$347,MATCH($C285,'Energieverbruik in TJ Gemeente'!$B$4:$B$347,0),MATCH(O$2,'Energieverbruik in TJ Gemeente'!$B$4:$Q$4,0))</f>
        <v>6</v>
      </c>
      <c r="P285">
        <f>INDEX('Energieverbruik in TJ Gemeente'!$B$4:$Q$347,MATCH($C285,'Energieverbruik in TJ Gemeente'!$B$4:$B$347,0),MATCH(P$2,'Energieverbruik in TJ Gemeente'!$B$4:$Q$4,0))</f>
        <v>7</v>
      </c>
      <c r="Q285">
        <f>INDEX('Energieverbruik in TJ Gemeente'!$B$4:$Q$347,MATCH($C285,'Energieverbruik in TJ Gemeente'!$B$4:$B$347,0),MATCH(Q$2,'Energieverbruik in TJ Gemeente'!$B$4:$Q$4,0))</f>
        <v>6</v>
      </c>
      <c r="R285">
        <f>INDEX('Energieverbruik in TJ Gemeente'!$B$4:$Q$347,MATCH($C285,'Energieverbruik in TJ Gemeente'!$B$4:$B$347,0),MATCH(R$2,'Energieverbruik in TJ Gemeente'!$B$4:$Q$4,0))</f>
        <v>6</v>
      </c>
      <c r="S285" cm="1">
        <f t="array" ref="S285">MAX(_xlfn._xlws.FILTER(D$1:H$1, D285:H285&lt;&gt;"?"))</f>
        <v>2023</v>
      </c>
      <c r="T285" cm="1">
        <f t="array" ref="T285">MAX(_xlfn._xlws.FILTER(I$1:M$1, I285:M285&lt;&gt;"?"))</f>
        <v>2020</v>
      </c>
      <c r="U285" cm="1">
        <f t="array" ref="U285">MAX(_xlfn._xlws.FILTER(F$1:J$1, F285:J285&lt;&gt;"?"))</f>
        <v>2023</v>
      </c>
      <c r="V285">
        <f t="shared" si="20"/>
        <v>4643</v>
      </c>
      <c r="W285">
        <f t="shared" si="21"/>
        <v>486</v>
      </c>
      <c r="X285">
        <f t="shared" si="22"/>
        <v>6</v>
      </c>
      <c r="Y285">
        <f t="shared" si="23"/>
        <v>5135</v>
      </c>
      <c r="Z285">
        <f t="shared" si="24"/>
        <v>8.5340114008409362E-3</v>
      </c>
    </row>
    <row r="286" spans="1:26" ht="32" x14ac:dyDescent="0.2">
      <c r="A286" s="4" t="s">
        <v>862</v>
      </c>
      <c r="B286" s="4" t="s">
        <v>863</v>
      </c>
      <c r="C286" s="4" t="s">
        <v>864</v>
      </c>
      <c r="D286">
        <f>INDEX('Energieverbruik in TJ Gemeente'!$B$4:$Q$347,MATCH($C286,'Energieverbruik in TJ Gemeente'!$B$4:$B$347,0),MATCH(D$2,'Energieverbruik in TJ Gemeente'!$B$4:$Q$4,0))</f>
        <v>1514</v>
      </c>
      <c r="E286">
        <f>INDEX('Energieverbruik in TJ Gemeente'!$B$4:$Q$347,MATCH($C286,'Energieverbruik in TJ Gemeente'!$B$4:$B$347,0),MATCH(E$2,'Energieverbruik in TJ Gemeente'!$B$4:$Q$4,0))</f>
        <v>1464</v>
      </c>
      <c r="F286">
        <f>INDEX('Energieverbruik in TJ Gemeente'!$B$4:$Q$347,MATCH($C286,'Energieverbruik in TJ Gemeente'!$B$4:$B$347,0),MATCH(F$2,'Energieverbruik in TJ Gemeente'!$B$4:$Q$4,0))</f>
        <v>1479</v>
      </c>
      <c r="G286">
        <f>INDEX('Energieverbruik in TJ Gemeente'!$B$4:$Q$347,MATCH($C286,'Energieverbruik in TJ Gemeente'!$B$4:$B$347,0),MATCH(G$2,'Energieverbruik in TJ Gemeente'!$B$4:$Q$4,0))</f>
        <v>1292</v>
      </c>
      <c r="H286">
        <f>INDEX('Energieverbruik in TJ Gemeente'!$B$4:$Q$347,MATCH($C286,'Energieverbruik in TJ Gemeente'!$B$4:$B$347,0),MATCH(H$2,'Energieverbruik in TJ Gemeente'!$B$4:$Q$4,0))</f>
        <v>1080</v>
      </c>
      <c r="I286">
        <f>INDEX('Energieverbruik in TJ Gemeente'!$B$4:$Q$347,MATCH($C286,'Energieverbruik in TJ Gemeente'!$B$4:$B$347,0),MATCH(I$2,'Energieverbruik in TJ Gemeente'!$B$4:$Q$4,0))</f>
        <v>22</v>
      </c>
      <c r="J286">
        <f>INDEX('Energieverbruik in TJ Gemeente'!$B$4:$Q$347,MATCH($C286,'Energieverbruik in TJ Gemeente'!$B$4:$B$347,0),MATCH(J$2,'Energieverbruik in TJ Gemeente'!$B$4:$Q$4,0))</f>
        <v>19</v>
      </c>
      <c r="K286">
        <f>INDEX('Energieverbruik in TJ Gemeente'!$B$4:$Q$347,MATCH($C286,'Energieverbruik in TJ Gemeente'!$B$4:$B$347,0),MATCH(K$2,'Energieverbruik in TJ Gemeente'!$B$4:$Q$4,0))</f>
        <v>20</v>
      </c>
      <c r="L286">
        <f>INDEX('Energieverbruik in TJ Gemeente'!$B$4:$Q$347,MATCH($C286,'Energieverbruik in TJ Gemeente'!$B$4:$B$347,0),MATCH(L$2,'Energieverbruik in TJ Gemeente'!$B$4:$Q$4,0))</f>
        <v>17</v>
      </c>
      <c r="M286">
        <f>INDEX('Energieverbruik in TJ Gemeente'!$B$4:$Q$347,MATCH($C286,'Energieverbruik in TJ Gemeente'!$B$4:$B$347,0),MATCH(M$2,'Energieverbruik in TJ Gemeente'!$B$4:$Q$4,0))</f>
        <v>13</v>
      </c>
      <c r="N286">
        <f>INDEX('Energieverbruik in TJ Gemeente'!$B$4:$Q$347,MATCH($C286,'Energieverbruik in TJ Gemeente'!$B$4:$B$347,0),MATCH(N$2,'Energieverbruik in TJ Gemeente'!$B$4:$Q$4,0))</f>
        <v>20</v>
      </c>
      <c r="O286">
        <f>INDEX('Energieverbruik in TJ Gemeente'!$B$4:$Q$347,MATCH($C286,'Energieverbruik in TJ Gemeente'!$B$4:$B$347,0),MATCH(O$2,'Energieverbruik in TJ Gemeente'!$B$4:$Q$4,0))</f>
        <v>18</v>
      </c>
      <c r="P286">
        <f>INDEX('Energieverbruik in TJ Gemeente'!$B$4:$Q$347,MATCH($C286,'Energieverbruik in TJ Gemeente'!$B$4:$B$347,0),MATCH(P$2,'Energieverbruik in TJ Gemeente'!$B$4:$Q$4,0))</f>
        <v>19</v>
      </c>
      <c r="Q286">
        <f>INDEX('Energieverbruik in TJ Gemeente'!$B$4:$Q$347,MATCH($C286,'Energieverbruik in TJ Gemeente'!$B$4:$B$347,0),MATCH(Q$2,'Energieverbruik in TJ Gemeente'!$B$4:$Q$4,0))</f>
        <v>16</v>
      </c>
      <c r="R286">
        <f>INDEX('Energieverbruik in TJ Gemeente'!$B$4:$Q$347,MATCH($C286,'Energieverbruik in TJ Gemeente'!$B$4:$B$347,0),MATCH(R$2,'Energieverbruik in TJ Gemeente'!$B$4:$Q$4,0))</f>
        <v>12</v>
      </c>
      <c r="S286" cm="1">
        <f t="array" ref="S286">MAX(_xlfn._xlws.FILTER(D$1:H$1, D286:H286&lt;&gt;"?"))</f>
        <v>2023</v>
      </c>
      <c r="T286" cm="1">
        <f t="array" ref="T286">MAX(_xlfn._xlws.FILTER(I$1:M$1, I286:M286&lt;&gt;"?"))</f>
        <v>2023</v>
      </c>
      <c r="U286" cm="1">
        <f t="array" ref="U286">MAX(_xlfn._xlws.FILTER(F$1:J$1, F286:J286&lt;&gt;"?"))</f>
        <v>2023</v>
      </c>
      <c r="V286">
        <f t="shared" si="20"/>
        <v>1080</v>
      </c>
      <c r="W286">
        <f t="shared" si="21"/>
        <v>13</v>
      </c>
      <c r="X286">
        <f t="shared" si="22"/>
        <v>12</v>
      </c>
      <c r="Y286">
        <f t="shared" si="23"/>
        <v>1105</v>
      </c>
      <c r="Z286">
        <f t="shared" si="24"/>
        <v>1.8364328330923534E-3</v>
      </c>
    </row>
    <row r="287" spans="1:26" ht="16" x14ac:dyDescent="0.2">
      <c r="A287" s="4" t="s">
        <v>865</v>
      </c>
      <c r="B287" s="4" t="s">
        <v>866</v>
      </c>
      <c r="C287" s="4" t="s">
        <v>867</v>
      </c>
      <c r="D287" t="str">
        <f>INDEX('Energieverbruik in TJ Gemeente'!$B$4:$Q$347,MATCH($C287,'Energieverbruik in TJ Gemeente'!$B$4:$B$347,0),MATCH(D$2,'Energieverbruik in TJ Gemeente'!$B$4:$Q$4,0))</f>
        <v>?</v>
      </c>
      <c r="E287" t="str">
        <f>INDEX('Energieverbruik in TJ Gemeente'!$B$4:$Q$347,MATCH($C287,'Energieverbruik in TJ Gemeente'!$B$4:$B$347,0),MATCH(E$2,'Energieverbruik in TJ Gemeente'!$B$4:$Q$4,0))</f>
        <v>?</v>
      </c>
      <c r="F287">
        <f>INDEX('Energieverbruik in TJ Gemeente'!$B$4:$Q$347,MATCH($C287,'Energieverbruik in TJ Gemeente'!$B$4:$B$347,0),MATCH(F$2,'Energieverbruik in TJ Gemeente'!$B$4:$Q$4,0))</f>
        <v>339</v>
      </c>
      <c r="G287">
        <f>INDEX('Energieverbruik in TJ Gemeente'!$B$4:$Q$347,MATCH($C287,'Energieverbruik in TJ Gemeente'!$B$4:$B$347,0),MATCH(G$2,'Energieverbruik in TJ Gemeente'!$B$4:$Q$4,0))</f>
        <v>304</v>
      </c>
      <c r="H287">
        <f>INDEX('Energieverbruik in TJ Gemeente'!$B$4:$Q$347,MATCH($C287,'Energieverbruik in TJ Gemeente'!$B$4:$B$347,0),MATCH(H$2,'Energieverbruik in TJ Gemeente'!$B$4:$Q$4,0))</f>
        <v>260</v>
      </c>
      <c r="I287">
        <f>INDEX('Energieverbruik in TJ Gemeente'!$B$4:$Q$347,MATCH($C287,'Energieverbruik in TJ Gemeente'!$B$4:$B$347,0),MATCH(I$2,'Energieverbruik in TJ Gemeente'!$B$4:$Q$4,0))</f>
        <v>7</v>
      </c>
      <c r="J287">
        <f>INDEX('Energieverbruik in TJ Gemeente'!$B$4:$Q$347,MATCH($C287,'Energieverbruik in TJ Gemeente'!$B$4:$B$347,0),MATCH(J$2,'Energieverbruik in TJ Gemeente'!$B$4:$Q$4,0))</f>
        <v>6</v>
      </c>
      <c r="K287">
        <f>INDEX('Energieverbruik in TJ Gemeente'!$B$4:$Q$347,MATCH($C287,'Energieverbruik in TJ Gemeente'!$B$4:$B$347,0),MATCH(K$2,'Energieverbruik in TJ Gemeente'!$B$4:$Q$4,0))</f>
        <v>7</v>
      </c>
      <c r="L287">
        <f>INDEX('Energieverbruik in TJ Gemeente'!$B$4:$Q$347,MATCH($C287,'Energieverbruik in TJ Gemeente'!$B$4:$B$347,0),MATCH(L$2,'Energieverbruik in TJ Gemeente'!$B$4:$Q$4,0))</f>
        <v>6</v>
      </c>
      <c r="M287">
        <f>INDEX('Energieverbruik in TJ Gemeente'!$B$4:$Q$347,MATCH($C287,'Energieverbruik in TJ Gemeente'!$B$4:$B$347,0),MATCH(M$2,'Energieverbruik in TJ Gemeente'!$B$4:$Q$4,0))</f>
        <v>5</v>
      </c>
      <c r="N287">
        <f>INDEX('Energieverbruik in TJ Gemeente'!$B$4:$Q$347,MATCH($C287,'Energieverbruik in TJ Gemeente'!$B$4:$B$347,0),MATCH(N$2,'Energieverbruik in TJ Gemeente'!$B$4:$Q$4,0))</f>
        <v>2</v>
      </c>
      <c r="O287">
        <f>INDEX('Energieverbruik in TJ Gemeente'!$B$4:$Q$347,MATCH($C287,'Energieverbruik in TJ Gemeente'!$B$4:$B$347,0),MATCH(O$2,'Energieverbruik in TJ Gemeente'!$B$4:$Q$4,0))</f>
        <v>1</v>
      </c>
      <c r="P287">
        <f>INDEX('Energieverbruik in TJ Gemeente'!$B$4:$Q$347,MATCH($C287,'Energieverbruik in TJ Gemeente'!$B$4:$B$347,0),MATCH(P$2,'Energieverbruik in TJ Gemeente'!$B$4:$Q$4,0))</f>
        <v>1</v>
      </c>
      <c r="Q287">
        <f>INDEX('Energieverbruik in TJ Gemeente'!$B$4:$Q$347,MATCH($C287,'Energieverbruik in TJ Gemeente'!$B$4:$B$347,0),MATCH(Q$2,'Energieverbruik in TJ Gemeente'!$B$4:$Q$4,0))</f>
        <v>1</v>
      </c>
      <c r="R287">
        <f>INDEX('Energieverbruik in TJ Gemeente'!$B$4:$Q$347,MATCH($C287,'Energieverbruik in TJ Gemeente'!$B$4:$B$347,0),MATCH(R$2,'Energieverbruik in TJ Gemeente'!$B$4:$Q$4,0))</f>
        <v>1</v>
      </c>
      <c r="S287" cm="1">
        <f t="array" ref="S287">MAX(_xlfn._xlws.FILTER(D$1:H$1, D287:H287&lt;&gt;"?"))</f>
        <v>2023</v>
      </c>
      <c r="T287" cm="1">
        <f t="array" ref="T287">MAX(_xlfn._xlws.FILTER(I$1:M$1, I287:M287&lt;&gt;"?"))</f>
        <v>2023</v>
      </c>
      <c r="U287" cm="1">
        <f t="array" ref="U287">MAX(_xlfn._xlws.FILTER(F$1:J$1, F287:J287&lt;&gt;"?"))</f>
        <v>2023</v>
      </c>
      <c r="V287">
        <f t="shared" si="20"/>
        <v>260</v>
      </c>
      <c r="W287">
        <f t="shared" si="21"/>
        <v>5</v>
      </c>
      <c r="X287">
        <f t="shared" si="22"/>
        <v>1</v>
      </c>
      <c r="Y287">
        <f t="shared" si="23"/>
        <v>266</v>
      </c>
      <c r="Z287">
        <f t="shared" si="24"/>
        <v>4.420734240747204E-4</v>
      </c>
    </row>
    <row r="288" spans="1:26" ht="32" x14ac:dyDescent="0.2">
      <c r="A288" s="4" t="s">
        <v>868</v>
      </c>
      <c r="B288" s="4" t="s">
        <v>869</v>
      </c>
      <c r="C288" s="4" t="s">
        <v>870</v>
      </c>
      <c r="D288">
        <f>INDEX('Energieverbruik in TJ Gemeente'!$B$4:$Q$347,MATCH($C288,'Energieverbruik in TJ Gemeente'!$B$4:$B$347,0),MATCH(D$2,'Energieverbruik in TJ Gemeente'!$B$4:$Q$4,0))</f>
        <v>643</v>
      </c>
      <c r="E288" t="str">
        <f>INDEX('Energieverbruik in TJ Gemeente'!$B$4:$Q$347,MATCH($C288,'Energieverbruik in TJ Gemeente'!$B$4:$B$347,0),MATCH(E$2,'Energieverbruik in TJ Gemeente'!$B$4:$Q$4,0))</f>
        <v>?</v>
      </c>
      <c r="F288">
        <f>INDEX('Energieverbruik in TJ Gemeente'!$B$4:$Q$347,MATCH($C288,'Energieverbruik in TJ Gemeente'!$B$4:$B$347,0),MATCH(F$2,'Energieverbruik in TJ Gemeente'!$B$4:$Q$4,0))</f>
        <v>604</v>
      </c>
      <c r="G288">
        <f>INDEX('Energieverbruik in TJ Gemeente'!$B$4:$Q$347,MATCH($C288,'Energieverbruik in TJ Gemeente'!$B$4:$B$347,0),MATCH(G$2,'Energieverbruik in TJ Gemeente'!$B$4:$Q$4,0))</f>
        <v>549</v>
      </c>
      <c r="H288">
        <f>INDEX('Energieverbruik in TJ Gemeente'!$B$4:$Q$347,MATCH($C288,'Energieverbruik in TJ Gemeente'!$B$4:$B$347,0),MATCH(H$2,'Energieverbruik in TJ Gemeente'!$B$4:$Q$4,0))</f>
        <v>459</v>
      </c>
      <c r="I288">
        <f>INDEX('Energieverbruik in TJ Gemeente'!$B$4:$Q$347,MATCH($C288,'Energieverbruik in TJ Gemeente'!$B$4:$B$347,0),MATCH(I$2,'Energieverbruik in TJ Gemeente'!$B$4:$Q$4,0))</f>
        <v>7</v>
      </c>
      <c r="J288">
        <f>INDEX('Energieverbruik in TJ Gemeente'!$B$4:$Q$347,MATCH($C288,'Energieverbruik in TJ Gemeente'!$B$4:$B$347,0),MATCH(J$2,'Energieverbruik in TJ Gemeente'!$B$4:$Q$4,0))</f>
        <v>7</v>
      </c>
      <c r="K288">
        <f>INDEX('Energieverbruik in TJ Gemeente'!$B$4:$Q$347,MATCH($C288,'Energieverbruik in TJ Gemeente'!$B$4:$B$347,0),MATCH(K$2,'Energieverbruik in TJ Gemeente'!$B$4:$Q$4,0))</f>
        <v>7</v>
      </c>
      <c r="L288">
        <f>INDEX('Energieverbruik in TJ Gemeente'!$B$4:$Q$347,MATCH($C288,'Energieverbruik in TJ Gemeente'!$B$4:$B$347,0),MATCH(L$2,'Energieverbruik in TJ Gemeente'!$B$4:$Q$4,0))</f>
        <v>6</v>
      </c>
      <c r="M288">
        <f>INDEX('Energieverbruik in TJ Gemeente'!$B$4:$Q$347,MATCH($C288,'Energieverbruik in TJ Gemeente'!$B$4:$B$347,0),MATCH(M$2,'Energieverbruik in TJ Gemeente'!$B$4:$Q$4,0))</f>
        <v>4</v>
      </c>
      <c r="N288">
        <f>INDEX('Energieverbruik in TJ Gemeente'!$B$4:$Q$347,MATCH($C288,'Energieverbruik in TJ Gemeente'!$B$4:$B$347,0),MATCH(N$2,'Energieverbruik in TJ Gemeente'!$B$4:$Q$4,0))</f>
        <v>7</v>
      </c>
      <c r="O288">
        <f>INDEX('Energieverbruik in TJ Gemeente'!$B$4:$Q$347,MATCH($C288,'Energieverbruik in TJ Gemeente'!$B$4:$B$347,0),MATCH(O$2,'Energieverbruik in TJ Gemeente'!$B$4:$Q$4,0))</f>
        <v>5</v>
      </c>
      <c r="P288">
        <f>INDEX('Energieverbruik in TJ Gemeente'!$B$4:$Q$347,MATCH($C288,'Energieverbruik in TJ Gemeente'!$B$4:$B$347,0),MATCH(P$2,'Energieverbruik in TJ Gemeente'!$B$4:$Q$4,0))</f>
        <v>8</v>
      </c>
      <c r="Q288">
        <f>INDEX('Energieverbruik in TJ Gemeente'!$B$4:$Q$347,MATCH($C288,'Energieverbruik in TJ Gemeente'!$B$4:$B$347,0),MATCH(Q$2,'Energieverbruik in TJ Gemeente'!$B$4:$Q$4,0))</f>
        <v>6</v>
      </c>
      <c r="R288">
        <f>INDEX('Energieverbruik in TJ Gemeente'!$B$4:$Q$347,MATCH($C288,'Energieverbruik in TJ Gemeente'!$B$4:$B$347,0),MATCH(R$2,'Energieverbruik in TJ Gemeente'!$B$4:$Q$4,0))</f>
        <v>4</v>
      </c>
      <c r="S288" cm="1">
        <f t="array" ref="S288">MAX(_xlfn._xlws.FILTER(D$1:H$1, D288:H288&lt;&gt;"?"))</f>
        <v>2023</v>
      </c>
      <c r="T288" cm="1">
        <f t="array" ref="T288">MAX(_xlfn._xlws.FILTER(I$1:M$1, I288:M288&lt;&gt;"?"))</f>
        <v>2023</v>
      </c>
      <c r="U288" cm="1">
        <f t="array" ref="U288">MAX(_xlfn._xlws.FILTER(F$1:J$1, F288:J288&lt;&gt;"?"))</f>
        <v>2023</v>
      </c>
      <c r="V288">
        <f t="shared" si="20"/>
        <v>459</v>
      </c>
      <c r="W288">
        <f t="shared" si="21"/>
        <v>4</v>
      </c>
      <c r="X288">
        <f t="shared" si="22"/>
        <v>4</v>
      </c>
      <c r="Y288">
        <f t="shared" si="23"/>
        <v>467</v>
      </c>
      <c r="Z288">
        <f t="shared" si="24"/>
        <v>7.7612138737930231E-4</v>
      </c>
    </row>
    <row r="289" spans="1:26" ht="32" x14ac:dyDescent="0.2">
      <c r="A289" s="4" t="s">
        <v>871</v>
      </c>
      <c r="B289" s="4" t="s">
        <v>872</v>
      </c>
      <c r="C289" s="4" t="s">
        <v>873</v>
      </c>
      <c r="D289">
        <f>INDEX('Energieverbruik in TJ Gemeente'!$B$4:$Q$347,MATCH($C289,'Energieverbruik in TJ Gemeente'!$B$4:$B$347,0),MATCH(D$2,'Energieverbruik in TJ Gemeente'!$B$4:$Q$4,0))</f>
        <v>823</v>
      </c>
      <c r="E289">
        <f>INDEX('Energieverbruik in TJ Gemeente'!$B$4:$Q$347,MATCH($C289,'Energieverbruik in TJ Gemeente'!$B$4:$B$347,0),MATCH(E$2,'Energieverbruik in TJ Gemeente'!$B$4:$Q$4,0))</f>
        <v>797</v>
      </c>
      <c r="F289">
        <f>INDEX('Energieverbruik in TJ Gemeente'!$B$4:$Q$347,MATCH($C289,'Energieverbruik in TJ Gemeente'!$B$4:$B$347,0),MATCH(F$2,'Energieverbruik in TJ Gemeente'!$B$4:$Q$4,0))</f>
        <v>803</v>
      </c>
      <c r="G289">
        <f>INDEX('Energieverbruik in TJ Gemeente'!$B$4:$Q$347,MATCH($C289,'Energieverbruik in TJ Gemeente'!$B$4:$B$347,0),MATCH(G$2,'Energieverbruik in TJ Gemeente'!$B$4:$Q$4,0))</f>
        <v>704</v>
      </c>
      <c r="H289">
        <f>INDEX('Energieverbruik in TJ Gemeente'!$B$4:$Q$347,MATCH($C289,'Energieverbruik in TJ Gemeente'!$B$4:$B$347,0),MATCH(H$2,'Energieverbruik in TJ Gemeente'!$B$4:$Q$4,0))</f>
        <v>576</v>
      </c>
      <c r="I289">
        <f>INDEX('Energieverbruik in TJ Gemeente'!$B$4:$Q$347,MATCH($C289,'Energieverbruik in TJ Gemeente'!$B$4:$B$347,0),MATCH(I$2,'Energieverbruik in TJ Gemeente'!$B$4:$Q$4,0))</f>
        <v>134</v>
      </c>
      <c r="J289">
        <f>INDEX('Energieverbruik in TJ Gemeente'!$B$4:$Q$347,MATCH($C289,'Energieverbruik in TJ Gemeente'!$B$4:$B$347,0),MATCH(J$2,'Energieverbruik in TJ Gemeente'!$B$4:$Q$4,0))</f>
        <v>136</v>
      </c>
      <c r="K289">
        <f>INDEX('Energieverbruik in TJ Gemeente'!$B$4:$Q$347,MATCH($C289,'Energieverbruik in TJ Gemeente'!$B$4:$B$347,0),MATCH(K$2,'Energieverbruik in TJ Gemeente'!$B$4:$Q$4,0))</f>
        <v>149</v>
      </c>
      <c r="L289">
        <f>INDEX('Energieverbruik in TJ Gemeente'!$B$4:$Q$347,MATCH($C289,'Energieverbruik in TJ Gemeente'!$B$4:$B$347,0),MATCH(L$2,'Energieverbruik in TJ Gemeente'!$B$4:$Q$4,0))</f>
        <v>139</v>
      </c>
      <c r="M289">
        <f>INDEX('Energieverbruik in TJ Gemeente'!$B$4:$Q$347,MATCH($C289,'Energieverbruik in TJ Gemeente'!$B$4:$B$347,0),MATCH(M$2,'Energieverbruik in TJ Gemeente'!$B$4:$Q$4,0))</f>
        <v>130</v>
      </c>
      <c r="N289">
        <f>INDEX('Energieverbruik in TJ Gemeente'!$B$4:$Q$347,MATCH($C289,'Energieverbruik in TJ Gemeente'!$B$4:$B$347,0),MATCH(N$2,'Energieverbruik in TJ Gemeente'!$B$4:$Q$4,0))</f>
        <v>6</v>
      </c>
      <c r="O289">
        <f>INDEX('Energieverbruik in TJ Gemeente'!$B$4:$Q$347,MATCH($C289,'Energieverbruik in TJ Gemeente'!$B$4:$B$347,0),MATCH(O$2,'Energieverbruik in TJ Gemeente'!$B$4:$Q$4,0))</f>
        <v>4</v>
      </c>
      <c r="P289">
        <f>INDEX('Energieverbruik in TJ Gemeente'!$B$4:$Q$347,MATCH($C289,'Energieverbruik in TJ Gemeente'!$B$4:$B$347,0),MATCH(P$2,'Energieverbruik in TJ Gemeente'!$B$4:$Q$4,0))</f>
        <v>4</v>
      </c>
      <c r="Q289">
        <f>INDEX('Energieverbruik in TJ Gemeente'!$B$4:$Q$347,MATCH($C289,'Energieverbruik in TJ Gemeente'!$B$4:$B$347,0),MATCH(Q$2,'Energieverbruik in TJ Gemeente'!$B$4:$Q$4,0))</f>
        <v>3</v>
      </c>
      <c r="R289">
        <f>INDEX('Energieverbruik in TJ Gemeente'!$B$4:$Q$347,MATCH($C289,'Energieverbruik in TJ Gemeente'!$B$4:$B$347,0),MATCH(R$2,'Energieverbruik in TJ Gemeente'!$B$4:$Q$4,0))</f>
        <v>2</v>
      </c>
      <c r="S289" cm="1">
        <f t="array" ref="S289">MAX(_xlfn._xlws.FILTER(D$1:H$1, D289:H289&lt;&gt;"?"))</f>
        <v>2023</v>
      </c>
      <c r="T289" cm="1">
        <f t="array" ref="T289">MAX(_xlfn._xlws.FILTER(I$1:M$1, I289:M289&lt;&gt;"?"))</f>
        <v>2023</v>
      </c>
      <c r="U289" cm="1">
        <f t="array" ref="U289">MAX(_xlfn._xlws.FILTER(F$1:J$1, F289:J289&lt;&gt;"?"))</f>
        <v>2023</v>
      </c>
      <c r="V289">
        <f t="shared" si="20"/>
        <v>576</v>
      </c>
      <c r="W289">
        <f t="shared" si="21"/>
        <v>130</v>
      </c>
      <c r="X289">
        <f t="shared" si="22"/>
        <v>2</v>
      </c>
      <c r="Y289">
        <f t="shared" si="23"/>
        <v>708</v>
      </c>
      <c r="Z289">
        <f t="shared" si="24"/>
        <v>1.1766465573116618E-3</v>
      </c>
    </row>
    <row r="290" spans="1:26" ht="16" x14ac:dyDescent="0.2">
      <c r="A290" s="4" t="s">
        <v>874</v>
      </c>
      <c r="B290" s="4" t="s">
        <v>875</v>
      </c>
      <c r="C290" s="4" t="s">
        <v>876</v>
      </c>
      <c r="D290">
        <f>INDEX('Energieverbruik in TJ Gemeente'!$B$4:$Q$347,MATCH($C290,'Energieverbruik in TJ Gemeente'!$B$4:$B$347,0),MATCH(D$2,'Energieverbruik in TJ Gemeente'!$B$4:$Q$4,0))</f>
        <v>846</v>
      </c>
      <c r="E290">
        <f>INDEX('Energieverbruik in TJ Gemeente'!$B$4:$Q$347,MATCH($C290,'Energieverbruik in TJ Gemeente'!$B$4:$B$347,0),MATCH(E$2,'Energieverbruik in TJ Gemeente'!$B$4:$Q$4,0))</f>
        <v>818</v>
      </c>
      <c r="F290" t="str">
        <f>INDEX('Energieverbruik in TJ Gemeente'!$B$4:$Q$347,MATCH($C290,'Energieverbruik in TJ Gemeente'!$B$4:$B$347,0),MATCH(F$2,'Energieverbruik in TJ Gemeente'!$B$4:$Q$4,0))</f>
        <v>?</v>
      </c>
      <c r="G290">
        <f>INDEX('Energieverbruik in TJ Gemeente'!$B$4:$Q$347,MATCH($C290,'Energieverbruik in TJ Gemeente'!$B$4:$B$347,0),MATCH(G$2,'Energieverbruik in TJ Gemeente'!$B$4:$Q$4,0))</f>
        <v>721</v>
      </c>
      <c r="H290">
        <f>INDEX('Energieverbruik in TJ Gemeente'!$B$4:$Q$347,MATCH($C290,'Energieverbruik in TJ Gemeente'!$B$4:$B$347,0),MATCH(H$2,'Energieverbruik in TJ Gemeente'!$B$4:$Q$4,0))</f>
        <v>600</v>
      </c>
      <c r="I290" t="str">
        <f>INDEX('Energieverbruik in TJ Gemeente'!$B$4:$Q$347,MATCH($C290,'Energieverbruik in TJ Gemeente'!$B$4:$B$347,0),MATCH(I$2,'Energieverbruik in TJ Gemeente'!$B$4:$Q$4,0))</f>
        <v>?</v>
      </c>
      <c r="J290" t="str">
        <f>INDEX('Energieverbruik in TJ Gemeente'!$B$4:$Q$347,MATCH($C290,'Energieverbruik in TJ Gemeente'!$B$4:$B$347,0),MATCH(J$2,'Energieverbruik in TJ Gemeente'!$B$4:$Q$4,0))</f>
        <v>?</v>
      </c>
      <c r="K290" t="str">
        <f>INDEX('Energieverbruik in TJ Gemeente'!$B$4:$Q$347,MATCH($C290,'Energieverbruik in TJ Gemeente'!$B$4:$B$347,0),MATCH(K$2,'Energieverbruik in TJ Gemeente'!$B$4:$Q$4,0))</f>
        <v>?</v>
      </c>
      <c r="L290" t="str">
        <f>INDEX('Energieverbruik in TJ Gemeente'!$B$4:$Q$347,MATCH($C290,'Energieverbruik in TJ Gemeente'!$B$4:$B$347,0),MATCH(L$2,'Energieverbruik in TJ Gemeente'!$B$4:$Q$4,0))</f>
        <v>?</v>
      </c>
      <c r="M290" t="str">
        <f>INDEX('Energieverbruik in TJ Gemeente'!$B$4:$Q$347,MATCH($C290,'Energieverbruik in TJ Gemeente'!$B$4:$B$347,0),MATCH(M$2,'Energieverbruik in TJ Gemeente'!$B$4:$Q$4,0))</f>
        <v>?</v>
      </c>
      <c r="N290">
        <f>INDEX('Energieverbruik in TJ Gemeente'!$B$4:$Q$347,MATCH($C290,'Energieverbruik in TJ Gemeente'!$B$4:$B$347,0),MATCH(N$2,'Energieverbruik in TJ Gemeente'!$B$4:$Q$4,0))</f>
        <v>14</v>
      </c>
      <c r="O290">
        <f>INDEX('Energieverbruik in TJ Gemeente'!$B$4:$Q$347,MATCH($C290,'Energieverbruik in TJ Gemeente'!$B$4:$B$347,0),MATCH(O$2,'Energieverbruik in TJ Gemeente'!$B$4:$Q$4,0))</f>
        <v>12</v>
      </c>
      <c r="P290">
        <f>INDEX('Energieverbruik in TJ Gemeente'!$B$4:$Q$347,MATCH($C290,'Energieverbruik in TJ Gemeente'!$B$4:$B$347,0),MATCH(P$2,'Energieverbruik in TJ Gemeente'!$B$4:$Q$4,0))</f>
        <v>12</v>
      </c>
      <c r="Q290">
        <f>INDEX('Energieverbruik in TJ Gemeente'!$B$4:$Q$347,MATCH($C290,'Energieverbruik in TJ Gemeente'!$B$4:$B$347,0),MATCH(Q$2,'Energieverbruik in TJ Gemeente'!$B$4:$Q$4,0))</f>
        <v>9</v>
      </c>
      <c r="R290">
        <f>INDEX('Energieverbruik in TJ Gemeente'!$B$4:$Q$347,MATCH($C290,'Energieverbruik in TJ Gemeente'!$B$4:$B$347,0),MATCH(R$2,'Energieverbruik in TJ Gemeente'!$B$4:$Q$4,0))</f>
        <v>8</v>
      </c>
      <c r="S290" cm="1">
        <f t="array" ref="S290">MAX(_xlfn._xlws.FILTER(D$1:H$1, D290:H290&lt;&gt;"?"))</f>
        <v>2023</v>
      </c>
      <c r="T290" t="e" cm="1" vm="1">
        <f t="array" ref="T290">MAX(_xlfn._xlws.FILTER(I$1:M$1, I290:M290&lt;&gt;"?"))</f>
        <v>#VALUE!</v>
      </c>
      <c r="U290" cm="1">
        <f t="array" ref="U290">MAX(_xlfn._xlws.FILTER(F$1:J$1, F290:J290&lt;&gt;"?"))</f>
        <v>2023</v>
      </c>
      <c r="V290">
        <f t="shared" si="20"/>
        <v>600</v>
      </c>
      <c r="W290">
        <f t="shared" si="21"/>
        <v>0</v>
      </c>
      <c r="X290">
        <f t="shared" si="22"/>
        <v>8</v>
      </c>
      <c r="Y290">
        <f t="shared" si="23"/>
        <v>608</v>
      </c>
      <c r="Z290">
        <f t="shared" si="24"/>
        <v>1.0104535407422181E-3</v>
      </c>
    </row>
    <row r="291" spans="1:26" ht="16" x14ac:dyDescent="0.2">
      <c r="A291" s="4" t="s">
        <v>877</v>
      </c>
      <c r="B291" s="4" t="s">
        <v>878</v>
      </c>
      <c r="C291" s="4" t="s">
        <v>879</v>
      </c>
      <c r="D291">
        <f>INDEX('Energieverbruik in TJ Gemeente'!$B$4:$Q$347,MATCH($C291,'Energieverbruik in TJ Gemeente'!$B$4:$B$347,0),MATCH(D$2,'Energieverbruik in TJ Gemeente'!$B$4:$Q$4,0))</f>
        <v>1400</v>
      </c>
      <c r="E291">
        <f>INDEX('Energieverbruik in TJ Gemeente'!$B$4:$Q$347,MATCH($C291,'Energieverbruik in TJ Gemeente'!$B$4:$B$347,0),MATCH(E$2,'Energieverbruik in TJ Gemeente'!$B$4:$Q$4,0))</f>
        <v>1347</v>
      </c>
      <c r="F291">
        <f>INDEX('Energieverbruik in TJ Gemeente'!$B$4:$Q$347,MATCH($C291,'Energieverbruik in TJ Gemeente'!$B$4:$B$347,0),MATCH(F$2,'Energieverbruik in TJ Gemeente'!$B$4:$Q$4,0))</f>
        <v>1382</v>
      </c>
      <c r="G291">
        <f>INDEX('Energieverbruik in TJ Gemeente'!$B$4:$Q$347,MATCH($C291,'Energieverbruik in TJ Gemeente'!$B$4:$B$347,0),MATCH(G$2,'Energieverbruik in TJ Gemeente'!$B$4:$Q$4,0))</f>
        <v>1208</v>
      </c>
      <c r="H291">
        <f>INDEX('Energieverbruik in TJ Gemeente'!$B$4:$Q$347,MATCH($C291,'Energieverbruik in TJ Gemeente'!$B$4:$B$347,0),MATCH(H$2,'Energieverbruik in TJ Gemeente'!$B$4:$Q$4,0))</f>
        <v>1029</v>
      </c>
      <c r="I291">
        <f>INDEX('Energieverbruik in TJ Gemeente'!$B$4:$Q$347,MATCH($C291,'Energieverbruik in TJ Gemeente'!$B$4:$B$347,0),MATCH(I$2,'Energieverbruik in TJ Gemeente'!$B$4:$Q$4,0))</f>
        <v>277</v>
      </c>
      <c r="J291">
        <f>INDEX('Energieverbruik in TJ Gemeente'!$B$4:$Q$347,MATCH($C291,'Energieverbruik in TJ Gemeente'!$B$4:$B$347,0),MATCH(J$2,'Energieverbruik in TJ Gemeente'!$B$4:$Q$4,0))</f>
        <v>243</v>
      </c>
      <c r="K291" t="str">
        <f>INDEX('Energieverbruik in TJ Gemeente'!$B$4:$Q$347,MATCH($C291,'Energieverbruik in TJ Gemeente'!$B$4:$B$347,0),MATCH(K$2,'Energieverbruik in TJ Gemeente'!$B$4:$Q$4,0))</f>
        <v>?</v>
      </c>
      <c r="L291" t="str">
        <f>INDEX('Energieverbruik in TJ Gemeente'!$B$4:$Q$347,MATCH($C291,'Energieverbruik in TJ Gemeente'!$B$4:$B$347,0),MATCH(L$2,'Energieverbruik in TJ Gemeente'!$B$4:$Q$4,0))</f>
        <v>?</v>
      </c>
      <c r="M291">
        <f>INDEX('Energieverbruik in TJ Gemeente'!$B$4:$Q$347,MATCH($C291,'Energieverbruik in TJ Gemeente'!$B$4:$B$347,0),MATCH(M$2,'Energieverbruik in TJ Gemeente'!$B$4:$Q$4,0))</f>
        <v>140</v>
      </c>
      <c r="N291">
        <f>INDEX('Energieverbruik in TJ Gemeente'!$B$4:$Q$347,MATCH($C291,'Energieverbruik in TJ Gemeente'!$B$4:$B$347,0),MATCH(N$2,'Energieverbruik in TJ Gemeente'!$B$4:$Q$4,0))</f>
        <v>4</v>
      </c>
      <c r="O291">
        <f>INDEX('Energieverbruik in TJ Gemeente'!$B$4:$Q$347,MATCH($C291,'Energieverbruik in TJ Gemeente'!$B$4:$B$347,0),MATCH(O$2,'Energieverbruik in TJ Gemeente'!$B$4:$Q$4,0))</f>
        <v>3</v>
      </c>
      <c r="P291">
        <f>INDEX('Energieverbruik in TJ Gemeente'!$B$4:$Q$347,MATCH($C291,'Energieverbruik in TJ Gemeente'!$B$4:$B$347,0),MATCH(P$2,'Energieverbruik in TJ Gemeente'!$B$4:$Q$4,0))</f>
        <v>3</v>
      </c>
      <c r="Q291">
        <f>INDEX('Energieverbruik in TJ Gemeente'!$B$4:$Q$347,MATCH($C291,'Energieverbruik in TJ Gemeente'!$B$4:$B$347,0),MATCH(Q$2,'Energieverbruik in TJ Gemeente'!$B$4:$Q$4,0))</f>
        <v>3</v>
      </c>
      <c r="R291">
        <f>INDEX('Energieverbruik in TJ Gemeente'!$B$4:$Q$347,MATCH($C291,'Energieverbruik in TJ Gemeente'!$B$4:$B$347,0),MATCH(R$2,'Energieverbruik in TJ Gemeente'!$B$4:$Q$4,0))</f>
        <v>3</v>
      </c>
      <c r="S291" cm="1">
        <f t="array" ref="S291">MAX(_xlfn._xlws.FILTER(D$1:H$1, D291:H291&lt;&gt;"?"))</f>
        <v>2023</v>
      </c>
      <c r="T291" cm="1">
        <f t="array" ref="T291">MAX(_xlfn._xlws.FILTER(I$1:M$1, I291:M291&lt;&gt;"?"))</f>
        <v>2023</v>
      </c>
      <c r="U291" cm="1">
        <f t="array" ref="U291">MAX(_xlfn._xlws.FILTER(F$1:J$1, F291:J291&lt;&gt;"?"))</f>
        <v>2023</v>
      </c>
      <c r="V291">
        <f t="shared" si="20"/>
        <v>1029</v>
      </c>
      <c r="W291">
        <f t="shared" si="21"/>
        <v>140</v>
      </c>
      <c r="X291">
        <f t="shared" si="22"/>
        <v>3</v>
      </c>
      <c r="Y291">
        <f t="shared" si="23"/>
        <v>1172</v>
      </c>
      <c r="Z291">
        <f t="shared" si="24"/>
        <v>1.9477821541938809E-3</v>
      </c>
    </row>
    <row r="292" spans="1:26" ht="16" x14ac:dyDescent="0.2">
      <c r="A292" s="4" t="s">
        <v>880</v>
      </c>
      <c r="B292" s="4" t="s">
        <v>881</v>
      </c>
      <c r="C292" s="4" t="s">
        <v>882</v>
      </c>
      <c r="D292">
        <f>INDEX('Energieverbruik in TJ Gemeente'!$B$4:$Q$347,MATCH($C292,'Energieverbruik in TJ Gemeente'!$B$4:$B$347,0),MATCH(D$2,'Energieverbruik in TJ Gemeente'!$B$4:$Q$4,0))</f>
        <v>754</v>
      </c>
      <c r="E292">
        <f>INDEX('Energieverbruik in TJ Gemeente'!$B$4:$Q$347,MATCH($C292,'Energieverbruik in TJ Gemeente'!$B$4:$B$347,0),MATCH(E$2,'Energieverbruik in TJ Gemeente'!$B$4:$Q$4,0))</f>
        <v>697</v>
      </c>
      <c r="F292">
        <f>INDEX('Energieverbruik in TJ Gemeente'!$B$4:$Q$347,MATCH($C292,'Energieverbruik in TJ Gemeente'!$B$4:$B$347,0),MATCH(F$2,'Energieverbruik in TJ Gemeente'!$B$4:$Q$4,0))</f>
        <v>737</v>
      </c>
      <c r="G292">
        <f>INDEX('Energieverbruik in TJ Gemeente'!$B$4:$Q$347,MATCH($C292,'Energieverbruik in TJ Gemeente'!$B$4:$B$347,0),MATCH(G$2,'Energieverbruik in TJ Gemeente'!$B$4:$Q$4,0))</f>
        <v>660</v>
      </c>
      <c r="H292">
        <f>INDEX('Energieverbruik in TJ Gemeente'!$B$4:$Q$347,MATCH($C292,'Energieverbruik in TJ Gemeente'!$B$4:$B$347,0),MATCH(H$2,'Energieverbruik in TJ Gemeente'!$B$4:$Q$4,0))</f>
        <v>566</v>
      </c>
      <c r="I292">
        <f>INDEX('Energieverbruik in TJ Gemeente'!$B$4:$Q$347,MATCH($C292,'Energieverbruik in TJ Gemeente'!$B$4:$B$347,0),MATCH(I$2,'Energieverbruik in TJ Gemeente'!$B$4:$Q$4,0))</f>
        <v>8</v>
      </c>
      <c r="J292">
        <f>INDEX('Energieverbruik in TJ Gemeente'!$B$4:$Q$347,MATCH($C292,'Energieverbruik in TJ Gemeente'!$B$4:$B$347,0),MATCH(J$2,'Energieverbruik in TJ Gemeente'!$B$4:$Q$4,0))</f>
        <v>7</v>
      </c>
      <c r="K292">
        <f>INDEX('Energieverbruik in TJ Gemeente'!$B$4:$Q$347,MATCH($C292,'Energieverbruik in TJ Gemeente'!$B$4:$B$347,0),MATCH(K$2,'Energieverbruik in TJ Gemeente'!$B$4:$Q$4,0))</f>
        <v>8</v>
      </c>
      <c r="L292">
        <f>INDEX('Energieverbruik in TJ Gemeente'!$B$4:$Q$347,MATCH($C292,'Energieverbruik in TJ Gemeente'!$B$4:$B$347,0),MATCH(L$2,'Energieverbruik in TJ Gemeente'!$B$4:$Q$4,0))</f>
        <v>7</v>
      </c>
      <c r="M292">
        <f>INDEX('Energieverbruik in TJ Gemeente'!$B$4:$Q$347,MATCH($C292,'Energieverbruik in TJ Gemeente'!$B$4:$B$347,0),MATCH(M$2,'Energieverbruik in TJ Gemeente'!$B$4:$Q$4,0))</f>
        <v>4</v>
      </c>
      <c r="N292">
        <f>INDEX('Energieverbruik in TJ Gemeente'!$B$4:$Q$347,MATCH($C292,'Energieverbruik in TJ Gemeente'!$B$4:$B$347,0),MATCH(N$2,'Energieverbruik in TJ Gemeente'!$B$4:$Q$4,0))</f>
        <v>57</v>
      </c>
      <c r="O292">
        <f>INDEX('Energieverbruik in TJ Gemeente'!$B$4:$Q$347,MATCH($C292,'Energieverbruik in TJ Gemeente'!$B$4:$B$347,0),MATCH(O$2,'Energieverbruik in TJ Gemeente'!$B$4:$Q$4,0))</f>
        <v>24</v>
      </c>
      <c r="P292">
        <f>INDEX('Energieverbruik in TJ Gemeente'!$B$4:$Q$347,MATCH($C292,'Energieverbruik in TJ Gemeente'!$B$4:$B$347,0),MATCH(P$2,'Energieverbruik in TJ Gemeente'!$B$4:$Q$4,0))</f>
        <v>47</v>
      </c>
      <c r="Q292">
        <f>INDEX('Energieverbruik in TJ Gemeente'!$B$4:$Q$347,MATCH($C292,'Energieverbruik in TJ Gemeente'!$B$4:$B$347,0),MATCH(Q$2,'Energieverbruik in TJ Gemeente'!$B$4:$Q$4,0))</f>
        <v>15</v>
      </c>
      <c r="R292">
        <f>INDEX('Energieverbruik in TJ Gemeente'!$B$4:$Q$347,MATCH($C292,'Energieverbruik in TJ Gemeente'!$B$4:$B$347,0),MATCH(R$2,'Energieverbruik in TJ Gemeente'!$B$4:$Q$4,0))</f>
        <v>11</v>
      </c>
      <c r="S292" cm="1">
        <f t="array" ref="S292">MAX(_xlfn._xlws.FILTER(D$1:H$1, D292:H292&lt;&gt;"?"))</f>
        <v>2023</v>
      </c>
      <c r="T292" cm="1">
        <f t="array" ref="T292">MAX(_xlfn._xlws.FILTER(I$1:M$1, I292:M292&lt;&gt;"?"))</f>
        <v>2023</v>
      </c>
      <c r="U292" cm="1">
        <f t="array" ref="U292">MAX(_xlfn._xlws.FILTER(F$1:J$1, F292:J292&lt;&gt;"?"))</f>
        <v>2023</v>
      </c>
      <c r="V292">
        <f t="shared" si="20"/>
        <v>566</v>
      </c>
      <c r="W292">
        <f t="shared" si="21"/>
        <v>4</v>
      </c>
      <c r="X292">
        <f t="shared" si="22"/>
        <v>11</v>
      </c>
      <c r="Y292">
        <f t="shared" si="23"/>
        <v>581</v>
      </c>
      <c r="Z292">
        <f t="shared" si="24"/>
        <v>9.6558142626846819E-4</v>
      </c>
    </row>
    <row r="293" spans="1:26" ht="16" x14ac:dyDescent="0.2">
      <c r="A293" s="4" t="s">
        <v>883</v>
      </c>
      <c r="B293" s="4" t="s">
        <v>884</v>
      </c>
      <c r="C293" s="4" t="s">
        <v>885</v>
      </c>
      <c r="D293">
        <f>INDEX('Energieverbruik in TJ Gemeente'!$B$4:$Q$347,MATCH($C293,'Energieverbruik in TJ Gemeente'!$B$4:$B$347,0),MATCH(D$2,'Energieverbruik in TJ Gemeente'!$B$4:$Q$4,0))</f>
        <v>1147</v>
      </c>
      <c r="E293" t="str">
        <f>INDEX('Energieverbruik in TJ Gemeente'!$B$4:$Q$347,MATCH($C293,'Energieverbruik in TJ Gemeente'!$B$4:$B$347,0),MATCH(E$2,'Energieverbruik in TJ Gemeente'!$B$4:$Q$4,0))</f>
        <v>?</v>
      </c>
      <c r="F293">
        <f>INDEX('Energieverbruik in TJ Gemeente'!$B$4:$Q$347,MATCH($C293,'Energieverbruik in TJ Gemeente'!$B$4:$B$347,0),MATCH(F$2,'Energieverbruik in TJ Gemeente'!$B$4:$Q$4,0))</f>
        <v>1103</v>
      </c>
      <c r="G293">
        <f>INDEX('Energieverbruik in TJ Gemeente'!$B$4:$Q$347,MATCH($C293,'Energieverbruik in TJ Gemeente'!$B$4:$B$347,0),MATCH(G$2,'Energieverbruik in TJ Gemeente'!$B$4:$Q$4,0))</f>
        <v>973</v>
      </c>
      <c r="H293">
        <f>INDEX('Energieverbruik in TJ Gemeente'!$B$4:$Q$347,MATCH($C293,'Energieverbruik in TJ Gemeente'!$B$4:$B$347,0),MATCH(H$2,'Energieverbruik in TJ Gemeente'!$B$4:$Q$4,0))</f>
        <v>816</v>
      </c>
      <c r="I293">
        <f>INDEX('Energieverbruik in TJ Gemeente'!$B$4:$Q$347,MATCH($C293,'Energieverbruik in TJ Gemeente'!$B$4:$B$347,0),MATCH(I$2,'Energieverbruik in TJ Gemeente'!$B$4:$Q$4,0))</f>
        <v>229</v>
      </c>
      <c r="J293">
        <f>INDEX('Energieverbruik in TJ Gemeente'!$B$4:$Q$347,MATCH($C293,'Energieverbruik in TJ Gemeente'!$B$4:$B$347,0),MATCH(J$2,'Energieverbruik in TJ Gemeente'!$B$4:$Q$4,0))</f>
        <v>235</v>
      </c>
      <c r="K293">
        <f>INDEX('Energieverbruik in TJ Gemeente'!$B$4:$Q$347,MATCH($C293,'Energieverbruik in TJ Gemeente'!$B$4:$B$347,0),MATCH(K$2,'Energieverbruik in TJ Gemeente'!$B$4:$Q$4,0))</f>
        <v>255</v>
      </c>
      <c r="L293">
        <f>INDEX('Energieverbruik in TJ Gemeente'!$B$4:$Q$347,MATCH($C293,'Energieverbruik in TJ Gemeente'!$B$4:$B$347,0),MATCH(L$2,'Energieverbruik in TJ Gemeente'!$B$4:$Q$4,0))</f>
        <v>211</v>
      </c>
      <c r="M293">
        <f>INDEX('Energieverbruik in TJ Gemeente'!$B$4:$Q$347,MATCH($C293,'Energieverbruik in TJ Gemeente'!$B$4:$B$347,0),MATCH(M$2,'Energieverbruik in TJ Gemeente'!$B$4:$Q$4,0))</f>
        <v>209</v>
      </c>
      <c r="N293">
        <f>INDEX('Energieverbruik in TJ Gemeente'!$B$4:$Q$347,MATCH($C293,'Energieverbruik in TJ Gemeente'!$B$4:$B$347,0),MATCH(N$2,'Energieverbruik in TJ Gemeente'!$B$4:$Q$4,0))</f>
        <v>31</v>
      </c>
      <c r="O293">
        <f>INDEX('Energieverbruik in TJ Gemeente'!$B$4:$Q$347,MATCH($C293,'Energieverbruik in TJ Gemeente'!$B$4:$B$347,0),MATCH(O$2,'Energieverbruik in TJ Gemeente'!$B$4:$Q$4,0))</f>
        <v>29</v>
      </c>
      <c r="P293">
        <f>INDEX('Energieverbruik in TJ Gemeente'!$B$4:$Q$347,MATCH($C293,'Energieverbruik in TJ Gemeente'!$B$4:$B$347,0),MATCH(P$2,'Energieverbruik in TJ Gemeente'!$B$4:$Q$4,0))</f>
        <v>30</v>
      </c>
      <c r="Q293" t="str">
        <f>INDEX('Energieverbruik in TJ Gemeente'!$B$4:$Q$347,MATCH($C293,'Energieverbruik in TJ Gemeente'!$B$4:$B$347,0),MATCH(Q$2,'Energieverbruik in TJ Gemeente'!$B$4:$Q$4,0))</f>
        <v>?</v>
      </c>
      <c r="R293">
        <f>INDEX('Energieverbruik in TJ Gemeente'!$B$4:$Q$347,MATCH($C293,'Energieverbruik in TJ Gemeente'!$B$4:$B$347,0),MATCH(R$2,'Energieverbruik in TJ Gemeente'!$B$4:$Q$4,0))</f>
        <v>8</v>
      </c>
      <c r="S293" cm="1">
        <f t="array" ref="S293">MAX(_xlfn._xlws.FILTER(D$1:H$1, D293:H293&lt;&gt;"?"))</f>
        <v>2023</v>
      </c>
      <c r="T293" cm="1">
        <f t="array" ref="T293">MAX(_xlfn._xlws.FILTER(I$1:M$1, I293:M293&lt;&gt;"?"))</f>
        <v>2023</v>
      </c>
      <c r="U293" cm="1">
        <f t="array" ref="U293">MAX(_xlfn._xlws.FILTER(F$1:J$1, F293:J293&lt;&gt;"?"))</f>
        <v>2023</v>
      </c>
      <c r="V293">
        <f t="shared" si="20"/>
        <v>816</v>
      </c>
      <c r="W293">
        <f t="shared" si="21"/>
        <v>209</v>
      </c>
      <c r="X293">
        <f t="shared" si="22"/>
        <v>8</v>
      </c>
      <c r="Y293">
        <f t="shared" si="23"/>
        <v>1033</v>
      </c>
      <c r="Z293">
        <f t="shared" si="24"/>
        <v>1.7167738611623539E-3</v>
      </c>
    </row>
    <row r="294" spans="1:26" ht="16" x14ac:dyDescent="0.2">
      <c r="A294" s="4" t="s">
        <v>886</v>
      </c>
      <c r="B294" s="4" t="s">
        <v>887</v>
      </c>
      <c r="C294" s="4" t="s">
        <v>888</v>
      </c>
      <c r="D294">
        <f>INDEX('Energieverbruik in TJ Gemeente'!$B$4:$Q$347,MATCH($C294,'Energieverbruik in TJ Gemeente'!$B$4:$B$347,0),MATCH(D$2,'Energieverbruik in TJ Gemeente'!$B$4:$Q$4,0))</f>
        <v>1572</v>
      </c>
      <c r="E294">
        <f>INDEX('Energieverbruik in TJ Gemeente'!$B$4:$Q$347,MATCH($C294,'Energieverbruik in TJ Gemeente'!$B$4:$B$347,0),MATCH(E$2,'Energieverbruik in TJ Gemeente'!$B$4:$Q$4,0))</f>
        <v>1528</v>
      </c>
      <c r="F294">
        <f>INDEX('Energieverbruik in TJ Gemeente'!$B$4:$Q$347,MATCH($C294,'Energieverbruik in TJ Gemeente'!$B$4:$B$347,0),MATCH(F$2,'Energieverbruik in TJ Gemeente'!$B$4:$Q$4,0))</f>
        <v>1574</v>
      </c>
      <c r="G294">
        <f>INDEX('Energieverbruik in TJ Gemeente'!$B$4:$Q$347,MATCH($C294,'Energieverbruik in TJ Gemeente'!$B$4:$B$347,0),MATCH(G$2,'Energieverbruik in TJ Gemeente'!$B$4:$Q$4,0))</f>
        <v>1386</v>
      </c>
      <c r="H294">
        <f>INDEX('Energieverbruik in TJ Gemeente'!$B$4:$Q$347,MATCH($C294,'Energieverbruik in TJ Gemeente'!$B$4:$B$347,0),MATCH(H$2,'Energieverbruik in TJ Gemeente'!$B$4:$Q$4,0))</f>
        <v>1193</v>
      </c>
      <c r="I294" t="str">
        <f>INDEX('Energieverbruik in TJ Gemeente'!$B$4:$Q$347,MATCH($C294,'Energieverbruik in TJ Gemeente'!$B$4:$B$347,0),MATCH(I$2,'Energieverbruik in TJ Gemeente'!$B$4:$Q$4,0))</f>
        <v>?</v>
      </c>
      <c r="J294" t="str">
        <f>INDEX('Energieverbruik in TJ Gemeente'!$B$4:$Q$347,MATCH($C294,'Energieverbruik in TJ Gemeente'!$B$4:$B$347,0),MATCH(J$2,'Energieverbruik in TJ Gemeente'!$B$4:$Q$4,0))</f>
        <v>?</v>
      </c>
      <c r="K294" t="str">
        <f>INDEX('Energieverbruik in TJ Gemeente'!$B$4:$Q$347,MATCH($C294,'Energieverbruik in TJ Gemeente'!$B$4:$B$347,0),MATCH(K$2,'Energieverbruik in TJ Gemeente'!$B$4:$Q$4,0))</f>
        <v>?</v>
      </c>
      <c r="L294" t="str">
        <f>INDEX('Energieverbruik in TJ Gemeente'!$B$4:$Q$347,MATCH($C294,'Energieverbruik in TJ Gemeente'!$B$4:$B$347,0),MATCH(L$2,'Energieverbruik in TJ Gemeente'!$B$4:$Q$4,0))</f>
        <v>?</v>
      </c>
      <c r="M294" t="str">
        <f>INDEX('Energieverbruik in TJ Gemeente'!$B$4:$Q$347,MATCH($C294,'Energieverbruik in TJ Gemeente'!$B$4:$B$347,0),MATCH(M$2,'Energieverbruik in TJ Gemeente'!$B$4:$Q$4,0))</f>
        <v>?</v>
      </c>
      <c r="N294">
        <f>INDEX('Energieverbruik in TJ Gemeente'!$B$4:$Q$347,MATCH($C294,'Energieverbruik in TJ Gemeente'!$B$4:$B$347,0),MATCH(N$2,'Energieverbruik in TJ Gemeente'!$B$4:$Q$4,0))</f>
        <v>4</v>
      </c>
      <c r="O294">
        <f>INDEX('Energieverbruik in TJ Gemeente'!$B$4:$Q$347,MATCH($C294,'Energieverbruik in TJ Gemeente'!$B$4:$B$347,0),MATCH(O$2,'Energieverbruik in TJ Gemeente'!$B$4:$Q$4,0))</f>
        <v>6</v>
      </c>
      <c r="P294">
        <f>INDEX('Energieverbruik in TJ Gemeente'!$B$4:$Q$347,MATCH($C294,'Energieverbruik in TJ Gemeente'!$B$4:$B$347,0),MATCH(P$2,'Energieverbruik in TJ Gemeente'!$B$4:$Q$4,0))</f>
        <v>6</v>
      </c>
      <c r="Q294">
        <f>INDEX('Energieverbruik in TJ Gemeente'!$B$4:$Q$347,MATCH($C294,'Energieverbruik in TJ Gemeente'!$B$4:$B$347,0),MATCH(Q$2,'Energieverbruik in TJ Gemeente'!$B$4:$Q$4,0))</f>
        <v>5</v>
      </c>
      <c r="R294">
        <f>INDEX('Energieverbruik in TJ Gemeente'!$B$4:$Q$347,MATCH($C294,'Energieverbruik in TJ Gemeente'!$B$4:$B$347,0),MATCH(R$2,'Energieverbruik in TJ Gemeente'!$B$4:$Q$4,0))</f>
        <v>4</v>
      </c>
      <c r="S294" cm="1">
        <f t="array" ref="S294">MAX(_xlfn._xlws.FILTER(D$1:H$1, D294:H294&lt;&gt;"?"))</f>
        <v>2023</v>
      </c>
      <c r="T294" t="e" cm="1" vm="1">
        <f t="array" ref="T294">MAX(_xlfn._xlws.FILTER(I$1:M$1, I294:M294&lt;&gt;"?"))</f>
        <v>#VALUE!</v>
      </c>
      <c r="U294" cm="1">
        <f t="array" ref="U294">MAX(_xlfn._xlws.FILTER(F$1:J$1, F294:J294&lt;&gt;"?"))</f>
        <v>2023</v>
      </c>
      <c r="V294">
        <f t="shared" si="20"/>
        <v>1193</v>
      </c>
      <c r="W294">
        <f t="shared" si="21"/>
        <v>0</v>
      </c>
      <c r="X294">
        <f t="shared" si="22"/>
        <v>4</v>
      </c>
      <c r="Y294">
        <f t="shared" si="23"/>
        <v>1197</v>
      </c>
      <c r="Z294">
        <f t="shared" si="24"/>
        <v>1.9893304083362416E-3</v>
      </c>
    </row>
    <row r="295" spans="1:26" ht="16" x14ac:dyDescent="0.2">
      <c r="A295" s="4" t="s">
        <v>889</v>
      </c>
      <c r="B295" s="4" t="s">
        <v>890</v>
      </c>
      <c r="C295" s="4" t="s">
        <v>891</v>
      </c>
      <c r="D295">
        <f>INDEX('Energieverbruik in TJ Gemeente'!$B$4:$Q$347,MATCH($C295,'Energieverbruik in TJ Gemeente'!$B$4:$B$347,0),MATCH(D$2,'Energieverbruik in TJ Gemeente'!$B$4:$Q$4,0))</f>
        <v>2967</v>
      </c>
      <c r="E295">
        <f>INDEX('Energieverbruik in TJ Gemeente'!$B$4:$Q$347,MATCH($C295,'Energieverbruik in TJ Gemeente'!$B$4:$B$347,0),MATCH(E$2,'Energieverbruik in TJ Gemeente'!$B$4:$Q$4,0))</f>
        <v>2884</v>
      </c>
      <c r="F295">
        <f>INDEX('Energieverbruik in TJ Gemeente'!$B$4:$Q$347,MATCH($C295,'Energieverbruik in TJ Gemeente'!$B$4:$B$347,0),MATCH(F$2,'Energieverbruik in TJ Gemeente'!$B$4:$Q$4,0))</f>
        <v>2920</v>
      </c>
      <c r="G295">
        <f>INDEX('Energieverbruik in TJ Gemeente'!$B$4:$Q$347,MATCH($C295,'Energieverbruik in TJ Gemeente'!$B$4:$B$347,0),MATCH(G$2,'Energieverbruik in TJ Gemeente'!$B$4:$Q$4,0))</f>
        <v>2580</v>
      </c>
      <c r="H295" t="str">
        <f>INDEX('Energieverbruik in TJ Gemeente'!$B$4:$Q$347,MATCH($C295,'Energieverbruik in TJ Gemeente'!$B$4:$B$347,0),MATCH(H$2,'Energieverbruik in TJ Gemeente'!$B$4:$Q$4,0))</f>
        <v>?</v>
      </c>
      <c r="I295">
        <f>INDEX('Energieverbruik in TJ Gemeente'!$B$4:$Q$347,MATCH($C295,'Energieverbruik in TJ Gemeente'!$B$4:$B$347,0),MATCH(I$2,'Energieverbruik in TJ Gemeente'!$B$4:$Q$4,0))</f>
        <v>1507</v>
      </c>
      <c r="J295">
        <f>INDEX('Energieverbruik in TJ Gemeente'!$B$4:$Q$347,MATCH($C295,'Energieverbruik in TJ Gemeente'!$B$4:$B$347,0),MATCH(J$2,'Energieverbruik in TJ Gemeente'!$B$4:$Q$4,0))</f>
        <v>1438</v>
      </c>
      <c r="K295" t="str">
        <f>INDEX('Energieverbruik in TJ Gemeente'!$B$4:$Q$347,MATCH($C295,'Energieverbruik in TJ Gemeente'!$B$4:$B$347,0),MATCH(K$2,'Energieverbruik in TJ Gemeente'!$B$4:$Q$4,0))</f>
        <v>?</v>
      </c>
      <c r="L295">
        <f>INDEX('Energieverbruik in TJ Gemeente'!$B$4:$Q$347,MATCH($C295,'Energieverbruik in TJ Gemeente'!$B$4:$B$347,0),MATCH(L$2,'Energieverbruik in TJ Gemeente'!$B$4:$Q$4,0))</f>
        <v>1446</v>
      </c>
      <c r="M295">
        <f>INDEX('Energieverbruik in TJ Gemeente'!$B$4:$Q$347,MATCH($C295,'Energieverbruik in TJ Gemeente'!$B$4:$B$347,0),MATCH(M$2,'Energieverbruik in TJ Gemeente'!$B$4:$Q$4,0))</f>
        <v>1376</v>
      </c>
      <c r="N295">
        <f>INDEX('Energieverbruik in TJ Gemeente'!$B$4:$Q$347,MATCH($C295,'Energieverbruik in TJ Gemeente'!$B$4:$B$347,0),MATCH(N$2,'Energieverbruik in TJ Gemeente'!$B$4:$Q$4,0))</f>
        <v>1716</v>
      </c>
      <c r="O295">
        <f>INDEX('Energieverbruik in TJ Gemeente'!$B$4:$Q$347,MATCH($C295,'Energieverbruik in TJ Gemeente'!$B$4:$B$347,0),MATCH(O$2,'Energieverbruik in TJ Gemeente'!$B$4:$Q$4,0))</f>
        <v>1836</v>
      </c>
      <c r="P295" t="str">
        <f>INDEX('Energieverbruik in TJ Gemeente'!$B$4:$Q$347,MATCH($C295,'Energieverbruik in TJ Gemeente'!$B$4:$B$347,0),MATCH(P$2,'Energieverbruik in TJ Gemeente'!$B$4:$Q$4,0))</f>
        <v>?</v>
      </c>
      <c r="Q295">
        <f>INDEX('Energieverbruik in TJ Gemeente'!$B$4:$Q$347,MATCH($C295,'Energieverbruik in TJ Gemeente'!$B$4:$B$347,0),MATCH(Q$2,'Energieverbruik in TJ Gemeente'!$B$4:$Q$4,0))</f>
        <v>1303</v>
      </c>
      <c r="R295">
        <f>INDEX('Energieverbruik in TJ Gemeente'!$B$4:$Q$347,MATCH($C295,'Energieverbruik in TJ Gemeente'!$B$4:$B$347,0),MATCH(R$2,'Energieverbruik in TJ Gemeente'!$B$4:$Q$4,0))</f>
        <v>1383</v>
      </c>
      <c r="S295" cm="1">
        <f t="array" ref="S295">MAX(_xlfn._xlws.FILTER(D$1:H$1, D295:H295&lt;&gt;"?"))</f>
        <v>2022</v>
      </c>
      <c r="T295" cm="1">
        <f t="array" ref="T295">MAX(_xlfn._xlws.FILTER(I$1:M$1, I295:M295&lt;&gt;"?"))</f>
        <v>2023</v>
      </c>
      <c r="U295" cm="1">
        <f t="array" ref="U295">MAX(_xlfn._xlws.FILTER(F$1:J$1, F295:J295&lt;&gt;"?"))</f>
        <v>2022</v>
      </c>
      <c r="V295">
        <f t="shared" si="20"/>
        <v>2580</v>
      </c>
      <c r="W295">
        <f t="shared" si="21"/>
        <v>1376</v>
      </c>
      <c r="X295">
        <f t="shared" si="22"/>
        <v>1303</v>
      </c>
      <c r="Y295">
        <f t="shared" si="23"/>
        <v>5259</v>
      </c>
      <c r="Z295">
        <f t="shared" si="24"/>
        <v>8.7400907413870462E-3</v>
      </c>
    </row>
    <row r="296" spans="1:26" ht="16" x14ac:dyDescent="0.2">
      <c r="A296" s="4" t="s">
        <v>892</v>
      </c>
      <c r="B296" s="4" t="s">
        <v>893</v>
      </c>
      <c r="C296" s="4" t="s">
        <v>894</v>
      </c>
      <c r="D296">
        <f>INDEX('Energieverbruik in TJ Gemeente'!$B$4:$Q$347,MATCH($C296,'Energieverbruik in TJ Gemeente'!$B$4:$B$347,0),MATCH(D$2,'Energieverbruik in TJ Gemeente'!$B$4:$Q$4,0))</f>
        <v>1196</v>
      </c>
      <c r="E296">
        <f>INDEX('Energieverbruik in TJ Gemeente'!$B$4:$Q$347,MATCH($C296,'Energieverbruik in TJ Gemeente'!$B$4:$B$347,0),MATCH(E$2,'Energieverbruik in TJ Gemeente'!$B$4:$Q$4,0))</f>
        <v>1157</v>
      </c>
      <c r="F296">
        <f>INDEX('Energieverbruik in TJ Gemeente'!$B$4:$Q$347,MATCH($C296,'Energieverbruik in TJ Gemeente'!$B$4:$B$347,0),MATCH(F$2,'Energieverbruik in TJ Gemeente'!$B$4:$Q$4,0))</f>
        <v>1186</v>
      </c>
      <c r="G296">
        <f>INDEX('Energieverbruik in TJ Gemeente'!$B$4:$Q$347,MATCH($C296,'Energieverbruik in TJ Gemeente'!$B$4:$B$347,0),MATCH(G$2,'Energieverbruik in TJ Gemeente'!$B$4:$Q$4,0))</f>
        <v>1037</v>
      </c>
      <c r="H296">
        <f>INDEX('Energieverbruik in TJ Gemeente'!$B$4:$Q$347,MATCH($C296,'Energieverbruik in TJ Gemeente'!$B$4:$B$347,0),MATCH(H$2,'Energieverbruik in TJ Gemeente'!$B$4:$Q$4,0))</f>
        <v>870</v>
      </c>
      <c r="I296">
        <f>INDEX('Energieverbruik in TJ Gemeente'!$B$4:$Q$347,MATCH($C296,'Energieverbruik in TJ Gemeente'!$B$4:$B$347,0),MATCH(I$2,'Energieverbruik in TJ Gemeente'!$B$4:$Q$4,0))</f>
        <v>842</v>
      </c>
      <c r="J296">
        <f>INDEX('Energieverbruik in TJ Gemeente'!$B$4:$Q$347,MATCH($C296,'Energieverbruik in TJ Gemeente'!$B$4:$B$347,0),MATCH(J$2,'Energieverbruik in TJ Gemeente'!$B$4:$Q$4,0))</f>
        <v>854</v>
      </c>
      <c r="K296">
        <f>INDEX('Energieverbruik in TJ Gemeente'!$B$4:$Q$347,MATCH($C296,'Energieverbruik in TJ Gemeente'!$B$4:$B$347,0),MATCH(K$2,'Energieverbruik in TJ Gemeente'!$B$4:$Q$4,0))</f>
        <v>846</v>
      </c>
      <c r="L296">
        <f>INDEX('Energieverbruik in TJ Gemeente'!$B$4:$Q$347,MATCH($C296,'Energieverbruik in TJ Gemeente'!$B$4:$B$347,0),MATCH(L$2,'Energieverbruik in TJ Gemeente'!$B$4:$Q$4,0))</f>
        <v>781</v>
      </c>
      <c r="M296">
        <f>INDEX('Energieverbruik in TJ Gemeente'!$B$4:$Q$347,MATCH($C296,'Energieverbruik in TJ Gemeente'!$B$4:$B$347,0),MATCH(M$2,'Energieverbruik in TJ Gemeente'!$B$4:$Q$4,0))</f>
        <v>787</v>
      </c>
      <c r="N296">
        <f>INDEX('Energieverbruik in TJ Gemeente'!$B$4:$Q$347,MATCH($C296,'Energieverbruik in TJ Gemeente'!$B$4:$B$347,0),MATCH(N$2,'Energieverbruik in TJ Gemeente'!$B$4:$Q$4,0))</f>
        <v>339</v>
      </c>
      <c r="O296">
        <f>INDEX('Energieverbruik in TJ Gemeente'!$B$4:$Q$347,MATCH($C296,'Energieverbruik in TJ Gemeente'!$B$4:$B$347,0),MATCH(O$2,'Energieverbruik in TJ Gemeente'!$B$4:$Q$4,0))</f>
        <v>333</v>
      </c>
      <c r="P296">
        <f>INDEX('Energieverbruik in TJ Gemeente'!$B$4:$Q$347,MATCH($C296,'Energieverbruik in TJ Gemeente'!$B$4:$B$347,0),MATCH(P$2,'Energieverbruik in TJ Gemeente'!$B$4:$Q$4,0))</f>
        <v>341</v>
      </c>
      <c r="Q296">
        <f>INDEX('Energieverbruik in TJ Gemeente'!$B$4:$Q$347,MATCH($C296,'Energieverbruik in TJ Gemeente'!$B$4:$B$347,0),MATCH(Q$2,'Energieverbruik in TJ Gemeente'!$B$4:$Q$4,0))</f>
        <v>267</v>
      </c>
      <c r="R296">
        <f>INDEX('Energieverbruik in TJ Gemeente'!$B$4:$Q$347,MATCH($C296,'Energieverbruik in TJ Gemeente'!$B$4:$B$347,0),MATCH(R$2,'Energieverbruik in TJ Gemeente'!$B$4:$Q$4,0))</f>
        <v>260</v>
      </c>
      <c r="S296" cm="1">
        <f t="array" ref="S296">MAX(_xlfn._xlws.FILTER(D$1:H$1, D296:H296&lt;&gt;"?"))</f>
        <v>2023</v>
      </c>
      <c r="T296" cm="1">
        <f t="array" ref="T296">MAX(_xlfn._xlws.FILTER(I$1:M$1, I296:M296&lt;&gt;"?"))</f>
        <v>2023</v>
      </c>
      <c r="U296" cm="1">
        <f t="array" ref="U296">MAX(_xlfn._xlws.FILTER(F$1:J$1, F296:J296&lt;&gt;"?"))</f>
        <v>2023</v>
      </c>
      <c r="V296">
        <f t="shared" si="20"/>
        <v>870</v>
      </c>
      <c r="W296">
        <f t="shared" si="21"/>
        <v>787</v>
      </c>
      <c r="X296">
        <f t="shared" si="22"/>
        <v>260</v>
      </c>
      <c r="Y296">
        <f t="shared" si="23"/>
        <v>1917</v>
      </c>
      <c r="Z296">
        <f t="shared" si="24"/>
        <v>3.1859201276362367E-3</v>
      </c>
    </row>
    <row r="297" spans="1:26" ht="32" x14ac:dyDescent="0.2">
      <c r="A297" s="4" t="s">
        <v>895</v>
      </c>
      <c r="B297" s="4" t="s">
        <v>896</v>
      </c>
      <c r="C297" s="4" t="s">
        <v>897</v>
      </c>
      <c r="D297">
        <f>INDEX('Energieverbruik in TJ Gemeente'!$B$4:$Q$347,MATCH($C297,'Energieverbruik in TJ Gemeente'!$B$4:$B$347,0),MATCH(D$2,'Energieverbruik in TJ Gemeente'!$B$4:$Q$4,0))</f>
        <v>1269</v>
      </c>
      <c r="E297">
        <f>INDEX('Energieverbruik in TJ Gemeente'!$B$4:$Q$347,MATCH($C297,'Energieverbruik in TJ Gemeente'!$B$4:$B$347,0),MATCH(E$2,'Energieverbruik in TJ Gemeente'!$B$4:$Q$4,0))</f>
        <v>1225</v>
      </c>
      <c r="F297">
        <f>INDEX('Energieverbruik in TJ Gemeente'!$B$4:$Q$347,MATCH($C297,'Energieverbruik in TJ Gemeente'!$B$4:$B$347,0),MATCH(F$2,'Energieverbruik in TJ Gemeente'!$B$4:$Q$4,0))</f>
        <v>1223</v>
      </c>
      <c r="G297">
        <f>INDEX('Energieverbruik in TJ Gemeente'!$B$4:$Q$347,MATCH($C297,'Energieverbruik in TJ Gemeente'!$B$4:$B$347,0),MATCH(G$2,'Energieverbruik in TJ Gemeente'!$B$4:$Q$4,0))</f>
        <v>1083</v>
      </c>
      <c r="H297">
        <f>INDEX('Energieverbruik in TJ Gemeente'!$B$4:$Q$347,MATCH($C297,'Energieverbruik in TJ Gemeente'!$B$4:$B$347,0),MATCH(H$2,'Energieverbruik in TJ Gemeente'!$B$4:$Q$4,0))</f>
        <v>912</v>
      </c>
      <c r="I297">
        <f>INDEX('Energieverbruik in TJ Gemeente'!$B$4:$Q$347,MATCH($C297,'Energieverbruik in TJ Gemeente'!$B$4:$B$347,0),MATCH(I$2,'Energieverbruik in TJ Gemeente'!$B$4:$Q$4,0))</f>
        <v>1805</v>
      </c>
      <c r="J297">
        <f>INDEX('Energieverbruik in TJ Gemeente'!$B$4:$Q$347,MATCH($C297,'Energieverbruik in TJ Gemeente'!$B$4:$B$347,0),MATCH(J$2,'Energieverbruik in TJ Gemeente'!$B$4:$Q$4,0))</f>
        <v>1501</v>
      </c>
      <c r="K297">
        <f>INDEX('Energieverbruik in TJ Gemeente'!$B$4:$Q$347,MATCH($C297,'Energieverbruik in TJ Gemeente'!$B$4:$B$347,0),MATCH(K$2,'Energieverbruik in TJ Gemeente'!$B$4:$Q$4,0))</f>
        <v>1728</v>
      </c>
      <c r="L297">
        <f>INDEX('Energieverbruik in TJ Gemeente'!$B$4:$Q$347,MATCH($C297,'Energieverbruik in TJ Gemeente'!$B$4:$B$347,0),MATCH(L$2,'Energieverbruik in TJ Gemeente'!$B$4:$Q$4,0))</f>
        <v>1717</v>
      </c>
      <c r="M297">
        <f>INDEX('Energieverbruik in TJ Gemeente'!$B$4:$Q$347,MATCH($C297,'Energieverbruik in TJ Gemeente'!$B$4:$B$347,0),MATCH(M$2,'Energieverbruik in TJ Gemeente'!$B$4:$Q$4,0))</f>
        <v>1694</v>
      </c>
      <c r="N297">
        <f>INDEX('Energieverbruik in TJ Gemeente'!$B$4:$Q$347,MATCH($C297,'Energieverbruik in TJ Gemeente'!$B$4:$B$347,0),MATCH(N$2,'Energieverbruik in TJ Gemeente'!$B$4:$Q$4,0))</f>
        <v>27</v>
      </c>
      <c r="O297">
        <f>INDEX('Energieverbruik in TJ Gemeente'!$B$4:$Q$347,MATCH($C297,'Energieverbruik in TJ Gemeente'!$B$4:$B$347,0),MATCH(O$2,'Energieverbruik in TJ Gemeente'!$B$4:$Q$4,0))</f>
        <v>19</v>
      </c>
      <c r="P297">
        <f>INDEX('Energieverbruik in TJ Gemeente'!$B$4:$Q$347,MATCH($C297,'Energieverbruik in TJ Gemeente'!$B$4:$B$347,0),MATCH(P$2,'Energieverbruik in TJ Gemeente'!$B$4:$Q$4,0))</f>
        <v>20</v>
      </c>
      <c r="Q297">
        <f>INDEX('Energieverbruik in TJ Gemeente'!$B$4:$Q$347,MATCH($C297,'Energieverbruik in TJ Gemeente'!$B$4:$B$347,0),MATCH(Q$2,'Energieverbruik in TJ Gemeente'!$B$4:$Q$4,0))</f>
        <v>16</v>
      </c>
      <c r="R297">
        <f>INDEX('Energieverbruik in TJ Gemeente'!$B$4:$Q$347,MATCH($C297,'Energieverbruik in TJ Gemeente'!$B$4:$B$347,0),MATCH(R$2,'Energieverbruik in TJ Gemeente'!$B$4:$Q$4,0))</f>
        <v>14</v>
      </c>
      <c r="S297" cm="1">
        <f t="array" ref="S297">MAX(_xlfn._xlws.FILTER(D$1:H$1, D297:H297&lt;&gt;"?"))</f>
        <v>2023</v>
      </c>
      <c r="T297" cm="1">
        <f t="array" ref="T297">MAX(_xlfn._xlws.FILTER(I$1:M$1, I297:M297&lt;&gt;"?"))</f>
        <v>2023</v>
      </c>
      <c r="U297" cm="1">
        <f t="array" ref="U297">MAX(_xlfn._xlws.FILTER(F$1:J$1, F297:J297&lt;&gt;"?"))</f>
        <v>2023</v>
      </c>
      <c r="V297">
        <f t="shared" si="20"/>
        <v>912</v>
      </c>
      <c r="W297">
        <f t="shared" si="21"/>
        <v>1694</v>
      </c>
      <c r="X297">
        <f t="shared" si="22"/>
        <v>14</v>
      </c>
      <c r="Y297">
        <f t="shared" si="23"/>
        <v>2620</v>
      </c>
      <c r="Z297">
        <f t="shared" si="24"/>
        <v>4.3542570341194263E-3</v>
      </c>
    </row>
    <row r="298" spans="1:26" ht="16" x14ac:dyDescent="0.2">
      <c r="A298" s="4" t="s">
        <v>898</v>
      </c>
      <c r="B298" s="4" t="s">
        <v>899</v>
      </c>
      <c r="C298" s="4" t="s">
        <v>900</v>
      </c>
      <c r="D298">
        <f>INDEX('Energieverbruik in TJ Gemeente'!$B$4:$Q$347,MATCH($C298,'Energieverbruik in TJ Gemeente'!$B$4:$B$347,0),MATCH(D$2,'Energieverbruik in TJ Gemeente'!$B$4:$Q$4,0))</f>
        <v>1734</v>
      </c>
      <c r="E298">
        <f>INDEX('Energieverbruik in TJ Gemeente'!$B$4:$Q$347,MATCH($C298,'Energieverbruik in TJ Gemeente'!$B$4:$B$347,0),MATCH(E$2,'Energieverbruik in TJ Gemeente'!$B$4:$Q$4,0))</f>
        <v>1701</v>
      </c>
      <c r="F298">
        <f>INDEX('Energieverbruik in TJ Gemeente'!$B$4:$Q$347,MATCH($C298,'Energieverbruik in TJ Gemeente'!$B$4:$B$347,0),MATCH(F$2,'Energieverbruik in TJ Gemeente'!$B$4:$Q$4,0))</f>
        <v>1640</v>
      </c>
      <c r="G298">
        <f>INDEX('Energieverbruik in TJ Gemeente'!$B$4:$Q$347,MATCH($C298,'Energieverbruik in TJ Gemeente'!$B$4:$B$347,0),MATCH(G$2,'Energieverbruik in TJ Gemeente'!$B$4:$Q$4,0))</f>
        <v>1466</v>
      </c>
      <c r="H298" t="str">
        <f>INDEX('Energieverbruik in TJ Gemeente'!$B$4:$Q$347,MATCH($C298,'Energieverbruik in TJ Gemeente'!$B$4:$B$347,0),MATCH(H$2,'Energieverbruik in TJ Gemeente'!$B$4:$Q$4,0))</f>
        <v>?</v>
      </c>
      <c r="I298">
        <f>INDEX('Energieverbruik in TJ Gemeente'!$B$4:$Q$347,MATCH($C298,'Energieverbruik in TJ Gemeente'!$B$4:$B$347,0),MATCH(I$2,'Energieverbruik in TJ Gemeente'!$B$4:$Q$4,0))</f>
        <v>241</v>
      </c>
      <c r="J298">
        <f>INDEX('Energieverbruik in TJ Gemeente'!$B$4:$Q$347,MATCH($C298,'Energieverbruik in TJ Gemeente'!$B$4:$B$347,0),MATCH(J$2,'Energieverbruik in TJ Gemeente'!$B$4:$Q$4,0))</f>
        <v>124</v>
      </c>
      <c r="K298">
        <f>INDEX('Energieverbruik in TJ Gemeente'!$B$4:$Q$347,MATCH($C298,'Energieverbruik in TJ Gemeente'!$B$4:$B$347,0),MATCH(K$2,'Energieverbruik in TJ Gemeente'!$B$4:$Q$4,0))</f>
        <v>113</v>
      </c>
      <c r="L298" t="str">
        <f>INDEX('Energieverbruik in TJ Gemeente'!$B$4:$Q$347,MATCH($C298,'Energieverbruik in TJ Gemeente'!$B$4:$B$347,0),MATCH(L$2,'Energieverbruik in TJ Gemeente'!$B$4:$Q$4,0))</f>
        <v>?</v>
      </c>
      <c r="M298" t="str">
        <f>INDEX('Energieverbruik in TJ Gemeente'!$B$4:$Q$347,MATCH($C298,'Energieverbruik in TJ Gemeente'!$B$4:$B$347,0),MATCH(M$2,'Energieverbruik in TJ Gemeente'!$B$4:$Q$4,0))</f>
        <v>?</v>
      </c>
      <c r="N298">
        <f>INDEX('Energieverbruik in TJ Gemeente'!$B$4:$Q$347,MATCH($C298,'Energieverbruik in TJ Gemeente'!$B$4:$B$347,0),MATCH(N$2,'Energieverbruik in TJ Gemeente'!$B$4:$Q$4,0))</f>
        <v>2</v>
      </c>
      <c r="O298" t="str">
        <f>INDEX('Energieverbruik in TJ Gemeente'!$B$4:$Q$347,MATCH($C298,'Energieverbruik in TJ Gemeente'!$B$4:$B$347,0),MATCH(O$2,'Energieverbruik in TJ Gemeente'!$B$4:$Q$4,0))</f>
        <v>?</v>
      </c>
      <c r="P298" t="str">
        <f>INDEX('Energieverbruik in TJ Gemeente'!$B$4:$Q$347,MATCH($C298,'Energieverbruik in TJ Gemeente'!$B$4:$B$347,0),MATCH(P$2,'Energieverbruik in TJ Gemeente'!$B$4:$Q$4,0))</f>
        <v>?</v>
      </c>
      <c r="Q298" t="str">
        <f>INDEX('Energieverbruik in TJ Gemeente'!$B$4:$Q$347,MATCH($C298,'Energieverbruik in TJ Gemeente'!$B$4:$B$347,0),MATCH(Q$2,'Energieverbruik in TJ Gemeente'!$B$4:$Q$4,0))</f>
        <v>?</v>
      </c>
      <c r="R298">
        <f>INDEX('Energieverbruik in TJ Gemeente'!$B$4:$Q$347,MATCH($C298,'Energieverbruik in TJ Gemeente'!$B$4:$B$347,0),MATCH(R$2,'Energieverbruik in TJ Gemeente'!$B$4:$Q$4,0))</f>
        <v>1</v>
      </c>
      <c r="S298" cm="1">
        <f t="array" ref="S298">MAX(_xlfn._xlws.FILTER(D$1:H$1, D298:H298&lt;&gt;"?"))</f>
        <v>2022</v>
      </c>
      <c r="T298" cm="1">
        <f t="array" ref="T298">MAX(_xlfn._xlws.FILTER(I$1:M$1, I298:M298&lt;&gt;"?"))</f>
        <v>2021</v>
      </c>
      <c r="U298" cm="1">
        <f t="array" ref="U298">MAX(_xlfn._xlws.FILTER(F$1:J$1, F298:J298&lt;&gt;"?"))</f>
        <v>2022</v>
      </c>
      <c r="V298">
        <f t="shared" si="20"/>
        <v>1466</v>
      </c>
      <c r="W298">
        <f t="shared" si="21"/>
        <v>113</v>
      </c>
      <c r="X298" t="str">
        <f t="shared" si="22"/>
        <v>?</v>
      </c>
      <c r="Y298">
        <f t="shared" si="23"/>
        <v>1579</v>
      </c>
      <c r="Z298">
        <f t="shared" si="24"/>
        <v>2.6241877316315167E-3</v>
      </c>
    </row>
    <row r="299" spans="1:26" ht="16" x14ac:dyDescent="0.2">
      <c r="A299" s="4" t="s">
        <v>901</v>
      </c>
      <c r="B299" s="4" t="s">
        <v>902</v>
      </c>
      <c r="C299" s="4" t="s">
        <v>903</v>
      </c>
      <c r="D299" t="str">
        <f>INDEX('Energieverbruik in TJ Gemeente'!$B$4:$Q$347,MATCH($C299,'Energieverbruik in TJ Gemeente'!$B$4:$B$347,0),MATCH(D$2,'Energieverbruik in TJ Gemeente'!$B$4:$Q$4,0))</f>
        <v>?</v>
      </c>
      <c r="E299">
        <f>INDEX('Energieverbruik in TJ Gemeente'!$B$4:$Q$347,MATCH($C299,'Energieverbruik in TJ Gemeente'!$B$4:$B$347,0),MATCH(E$2,'Energieverbruik in TJ Gemeente'!$B$4:$Q$4,0))</f>
        <v>68</v>
      </c>
      <c r="F299" t="str">
        <f>INDEX('Energieverbruik in TJ Gemeente'!$B$4:$Q$347,MATCH($C299,'Energieverbruik in TJ Gemeente'!$B$4:$B$347,0),MATCH(F$2,'Energieverbruik in TJ Gemeente'!$B$4:$Q$4,0))</f>
        <v>?</v>
      </c>
      <c r="G299">
        <f>INDEX('Energieverbruik in TJ Gemeente'!$B$4:$Q$347,MATCH($C299,'Energieverbruik in TJ Gemeente'!$B$4:$B$347,0),MATCH(G$2,'Energieverbruik in TJ Gemeente'!$B$4:$Q$4,0))</f>
        <v>61</v>
      </c>
      <c r="H299">
        <f>INDEX('Energieverbruik in TJ Gemeente'!$B$4:$Q$347,MATCH($C299,'Energieverbruik in TJ Gemeente'!$B$4:$B$347,0),MATCH(H$2,'Energieverbruik in TJ Gemeente'!$B$4:$Q$4,0))</f>
        <v>53</v>
      </c>
      <c r="I299" t="str">
        <f>INDEX('Energieverbruik in TJ Gemeente'!$B$4:$Q$347,MATCH($C299,'Energieverbruik in TJ Gemeente'!$B$4:$B$347,0),MATCH(I$2,'Energieverbruik in TJ Gemeente'!$B$4:$Q$4,0))</f>
        <v>?</v>
      </c>
      <c r="J299" t="str">
        <f>INDEX('Energieverbruik in TJ Gemeente'!$B$4:$Q$347,MATCH($C299,'Energieverbruik in TJ Gemeente'!$B$4:$B$347,0),MATCH(J$2,'Energieverbruik in TJ Gemeente'!$B$4:$Q$4,0))</f>
        <v>?</v>
      </c>
      <c r="K299" t="str">
        <f>INDEX('Energieverbruik in TJ Gemeente'!$B$4:$Q$347,MATCH($C299,'Energieverbruik in TJ Gemeente'!$B$4:$B$347,0),MATCH(K$2,'Energieverbruik in TJ Gemeente'!$B$4:$Q$4,0))</f>
        <v>?</v>
      </c>
      <c r="L299" t="str">
        <f>INDEX('Energieverbruik in TJ Gemeente'!$B$4:$Q$347,MATCH($C299,'Energieverbruik in TJ Gemeente'!$B$4:$B$347,0),MATCH(L$2,'Energieverbruik in TJ Gemeente'!$B$4:$Q$4,0))</f>
        <v>?</v>
      </c>
      <c r="M299" t="str">
        <f>INDEX('Energieverbruik in TJ Gemeente'!$B$4:$Q$347,MATCH($C299,'Energieverbruik in TJ Gemeente'!$B$4:$B$347,0),MATCH(M$2,'Energieverbruik in TJ Gemeente'!$B$4:$Q$4,0))</f>
        <v>?</v>
      </c>
      <c r="N299" t="str">
        <f>INDEX('Energieverbruik in TJ Gemeente'!$B$4:$Q$347,MATCH($C299,'Energieverbruik in TJ Gemeente'!$B$4:$B$347,0),MATCH(N$2,'Energieverbruik in TJ Gemeente'!$B$4:$Q$4,0))</f>
        <v>?</v>
      </c>
      <c r="O299" t="str">
        <f>INDEX('Energieverbruik in TJ Gemeente'!$B$4:$Q$347,MATCH($C299,'Energieverbruik in TJ Gemeente'!$B$4:$B$347,0),MATCH(O$2,'Energieverbruik in TJ Gemeente'!$B$4:$Q$4,0))</f>
        <v>?</v>
      </c>
      <c r="P299" t="str">
        <f>INDEX('Energieverbruik in TJ Gemeente'!$B$4:$Q$347,MATCH($C299,'Energieverbruik in TJ Gemeente'!$B$4:$B$347,0),MATCH(P$2,'Energieverbruik in TJ Gemeente'!$B$4:$Q$4,0))</f>
        <v>?</v>
      </c>
      <c r="Q299" t="str">
        <f>INDEX('Energieverbruik in TJ Gemeente'!$B$4:$Q$347,MATCH($C299,'Energieverbruik in TJ Gemeente'!$B$4:$B$347,0),MATCH(Q$2,'Energieverbruik in TJ Gemeente'!$B$4:$Q$4,0))</f>
        <v>?</v>
      </c>
      <c r="R299" t="str">
        <f>INDEX('Energieverbruik in TJ Gemeente'!$B$4:$Q$347,MATCH($C299,'Energieverbruik in TJ Gemeente'!$B$4:$B$347,0),MATCH(R$2,'Energieverbruik in TJ Gemeente'!$B$4:$Q$4,0))</f>
        <v>?</v>
      </c>
      <c r="S299" cm="1">
        <f t="array" ref="S299">MAX(_xlfn._xlws.FILTER(D$1:H$1, D299:H299&lt;&gt;"?"))</f>
        <v>2023</v>
      </c>
      <c r="T299" t="e" cm="1" vm="1">
        <f t="array" ref="T299">MAX(_xlfn._xlws.FILTER(I$1:M$1, I299:M299&lt;&gt;"?"))</f>
        <v>#VALUE!</v>
      </c>
      <c r="U299" cm="1">
        <f t="array" ref="U299">MAX(_xlfn._xlws.FILTER(F$1:J$1, F299:J299&lt;&gt;"?"))</f>
        <v>2023</v>
      </c>
      <c r="V299">
        <f t="shared" si="20"/>
        <v>53</v>
      </c>
      <c r="W299">
        <f t="shared" si="21"/>
        <v>0</v>
      </c>
      <c r="X299" t="str">
        <f t="shared" si="22"/>
        <v>?</v>
      </c>
      <c r="Y299">
        <f t="shared" si="23"/>
        <v>53</v>
      </c>
      <c r="Z299">
        <f t="shared" si="24"/>
        <v>8.8082298781805193E-5</v>
      </c>
    </row>
    <row r="300" spans="1:26" ht="16" x14ac:dyDescent="0.2">
      <c r="A300" s="4" t="s">
        <v>904</v>
      </c>
      <c r="B300" s="4" t="s">
        <v>905</v>
      </c>
      <c r="C300" s="4" t="s">
        <v>906</v>
      </c>
      <c r="D300">
        <f>INDEX('Energieverbruik in TJ Gemeente'!$B$4:$Q$347,MATCH($C300,'Energieverbruik in TJ Gemeente'!$B$4:$B$347,0),MATCH(D$2,'Energieverbruik in TJ Gemeente'!$B$4:$Q$4,0))</f>
        <v>1030</v>
      </c>
      <c r="E300">
        <f>INDEX('Energieverbruik in TJ Gemeente'!$B$4:$Q$347,MATCH($C300,'Energieverbruik in TJ Gemeente'!$B$4:$B$347,0),MATCH(E$2,'Energieverbruik in TJ Gemeente'!$B$4:$Q$4,0))</f>
        <v>978</v>
      </c>
      <c r="F300">
        <f>INDEX('Energieverbruik in TJ Gemeente'!$B$4:$Q$347,MATCH($C300,'Energieverbruik in TJ Gemeente'!$B$4:$B$347,0),MATCH(F$2,'Energieverbruik in TJ Gemeente'!$B$4:$Q$4,0))</f>
        <v>1025</v>
      </c>
      <c r="G300" t="str">
        <f>INDEX('Energieverbruik in TJ Gemeente'!$B$4:$Q$347,MATCH($C300,'Energieverbruik in TJ Gemeente'!$B$4:$B$347,0),MATCH(G$2,'Energieverbruik in TJ Gemeente'!$B$4:$Q$4,0))</f>
        <v>?</v>
      </c>
      <c r="H300" t="str">
        <f>INDEX('Energieverbruik in TJ Gemeente'!$B$4:$Q$347,MATCH($C300,'Energieverbruik in TJ Gemeente'!$B$4:$B$347,0),MATCH(H$2,'Energieverbruik in TJ Gemeente'!$B$4:$Q$4,0))</f>
        <v>?</v>
      </c>
      <c r="I300" t="str">
        <f>INDEX('Energieverbruik in TJ Gemeente'!$B$4:$Q$347,MATCH($C300,'Energieverbruik in TJ Gemeente'!$B$4:$B$347,0),MATCH(I$2,'Energieverbruik in TJ Gemeente'!$B$4:$Q$4,0))</f>
        <v>?</v>
      </c>
      <c r="J300" t="str">
        <f>INDEX('Energieverbruik in TJ Gemeente'!$B$4:$Q$347,MATCH($C300,'Energieverbruik in TJ Gemeente'!$B$4:$B$347,0),MATCH(J$2,'Energieverbruik in TJ Gemeente'!$B$4:$Q$4,0))</f>
        <v>?</v>
      </c>
      <c r="K300" t="str">
        <f>INDEX('Energieverbruik in TJ Gemeente'!$B$4:$Q$347,MATCH($C300,'Energieverbruik in TJ Gemeente'!$B$4:$B$347,0),MATCH(K$2,'Energieverbruik in TJ Gemeente'!$B$4:$Q$4,0))</f>
        <v>?</v>
      </c>
      <c r="L300" t="str">
        <f>INDEX('Energieverbruik in TJ Gemeente'!$B$4:$Q$347,MATCH($C300,'Energieverbruik in TJ Gemeente'!$B$4:$B$347,0),MATCH(L$2,'Energieverbruik in TJ Gemeente'!$B$4:$Q$4,0))</f>
        <v>?</v>
      </c>
      <c r="M300" t="str">
        <f>INDEX('Energieverbruik in TJ Gemeente'!$B$4:$Q$347,MATCH($C300,'Energieverbruik in TJ Gemeente'!$B$4:$B$347,0),MATCH(M$2,'Energieverbruik in TJ Gemeente'!$B$4:$Q$4,0))</f>
        <v>?</v>
      </c>
      <c r="N300">
        <f>INDEX('Energieverbruik in TJ Gemeente'!$B$4:$Q$347,MATCH($C300,'Energieverbruik in TJ Gemeente'!$B$4:$B$347,0),MATCH(N$2,'Energieverbruik in TJ Gemeente'!$B$4:$Q$4,0))</f>
        <v>1</v>
      </c>
      <c r="O300">
        <f>INDEX('Energieverbruik in TJ Gemeente'!$B$4:$Q$347,MATCH($C300,'Energieverbruik in TJ Gemeente'!$B$4:$B$347,0),MATCH(O$2,'Energieverbruik in TJ Gemeente'!$B$4:$Q$4,0))</f>
        <v>1</v>
      </c>
      <c r="P300">
        <f>INDEX('Energieverbruik in TJ Gemeente'!$B$4:$Q$347,MATCH($C300,'Energieverbruik in TJ Gemeente'!$B$4:$B$347,0),MATCH(P$2,'Energieverbruik in TJ Gemeente'!$B$4:$Q$4,0))</f>
        <v>1</v>
      </c>
      <c r="Q300">
        <f>INDEX('Energieverbruik in TJ Gemeente'!$B$4:$Q$347,MATCH($C300,'Energieverbruik in TJ Gemeente'!$B$4:$B$347,0),MATCH(Q$2,'Energieverbruik in TJ Gemeente'!$B$4:$Q$4,0))</f>
        <v>1</v>
      </c>
      <c r="R300">
        <f>INDEX('Energieverbruik in TJ Gemeente'!$B$4:$Q$347,MATCH($C300,'Energieverbruik in TJ Gemeente'!$B$4:$B$347,0),MATCH(R$2,'Energieverbruik in TJ Gemeente'!$B$4:$Q$4,0))</f>
        <v>1</v>
      </c>
      <c r="S300" cm="1">
        <f t="array" ref="S300">MAX(_xlfn._xlws.FILTER(D$1:H$1, D300:H300&lt;&gt;"?"))</f>
        <v>2021</v>
      </c>
      <c r="T300" t="e" cm="1" vm="1">
        <f t="array" ref="T300">MAX(_xlfn._xlws.FILTER(I$1:M$1, I300:M300&lt;&gt;"?"))</f>
        <v>#VALUE!</v>
      </c>
      <c r="U300" cm="1">
        <f t="array" ref="U300">MAX(_xlfn._xlws.FILTER(F$1:J$1, F300:J300&lt;&gt;"?"))</f>
        <v>2021</v>
      </c>
      <c r="V300">
        <f t="shared" si="20"/>
        <v>1025</v>
      </c>
      <c r="W300">
        <f t="shared" si="21"/>
        <v>0</v>
      </c>
      <c r="X300">
        <f t="shared" si="22"/>
        <v>1</v>
      </c>
      <c r="Y300">
        <f t="shared" si="23"/>
        <v>1026</v>
      </c>
      <c r="Z300">
        <f t="shared" si="24"/>
        <v>1.7051403500024929E-3</v>
      </c>
    </row>
    <row r="301" spans="1:26" ht="16" x14ac:dyDescent="0.2">
      <c r="A301" s="4" t="s">
        <v>907</v>
      </c>
      <c r="B301" s="4" t="s">
        <v>908</v>
      </c>
      <c r="C301" s="4" t="s">
        <v>909</v>
      </c>
      <c r="D301" t="str">
        <f>INDEX('Energieverbruik in TJ Gemeente'!$B$4:$Q$347,MATCH($C301,'Energieverbruik in TJ Gemeente'!$B$4:$B$347,0),MATCH(D$2,'Energieverbruik in TJ Gemeente'!$B$4:$Q$4,0))</f>
        <v>?</v>
      </c>
      <c r="E301" t="str">
        <f>INDEX('Energieverbruik in TJ Gemeente'!$B$4:$Q$347,MATCH($C301,'Energieverbruik in TJ Gemeente'!$B$4:$B$347,0),MATCH(E$2,'Energieverbruik in TJ Gemeente'!$B$4:$Q$4,0))</f>
        <v>?</v>
      </c>
      <c r="F301">
        <f>INDEX('Energieverbruik in TJ Gemeente'!$B$4:$Q$347,MATCH($C301,'Energieverbruik in TJ Gemeente'!$B$4:$B$347,0),MATCH(F$2,'Energieverbruik in TJ Gemeente'!$B$4:$Q$4,0))</f>
        <v>335</v>
      </c>
      <c r="G301">
        <f>INDEX('Energieverbruik in TJ Gemeente'!$B$4:$Q$347,MATCH($C301,'Energieverbruik in TJ Gemeente'!$B$4:$B$347,0),MATCH(G$2,'Energieverbruik in TJ Gemeente'!$B$4:$Q$4,0))</f>
        <v>292</v>
      </c>
      <c r="H301">
        <f>INDEX('Energieverbruik in TJ Gemeente'!$B$4:$Q$347,MATCH($C301,'Energieverbruik in TJ Gemeente'!$B$4:$B$347,0),MATCH(H$2,'Energieverbruik in TJ Gemeente'!$B$4:$Q$4,0))</f>
        <v>233</v>
      </c>
      <c r="I301" t="str">
        <f>INDEX('Energieverbruik in TJ Gemeente'!$B$4:$Q$347,MATCH($C301,'Energieverbruik in TJ Gemeente'!$B$4:$B$347,0),MATCH(I$2,'Energieverbruik in TJ Gemeente'!$B$4:$Q$4,0))</f>
        <v>?</v>
      </c>
      <c r="J301" t="str">
        <f>INDEX('Energieverbruik in TJ Gemeente'!$B$4:$Q$347,MATCH($C301,'Energieverbruik in TJ Gemeente'!$B$4:$B$347,0),MATCH(J$2,'Energieverbruik in TJ Gemeente'!$B$4:$Q$4,0))</f>
        <v>?</v>
      </c>
      <c r="K301" t="str">
        <f>INDEX('Energieverbruik in TJ Gemeente'!$B$4:$Q$347,MATCH($C301,'Energieverbruik in TJ Gemeente'!$B$4:$B$347,0),MATCH(K$2,'Energieverbruik in TJ Gemeente'!$B$4:$Q$4,0))</f>
        <v>?</v>
      </c>
      <c r="L301">
        <f>INDEX('Energieverbruik in TJ Gemeente'!$B$4:$Q$347,MATCH($C301,'Energieverbruik in TJ Gemeente'!$B$4:$B$347,0),MATCH(L$2,'Energieverbruik in TJ Gemeente'!$B$4:$Q$4,0))</f>
        <v>5</v>
      </c>
      <c r="M301">
        <f>INDEX('Energieverbruik in TJ Gemeente'!$B$4:$Q$347,MATCH($C301,'Energieverbruik in TJ Gemeente'!$B$4:$B$347,0),MATCH(M$2,'Energieverbruik in TJ Gemeente'!$B$4:$Q$4,0))</f>
        <v>4</v>
      </c>
      <c r="N301">
        <f>INDEX('Energieverbruik in TJ Gemeente'!$B$4:$Q$347,MATCH($C301,'Energieverbruik in TJ Gemeente'!$B$4:$B$347,0),MATCH(N$2,'Energieverbruik in TJ Gemeente'!$B$4:$Q$4,0))</f>
        <v>4</v>
      </c>
      <c r="O301">
        <f>INDEX('Energieverbruik in TJ Gemeente'!$B$4:$Q$347,MATCH($C301,'Energieverbruik in TJ Gemeente'!$B$4:$B$347,0),MATCH(O$2,'Energieverbruik in TJ Gemeente'!$B$4:$Q$4,0))</f>
        <v>3</v>
      </c>
      <c r="P301">
        <f>INDEX('Energieverbruik in TJ Gemeente'!$B$4:$Q$347,MATCH($C301,'Energieverbruik in TJ Gemeente'!$B$4:$B$347,0),MATCH(P$2,'Energieverbruik in TJ Gemeente'!$B$4:$Q$4,0))</f>
        <v>4</v>
      </c>
      <c r="Q301">
        <f>INDEX('Energieverbruik in TJ Gemeente'!$B$4:$Q$347,MATCH($C301,'Energieverbruik in TJ Gemeente'!$B$4:$B$347,0),MATCH(Q$2,'Energieverbruik in TJ Gemeente'!$B$4:$Q$4,0))</f>
        <v>3</v>
      </c>
      <c r="R301">
        <f>INDEX('Energieverbruik in TJ Gemeente'!$B$4:$Q$347,MATCH($C301,'Energieverbruik in TJ Gemeente'!$B$4:$B$347,0),MATCH(R$2,'Energieverbruik in TJ Gemeente'!$B$4:$Q$4,0))</f>
        <v>2</v>
      </c>
      <c r="S301" cm="1">
        <f t="array" ref="S301">MAX(_xlfn._xlws.FILTER(D$1:H$1, D301:H301&lt;&gt;"?"))</f>
        <v>2023</v>
      </c>
      <c r="T301" cm="1">
        <f t="array" ref="T301">MAX(_xlfn._xlws.FILTER(I$1:M$1, I301:M301&lt;&gt;"?"))</f>
        <v>2023</v>
      </c>
      <c r="U301" cm="1">
        <f t="array" ref="U301">MAX(_xlfn._xlws.FILTER(F$1:J$1, F301:J301&lt;&gt;"?"))</f>
        <v>2023</v>
      </c>
      <c r="V301">
        <f t="shared" si="20"/>
        <v>233</v>
      </c>
      <c r="W301">
        <f t="shared" si="21"/>
        <v>4</v>
      </c>
      <c r="X301">
        <f t="shared" si="22"/>
        <v>2</v>
      </c>
      <c r="Y301">
        <f t="shared" si="23"/>
        <v>239</v>
      </c>
      <c r="Z301">
        <f t="shared" si="24"/>
        <v>3.9720130960097059E-4</v>
      </c>
    </row>
    <row r="302" spans="1:26" ht="32" x14ac:dyDescent="0.2">
      <c r="A302" s="4" t="s">
        <v>910</v>
      </c>
      <c r="B302" s="4" t="s">
        <v>911</v>
      </c>
      <c r="C302" s="4" t="s">
        <v>912</v>
      </c>
      <c r="D302">
        <f>INDEX('Energieverbruik in TJ Gemeente'!$B$4:$Q$347,MATCH($C302,'Energieverbruik in TJ Gemeente'!$B$4:$B$347,0),MATCH(D$2,'Energieverbruik in TJ Gemeente'!$B$4:$Q$4,0))</f>
        <v>1588</v>
      </c>
      <c r="E302">
        <f>INDEX('Energieverbruik in TJ Gemeente'!$B$4:$Q$347,MATCH($C302,'Energieverbruik in TJ Gemeente'!$B$4:$B$347,0),MATCH(E$2,'Energieverbruik in TJ Gemeente'!$B$4:$Q$4,0))</f>
        <v>1578</v>
      </c>
      <c r="F302">
        <f>INDEX('Energieverbruik in TJ Gemeente'!$B$4:$Q$347,MATCH($C302,'Energieverbruik in TJ Gemeente'!$B$4:$B$347,0),MATCH(F$2,'Energieverbruik in TJ Gemeente'!$B$4:$Q$4,0))</f>
        <v>1542</v>
      </c>
      <c r="G302" t="str">
        <f>INDEX('Energieverbruik in TJ Gemeente'!$B$4:$Q$347,MATCH($C302,'Energieverbruik in TJ Gemeente'!$B$4:$B$347,0),MATCH(G$2,'Energieverbruik in TJ Gemeente'!$B$4:$Q$4,0))</f>
        <v>?</v>
      </c>
      <c r="H302" t="str">
        <f>INDEX('Energieverbruik in TJ Gemeente'!$B$4:$Q$347,MATCH($C302,'Energieverbruik in TJ Gemeente'!$B$4:$B$347,0),MATCH(H$2,'Energieverbruik in TJ Gemeente'!$B$4:$Q$4,0))</f>
        <v>?</v>
      </c>
      <c r="I302" t="str">
        <f>INDEX('Energieverbruik in TJ Gemeente'!$B$4:$Q$347,MATCH($C302,'Energieverbruik in TJ Gemeente'!$B$4:$B$347,0),MATCH(I$2,'Energieverbruik in TJ Gemeente'!$B$4:$Q$4,0))</f>
        <v>?</v>
      </c>
      <c r="J302" t="str">
        <f>INDEX('Energieverbruik in TJ Gemeente'!$B$4:$Q$347,MATCH($C302,'Energieverbruik in TJ Gemeente'!$B$4:$B$347,0),MATCH(J$2,'Energieverbruik in TJ Gemeente'!$B$4:$Q$4,0))</f>
        <v>?</v>
      </c>
      <c r="K302" t="str">
        <f>INDEX('Energieverbruik in TJ Gemeente'!$B$4:$Q$347,MATCH($C302,'Energieverbruik in TJ Gemeente'!$B$4:$B$347,0),MATCH(K$2,'Energieverbruik in TJ Gemeente'!$B$4:$Q$4,0))</f>
        <v>?</v>
      </c>
      <c r="L302" t="str">
        <f>INDEX('Energieverbruik in TJ Gemeente'!$B$4:$Q$347,MATCH($C302,'Energieverbruik in TJ Gemeente'!$B$4:$B$347,0),MATCH(L$2,'Energieverbruik in TJ Gemeente'!$B$4:$Q$4,0))</f>
        <v>?</v>
      </c>
      <c r="M302" t="str">
        <f>INDEX('Energieverbruik in TJ Gemeente'!$B$4:$Q$347,MATCH($C302,'Energieverbruik in TJ Gemeente'!$B$4:$B$347,0),MATCH(M$2,'Energieverbruik in TJ Gemeente'!$B$4:$Q$4,0))</f>
        <v>?</v>
      </c>
      <c r="N302" t="str">
        <f>INDEX('Energieverbruik in TJ Gemeente'!$B$4:$Q$347,MATCH($C302,'Energieverbruik in TJ Gemeente'!$B$4:$B$347,0),MATCH(N$2,'Energieverbruik in TJ Gemeente'!$B$4:$Q$4,0))</f>
        <v>?</v>
      </c>
      <c r="O302" t="str">
        <f>INDEX('Energieverbruik in TJ Gemeente'!$B$4:$Q$347,MATCH($C302,'Energieverbruik in TJ Gemeente'!$B$4:$B$347,0),MATCH(O$2,'Energieverbruik in TJ Gemeente'!$B$4:$Q$4,0))</f>
        <v>?</v>
      </c>
      <c r="P302" t="str">
        <f>INDEX('Energieverbruik in TJ Gemeente'!$B$4:$Q$347,MATCH($C302,'Energieverbruik in TJ Gemeente'!$B$4:$B$347,0),MATCH(P$2,'Energieverbruik in TJ Gemeente'!$B$4:$Q$4,0))</f>
        <v>?</v>
      </c>
      <c r="Q302" t="str">
        <f>INDEX('Energieverbruik in TJ Gemeente'!$B$4:$Q$347,MATCH($C302,'Energieverbruik in TJ Gemeente'!$B$4:$B$347,0),MATCH(Q$2,'Energieverbruik in TJ Gemeente'!$B$4:$Q$4,0))</f>
        <v>?</v>
      </c>
      <c r="R302">
        <f>INDEX('Energieverbruik in TJ Gemeente'!$B$4:$Q$347,MATCH($C302,'Energieverbruik in TJ Gemeente'!$B$4:$B$347,0),MATCH(R$2,'Energieverbruik in TJ Gemeente'!$B$4:$Q$4,0))</f>
        <v>2215</v>
      </c>
      <c r="S302" cm="1">
        <f t="array" ref="S302">MAX(_xlfn._xlws.FILTER(D$1:H$1, D302:H302&lt;&gt;"?"))</f>
        <v>2021</v>
      </c>
      <c r="T302" t="e" cm="1" vm="1">
        <f t="array" ref="T302">MAX(_xlfn._xlws.FILTER(I$1:M$1, I302:M302&lt;&gt;"?"))</f>
        <v>#VALUE!</v>
      </c>
      <c r="U302" cm="1">
        <f t="array" ref="U302">MAX(_xlfn._xlws.FILTER(F$1:J$1, F302:J302&lt;&gt;"?"))</f>
        <v>2021</v>
      </c>
      <c r="V302">
        <f t="shared" si="20"/>
        <v>1542</v>
      </c>
      <c r="W302">
        <f t="shared" si="21"/>
        <v>0</v>
      </c>
      <c r="X302" t="str">
        <f t="shared" si="22"/>
        <v>?</v>
      </c>
      <c r="Y302">
        <f t="shared" si="23"/>
        <v>1542</v>
      </c>
      <c r="Z302">
        <f t="shared" si="24"/>
        <v>2.5626963155008227E-3</v>
      </c>
    </row>
    <row r="303" spans="1:26" ht="16" x14ac:dyDescent="0.2">
      <c r="A303" s="4" t="s">
        <v>913</v>
      </c>
      <c r="B303" s="4" t="s">
        <v>914</v>
      </c>
      <c r="C303" s="4" t="s">
        <v>915</v>
      </c>
      <c r="D303" t="str">
        <f>INDEX('Energieverbruik in TJ Gemeente'!$B$4:$Q$347,MATCH($C303,'Energieverbruik in TJ Gemeente'!$B$4:$B$347,0),MATCH(D$2,'Energieverbruik in TJ Gemeente'!$B$4:$Q$4,0))</f>
        <v>?</v>
      </c>
      <c r="E303">
        <f>INDEX('Energieverbruik in TJ Gemeente'!$B$4:$Q$347,MATCH($C303,'Energieverbruik in TJ Gemeente'!$B$4:$B$347,0),MATCH(E$2,'Energieverbruik in TJ Gemeente'!$B$4:$Q$4,0))</f>
        <v>562</v>
      </c>
      <c r="F303" t="str">
        <f>INDEX('Energieverbruik in TJ Gemeente'!$B$4:$Q$347,MATCH($C303,'Energieverbruik in TJ Gemeente'!$B$4:$B$347,0),MATCH(F$2,'Energieverbruik in TJ Gemeente'!$B$4:$Q$4,0))</f>
        <v>?</v>
      </c>
      <c r="G303">
        <f>INDEX('Energieverbruik in TJ Gemeente'!$B$4:$Q$347,MATCH($C303,'Energieverbruik in TJ Gemeente'!$B$4:$B$347,0),MATCH(G$2,'Energieverbruik in TJ Gemeente'!$B$4:$Q$4,0))</f>
        <v>493</v>
      </c>
      <c r="H303">
        <f>INDEX('Energieverbruik in TJ Gemeente'!$B$4:$Q$347,MATCH($C303,'Energieverbruik in TJ Gemeente'!$B$4:$B$347,0),MATCH(H$2,'Energieverbruik in TJ Gemeente'!$B$4:$Q$4,0))</f>
        <v>416</v>
      </c>
      <c r="I303">
        <f>INDEX('Energieverbruik in TJ Gemeente'!$B$4:$Q$347,MATCH($C303,'Energieverbruik in TJ Gemeente'!$B$4:$B$347,0),MATCH(I$2,'Energieverbruik in TJ Gemeente'!$B$4:$Q$4,0))</f>
        <v>4</v>
      </c>
      <c r="J303">
        <f>INDEX('Energieverbruik in TJ Gemeente'!$B$4:$Q$347,MATCH($C303,'Energieverbruik in TJ Gemeente'!$B$4:$B$347,0),MATCH(J$2,'Energieverbruik in TJ Gemeente'!$B$4:$Q$4,0))</f>
        <v>3</v>
      </c>
      <c r="K303">
        <f>INDEX('Energieverbruik in TJ Gemeente'!$B$4:$Q$347,MATCH($C303,'Energieverbruik in TJ Gemeente'!$B$4:$B$347,0),MATCH(K$2,'Energieverbruik in TJ Gemeente'!$B$4:$Q$4,0))</f>
        <v>4</v>
      </c>
      <c r="L303">
        <f>INDEX('Energieverbruik in TJ Gemeente'!$B$4:$Q$347,MATCH($C303,'Energieverbruik in TJ Gemeente'!$B$4:$B$347,0),MATCH(L$2,'Energieverbruik in TJ Gemeente'!$B$4:$Q$4,0))</f>
        <v>3</v>
      </c>
      <c r="M303">
        <f>INDEX('Energieverbruik in TJ Gemeente'!$B$4:$Q$347,MATCH($C303,'Energieverbruik in TJ Gemeente'!$B$4:$B$347,0),MATCH(M$2,'Energieverbruik in TJ Gemeente'!$B$4:$Q$4,0))</f>
        <v>3</v>
      </c>
      <c r="N303" t="str">
        <f>INDEX('Energieverbruik in TJ Gemeente'!$B$4:$Q$347,MATCH($C303,'Energieverbruik in TJ Gemeente'!$B$4:$B$347,0),MATCH(N$2,'Energieverbruik in TJ Gemeente'!$B$4:$Q$4,0))</f>
        <v>?</v>
      </c>
      <c r="O303" t="str">
        <f>INDEX('Energieverbruik in TJ Gemeente'!$B$4:$Q$347,MATCH($C303,'Energieverbruik in TJ Gemeente'!$B$4:$B$347,0),MATCH(O$2,'Energieverbruik in TJ Gemeente'!$B$4:$Q$4,0))</f>
        <v>?</v>
      </c>
      <c r="P303" t="str">
        <f>INDEX('Energieverbruik in TJ Gemeente'!$B$4:$Q$347,MATCH($C303,'Energieverbruik in TJ Gemeente'!$B$4:$B$347,0),MATCH(P$2,'Energieverbruik in TJ Gemeente'!$B$4:$Q$4,0))</f>
        <v>?</v>
      </c>
      <c r="Q303" t="str">
        <f>INDEX('Energieverbruik in TJ Gemeente'!$B$4:$Q$347,MATCH($C303,'Energieverbruik in TJ Gemeente'!$B$4:$B$347,0),MATCH(Q$2,'Energieverbruik in TJ Gemeente'!$B$4:$Q$4,0))</f>
        <v>?</v>
      </c>
      <c r="R303">
        <f>INDEX('Energieverbruik in TJ Gemeente'!$B$4:$Q$347,MATCH($C303,'Energieverbruik in TJ Gemeente'!$B$4:$B$347,0),MATCH(R$2,'Energieverbruik in TJ Gemeente'!$B$4:$Q$4,0))</f>
        <v>0</v>
      </c>
      <c r="S303" cm="1">
        <f t="array" ref="S303">MAX(_xlfn._xlws.FILTER(D$1:H$1, D303:H303&lt;&gt;"?"))</f>
        <v>2023</v>
      </c>
      <c r="T303" cm="1">
        <f t="array" ref="T303">MAX(_xlfn._xlws.FILTER(I$1:M$1, I303:M303&lt;&gt;"?"))</f>
        <v>2023</v>
      </c>
      <c r="U303" cm="1">
        <f t="array" ref="U303">MAX(_xlfn._xlws.FILTER(F$1:J$1, F303:J303&lt;&gt;"?"))</f>
        <v>2023</v>
      </c>
      <c r="V303">
        <f t="shared" si="20"/>
        <v>416</v>
      </c>
      <c r="W303">
        <f t="shared" si="21"/>
        <v>3</v>
      </c>
      <c r="X303">
        <f t="shared" si="22"/>
        <v>0</v>
      </c>
      <c r="Y303">
        <f t="shared" si="23"/>
        <v>419</v>
      </c>
      <c r="Z303">
        <f t="shared" si="24"/>
        <v>6.963487394259693E-4</v>
      </c>
    </row>
    <row r="304" spans="1:26" ht="16" x14ac:dyDescent="0.2">
      <c r="A304" s="4" t="s">
        <v>916</v>
      </c>
      <c r="B304" s="4" t="s">
        <v>917</v>
      </c>
      <c r="C304" s="4" t="s">
        <v>918</v>
      </c>
      <c r="D304">
        <f>INDEX('Energieverbruik in TJ Gemeente'!$B$4:$Q$347,MATCH($C304,'Energieverbruik in TJ Gemeente'!$B$4:$B$347,0),MATCH(D$2,'Energieverbruik in TJ Gemeente'!$B$4:$Q$4,0))</f>
        <v>718</v>
      </c>
      <c r="E304">
        <f>INDEX('Energieverbruik in TJ Gemeente'!$B$4:$Q$347,MATCH($C304,'Energieverbruik in TJ Gemeente'!$B$4:$B$347,0),MATCH(E$2,'Energieverbruik in TJ Gemeente'!$B$4:$Q$4,0))</f>
        <v>682</v>
      </c>
      <c r="F304">
        <f>INDEX('Energieverbruik in TJ Gemeente'!$B$4:$Q$347,MATCH($C304,'Energieverbruik in TJ Gemeente'!$B$4:$B$347,0),MATCH(F$2,'Energieverbruik in TJ Gemeente'!$B$4:$Q$4,0))</f>
        <v>695</v>
      </c>
      <c r="G304">
        <f>INDEX('Energieverbruik in TJ Gemeente'!$B$4:$Q$347,MATCH($C304,'Energieverbruik in TJ Gemeente'!$B$4:$B$347,0),MATCH(G$2,'Energieverbruik in TJ Gemeente'!$B$4:$Q$4,0))</f>
        <v>615</v>
      </c>
      <c r="H304">
        <f>INDEX('Energieverbruik in TJ Gemeente'!$B$4:$Q$347,MATCH($C304,'Energieverbruik in TJ Gemeente'!$B$4:$B$347,0),MATCH(H$2,'Energieverbruik in TJ Gemeente'!$B$4:$Q$4,0))</f>
        <v>505</v>
      </c>
      <c r="I304">
        <f>INDEX('Energieverbruik in TJ Gemeente'!$B$4:$Q$347,MATCH($C304,'Energieverbruik in TJ Gemeente'!$B$4:$B$347,0),MATCH(I$2,'Energieverbruik in TJ Gemeente'!$B$4:$Q$4,0))</f>
        <v>40</v>
      </c>
      <c r="J304">
        <f>INDEX('Energieverbruik in TJ Gemeente'!$B$4:$Q$347,MATCH($C304,'Energieverbruik in TJ Gemeente'!$B$4:$B$347,0),MATCH(J$2,'Energieverbruik in TJ Gemeente'!$B$4:$Q$4,0))</f>
        <v>36</v>
      </c>
      <c r="K304">
        <f>INDEX('Energieverbruik in TJ Gemeente'!$B$4:$Q$347,MATCH($C304,'Energieverbruik in TJ Gemeente'!$B$4:$B$347,0),MATCH(K$2,'Energieverbruik in TJ Gemeente'!$B$4:$Q$4,0))</f>
        <v>40</v>
      </c>
      <c r="L304">
        <f>INDEX('Energieverbruik in TJ Gemeente'!$B$4:$Q$347,MATCH($C304,'Energieverbruik in TJ Gemeente'!$B$4:$B$347,0),MATCH(L$2,'Energieverbruik in TJ Gemeente'!$B$4:$Q$4,0))</f>
        <v>21</v>
      </c>
      <c r="M304">
        <f>INDEX('Energieverbruik in TJ Gemeente'!$B$4:$Q$347,MATCH($C304,'Energieverbruik in TJ Gemeente'!$B$4:$B$347,0),MATCH(M$2,'Energieverbruik in TJ Gemeente'!$B$4:$Q$4,0))</f>
        <v>18</v>
      </c>
      <c r="N304">
        <f>INDEX('Energieverbruik in TJ Gemeente'!$B$4:$Q$347,MATCH($C304,'Energieverbruik in TJ Gemeente'!$B$4:$B$347,0),MATCH(N$2,'Energieverbruik in TJ Gemeente'!$B$4:$Q$4,0))</f>
        <v>95</v>
      </c>
      <c r="O304">
        <f>INDEX('Energieverbruik in TJ Gemeente'!$B$4:$Q$347,MATCH($C304,'Energieverbruik in TJ Gemeente'!$B$4:$B$347,0),MATCH(O$2,'Energieverbruik in TJ Gemeente'!$B$4:$Q$4,0))</f>
        <v>63</v>
      </c>
      <c r="P304">
        <f>INDEX('Energieverbruik in TJ Gemeente'!$B$4:$Q$347,MATCH($C304,'Energieverbruik in TJ Gemeente'!$B$4:$B$347,0),MATCH(P$2,'Energieverbruik in TJ Gemeente'!$B$4:$Q$4,0))</f>
        <v>70</v>
      </c>
      <c r="Q304">
        <f>INDEX('Energieverbruik in TJ Gemeente'!$B$4:$Q$347,MATCH($C304,'Energieverbruik in TJ Gemeente'!$B$4:$B$347,0),MATCH(Q$2,'Energieverbruik in TJ Gemeente'!$B$4:$Q$4,0))</f>
        <v>72</v>
      </c>
      <c r="R304">
        <f>INDEX('Energieverbruik in TJ Gemeente'!$B$4:$Q$347,MATCH($C304,'Energieverbruik in TJ Gemeente'!$B$4:$B$347,0),MATCH(R$2,'Energieverbruik in TJ Gemeente'!$B$4:$Q$4,0))</f>
        <v>70</v>
      </c>
      <c r="S304" cm="1">
        <f t="array" ref="S304">MAX(_xlfn._xlws.FILTER(D$1:H$1, D304:H304&lt;&gt;"?"))</f>
        <v>2023</v>
      </c>
      <c r="T304" cm="1">
        <f t="array" ref="T304">MAX(_xlfn._xlws.FILTER(I$1:M$1, I304:M304&lt;&gt;"?"))</f>
        <v>2023</v>
      </c>
      <c r="U304" cm="1">
        <f t="array" ref="U304">MAX(_xlfn._xlws.FILTER(F$1:J$1, F304:J304&lt;&gt;"?"))</f>
        <v>2023</v>
      </c>
      <c r="V304">
        <f t="shared" si="20"/>
        <v>505</v>
      </c>
      <c r="W304">
        <f t="shared" si="21"/>
        <v>18</v>
      </c>
      <c r="X304">
        <f t="shared" si="22"/>
        <v>70</v>
      </c>
      <c r="Y304">
        <f t="shared" si="23"/>
        <v>593</v>
      </c>
      <c r="Z304">
        <f t="shared" si="24"/>
        <v>9.8552458825680155E-4</v>
      </c>
    </row>
    <row r="305" spans="1:26" ht="16" x14ac:dyDescent="0.2">
      <c r="A305" s="4" t="s">
        <v>919</v>
      </c>
      <c r="B305" s="4" t="s">
        <v>920</v>
      </c>
      <c r="C305" s="4" t="s">
        <v>921</v>
      </c>
      <c r="D305" t="str">
        <f>INDEX('Energieverbruik in TJ Gemeente'!$B$4:$Q$347,MATCH($C305,'Energieverbruik in TJ Gemeente'!$B$4:$B$347,0),MATCH(D$2,'Energieverbruik in TJ Gemeente'!$B$4:$Q$4,0))</f>
        <v>?</v>
      </c>
      <c r="E305" t="str">
        <f>INDEX('Energieverbruik in TJ Gemeente'!$B$4:$Q$347,MATCH($C305,'Energieverbruik in TJ Gemeente'!$B$4:$B$347,0),MATCH(E$2,'Energieverbruik in TJ Gemeente'!$B$4:$Q$4,0))</f>
        <v>?</v>
      </c>
      <c r="F305">
        <f>INDEX('Energieverbruik in TJ Gemeente'!$B$4:$Q$347,MATCH($C305,'Energieverbruik in TJ Gemeente'!$B$4:$B$347,0),MATCH(F$2,'Energieverbruik in TJ Gemeente'!$B$4:$Q$4,0))</f>
        <v>921</v>
      </c>
      <c r="G305">
        <f>INDEX('Energieverbruik in TJ Gemeente'!$B$4:$Q$347,MATCH($C305,'Energieverbruik in TJ Gemeente'!$B$4:$B$347,0),MATCH(G$2,'Energieverbruik in TJ Gemeente'!$B$4:$Q$4,0))</f>
        <v>795</v>
      </c>
      <c r="H305">
        <f>INDEX('Energieverbruik in TJ Gemeente'!$B$4:$Q$347,MATCH($C305,'Energieverbruik in TJ Gemeente'!$B$4:$B$347,0),MATCH(H$2,'Energieverbruik in TJ Gemeente'!$B$4:$Q$4,0))</f>
        <v>670</v>
      </c>
      <c r="I305">
        <f>INDEX('Energieverbruik in TJ Gemeente'!$B$4:$Q$347,MATCH($C305,'Energieverbruik in TJ Gemeente'!$B$4:$B$347,0),MATCH(I$2,'Energieverbruik in TJ Gemeente'!$B$4:$Q$4,0))</f>
        <v>16</v>
      </c>
      <c r="J305">
        <f>INDEX('Energieverbruik in TJ Gemeente'!$B$4:$Q$347,MATCH($C305,'Energieverbruik in TJ Gemeente'!$B$4:$B$347,0),MATCH(J$2,'Energieverbruik in TJ Gemeente'!$B$4:$Q$4,0))</f>
        <v>12</v>
      </c>
      <c r="K305">
        <f>INDEX('Energieverbruik in TJ Gemeente'!$B$4:$Q$347,MATCH($C305,'Energieverbruik in TJ Gemeente'!$B$4:$B$347,0),MATCH(K$2,'Energieverbruik in TJ Gemeente'!$B$4:$Q$4,0))</f>
        <v>14</v>
      </c>
      <c r="L305">
        <f>INDEX('Energieverbruik in TJ Gemeente'!$B$4:$Q$347,MATCH($C305,'Energieverbruik in TJ Gemeente'!$B$4:$B$347,0),MATCH(L$2,'Energieverbruik in TJ Gemeente'!$B$4:$Q$4,0))</f>
        <v>12</v>
      </c>
      <c r="M305">
        <f>INDEX('Energieverbruik in TJ Gemeente'!$B$4:$Q$347,MATCH($C305,'Energieverbruik in TJ Gemeente'!$B$4:$B$347,0),MATCH(M$2,'Energieverbruik in TJ Gemeente'!$B$4:$Q$4,0))</f>
        <v>10</v>
      </c>
      <c r="N305">
        <f>INDEX('Energieverbruik in TJ Gemeente'!$B$4:$Q$347,MATCH($C305,'Energieverbruik in TJ Gemeente'!$B$4:$B$347,0),MATCH(N$2,'Energieverbruik in TJ Gemeente'!$B$4:$Q$4,0))</f>
        <v>36</v>
      </c>
      <c r="O305">
        <f>INDEX('Energieverbruik in TJ Gemeente'!$B$4:$Q$347,MATCH($C305,'Energieverbruik in TJ Gemeente'!$B$4:$B$347,0),MATCH(O$2,'Energieverbruik in TJ Gemeente'!$B$4:$Q$4,0))</f>
        <v>39</v>
      </c>
      <c r="P305">
        <f>INDEX('Energieverbruik in TJ Gemeente'!$B$4:$Q$347,MATCH($C305,'Energieverbruik in TJ Gemeente'!$B$4:$B$347,0),MATCH(P$2,'Energieverbruik in TJ Gemeente'!$B$4:$Q$4,0))</f>
        <v>7</v>
      </c>
      <c r="Q305">
        <f>INDEX('Energieverbruik in TJ Gemeente'!$B$4:$Q$347,MATCH($C305,'Energieverbruik in TJ Gemeente'!$B$4:$B$347,0),MATCH(Q$2,'Energieverbruik in TJ Gemeente'!$B$4:$Q$4,0))</f>
        <v>6</v>
      </c>
      <c r="R305">
        <f>INDEX('Energieverbruik in TJ Gemeente'!$B$4:$Q$347,MATCH($C305,'Energieverbruik in TJ Gemeente'!$B$4:$B$347,0),MATCH(R$2,'Energieverbruik in TJ Gemeente'!$B$4:$Q$4,0))</f>
        <v>5</v>
      </c>
      <c r="S305" cm="1">
        <f t="array" ref="S305">MAX(_xlfn._xlws.FILTER(D$1:H$1, D305:H305&lt;&gt;"?"))</f>
        <v>2023</v>
      </c>
      <c r="T305" cm="1">
        <f t="array" ref="T305">MAX(_xlfn._xlws.FILTER(I$1:M$1, I305:M305&lt;&gt;"?"))</f>
        <v>2023</v>
      </c>
      <c r="U305" cm="1">
        <f t="array" ref="U305">MAX(_xlfn._xlws.FILTER(F$1:J$1, F305:J305&lt;&gt;"?"))</f>
        <v>2023</v>
      </c>
      <c r="V305">
        <f t="shared" si="20"/>
        <v>670</v>
      </c>
      <c r="W305">
        <f t="shared" si="21"/>
        <v>10</v>
      </c>
      <c r="X305">
        <f t="shared" si="22"/>
        <v>5</v>
      </c>
      <c r="Y305">
        <f t="shared" si="23"/>
        <v>685</v>
      </c>
      <c r="Z305">
        <f t="shared" si="24"/>
        <v>1.1384221635006896E-3</v>
      </c>
    </row>
    <row r="306" spans="1:26" ht="16" x14ac:dyDescent="0.2">
      <c r="A306" s="4" t="s">
        <v>922</v>
      </c>
      <c r="B306" s="4" t="s">
        <v>923</v>
      </c>
      <c r="C306" s="4" t="s">
        <v>924</v>
      </c>
      <c r="D306">
        <f>INDEX('Energieverbruik in TJ Gemeente'!$B$4:$Q$347,MATCH($C306,'Energieverbruik in TJ Gemeente'!$B$4:$B$347,0),MATCH(D$2,'Energieverbruik in TJ Gemeente'!$B$4:$Q$4,0))</f>
        <v>1196</v>
      </c>
      <c r="E306">
        <f>INDEX('Energieverbruik in TJ Gemeente'!$B$4:$Q$347,MATCH($C306,'Energieverbruik in TJ Gemeente'!$B$4:$B$347,0),MATCH(E$2,'Energieverbruik in TJ Gemeente'!$B$4:$Q$4,0))</f>
        <v>1183</v>
      </c>
      <c r="F306">
        <f>INDEX('Energieverbruik in TJ Gemeente'!$B$4:$Q$347,MATCH($C306,'Energieverbruik in TJ Gemeente'!$B$4:$B$347,0),MATCH(F$2,'Energieverbruik in TJ Gemeente'!$B$4:$Q$4,0))</f>
        <v>1187</v>
      </c>
      <c r="G306">
        <f>INDEX('Energieverbruik in TJ Gemeente'!$B$4:$Q$347,MATCH($C306,'Energieverbruik in TJ Gemeente'!$B$4:$B$347,0),MATCH(G$2,'Energieverbruik in TJ Gemeente'!$B$4:$Q$4,0))</f>
        <v>1027</v>
      </c>
      <c r="H306">
        <f>INDEX('Energieverbruik in TJ Gemeente'!$B$4:$Q$347,MATCH($C306,'Energieverbruik in TJ Gemeente'!$B$4:$B$347,0),MATCH(H$2,'Energieverbruik in TJ Gemeente'!$B$4:$Q$4,0))</f>
        <v>852</v>
      </c>
      <c r="I306">
        <f>INDEX('Energieverbruik in TJ Gemeente'!$B$4:$Q$347,MATCH($C306,'Energieverbruik in TJ Gemeente'!$B$4:$B$347,0),MATCH(I$2,'Energieverbruik in TJ Gemeente'!$B$4:$Q$4,0))</f>
        <v>691</v>
      </c>
      <c r="J306">
        <f>INDEX('Energieverbruik in TJ Gemeente'!$B$4:$Q$347,MATCH($C306,'Energieverbruik in TJ Gemeente'!$B$4:$B$347,0),MATCH(J$2,'Energieverbruik in TJ Gemeente'!$B$4:$Q$4,0))</f>
        <v>679</v>
      </c>
      <c r="K306">
        <f>INDEX('Energieverbruik in TJ Gemeente'!$B$4:$Q$347,MATCH($C306,'Energieverbruik in TJ Gemeente'!$B$4:$B$347,0),MATCH(K$2,'Energieverbruik in TJ Gemeente'!$B$4:$Q$4,0))</f>
        <v>677</v>
      </c>
      <c r="L306">
        <f>INDEX('Energieverbruik in TJ Gemeente'!$B$4:$Q$347,MATCH($C306,'Energieverbruik in TJ Gemeente'!$B$4:$B$347,0),MATCH(L$2,'Energieverbruik in TJ Gemeente'!$B$4:$Q$4,0))</f>
        <v>563</v>
      </c>
      <c r="M306">
        <f>INDEX('Energieverbruik in TJ Gemeente'!$B$4:$Q$347,MATCH($C306,'Energieverbruik in TJ Gemeente'!$B$4:$B$347,0),MATCH(M$2,'Energieverbruik in TJ Gemeente'!$B$4:$Q$4,0))</f>
        <v>583</v>
      </c>
      <c r="N306">
        <f>INDEX('Energieverbruik in TJ Gemeente'!$B$4:$Q$347,MATCH($C306,'Energieverbruik in TJ Gemeente'!$B$4:$B$347,0),MATCH(N$2,'Energieverbruik in TJ Gemeente'!$B$4:$Q$4,0))</f>
        <v>1703</v>
      </c>
      <c r="O306">
        <f>INDEX('Energieverbruik in TJ Gemeente'!$B$4:$Q$347,MATCH($C306,'Energieverbruik in TJ Gemeente'!$B$4:$B$347,0),MATCH(O$2,'Energieverbruik in TJ Gemeente'!$B$4:$Q$4,0))</f>
        <v>1774</v>
      </c>
      <c r="P306">
        <f>INDEX('Energieverbruik in TJ Gemeente'!$B$4:$Q$347,MATCH($C306,'Energieverbruik in TJ Gemeente'!$B$4:$B$347,0),MATCH(P$2,'Energieverbruik in TJ Gemeente'!$B$4:$Q$4,0))</f>
        <v>1569</v>
      </c>
      <c r="Q306">
        <f>INDEX('Energieverbruik in TJ Gemeente'!$B$4:$Q$347,MATCH($C306,'Energieverbruik in TJ Gemeente'!$B$4:$B$347,0),MATCH(Q$2,'Energieverbruik in TJ Gemeente'!$B$4:$Q$4,0))</f>
        <v>998</v>
      </c>
      <c r="R306">
        <f>INDEX('Energieverbruik in TJ Gemeente'!$B$4:$Q$347,MATCH($C306,'Energieverbruik in TJ Gemeente'!$B$4:$B$347,0),MATCH(R$2,'Energieverbruik in TJ Gemeente'!$B$4:$Q$4,0))</f>
        <v>710</v>
      </c>
      <c r="S306" cm="1">
        <f t="array" ref="S306">MAX(_xlfn._xlws.FILTER(D$1:H$1, D306:H306&lt;&gt;"?"))</f>
        <v>2023</v>
      </c>
      <c r="T306" cm="1">
        <f t="array" ref="T306">MAX(_xlfn._xlws.FILTER(I$1:M$1, I306:M306&lt;&gt;"?"))</f>
        <v>2023</v>
      </c>
      <c r="U306" cm="1">
        <f t="array" ref="U306">MAX(_xlfn._xlws.FILTER(F$1:J$1, F306:J306&lt;&gt;"?"))</f>
        <v>2023</v>
      </c>
      <c r="V306">
        <f t="shared" si="20"/>
        <v>852</v>
      </c>
      <c r="W306">
        <f t="shared" si="21"/>
        <v>583</v>
      </c>
      <c r="X306">
        <f t="shared" si="22"/>
        <v>710</v>
      </c>
      <c r="Y306">
        <f t="shared" si="23"/>
        <v>2145</v>
      </c>
      <c r="Z306">
        <f t="shared" si="24"/>
        <v>3.5648402054145683E-3</v>
      </c>
    </row>
    <row r="307" spans="1:26" ht="16" x14ac:dyDescent="0.2">
      <c r="A307" s="4" t="s">
        <v>925</v>
      </c>
      <c r="B307" s="4" t="s">
        <v>926</v>
      </c>
      <c r="C307" s="4" t="s">
        <v>927</v>
      </c>
      <c r="D307" t="str">
        <f>INDEX('Energieverbruik in TJ Gemeente'!$B$4:$Q$347,MATCH($C307,'Energieverbruik in TJ Gemeente'!$B$4:$B$347,0),MATCH(D$2,'Energieverbruik in TJ Gemeente'!$B$4:$Q$4,0))</f>
        <v>?</v>
      </c>
      <c r="E307" t="str">
        <f>INDEX('Energieverbruik in TJ Gemeente'!$B$4:$Q$347,MATCH($C307,'Energieverbruik in TJ Gemeente'!$B$4:$B$347,0),MATCH(E$2,'Energieverbruik in TJ Gemeente'!$B$4:$Q$4,0))</f>
        <v>?</v>
      </c>
      <c r="F307" t="str">
        <f>INDEX('Energieverbruik in TJ Gemeente'!$B$4:$Q$347,MATCH($C307,'Energieverbruik in TJ Gemeente'!$B$4:$B$347,0),MATCH(F$2,'Energieverbruik in TJ Gemeente'!$B$4:$Q$4,0))</f>
        <v>?</v>
      </c>
      <c r="G307">
        <f>INDEX('Energieverbruik in TJ Gemeente'!$B$4:$Q$347,MATCH($C307,'Energieverbruik in TJ Gemeente'!$B$4:$B$347,0),MATCH(G$2,'Energieverbruik in TJ Gemeente'!$B$4:$Q$4,0))</f>
        <v>412</v>
      </c>
      <c r="H307">
        <f>INDEX('Energieverbruik in TJ Gemeente'!$B$4:$Q$347,MATCH($C307,'Energieverbruik in TJ Gemeente'!$B$4:$B$347,0),MATCH(H$2,'Energieverbruik in TJ Gemeente'!$B$4:$Q$4,0))</f>
        <v>335</v>
      </c>
      <c r="I307">
        <f>INDEX('Energieverbruik in TJ Gemeente'!$B$4:$Q$347,MATCH($C307,'Energieverbruik in TJ Gemeente'!$B$4:$B$347,0),MATCH(I$2,'Energieverbruik in TJ Gemeente'!$B$4:$Q$4,0))</f>
        <v>11</v>
      </c>
      <c r="J307">
        <f>INDEX('Energieverbruik in TJ Gemeente'!$B$4:$Q$347,MATCH($C307,'Energieverbruik in TJ Gemeente'!$B$4:$B$347,0),MATCH(J$2,'Energieverbruik in TJ Gemeente'!$B$4:$Q$4,0))</f>
        <v>8</v>
      </c>
      <c r="K307">
        <f>INDEX('Energieverbruik in TJ Gemeente'!$B$4:$Q$347,MATCH($C307,'Energieverbruik in TJ Gemeente'!$B$4:$B$347,0),MATCH(K$2,'Energieverbruik in TJ Gemeente'!$B$4:$Q$4,0))</f>
        <v>10</v>
      </c>
      <c r="L307">
        <f>INDEX('Energieverbruik in TJ Gemeente'!$B$4:$Q$347,MATCH($C307,'Energieverbruik in TJ Gemeente'!$B$4:$B$347,0),MATCH(L$2,'Energieverbruik in TJ Gemeente'!$B$4:$Q$4,0))</f>
        <v>8</v>
      </c>
      <c r="M307">
        <f>INDEX('Energieverbruik in TJ Gemeente'!$B$4:$Q$347,MATCH($C307,'Energieverbruik in TJ Gemeente'!$B$4:$B$347,0),MATCH(M$2,'Energieverbruik in TJ Gemeente'!$B$4:$Q$4,0))</f>
        <v>7</v>
      </c>
      <c r="N307">
        <f>INDEX('Energieverbruik in TJ Gemeente'!$B$4:$Q$347,MATCH($C307,'Energieverbruik in TJ Gemeente'!$B$4:$B$347,0),MATCH(N$2,'Energieverbruik in TJ Gemeente'!$B$4:$Q$4,0))</f>
        <v>4</v>
      </c>
      <c r="O307">
        <f>INDEX('Energieverbruik in TJ Gemeente'!$B$4:$Q$347,MATCH($C307,'Energieverbruik in TJ Gemeente'!$B$4:$B$347,0),MATCH(O$2,'Energieverbruik in TJ Gemeente'!$B$4:$Q$4,0))</f>
        <v>1</v>
      </c>
      <c r="P307">
        <f>INDEX('Energieverbruik in TJ Gemeente'!$B$4:$Q$347,MATCH($C307,'Energieverbruik in TJ Gemeente'!$B$4:$B$347,0),MATCH(P$2,'Energieverbruik in TJ Gemeente'!$B$4:$Q$4,0))</f>
        <v>1</v>
      </c>
      <c r="Q307">
        <f>INDEX('Energieverbruik in TJ Gemeente'!$B$4:$Q$347,MATCH($C307,'Energieverbruik in TJ Gemeente'!$B$4:$B$347,0),MATCH(Q$2,'Energieverbruik in TJ Gemeente'!$B$4:$Q$4,0))</f>
        <v>1</v>
      </c>
      <c r="R307">
        <f>INDEX('Energieverbruik in TJ Gemeente'!$B$4:$Q$347,MATCH($C307,'Energieverbruik in TJ Gemeente'!$B$4:$B$347,0),MATCH(R$2,'Energieverbruik in TJ Gemeente'!$B$4:$Q$4,0))</f>
        <v>1</v>
      </c>
      <c r="S307" cm="1">
        <f t="array" ref="S307">MAX(_xlfn._xlws.FILTER(D$1:H$1, D307:H307&lt;&gt;"?"))</f>
        <v>2023</v>
      </c>
      <c r="T307" cm="1">
        <f t="array" ref="T307">MAX(_xlfn._xlws.FILTER(I$1:M$1, I307:M307&lt;&gt;"?"))</f>
        <v>2023</v>
      </c>
      <c r="U307" cm="1">
        <f t="array" ref="U307">MAX(_xlfn._xlws.FILTER(F$1:J$1, F307:J307&lt;&gt;"?"))</f>
        <v>2023</v>
      </c>
      <c r="V307">
        <f t="shared" si="20"/>
        <v>335</v>
      </c>
      <c r="W307">
        <f t="shared" si="21"/>
        <v>7</v>
      </c>
      <c r="X307">
        <f t="shared" si="22"/>
        <v>1</v>
      </c>
      <c r="Y307">
        <f t="shared" si="23"/>
        <v>343</v>
      </c>
      <c r="Z307">
        <f t="shared" si="24"/>
        <v>5.7004204683319204E-4</v>
      </c>
    </row>
    <row r="308" spans="1:26" ht="16" x14ac:dyDescent="0.2">
      <c r="A308" s="4" t="s">
        <v>928</v>
      </c>
      <c r="B308" s="4" t="s">
        <v>929</v>
      </c>
      <c r="C308" s="4" t="s">
        <v>930</v>
      </c>
      <c r="D308">
        <f>INDEX('Energieverbruik in TJ Gemeente'!$B$4:$Q$347,MATCH($C308,'Energieverbruik in TJ Gemeente'!$B$4:$B$347,0),MATCH(D$2,'Energieverbruik in TJ Gemeente'!$B$4:$Q$4,0))</f>
        <v>1301</v>
      </c>
      <c r="E308">
        <f>INDEX('Energieverbruik in TJ Gemeente'!$B$4:$Q$347,MATCH($C308,'Energieverbruik in TJ Gemeente'!$B$4:$B$347,0),MATCH(E$2,'Energieverbruik in TJ Gemeente'!$B$4:$Q$4,0))</f>
        <v>1276</v>
      </c>
      <c r="F308">
        <f>INDEX('Energieverbruik in TJ Gemeente'!$B$4:$Q$347,MATCH($C308,'Energieverbruik in TJ Gemeente'!$B$4:$B$347,0),MATCH(F$2,'Energieverbruik in TJ Gemeente'!$B$4:$Q$4,0))</f>
        <v>1292</v>
      </c>
      <c r="G308">
        <f>INDEX('Energieverbruik in TJ Gemeente'!$B$4:$Q$347,MATCH($C308,'Energieverbruik in TJ Gemeente'!$B$4:$B$347,0),MATCH(G$2,'Energieverbruik in TJ Gemeente'!$B$4:$Q$4,0))</f>
        <v>1113</v>
      </c>
      <c r="H308" t="str">
        <f>INDEX('Energieverbruik in TJ Gemeente'!$B$4:$Q$347,MATCH($C308,'Energieverbruik in TJ Gemeente'!$B$4:$B$347,0),MATCH(H$2,'Energieverbruik in TJ Gemeente'!$B$4:$Q$4,0))</f>
        <v>?</v>
      </c>
      <c r="I308">
        <f>INDEX('Energieverbruik in TJ Gemeente'!$B$4:$Q$347,MATCH($C308,'Energieverbruik in TJ Gemeente'!$B$4:$B$347,0),MATCH(I$2,'Energieverbruik in TJ Gemeente'!$B$4:$Q$4,0))</f>
        <v>418</v>
      </c>
      <c r="J308">
        <f>INDEX('Energieverbruik in TJ Gemeente'!$B$4:$Q$347,MATCH($C308,'Energieverbruik in TJ Gemeente'!$B$4:$B$347,0),MATCH(J$2,'Energieverbruik in TJ Gemeente'!$B$4:$Q$4,0))</f>
        <v>442</v>
      </c>
      <c r="K308">
        <f>INDEX('Energieverbruik in TJ Gemeente'!$B$4:$Q$347,MATCH($C308,'Energieverbruik in TJ Gemeente'!$B$4:$B$347,0),MATCH(K$2,'Energieverbruik in TJ Gemeente'!$B$4:$Q$4,0))</f>
        <v>425</v>
      </c>
      <c r="L308">
        <f>INDEX('Energieverbruik in TJ Gemeente'!$B$4:$Q$347,MATCH($C308,'Energieverbruik in TJ Gemeente'!$B$4:$B$347,0),MATCH(L$2,'Energieverbruik in TJ Gemeente'!$B$4:$Q$4,0))</f>
        <v>384</v>
      </c>
      <c r="M308" t="str">
        <f>INDEX('Energieverbruik in TJ Gemeente'!$B$4:$Q$347,MATCH($C308,'Energieverbruik in TJ Gemeente'!$B$4:$B$347,0),MATCH(M$2,'Energieverbruik in TJ Gemeente'!$B$4:$Q$4,0))</f>
        <v>?</v>
      </c>
      <c r="N308">
        <f>INDEX('Energieverbruik in TJ Gemeente'!$B$4:$Q$347,MATCH($C308,'Energieverbruik in TJ Gemeente'!$B$4:$B$347,0),MATCH(N$2,'Energieverbruik in TJ Gemeente'!$B$4:$Q$4,0))</f>
        <v>33</v>
      </c>
      <c r="O308">
        <f>INDEX('Energieverbruik in TJ Gemeente'!$B$4:$Q$347,MATCH($C308,'Energieverbruik in TJ Gemeente'!$B$4:$B$347,0),MATCH(O$2,'Energieverbruik in TJ Gemeente'!$B$4:$Q$4,0))</f>
        <v>21</v>
      </c>
      <c r="P308">
        <f>INDEX('Energieverbruik in TJ Gemeente'!$B$4:$Q$347,MATCH($C308,'Energieverbruik in TJ Gemeente'!$B$4:$B$347,0),MATCH(P$2,'Energieverbruik in TJ Gemeente'!$B$4:$Q$4,0))</f>
        <v>32</v>
      </c>
      <c r="Q308">
        <f>INDEX('Energieverbruik in TJ Gemeente'!$B$4:$Q$347,MATCH($C308,'Energieverbruik in TJ Gemeente'!$B$4:$B$347,0),MATCH(Q$2,'Energieverbruik in TJ Gemeente'!$B$4:$Q$4,0))</f>
        <v>27</v>
      </c>
      <c r="R308">
        <f>INDEX('Energieverbruik in TJ Gemeente'!$B$4:$Q$347,MATCH($C308,'Energieverbruik in TJ Gemeente'!$B$4:$B$347,0),MATCH(R$2,'Energieverbruik in TJ Gemeente'!$B$4:$Q$4,0))</f>
        <v>21</v>
      </c>
      <c r="S308" cm="1">
        <f t="array" ref="S308">MAX(_xlfn._xlws.FILTER(D$1:H$1, D308:H308&lt;&gt;"?"))</f>
        <v>2022</v>
      </c>
      <c r="T308" cm="1">
        <f t="array" ref="T308">MAX(_xlfn._xlws.FILTER(I$1:M$1, I308:M308&lt;&gt;"?"))</f>
        <v>2022</v>
      </c>
      <c r="U308" cm="1">
        <f t="array" ref="U308">MAX(_xlfn._xlws.FILTER(F$1:J$1, F308:J308&lt;&gt;"?"))</f>
        <v>2022</v>
      </c>
      <c r="V308">
        <f t="shared" si="20"/>
        <v>1113</v>
      </c>
      <c r="W308">
        <f t="shared" si="21"/>
        <v>384</v>
      </c>
      <c r="X308">
        <f t="shared" si="22"/>
        <v>27</v>
      </c>
      <c r="Y308">
        <f t="shared" si="23"/>
        <v>1524</v>
      </c>
      <c r="Z308">
        <f t="shared" si="24"/>
        <v>2.5327815725183227E-3</v>
      </c>
    </row>
    <row r="309" spans="1:26" ht="32" x14ac:dyDescent="0.2">
      <c r="A309" s="4" t="s">
        <v>931</v>
      </c>
      <c r="B309" s="4" t="s">
        <v>932</v>
      </c>
      <c r="C309" s="4" t="s">
        <v>933</v>
      </c>
      <c r="D309">
        <f>INDEX('Energieverbruik in TJ Gemeente'!$B$4:$Q$347,MATCH($C309,'Energieverbruik in TJ Gemeente'!$B$4:$B$347,0),MATCH(D$2,'Energieverbruik in TJ Gemeente'!$B$4:$Q$4,0))</f>
        <v>589</v>
      </c>
      <c r="E309">
        <f>INDEX('Energieverbruik in TJ Gemeente'!$B$4:$Q$347,MATCH($C309,'Energieverbruik in TJ Gemeente'!$B$4:$B$347,0),MATCH(E$2,'Energieverbruik in TJ Gemeente'!$B$4:$Q$4,0))</f>
        <v>584</v>
      </c>
      <c r="F309">
        <f>INDEX('Energieverbruik in TJ Gemeente'!$B$4:$Q$347,MATCH($C309,'Energieverbruik in TJ Gemeente'!$B$4:$B$347,0),MATCH(F$2,'Energieverbruik in TJ Gemeente'!$B$4:$Q$4,0))</f>
        <v>589</v>
      </c>
      <c r="G309">
        <f>INDEX('Energieverbruik in TJ Gemeente'!$B$4:$Q$347,MATCH($C309,'Energieverbruik in TJ Gemeente'!$B$4:$B$347,0),MATCH(G$2,'Energieverbruik in TJ Gemeente'!$B$4:$Q$4,0))</f>
        <v>494</v>
      </c>
      <c r="H309">
        <f>INDEX('Energieverbruik in TJ Gemeente'!$B$4:$Q$347,MATCH($C309,'Energieverbruik in TJ Gemeente'!$B$4:$B$347,0),MATCH(H$2,'Energieverbruik in TJ Gemeente'!$B$4:$Q$4,0))</f>
        <v>426</v>
      </c>
      <c r="I309">
        <f>INDEX('Energieverbruik in TJ Gemeente'!$B$4:$Q$347,MATCH($C309,'Energieverbruik in TJ Gemeente'!$B$4:$B$347,0),MATCH(I$2,'Energieverbruik in TJ Gemeente'!$B$4:$Q$4,0))</f>
        <v>43</v>
      </c>
      <c r="J309">
        <f>INDEX('Energieverbruik in TJ Gemeente'!$B$4:$Q$347,MATCH($C309,'Energieverbruik in TJ Gemeente'!$B$4:$B$347,0),MATCH(J$2,'Energieverbruik in TJ Gemeente'!$B$4:$Q$4,0))</f>
        <v>40</v>
      </c>
      <c r="K309">
        <f>INDEX('Energieverbruik in TJ Gemeente'!$B$4:$Q$347,MATCH($C309,'Energieverbruik in TJ Gemeente'!$B$4:$B$347,0),MATCH(K$2,'Energieverbruik in TJ Gemeente'!$B$4:$Q$4,0))</f>
        <v>49</v>
      </c>
      <c r="L309">
        <f>INDEX('Energieverbruik in TJ Gemeente'!$B$4:$Q$347,MATCH($C309,'Energieverbruik in TJ Gemeente'!$B$4:$B$347,0),MATCH(L$2,'Energieverbruik in TJ Gemeente'!$B$4:$Q$4,0))</f>
        <v>44</v>
      </c>
      <c r="M309">
        <f>INDEX('Energieverbruik in TJ Gemeente'!$B$4:$Q$347,MATCH($C309,'Energieverbruik in TJ Gemeente'!$B$4:$B$347,0),MATCH(M$2,'Energieverbruik in TJ Gemeente'!$B$4:$Q$4,0))</f>
        <v>40</v>
      </c>
      <c r="N309">
        <f>INDEX('Energieverbruik in TJ Gemeente'!$B$4:$Q$347,MATCH($C309,'Energieverbruik in TJ Gemeente'!$B$4:$B$347,0),MATCH(N$2,'Energieverbruik in TJ Gemeente'!$B$4:$Q$4,0))</f>
        <v>1316</v>
      </c>
      <c r="O309">
        <f>INDEX('Energieverbruik in TJ Gemeente'!$B$4:$Q$347,MATCH($C309,'Energieverbruik in TJ Gemeente'!$B$4:$B$347,0),MATCH(O$2,'Energieverbruik in TJ Gemeente'!$B$4:$Q$4,0))</f>
        <v>1389</v>
      </c>
      <c r="P309">
        <f>INDEX('Energieverbruik in TJ Gemeente'!$B$4:$Q$347,MATCH($C309,'Energieverbruik in TJ Gemeente'!$B$4:$B$347,0),MATCH(P$2,'Energieverbruik in TJ Gemeente'!$B$4:$Q$4,0))</f>
        <v>1469</v>
      </c>
      <c r="Q309">
        <f>INDEX('Energieverbruik in TJ Gemeente'!$B$4:$Q$347,MATCH($C309,'Energieverbruik in TJ Gemeente'!$B$4:$B$347,0),MATCH(Q$2,'Energieverbruik in TJ Gemeente'!$B$4:$Q$4,0))</f>
        <v>958</v>
      </c>
      <c r="R309">
        <f>INDEX('Energieverbruik in TJ Gemeente'!$B$4:$Q$347,MATCH($C309,'Energieverbruik in TJ Gemeente'!$B$4:$B$347,0),MATCH(R$2,'Energieverbruik in TJ Gemeente'!$B$4:$Q$4,0))</f>
        <v>1277</v>
      </c>
      <c r="S309" cm="1">
        <f t="array" ref="S309">MAX(_xlfn._xlws.FILTER(D$1:H$1, D309:H309&lt;&gt;"?"))</f>
        <v>2023</v>
      </c>
      <c r="T309" cm="1">
        <f t="array" ref="T309">MAX(_xlfn._xlws.FILTER(I$1:M$1, I309:M309&lt;&gt;"?"))</f>
        <v>2023</v>
      </c>
      <c r="U309" cm="1">
        <f t="array" ref="U309">MAX(_xlfn._xlws.FILTER(F$1:J$1, F309:J309&lt;&gt;"?"))</f>
        <v>2023</v>
      </c>
      <c r="V309">
        <f t="shared" si="20"/>
        <v>426</v>
      </c>
      <c r="W309">
        <f t="shared" si="21"/>
        <v>40</v>
      </c>
      <c r="X309">
        <f t="shared" si="22"/>
        <v>1277</v>
      </c>
      <c r="Y309">
        <f t="shared" si="23"/>
        <v>1743</v>
      </c>
      <c r="Z309">
        <f t="shared" si="24"/>
        <v>2.8967442788054047E-3</v>
      </c>
    </row>
    <row r="310" spans="1:26" ht="16" x14ac:dyDescent="0.2">
      <c r="A310" s="4" t="s">
        <v>934</v>
      </c>
      <c r="B310" s="4" t="s">
        <v>935</v>
      </c>
      <c r="C310" s="4" t="s">
        <v>936</v>
      </c>
      <c r="D310">
        <f>INDEX('Energieverbruik in TJ Gemeente'!$B$4:$Q$347,MATCH($C310,'Energieverbruik in TJ Gemeente'!$B$4:$B$347,0),MATCH(D$2,'Energieverbruik in TJ Gemeente'!$B$4:$Q$4,0))</f>
        <v>992</v>
      </c>
      <c r="E310">
        <f>INDEX('Energieverbruik in TJ Gemeente'!$B$4:$Q$347,MATCH($C310,'Energieverbruik in TJ Gemeente'!$B$4:$B$347,0),MATCH(E$2,'Energieverbruik in TJ Gemeente'!$B$4:$Q$4,0))</f>
        <v>920</v>
      </c>
      <c r="F310">
        <f>INDEX('Energieverbruik in TJ Gemeente'!$B$4:$Q$347,MATCH($C310,'Energieverbruik in TJ Gemeente'!$B$4:$B$347,0),MATCH(F$2,'Energieverbruik in TJ Gemeente'!$B$4:$Q$4,0))</f>
        <v>962</v>
      </c>
      <c r="G310" t="str">
        <f>INDEX('Energieverbruik in TJ Gemeente'!$B$4:$Q$347,MATCH($C310,'Energieverbruik in TJ Gemeente'!$B$4:$B$347,0),MATCH(G$2,'Energieverbruik in TJ Gemeente'!$B$4:$Q$4,0))</f>
        <v>?</v>
      </c>
      <c r="H310" t="str">
        <f>INDEX('Energieverbruik in TJ Gemeente'!$B$4:$Q$347,MATCH($C310,'Energieverbruik in TJ Gemeente'!$B$4:$B$347,0),MATCH(H$2,'Energieverbruik in TJ Gemeente'!$B$4:$Q$4,0))</f>
        <v>?</v>
      </c>
      <c r="I310">
        <f>INDEX('Energieverbruik in TJ Gemeente'!$B$4:$Q$347,MATCH($C310,'Energieverbruik in TJ Gemeente'!$B$4:$B$347,0),MATCH(I$2,'Energieverbruik in TJ Gemeente'!$B$4:$Q$4,0))</f>
        <v>33</v>
      </c>
      <c r="J310">
        <f>INDEX('Energieverbruik in TJ Gemeente'!$B$4:$Q$347,MATCH($C310,'Energieverbruik in TJ Gemeente'!$B$4:$B$347,0),MATCH(J$2,'Energieverbruik in TJ Gemeente'!$B$4:$Q$4,0))</f>
        <v>35</v>
      </c>
      <c r="K310">
        <f>INDEX('Energieverbruik in TJ Gemeente'!$B$4:$Q$347,MATCH($C310,'Energieverbruik in TJ Gemeente'!$B$4:$B$347,0),MATCH(K$2,'Energieverbruik in TJ Gemeente'!$B$4:$Q$4,0))</f>
        <v>38</v>
      </c>
      <c r="L310">
        <f>INDEX('Energieverbruik in TJ Gemeente'!$B$4:$Q$347,MATCH($C310,'Energieverbruik in TJ Gemeente'!$B$4:$B$347,0),MATCH(L$2,'Energieverbruik in TJ Gemeente'!$B$4:$Q$4,0))</f>
        <v>34</v>
      </c>
      <c r="M310">
        <f>INDEX('Energieverbruik in TJ Gemeente'!$B$4:$Q$347,MATCH($C310,'Energieverbruik in TJ Gemeente'!$B$4:$B$347,0),MATCH(M$2,'Energieverbruik in TJ Gemeente'!$B$4:$Q$4,0))</f>
        <v>33</v>
      </c>
      <c r="N310">
        <f>INDEX('Energieverbruik in TJ Gemeente'!$B$4:$Q$347,MATCH($C310,'Energieverbruik in TJ Gemeente'!$B$4:$B$347,0),MATCH(N$2,'Energieverbruik in TJ Gemeente'!$B$4:$Q$4,0))</f>
        <v>53</v>
      </c>
      <c r="O310">
        <f>INDEX('Energieverbruik in TJ Gemeente'!$B$4:$Q$347,MATCH($C310,'Energieverbruik in TJ Gemeente'!$B$4:$B$347,0),MATCH(O$2,'Energieverbruik in TJ Gemeente'!$B$4:$Q$4,0))</f>
        <v>51</v>
      </c>
      <c r="P310" t="str">
        <f>INDEX('Energieverbruik in TJ Gemeente'!$B$4:$Q$347,MATCH($C310,'Energieverbruik in TJ Gemeente'!$B$4:$B$347,0),MATCH(P$2,'Energieverbruik in TJ Gemeente'!$B$4:$Q$4,0))</f>
        <v>?</v>
      </c>
      <c r="Q310">
        <f>INDEX('Energieverbruik in TJ Gemeente'!$B$4:$Q$347,MATCH($C310,'Energieverbruik in TJ Gemeente'!$B$4:$B$347,0),MATCH(Q$2,'Energieverbruik in TJ Gemeente'!$B$4:$Q$4,0))</f>
        <v>49</v>
      </c>
      <c r="R310">
        <f>INDEX('Energieverbruik in TJ Gemeente'!$B$4:$Q$347,MATCH($C310,'Energieverbruik in TJ Gemeente'!$B$4:$B$347,0),MATCH(R$2,'Energieverbruik in TJ Gemeente'!$B$4:$Q$4,0))</f>
        <v>47</v>
      </c>
      <c r="S310" cm="1">
        <f t="array" ref="S310">MAX(_xlfn._xlws.FILTER(D$1:H$1, D310:H310&lt;&gt;"?"))</f>
        <v>2021</v>
      </c>
      <c r="T310" cm="1">
        <f t="array" ref="T310">MAX(_xlfn._xlws.FILTER(I$1:M$1, I310:M310&lt;&gt;"?"))</f>
        <v>2023</v>
      </c>
      <c r="U310" cm="1">
        <f t="array" ref="U310">MAX(_xlfn._xlws.FILTER(F$1:J$1, F310:J310&lt;&gt;"?"))</f>
        <v>2021</v>
      </c>
      <c r="V310">
        <f t="shared" si="20"/>
        <v>962</v>
      </c>
      <c r="W310">
        <f t="shared" si="21"/>
        <v>33</v>
      </c>
      <c r="X310" t="str">
        <f t="shared" si="22"/>
        <v>?</v>
      </c>
      <c r="Y310">
        <f t="shared" si="23"/>
        <v>995</v>
      </c>
      <c r="Z310">
        <f t="shared" si="24"/>
        <v>1.6536205148659654E-3</v>
      </c>
    </row>
    <row r="311" spans="1:26" ht="16" x14ac:dyDescent="0.2">
      <c r="A311" s="4" t="s">
        <v>937</v>
      </c>
      <c r="B311" s="4" t="s">
        <v>938</v>
      </c>
      <c r="C311" s="4" t="s">
        <v>939</v>
      </c>
      <c r="D311" t="str">
        <f>INDEX('Energieverbruik in TJ Gemeente'!$B$4:$Q$347,MATCH($C311,'Energieverbruik in TJ Gemeente'!$B$4:$B$347,0),MATCH(D$2,'Energieverbruik in TJ Gemeente'!$B$4:$Q$4,0))</f>
        <v>?</v>
      </c>
      <c r="E311">
        <f>INDEX('Energieverbruik in TJ Gemeente'!$B$4:$Q$347,MATCH($C311,'Energieverbruik in TJ Gemeente'!$B$4:$B$347,0),MATCH(E$2,'Energieverbruik in TJ Gemeente'!$B$4:$Q$4,0))</f>
        <v>955</v>
      </c>
      <c r="F311" t="str">
        <f>INDEX('Energieverbruik in TJ Gemeente'!$B$4:$Q$347,MATCH($C311,'Energieverbruik in TJ Gemeente'!$B$4:$B$347,0),MATCH(F$2,'Energieverbruik in TJ Gemeente'!$B$4:$Q$4,0))</f>
        <v>?</v>
      </c>
      <c r="G311">
        <f>INDEX('Energieverbruik in TJ Gemeente'!$B$4:$Q$347,MATCH($C311,'Energieverbruik in TJ Gemeente'!$B$4:$B$347,0),MATCH(G$2,'Energieverbruik in TJ Gemeente'!$B$4:$Q$4,0))</f>
        <v>846</v>
      </c>
      <c r="H311">
        <f>INDEX('Energieverbruik in TJ Gemeente'!$B$4:$Q$347,MATCH($C311,'Energieverbruik in TJ Gemeente'!$B$4:$B$347,0),MATCH(H$2,'Energieverbruik in TJ Gemeente'!$B$4:$Q$4,0))</f>
        <v>723</v>
      </c>
      <c r="I311">
        <f>INDEX('Energieverbruik in TJ Gemeente'!$B$4:$Q$347,MATCH($C311,'Energieverbruik in TJ Gemeente'!$B$4:$B$347,0),MATCH(I$2,'Energieverbruik in TJ Gemeente'!$B$4:$Q$4,0))</f>
        <v>9</v>
      </c>
      <c r="J311">
        <f>INDEX('Energieverbruik in TJ Gemeente'!$B$4:$Q$347,MATCH($C311,'Energieverbruik in TJ Gemeente'!$B$4:$B$347,0),MATCH(J$2,'Energieverbruik in TJ Gemeente'!$B$4:$Q$4,0))</f>
        <v>6</v>
      </c>
      <c r="K311">
        <f>INDEX('Energieverbruik in TJ Gemeente'!$B$4:$Q$347,MATCH($C311,'Energieverbruik in TJ Gemeente'!$B$4:$B$347,0),MATCH(K$2,'Energieverbruik in TJ Gemeente'!$B$4:$Q$4,0))</f>
        <v>7</v>
      </c>
      <c r="L311">
        <f>INDEX('Energieverbruik in TJ Gemeente'!$B$4:$Q$347,MATCH($C311,'Energieverbruik in TJ Gemeente'!$B$4:$B$347,0),MATCH(L$2,'Energieverbruik in TJ Gemeente'!$B$4:$Q$4,0))</f>
        <v>5</v>
      </c>
      <c r="M311">
        <f>INDEX('Energieverbruik in TJ Gemeente'!$B$4:$Q$347,MATCH($C311,'Energieverbruik in TJ Gemeente'!$B$4:$B$347,0),MATCH(M$2,'Energieverbruik in TJ Gemeente'!$B$4:$Q$4,0))</f>
        <v>4</v>
      </c>
      <c r="N311">
        <f>INDEX('Energieverbruik in TJ Gemeente'!$B$4:$Q$347,MATCH($C311,'Energieverbruik in TJ Gemeente'!$B$4:$B$347,0),MATCH(N$2,'Energieverbruik in TJ Gemeente'!$B$4:$Q$4,0))</f>
        <v>10</v>
      </c>
      <c r="O311">
        <f>INDEX('Energieverbruik in TJ Gemeente'!$B$4:$Q$347,MATCH($C311,'Energieverbruik in TJ Gemeente'!$B$4:$B$347,0),MATCH(O$2,'Energieverbruik in TJ Gemeente'!$B$4:$Q$4,0))</f>
        <v>9</v>
      </c>
      <c r="P311">
        <f>INDEX('Energieverbruik in TJ Gemeente'!$B$4:$Q$347,MATCH($C311,'Energieverbruik in TJ Gemeente'!$B$4:$B$347,0),MATCH(P$2,'Energieverbruik in TJ Gemeente'!$B$4:$Q$4,0))</f>
        <v>9</v>
      </c>
      <c r="Q311">
        <f>INDEX('Energieverbruik in TJ Gemeente'!$B$4:$Q$347,MATCH($C311,'Energieverbruik in TJ Gemeente'!$B$4:$B$347,0),MATCH(Q$2,'Energieverbruik in TJ Gemeente'!$B$4:$Q$4,0))</f>
        <v>7</v>
      </c>
      <c r="R311">
        <f>INDEX('Energieverbruik in TJ Gemeente'!$B$4:$Q$347,MATCH($C311,'Energieverbruik in TJ Gemeente'!$B$4:$B$347,0),MATCH(R$2,'Energieverbruik in TJ Gemeente'!$B$4:$Q$4,0))</f>
        <v>5</v>
      </c>
      <c r="S311" cm="1">
        <f t="array" ref="S311">MAX(_xlfn._xlws.FILTER(D$1:H$1, D311:H311&lt;&gt;"?"))</f>
        <v>2023</v>
      </c>
      <c r="T311" cm="1">
        <f t="array" ref="T311">MAX(_xlfn._xlws.FILTER(I$1:M$1, I311:M311&lt;&gt;"?"))</f>
        <v>2023</v>
      </c>
      <c r="U311" cm="1">
        <f t="array" ref="U311">MAX(_xlfn._xlws.FILTER(F$1:J$1, F311:J311&lt;&gt;"?"))</f>
        <v>2023</v>
      </c>
      <c r="V311">
        <f t="shared" si="20"/>
        <v>723</v>
      </c>
      <c r="W311">
        <f t="shared" si="21"/>
        <v>4</v>
      </c>
      <c r="X311">
        <f t="shared" si="22"/>
        <v>5</v>
      </c>
      <c r="Y311">
        <f t="shared" si="23"/>
        <v>732</v>
      </c>
      <c r="Z311">
        <f t="shared" si="24"/>
        <v>1.2165328812883283E-3</v>
      </c>
    </row>
    <row r="312" spans="1:26" ht="16" x14ac:dyDescent="0.2">
      <c r="A312" s="4" t="s">
        <v>940</v>
      </c>
      <c r="B312" s="4" t="s">
        <v>941</v>
      </c>
      <c r="C312" s="4" t="s">
        <v>942</v>
      </c>
      <c r="D312">
        <f>INDEX('Energieverbruik in TJ Gemeente'!$B$4:$Q$347,MATCH($C312,'Energieverbruik in TJ Gemeente'!$B$4:$B$347,0),MATCH(D$2,'Energieverbruik in TJ Gemeente'!$B$4:$Q$4,0))</f>
        <v>414</v>
      </c>
      <c r="E312" t="str">
        <f>INDEX('Energieverbruik in TJ Gemeente'!$B$4:$Q$347,MATCH($C312,'Energieverbruik in TJ Gemeente'!$B$4:$B$347,0),MATCH(E$2,'Energieverbruik in TJ Gemeente'!$B$4:$Q$4,0))</f>
        <v>?</v>
      </c>
      <c r="F312" t="str">
        <f>INDEX('Energieverbruik in TJ Gemeente'!$B$4:$Q$347,MATCH($C312,'Energieverbruik in TJ Gemeente'!$B$4:$B$347,0),MATCH(F$2,'Energieverbruik in TJ Gemeente'!$B$4:$Q$4,0))</f>
        <v>?</v>
      </c>
      <c r="G312">
        <f>INDEX('Energieverbruik in TJ Gemeente'!$B$4:$Q$347,MATCH($C312,'Energieverbruik in TJ Gemeente'!$B$4:$B$347,0),MATCH(G$2,'Energieverbruik in TJ Gemeente'!$B$4:$Q$4,0))</f>
        <v>354</v>
      </c>
      <c r="H312">
        <f>INDEX('Energieverbruik in TJ Gemeente'!$B$4:$Q$347,MATCH($C312,'Energieverbruik in TJ Gemeente'!$B$4:$B$347,0),MATCH(H$2,'Energieverbruik in TJ Gemeente'!$B$4:$Q$4,0))</f>
        <v>298</v>
      </c>
      <c r="I312">
        <f>INDEX('Energieverbruik in TJ Gemeente'!$B$4:$Q$347,MATCH($C312,'Energieverbruik in TJ Gemeente'!$B$4:$B$347,0),MATCH(I$2,'Energieverbruik in TJ Gemeente'!$B$4:$Q$4,0))</f>
        <v>15</v>
      </c>
      <c r="J312">
        <f>INDEX('Energieverbruik in TJ Gemeente'!$B$4:$Q$347,MATCH($C312,'Energieverbruik in TJ Gemeente'!$B$4:$B$347,0),MATCH(J$2,'Energieverbruik in TJ Gemeente'!$B$4:$Q$4,0))</f>
        <v>13</v>
      </c>
      <c r="K312">
        <f>INDEX('Energieverbruik in TJ Gemeente'!$B$4:$Q$347,MATCH($C312,'Energieverbruik in TJ Gemeente'!$B$4:$B$347,0),MATCH(K$2,'Energieverbruik in TJ Gemeente'!$B$4:$Q$4,0))</f>
        <v>15</v>
      </c>
      <c r="L312">
        <f>INDEX('Energieverbruik in TJ Gemeente'!$B$4:$Q$347,MATCH($C312,'Energieverbruik in TJ Gemeente'!$B$4:$B$347,0),MATCH(L$2,'Energieverbruik in TJ Gemeente'!$B$4:$Q$4,0))</f>
        <v>13</v>
      </c>
      <c r="M312">
        <f>INDEX('Energieverbruik in TJ Gemeente'!$B$4:$Q$347,MATCH($C312,'Energieverbruik in TJ Gemeente'!$B$4:$B$347,0),MATCH(M$2,'Energieverbruik in TJ Gemeente'!$B$4:$Q$4,0))</f>
        <v>7</v>
      </c>
      <c r="N312">
        <f>INDEX('Energieverbruik in TJ Gemeente'!$B$4:$Q$347,MATCH($C312,'Energieverbruik in TJ Gemeente'!$B$4:$B$347,0),MATCH(N$2,'Energieverbruik in TJ Gemeente'!$B$4:$Q$4,0))</f>
        <v>7</v>
      </c>
      <c r="O312">
        <f>INDEX('Energieverbruik in TJ Gemeente'!$B$4:$Q$347,MATCH($C312,'Energieverbruik in TJ Gemeente'!$B$4:$B$347,0),MATCH(O$2,'Energieverbruik in TJ Gemeente'!$B$4:$Q$4,0))</f>
        <v>7</v>
      </c>
      <c r="P312">
        <f>INDEX('Energieverbruik in TJ Gemeente'!$B$4:$Q$347,MATCH($C312,'Energieverbruik in TJ Gemeente'!$B$4:$B$347,0),MATCH(P$2,'Energieverbruik in TJ Gemeente'!$B$4:$Q$4,0))</f>
        <v>8</v>
      </c>
      <c r="Q312">
        <f>INDEX('Energieverbruik in TJ Gemeente'!$B$4:$Q$347,MATCH($C312,'Energieverbruik in TJ Gemeente'!$B$4:$B$347,0),MATCH(Q$2,'Energieverbruik in TJ Gemeente'!$B$4:$Q$4,0))</f>
        <v>6</v>
      </c>
      <c r="R312">
        <f>INDEX('Energieverbruik in TJ Gemeente'!$B$4:$Q$347,MATCH($C312,'Energieverbruik in TJ Gemeente'!$B$4:$B$347,0),MATCH(R$2,'Energieverbruik in TJ Gemeente'!$B$4:$Q$4,0))</f>
        <v>6</v>
      </c>
      <c r="S312" cm="1">
        <f t="array" ref="S312">MAX(_xlfn._xlws.FILTER(D$1:H$1, D312:H312&lt;&gt;"?"))</f>
        <v>2023</v>
      </c>
      <c r="T312" cm="1">
        <f t="array" ref="T312">MAX(_xlfn._xlws.FILTER(I$1:M$1, I312:M312&lt;&gt;"?"))</f>
        <v>2023</v>
      </c>
      <c r="U312" cm="1">
        <f t="array" ref="U312">MAX(_xlfn._xlws.FILTER(F$1:J$1, F312:J312&lt;&gt;"?"))</f>
        <v>2023</v>
      </c>
      <c r="V312">
        <f t="shared" si="20"/>
        <v>298</v>
      </c>
      <c r="W312">
        <f t="shared" si="21"/>
        <v>7</v>
      </c>
      <c r="X312">
        <f t="shared" si="22"/>
        <v>6</v>
      </c>
      <c r="Y312">
        <f t="shared" si="23"/>
        <v>311</v>
      </c>
      <c r="Z312">
        <f t="shared" si="24"/>
        <v>5.1686028153097004E-4</v>
      </c>
    </row>
    <row r="313" spans="1:26" ht="16" x14ac:dyDescent="0.2">
      <c r="A313" s="4" t="s">
        <v>943</v>
      </c>
      <c r="B313" s="4" t="s">
        <v>944</v>
      </c>
      <c r="C313" s="4" t="s">
        <v>945</v>
      </c>
      <c r="D313">
        <f>INDEX('Energieverbruik in TJ Gemeente'!$B$4:$Q$347,MATCH($C313,'Energieverbruik in TJ Gemeente'!$B$4:$B$347,0),MATCH(D$2,'Energieverbruik in TJ Gemeente'!$B$4:$Q$4,0))</f>
        <v>1365</v>
      </c>
      <c r="E313">
        <f>INDEX('Energieverbruik in TJ Gemeente'!$B$4:$Q$347,MATCH($C313,'Energieverbruik in TJ Gemeente'!$B$4:$B$347,0),MATCH(E$2,'Energieverbruik in TJ Gemeente'!$B$4:$Q$4,0))</f>
        <v>1337</v>
      </c>
      <c r="F313">
        <f>INDEX('Energieverbruik in TJ Gemeente'!$B$4:$Q$347,MATCH($C313,'Energieverbruik in TJ Gemeente'!$B$4:$B$347,0),MATCH(F$2,'Energieverbruik in TJ Gemeente'!$B$4:$Q$4,0))</f>
        <v>1314</v>
      </c>
      <c r="G313" t="str">
        <f>INDEX('Energieverbruik in TJ Gemeente'!$B$4:$Q$347,MATCH($C313,'Energieverbruik in TJ Gemeente'!$B$4:$B$347,0),MATCH(G$2,'Energieverbruik in TJ Gemeente'!$B$4:$Q$4,0))</f>
        <v>?</v>
      </c>
      <c r="H313">
        <f>INDEX('Energieverbruik in TJ Gemeente'!$B$4:$Q$347,MATCH($C313,'Energieverbruik in TJ Gemeente'!$B$4:$B$347,0),MATCH(H$2,'Energieverbruik in TJ Gemeente'!$B$4:$Q$4,0))</f>
        <v>973</v>
      </c>
      <c r="I313">
        <f>INDEX('Energieverbruik in TJ Gemeente'!$B$4:$Q$347,MATCH($C313,'Energieverbruik in TJ Gemeente'!$B$4:$B$347,0),MATCH(I$2,'Energieverbruik in TJ Gemeente'!$B$4:$Q$4,0))</f>
        <v>332</v>
      </c>
      <c r="J313">
        <f>INDEX('Energieverbruik in TJ Gemeente'!$B$4:$Q$347,MATCH($C313,'Energieverbruik in TJ Gemeente'!$B$4:$B$347,0),MATCH(J$2,'Energieverbruik in TJ Gemeente'!$B$4:$Q$4,0))</f>
        <v>325</v>
      </c>
      <c r="K313">
        <f>INDEX('Energieverbruik in TJ Gemeente'!$B$4:$Q$347,MATCH($C313,'Energieverbruik in TJ Gemeente'!$B$4:$B$347,0),MATCH(K$2,'Energieverbruik in TJ Gemeente'!$B$4:$Q$4,0))</f>
        <v>348</v>
      </c>
      <c r="L313" t="str">
        <f>INDEX('Energieverbruik in TJ Gemeente'!$B$4:$Q$347,MATCH($C313,'Energieverbruik in TJ Gemeente'!$B$4:$B$347,0),MATCH(L$2,'Energieverbruik in TJ Gemeente'!$B$4:$Q$4,0))</f>
        <v>?</v>
      </c>
      <c r="M313">
        <f>INDEX('Energieverbruik in TJ Gemeente'!$B$4:$Q$347,MATCH($C313,'Energieverbruik in TJ Gemeente'!$B$4:$B$347,0),MATCH(M$2,'Energieverbruik in TJ Gemeente'!$B$4:$Q$4,0))</f>
        <v>594</v>
      </c>
      <c r="N313">
        <f>INDEX('Energieverbruik in TJ Gemeente'!$B$4:$Q$347,MATCH($C313,'Energieverbruik in TJ Gemeente'!$B$4:$B$347,0),MATCH(N$2,'Energieverbruik in TJ Gemeente'!$B$4:$Q$4,0))</f>
        <v>58</v>
      </c>
      <c r="O313">
        <f>INDEX('Energieverbruik in TJ Gemeente'!$B$4:$Q$347,MATCH($C313,'Energieverbruik in TJ Gemeente'!$B$4:$B$347,0),MATCH(O$2,'Energieverbruik in TJ Gemeente'!$B$4:$Q$4,0))</f>
        <v>57</v>
      </c>
      <c r="P313">
        <f>INDEX('Energieverbruik in TJ Gemeente'!$B$4:$Q$347,MATCH($C313,'Energieverbruik in TJ Gemeente'!$B$4:$B$347,0),MATCH(P$2,'Energieverbruik in TJ Gemeente'!$B$4:$Q$4,0))</f>
        <v>69</v>
      </c>
      <c r="Q313">
        <f>INDEX('Energieverbruik in TJ Gemeente'!$B$4:$Q$347,MATCH($C313,'Energieverbruik in TJ Gemeente'!$B$4:$B$347,0),MATCH(Q$2,'Energieverbruik in TJ Gemeente'!$B$4:$Q$4,0))</f>
        <v>61</v>
      </c>
      <c r="R313">
        <f>INDEX('Energieverbruik in TJ Gemeente'!$B$4:$Q$347,MATCH($C313,'Energieverbruik in TJ Gemeente'!$B$4:$B$347,0),MATCH(R$2,'Energieverbruik in TJ Gemeente'!$B$4:$Q$4,0))</f>
        <v>60</v>
      </c>
      <c r="S313" cm="1">
        <f t="array" ref="S313">MAX(_xlfn._xlws.FILTER(D$1:H$1, D313:H313&lt;&gt;"?"))</f>
        <v>2023</v>
      </c>
      <c r="T313" cm="1">
        <f t="array" ref="T313">MAX(_xlfn._xlws.FILTER(I$1:M$1, I313:M313&lt;&gt;"?"))</f>
        <v>2023</v>
      </c>
      <c r="U313" cm="1">
        <f t="array" ref="U313">MAX(_xlfn._xlws.FILTER(F$1:J$1, F313:J313&lt;&gt;"?"))</f>
        <v>2023</v>
      </c>
      <c r="V313">
        <f t="shared" si="20"/>
        <v>973</v>
      </c>
      <c r="W313">
        <f t="shared" si="21"/>
        <v>594</v>
      </c>
      <c r="X313">
        <f t="shared" si="22"/>
        <v>60</v>
      </c>
      <c r="Y313">
        <f t="shared" si="23"/>
        <v>1627</v>
      </c>
      <c r="Z313">
        <f t="shared" si="24"/>
        <v>2.7039603795848497E-3</v>
      </c>
    </row>
    <row r="314" spans="1:26" ht="32" x14ac:dyDescent="0.2">
      <c r="A314" s="4" t="s">
        <v>946</v>
      </c>
      <c r="B314" s="4" t="s">
        <v>947</v>
      </c>
      <c r="C314" s="4" t="s">
        <v>948</v>
      </c>
      <c r="D314">
        <f>INDEX('Energieverbruik in TJ Gemeente'!$B$4:$Q$347,MATCH($C314,'Energieverbruik in TJ Gemeente'!$B$4:$B$347,0),MATCH(D$2,'Energieverbruik in TJ Gemeente'!$B$4:$Q$4,0))</f>
        <v>1335</v>
      </c>
      <c r="E314">
        <f>INDEX('Energieverbruik in TJ Gemeente'!$B$4:$Q$347,MATCH($C314,'Energieverbruik in TJ Gemeente'!$B$4:$B$347,0),MATCH(E$2,'Energieverbruik in TJ Gemeente'!$B$4:$Q$4,0))</f>
        <v>1267</v>
      </c>
      <c r="F314">
        <f>INDEX('Energieverbruik in TJ Gemeente'!$B$4:$Q$347,MATCH($C314,'Energieverbruik in TJ Gemeente'!$B$4:$B$347,0),MATCH(F$2,'Energieverbruik in TJ Gemeente'!$B$4:$Q$4,0))</f>
        <v>1294</v>
      </c>
      <c r="G314">
        <f>INDEX('Energieverbruik in TJ Gemeente'!$B$4:$Q$347,MATCH($C314,'Energieverbruik in TJ Gemeente'!$B$4:$B$347,0),MATCH(G$2,'Energieverbruik in TJ Gemeente'!$B$4:$Q$4,0))</f>
        <v>1107</v>
      </c>
      <c r="H314">
        <f>INDEX('Energieverbruik in TJ Gemeente'!$B$4:$Q$347,MATCH($C314,'Energieverbruik in TJ Gemeente'!$B$4:$B$347,0),MATCH(H$2,'Energieverbruik in TJ Gemeente'!$B$4:$Q$4,0))</f>
        <v>904</v>
      </c>
      <c r="I314">
        <f>INDEX('Energieverbruik in TJ Gemeente'!$B$4:$Q$347,MATCH($C314,'Energieverbruik in TJ Gemeente'!$B$4:$B$347,0),MATCH(I$2,'Energieverbruik in TJ Gemeente'!$B$4:$Q$4,0))</f>
        <v>1057</v>
      </c>
      <c r="J314">
        <f>INDEX('Energieverbruik in TJ Gemeente'!$B$4:$Q$347,MATCH($C314,'Energieverbruik in TJ Gemeente'!$B$4:$B$347,0),MATCH(J$2,'Energieverbruik in TJ Gemeente'!$B$4:$Q$4,0))</f>
        <v>1079</v>
      </c>
      <c r="K314">
        <f>INDEX('Energieverbruik in TJ Gemeente'!$B$4:$Q$347,MATCH($C314,'Energieverbruik in TJ Gemeente'!$B$4:$B$347,0),MATCH(K$2,'Energieverbruik in TJ Gemeente'!$B$4:$Q$4,0))</f>
        <v>1116</v>
      </c>
      <c r="L314">
        <f>INDEX('Energieverbruik in TJ Gemeente'!$B$4:$Q$347,MATCH($C314,'Energieverbruik in TJ Gemeente'!$B$4:$B$347,0),MATCH(L$2,'Energieverbruik in TJ Gemeente'!$B$4:$Q$4,0))</f>
        <v>908</v>
      </c>
      <c r="M314">
        <f>INDEX('Energieverbruik in TJ Gemeente'!$B$4:$Q$347,MATCH($C314,'Energieverbruik in TJ Gemeente'!$B$4:$B$347,0),MATCH(M$2,'Energieverbruik in TJ Gemeente'!$B$4:$Q$4,0))</f>
        <v>1042</v>
      </c>
      <c r="N314">
        <f>INDEX('Energieverbruik in TJ Gemeente'!$B$4:$Q$347,MATCH($C314,'Energieverbruik in TJ Gemeente'!$B$4:$B$347,0),MATCH(N$2,'Energieverbruik in TJ Gemeente'!$B$4:$Q$4,0))</f>
        <v>1310</v>
      </c>
      <c r="O314">
        <f>INDEX('Energieverbruik in TJ Gemeente'!$B$4:$Q$347,MATCH($C314,'Energieverbruik in TJ Gemeente'!$B$4:$B$347,0),MATCH(O$2,'Energieverbruik in TJ Gemeente'!$B$4:$Q$4,0))</f>
        <v>1273</v>
      </c>
      <c r="P314">
        <f>INDEX('Energieverbruik in TJ Gemeente'!$B$4:$Q$347,MATCH($C314,'Energieverbruik in TJ Gemeente'!$B$4:$B$347,0),MATCH(P$2,'Energieverbruik in TJ Gemeente'!$B$4:$Q$4,0))</f>
        <v>1378</v>
      </c>
      <c r="Q314">
        <f>INDEX('Energieverbruik in TJ Gemeente'!$B$4:$Q$347,MATCH($C314,'Energieverbruik in TJ Gemeente'!$B$4:$B$347,0),MATCH(Q$2,'Energieverbruik in TJ Gemeente'!$B$4:$Q$4,0))</f>
        <v>980</v>
      </c>
      <c r="R314">
        <f>INDEX('Energieverbruik in TJ Gemeente'!$B$4:$Q$347,MATCH($C314,'Energieverbruik in TJ Gemeente'!$B$4:$B$347,0),MATCH(R$2,'Energieverbruik in TJ Gemeente'!$B$4:$Q$4,0))</f>
        <v>995</v>
      </c>
      <c r="S314" cm="1">
        <f t="array" ref="S314">MAX(_xlfn._xlws.FILTER(D$1:H$1, D314:H314&lt;&gt;"?"))</f>
        <v>2023</v>
      </c>
      <c r="T314" cm="1">
        <f t="array" ref="T314">MAX(_xlfn._xlws.FILTER(I$1:M$1, I314:M314&lt;&gt;"?"))</f>
        <v>2023</v>
      </c>
      <c r="U314" cm="1">
        <f t="array" ref="U314">MAX(_xlfn._xlws.FILTER(F$1:J$1, F314:J314&lt;&gt;"?"))</f>
        <v>2023</v>
      </c>
      <c r="V314">
        <f t="shared" si="20"/>
        <v>904</v>
      </c>
      <c r="W314">
        <f t="shared" si="21"/>
        <v>1042</v>
      </c>
      <c r="X314">
        <f t="shared" si="22"/>
        <v>995</v>
      </c>
      <c r="Y314">
        <f t="shared" si="23"/>
        <v>2941</v>
      </c>
      <c r="Z314">
        <f t="shared" si="24"/>
        <v>4.8877366173073408E-3</v>
      </c>
    </row>
    <row r="315" spans="1:26" ht="32" x14ac:dyDescent="0.2">
      <c r="A315" s="4" t="s">
        <v>949</v>
      </c>
      <c r="B315" s="4" t="s">
        <v>950</v>
      </c>
      <c r="C315" s="4" t="s">
        <v>951</v>
      </c>
      <c r="D315">
        <f>INDEX('Energieverbruik in TJ Gemeente'!$B$4:$Q$347,MATCH($C315,'Energieverbruik in TJ Gemeente'!$B$4:$B$347,0),MATCH(D$2,'Energieverbruik in TJ Gemeente'!$B$4:$Q$4,0))</f>
        <v>524</v>
      </c>
      <c r="E315">
        <f>INDEX('Energieverbruik in TJ Gemeente'!$B$4:$Q$347,MATCH($C315,'Energieverbruik in TJ Gemeente'!$B$4:$B$347,0),MATCH(E$2,'Energieverbruik in TJ Gemeente'!$B$4:$Q$4,0))</f>
        <v>502</v>
      </c>
      <c r="F315">
        <f>INDEX('Energieverbruik in TJ Gemeente'!$B$4:$Q$347,MATCH($C315,'Energieverbruik in TJ Gemeente'!$B$4:$B$347,0),MATCH(F$2,'Energieverbruik in TJ Gemeente'!$B$4:$Q$4,0))</f>
        <v>513</v>
      </c>
      <c r="G315">
        <f>INDEX('Energieverbruik in TJ Gemeente'!$B$4:$Q$347,MATCH($C315,'Energieverbruik in TJ Gemeente'!$B$4:$B$347,0),MATCH(G$2,'Energieverbruik in TJ Gemeente'!$B$4:$Q$4,0))</f>
        <v>446</v>
      </c>
      <c r="H315">
        <f>INDEX('Energieverbruik in TJ Gemeente'!$B$4:$Q$347,MATCH($C315,'Energieverbruik in TJ Gemeente'!$B$4:$B$347,0),MATCH(H$2,'Energieverbruik in TJ Gemeente'!$B$4:$Q$4,0))</f>
        <v>355</v>
      </c>
      <c r="I315">
        <f>INDEX('Energieverbruik in TJ Gemeente'!$B$4:$Q$347,MATCH($C315,'Energieverbruik in TJ Gemeente'!$B$4:$B$347,0),MATCH(I$2,'Energieverbruik in TJ Gemeente'!$B$4:$Q$4,0))</f>
        <v>22</v>
      </c>
      <c r="J315">
        <f>INDEX('Energieverbruik in TJ Gemeente'!$B$4:$Q$347,MATCH($C315,'Energieverbruik in TJ Gemeente'!$B$4:$B$347,0),MATCH(J$2,'Energieverbruik in TJ Gemeente'!$B$4:$Q$4,0))</f>
        <v>20</v>
      </c>
      <c r="K315">
        <f>INDEX('Energieverbruik in TJ Gemeente'!$B$4:$Q$347,MATCH($C315,'Energieverbruik in TJ Gemeente'!$B$4:$B$347,0),MATCH(K$2,'Energieverbruik in TJ Gemeente'!$B$4:$Q$4,0))</f>
        <v>22</v>
      </c>
      <c r="L315">
        <f>INDEX('Energieverbruik in TJ Gemeente'!$B$4:$Q$347,MATCH($C315,'Energieverbruik in TJ Gemeente'!$B$4:$B$347,0),MATCH(L$2,'Energieverbruik in TJ Gemeente'!$B$4:$Q$4,0))</f>
        <v>18</v>
      </c>
      <c r="M315">
        <f>INDEX('Energieverbruik in TJ Gemeente'!$B$4:$Q$347,MATCH($C315,'Energieverbruik in TJ Gemeente'!$B$4:$B$347,0),MATCH(M$2,'Energieverbruik in TJ Gemeente'!$B$4:$Q$4,0))</f>
        <v>15</v>
      </c>
      <c r="N315">
        <f>INDEX('Energieverbruik in TJ Gemeente'!$B$4:$Q$347,MATCH($C315,'Energieverbruik in TJ Gemeente'!$B$4:$B$347,0),MATCH(N$2,'Energieverbruik in TJ Gemeente'!$B$4:$Q$4,0))</f>
        <v>30</v>
      </c>
      <c r="O315">
        <f>INDEX('Energieverbruik in TJ Gemeente'!$B$4:$Q$347,MATCH($C315,'Energieverbruik in TJ Gemeente'!$B$4:$B$347,0),MATCH(O$2,'Energieverbruik in TJ Gemeente'!$B$4:$Q$4,0))</f>
        <v>21</v>
      </c>
      <c r="P315">
        <f>INDEX('Energieverbruik in TJ Gemeente'!$B$4:$Q$347,MATCH($C315,'Energieverbruik in TJ Gemeente'!$B$4:$B$347,0),MATCH(P$2,'Energieverbruik in TJ Gemeente'!$B$4:$Q$4,0))</f>
        <v>22</v>
      </c>
      <c r="Q315">
        <f>INDEX('Energieverbruik in TJ Gemeente'!$B$4:$Q$347,MATCH($C315,'Energieverbruik in TJ Gemeente'!$B$4:$B$347,0),MATCH(Q$2,'Energieverbruik in TJ Gemeente'!$B$4:$Q$4,0))</f>
        <v>12</v>
      </c>
      <c r="R315">
        <f>INDEX('Energieverbruik in TJ Gemeente'!$B$4:$Q$347,MATCH($C315,'Energieverbruik in TJ Gemeente'!$B$4:$B$347,0),MATCH(R$2,'Energieverbruik in TJ Gemeente'!$B$4:$Q$4,0))</f>
        <v>9</v>
      </c>
      <c r="S315" cm="1">
        <f t="array" ref="S315">MAX(_xlfn._xlws.FILTER(D$1:H$1, D315:H315&lt;&gt;"?"))</f>
        <v>2023</v>
      </c>
      <c r="T315" cm="1">
        <f t="array" ref="T315">MAX(_xlfn._xlws.FILTER(I$1:M$1, I315:M315&lt;&gt;"?"))</f>
        <v>2023</v>
      </c>
      <c r="U315" cm="1">
        <f t="array" ref="U315">MAX(_xlfn._xlws.FILTER(F$1:J$1, F315:J315&lt;&gt;"?"))</f>
        <v>2023</v>
      </c>
      <c r="V315">
        <f t="shared" si="20"/>
        <v>355</v>
      </c>
      <c r="W315">
        <f t="shared" si="21"/>
        <v>15</v>
      </c>
      <c r="X315">
        <f t="shared" si="22"/>
        <v>9</v>
      </c>
      <c r="Y315">
        <f t="shared" si="23"/>
        <v>379</v>
      </c>
      <c r="Z315">
        <f t="shared" si="24"/>
        <v>6.298715327981918E-4</v>
      </c>
    </row>
    <row r="316" spans="1:26" ht="32" x14ac:dyDescent="0.2">
      <c r="A316" s="4" t="s">
        <v>952</v>
      </c>
      <c r="B316" s="4" t="s">
        <v>953</v>
      </c>
      <c r="C316" s="4" t="s">
        <v>954</v>
      </c>
      <c r="D316">
        <f>INDEX('Energieverbruik in TJ Gemeente'!$B$4:$Q$347,MATCH($C316,'Energieverbruik in TJ Gemeente'!$B$4:$B$347,0),MATCH(D$2,'Energieverbruik in TJ Gemeente'!$B$4:$Q$4,0))</f>
        <v>1695</v>
      </c>
      <c r="E316">
        <f>INDEX('Energieverbruik in TJ Gemeente'!$B$4:$Q$347,MATCH($C316,'Energieverbruik in TJ Gemeente'!$B$4:$B$347,0),MATCH(E$2,'Energieverbruik in TJ Gemeente'!$B$4:$Q$4,0))</f>
        <v>1689</v>
      </c>
      <c r="F316" t="str">
        <f>INDEX('Energieverbruik in TJ Gemeente'!$B$4:$Q$347,MATCH($C316,'Energieverbruik in TJ Gemeente'!$B$4:$B$347,0),MATCH(F$2,'Energieverbruik in TJ Gemeente'!$B$4:$Q$4,0))</f>
        <v>?</v>
      </c>
      <c r="G316">
        <f>INDEX('Energieverbruik in TJ Gemeente'!$B$4:$Q$347,MATCH($C316,'Energieverbruik in TJ Gemeente'!$B$4:$B$347,0),MATCH(G$2,'Energieverbruik in TJ Gemeente'!$B$4:$Q$4,0))</f>
        <v>1447</v>
      </c>
      <c r="H316">
        <f>INDEX('Energieverbruik in TJ Gemeente'!$B$4:$Q$347,MATCH($C316,'Energieverbruik in TJ Gemeente'!$B$4:$B$347,0),MATCH(H$2,'Energieverbruik in TJ Gemeente'!$B$4:$Q$4,0))</f>
        <v>1171</v>
      </c>
      <c r="I316">
        <f>INDEX('Energieverbruik in TJ Gemeente'!$B$4:$Q$347,MATCH($C316,'Energieverbruik in TJ Gemeente'!$B$4:$B$347,0),MATCH(I$2,'Energieverbruik in TJ Gemeente'!$B$4:$Q$4,0))</f>
        <v>351</v>
      </c>
      <c r="J316">
        <f>INDEX('Energieverbruik in TJ Gemeente'!$B$4:$Q$347,MATCH($C316,'Energieverbruik in TJ Gemeente'!$B$4:$B$347,0),MATCH(J$2,'Energieverbruik in TJ Gemeente'!$B$4:$Q$4,0))</f>
        <v>366</v>
      </c>
      <c r="K316">
        <f>INDEX('Energieverbruik in TJ Gemeente'!$B$4:$Q$347,MATCH($C316,'Energieverbruik in TJ Gemeente'!$B$4:$B$347,0),MATCH(K$2,'Energieverbruik in TJ Gemeente'!$B$4:$Q$4,0))</f>
        <v>406</v>
      </c>
      <c r="L316">
        <f>INDEX('Energieverbruik in TJ Gemeente'!$B$4:$Q$347,MATCH($C316,'Energieverbruik in TJ Gemeente'!$B$4:$B$347,0),MATCH(L$2,'Energieverbruik in TJ Gemeente'!$B$4:$Q$4,0))</f>
        <v>334</v>
      </c>
      <c r="M316">
        <f>INDEX('Energieverbruik in TJ Gemeente'!$B$4:$Q$347,MATCH($C316,'Energieverbruik in TJ Gemeente'!$B$4:$B$347,0),MATCH(M$2,'Energieverbruik in TJ Gemeente'!$B$4:$Q$4,0))</f>
        <v>318</v>
      </c>
      <c r="N316">
        <f>INDEX('Energieverbruik in TJ Gemeente'!$B$4:$Q$347,MATCH($C316,'Energieverbruik in TJ Gemeente'!$B$4:$B$347,0),MATCH(N$2,'Energieverbruik in TJ Gemeente'!$B$4:$Q$4,0))</f>
        <v>125</v>
      </c>
      <c r="O316">
        <f>INDEX('Energieverbruik in TJ Gemeente'!$B$4:$Q$347,MATCH($C316,'Energieverbruik in TJ Gemeente'!$B$4:$B$347,0),MATCH(O$2,'Energieverbruik in TJ Gemeente'!$B$4:$Q$4,0))</f>
        <v>110</v>
      </c>
      <c r="P316">
        <f>INDEX('Energieverbruik in TJ Gemeente'!$B$4:$Q$347,MATCH($C316,'Energieverbruik in TJ Gemeente'!$B$4:$B$347,0),MATCH(P$2,'Energieverbruik in TJ Gemeente'!$B$4:$Q$4,0))</f>
        <v>110</v>
      </c>
      <c r="Q316">
        <f>INDEX('Energieverbruik in TJ Gemeente'!$B$4:$Q$347,MATCH($C316,'Energieverbruik in TJ Gemeente'!$B$4:$B$347,0),MATCH(Q$2,'Energieverbruik in TJ Gemeente'!$B$4:$Q$4,0))</f>
        <v>86</v>
      </c>
      <c r="R316">
        <f>INDEX('Energieverbruik in TJ Gemeente'!$B$4:$Q$347,MATCH($C316,'Energieverbruik in TJ Gemeente'!$B$4:$B$347,0),MATCH(R$2,'Energieverbruik in TJ Gemeente'!$B$4:$Q$4,0))</f>
        <v>67</v>
      </c>
      <c r="S316" cm="1">
        <f t="array" ref="S316">MAX(_xlfn._xlws.FILTER(D$1:H$1, D316:H316&lt;&gt;"?"))</f>
        <v>2023</v>
      </c>
      <c r="T316" cm="1">
        <f t="array" ref="T316">MAX(_xlfn._xlws.FILTER(I$1:M$1, I316:M316&lt;&gt;"?"))</f>
        <v>2023</v>
      </c>
      <c r="U316" cm="1">
        <f t="array" ref="U316">MAX(_xlfn._xlws.FILTER(F$1:J$1, F316:J316&lt;&gt;"?"))</f>
        <v>2023</v>
      </c>
      <c r="V316">
        <f t="shared" si="20"/>
        <v>1171</v>
      </c>
      <c r="W316">
        <f t="shared" si="21"/>
        <v>318</v>
      </c>
      <c r="X316">
        <f t="shared" si="22"/>
        <v>67</v>
      </c>
      <c r="Y316">
        <f t="shared" si="23"/>
        <v>1556</v>
      </c>
      <c r="Z316">
        <f t="shared" si="24"/>
        <v>2.5859633378205447E-3</v>
      </c>
    </row>
    <row r="317" spans="1:26" ht="16" x14ac:dyDescent="0.2">
      <c r="A317" s="4" t="s">
        <v>955</v>
      </c>
      <c r="B317" s="4" t="s">
        <v>956</v>
      </c>
      <c r="C317" s="4" t="s">
        <v>957</v>
      </c>
      <c r="D317" t="str">
        <f>INDEX('Energieverbruik in TJ Gemeente'!$B$4:$Q$347,MATCH($C317,'Energieverbruik in TJ Gemeente'!$B$4:$B$347,0),MATCH(D$2,'Energieverbruik in TJ Gemeente'!$B$4:$Q$4,0))</f>
        <v>?</v>
      </c>
      <c r="E317" t="str">
        <f>INDEX('Energieverbruik in TJ Gemeente'!$B$4:$Q$347,MATCH($C317,'Energieverbruik in TJ Gemeente'!$B$4:$B$347,0),MATCH(E$2,'Energieverbruik in TJ Gemeente'!$B$4:$Q$4,0))</f>
        <v>?</v>
      </c>
      <c r="F317">
        <f>INDEX('Energieverbruik in TJ Gemeente'!$B$4:$Q$347,MATCH($C317,'Energieverbruik in TJ Gemeente'!$B$4:$B$347,0),MATCH(F$2,'Energieverbruik in TJ Gemeente'!$B$4:$Q$4,0))</f>
        <v>686</v>
      </c>
      <c r="G317">
        <f>INDEX('Energieverbruik in TJ Gemeente'!$B$4:$Q$347,MATCH($C317,'Energieverbruik in TJ Gemeente'!$B$4:$B$347,0),MATCH(G$2,'Energieverbruik in TJ Gemeente'!$B$4:$Q$4,0))</f>
        <v>596</v>
      </c>
      <c r="H317">
        <f>INDEX('Energieverbruik in TJ Gemeente'!$B$4:$Q$347,MATCH($C317,'Energieverbruik in TJ Gemeente'!$B$4:$B$347,0),MATCH(H$2,'Energieverbruik in TJ Gemeente'!$B$4:$Q$4,0))</f>
        <v>480</v>
      </c>
      <c r="I317">
        <f>INDEX('Energieverbruik in TJ Gemeente'!$B$4:$Q$347,MATCH($C317,'Energieverbruik in TJ Gemeente'!$B$4:$B$347,0),MATCH(I$2,'Energieverbruik in TJ Gemeente'!$B$4:$Q$4,0))</f>
        <v>10</v>
      </c>
      <c r="J317" t="str">
        <f>INDEX('Energieverbruik in TJ Gemeente'!$B$4:$Q$347,MATCH($C317,'Energieverbruik in TJ Gemeente'!$B$4:$B$347,0),MATCH(J$2,'Energieverbruik in TJ Gemeente'!$B$4:$Q$4,0))</f>
        <v>?</v>
      </c>
      <c r="K317">
        <f>INDEX('Energieverbruik in TJ Gemeente'!$B$4:$Q$347,MATCH($C317,'Energieverbruik in TJ Gemeente'!$B$4:$B$347,0),MATCH(K$2,'Energieverbruik in TJ Gemeente'!$B$4:$Q$4,0))</f>
        <v>8</v>
      </c>
      <c r="L317">
        <f>INDEX('Energieverbruik in TJ Gemeente'!$B$4:$Q$347,MATCH($C317,'Energieverbruik in TJ Gemeente'!$B$4:$B$347,0),MATCH(L$2,'Energieverbruik in TJ Gemeente'!$B$4:$Q$4,0))</f>
        <v>7</v>
      </c>
      <c r="M317">
        <f>INDEX('Energieverbruik in TJ Gemeente'!$B$4:$Q$347,MATCH($C317,'Energieverbruik in TJ Gemeente'!$B$4:$B$347,0),MATCH(M$2,'Energieverbruik in TJ Gemeente'!$B$4:$Q$4,0))</f>
        <v>6</v>
      </c>
      <c r="N317">
        <f>INDEX('Energieverbruik in TJ Gemeente'!$B$4:$Q$347,MATCH($C317,'Energieverbruik in TJ Gemeente'!$B$4:$B$347,0),MATCH(N$2,'Energieverbruik in TJ Gemeente'!$B$4:$Q$4,0))</f>
        <v>38</v>
      </c>
      <c r="O317">
        <f>INDEX('Energieverbruik in TJ Gemeente'!$B$4:$Q$347,MATCH($C317,'Energieverbruik in TJ Gemeente'!$B$4:$B$347,0),MATCH(O$2,'Energieverbruik in TJ Gemeente'!$B$4:$Q$4,0))</f>
        <v>17</v>
      </c>
      <c r="P317">
        <f>INDEX('Energieverbruik in TJ Gemeente'!$B$4:$Q$347,MATCH($C317,'Energieverbruik in TJ Gemeente'!$B$4:$B$347,0),MATCH(P$2,'Energieverbruik in TJ Gemeente'!$B$4:$Q$4,0))</f>
        <v>20</v>
      </c>
      <c r="Q317">
        <f>INDEX('Energieverbruik in TJ Gemeente'!$B$4:$Q$347,MATCH($C317,'Energieverbruik in TJ Gemeente'!$B$4:$B$347,0),MATCH(Q$2,'Energieverbruik in TJ Gemeente'!$B$4:$Q$4,0))</f>
        <v>15</v>
      </c>
      <c r="R317">
        <f>INDEX('Energieverbruik in TJ Gemeente'!$B$4:$Q$347,MATCH($C317,'Energieverbruik in TJ Gemeente'!$B$4:$B$347,0),MATCH(R$2,'Energieverbruik in TJ Gemeente'!$B$4:$Q$4,0))</f>
        <v>12</v>
      </c>
      <c r="S317" cm="1">
        <f t="array" ref="S317">MAX(_xlfn._xlws.FILTER(D$1:H$1, D317:H317&lt;&gt;"?"))</f>
        <v>2023</v>
      </c>
      <c r="T317" cm="1">
        <f t="array" ref="T317">MAX(_xlfn._xlws.FILTER(I$1:M$1, I317:M317&lt;&gt;"?"))</f>
        <v>2023</v>
      </c>
      <c r="U317" cm="1">
        <f t="array" ref="U317">MAX(_xlfn._xlws.FILTER(F$1:J$1, F317:J317&lt;&gt;"?"))</f>
        <v>2023</v>
      </c>
      <c r="V317">
        <f t="shared" si="20"/>
        <v>480</v>
      </c>
      <c r="W317">
        <f t="shared" si="21"/>
        <v>6</v>
      </c>
      <c r="X317">
        <f t="shared" si="22"/>
        <v>12</v>
      </c>
      <c r="Y317">
        <f t="shared" si="23"/>
        <v>498</v>
      </c>
      <c r="Z317">
        <f t="shared" si="24"/>
        <v>8.2764122251582993E-4</v>
      </c>
    </row>
    <row r="318" spans="1:26" ht="16" x14ac:dyDescent="0.2">
      <c r="A318" s="4" t="s">
        <v>958</v>
      </c>
      <c r="B318" s="4" t="s">
        <v>959</v>
      </c>
      <c r="C318" s="4" t="s">
        <v>960</v>
      </c>
      <c r="D318" t="str">
        <f>INDEX('Energieverbruik in TJ Gemeente'!$B$4:$Q$347,MATCH($C318,'Energieverbruik in TJ Gemeente'!$B$4:$B$347,0),MATCH(D$2,'Energieverbruik in TJ Gemeente'!$B$4:$Q$4,0))</f>
        <v>?</v>
      </c>
      <c r="E318" t="str">
        <f>INDEX('Energieverbruik in TJ Gemeente'!$B$4:$Q$347,MATCH($C318,'Energieverbruik in TJ Gemeente'!$B$4:$B$347,0),MATCH(E$2,'Energieverbruik in TJ Gemeente'!$B$4:$Q$4,0))</f>
        <v>?</v>
      </c>
      <c r="F318" t="str">
        <f>INDEX('Energieverbruik in TJ Gemeente'!$B$4:$Q$347,MATCH($C318,'Energieverbruik in TJ Gemeente'!$B$4:$B$347,0),MATCH(F$2,'Energieverbruik in TJ Gemeente'!$B$4:$Q$4,0))</f>
        <v>?</v>
      </c>
      <c r="G318" t="str">
        <f>INDEX('Energieverbruik in TJ Gemeente'!$B$4:$Q$347,MATCH($C318,'Energieverbruik in TJ Gemeente'!$B$4:$B$347,0),MATCH(G$2,'Energieverbruik in TJ Gemeente'!$B$4:$Q$4,0))</f>
        <v>?</v>
      </c>
      <c r="H318" t="str">
        <f>INDEX('Energieverbruik in TJ Gemeente'!$B$4:$Q$347,MATCH($C318,'Energieverbruik in TJ Gemeente'!$B$4:$B$347,0),MATCH(H$2,'Energieverbruik in TJ Gemeente'!$B$4:$Q$4,0))</f>
        <v>?</v>
      </c>
      <c r="I318">
        <f>INDEX('Energieverbruik in TJ Gemeente'!$B$4:$Q$347,MATCH($C318,'Energieverbruik in TJ Gemeente'!$B$4:$B$347,0),MATCH(I$2,'Energieverbruik in TJ Gemeente'!$B$4:$Q$4,0))</f>
        <v>7</v>
      </c>
      <c r="J318">
        <f>INDEX('Energieverbruik in TJ Gemeente'!$B$4:$Q$347,MATCH($C318,'Energieverbruik in TJ Gemeente'!$B$4:$B$347,0),MATCH(J$2,'Energieverbruik in TJ Gemeente'!$B$4:$Q$4,0))</f>
        <v>6</v>
      </c>
      <c r="K318">
        <f>INDEX('Energieverbruik in TJ Gemeente'!$B$4:$Q$347,MATCH($C318,'Energieverbruik in TJ Gemeente'!$B$4:$B$347,0),MATCH(K$2,'Energieverbruik in TJ Gemeente'!$B$4:$Q$4,0))</f>
        <v>7</v>
      </c>
      <c r="L318" t="str">
        <f>INDEX('Energieverbruik in TJ Gemeente'!$B$4:$Q$347,MATCH($C318,'Energieverbruik in TJ Gemeente'!$B$4:$B$347,0),MATCH(L$2,'Energieverbruik in TJ Gemeente'!$B$4:$Q$4,0))</f>
        <v>?</v>
      </c>
      <c r="M318" t="str">
        <f>INDEX('Energieverbruik in TJ Gemeente'!$B$4:$Q$347,MATCH($C318,'Energieverbruik in TJ Gemeente'!$B$4:$B$347,0),MATCH(M$2,'Energieverbruik in TJ Gemeente'!$B$4:$Q$4,0))</f>
        <v>?</v>
      </c>
      <c r="N318">
        <f>INDEX('Energieverbruik in TJ Gemeente'!$B$4:$Q$347,MATCH($C318,'Energieverbruik in TJ Gemeente'!$B$4:$B$347,0),MATCH(N$2,'Energieverbruik in TJ Gemeente'!$B$4:$Q$4,0))</f>
        <v>0</v>
      </c>
      <c r="O318" t="str">
        <f>INDEX('Energieverbruik in TJ Gemeente'!$B$4:$Q$347,MATCH($C318,'Energieverbruik in TJ Gemeente'!$B$4:$B$347,0),MATCH(O$2,'Energieverbruik in TJ Gemeente'!$B$4:$Q$4,0))</f>
        <v>?</v>
      </c>
      <c r="P318" t="str">
        <f>INDEX('Energieverbruik in TJ Gemeente'!$B$4:$Q$347,MATCH($C318,'Energieverbruik in TJ Gemeente'!$B$4:$B$347,0),MATCH(P$2,'Energieverbruik in TJ Gemeente'!$B$4:$Q$4,0))</f>
        <v>?</v>
      </c>
      <c r="Q318" t="str">
        <f>INDEX('Energieverbruik in TJ Gemeente'!$B$4:$Q$347,MATCH($C318,'Energieverbruik in TJ Gemeente'!$B$4:$B$347,0),MATCH(Q$2,'Energieverbruik in TJ Gemeente'!$B$4:$Q$4,0))</f>
        <v>?</v>
      </c>
      <c r="R318" t="str">
        <f>INDEX('Energieverbruik in TJ Gemeente'!$B$4:$Q$347,MATCH($C318,'Energieverbruik in TJ Gemeente'!$B$4:$B$347,0),MATCH(R$2,'Energieverbruik in TJ Gemeente'!$B$4:$Q$4,0))</f>
        <v>?</v>
      </c>
      <c r="S318" t="e" cm="1" vm="1">
        <f t="array" ref="S318">MAX(_xlfn._xlws.FILTER(D$1:H$1, D318:H318&lt;&gt;"?"))</f>
        <v>#VALUE!</v>
      </c>
      <c r="T318" cm="1">
        <f t="array" ref="T318">MAX(_xlfn._xlws.FILTER(I$1:M$1, I318:M318&lt;&gt;"?"))</f>
        <v>2021</v>
      </c>
      <c r="U318" cm="1">
        <f t="array" ref="U318">MAX(_xlfn._xlws.FILTER(F$1:J$1, F318:J318&lt;&gt;"?"))</f>
        <v>2020</v>
      </c>
      <c r="V318">
        <f t="shared" si="20"/>
        <v>0</v>
      </c>
      <c r="W318">
        <f t="shared" si="21"/>
        <v>7</v>
      </c>
      <c r="X318" t="str">
        <f t="shared" si="22"/>
        <v>?</v>
      </c>
      <c r="Y318">
        <f t="shared" si="23"/>
        <v>7</v>
      </c>
      <c r="Z318">
        <f t="shared" si="24"/>
        <v>1.1633511159861063E-5</v>
      </c>
    </row>
    <row r="319" spans="1:26" ht="32" x14ac:dyDescent="0.2">
      <c r="A319" s="4" t="s">
        <v>961</v>
      </c>
      <c r="B319" s="4" t="s">
        <v>962</v>
      </c>
      <c r="C319" s="4" t="s">
        <v>963</v>
      </c>
      <c r="D319">
        <f>INDEX('Energieverbruik in TJ Gemeente'!$B$4:$Q$347,MATCH($C319,'Energieverbruik in TJ Gemeente'!$B$4:$B$347,0),MATCH(D$2,'Energieverbruik in TJ Gemeente'!$B$4:$Q$4,0))</f>
        <v>846</v>
      </c>
      <c r="E319">
        <f>INDEX('Energieverbruik in TJ Gemeente'!$B$4:$Q$347,MATCH($C319,'Energieverbruik in TJ Gemeente'!$B$4:$B$347,0),MATCH(E$2,'Energieverbruik in TJ Gemeente'!$B$4:$Q$4,0))</f>
        <v>881</v>
      </c>
      <c r="F319">
        <f>INDEX('Energieverbruik in TJ Gemeente'!$B$4:$Q$347,MATCH($C319,'Energieverbruik in TJ Gemeente'!$B$4:$B$347,0),MATCH(F$2,'Energieverbruik in TJ Gemeente'!$B$4:$Q$4,0))</f>
        <v>915</v>
      </c>
      <c r="G319" t="str">
        <f>INDEX('Energieverbruik in TJ Gemeente'!$B$4:$Q$347,MATCH($C319,'Energieverbruik in TJ Gemeente'!$B$4:$B$347,0),MATCH(G$2,'Energieverbruik in TJ Gemeente'!$B$4:$Q$4,0))</f>
        <v>?</v>
      </c>
      <c r="H319">
        <f>INDEX('Energieverbruik in TJ Gemeente'!$B$4:$Q$347,MATCH($C319,'Energieverbruik in TJ Gemeente'!$B$4:$B$347,0),MATCH(H$2,'Energieverbruik in TJ Gemeente'!$B$4:$Q$4,0))</f>
        <v>619</v>
      </c>
      <c r="I319" t="str">
        <f>INDEX('Energieverbruik in TJ Gemeente'!$B$4:$Q$347,MATCH($C319,'Energieverbruik in TJ Gemeente'!$B$4:$B$347,0),MATCH(I$2,'Energieverbruik in TJ Gemeente'!$B$4:$Q$4,0))</f>
        <v>?</v>
      </c>
      <c r="J319" t="str">
        <f>INDEX('Energieverbruik in TJ Gemeente'!$B$4:$Q$347,MATCH($C319,'Energieverbruik in TJ Gemeente'!$B$4:$B$347,0),MATCH(J$2,'Energieverbruik in TJ Gemeente'!$B$4:$Q$4,0))</f>
        <v>?</v>
      </c>
      <c r="K319" t="str">
        <f>INDEX('Energieverbruik in TJ Gemeente'!$B$4:$Q$347,MATCH($C319,'Energieverbruik in TJ Gemeente'!$B$4:$B$347,0),MATCH(K$2,'Energieverbruik in TJ Gemeente'!$B$4:$Q$4,0))</f>
        <v>?</v>
      </c>
      <c r="L319" t="str">
        <f>INDEX('Energieverbruik in TJ Gemeente'!$B$4:$Q$347,MATCH($C319,'Energieverbruik in TJ Gemeente'!$B$4:$B$347,0),MATCH(L$2,'Energieverbruik in TJ Gemeente'!$B$4:$Q$4,0))</f>
        <v>?</v>
      </c>
      <c r="M319" t="str">
        <f>INDEX('Energieverbruik in TJ Gemeente'!$B$4:$Q$347,MATCH($C319,'Energieverbruik in TJ Gemeente'!$B$4:$B$347,0),MATCH(M$2,'Energieverbruik in TJ Gemeente'!$B$4:$Q$4,0))</f>
        <v>?</v>
      </c>
      <c r="N319" t="str">
        <f>INDEX('Energieverbruik in TJ Gemeente'!$B$4:$Q$347,MATCH($C319,'Energieverbruik in TJ Gemeente'!$B$4:$B$347,0),MATCH(N$2,'Energieverbruik in TJ Gemeente'!$B$4:$Q$4,0))</f>
        <v>?</v>
      </c>
      <c r="O319">
        <f>INDEX('Energieverbruik in TJ Gemeente'!$B$4:$Q$347,MATCH($C319,'Energieverbruik in TJ Gemeente'!$B$4:$B$347,0),MATCH(O$2,'Energieverbruik in TJ Gemeente'!$B$4:$Q$4,0))</f>
        <v>53</v>
      </c>
      <c r="P319">
        <f>INDEX('Energieverbruik in TJ Gemeente'!$B$4:$Q$347,MATCH($C319,'Energieverbruik in TJ Gemeente'!$B$4:$B$347,0),MATCH(P$2,'Energieverbruik in TJ Gemeente'!$B$4:$Q$4,0))</f>
        <v>54</v>
      </c>
      <c r="Q319">
        <f>INDEX('Energieverbruik in TJ Gemeente'!$B$4:$Q$347,MATCH($C319,'Energieverbruik in TJ Gemeente'!$B$4:$B$347,0),MATCH(Q$2,'Energieverbruik in TJ Gemeente'!$B$4:$Q$4,0))</f>
        <v>45</v>
      </c>
      <c r="R319" t="str">
        <f>INDEX('Energieverbruik in TJ Gemeente'!$B$4:$Q$347,MATCH($C319,'Energieverbruik in TJ Gemeente'!$B$4:$B$347,0),MATCH(R$2,'Energieverbruik in TJ Gemeente'!$B$4:$Q$4,0))</f>
        <v>?</v>
      </c>
      <c r="S319" cm="1">
        <f t="array" ref="S319">MAX(_xlfn._xlws.FILTER(D$1:H$1, D319:H319&lt;&gt;"?"))</f>
        <v>2023</v>
      </c>
      <c r="T319" t="e" cm="1" vm="1">
        <f t="array" ref="T319">MAX(_xlfn._xlws.FILTER(I$1:M$1, I319:M319&lt;&gt;"?"))</f>
        <v>#VALUE!</v>
      </c>
      <c r="U319" cm="1">
        <f t="array" ref="U319">MAX(_xlfn._xlws.FILTER(F$1:J$1, F319:J319&lt;&gt;"?"))</f>
        <v>2023</v>
      </c>
      <c r="V319">
        <f t="shared" si="20"/>
        <v>619</v>
      </c>
      <c r="W319">
        <f t="shared" si="21"/>
        <v>0</v>
      </c>
      <c r="X319" t="str">
        <f t="shared" si="22"/>
        <v>?</v>
      </c>
      <c r="Y319">
        <f t="shared" si="23"/>
        <v>619</v>
      </c>
      <c r="Z319">
        <f t="shared" si="24"/>
        <v>1.0287347725648568E-3</v>
      </c>
    </row>
    <row r="320" spans="1:26" ht="16" x14ac:dyDescent="0.2">
      <c r="A320" s="4" t="s">
        <v>964</v>
      </c>
      <c r="B320" s="4" t="s">
        <v>965</v>
      </c>
      <c r="C320" s="4" t="s">
        <v>966</v>
      </c>
      <c r="D320" t="str">
        <f>INDEX('Energieverbruik in TJ Gemeente'!$B$4:$Q$347,MATCH($C320,'Energieverbruik in TJ Gemeente'!$B$4:$B$347,0),MATCH(D$2,'Energieverbruik in TJ Gemeente'!$B$4:$Q$4,0))</f>
        <v>?</v>
      </c>
      <c r="E320" t="str">
        <f>INDEX('Energieverbruik in TJ Gemeente'!$B$4:$Q$347,MATCH($C320,'Energieverbruik in TJ Gemeente'!$B$4:$B$347,0),MATCH(E$2,'Energieverbruik in TJ Gemeente'!$B$4:$Q$4,0))</f>
        <v>?</v>
      </c>
      <c r="F320" t="str">
        <f>INDEX('Energieverbruik in TJ Gemeente'!$B$4:$Q$347,MATCH($C320,'Energieverbruik in TJ Gemeente'!$B$4:$B$347,0),MATCH(F$2,'Energieverbruik in TJ Gemeente'!$B$4:$Q$4,0))</f>
        <v>?</v>
      </c>
      <c r="G320">
        <f>INDEX('Energieverbruik in TJ Gemeente'!$B$4:$Q$347,MATCH($C320,'Energieverbruik in TJ Gemeente'!$B$4:$B$347,0),MATCH(G$2,'Energieverbruik in TJ Gemeente'!$B$4:$Q$4,0))</f>
        <v>2068</v>
      </c>
      <c r="H320">
        <f>INDEX('Energieverbruik in TJ Gemeente'!$B$4:$Q$347,MATCH($C320,'Energieverbruik in TJ Gemeente'!$B$4:$B$347,0),MATCH(H$2,'Energieverbruik in TJ Gemeente'!$B$4:$Q$4,0))</f>
        <v>1838</v>
      </c>
      <c r="I320" t="str">
        <f>INDEX('Energieverbruik in TJ Gemeente'!$B$4:$Q$347,MATCH($C320,'Energieverbruik in TJ Gemeente'!$B$4:$B$347,0),MATCH(I$2,'Energieverbruik in TJ Gemeente'!$B$4:$Q$4,0))</f>
        <v>?</v>
      </c>
      <c r="J320" t="str">
        <f>INDEX('Energieverbruik in TJ Gemeente'!$B$4:$Q$347,MATCH($C320,'Energieverbruik in TJ Gemeente'!$B$4:$B$347,0),MATCH(J$2,'Energieverbruik in TJ Gemeente'!$B$4:$Q$4,0))</f>
        <v>?</v>
      </c>
      <c r="K320" t="str">
        <f>INDEX('Energieverbruik in TJ Gemeente'!$B$4:$Q$347,MATCH($C320,'Energieverbruik in TJ Gemeente'!$B$4:$B$347,0),MATCH(K$2,'Energieverbruik in TJ Gemeente'!$B$4:$Q$4,0))</f>
        <v>?</v>
      </c>
      <c r="L320">
        <f>INDEX('Energieverbruik in TJ Gemeente'!$B$4:$Q$347,MATCH($C320,'Energieverbruik in TJ Gemeente'!$B$4:$B$347,0),MATCH(L$2,'Energieverbruik in TJ Gemeente'!$B$4:$Q$4,0))</f>
        <v>313</v>
      </c>
      <c r="M320">
        <f>INDEX('Energieverbruik in TJ Gemeente'!$B$4:$Q$347,MATCH($C320,'Energieverbruik in TJ Gemeente'!$B$4:$B$347,0),MATCH(M$2,'Energieverbruik in TJ Gemeente'!$B$4:$Q$4,0))</f>
        <v>279</v>
      </c>
      <c r="N320">
        <f>INDEX('Energieverbruik in TJ Gemeente'!$B$4:$Q$347,MATCH($C320,'Energieverbruik in TJ Gemeente'!$B$4:$B$347,0),MATCH(N$2,'Energieverbruik in TJ Gemeente'!$B$4:$Q$4,0))</f>
        <v>28851</v>
      </c>
      <c r="O320">
        <f>INDEX('Energieverbruik in TJ Gemeente'!$B$4:$Q$347,MATCH($C320,'Energieverbruik in TJ Gemeente'!$B$4:$B$347,0),MATCH(O$2,'Energieverbruik in TJ Gemeente'!$B$4:$Q$4,0))</f>
        <v>26029</v>
      </c>
      <c r="P320">
        <f>INDEX('Energieverbruik in TJ Gemeente'!$B$4:$Q$347,MATCH($C320,'Energieverbruik in TJ Gemeente'!$B$4:$B$347,0),MATCH(P$2,'Energieverbruik in TJ Gemeente'!$B$4:$Q$4,0))</f>
        <v>29919</v>
      </c>
      <c r="Q320">
        <f>INDEX('Energieverbruik in TJ Gemeente'!$B$4:$Q$347,MATCH($C320,'Energieverbruik in TJ Gemeente'!$B$4:$B$347,0),MATCH(Q$2,'Energieverbruik in TJ Gemeente'!$B$4:$Q$4,0))</f>
        <v>22034</v>
      </c>
      <c r="R320">
        <f>INDEX('Energieverbruik in TJ Gemeente'!$B$4:$Q$347,MATCH($C320,'Energieverbruik in TJ Gemeente'!$B$4:$B$347,0),MATCH(R$2,'Energieverbruik in TJ Gemeente'!$B$4:$Q$4,0))</f>
        <v>22908</v>
      </c>
      <c r="S320" cm="1">
        <f t="array" ref="S320">MAX(_xlfn._xlws.FILTER(D$1:H$1, D320:H320&lt;&gt;"?"))</f>
        <v>2023</v>
      </c>
      <c r="T320" cm="1">
        <f t="array" ref="T320">MAX(_xlfn._xlws.FILTER(I$1:M$1, I320:M320&lt;&gt;"?"))</f>
        <v>2023</v>
      </c>
      <c r="U320" cm="1">
        <f t="array" ref="U320">MAX(_xlfn._xlws.FILTER(F$1:J$1, F320:J320&lt;&gt;"?"))</f>
        <v>2023</v>
      </c>
      <c r="V320">
        <f t="shared" si="20"/>
        <v>1838</v>
      </c>
      <c r="W320">
        <f t="shared" si="21"/>
        <v>279</v>
      </c>
      <c r="X320">
        <f t="shared" si="22"/>
        <v>22908</v>
      </c>
      <c r="Y320">
        <f t="shared" si="23"/>
        <v>25025</v>
      </c>
      <c r="Z320">
        <f t="shared" si="24"/>
        <v>4.1589802396503298E-2</v>
      </c>
    </row>
    <row r="321" spans="1:26" ht="32" x14ac:dyDescent="0.2">
      <c r="A321" s="4" t="s">
        <v>967</v>
      </c>
      <c r="B321" s="4" t="s">
        <v>968</v>
      </c>
      <c r="C321" s="4" t="s">
        <v>969</v>
      </c>
      <c r="D321">
        <f>INDEX('Energieverbruik in TJ Gemeente'!$B$4:$Q$347,MATCH($C321,'Energieverbruik in TJ Gemeente'!$B$4:$B$347,0),MATCH(D$2,'Energieverbruik in TJ Gemeente'!$B$4:$Q$4,0))</f>
        <v>727</v>
      </c>
      <c r="E321">
        <f>INDEX('Energieverbruik in TJ Gemeente'!$B$4:$Q$347,MATCH($C321,'Energieverbruik in TJ Gemeente'!$B$4:$B$347,0),MATCH(E$2,'Energieverbruik in TJ Gemeente'!$B$4:$Q$4,0))</f>
        <v>711</v>
      </c>
      <c r="F321">
        <f>INDEX('Energieverbruik in TJ Gemeente'!$B$4:$Q$347,MATCH($C321,'Energieverbruik in TJ Gemeente'!$B$4:$B$347,0),MATCH(F$2,'Energieverbruik in TJ Gemeente'!$B$4:$Q$4,0))</f>
        <v>708</v>
      </c>
      <c r="G321">
        <f>INDEX('Energieverbruik in TJ Gemeente'!$B$4:$Q$347,MATCH($C321,'Energieverbruik in TJ Gemeente'!$B$4:$B$347,0),MATCH(G$2,'Energieverbruik in TJ Gemeente'!$B$4:$Q$4,0))</f>
        <v>614</v>
      </c>
      <c r="H321">
        <f>INDEX('Energieverbruik in TJ Gemeente'!$B$4:$Q$347,MATCH($C321,'Energieverbruik in TJ Gemeente'!$B$4:$B$347,0),MATCH(H$2,'Energieverbruik in TJ Gemeente'!$B$4:$Q$4,0))</f>
        <v>505</v>
      </c>
      <c r="I321">
        <f>INDEX('Energieverbruik in TJ Gemeente'!$B$4:$Q$347,MATCH($C321,'Energieverbruik in TJ Gemeente'!$B$4:$B$347,0),MATCH(I$2,'Energieverbruik in TJ Gemeente'!$B$4:$Q$4,0))</f>
        <v>88</v>
      </c>
      <c r="J321">
        <f>INDEX('Energieverbruik in TJ Gemeente'!$B$4:$Q$347,MATCH($C321,'Energieverbruik in TJ Gemeente'!$B$4:$B$347,0),MATCH(J$2,'Energieverbruik in TJ Gemeente'!$B$4:$Q$4,0))</f>
        <v>81</v>
      </c>
      <c r="K321">
        <f>INDEX('Energieverbruik in TJ Gemeente'!$B$4:$Q$347,MATCH($C321,'Energieverbruik in TJ Gemeente'!$B$4:$B$347,0),MATCH(K$2,'Energieverbruik in TJ Gemeente'!$B$4:$Q$4,0))</f>
        <v>88</v>
      </c>
      <c r="L321">
        <f>INDEX('Energieverbruik in TJ Gemeente'!$B$4:$Q$347,MATCH($C321,'Energieverbruik in TJ Gemeente'!$B$4:$B$347,0),MATCH(L$2,'Energieverbruik in TJ Gemeente'!$B$4:$Q$4,0))</f>
        <v>79</v>
      </c>
      <c r="M321">
        <f>INDEX('Energieverbruik in TJ Gemeente'!$B$4:$Q$347,MATCH($C321,'Energieverbruik in TJ Gemeente'!$B$4:$B$347,0),MATCH(M$2,'Energieverbruik in TJ Gemeente'!$B$4:$Q$4,0))</f>
        <v>72</v>
      </c>
      <c r="N321">
        <f>INDEX('Energieverbruik in TJ Gemeente'!$B$4:$Q$347,MATCH($C321,'Energieverbruik in TJ Gemeente'!$B$4:$B$347,0),MATCH(N$2,'Energieverbruik in TJ Gemeente'!$B$4:$Q$4,0))</f>
        <v>48</v>
      </c>
      <c r="O321">
        <f>INDEX('Energieverbruik in TJ Gemeente'!$B$4:$Q$347,MATCH($C321,'Energieverbruik in TJ Gemeente'!$B$4:$B$347,0),MATCH(O$2,'Energieverbruik in TJ Gemeente'!$B$4:$Q$4,0))</f>
        <v>28</v>
      </c>
      <c r="P321">
        <f>INDEX('Energieverbruik in TJ Gemeente'!$B$4:$Q$347,MATCH($C321,'Energieverbruik in TJ Gemeente'!$B$4:$B$347,0),MATCH(P$2,'Energieverbruik in TJ Gemeente'!$B$4:$Q$4,0))</f>
        <v>31</v>
      </c>
      <c r="Q321">
        <f>INDEX('Energieverbruik in TJ Gemeente'!$B$4:$Q$347,MATCH($C321,'Energieverbruik in TJ Gemeente'!$B$4:$B$347,0),MATCH(Q$2,'Energieverbruik in TJ Gemeente'!$B$4:$Q$4,0))</f>
        <v>25</v>
      </c>
      <c r="R321">
        <f>INDEX('Energieverbruik in TJ Gemeente'!$B$4:$Q$347,MATCH($C321,'Energieverbruik in TJ Gemeente'!$B$4:$B$347,0),MATCH(R$2,'Energieverbruik in TJ Gemeente'!$B$4:$Q$4,0))</f>
        <v>21</v>
      </c>
      <c r="S321" cm="1">
        <f t="array" ref="S321">MAX(_xlfn._xlws.FILTER(D$1:H$1, D321:H321&lt;&gt;"?"))</f>
        <v>2023</v>
      </c>
      <c r="T321" cm="1">
        <f t="array" ref="T321">MAX(_xlfn._xlws.FILTER(I$1:M$1, I321:M321&lt;&gt;"?"))</f>
        <v>2023</v>
      </c>
      <c r="U321" cm="1">
        <f t="array" ref="U321">MAX(_xlfn._xlws.FILTER(F$1:J$1, F321:J321&lt;&gt;"?"))</f>
        <v>2023</v>
      </c>
      <c r="V321">
        <f t="shared" si="20"/>
        <v>505</v>
      </c>
      <c r="W321">
        <f t="shared" si="21"/>
        <v>72</v>
      </c>
      <c r="X321">
        <f t="shared" si="22"/>
        <v>21</v>
      </c>
      <c r="Y321">
        <f t="shared" si="23"/>
        <v>598</v>
      </c>
      <c r="Z321">
        <f t="shared" si="24"/>
        <v>9.9383423908527358E-4</v>
      </c>
    </row>
    <row r="322" spans="1:26" ht="16" x14ac:dyDescent="0.2">
      <c r="A322" s="4" t="s">
        <v>970</v>
      </c>
      <c r="B322" s="4" t="s">
        <v>971</v>
      </c>
      <c r="C322" s="4" t="s">
        <v>972</v>
      </c>
      <c r="D322">
        <f>INDEX('Energieverbruik in TJ Gemeente'!$B$4:$Q$347,MATCH($C322,'Energieverbruik in TJ Gemeente'!$B$4:$B$347,0),MATCH(D$2,'Energieverbruik in TJ Gemeente'!$B$4:$Q$4,0))</f>
        <v>580</v>
      </c>
      <c r="E322">
        <f>INDEX('Energieverbruik in TJ Gemeente'!$B$4:$Q$347,MATCH($C322,'Energieverbruik in TJ Gemeente'!$B$4:$B$347,0),MATCH(E$2,'Energieverbruik in TJ Gemeente'!$B$4:$Q$4,0))</f>
        <v>575</v>
      </c>
      <c r="F322">
        <f>INDEX('Energieverbruik in TJ Gemeente'!$B$4:$Q$347,MATCH($C322,'Energieverbruik in TJ Gemeente'!$B$4:$B$347,0),MATCH(F$2,'Energieverbruik in TJ Gemeente'!$B$4:$Q$4,0))</f>
        <v>622</v>
      </c>
      <c r="G322">
        <f>INDEX('Energieverbruik in TJ Gemeente'!$B$4:$Q$347,MATCH($C322,'Energieverbruik in TJ Gemeente'!$B$4:$B$347,0),MATCH(G$2,'Energieverbruik in TJ Gemeente'!$B$4:$Q$4,0))</f>
        <v>546</v>
      </c>
      <c r="H322">
        <f>INDEX('Energieverbruik in TJ Gemeente'!$B$4:$Q$347,MATCH($C322,'Energieverbruik in TJ Gemeente'!$B$4:$B$347,0),MATCH(H$2,'Energieverbruik in TJ Gemeente'!$B$4:$Q$4,0))</f>
        <v>445</v>
      </c>
      <c r="I322">
        <f>INDEX('Energieverbruik in TJ Gemeente'!$B$4:$Q$347,MATCH($C322,'Energieverbruik in TJ Gemeente'!$B$4:$B$347,0),MATCH(I$2,'Energieverbruik in TJ Gemeente'!$B$4:$Q$4,0))</f>
        <v>182</v>
      </c>
      <c r="J322">
        <f>INDEX('Energieverbruik in TJ Gemeente'!$B$4:$Q$347,MATCH($C322,'Energieverbruik in TJ Gemeente'!$B$4:$B$347,0),MATCH(J$2,'Energieverbruik in TJ Gemeente'!$B$4:$Q$4,0))</f>
        <v>179</v>
      </c>
      <c r="K322">
        <f>INDEX('Energieverbruik in TJ Gemeente'!$B$4:$Q$347,MATCH($C322,'Energieverbruik in TJ Gemeente'!$B$4:$B$347,0),MATCH(K$2,'Energieverbruik in TJ Gemeente'!$B$4:$Q$4,0))</f>
        <v>187</v>
      </c>
      <c r="L322">
        <f>INDEX('Energieverbruik in TJ Gemeente'!$B$4:$Q$347,MATCH($C322,'Energieverbruik in TJ Gemeente'!$B$4:$B$347,0),MATCH(L$2,'Energieverbruik in TJ Gemeente'!$B$4:$Q$4,0))</f>
        <v>174</v>
      </c>
      <c r="M322">
        <f>INDEX('Energieverbruik in TJ Gemeente'!$B$4:$Q$347,MATCH($C322,'Energieverbruik in TJ Gemeente'!$B$4:$B$347,0),MATCH(M$2,'Energieverbruik in TJ Gemeente'!$B$4:$Q$4,0))</f>
        <v>168</v>
      </c>
      <c r="N322">
        <f>INDEX('Energieverbruik in TJ Gemeente'!$B$4:$Q$347,MATCH($C322,'Energieverbruik in TJ Gemeente'!$B$4:$B$347,0),MATCH(N$2,'Energieverbruik in TJ Gemeente'!$B$4:$Q$4,0))</f>
        <v>35</v>
      </c>
      <c r="O322">
        <f>INDEX('Energieverbruik in TJ Gemeente'!$B$4:$Q$347,MATCH($C322,'Energieverbruik in TJ Gemeente'!$B$4:$B$347,0),MATCH(O$2,'Energieverbruik in TJ Gemeente'!$B$4:$Q$4,0))</f>
        <v>23</v>
      </c>
      <c r="P322">
        <f>INDEX('Energieverbruik in TJ Gemeente'!$B$4:$Q$347,MATCH($C322,'Energieverbruik in TJ Gemeente'!$B$4:$B$347,0),MATCH(P$2,'Energieverbruik in TJ Gemeente'!$B$4:$Q$4,0))</f>
        <v>24</v>
      </c>
      <c r="Q322">
        <f>INDEX('Energieverbruik in TJ Gemeente'!$B$4:$Q$347,MATCH($C322,'Energieverbruik in TJ Gemeente'!$B$4:$B$347,0),MATCH(Q$2,'Energieverbruik in TJ Gemeente'!$B$4:$Q$4,0))</f>
        <v>19</v>
      </c>
      <c r="R322">
        <f>INDEX('Energieverbruik in TJ Gemeente'!$B$4:$Q$347,MATCH($C322,'Energieverbruik in TJ Gemeente'!$B$4:$B$347,0),MATCH(R$2,'Energieverbruik in TJ Gemeente'!$B$4:$Q$4,0))</f>
        <v>16</v>
      </c>
      <c r="S322" cm="1">
        <f t="array" ref="S322">MAX(_xlfn._xlws.FILTER(D$1:H$1, D322:H322&lt;&gt;"?"))</f>
        <v>2023</v>
      </c>
      <c r="T322" cm="1">
        <f t="array" ref="T322">MAX(_xlfn._xlws.FILTER(I$1:M$1, I322:M322&lt;&gt;"?"))</f>
        <v>2023</v>
      </c>
      <c r="U322" cm="1">
        <f t="array" ref="U322">MAX(_xlfn._xlws.FILTER(F$1:J$1, F322:J322&lt;&gt;"?"))</f>
        <v>2023</v>
      </c>
      <c r="V322">
        <f t="shared" si="20"/>
        <v>445</v>
      </c>
      <c r="W322">
        <f t="shared" si="21"/>
        <v>168</v>
      </c>
      <c r="X322">
        <f t="shared" si="22"/>
        <v>16</v>
      </c>
      <c r="Y322">
        <f t="shared" si="23"/>
        <v>629</v>
      </c>
      <c r="Z322">
        <f t="shared" si="24"/>
        <v>1.0453540742218013E-3</v>
      </c>
    </row>
    <row r="323" spans="1:26" ht="16" x14ac:dyDescent="0.2">
      <c r="A323" s="4" t="s">
        <v>973</v>
      </c>
      <c r="B323" s="4" t="s">
        <v>974</v>
      </c>
      <c r="C323" s="4" t="s">
        <v>975</v>
      </c>
      <c r="D323">
        <f>INDEX('Energieverbruik in TJ Gemeente'!$B$4:$Q$347,MATCH($C323,'Energieverbruik in TJ Gemeente'!$B$4:$B$347,0),MATCH(D$2,'Energieverbruik in TJ Gemeente'!$B$4:$Q$4,0))</f>
        <v>947</v>
      </c>
      <c r="E323">
        <f>INDEX('Energieverbruik in TJ Gemeente'!$B$4:$Q$347,MATCH($C323,'Energieverbruik in TJ Gemeente'!$B$4:$B$347,0),MATCH(E$2,'Energieverbruik in TJ Gemeente'!$B$4:$Q$4,0))</f>
        <v>913</v>
      </c>
      <c r="F323">
        <f>INDEX('Energieverbruik in TJ Gemeente'!$B$4:$Q$347,MATCH($C323,'Energieverbruik in TJ Gemeente'!$B$4:$B$347,0),MATCH(F$2,'Energieverbruik in TJ Gemeente'!$B$4:$Q$4,0))</f>
        <v>930</v>
      </c>
      <c r="G323">
        <f>INDEX('Energieverbruik in TJ Gemeente'!$B$4:$Q$347,MATCH($C323,'Energieverbruik in TJ Gemeente'!$B$4:$B$347,0),MATCH(G$2,'Energieverbruik in TJ Gemeente'!$B$4:$Q$4,0))</f>
        <v>811</v>
      </c>
      <c r="H323">
        <f>INDEX('Energieverbruik in TJ Gemeente'!$B$4:$Q$347,MATCH($C323,'Energieverbruik in TJ Gemeente'!$B$4:$B$347,0),MATCH(H$2,'Energieverbruik in TJ Gemeente'!$B$4:$Q$4,0))</f>
        <v>665</v>
      </c>
      <c r="I323">
        <f>INDEX('Energieverbruik in TJ Gemeente'!$B$4:$Q$347,MATCH($C323,'Energieverbruik in TJ Gemeente'!$B$4:$B$347,0),MATCH(I$2,'Energieverbruik in TJ Gemeente'!$B$4:$Q$4,0))</f>
        <v>607</v>
      </c>
      <c r="J323">
        <f>INDEX('Energieverbruik in TJ Gemeente'!$B$4:$Q$347,MATCH($C323,'Energieverbruik in TJ Gemeente'!$B$4:$B$347,0),MATCH(J$2,'Energieverbruik in TJ Gemeente'!$B$4:$Q$4,0))</f>
        <v>523</v>
      </c>
      <c r="K323">
        <f>INDEX('Energieverbruik in TJ Gemeente'!$B$4:$Q$347,MATCH($C323,'Energieverbruik in TJ Gemeente'!$B$4:$B$347,0),MATCH(K$2,'Energieverbruik in TJ Gemeente'!$B$4:$Q$4,0))</f>
        <v>626</v>
      </c>
      <c r="L323">
        <f>INDEX('Energieverbruik in TJ Gemeente'!$B$4:$Q$347,MATCH($C323,'Energieverbruik in TJ Gemeente'!$B$4:$B$347,0),MATCH(L$2,'Energieverbruik in TJ Gemeente'!$B$4:$Q$4,0))</f>
        <v>574</v>
      </c>
      <c r="M323">
        <f>INDEX('Energieverbruik in TJ Gemeente'!$B$4:$Q$347,MATCH($C323,'Energieverbruik in TJ Gemeente'!$B$4:$B$347,0),MATCH(M$2,'Energieverbruik in TJ Gemeente'!$B$4:$Q$4,0))</f>
        <v>529</v>
      </c>
      <c r="N323">
        <f>INDEX('Energieverbruik in TJ Gemeente'!$B$4:$Q$347,MATCH($C323,'Energieverbruik in TJ Gemeente'!$B$4:$B$347,0),MATCH(N$2,'Energieverbruik in TJ Gemeente'!$B$4:$Q$4,0))</f>
        <v>15</v>
      </c>
      <c r="O323" t="str">
        <f>INDEX('Energieverbruik in TJ Gemeente'!$B$4:$Q$347,MATCH($C323,'Energieverbruik in TJ Gemeente'!$B$4:$B$347,0),MATCH(O$2,'Energieverbruik in TJ Gemeente'!$B$4:$Q$4,0))</f>
        <v>?</v>
      </c>
      <c r="P323">
        <f>INDEX('Energieverbruik in TJ Gemeente'!$B$4:$Q$347,MATCH($C323,'Energieverbruik in TJ Gemeente'!$B$4:$B$347,0),MATCH(P$2,'Energieverbruik in TJ Gemeente'!$B$4:$Q$4,0))</f>
        <v>16</v>
      </c>
      <c r="Q323">
        <f>INDEX('Energieverbruik in TJ Gemeente'!$B$4:$Q$347,MATCH($C323,'Energieverbruik in TJ Gemeente'!$B$4:$B$347,0),MATCH(Q$2,'Energieverbruik in TJ Gemeente'!$B$4:$Q$4,0))</f>
        <v>11</v>
      </c>
      <c r="R323">
        <f>INDEX('Energieverbruik in TJ Gemeente'!$B$4:$Q$347,MATCH($C323,'Energieverbruik in TJ Gemeente'!$B$4:$B$347,0),MATCH(R$2,'Energieverbruik in TJ Gemeente'!$B$4:$Q$4,0))</f>
        <v>9</v>
      </c>
      <c r="S323" cm="1">
        <f t="array" ref="S323">MAX(_xlfn._xlws.FILTER(D$1:H$1, D323:H323&lt;&gt;"?"))</f>
        <v>2023</v>
      </c>
      <c r="T323" cm="1">
        <f t="array" ref="T323">MAX(_xlfn._xlws.FILTER(I$1:M$1, I323:M323&lt;&gt;"?"))</f>
        <v>2023</v>
      </c>
      <c r="U323" cm="1">
        <f t="array" ref="U323">MAX(_xlfn._xlws.FILTER(F$1:J$1, F323:J323&lt;&gt;"?"))</f>
        <v>2023</v>
      </c>
      <c r="V323">
        <f t="shared" si="20"/>
        <v>665</v>
      </c>
      <c r="W323">
        <f t="shared" si="21"/>
        <v>529</v>
      </c>
      <c r="X323">
        <f t="shared" si="22"/>
        <v>9</v>
      </c>
      <c r="Y323">
        <f t="shared" si="23"/>
        <v>1203</v>
      </c>
      <c r="Z323">
        <f t="shared" si="24"/>
        <v>1.9993019893304082E-3</v>
      </c>
    </row>
    <row r="324" spans="1:26" ht="16" x14ac:dyDescent="0.2">
      <c r="A324" s="4" t="s">
        <v>976</v>
      </c>
      <c r="B324" s="4" t="s">
        <v>977</v>
      </c>
      <c r="C324" s="4" t="s">
        <v>978</v>
      </c>
      <c r="D324">
        <f>INDEX('Energieverbruik in TJ Gemeente'!$B$4:$Q$347,MATCH($C324,'Energieverbruik in TJ Gemeente'!$B$4:$B$347,0),MATCH(D$2,'Energieverbruik in TJ Gemeente'!$B$4:$Q$4,0))</f>
        <v>702</v>
      </c>
      <c r="E324">
        <f>INDEX('Energieverbruik in TJ Gemeente'!$B$4:$Q$347,MATCH($C324,'Energieverbruik in TJ Gemeente'!$B$4:$B$347,0),MATCH(E$2,'Energieverbruik in TJ Gemeente'!$B$4:$Q$4,0))</f>
        <v>647</v>
      </c>
      <c r="F324">
        <f>INDEX('Energieverbruik in TJ Gemeente'!$B$4:$Q$347,MATCH($C324,'Energieverbruik in TJ Gemeente'!$B$4:$B$347,0),MATCH(F$2,'Energieverbruik in TJ Gemeente'!$B$4:$Q$4,0))</f>
        <v>664</v>
      </c>
      <c r="G324">
        <f>INDEX('Energieverbruik in TJ Gemeente'!$B$4:$Q$347,MATCH($C324,'Energieverbruik in TJ Gemeente'!$B$4:$B$347,0),MATCH(G$2,'Energieverbruik in TJ Gemeente'!$B$4:$Q$4,0))</f>
        <v>586</v>
      </c>
      <c r="H324">
        <f>INDEX('Energieverbruik in TJ Gemeente'!$B$4:$Q$347,MATCH($C324,'Energieverbruik in TJ Gemeente'!$B$4:$B$347,0),MATCH(H$2,'Energieverbruik in TJ Gemeente'!$B$4:$Q$4,0))</f>
        <v>495</v>
      </c>
      <c r="I324">
        <f>INDEX('Energieverbruik in TJ Gemeente'!$B$4:$Q$347,MATCH($C324,'Energieverbruik in TJ Gemeente'!$B$4:$B$347,0),MATCH(I$2,'Energieverbruik in TJ Gemeente'!$B$4:$Q$4,0))</f>
        <v>22</v>
      </c>
      <c r="J324">
        <f>INDEX('Energieverbruik in TJ Gemeente'!$B$4:$Q$347,MATCH($C324,'Energieverbruik in TJ Gemeente'!$B$4:$B$347,0),MATCH(J$2,'Energieverbruik in TJ Gemeente'!$B$4:$Q$4,0))</f>
        <v>18</v>
      </c>
      <c r="K324">
        <f>INDEX('Energieverbruik in TJ Gemeente'!$B$4:$Q$347,MATCH($C324,'Energieverbruik in TJ Gemeente'!$B$4:$B$347,0),MATCH(K$2,'Energieverbruik in TJ Gemeente'!$B$4:$Q$4,0))</f>
        <v>21</v>
      </c>
      <c r="L324">
        <f>INDEX('Energieverbruik in TJ Gemeente'!$B$4:$Q$347,MATCH($C324,'Energieverbruik in TJ Gemeente'!$B$4:$B$347,0),MATCH(L$2,'Energieverbruik in TJ Gemeente'!$B$4:$Q$4,0))</f>
        <v>17</v>
      </c>
      <c r="M324">
        <f>INDEX('Energieverbruik in TJ Gemeente'!$B$4:$Q$347,MATCH($C324,'Energieverbruik in TJ Gemeente'!$B$4:$B$347,0),MATCH(M$2,'Energieverbruik in TJ Gemeente'!$B$4:$Q$4,0))</f>
        <v>16</v>
      </c>
      <c r="N324">
        <f>INDEX('Energieverbruik in TJ Gemeente'!$B$4:$Q$347,MATCH($C324,'Energieverbruik in TJ Gemeente'!$B$4:$B$347,0),MATCH(N$2,'Energieverbruik in TJ Gemeente'!$B$4:$Q$4,0))</f>
        <v>14</v>
      </c>
      <c r="O324">
        <f>INDEX('Energieverbruik in TJ Gemeente'!$B$4:$Q$347,MATCH($C324,'Energieverbruik in TJ Gemeente'!$B$4:$B$347,0),MATCH(O$2,'Energieverbruik in TJ Gemeente'!$B$4:$Q$4,0))</f>
        <v>12</v>
      </c>
      <c r="P324">
        <f>INDEX('Energieverbruik in TJ Gemeente'!$B$4:$Q$347,MATCH($C324,'Energieverbruik in TJ Gemeente'!$B$4:$B$347,0),MATCH(P$2,'Energieverbruik in TJ Gemeente'!$B$4:$Q$4,0))</f>
        <v>13</v>
      </c>
      <c r="Q324">
        <f>INDEX('Energieverbruik in TJ Gemeente'!$B$4:$Q$347,MATCH($C324,'Energieverbruik in TJ Gemeente'!$B$4:$B$347,0),MATCH(Q$2,'Energieverbruik in TJ Gemeente'!$B$4:$Q$4,0))</f>
        <v>9</v>
      </c>
      <c r="R324">
        <f>INDEX('Energieverbruik in TJ Gemeente'!$B$4:$Q$347,MATCH($C324,'Energieverbruik in TJ Gemeente'!$B$4:$B$347,0),MATCH(R$2,'Energieverbruik in TJ Gemeente'!$B$4:$Q$4,0))</f>
        <v>7</v>
      </c>
      <c r="S324" cm="1">
        <f t="array" ref="S324">MAX(_xlfn._xlws.FILTER(D$1:H$1, D324:H324&lt;&gt;"?"))</f>
        <v>2023</v>
      </c>
      <c r="T324" cm="1">
        <f t="array" ref="T324">MAX(_xlfn._xlws.FILTER(I$1:M$1, I324:M324&lt;&gt;"?"))</f>
        <v>2023</v>
      </c>
      <c r="U324" cm="1">
        <f t="array" ref="U324">MAX(_xlfn._xlws.FILTER(F$1:J$1, F324:J324&lt;&gt;"?"))</f>
        <v>2023</v>
      </c>
      <c r="V324">
        <f t="shared" ref="V324:V344" si="25">IFERROR(INDEX($D324:$H324,MATCH(S324,$D$1:$H$1,0)),0)</f>
        <v>495</v>
      </c>
      <c r="W324">
        <f t="shared" ref="W324:W344" si="26">IFERROR(INDEX($I324:$M324,MATCH(T324,$I$1:$M$1,0)),0)</f>
        <v>16</v>
      </c>
      <c r="X324">
        <f t="shared" ref="X324:X344" si="27">IFERROR(INDEX($N324:$R324,MATCH(U324,$N$1:$R$1,0)),0)</f>
        <v>7</v>
      </c>
      <c r="Y324">
        <f t="shared" ref="Y324:Y344" si="28">SUM(V324:X324)</f>
        <v>518</v>
      </c>
      <c r="Z324">
        <f t="shared" ref="Z324:Z344" si="29">Y324/SUM($Y$3:$Y$344)</f>
        <v>8.6087982582971868E-4</v>
      </c>
    </row>
    <row r="325" spans="1:26" ht="32" x14ac:dyDescent="0.2">
      <c r="A325" s="4" t="s">
        <v>979</v>
      </c>
      <c r="B325" s="4" t="s">
        <v>980</v>
      </c>
      <c r="C325" s="4" t="s">
        <v>981</v>
      </c>
      <c r="D325">
        <f>INDEX('Energieverbruik in TJ Gemeente'!$B$4:$Q$347,MATCH($C325,'Energieverbruik in TJ Gemeente'!$B$4:$B$347,0),MATCH(D$2,'Energieverbruik in TJ Gemeente'!$B$4:$Q$4,0))</f>
        <v>497</v>
      </c>
      <c r="E325">
        <f>INDEX('Energieverbruik in TJ Gemeente'!$B$4:$Q$347,MATCH($C325,'Energieverbruik in TJ Gemeente'!$B$4:$B$347,0),MATCH(E$2,'Energieverbruik in TJ Gemeente'!$B$4:$Q$4,0))</f>
        <v>497</v>
      </c>
      <c r="F325">
        <f>INDEX('Energieverbruik in TJ Gemeente'!$B$4:$Q$347,MATCH($C325,'Energieverbruik in TJ Gemeente'!$B$4:$B$347,0),MATCH(F$2,'Energieverbruik in TJ Gemeente'!$B$4:$Q$4,0))</f>
        <v>501</v>
      </c>
      <c r="G325">
        <f>INDEX('Energieverbruik in TJ Gemeente'!$B$4:$Q$347,MATCH($C325,'Energieverbruik in TJ Gemeente'!$B$4:$B$347,0),MATCH(G$2,'Energieverbruik in TJ Gemeente'!$B$4:$Q$4,0))</f>
        <v>440</v>
      </c>
      <c r="H325">
        <f>INDEX('Energieverbruik in TJ Gemeente'!$B$4:$Q$347,MATCH($C325,'Energieverbruik in TJ Gemeente'!$B$4:$B$347,0),MATCH(H$2,'Energieverbruik in TJ Gemeente'!$B$4:$Q$4,0))</f>
        <v>363</v>
      </c>
      <c r="I325">
        <f>INDEX('Energieverbruik in TJ Gemeente'!$B$4:$Q$347,MATCH($C325,'Energieverbruik in TJ Gemeente'!$B$4:$B$347,0),MATCH(I$2,'Energieverbruik in TJ Gemeente'!$B$4:$Q$4,0))</f>
        <v>14</v>
      </c>
      <c r="J325">
        <f>INDEX('Energieverbruik in TJ Gemeente'!$B$4:$Q$347,MATCH($C325,'Energieverbruik in TJ Gemeente'!$B$4:$B$347,0),MATCH(J$2,'Energieverbruik in TJ Gemeente'!$B$4:$Q$4,0))</f>
        <v>13</v>
      </c>
      <c r="K325">
        <f>INDEX('Energieverbruik in TJ Gemeente'!$B$4:$Q$347,MATCH($C325,'Energieverbruik in TJ Gemeente'!$B$4:$B$347,0),MATCH(K$2,'Energieverbruik in TJ Gemeente'!$B$4:$Q$4,0))</f>
        <v>13</v>
      </c>
      <c r="L325">
        <f>INDEX('Energieverbruik in TJ Gemeente'!$B$4:$Q$347,MATCH($C325,'Energieverbruik in TJ Gemeente'!$B$4:$B$347,0),MATCH(L$2,'Energieverbruik in TJ Gemeente'!$B$4:$Q$4,0))</f>
        <v>11</v>
      </c>
      <c r="M325">
        <f>INDEX('Energieverbruik in TJ Gemeente'!$B$4:$Q$347,MATCH($C325,'Energieverbruik in TJ Gemeente'!$B$4:$B$347,0),MATCH(M$2,'Energieverbruik in TJ Gemeente'!$B$4:$Q$4,0))</f>
        <v>10</v>
      </c>
      <c r="N325">
        <f>INDEX('Energieverbruik in TJ Gemeente'!$B$4:$Q$347,MATCH($C325,'Energieverbruik in TJ Gemeente'!$B$4:$B$347,0),MATCH(N$2,'Energieverbruik in TJ Gemeente'!$B$4:$Q$4,0))</f>
        <v>9</v>
      </c>
      <c r="O325">
        <f>INDEX('Energieverbruik in TJ Gemeente'!$B$4:$Q$347,MATCH($C325,'Energieverbruik in TJ Gemeente'!$B$4:$B$347,0),MATCH(O$2,'Energieverbruik in TJ Gemeente'!$B$4:$Q$4,0))</f>
        <v>8</v>
      </c>
      <c r="P325">
        <f>INDEX('Energieverbruik in TJ Gemeente'!$B$4:$Q$347,MATCH($C325,'Energieverbruik in TJ Gemeente'!$B$4:$B$347,0),MATCH(P$2,'Energieverbruik in TJ Gemeente'!$B$4:$Q$4,0))</f>
        <v>9</v>
      </c>
      <c r="Q325">
        <f>INDEX('Energieverbruik in TJ Gemeente'!$B$4:$Q$347,MATCH($C325,'Energieverbruik in TJ Gemeente'!$B$4:$B$347,0),MATCH(Q$2,'Energieverbruik in TJ Gemeente'!$B$4:$Q$4,0))</f>
        <v>7</v>
      </c>
      <c r="R325">
        <f>INDEX('Energieverbruik in TJ Gemeente'!$B$4:$Q$347,MATCH($C325,'Energieverbruik in TJ Gemeente'!$B$4:$B$347,0),MATCH(R$2,'Energieverbruik in TJ Gemeente'!$B$4:$Q$4,0))</f>
        <v>6</v>
      </c>
      <c r="S325" cm="1">
        <f t="array" ref="S325">MAX(_xlfn._xlws.FILTER(D$1:H$1, D325:H325&lt;&gt;"?"))</f>
        <v>2023</v>
      </c>
      <c r="T325" cm="1">
        <f t="array" ref="T325">MAX(_xlfn._xlws.FILTER(I$1:M$1, I325:M325&lt;&gt;"?"))</f>
        <v>2023</v>
      </c>
      <c r="U325" cm="1">
        <f t="array" ref="U325">MAX(_xlfn._xlws.FILTER(F$1:J$1, F325:J325&lt;&gt;"?"))</f>
        <v>2023</v>
      </c>
      <c r="V325">
        <f t="shared" si="25"/>
        <v>363</v>
      </c>
      <c r="W325">
        <f t="shared" si="26"/>
        <v>10</v>
      </c>
      <c r="X325">
        <f t="shared" si="27"/>
        <v>6</v>
      </c>
      <c r="Y325">
        <f t="shared" si="28"/>
        <v>379</v>
      </c>
      <c r="Z325">
        <f t="shared" si="29"/>
        <v>6.298715327981918E-4</v>
      </c>
    </row>
    <row r="326" spans="1:26" ht="16" x14ac:dyDescent="0.2">
      <c r="A326" s="4" t="s">
        <v>982</v>
      </c>
      <c r="B326" s="4" t="s">
        <v>983</v>
      </c>
      <c r="C326" s="4" t="s">
        <v>984</v>
      </c>
      <c r="D326">
        <f>INDEX('Energieverbruik in TJ Gemeente'!$B$4:$Q$347,MATCH($C326,'Energieverbruik in TJ Gemeente'!$B$4:$B$347,0),MATCH(D$2,'Energieverbruik in TJ Gemeente'!$B$4:$Q$4,0))</f>
        <v>863</v>
      </c>
      <c r="E326">
        <f>INDEX('Energieverbruik in TJ Gemeente'!$B$4:$Q$347,MATCH($C326,'Energieverbruik in TJ Gemeente'!$B$4:$B$347,0),MATCH(E$2,'Energieverbruik in TJ Gemeente'!$B$4:$Q$4,0))</f>
        <v>843</v>
      </c>
      <c r="F326">
        <f>INDEX('Energieverbruik in TJ Gemeente'!$B$4:$Q$347,MATCH($C326,'Energieverbruik in TJ Gemeente'!$B$4:$B$347,0),MATCH(F$2,'Energieverbruik in TJ Gemeente'!$B$4:$Q$4,0))</f>
        <v>869</v>
      </c>
      <c r="G326">
        <f>INDEX('Energieverbruik in TJ Gemeente'!$B$4:$Q$347,MATCH($C326,'Energieverbruik in TJ Gemeente'!$B$4:$B$347,0),MATCH(G$2,'Energieverbruik in TJ Gemeente'!$B$4:$Q$4,0))</f>
        <v>768</v>
      </c>
      <c r="H326">
        <f>INDEX('Energieverbruik in TJ Gemeente'!$B$4:$Q$347,MATCH($C326,'Energieverbruik in TJ Gemeente'!$B$4:$B$347,0),MATCH(H$2,'Energieverbruik in TJ Gemeente'!$B$4:$Q$4,0))</f>
        <v>638</v>
      </c>
      <c r="I326">
        <f>INDEX('Energieverbruik in TJ Gemeente'!$B$4:$Q$347,MATCH($C326,'Energieverbruik in TJ Gemeente'!$B$4:$B$347,0),MATCH(I$2,'Energieverbruik in TJ Gemeente'!$B$4:$Q$4,0))</f>
        <v>174</v>
      </c>
      <c r="J326">
        <f>INDEX('Energieverbruik in TJ Gemeente'!$B$4:$Q$347,MATCH($C326,'Energieverbruik in TJ Gemeente'!$B$4:$B$347,0),MATCH(J$2,'Energieverbruik in TJ Gemeente'!$B$4:$Q$4,0))</f>
        <v>146</v>
      </c>
      <c r="K326">
        <f>INDEX('Energieverbruik in TJ Gemeente'!$B$4:$Q$347,MATCH($C326,'Energieverbruik in TJ Gemeente'!$B$4:$B$347,0),MATCH(K$2,'Energieverbruik in TJ Gemeente'!$B$4:$Q$4,0))</f>
        <v>170</v>
      </c>
      <c r="L326">
        <f>INDEX('Energieverbruik in TJ Gemeente'!$B$4:$Q$347,MATCH($C326,'Energieverbruik in TJ Gemeente'!$B$4:$B$347,0),MATCH(L$2,'Energieverbruik in TJ Gemeente'!$B$4:$Q$4,0))</f>
        <v>104</v>
      </c>
      <c r="M326" t="str">
        <f>INDEX('Energieverbruik in TJ Gemeente'!$B$4:$Q$347,MATCH($C326,'Energieverbruik in TJ Gemeente'!$B$4:$B$347,0),MATCH(M$2,'Energieverbruik in TJ Gemeente'!$B$4:$Q$4,0))</f>
        <v>?</v>
      </c>
      <c r="N326">
        <f>INDEX('Energieverbruik in TJ Gemeente'!$B$4:$Q$347,MATCH($C326,'Energieverbruik in TJ Gemeente'!$B$4:$B$347,0),MATCH(N$2,'Energieverbruik in TJ Gemeente'!$B$4:$Q$4,0))</f>
        <v>39</v>
      </c>
      <c r="O326">
        <f>INDEX('Energieverbruik in TJ Gemeente'!$B$4:$Q$347,MATCH($C326,'Energieverbruik in TJ Gemeente'!$B$4:$B$347,0),MATCH(O$2,'Energieverbruik in TJ Gemeente'!$B$4:$Q$4,0))</f>
        <v>18</v>
      </c>
      <c r="P326">
        <f>INDEX('Energieverbruik in TJ Gemeente'!$B$4:$Q$347,MATCH($C326,'Energieverbruik in TJ Gemeente'!$B$4:$B$347,0),MATCH(P$2,'Energieverbruik in TJ Gemeente'!$B$4:$Q$4,0))</f>
        <v>21</v>
      </c>
      <c r="Q326">
        <f>INDEX('Energieverbruik in TJ Gemeente'!$B$4:$Q$347,MATCH($C326,'Energieverbruik in TJ Gemeente'!$B$4:$B$347,0),MATCH(Q$2,'Energieverbruik in TJ Gemeente'!$B$4:$Q$4,0))</f>
        <v>16</v>
      </c>
      <c r="R326">
        <f>INDEX('Energieverbruik in TJ Gemeente'!$B$4:$Q$347,MATCH($C326,'Energieverbruik in TJ Gemeente'!$B$4:$B$347,0),MATCH(R$2,'Energieverbruik in TJ Gemeente'!$B$4:$Q$4,0))</f>
        <v>13</v>
      </c>
      <c r="S326" cm="1">
        <f t="array" ref="S326">MAX(_xlfn._xlws.FILTER(D$1:H$1, D326:H326&lt;&gt;"?"))</f>
        <v>2023</v>
      </c>
      <c r="T326" cm="1">
        <f t="array" ref="T326">MAX(_xlfn._xlws.FILTER(I$1:M$1, I326:M326&lt;&gt;"?"))</f>
        <v>2022</v>
      </c>
      <c r="U326" cm="1">
        <f t="array" ref="U326">MAX(_xlfn._xlws.FILTER(F$1:J$1, F326:J326&lt;&gt;"?"))</f>
        <v>2023</v>
      </c>
      <c r="V326">
        <f t="shared" si="25"/>
        <v>638</v>
      </c>
      <c r="W326">
        <f t="shared" si="26"/>
        <v>104</v>
      </c>
      <c r="X326">
        <f t="shared" si="27"/>
        <v>13</v>
      </c>
      <c r="Y326">
        <f t="shared" si="28"/>
        <v>755</v>
      </c>
      <c r="Z326">
        <f t="shared" si="29"/>
        <v>1.2547572750993003E-3</v>
      </c>
    </row>
    <row r="327" spans="1:26" ht="32" x14ac:dyDescent="0.2">
      <c r="A327" s="4" t="s">
        <v>985</v>
      </c>
      <c r="B327" s="4" t="s">
        <v>986</v>
      </c>
      <c r="C327" s="4" t="s">
        <v>987</v>
      </c>
      <c r="D327">
        <f>INDEX('Energieverbruik in TJ Gemeente'!$B$4:$Q$347,MATCH($C327,'Energieverbruik in TJ Gemeente'!$B$4:$B$347,0),MATCH(D$2,'Energieverbruik in TJ Gemeente'!$B$4:$Q$4,0))</f>
        <v>628</v>
      </c>
      <c r="E327" t="str">
        <f>INDEX('Energieverbruik in TJ Gemeente'!$B$4:$Q$347,MATCH($C327,'Energieverbruik in TJ Gemeente'!$B$4:$B$347,0),MATCH(E$2,'Energieverbruik in TJ Gemeente'!$B$4:$Q$4,0))</f>
        <v>?</v>
      </c>
      <c r="F327" t="str">
        <f>INDEX('Energieverbruik in TJ Gemeente'!$B$4:$Q$347,MATCH($C327,'Energieverbruik in TJ Gemeente'!$B$4:$B$347,0),MATCH(F$2,'Energieverbruik in TJ Gemeente'!$B$4:$Q$4,0))</f>
        <v>?</v>
      </c>
      <c r="G327" t="str">
        <f>INDEX('Energieverbruik in TJ Gemeente'!$B$4:$Q$347,MATCH($C327,'Energieverbruik in TJ Gemeente'!$B$4:$B$347,0),MATCH(G$2,'Energieverbruik in TJ Gemeente'!$B$4:$Q$4,0))</f>
        <v>?</v>
      </c>
      <c r="H327" t="str">
        <f>INDEX('Energieverbruik in TJ Gemeente'!$B$4:$Q$347,MATCH($C327,'Energieverbruik in TJ Gemeente'!$B$4:$B$347,0),MATCH(H$2,'Energieverbruik in TJ Gemeente'!$B$4:$Q$4,0))</f>
        <v>?</v>
      </c>
      <c r="I327" t="str">
        <f>INDEX('Energieverbruik in TJ Gemeente'!$B$4:$Q$347,MATCH($C327,'Energieverbruik in TJ Gemeente'!$B$4:$B$347,0),MATCH(I$2,'Energieverbruik in TJ Gemeente'!$B$4:$Q$4,0))</f>
        <v>?</v>
      </c>
      <c r="J327" t="str">
        <f>INDEX('Energieverbruik in TJ Gemeente'!$B$4:$Q$347,MATCH($C327,'Energieverbruik in TJ Gemeente'!$B$4:$B$347,0),MATCH(J$2,'Energieverbruik in TJ Gemeente'!$B$4:$Q$4,0))</f>
        <v>?</v>
      </c>
      <c r="K327" t="str">
        <f>INDEX('Energieverbruik in TJ Gemeente'!$B$4:$Q$347,MATCH($C327,'Energieverbruik in TJ Gemeente'!$B$4:$B$347,0),MATCH(K$2,'Energieverbruik in TJ Gemeente'!$B$4:$Q$4,0))</f>
        <v>?</v>
      </c>
      <c r="L327" t="str">
        <f>INDEX('Energieverbruik in TJ Gemeente'!$B$4:$Q$347,MATCH($C327,'Energieverbruik in TJ Gemeente'!$B$4:$B$347,0),MATCH(L$2,'Energieverbruik in TJ Gemeente'!$B$4:$Q$4,0))</f>
        <v>?</v>
      </c>
      <c r="M327" t="str">
        <f>INDEX('Energieverbruik in TJ Gemeente'!$B$4:$Q$347,MATCH($C327,'Energieverbruik in TJ Gemeente'!$B$4:$B$347,0),MATCH(M$2,'Energieverbruik in TJ Gemeente'!$B$4:$Q$4,0))</f>
        <v>?</v>
      </c>
      <c r="N327">
        <f>INDEX('Energieverbruik in TJ Gemeente'!$B$4:$Q$347,MATCH($C327,'Energieverbruik in TJ Gemeente'!$B$4:$B$347,0),MATCH(N$2,'Energieverbruik in TJ Gemeente'!$B$4:$Q$4,0))</f>
        <v>54</v>
      </c>
      <c r="O327">
        <f>INDEX('Energieverbruik in TJ Gemeente'!$B$4:$Q$347,MATCH($C327,'Energieverbruik in TJ Gemeente'!$B$4:$B$347,0),MATCH(O$2,'Energieverbruik in TJ Gemeente'!$B$4:$Q$4,0))</f>
        <v>54</v>
      </c>
      <c r="P327">
        <f>INDEX('Energieverbruik in TJ Gemeente'!$B$4:$Q$347,MATCH($C327,'Energieverbruik in TJ Gemeente'!$B$4:$B$347,0),MATCH(P$2,'Energieverbruik in TJ Gemeente'!$B$4:$Q$4,0))</f>
        <v>50</v>
      </c>
      <c r="Q327">
        <f>INDEX('Energieverbruik in TJ Gemeente'!$B$4:$Q$347,MATCH($C327,'Energieverbruik in TJ Gemeente'!$B$4:$B$347,0),MATCH(Q$2,'Energieverbruik in TJ Gemeente'!$B$4:$Q$4,0))</f>
        <v>32</v>
      </c>
      <c r="R327">
        <f>INDEX('Energieverbruik in TJ Gemeente'!$B$4:$Q$347,MATCH($C327,'Energieverbruik in TJ Gemeente'!$B$4:$B$347,0),MATCH(R$2,'Energieverbruik in TJ Gemeente'!$B$4:$Q$4,0))</f>
        <v>34</v>
      </c>
      <c r="S327" cm="1">
        <f t="array" ref="S327">MAX(_xlfn._xlws.FILTER(D$1:H$1, D327:H327&lt;&gt;"?"))</f>
        <v>2019</v>
      </c>
      <c r="T327" t="e" cm="1" vm="1">
        <f t="array" ref="T327">MAX(_xlfn._xlws.FILTER(I$1:M$1, I327:M327&lt;&gt;"?"))</f>
        <v>#VALUE!</v>
      </c>
      <c r="U327" t="e" cm="1" vm="1">
        <f t="array" ref="U327">MAX(_xlfn._xlws.FILTER(F$1:J$1, F327:J327&lt;&gt;"?"))</f>
        <v>#VALUE!</v>
      </c>
      <c r="V327">
        <f t="shared" si="25"/>
        <v>628</v>
      </c>
      <c r="W327">
        <f t="shared" si="26"/>
        <v>0</v>
      </c>
      <c r="X327">
        <f t="shared" si="27"/>
        <v>0</v>
      </c>
      <c r="Y327">
        <f t="shared" si="28"/>
        <v>628</v>
      </c>
      <c r="Z327">
        <f t="shared" si="29"/>
        <v>1.0436921440561068E-3</v>
      </c>
    </row>
    <row r="328" spans="1:26" ht="16" x14ac:dyDescent="0.2">
      <c r="A328" s="4" t="s">
        <v>988</v>
      </c>
      <c r="B328" s="4" t="s">
        <v>989</v>
      </c>
      <c r="C328" s="4" t="s">
        <v>990</v>
      </c>
      <c r="D328">
        <f>INDEX('Energieverbruik in TJ Gemeente'!$B$4:$Q$347,MATCH($C328,'Energieverbruik in TJ Gemeente'!$B$4:$B$347,0),MATCH(D$2,'Energieverbruik in TJ Gemeente'!$B$4:$Q$4,0))</f>
        <v>1229</v>
      </c>
      <c r="E328">
        <f>INDEX('Energieverbruik in TJ Gemeente'!$B$4:$Q$347,MATCH($C328,'Energieverbruik in TJ Gemeente'!$B$4:$B$347,0),MATCH(E$2,'Energieverbruik in TJ Gemeente'!$B$4:$Q$4,0))</f>
        <v>1180</v>
      </c>
      <c r="F328">
        <f>INDEX('Energieverbruik in TJ Gemeente'!$B$4:$Q$347,MATCH($C328,'Energieverbruik in TJ Gemeente'!$B$4:$B$347,0),MATCH(F$2,'Energieverbruik in TJ Gemeente'!$B$4:$Q$4,0))</f>
        <v>1204</v>
      </c>
      <c r="G328">
        <f>INDEX('Energieverbruik in TJ Gemeente'!$B$4:$Q$347,MATCH($C328,'Energieverbruik in TJ Gemeente'!$B$4:$B$347,0),MATCH(G$2,'Energieverbruik in TJ Gemeente'!$B$4:$Q$4,0))</f>
        <v>1037</v>
      </c>
      <c r="H328">
        <f>INDEX('Energieverbruik in TJ Gemeente'!$B$4:$Q$347,MATCH($C328,'Energieverbruik in TJ Gemeente'!$B$4:$B$347,0),MATCH(H$2,'Energieverbruik in TJ Gemeente'!$B$4:$Q$4,0))</f>
        <v>875</v>
      </c>
      <c r="I328">
        <f>INDEX('Energieverbruik in TJ Gemeente'!$B$4:$Q$347,MATCH($C328,'Energieverbruik in TJ Gemeente'!$B$4:$B$347,0),MATCH(I$2,'Energieverbruik in TJ Gemeente'!$B$4:$Q$4,0))</f>
        <v>287</v>
      </c>
      <c r="J328">
        <f>INDEX('Energieverbruik in TJ Gemeente'!$B$4:$Q$347,MATCH($C328,'Energieverbruik in TJ Gemeente'!$B$4:$B$347,0),MATCH(J$2,'Energieverbruik in TJ Gemeente'!$B$4:$Q$4,0))</f>
        <v>300</v>
      </c>
      <c r="K328">
        <f>INDEX('Energieverbruik in TJ Gemeente'!$B$4:$Q$347,MATCH($C328,'Energieverbruik in TJ Gemeente'!$B$4:$B$347,0),MATCH(K$2,'Energieverbruik in TJ Gemeente'!$B$4:$Q$4,0))</f>
        <v>322</v>
      </c>
      <c r="L328" t="str">
        <f>INDEX('Energieverbruik in TJ Gemeente'!$B$4:$Q$347,MATCH($C328,'Energieverbruik in TJ Gemeente'!$B$4:$B$347,0),MATCH(L$2,'Energieverbruik in TJ Gemeente'!$B$4:$Q$4,0))</f>
        <v>?</v>
      </c>
      <c r="M328" t="str">
        <f>INDEX('Energieverbruik in TJ Gemeente'!$B$4:$Q$347,MATCH($C328,'Energieverbruik in TJ Gemeente'!$B$4:$B$347,0),MATCH(M$2,'Energieverbruik in TJ Gemeente'!$B$4:$Q$4,0))</f>
        <v>?</v>
      </c>
      <c r="N328">
        <f>INDEX('Energieverbruik in TJ Gemeente'!$B$4:$Q$347,MATCH($C328,'Energieverbruik in TJ Gemeente'!$B$4:$B$347,0),MATCH(N$2,'Energieverbruik in TJ Gemeente'!$B$4:$Q$4,0))</f>
        <v>963</v>
      </c>
      <c r="O328">
        <f>INDEX('Energieverbruik in TJ Gemeente'!$B$4:$Q$347,MATCH($C328,'Energieverbruik in TJ Gemeente'!$B$4:$B$347,0),MATCH(O$2,'Energieverbruik in TJ Gemeente'!$B$4:$Q$4,0))</f>
        <v>898</v>
      </c>
      <c r="P328">
        <f>INDEX('Energieverbruik in TJ Gemeente'!$B$4:$Q$347,MATCH($C328,'Energieverbruik in TJ Gemeente'!$B$4:$B$347,0),MATCH(P$2,'Energieverbruik in TJ Gemeente'!$B$4:$Q$4,0))</f>
        <v>877</v>
      </c>
      <c r="Q328" t="str">
        <f>INDEX('Energieverbruik in TJ Gemeente'!$B$4:$Q$347,MATCH($C328,'Energieverbruik in TJ Gemeente'!$B$4:$B$347,0),MATCH(Q$2,'Energieverbruik in TJ Gemeente'!$B$4:$Q$4,0))</f>
        <v>?</v>
      </c>
      <c r="R328" t="str">
        <f>INDEX('Energieverbruik in TJ Gemeente'!$B$4:$Q$347,MATCH($C328,'Energieverbruik in TJ Gemeente'!$B$4:$B$347,0),MATCH(R$2,'Energieverbruik in TJ Gemeente'!$B$4:$Q$4,0))</f>
        <v>?</v>
      </c>
      <c r="S328" cm="1">
        <f t="array" ref="S328">MAX(_xlfn._xlws.FILTER(D$1:H$1, D328:H328&lt;&gt;"?"))</f>
        <v>2023</v>
      </c>
      <c r="T328" cm="1">
        <f t="array" ref="T328">MAX(_xlfn._xlws.FILTER(I$1:M$1, I328:M328&lt;&gt;"?"))</f>
        <v>2021</v>
      </c>
      <c r="U328" cm="1">
        <f t="array" ref="U328">MAX(_xlfn._xlws.FILTER(F$1:J$1, F328:J328&lt;&gt;"?"))</f>
        <v>2023</v>
      </c>
      <c r="V328">
        <f t="shared" si="25"/>
        <v>875</v>
      </c>
      <c r="W328">
        <f t="shared" si="26"/>
        <v>322</v>
      </c>
      <c r="X328" t="str">
        <f t="shared" si="27"/>
        <v>?</v>
      </c>
      <c r="Y328">
        <f t="shared" si="28"/>
        <v>1197</v>
      </c>
      <c r="Z328">
        <f t="shared" si="29"/>
        <v>1.9893304083362416E-3</v>
      </c>
    </row>
    <row r="329" spans="1:26" ht="16" x14ac:dyDescent="0.2">
      <c r="A329" s="4" t="s">
        <v>994</v>
      </c>
      <c r="B329" s="4" t="s">
        <v>995</v>
      </c>
      <c r="C329" s="4" t="s">
        <v>996</v>
      </c>
      <c r="D329">
        <f>INDEX('Energieverbruik in TJ Gemeente'!$B$4:$Q$347,MATCH($C329,'Energieverbruik in TJ Gemeente'!$B$4:$B$347,0),MATCH(D$2,'Energieverbruik in TJ Gemeente'!$B$4:$Q$4,0))</f>
        <v>339</v>
      </c>
      <c r="E329">
        <f>INDEX('Energieverbruik in TJ Gemeente'!$B$4:$Q$347,MATCH($C329,'Energieverbruik in TJ Gemeente'!$B$4:$B$347,0),MATCH(E$2,'Energieverbruik in TJ Gemeente'!$B$4:$Q$4,0))</f>
        <v>337</v>
      </c>
      <c r="F329">
        <f>INDEX('Energieverbruik in TJ Gemeente'!$B$4:$Q$347,MATCH($C329,'Energieverbruik in TJ Gemeente'!$B$4:$B$347,0),MATCH(F$2,'Energieverbruik in TJ Gemeente'!$B$4:$Q$4,0))</f>
        <v>339</v>
      </c>
      <c r="G329">
        <f>INDEX('Energieverbruik in TJ Gemeente'!$B$4:$Q$347,MATCH($C329,'Energieverbruik in TJ Gemeente'!$B$4:$B$347,0),MATCH(G$2,'Energieverbruik in TJ Gemeente'!$B$4:$Q$4,0))</f>
        <v>290</v>
      </c>
      <c r="H329">
        <f>INDEX('Energieverbruik in TJ Gemeente'!$B$4:$Q$347,MATCH($C329,'Energieverbruik in TJ Gemeente'!$B$4:$B$347,0),MATCH(H$2,'Energieverbruik in TJ Gemeente'!$B$4:$Q$4,0))</f>
        <v>245</v>
      </c>
      <c r="I329">
        <f>INDEX('Energieverbruik in TJ Gemeente'!$B$4:$Q$347,MATCH($C329,'Energieverbruik in TJ Gemeente'!$B$4:$B$347,0),MATCH(I$2,'Energieverbruik in TJ Gemeente'!$B$4:$Q$4,0))</f>
        <v>340</v>
      </c>
      <c r="J329">
        <f>INDEX('Energieverbruik in TJ Gemeente'!$B$4:$Q$347,MATCH($C329,'Energieverbruik in TJ Gemeente'!$B$4:$B$347,0),MATCH(J$2,'Energieverbruik in TJ Gemeente'!$B$4:$Q$4,0))</f>
        <v>328</v>
      </c>
      <c r="K329">
        <f>INDEX('Energieverbruik in TJ Gemeente'!$B$4:$Q$347,MATCH($C329,'Energieverbruik in TJ Gemeente'!$B$4:$B$347,0),MATCH(K$2,'Energieverbruik in TJ Gemeente'!$B$4:$Q$4,0))</f>
        <v>344</v>
      </c>
      <c r="L329">
        <f>INDEX('Energieverbruik in TJ Gemeente'!$B$4:$Q$347,MATCH($C329,'Energieverbruik in TJ Gemeente'!$B$4:$B$347,0),MATCH(L$2,'Energieverbruik in TJ Gemeente'!$B$4:$Q$4,0))</f>
        <v>342</v>
      </c>
      <c r="M329">
        <f>INDEX('Energieverbruik in TJ Gemeente'!$B$4:$Q$347,MATCH($C329,'Energieverbruik in TJ Gemeente'!$B$4:$B$347,0),MATCH(M$2,'Energieverbruik in TJ Gemeente'!$B$4:$Q$4,0))</f>
        <v>352</v>
      </c>
      <c r="N329">
        <f>INDEX('Energieverbruik in TJ Gemeente'!$B$4:$Q$347,MATCH($C329,'Energieverbruik in TJ Gemeente'!$B$4:$B$347,0),MATCH(N$2,'Energieverbruik in TJ Gemeente'!$B$4:$Q$4,0))</f>
        <v>8</v>
      </c>
      <c r="O329">
        <f>INDEX('Energieverbruik in TJ Gemeente'!$B$4:$Q$347,MATCH($C329,'Energieverbruik in TJ Gemeente'!$B$4:$B$347,0),MATCH(O$2,'Energieverbruik in TJ Gemeente'!$B$4:$Q$4,0))</f>
        <v>8</v>
      </c>
      <c r="P329">
        <f>INDEX('Energieverbruik in TJ Gemeente'!$B$4:$Q$347,MATCH($C329,'Energieverbruik in TJ Gemeente'!$B$4:$B$347,0),MATCH(P$2,'Energieverbruik in TJ Gemeente'!$B$4:$Q$4,0))</f>
        <v>8</v>
      </c>
      <c r="Q329">
        <f>INDEX('Energieverbruik in TJ Gemeente'!$B$4:$Q$347,MATCH($C329,'Energieverbruik in TJ Gemeente'!$B$4:$B$347,0),MATCH(Q$2,'Energieverbruik in TJ Gemeente'!$B$4:$Q$4,0))</f>
        <v>8</v>
      </c>
      <c r="R329">
        <f>INDEX('Energieverbruik in TJ Gemeente'!$B$4:$Q$347,MATCH($C329,'Energieverbruik in TJ Gemeente'!$B$4:$B$347,0),MATCH(R$2,'Energieverbruik in TJ Gemeente'!$B$4:$Q$4,0))</f>
        <v>6</v>
      </c>
      <c r="S329" cm="1">
        <f t="array" ref="S329">MAX(_xlfn._xlws.FILTER(D$1:H$1, D329:H329&lt;&gt;"?"))</f>
        <v>2023</v>
      </c>
      <c r="T329" cm="1">
        <f t="array" ref="T329">MAX(_xlfn._xlws.FILTER(I$1:M$1, I329:M329&lt;&gt;"?"))</f>
        <v>2023</v>
      </c>
      <c r="U329" cm="1">
        <f t="array" ref="U329">MAX(_xlfn._xlws.FILTER(F$1:J$1, F329:J329&lt;&gt;"?"))</f>
        <v>2023</v>
      </c>
      <c r="V329">
        <f t="shared" si="25"/>
        <v>245</v>
      </c>
      <c r="W329">
        <f t="shared" si="26"/>
        <v>352</v>
      </c>
      <c r="X329">
        <f t="shared" si="27"/>
        <v>6</v>
      </c>
      <c r="Y329">
        <f t="shared" si="28"/>
        <v>603</v>
      </c>
      <c r="Z329">
        <f t="shared" si="29"/>
        <v>1.0021438899137458E-3</v>
      </c>
    </row>
    <row r="330" spans="1:26" ht="32" x14ac:dyDescent="0.2">
      <c r="A330" s="4" t="s">
        <v>997</v>
      </c>
      <c r="B330" s="4" t="s">
        <v>998</v>
      </c>
      <c r="C330" s="4" t="s">
        <v>999</v>
      </c>
      <c r="D330" t="str">
        <f>INDEX('Energieverbruik in TJ Gemeente'!$B$4:$Q$347,MATCH($C330,'Energieverbruik in TJ Gemeente'!$B$4:$B$347,0),MATCH(D$2,'Energieverbruik in TJ Gemeente'!$B$4:$Q$4,0))</f>
        <v>?</v>
      </c>
      <c r="E330" t="str">
        <f>INDEX('Energieverbruik in TJ Gemeente'!$B$4:$Q$347,MATCH($C330,'Energieverbruik in TJ Gemeente'!$B$4:$B$347,0),MATCH(E$2,'Energieverbruik in TJ Gemeente'!$B$4:$Q$4,0))</f>
        <v>?</v>
      </c>
      <c r="F330" t="str">
        <f>INDEX('Energieverbruik in TJ Gemeente'!$B$4:$Q$347,MATCH($C330,'Energieverbruik in TJ Gemeente'!$B$4:$B$347,0),MATCH(F$2,'Energieverbruik in TJ Gemeente'!$B$4:$Q$4,0))</f>
        <v>?</v>
      </c>
      <c r="G330">
        <f>INDEX('Energieverbruik in TJ Gemeente'!$B$4:$Q$347,MATCH($C330,'Energieverbruik in TJ Gemeente'!$B$4:$B$347,0),MATCH(G$2,'Energieverbruik in TJ Gemeente'!$B$4:$Q$4,0))</f>
        <v>253</v>
      </c>
      <c r="H330">
        <f>INDEX('Energieverbruik in TJ Gemeente'!$B$4:$Q$347,MATCH($C330,'Energieverbruik in TJ Gemeente'!$B$4:$B$347,0),MATCH(H$2,'Energieverbruik in TJ Gemeente'!$B$4:$Q$4,0))</f>
        <v>209</v>
      </c>
      <c r="I330">
        <f>INDEX('Energieverbruik in TJ Gemeente'!$B$4:$Q$347,MATCH($C330,'Energieverbruik in TJ Gemeente'!$B$4:$B$347,0),MATCH(I$2,'Energieverbruik in TJ Gemeente'!$B$4:$Q$4,0))</f>
        <v>10</v>
      </c>
      <c r="J330">
        <f>INDEX('Energieverbruik in TJ Gemeente'!$B$4:$Q$347,MATCH($C330,'Energieverbruik in TJ Gemeente'!$B$4:$B$347,0),MATCH(J$2,'Energieverbruik in TJ Gemeente'!$B$4:$Q$4,0))</f>
        <v>8</v>
      </c>
      <c r="K330">
        <f>INDEX('Energieverbruik in TJ Gemeente'!$B$4:$Q$347,MATCH($C330,'Energieverbruik in TJ Gemeente'!$B$4:$B$347,0),MATCH(K$2,'Energieverbruik in TJ Gemeente'!$B$4:$Q$4,0))</f>
        <v>9</v>
      </c>
      <c r="L330">
        <f>INDEX('Energieverbruik in TJ Gemeente'!$B$4:$Q$347,MATCH($C330,'Energieverbruik in TJ Gemeente'!$B$4:$B$347,0),MATCH(L$2,'Energieverbruik in TJ Gemeente'!$B$4:$Q$4,0))</f>
        <v>8</v>
      </c>
      <c r="M330">
        <f>INDEX('Energieverbruik in TJ Gemeente'!$B$4:$Q$347,MATCH($C330,'Energieverbruik in TJ Gemeente'!$B$4:$B$347,0),MATCH(M$2,'Energieverbruik in TJ Gemeente'!$B$4:$Q$4,0))</f>
        <v>6</v>
      </c>
      <c r="N330">
        <f>INDEX('Energieverbruik in TJ Gemeente'!$B$4:$Q$347,MATCH($C330,'Energieverbruik in TJ Gemeente'!$B$4:$B$347,0),MATCH(N$2,'Energieverbruik in TJ Gemeente'!$B$4:$Q$4,0))</f>
        <v>11</v>
      </c>
      <c r="O330">
        <f>INDEX('Energieverbruik in TJ Gemeente'!$B$4:$Q$347,MATCH($C330,'Energieverbruik in TJ Gemeente'!$B$4:$B$347,0),MATCH(O$2,'Energieverbruik in TJ Gemeente'!$B$4:$Q$4,0))</f>
        <v>10</v>
      </c>
      <c r="P330">
        <f>INDEX('Energieverbruik in TJ Gemeente'!$B$4:$Q$347,MATCH($C330,'Energieverbruik in TJ Gemeente'!$B$4:$B$347,0),MATCH(P$2,'Energieverbruik in TJ Gemeente'!$B$4:$Q$4,0))</f>
        <v>11</v>
      </c>
      <c r="Q330">
        <f>INDEX('Energieverbruik in TJ Gemeente'!$B$4:$Q$347,MATCH($C330,'Energieverbruik in TJ Gemeente'!$B$4:$B$347,0),MATCH(Q$2,'Energieverbruik in TJ Gemeente'!$B$4:$Q$4,0))</f>
        <v>9</v>
      </c>
      <c r="R330">
        <f>INDEX('Energieverbruik in TJ Gemeente'!$B$4:$Q$347,MATCH($C330,'Energieverbruik in TJ Gemeente'!$B$4:$B$347,0),MATCH(R$2,'Energieverbruik in TJ Gemeente'!$B$4:$Q$4,0))</f>
        <v>66</v>
      </c>
      <c r="S330" cm="1">
        <f t="array" ref="S330">MAX(_xlfn._xlws.FILTER(D$1:H$1, D330:H330&lt;&gt;"?"))</f>
        <v>2023</v>
      </c>
      <c r="T330" cm="1">
        <f t="array" ref="T330">MAX(_xlfn._xlws.FILTER(I$1:M$1, I330:M330&lt;&gt;"?"))</f>
        <v>2023</v>
      </c>
      <c r="U330" cm="1">
        <f t="array" ref="U330">MAX(_xlfn._xlws.FILTER(F$1:J$1, F330:J330&lt;&gt;"?"))</f>
        <v>2023</v>
      </c>
      <c r="V330">
        <f t="shared" si="25"/>
        <v>209</v>
      </c>
      <c r="W330">
        <f t="shared" si="26"/>
        <v>6</v>
      </c>
      <c r="X330">
        <f t="shared" si="27"/>
        <v>66</v>
      </c>
      <c r="Y330">
        <f t="shared" si="28"/>
        <v>281</v>
      </c>
      <c r="Z330">
        <f t="shared" si="29"/>
        <v>4.6700237656013697E-4</v>
      </c>
    </row>
    <row r="331" spans="1:26" ht="16" x14ac:dyDescent="0.2">
      <c r="A331" s="4" t="s">
        <v>1000</v>
      </c>
      <c r="B331" s="4" t="s">
        <v>1001</v>
      </c>
      <c r="C331" s="4" t="s">
        <v>1002</v>
      </c>
      <c r="D331">
        <f>INDEX('Energieverbruik in TJ Gemeente'!$B$4:$Q$347,MATCH($C331,'Energieverbruik in TJ Gemeente'!$B$4:$B$347,0),MATCH(D$2,'Energieverbruik in TJ Gemeente'!$B$4:$Q$4,0))</f>
        <v>3414</v>
      </c>
      <c r="E331">
        <f>INDEX('Energieverbruik in TJ Gemeente'!$B$4:$Q$347,MATCH($C331,'Energieverbruik in TJ Gemeente'!$B$4:$B$347,0),MATCH(E$2,'Energieverbruik in TJ Gemeente'!$B$4:$Q$4,0))</f>
        <v>3419</v>
      </c>
      <c r="F331">
        <f>INDEX('Energieverbruik in TJ Gemeente'!$B$4:$Q$347,MATCH($C331,'Energieverbruik in TJ Gemeente'!$B$4:$B$347,0),MATCH(F$2,'Energieverbruik in TJ Gemeente'!$B$4:$Q$4,0))</f>
        <v>3379</v>
      </c>
      <c r="G331">
        <f>INDEX('Energieverbruik in TJ Gemeente'!$B$4:$Q$347,MATCH($C331,'Energieverbruik in TJ Gemeente'!$B$4:$B$347,0),MATCH(G$2,'Energieverbruik in TJ Gemeente'!$B$4:$Q$4,0))</f>
        <v>2943</v>
      </c>
      <c r="H331">
        <f>INDEX('Energieverbruik in TJ Gemeente'!$B$4:$Q$347,MATCH($C331,'Energieverbruik in TJ Gemeente'!$B$4:$B$347,0),MATCH(H$2,'Energieverbruik in TJ Gemeente'!$B$4:$Q$4,0))</f>
        <v>2538</v>
      </c>
      <c r="I331">
        <f>INDEX('Energieverbruik in TJ Gemeente'!$B$4:$Q$347,MATCH($C331,'Energieverbruik in TJ Gemeente'!$B$4:$B$347,0),MATCH(I$2,'Energieverbruik in TJ Gemeente'!$B$4:$Q$4,0))</f>
        <v>3417</v>
      </c>
      <c r="J331">
        <f>INDEX('Energieverbruik in TJ Gemeente'!$B$4:$Q$347,MATCH($C331,'Energieverbruik in TJ Gemeente'!$B$4:$B$347,0),MATCH(J$2,'Energieverbruik in TJ Gemeente'!$B$4:$Q$4,0))</f>
        <v>3228</v>
      </c>
      <c r="K331">
        <f>INDEX('Energieverbruik in TJ Gemeente'!$B$4:$Q$347,MATCH($C331,'Energieverbruik in TJ Gemeente'!$B$4:$B$347,0),MATCH(K$2,'Energieverbruik in TJ Gemeente'!$B$4:$Q$4,0))</f>
        <v>3171</v>
      </c>
      <c r="L331">
        <f>INDEX('Energieverbruik in TJ Gemeente'!$B$4:$Q$347,MATCH($C331,'Energieverbruik in TJ Gemeente'!$B$4:$B$347,0),MATCH(L$2,'Energieverbruik in TJ Gemeente'!$B$4:$Q$4,0))</f>
        <v>2814</v>
      </c>
      <c r="M331" t="str">
        <f>INDEX('Energieverbruik in TJ Gemeente'!$B$4:$Q$347,MATCH($C331,'Energieverbruik in TJ Gemeente'!$B$4:$B$347,0),MATCH(M$2,'Energieverbruik in TJ Gemeente'!$B$4:$Q$4,0))</f>
        <v>?</v>
      </c>
      <c r="N331">
        <f>INDEX('Energieverbruik in TJ Gemeente'!$B$4:$Q$347,MATCH($C331,'Energieverbruik in TJ Gemeente'!$B$4:$B$347,0),MATCH(N$2,'Energieverbruik in TJ Gemeente'!$B$4:$Q$4,0))</f>
        <v>88</v>
      </c>
      <c r="O331">
        <f>INDEX('Energieverbruik in TJ Gemeente'!$B$4:$Q$347,MATCH($C331,'Energieverbruik in TJ Gemeente'!$B$4:$B$347,0),MATCH(O$2,'Energieverbruik in TJ Gemeente'!$B$4:$Q$4,0))</f>
        <v>85</v>
      </c>
      <c r="P331">
        <f>INDEX('Energieverbruik in TJ Gemeente'!$B$4:$Q$347,MATCH($C331,'Energieverbruik in TJ Gemeente'!$B$4:$B$347,0),MATCH(P$2,'Energieverbruik in TJ Gemeente'!$B$4:$Q$4,0))</f>
        <v>98</v>
      </c>
      <c r="Q331">
        <f>INDEX('Energieverbruik in TJ Gemeente'!$B$4:$Q$347,MATCH($C331,'Energieverbruik in TJ Gemeente'!$B$4:$B$347,0),MATCH(Q$2,'Energieverbruik in TJ Gemeente'!$B$4:$Q$4,0))</f>
        <v>81</v>
      </c>
      <c r="R331">
        <f>INDEX('Energieverbruik in TJ Gemeente'!$B$4:$Q$347,MATCH($C331,'Energieverbruik in TJ Gemeente'!$B$4:$B$347,0),MATCH(R$2,'Energieverbruik in TJ Gemeente'!$B$4:$Q$4,0))</f>
        <v>53</v>
      </c>
      <c r="S331" cm="1">
        <f t="array" ref="S331">MAX(_xlfn._xlws.FILTER(D$1:H$1, D331:H331&lt;&gt;"?"))</f>
        <v>2023</v>
      </c>
      <c r="T331" cm="1">
        <f t="array" ref="T331">MAX(_xlfn._xlws.FILTER(I$1:M$1, I331:M331&lt;&gt;"?"))</f>
        <v>2022</v>
      </c>
      <c r="U331" cm="1">
        <f t="array" ref="U331">MAX(_xlfn._xlws.FILTER(F$1:J$1, F331:J331&lt;&gt;"?"))</f>
        <v>2023</v>
      </c>
      <c r="V331">
        <f t="shared" si="25"/>
        <v>2538</v>
      </c>
      <c r="W331">
        <f t="shared" si="26"/>
        <v>2814</v>
      </c>
      <c r="X331">
        <f t="shared" si="27"/>
        <v>53</v>
      </c>
      <c r="Y331">
        <f t="shared" si="28"/>
        <v>5405</v>
      </c>
      <c r="Z331">
        <f t="shared" si="29"/>
        <v>8.9827325455784351E-3</v>
      </c>
    </row>
    <row r="332" spans="1:26" ht="16" x14ac:dyDescent="0.2">
      <c r="A332" s="4" t="s">
        <v>1003</v>
      </c>
      <c r="B332" s="4" t="s">
        <v>1004</v>
      </c>
      <c r="C332" s="4" t="s">
        <v>1005</v>
      </c>
      <c r="D332">
        <f>INDEX('Energieverbruik in TJ Gemeente'!$B$4:$Q$347,MATCH($C332,'Energieverbruik in TJ Gemeente'!$B$4:$B$347,0),MATCH(D$2,'Energieverbruik in TJ Gemeente'!$B$4:$Q$4,0))</f>
        <v>704</v>
      </c>
      <c r="E332">
        <f>INDEX('Energieverbruik in TJ Gemeente'!$B$4:$Q$347,MATCH($C332,'Energieverbruik in TJ Gemeente'!$B$4:$B$347,0),MATCH(E$2,'Energieverbruik in TJ Gemeente'!$B$4:$Q$4,0))</f>
        <v>680</v>
      </c>
      <c r="F332">
        <f>INDEX('Energieverbruik in TJ Gemeente'!$B$4:$Q$347,MATCH($C332,'Energieverbruik in TJ Gemeente'!$B$4:$B$347,0),MATCH(F$2,'Energieverbruik in TJ Gemeente'!$B$4:$Q$4,0))</f>
        <v>692</v>
      </c>
      <c r="G332">
        <f>INDEX('Energieverbruik in TJ Gemeente'!$B$4:$Q$347,MATCH($C332,'Energieverbruik in TJ Gemeente'!$B$4:$B$347,0),MATCH(G$2,'Energieverbruik in TJ Gemeente'!$B$4:$Q$4,0))</f>
        <v>598</v>
      </c>
      <c r="H332">
        <f>INDEX('Energieverbruik in TJ Gemeente'!$B$4:$Q$347,MATCH($C332,'Energieverbruik in TJ Gemeente'!$B$4:$B$347,0),MATCH(H$2,'Energieverbruik in TJ Gemeente'!$B$4:$Q$4,0))</f>
        <v>490</v>
      </c>
      <c r="I332">
        <f>INDEX('Energieverbruik in TJ Gemeente'!$B$4:$Q$347,MATCH($C332,'Energieverbruik in TJ Gemeente'!$B$4:$B$347,0),MATCH(I$2,'Energieverbruik in TJ Gemeente'!$B$4:$Q$4,0))</f>
        <v>531</v>
      </c>
      <c r="J332">
        <f>INDEX('Energieverbruik in TJ Gemeente'!$B$4:$Q$347,MATCH($C332,'Energieverbruik in TJ Gemeente'!$B$4:$B$347,0),MATCH(J$2,'Energieverbruik in TJ Gemeente'!$B$4:$Q$4,0))</f>
        <v>517</v>
      </c>
      <c r="K332">
        <f>INDEX('Energieverbruik in TJ Gemeente'!$B$4:$Q$347,MATCH($C332,'Energieverbruik in TJ Gemeente'!$B$4:$B$347,0),MATCH(K$2,'Energieverbruik in TJ Gemeente'!$B$4:$Q$4,0))</f>
        <v>523</v>
      </c>
      <c r="L332">
        <f>INDEX('Energieverbruik in TJ Gemeente'!$B$4:$Q$347,MATCH($C332,'Energieverbruik in TJ Gemeente'!$B$4:$B$347,0),MATCH(L$2,'Energieverbruik in TJ Gemeente'!$B$4:$Q$4,0))</f>
        <v>481</v>
      </c>
      <c r="M332">
        <f>INDEX('Energieverbruik in TJ Gemeente'!$B$4:$Q$347,MATCH($C332,'Energieverbruik in TJ Gemeente'!$B$4:$B$347,0),MATCH(M$2,'Energieverbruik in TJ Gemeente'!$B$4:$Q$4,0))</f>
        <v>515</v>
      </c>
      <c r="N332" t="str">
        <f>INDEX('Energieverbruik in TJ Gemeente'!$B$4:$Q$347,MATCH($C332,'Energieverbruik in TJ Gemeente'!$B$4:$B$347,0),MATCH(N$2,'Energieverbruik in TJ Gemeente'!$B$4:$Q$4,0))</f>
        <v>?</v>
      </c>
      <c r="O332">
        <f>INDEX('Energieverbruik in TJ Gemeente'!$B$4:$Q$347,MATCH($C332,'Energieverbruik in TJ Gemeente'!$B$4:$B$347,0),MATCH(O$2,'Energieverbruik in TJ Gemeente'!$B$4:$Q$4,0))</f>
        <v>5139</v>
      </c>
      <c r="P332">
        <f>INDEX('Energieverbruik in TJ Gemeente'!$B$4:$Q$347,MATCH($C332,'Energieverbruik in TJ Gemeente'!$B$4:$B$347,0),MATCH(P$2,'Energieverbruik in TJ Gemeente'!$B$4:$Q$4,0))</f>
        <v>5541</v>
      </c>
      <c r="Q332">
        <f>INDEX('Energieverbruik in TJ Gemeente'!$B$4:$Q$347,MATCH($C332,'Energieverbruik in TJ Gemeente'!$B$4:$B$347,0),MATCH(Q$2,'Energieverbruik in TJ Gemeente'!$B$4:$Q$4,0))</f>
        <v>4161</v>
      </c>
      <c r="R332">
        <f>INDEX('Energieverbruik in TJ Gemeente'!$B$4:$Q$347,MATCH($C332,'Energieverbruik in TJ Gemeente'!$B$4:$B$347,0),MATCH(R$2,'Energieverbruik in TJ Gemeente'!$B$4:$Q$4,0))</f>
        <v>4538</v>
      </c>
      <c r="S332" cm="1">
        <f t="array" ref="S332">MAX(_xlfn._xlws.FILTER(D$1:H$1, D332:H332&lt;&gt;"?"))</f>
        <v>2023</v>
      </c>
      <c r="T332" cm="1">
        <f t="array" ref="T332">MAX(_xlfn._xlws.FILTER(I$1:M$1, I332:M332&lt;&gt;"?"))</f>
        <v>2023</v>
      </c>
      <c r="U332" cm="1">
        <f t="array" ref="U332">MAX(_xlfn._xlws.FILTER(F$1:J$1, F332:J332&lt;&gt;"?"))</f>
        <v>2023</v>
      </c>
      <c r="V332">
        <f t="shared" si="25"/>
        <v>490</v>
      </c>
      <c r="W332">
        <f t="shared" si="26"/>
        <v>515</v>
      </c>
      <c r="X332">
        <f t="shared" si="27"/>
        <v>4538</v>
      </c>
      <c r="Y332">
        <f t="shared" si="28"/>
        <v>5543</v>
      </c>
      <c r="Z332">
        <f t="shared" si="29"/>
        <v>9.212078908444268E-3</v>
      </c>
    </row>
    <row r="333" spans="1:26" ht="16" x14ac:dyDescent="0.2">
      <c r="A333" s="4" t="s">
        <v>1006</v>
      </c>
      <c r="B333" s="4" t="s">
        <v>1007</v>
      </c>
      <c r="C333" s="4" t="s">
        <v>1008</v>
      </c>
      <c r="D333">
        <f>INDEX('Energieverbruik in TJ Gemeente'!$B$4:$Q$347,MATCH($C333,'Energieverbruik in TJ Gemeente'!$B$4:$B$347,0),MATCH(D$2,'Energieverbruik in TJ Gemeente'!$B$4:$Q$4,0))</f>
        <v>547</v>
      </c>
      <c r="E333">
        <f>INDEX('Energieverbruik in TJ Gemeente'!$B$4:$Q$347,MATCH($C333,'Energieverbruik in TJ Gemeente'!$B$4:$B$347,0),MATCH(E$2,'Energieverbruik in TJ Gemeente'!$B$4:$Q$4,0))</f>
        <v>533</v>
      </c>
      <c r="F333">
        <f>INDEX('Energieverbruik in TJ Gemeente'!$B$4:$Q$347,MATCH($C333,'Energieverbruik in TJ Gemeente'!$B$4:$B$347,0),MATCH(F$2,'Energieverbruik in TJ Gemeente'!$B$4:$Q$4,0))</f>
        <v>544</v>
      </c>
      <c r="G333">
        <f>INDEX('Energieverbruik in TJ Gemeente'!$B$4:$Q$347,MATCH($C333,'Energieverbruik in TJ Gemeente'!$B$4:$B$347,0),MATCH(G$2,'Energieverbruik in TJ Gemeente'!$B$4:$Q$4,0))</f>
        <v>492</v>
      </c>
      <c r="H333">
        <f>INDEX('Energieverbruik in TJ Gemeente'!$B$4:$Q$347,MATCH($C333,'Energieverbruik in TJ Gemeente'!$B$4:$B$347,0),MATCH(H$2,'Energieverbruik in TJ Gemeente'!$B$4:$Q$4,0))</f>
        <v>428</v>
      </c>
      <c r="I333" t="str">
        <f>INDEX('Energieverbruik in TJ Gemeente'!$B$4:$Q$347,MATCH($C333,'Energieverbruik in TJ Gemeente'!$B$4:$B$347,0),MATCH(I$2,'Energieverbruik in TJ Gemeente'!$B$4:$Q$4,0))</f>
        <v>?</v>
      </c>
      <c r="J333">
        <f>INDEX('Energieverbruik in TJ Gemeente'!$B$4:$Q$347,MATCH($C333,'Energieverbruik in TJ Gemeente'!$B$4:$B$347,0),MATCH(J$2,'Energieverbruik in TJ Gemeente'!$B$4:$Q$4,0))</f>
        <v>3</v>
      </c>
      <c r="K333">
        <f>INDEX('Energieverbruik in TJ Gemeente'!$B$4:$Q$347,MATCH($C333,'Energieverbruik in TJ Gemeente'!$B$4:$B$347,0),MATCH(K$2,'Energieverbruik in TJ Gemeente'!$B$4:$Q$4,0))</f>
        <v>3</v>
      </c>
      <c r="L333">
        <f>INDEX('Energieverbruik in TJ Gemeente'!$B$4:$Q$347,MATCH($C333,'Energieverbruik in TJ Gemeente'!$B$4:$B$347,0),MATCH(L$2,'Energieverbruik in TJ Gemeente'!$B$4:$Q$4,0))</f>
        <v>2</v>
      </c>
      <c r="M333" t="str">
        <f>INDEX('Energieverbruik in TJ Gemeente'!$B$4:$Q$347,MATCH($C333,'Energieverbruik in TJ Gemeente'!$B$4:$B$347,0),MATCH(M$2,'Energieverbruik in TJ Gemeente'!$B$4:$Q$4,0))</f>
        <v>?</v>
      </c>
      <c r="N333" t="str">
        <f>INDEX('Energieverbruik in TJ Gemeente'!$B$4:$Q$347,MATCH($C333,'Energieverbruik in TJ Gemeente'!$B$4:$B$347,0),MATCH(N$2,'Energieverbruik in TJ Gemeente'!$B$4:$Q$4,0))</f>
        <v>?</v>
      </c>
      <c r="O333" t="str">
        <f>INDEX('Energieverbruik in TJ Gemeente'!$B$4:$Q$347,MATCH($C333,'Energieverbruik in TJ Gemeente'!$B$4:$B$347,0),MATCH(O$2,'Energieverbruik in TJ Gemeente'!$B$4:$Q$4,0))</f>
        <v>?</v>
      </c>
      <c r="P333" t="str">
        <f>INDEX('Energieverbruik in TJ Gemeente'!$B$4:$Q$347,MATCH($C333,'Energieverbruik in TJ Gemeente'!$B$4:$B$347,0),MATCH(P$2,'Energieverbruik in TJ Gemeente'!$B$4:$Q$4,0))</f>
        <v>?</v>
      </c>
      <c r="Q333" t="str">
        <f>INDEX('Energieverbruik in TJ Gemeente'!$B$4:$Q$347,MATCH($C333,'Energieverbruik in TJ Gemeente'!$B$4:$B$347,0),MATCH(Q$2,'Energieverbruik in TJ Gemeente'!$B$4:$Q$4,0))</f>
        <v>?</v>
      </c>
      <c r="R333" t="str">
        <f>INDEX('Energieverbruik in TJ Gemeente'!$B$4:$Q$347,MATCH($C333,'Energieverbruik in TJ Gemeente'!$B$4:$B$347,0),MATCH(R$2,'Energieverbruik in TJ Gemeente'!$B$4:$Q$4,0))</f>
        <v>?</v>
      </c>
      <c r="S333" cm="1">
        <f t="array" ref="S333">MAX(_xlfn._xlws.FILTER(D$1:H$1, D333:H333&lt;&gt;"?"))</f>
        <v>2023</v>
      </c>
      <c r="T333" cm="1">
        <f t="array" ref="T333">MAX(_xlfn._xlws.FILTER(I$1:M$1, I333:M333&lt;&gt;"?"))</f>
        <v>2022</v>
      </c>
      <c r="U333" cm="1">
        <f t="array" ref="U333">MAX(_xlfn._xlws.FILTER(F$1:J$1, F333:J333&lt;&gt;"?"))</f>
        <v>2023</v>
      </c>
      <c r="V333">
        <f t="shared" si="25"/>
        <v>428</v>
      </c>
      <c r="W333">
        <f t="shared" si="26"/>
        <v>2</v>
      </c>
      <c r="X333" t="str">
        <f t="shared" si="27"/>
        <v>?</v>
      </c>
      <c r="Y333">
        <f t="shared" si="28"/>
        <v>430</v>
      </c>
      <c r="Z333">
        <f t="shared" si="29"/>
        <v>7.1462997124860817E-4</v>
      </c>
    </row>
    <row r="334" spans="1:26" ht="16" x14ac:dyDescent="0.2">
      <c r="A334" s="4" t="s">
        <v>1009</v>
      </c>
      <c r="B334" s="4" t="s">
        <v>1010</v>
      </c>
      <c r="C334" s="4" t="s">
        <v>1011</v>
      </c>
      <c r="D334">
        <f>INDEX('Energieverbruik in TJ Gemeente'!$B$4:$Q$347,MATCH($C334,'Energieverbruik in TJ Gemeente'!$B$4:$B$347,0),MATCH(D$2,'Energieverbruik in TJ Gemeente'!$B$4:$Q$4,0))</f>
        <v>491</v>
      </c>
      <c r="E334">
        <f>INDEX('Energieverbruik in TJ Gemeente'!$B$4:$Q$347,MATCH($C334,'Energieverbruik in TJ Gemeente'!$B$4:$B$347,0),MATCH(E$2,'Energieverbruik in TJ Gemeente'!$B$4:$Q$4,0))</f>
        <v>462</v>
      </c>
      <c r="F334">
        <f>INDEX('Energieverbruik in TJ Gemeente'!$B$4:$Q$347,MATCH($C334,'Energieverbruik in TJ Gemeente'!$B$4:$B$347,0),MATCH(F$2,'Energieverbruik in TJ Gemeente'!$B$4:$Q$4,0))</f>
        <v>479</v>
      </c>
      <c r="G334">
        <f>INDEX('Energieverbruik in TJ Gemeente'!$B$4:$Q$347,MATCH($C334,'Energieverbruik in TJ Gemeente'!$B$4:$B$347,0),MATCH(G$2,'Energieverbruik in TJ Gemeente'!$B$4:$Q$4,0))</f>
        <v>434</v>
      </c>
      <c r="H334">
        <f>INDEX('Energieverbruik in TJ Gemeente'!$B$4:$Q$347,MATCH($C334,'Energieverbruik in TJ Gemeente'!$B$4:$B$347,0),MATCH(H$2,'Energieverbruik in TJ Gemeente'!$B$4:$Q$4,0))</f>
        <v>391</v>
      </c>
      <c r="I334">
        <f>INDEX('Energieverbruik in TJ Gemeente'!$B$4:$Q$347,MATCH($C334,'Energieverbruik in TJ Gemeente'!$B$4:$B$347,0),MATCH(I$2,'Energieverbruik in TJ Gemeente'!$B$4:$Q$4,0))</f>
        <v>56</v>
      </c>
      <c r="J334">
        <f>INDEX('Energieverbruik in TJ Gemeente'!$B$4:$Q$347,MATCH($C334,'Energieverbruik in TJ Gemeente'!$B$4:$B$347,0),MATCH(J$2,'Energieverbruik in TJ Gemeente'!$B$4:$Q$4,0))</f>
        <v>59</v>
      </c>
      <c r="K334">
        <f>INDEX('Energieverbruik in TJ Gemeente'!$B$4:$Q$347,MATCH($C334,'Energieverbruik in TJ Gemeente'!$B$4:$B$347,0),MATCH(K$2,'Energieverbruik in TJ Gemeente'!$B$4:$Q$4,0))</f>
        <v>70</v>
      </c>
      <c r="L334" t="str">
        <f>INDEX('Energieverbruik in TJ Gemeente'!$B$4:$Q$347,MATCH($C334,'Energieverbruik in TJ Gemeente'!$B$4:$B$347,0),MATCH(L$2,'Energieverbruik in TJ Gemeente'!$B$4:$Q$4,0))</f>
        <v>?</v>
      </c>
      <c r="M334" t="str">
        <f>INDEX('Energieverbruik in TJ Gemeente'!$B$4:$Q$347,MATCH($C334,'Energieverbruik in TJ Gemeente'!$B$4:$B$347,0),MATCH(M$2,'Energieverbruik in TJ Gemeente'!$B$4:$Q$4,0))</f>
        <v>?</v>
      </c>
      <c r="N334">
        <f>INDEX('Energieverbruik in TJ Gemeente'!$B$4:$Q$347,MATCH($C334,'Energieverbruik in TJ Gemeente'!$B$4:$B$347,0),MATCH(N$2,'Energieverbruik in TJ Gemeente'!$B$4:$Q$4,0))</f>
        <v>41</v>
      </c>
      <c r="O334">
        <f>INDEX('Energieverbruik in TJ Gemeente'!$B$4:$Q$347,MATCH($C334,'Energieverbruik in TJ Gemeente'!$B$4:$B$347,0),MATCH(O$2,'Energieverbruik in TJ Gemeente'!$B$4:$Q$4,0))</f>
        <v>34</v>
      </c>
      <c r="P334">
        <f>INDEX('Energieverbruik in TJ Gemeente'!$B$4:$Q$347,MATCH($C334,'Energieverbruik in TJ Gemeente'!$B$4:$B$347,0),MATCH(P$2,'Energieverbruik in TJ Gemeente'!$B$4:$Q$4,0))</f>
        <v>37</v>
      </c>
      <c r="Q334">
        <f>INDEX('Energieverbruik in TJ Gemeente'!$B$4:$Q$347,MATCH($C334,'Energieverbruik in TJ Gemeente'!$B$4:$B$347,0),MATCH(Q$2,'Energieverbruik in TJ Gemeente'!$B$4:$Q$4,0))</f>
        <v>32</v>
      </c>
      <c r="R334">
        <f>INDEX('Energieverbruik in TJ Gemeente'!$B$4:$Q$347,MATCH($C334,'Energieverbruik in TJ Gemeente'!$B$4:$B$347,0),MATCH(R$2,'Energieverbruik in TJ Gemeente'!$B$4:$Q$4,0))</f>
        <v>220</v>
      </c>
      <c r="S334" cm="1">
        <f t="array" ref="S334">MAX(_xlfn._xlws.FILTER(D$1:H$1, D334:H334&lt;&gt;"?"))</f>
        <v>2023</v>
      </c>
      <c r="T334" cm="1">
        <f t="array" ref="T334">MAX(_xlfn._xlws.FILTER(I$1:M$1, I334:M334&lt;&gt;"?"))</f>
        <v>2021</v>
      </c>
      <c r="U334" cm="1">
        <f t="array" ref="U334">MAX(_xlfn._xlws.FILTER(F$1:J$1, F334:J334&lt;&gt;"?"))</f>
        <v>2023</v>
      </c>
      <c r="V334">
        <f t="shared" si="25"/>
        <v>391</v>
      </c>
      <c r="W334">
        <f t="shared" si="26"/>
        <v>70</v>
      </c>
      <c r="X334">
        <f t="shared" si="27"/>
        <v>220</v>
      </c>
      <c r="Y334">
        <f t="shared" si="28"/>
        <v>681</v>
      </c>
      <c r="Z334">
        <f t="shared" si="29"/>
        <v>1.1317744428379118E-3</v>
      </c>
    </row>
    <row r="335" spans="1:26" ht="16" x14ac:dyDescent="0.2">
      <c r="A335" s="4" t="s">
        <v>1012</v>
      </c>
      <c r="B335" s="4" t="s">
        <v>1013</v>
      </c>
      <c r="C335" s="4" t="s">
        <v>1014</v>
      </c>
      <c r="D335">
        <f>INDEX('Energieverbruik in TJ Gemeente'!$B$4:$Q$347,MATCH($C335,'Energieverbruik in TJ Gemeente'!$B$4:$B$347,0),MATCH(D$2,'Energieverbruik in TJ Gemeente'!$B$4:$Q$4,0))</f>
        <v>1891</v>
      </c>
      <c r="E335">
        <f>INDEX('Energieverbruik in TJ Gemeente'!$B$4:$Q$347,MATCH($C335,'Energieverbruik in TJ Gemeente'!$B$4:$B$347,0),MATCH(E$2,'Energieverbruik in TJ Gemeente'!$B$4:$Q$4,0))</f>
        <v>1846</v>
      </c>
      <c r="F335">
        <f>INDEX('Energieverbruik in TJ Gemeente'!$B$4:$Q$347,MATCH($C335,'Energieverbruik in TJ Gemeente'!$B$4:$B$347,0),MATCH(F$2,'Energieverbruik in TJ Gemeente'!$B$4:$Q$4,0))</f>
        <v>1875</v>
      </c>
      <c r="G335">
        <f>INDEX('Energieverbruik in TJ Gemeente'!$B$4:$Q$347,MATCH($C335,'Energieverbruik in TJ Gemeente'!$B$4:$B$347,0),MATCH(G$2,'Energieverbruik in TJ Gemeente'!$B$4:$Q$4,0))</f>
        <v>1638</v>
      </c>
      <c r="H335">
        <f>INDEX('Energieverbruik in TJ Gemeente'!$B$4:$Q$347,MATCH($C335,'Energieverbruik in TJ Gemeente'!$B$4:$B$347,0),MATCH(H$2,'Energieverbruik in TJ Gemeente'!$B$4:$Q$4,0))</f>
        <v>1407</v>
      </c>
      <c r="I335">
        <f>INDEX('Energieverbruik in TJ Gemeente'!$B$4:$Q$347,MATCH($C335,'Energieverbruik in TJ Gemeente'!$B$4:$B$347,0),MATCH(I$2,'Energieverbruik in TJ Gemeente'!$B$4:$Q$4,0))</f>
        <v>120</v>
      </c>
      <c r="J335">
        <f>INDEX('Energieverbruik in TJ Gemeente'!$B$4:$Q$347,MATCH($C335,'Energieverbruik in TJ Gemeente'!$B$4:$B$347,0),MATCH(J$2,'Energieverbruik in TJ Gemeente'!$B$4:$Q$4,0))</f>
        <v>111</v>
      </c>
      <c r="K335">
        <f>INDEX('Energieverbruik in TJ Gemeente'!$B$4:$Q$347,MATCH($C335,'Energieverbruik in TJ Gemeente'!$B$4:$B$347,0),MATCH(K$2,'Energieverbruik in TJ Gemeente'!$B$4:$Q$4,0))</f>
        <v>132</v>
      </c>
      <c r="L335">
        <f>INDEX('Energieverbruik in TJ Gemeente'!$B$4:$Q$347,MATCH($C335,'Energieverbruik in TJ Gemeente'!$B$4:$B$347,0),MATCH(L$2,'Energieverbruik in TJ Gemeente'!$B$4:$Q$4,0))</f>
        <v>127</v>
      </c>
      <c r="M335">
        <f>INDEX('Energieverbruik in TJ Gemeente'!$B$4:$Q$347,MATCH($C335,'Energieverbruik in TJ Gemeente'!$B$4:$B$347,0),MATCH(M$2,'Energieverbruik in TJ Gemeente'!$B$4:$Q$4,0))</f>
        <v>127</v>
      </c>
      <c r="N335">
        <f>INDEX('Energieverbruik in TJ Gemeente'!$B$4:$Q$347,MATCH($C335,'Energieverbruik in TJ Gemeente'!$B$4:$B$347,0),MATCH(N$2,'Energieverbruik in TJ Gemeente'!$B$4:$Q$4,0))</f>
        <v>3</v>
      </c>
      <c r="O335">
        <f>INDEX('Energieverbruik in TJ Gemeente'!$B$4:$Q$347,MATCH($C335,'Energieverbruik in TJ Gemeente'!$B$4:$B$347,0),MATCH(O$2,'Energieverbruik in TJ Gemeente'!$B$4:$Q$4,0))</f>
        <v>2</v>
      </c>
      <c r="P335">
        <f>INDEX('Energieverbruik in TJ Gemeente'!$B$4:$Q$347,MATCH($C335,'Energieverbruik in TJ Gemeente'!$B$4:$B$347,0),MATCH(P$2,'Energieverbruik in TJ Gemeente'!$B$4:$Q$4,0))</f>
        <v>3</v>
      </c>
      <c r="Q335">
        <f>INDEX('Energieverbruik in TJ Gemeente'!$B$4:$Q$347,MATCH($C335,'Energieverbruik in TJ Gemeente'!$B$4:$B$347,0),MATCH(Q$2,'Energieverbruik in TJ Gemeente'!$B$4:$Q$4,0))</f>
        <v>2</v>
      </c>
      <c r="R335">
        <f>INDEX('Energieverbruik in TJ Gemeente'!$B$4:$Q$347,MATCH($C335,'Energieverbruik in TJ Gemeente'!$B$4:$B$347,0),MATCH(R$2,'Energieverbruik in TJ Gemeente'!$B$4:$Q$4,0))</f>
        <v>2</v>
      </c>
      <c r="S335" cm="1">
        <f t="array" ref="S335">MAX(_xlfn._xlws.FILTER(D$1:H$1, D335:H335&lt;&gt;"?"))</f>
        <v>2023</v>
      </c>
      <c r="T335" cm="1">
        <f t="array" ref="T335">MAX(_xlfn._xlws.FILTER(I$1:M$1, I335:M335&lt;&gt;"?"))</f>
        <v>2023</v>
      </c>
      <c r="U335" cm="1">
        <f t="array" ref="U335">MAX(_xlfn._xlws.FILTER(F$1:J$1, F335:J335&lt;&gt;"?"))</f>
        <v>2023</v>
      </c>
      <c r="V335">
        <f t="shared" si="25"/>
        <v>1407</v>
      </c>
      <c r="W335">
        <f t="shared" si="26"/>
        <v>127</v>
      </c>
      <c r="X335">
        <f t="shared" si="27"/>
        <v>2</v>
      </c>
      <c r="Y335">
        <f t="shared" si="28"/>
        <v>1536</v>
      </c>
      <c r="Z335">
        <f t="shared" si="29"/>
        <v>2.5527247345066562E-3</v>
      </c>
    </row>
    <row r="336" spans="1:26" ht="16" x14ac:dyDescent="0.2">
      <c r="A336" s="4" t="s">
        <v>1015</v>
      </c>
      <c r="B336" s="4" t="s">
        <v>1016</v>
      </c>
      <c r="C336" s="4" t="s">
        <v>1017</v>
      </c>
      <c r="D336">
        <f>INDEX('Energieverbruik in TJ Gemeente'!$B$4:$Q$347,MATCH($C336,'Energieverbruik in TJ Gemeente'!$B$4:$B$347,0),MATCH(D$2,'Energieverbruik in TJ Gemeente'!$B$4:$Q$4,0))</f>
        <v>1020</v>
      </c>
      <c r="E336">
        <f>INDEX('Energieverbruik in TJ Gemeente'!$B$4:$Q$347,MATCH($C336,'Energieverbruik in TJ Gemeente'!$B$4:$B$347,0),MATCH(E$2,'Energieverbruik in TJ Gemeente'!$B$4:$Q$4,0))</f>
        <v>994</v>
      </c>
      <c r="F336">
        <f>INDEX('Energieverbruik in TJ Gemeente'!$B$4:$Q$347,MATCH($C336,'Energieverbruik in TJ Gemeente'!$B$4:$B$347,0),MATCH(F$2,'Energieverbruik in TJ Gemeente'!$B$4:$Q$4,0))</f>
        <v>1005</v>
      </c>
      <c r="G336">
        <f>INDEX('Energieverbruik in TJ Gemeente'!$B$4:$Q$347,MATCH($C336,'Energieverbruik in TJ Gemeente'!$B$4:$B$347,0),MATCH(G$2,'Energieverbruik in TJ Gemeente'!$B$4:$Q$4,0))</f>
        <v>889</v>
      </c>
      <c r="H336">
        <f>INDEX('Energieverbruik in TJ Gemeente'!$B$4:$Q$347,MATCH($C336,'Energieverbruik in TJ Gemeente'!$B$4:$B$347,0),MATCH(H$2,'Energieverbruik in TJ Gemeente'!$B$4:$Q$4,0))</f>
        <v>724</v>
      </c>
      <c r="I336" t="str">
        <f>INDEX('Energieverbruik in TJ Gemeente'!$B$4:$Q$347,MATCH($C336,'Energieverbruik in TJ Gemeente'!$B$4:$B$347,0),MATCH(I$2,'Energieverbruik in TJ Gemeente'!$B$4:$Q$4,0))</f>
        <v>?</v>
      </c>
      <c r="J336" t="str">
        <f>INDEX('Energieverbruik in TJ Gemeente'!$B$4:$Q$347,MATCH($C336,'Energieverbruik in TJ Gemeente'!$B$4:$B$347,0),MATCH(J$2,'Energieverbruik in TJ Gemeente'!$B$4:$Q$4,0))</f>
        <v>?</v>
      </c>
      <c r="K336" t="str">
        <f>INDEX('Energieverbruik in TJ Gemeente'!$B$4:$Q$347,MATCH($C336,'Energieverbruik in TJ Gemeente'!$B$4:$B$347,0),MATCH(K$2,'Energieverbruik in TJ Gemeente'!$B$4:$Q$4,0))</f>
        <v>?</v>
      </c>
      <c r="L336">
        <f>INDEX('Energieverbruik in TJ Gemeente'!$B$4:$Q$347,MATCH($C336,'Energieverbruik in TJ Gemeente'!$B$4:$B$347,0),MATCH(L$2,'Energieverbruik in TJ Gemeente'!$B$4:$Q$4,0))</f>
        <v>1385</v>
      </c>
      <c r="M336">
        <f>INDEX('Energieverbruik in TJ Gemeente'!$B$4:$Q$347,MATCH($C336,'Energieverbruik in TJ Gemeente'!$B$4:$B$347,0),MATCH(M$2,'Energieverbruik in TJ Gemeente'!$B$4:$Q$4,0))</f>
        <v>1255</v>
      </c>
      <c r="N336">
        <f>INDEX('Energieverbruik in TJ Gemeente'!$B$4:$Q$347,MATCH($C336,'Energieverbruik in TJ Gemeente'!$B$4:$B$347,0),MATCH(N$2,'Energieverbruik in TJ Gemeente'!$B$4:$Q$4,0))</f>
        <v>21</v>
      </c>
      <c r="O336">
        <f>INDEX('Energieverbruik in TJ Gemeente'!$B$4:$Q$347,MATCH($C336,'Energieverbruik in TJ Gemeente'!$B$4:$B$347,0),MATCH(O$2,'Energieverbruik in TJ Gemeente'!$B$4:$Q$4,0))</f>
        <v>14</v>
      </c>
      <c r="P336">
        <f>INDEX('Energieverbruik in TJ Gemeente'!$B$4:$Q$347,MATCH($C336,'Energieverbruik in TJ Gemeente'!$B$4:$B$347,0),MATCH(P$2,'Energieverbruik in TJ Gemeente'!$B$4:$Q$4,0))</f>
        <v>15</v>
      </c>
      <c r="Q336">
        <f>INDEX('Energieverbruik in TJ Gemeente'!$B$4:$Q$347,MATCH($C336,'Energieverbruik in TJ Gemeente'!$B$4:$B$347,0),MATCH(Q$2,'Energieverbruik in TJ Gemeente'!$B$4:$Q$4,0))</f>
        <v>11</v>
      </c>
      <c r="R336">
        <f>INDEX('Energieverbruik in TJ Gemeente'!$B$4:$Q$347,MATCH($C336,'Energieverbruik in TJ Gemeente'!$B$4:$B$347,0),MATCH(R$2,'Energieverbruik in TJ Gemeente'!$B$4:$Q$4,0))</f>
        <v>9</v>
      </c>
      <c r="S336" cm="1">
        <f t="array" ref="S336">MAX(_xlfn._xlws.FILTER(D$1:H$1, D336:H336&lt;&gt;"?"))</f>
        <v>2023</v>
      </c>
      <c r="T336" cm="1">
        <f t="array" ref="T336">MAX(_xlfn._xlws.FILTER(I$1:M$1, I336:M336&lt;&gt;"?"))</f>
        <v>2023</v>
      </c>
      <c r="U336" cm="1">
        <f t="array" ref="U336">MAX(_xlfn._xlws.FILTER(F$1:J$1, F336:J336&lt;&gt;"?"))</f>
        <v>2023</v>
      </c>
      <c r="V336">
        <f t="shared" si="25"/>
        <v>724</v>
      </c>
      <c r="W336">
        <f t="shared" si="26"/>
        <v>1255</v>
      </c>
      <c r="X336">
        <f t="shared" si="27"/>
        <v>9</v>
      </c>
      <c r="Y336">
        <f t="shared" si="28"/>
        <v>1988</v>
      </c>
      <c r="Z336">
        <f t="shared" si="29"/>
        <v>3.3039171694005417E-3</v>
      </c>
    </row>
    <row r="337" spans="1:26" ht="16" x14ac:dyDescent="0.2">
      <c r="A337" s="4" t="s">
        <v>1018</v>
      </c>
      <c r="B337" s="4" t="s">
        <v>1019</v>
      </c>
      <c r="C337" s="4" t="s">
        <v>1020</v>
      </c>
      <c r="D337">
        <f>INDEX('Energieverbruik in TJ Gemeente'!$B$4:$Q$347,MATCH($C337,'Energieverbruik in TJ Gemeente'!$B$4:$B$347,0),MATCH(D$2,'Energieverbruik in TJ Gemeente'!$B$4:$Q$4,0))</f>
        <v>2358</v>
      </c>
      <c r="E337">
        <f>INDEX('Energieverbruik in TJ Gemeente'!$B$4:$Q$347,MATCH($C337,'Energieverbruik in TJ Gemeente'!$B$4:$B$347,0),MATCH(E$2,'Energieverbruik in TJ Gemeente'!$B$4:$Q$4,0))</f>
        <v>2308</v>
      </c>
      <c r="F337">
        <f>INDEX('Energieverbruik in TJ Gemeente'!$B$4:$Q$347,MATCH($C337,'Energieverbruik in TJ Gemeente'!$B$4:$B$347,0),MATCH(F$2,'Energieverbruik in TJ Gemeente'!$B$4:$Q$4,0))</f>
        <v>2304</v>
      </c>
      <c r="G337">
        <f>INDEX('Energieverbruik in TJ Gemeente'!$B$4:$Q$347,MATCH($C337,'Energieverbruik in TJ Gemeente'!$B$4:$B$347,0),MATCH(G$2,'Energieverbruik in TJ Gemeente'!$B$4:$Q$4,0))</f>
        <v>1981</v>
      </c>
      <c r="H337">
        <f>INDEX('Energieverbruik in TJ Gemeente'!$B$4:$Q$347,MATCH($C337,'Energieverbruik in TJ Gemeente'!$B$4:$B$347,0),MATCH(H$2,'Energieverbruik in TJ Gemeente'!$B$4:$Q$4,0))</f>
        <v>1756</v>
      </c>
      <c r="I337">
        <f>INDEX('Energieverbruik in TJ Gemeente'!$B$4:$Q$347,MATCH($C337,'Energieverbruik in TJ Gemeente'!$B$4:$B$347,0),MATCH(I$2,'Energieverbruik in TJ Gemeente'!$B$4:$Q$4,0))</f>
        <v>278</v>
      </c>
      <c r="J337" t="str">
        <f>INDEX('Energieverbruik in TJ Gemeente'!$B$4:$Q$347,MATCH($C337,'Energieverbruik in TJ Gemeente'!$B$4:$B$347,0),MATCH(J$2,'Energieverbruik in TJ Gemeente'!$B$4:$Q$4,0))</f>
        <v>?</v>
      </c>
      <c r="K337" t="str">
        <f>INDEX('Energieverbruik in TJ Gemeente'!$B$4:$Q$347,MATCH($C337,'Energieverbruik in TJ Gemeente'!$B$4:$B$347,0),MATCH(K$2,'Energieverbruik in TJ Gemeente'!$B$4:$Q$4,0))</f>
        <v>?</v>
      </c>
      <c r="L337" t="str">
        <f>INDEX('Energieverbruik in TJ Gemeente'!$B$4:$Q$347,MATCH($C337,'Energieverbruik in TJ Gemeente'!$B$4:$B$347,0),MATCH(L$2,'Energieverbruik in TJ Gemeente'!$B$4:$Q$4,0))</f>
        <v>?</v>
      </c>
      <c r="M337" t="str">
        <f>INDEX('Energieverbruik in TJ Gemeente'!$B$4:$Q$347,MATCH($C337,'Energieverbruik in TJ Gemeente'!$B$4:$B$347,0),MATCH(M$2,'Energieverbruik in TJ Gemeente'!$B$4:$Q$4,0))</f>
        <v>?</v>
      </c>
      <c r="N337">
        <f>INDEX('Energieverbruik in TJ Gemeente'!$B$4:$Q$347,MATCH($C337,'Energieverbruik in TJ Gemeente'!$B$4:$B$347,0),MATCH(N$2,'Energieverbruik in TJ Gemeente'!$B$4:$Q$4,0))</f>
        <v>6</v>
      </c>
      <c r="O337">
        <f>INDEX('Energieverbruik in TJ Gemeente'!$B$4:$Q$347,MATCH($C337,'Energieverbruik in TJ Gemeente'!$B$4:$B$347,0),MATCH(O$2,'Energieverbruik in TJ Gemeente'!$B$4:$Q$4,0))</f>
        <v>6</v>
      </c>
      <c r="P337">
        <f>INDEX('Energieverbruik in TJ Gemeente'!$B$4:$Q$347,MATCH($C337,'Energieverbruik in TJ Gemeente'!$B$4:$B$347,0),MATCH(P$2,'Energieverbruik in TJ Gemeente'!$B$4:$Q$4,0))</f>
        <v>9</v>
      </c>
      <c r="Q337">
        <f>INDEX('Energieverbruik in TJ Gemeente'!$B$4:$Q$347,MATCH($C337,'Energieverbruik in TJ Gemeente'!$B$4:$B$347,0),MATCH(Q$2,'Energieverbruik in TJ Gemeente'!$B$4:$Q$4,0))</f>
        <v>6</v>
      </c>
      <c r="R337">
        <f>INDEX('Energieverbruik in TJ Gemeente'!$B$4:$Q$347,MATCH($C337,'Energieverbruik in TJ Gemeente'!$B$4:$B$347,0),MATCH(R$2,'Energieverbruik in TJ Gemeente'!$B$4:$Q$4,0))</f>
        <v>6</v>
      </c>
      <c r="S337" cm="1">
        <f t="array" ref="S337">MAX(_xlfn._xlws.FILTER(D$1:H$1, D337:H337&lt;&gt;"?"))</f>
        <v>2023</v>
      </c>
      <c r="T337" cm="1">
        <f t="array" ref="T337">MAX(_xlfn._xlws.FILTER(I$1:M$1, I337:M337&lt;&gt;"?"))</f>
        <v>2019</v>
      </c>
      <c r="U337" cm="1">
        <f t="array" ref="U337">MAX(_xlfn._xlws.FILTER(F$1:J$1, F337:J337&lt;&gt;"?"))</f>
        <v>2023</v>
      </c>
      <c r="V337">
        <f t="shared" si="25"/>
        <v>1756</v>
      </c>
      <c r="W337">
        <f t="shared" si="26"/>
        <v>278</v>
      </c>
      <c r="X337">
        <f t="shared" si="27"/>
        <v>6</v>
      </c>
      <c r="Y337">
        <f t="shared" si="28"/>
        <v>2040</v>
      </c>
      <c r="Z337">
        <f t="shared" si="29"/>
        <v>3.3903375380166527E-3</v>
      </c>
    </row>
    <row r="338" spans="1:26" ht="32" x14ac:dyDescent="0.2">
      <c r="A338" s="4" t="s">
        <v>1021</v>
      </c>
      <c r="B338" s="4" t="s">
        <v>1022</v>
      </c>
      <c r="C338" s="4" t="s">
        <v>1023</v>
      </c>
      <c r="D338" t="str">
        <f>INDEX('Energieverbruik in TJ Gemeente'!$B$4:$Q$347,MATCH($C338,'Energieverbruik in TJ Gemeente'!$B$4:$B$347,0),MATCH(D$2,'Energieverbruik in TJ Gemeente'!$B$4:$Q$4,0))</f>
        <v>?</v>
      </c>
      <c r="E338" t="str">
        <f>INDEX('Energieverbruik in TJ Gemeente'!$B$4:$Q$347,MATCH($C338,'Energieverbruik in TJ Gemeente'!$B$4:$B$347,0),MATCH(E$2,'Energieverbruik in TJ Gemeente'!$B$4:$Q$4,0))</f>
        <v>?</v>
      </c>
      <c r="F338" t="str">
        <f>INDEX('Energieverbruik in TJ Gemeente'!$B$4:$Q$347,MATCH($C338,'Energieverbruik in TJ Gemeente'!$B$4:$B$347,0),MATCH(F$2,'Energieverbruik in TJ Gemeente'!$B$4:$Q$4,0))</f>
        <v>?</v>
      </c>
      <c r="G338" t="str">
        <f>INDEX('Energieverbruik in TJ Gemeente'!$B$4:$Q$347,MATCH($C338,'Energieverbruik in TJ Gemeente'!$B$4:$B$347,0),MATCH(G$2,'Energieverbruik in TJ Gemeente'!$B$4:$Q$4,0))</f>
        <v>?</v>
      </c>
      <c r="H338" t="str">
        <f>INDEX('Energieverbruik in TJ Gemeente'!$B$4:$Q$347,MATCH($C338,'Energieverbruik in TJ Gemeente'!$B$4:$B$347,0),MATCH(H$2,'Energieverbruik in TJ Gemeente'!$B$4:$Q$4,0))</f>
        <v>?</v>
      </c>
      <c r="I338" t="str">
        <f>INDEX('Energieverbruik in TJ Gemeente'!$B$4:$Q$347,MATCH($C338,'Energieverbruik in TJ Gemeente'!$B$4:$B$347,0),MATCH(I$2,'Energieverbruik in TJ Gemeente'!$B$4:$Q$4,0))</f>
        <v>?</v>
      </c>
      <c r="J338" t="str">
        <f>INDEX('Energieverbruik in TJ Gemeente'!$B$4:$Q$347,MATCH($C338,'Energieverbruik in TJ Gemeente'!$B$4:$B$347,0),MATCH(J$2,'Energieverbruik in TJ Gemeente'!$B$4:$Q$4,0))</f>
        <v>?</v>
      </c>
      <c r="K338" t="str">
        <f>INDEX('Energieverbruik in TJ Gemeente'!$B$4:$Q$347,MATCH($C338,'Energieverbruik in TJ Gemeente'!$B$4:$B$347,0),MATCH(K$2,'Energieverbruik in TJ Gemeente'!$B$4:$Q$4,0))</f>
        <v>?</v>
      </c>
      <c r="L338" t="str">
        <f>INDEX('Energieverbruik in TJ Gemeente'!$B$4:$Q$347,MATCH($C338,'Energieverbruik in TJ Gemeente'!$B$4:$B$347,0),MATCH(L$2,'Energieverbruik in TJ Gemeente'!$B$4:$Q$4,0))</f>
        <v>?</v>
      </c>
      <c r="M338" t="str">
        <f>INDEX('Energieverbruik in TJ Gemeente'!$B$4:$Q$347,MATCH($C338,'Energieverbruik in TJ Gemeente'!$B$4:$B$347,0),MATCH(M$2,'Energieverbruik in TJ Gemeente'!$B$4:$Q$4,0))</f>
        <v>?</v>
      </c>
      <c r="N338" t="str">
        <f>INDEX('Energieverbruik in TJ Gemeente'!$B$4:$Q$347,MATCH($C338,'Energieverbruik in TJ Gemeente'!$B$4:$B$347,0),MATCH(N$2,'Energieverbruik in TJ Gemeente'!$B$4:$Q$4,0))</f>
        <v>?</v>
      </c>
      <c r="O338">
        <f>INDEX('Energieverbruik in TJ Gemeente'!$B$4:$Q$347,MATCH($C338,'Energieverbruik in TJ Gemeente'!$B$4:$B$347,0),MATCH(O$2,'Energieverbruik in TJ Gemeente'!$B$4:$Q$4,0))</f>
        <v>5</v>
      </c>
      <c r="P338" t="str">
        <f>INDEX('Energieverbruik in TJ Gemeente'!$B$4:$Q$347,MATCH($C338,'Energieverbruik in TJ Gemeente'!$B$4:$B$347,0),MATCH(P$2,'Energieverbruik in TJ Gemeente'!$B$4:$Q$4,0))</f>
        <v>?</v>
      </c>
      <c r="Q338">
        <f>INDEX('Energieverbruik in TJ Gemeente'!$B$4:$Q$347,MATCH($C338,'Energieverbruik in TJ Gemeente'!$B$4:$B$347,0),MATCH(Q$2,'Energieverbruik in TJ Gemeente'!$B$4:$Q$4,0))</f>
        <v>4</v>
      </c>
      <c r="R338">
        <f>INDEX('Energieverbruik in TJ Gemeente'!$B$4:$Q$347,MATCH($C338,'Energieverbruik in TJ Gemeente'!$B$4:$B$347,0),MATCH(R$2,'Energieverbruik in TJ Gemeente'!$B$4:$Q$4,0))</f>
        <v>3</v>
      </c>
      <c r="S338" t="e" cm="1" vm="1">
        <f t="array" ref="S338">MAX(_xlfn._xlws.FILTER(D$1:H$1, D338:H338&lt;&gt;"?"))</f>
        <v>#VALUE!</v>
      </c>
      <c r="T338" t="e" cm="1" vm="1">
        <f t="array" ref="T338">MAX(_xlfn._xlws.FILTER(I$1:M$1, I338:M338&lt;&gt;"?"))</f>
        <v>#VALUE!</v>
      </c>
      <c r="U338" t="e" cm="1" vm="1">
        <f t="array" ref="U338">MAX(_xlfn._xlws.FILTER(F$1:J$1, F338:J338&lt;&gt;"?"))</f>
        <v>#VALUE!</v>
      </c>
      <c r="V338">
        <f t="shared" si="25"/>
        <v>0</v>
      </c>
      <c r="W338">
        <f t="shared" si="26"/>
        <v>0</v>
      </c>
      <c r="X338">
        <f t="shared" si="27"/>
        <v>0</v>
      </c>
      <c r="Y338">
        <f t="shared" si="28"/>
        <v>0</v>
      </c>
      <c r="Z338">
        <f t="shared" si="29"/>
        <v>0</v>
      </c>
    </row>
    <row r="339" spans="1:26" ht="16" x14ac:dyDescent="0.2">
      <c r="A339" s="4" t="s">
        <v>1024</v>
      </c>
      <c r="B339" s="4" t="s">
        <v>1025</v>
      </c>
      <c r="C339" s="4" t="s">
        <v>1026</v>
      </c>
      <c r="D339">
        <f>INDEX('Energieverbruik in TJ Gemeente'!$B$4:$Q$347,MATCH($C339,'Energieverbruik in TJ Gemeente'!$B$4:$B$347,0),MATCH(D$2,'Energieverbruik in TJ Gemeente'!$B$4:$Q$4,0))</f>
        <v>867</v>
      </c>
      <c r="E339">
        <f>INDEX('Energieverbruik in TJ Gemeente'!$B$4:$Q$347,MATCH($C339,'Energieverbruik in TJ Gemeente'!$B$4:$B$347,0),MATCH(E$2,'Energieverbruik in TJ Gemeente'!$B$4:$Q$4,0))</f>
        <v>850</v>
      </c>
      <c r="F339">
        <f>INDEX('Energieverbruik in TJ Gemeente'!$B$4:$Q$347,MATCH($C339,'Energieverbruik in TJ Gemeente'!$B$4:$B$347,0),MATCH(F$2,'Energieverbruik in TJ Gemeente'!$B$4:$Q$4,0))</f>
        <v>860</v>
      </c>
      <c r="G339">
        <f>INDEX('Energieverbruik in TJ Gemeente'!$B$4:$Q$347,MATCH($C339,'Energieverbruik in TJ Gemeente'!$B$4:$B$347,0),MATCH(G$2,'Energieverbruik in TJ Gemeente'!$B$4:$Q$4,0))</f>
        <v>739</v>
      </c>
      <c r="H339">
        <f>INDEX('Energieverbruik in TJ Gemeente'!$B$4:$Q$347,MATCH($C339,'Energieverbruik in TJ Gemeente'!$B$4:$B$347,0),MATCH(H$2,'Energieverbruik in TJ Gemeente'!$B$4:$Q$4,0))</f>
        <v>626</v>
      </c>
      <c r="I339">
        <f>INDEX('Energieverbruik in TJ Gemeente'!$B$4:$Q$347,MATCH($C339,'Energieverbruik in TJ Gemeente'!$B$4:$B$347,0),MATCH(I$2,'Energieverbruik in TJ Gemeente'!$B$4:$Q$4,0))</f>
        <v>134</v>
      </c>
      <c r="J339">
        <f>INDEX('Energieverbruik in TJ Gemeente'!$B$4:$Q$347,MATCH($C339,'Energieverbruik in TJ Gemeente'!$B$4:$B$347,0),MATCH(J$2,'Energieverbruik in TJ Gemeente'!$B$4:$Q$4,0))</f>
        <v>129</v>
      </c>
      <c r="K339">
        <f>INDEX('Energieverbruik in TJ Gemeente'!$B$4:$Q$347,MATCH($C339,'Energieverbruik in TJ Gemeente'!$B$4:$B$347,0),MATCH(K$2,'Energieverbruik in TJ Gemeente'!$B$4:$Q$4,0))</f>
        <v>128</v>
      </c>
      <c r="L339">
        <f>INDEX('Energieverbruik in TJ Gemeente'!$B$4:$Q$347,MATCH($C339,'Energieverbruik in TJ Gemeente'!$B$4:$B$347,0),MATCH(L$2,'Energieverbruik in TJ Gemeente'!$B$4:$Q$4,0))</f>
        <v>136</v>
      </c>
      <c r="M339">
        <f>INDEX('Energieverbruik in TJ Gemeente'!$B$4:$Q$347,MATCH($C339,'Energieverbruik in TJ Gemeente'!$B$4:$B$347,0),MATCH(M$2,'Energieverbruik in TJ Gemeente'!$B$4:$Q$4,0))</f>
        <v>148</v>
      </c>
      <c r="N339">
        <f>INDEX('Energieverbruik in TJ Gemeente'!$B$4:$Q$347,MATCH($C339,'Energieverbruik in TJ Gemeente'!$B$4:$B$347,0),MATCH(N$2,'Energieverbruik in TJ Gemeente'!$B$4:$Q$4,0))</f>
        <v>3415</v>
      </c>
      <c r="O339">
        <f>INDEX('Energieverbruik in TJ Gemeente'!$B$4:$Q$347,MATCH($C339,'Energieverbruik in TJ Gemeente'!$B$4:$B$347,0),MATCH(O$2,'Energieverbruik in TJ Gemeente'!$B$4:$Q$4,0))</f>
        <v>3154</v>
      </c>
      <c r="P339">
        <f>INDEX('Energieverbruik in TJ Gemeente'!$B$4:$Q$347,MATCH($C339,'Energieverbruik in TJ Gemeente'!$B$4:$B$347,0),MATCH(P$2,'Energieverbruik in TJ Gemeente'!$B$4:$Q$4,0))</f>
        <v>3277</v>
      </c>
      <c r="Q339">
        <f>INDEX('Energieverbruik in TJ Gemeente'!$B$4:$Q$347,MATCH($C339,'Energieverbruik in TJ Gemeente'!$B$4:$B$347,0),MATCH(Q$2,'Energieverbruik in TJ Gemeente'!$B$4:$Q$4,0))</f>
        <v>2235</v>
      </c>
      <c r="R339">
        <f>INDEX('Energieverbruik in TJ Gemeente'!$B$4:$Q$347,MATCH($C339,'Energieverbruik in TJ Gemeente'!$B$4:$B$347,0),MATCH(R$2,'Energieverbruik in TJ Gemeente'!$B$4:$Q$4,0))</f>
        <v>2146</v>
      </c>
      <c r="S339" cm="1">
        <f t="array" ref="S339">MAX(_xlfn._xlws.FILTER(D$1:H$1, D339:H339&lt;&gt;"?"))</f>
        <v>2023</v>
      </c>
      <c r="T339" cm="1">
        <f t="array" ref="T339">MAX(_xlfn._xlws.FILTER(I$1:M$1, I339:M339&lt;&gt;"?"))</f>
        <v>2023</v>
      </c>
      <c r="U339" cm="1">
        <f t="array" ref="U339">MAX(_xlfn._xlws.FILTER(F$1:J$1, F339:J339&lt;&gt;"?"))</f>
        <v>2023</v>
      </c>
      <c r="V339">
        <f t="shared" si="25"/>
        <v>626</v>
      </c>
      <c r="W339">
        <f t="shared" si="26"/>
        <v>148</v>
      </c>
      <c r="X339">
        <f t="shared" si="27"/>
        <v>2146</v>
      </c>
      <c r="Y339">
        <f t="shared" si="28"/>
        <v>2920</v>
      </c>
      <c r="Z339">
        <f t="shared" si="29"/>
        <v>4.8528360838277574E-3</v>
      </c>
    </row>
    <row r="340" spans="1:26" ht="16" x14ac:dyDescent="0.2">
      <c r="A340" s="4" t="s">
        <v>1027</v>
      </c>
      <c r="B340" s="4" t="s">
        <v>1028</v>
      </c>
      <c r="C340" s="4" t="s">
        <v>1029</v>
      </c>
      <c r="D340">
        <f>INDEX('Energieverbruik in TJ Gemeente'!$B$4:$Q$347,MATCH($C340,'Energieverbruik in TJ Gemeente'!$B$4:$B$347,0),MATCH(D$2,'Energieverbruik in TJ Gemeente'!$B$4:$Q$4,0))</f>
        <v>610</v>
      </c>
      <c r="E340">
        <f>INDEX('Energieverbruik in TJ Gemeente'!$B$4:$Q$347,MATCH($C340,'Energieverbruik in TJ Gemeente'!$B$4:$B$347,0),MATCH(E$2,'Energieverbruik in TJ Gemeente'!$B$4:$Q$4,0))</f>
        <v>577</v>
      </c>
      <c r="F340">
        <f>INDEX('Energieverbruik in TJ Gemeente'!$B$4:$Q$347,MATCH($C340,'Energieverbruik in TJ Gemeente'!$B$4:$B$347,0),MATCH(F$2,'Energieverbruik in TJ Gemeente'!$B$4:$Q$4,0))</f>
        <v>586</v>
      </c>
      <c r="G340">
        <f>INDEX('Energieverbruik in TJ Gemeente'!$B$4:$Q$347,MATCH($C340,'Energieverbruik in TJ Gemeente'!$B$4:$B$347,0),MATCH(G$2,'Energieverbruik in TJ Gemeente'!$B$4:$Q$4,0))</f>
        <v>517</v>
      </c>
      <c r="H340">
        <f>INDEX('Energieverbruik in TJ Gemeente'!$B$4:$Q$347,MATCH($C340,'Energieverbruik in TJ Gemeente'!$B$4:$B$347,0),MATCH(H$2,'Energieverbruik in TJ Gemeente'!$B$4:$Q$4,0))</f>
        <v>426</v>
      </c>
      <c r="I340">
        <f>INDEX('Energieverbruik in TJ Gemeente'!$B$4:$Q$347,MATCH($C340,'Energieverbruik in TJ Gemeente'!$B$4:$B$347,0),MATCH(I$2,'Energieverbruik in TJ Gemeente'!$B$4:$Q$4,0))</f>
        <v>48</v>
      </c>
      <c r="J340">
        <f>INDEX('Energieverbruik in TJ Gemeente'!$B$4:$Q$347,MATCH($C340,'Energieverbruik in TJ Gemeente'!$B$4:$B$347,0),MATCH(J$2,'Energieverbruik in TJ Gemeente'!$B$4:$Q$4,0))</f>
        <v>51</v>
      </c>
      <c r="K340">
        <f>INDEX('Energieverbruik in TJ Gemeente'!$B$4:$Q$347,MATCH($C340,'Energieverbruik in TJ Gemeente'!$B$4:$B$347,0),MATCH(K$2,'Energieverbruik in TJ Gemeente'!$B$4:$Q$4,0))</f>
        <v>51</v>
      </c>
      <c r="L340">
        <f>INDEX('Energieverbruik in TJ Gemeente'!$B$4:$Q$347,MATCH($C340,'Energieverbruik in TJ Gemeente'!$B$4:$B$347,0),MATCH(L$2,'Energieverbruik in TJ Gemeente'!$B$4:$Q$4,0))</f>
        <v>42</v>
      </c>
      <c r="M340">
        <f>INDEX('Energieverbruik in TJ Gemeente'!$B$4:$Q$347,MATCH($C340,'Energieverbruik in TJ Gemeente'!$B$4:$B$347,0),MATCH(M$2,'Energieverbruik in TJ Gemeente'!$B$4:$Q$4,0))</f>
        <v>46</v>
      </c>
      <c r="N340">
        <f>INDEX('Energieverbruik in TJ Gemeente'!$B$4:$Q$347,MATCH($C340,'Energieverbruik in TJ Gemeente'!$B$4:$B$347,0),MATCH(N$2,'Energieverbruik in TJ Gemeente'!$B$4:$Q$4,0))</f>
        <v>287</v>
      </c>
      <c r="O340">
        <f>INDEX('Energieverbruik in TJ Gemeente'!$B$4:$Q$347,MATCH($C340,'Energieverbruik in TJ Gemeente'!$B$4:$B$347,0),MATCH(O$2,'Energieverbruik in TJ Gemeente'!$B$4:$Q$4,0))</f>
        <v>284</v>
      </c>
      <c r="P340">
        <f>INDEX('Energieverbruik in TJ Gemeente'!$B$4:$Q$347,MATCH($C340,'Energieverbruik in TJ Gemeente'!$B$4:$B$347,0),MATCH(P$2,'Energieverbruik in TJ Gemeente'!$B$4:$Q$4,0))</f>
        <v>303</v>
      </c>
      <c r="Q340">
        <f>INDEX('Energieverbruik in TJ Gemeente'!$B$4:$Q$347,MATCH($C340,'Energieverbruik in TJ Gemeente'!$B$4:$B$347,0),MATCH(Q$2,'Energieverbruik in TJ Gemeente'!$B$4:$Q$4,0))</f>
        <v>181</v>
      </c>
      <c r="R340">
        <f>INDEX('Energieverbruik in TJ Gemeente'!$B$4:$Q$347,MATCH($C340,'Energieverbruik in TJ Gemeente'!$B$4:$B$347,0),MATCH(R$2,'Energieverbruik in TJ Gemeente'!$B$4:$Q$4,0))</f>
        <v>194</v>
      </c>
      <c r="S340" cm="1">
        <f t="array" ref="S340">MAX(_xlfn._xlws.FILTER(D$1:H$1, D340:H340&lt;&gt;"?"))</f>
        <v>2023</v>
      </c>
      <c r="T340" cm="1">
        <f t="array" ref="T340">MAX(_xlfn._xlws.FILTER(I$1:M$1, I340:M340&lt;&gt;"?"))</f>
        <v>2023</v>
      </c>
      <c r="U340" cm="1">
        <f t="array" ref="U340">MAX(_xlfn._xlws.FILTER(F$1:J$1, F340:J340&lt;&gt;"?"))</f>
        <v>2023</v>
      </c>
      <c r="V340">
        <f t="shared" si="25"/>
        <v>426</v>
      </c>
      <c r="W340">
        <f t="shared" si="26"/>
        <v>46</v>
      </c>
      <c r="X340">
        <f t="shared" si="27"/>
        <v>194</v>
      </c>
      <c r="Y340">
        <f t="shared" si="28"/>
        <v>666</v>
      </c>
      <c r="Z340">
        <f t="shared" si="29"/>
        <v>1.1068454903524953E-3</v>
      </c>
    </row>
    <row r="341" spans="1:26" ht="16" x14ac:dyDescent="0.2">
      <c r="A341" s="4" t="s">
        <v>1030</v>
      </c>
      <c r="B341" s="4" t="s">
        <v>1031</v>
      </c>
      <c r="C341" s="4" t="s">
        <v>1032</v>
      </c>
      <c r="D341">
        <f>INDEX('Energieverbruik in TJ Gemeente'!$B$4:$Q$347,MATCH($C341,'Energieverbruik in TJ Gemeente'!$B$4:$B$347,0),MATCH(D$2,'Energieverbruik in TJ Gemeente'!$B$4:$Q$4,0))</f>
        <v>1220</v>
      </c>
      <c r="E341">
        <f>INDEX('Energieverbruik in TJ Gemeente'!$B$4:$Q$347,MATCH($C341,'Energieverbruik in TJ Gemeente'!$B$4:$B$347,0),MATCH(E$2,'Energieverbruik in TJ Gemeente'!$B$4:$Q$4,0))</f>
        <v>1188</v>
      </c>
      <c r="F341">
        <f>INDEX('Energieverbruik in TJ Gemeente'!$B$4:$Q$347,MATCH($C341,'Energieverbruik in TJ Gemeente'!$B$4:$B$347,0),MATCH(F$2,'Energieverbruik in TJ Gemeente'!$B$4:$Q$4,0))</f>
        <v>1239</v>
      </c>
      <c r="G341">
        <f>INDEX('Energieverbruik in TJ Gemeente'!$B$4:$Q$347,MATCH($C341,'Energieverbruik in TJ Gemeente'!$B$4:$B$347,0),MATCH(G$2,'Energieverbruik in TJ Gemeente'!$B$4:$Q$4,0))</f>
        <v>1089</v>
      </c>
      <c r="H341">
        <f>INDEX('Energieverbruik in TJ Gemeente'!$B$4:$Q$347,MATCH($C341,'Energieverbruik in TJ Gemeente'!$B$4:$B$347,0),MATCH(H$2,'Energieverbruik in TJ Gemeente'!$B$4:$Q$4,0))</f>
        <v>912</v>
      </c>
      <c r="I341">
        <f>INDEX('Energieverbruik in TJ Gemeente'!$B$4:$Q$347,MATCH($C341,'Energieverbruik in TJ Gemeente'!$B$4:$B$347,0),MATCH(I$2,'Energieverbruik in TJ Gemeente'!$B$4:$Q$4,0))</f>
        <v>127</v>
      </c>
      <c r="J341">
        <f>INDEX('Energieverbruik in TJ Gemeente'!$B$4:$Q$347,MATCH($C341,'Energieverbruik in TJ Gemeente'!$B$4:$B$347,0),MATCH(J$2,'Energieverbruik in TJ Gemeente'!$B$4:$Q$4,0))</f>
        <v>111</v>
      </c>
      <c r="K341">
        <f>INDEX('Energieverbruik in TJ Gemeente'!$B$4:$Q$347,MATCH($C341,'Energieverbruik in TJ Gemeente'!$B$4:$B$347,0),MATCH(K$2,'Energieverbruik in TJ Gemeente'!$B$4:$Q$4,0))</f>
        <v>120</v>
      </c>
      <c r="L341">
        <f>INDEX('Energieverbruik in TJ Gemeente'!$B$4:$Q$347,MATCH($C341,'Energieverbruik in TJ Gemeente'!$B$4:$B$347,0),MATCH(L$2,'Energieverbruik in TJ Gemeente'!$B$4:$Q$4,0))</f>
        <v>97</v>
      </c>
      <c r="M341">
        <f>INDEX('Energieverbruik in TJ Gemeente'!$B$4:$Q$347,MATCH($C341,'Energieverbruik in TJ Gemeente'!$B$4:$B$347,0),MATCH(M$2,'Energieverbruik in TJ Gemeente'!$B$4:$Q$4,0))</f>
        <v>70</v>
      </c>
      <c r="N341">
        <f>INDEX('Energieverbruik in TJ Gemeente'!$B$4:$Q$347,MATCH($C341,'Energieverbruik in TJ Gemeente'!$B$4:$B$347,0),MATCH(N$2,'Energieverbruik in TJ Gemeente'!$B$4:$Q$4,0))</f>
        <v>50</v>
      </c>
      <c r="O341">
        <f>INDEX('Energieverbruik in TJ Gemeente'!$B$4:$Q$347,MATCH($C341,'Energieverbruik in TJ Gemeente'!$B$4:$B$347,0),MATCH(O$2,'Energieverbruik in TJ Gemeente'!$B$4:$Q$4,0))</f>
        <v>51</v>
      </c>
      <c r="P341">
        <f>INDEX('Energieverbruik in TJ Gemeente'!$B$4:$Q$347,MATCH($C341,'Energieverbruik in TJ Gemeente'!$B$4:$B$347,0),MATCH(P$2,'Energieverbruik in TJ Gemeente'!$B$4:$Q$4,0))</f>
        <v>49</v>
      </c>
      <c r="Q341">
        <f>INDEX('Energieverbruik in TJ Gemeente'!$B$4:$Q$347,MATCH($C341,'Energieverbruik in TJ Gemeente'!$B$4:$B$347,0),MATCH(Q$2,'Energieverbruik in TJ Gemeente'!$B$4:$Q$4,0))</f>
        <v>25</v>
      </c>
      <c r="R341">
        <f>INDEX('Energieverbruik in TJ Gemeente'!$B$4:$Q$347,MATCH($C341,'Energieverbruik in TJ Gemeente'!$B$4:$B$347,0),MATCH(R$2,'Energieverbruik in TJ Gemeente'!$B$4:$Q$4,0))</f>
        <v>23</v>
      </c>
      <c r="S341" cm="1">
        <f t="array" ref="S341">MAX(_xlfn._xlws.FILTER(D$1:H$1, D341:H341&lt;&gt;"?"))</f>
        <v>2023</v>
      </c>
      <c r="T341" cm="1">
        <f t="array" ref="T341">MAX(_xlfn._xlws.FILTER(I$1:M$1, I341:M341&lt;&gt;"?"))</f>
        <v>2023</v>
      </c>
      <c r="U341" cm="1">
        <f t="array" ref="U341">MAX(_xlfn._xlws.FILTER(F$1:J$1, F341:J341&lt;&gt;"?"))</f>
        <v>2023</v>
      </c>
      <c r="V341">
        <f t="shared" si="25"/>
        <v>912</v>
      </c>
      <c r="W341">
        <f t="shared" si="26"/>
        <v>70</v>
      </c>
      <c r="X341">
        <f t="shared" si="27"/>
        <v>23</v>
      </c>
      <c r="Y341">
        <f t="shared" si="28"/>
        <v>1005</v>
      </c>
      <c r="Z341">
        <f t="shared" si="29"/>
        <v>1.6702398165229096E-3</v>
      </c>
    </row>
    <row r="342" spans="1:26" ht="32" x14ac:dyDescent="0.2">
      <c r="A342" s="4" t="s">
        <v>1033</v>
      </c>
      <c r="B342" s="4" t="s">
        <v>1034</v>
      </c>
      <c r="C342" s="4" t="s">
        <v>1035</v>
      </c>
      <c r="D342">
        <f>INDEX('Energieverbruik in TJ Gemeente'!$B$4:$Q$347,MATCH($C342,'Energieverbruik in TJ Gemeente'!$B$4:$B$347,0),MATCH(D$2,'Energieverbruik in TJ Gemeente'!$B$4:$Q$4,0))</f>
        <v>523</v>
      </c>
      <c r="E342">
        <f>INDEX('Energieverbruik in TJ Gemeente'!$B$4:$Q$347,MATCH($C342,'Energieverbruik in TJ Gemeente'!$B$4:$B$347,0),MATCH(E$2,'Energieverbruik in TJ Gemeente'!$B$4:$Q$4,0))</f>
        <v>517</v>
      </c>
      <c r="F342">
        <f>INDEX('Energieverbruik in TJ Gemeente'!$B$4:$Q$347,MATCH($C342,'Energieverbruik in TJ Gemeente'!$B$4:$B$347,0),MATCH(F$2,'Energieverbruik in TJ Gemeente'!$B$4:$Q$4,0))</f>
        <v>530</v>
      </c>
      <c r="G342">
        <f>INDEX('Energieverbruik in TJ Gemeente'!$B$4:$Q$347,MATCH($C342,'Energieverbruik in TJ Gemeente'!$B$4:$B$347,0),MATCH(G$2,'Energieverbruik in TJ Gemeente'!$B$4:$Q$4,0))</f>
        <v>464</v>
      </c>
      <c r="H342">
        <f>INDEX('Energieverbruik in TJ Gemeente'!$B$4:$Q$347,MATCH($C342,'Energieverbruik in TJ Gemeente'!$B$4:$B$347,0),MATCH(H$2,'Energieverbruik in TJ Gemeente'!$B$4:$Q$4,0))</f>
        <v>383</v>
      </c>
      <c r="I342">
        <f>INDEX('Energieverbruik in TJ Gemeente'!$B$4:$Q$347,MATCH($C342,'Energieverbruik in TJ Gemeente'!$B$4:$B$347,0),MATCH(I$2,'Energieverbruik in TJ Gemeente'!$B$4:$Q$4,0))</f>
        <v>610</v>
      </c>
      <c r="J342">
        <f>INDEX('Energieverbruik in TJ Gemeente'!$B$4:$Q$347,MATCH($C342,'Energieverbruik in TJ Gemeente'!$B$4:$B$347,0),MATCH(J$2,'Energieverbruik in TJ Gemeente'!$B$4:$Q$4,0))</f>
        <v>623</v>
      </c>
      <c r="K342">
        <f>INDEX('Energieverbruik in TJ Gemeente'!$B$4:$Q$347,MATCH($C342,'Energieverbruik in TJ Gemeente'!$B$4:$B$347,0),MATCH(K$2,'Energieverbruik in TJ Gemeente'!$B$4:$Q$4,0))</f>
        <v>682</v>
      </c>
      <c r="L342">
        <f>INDEX('Energieverbruik in TJ Gemeente'!$B$4:$Q$347,MATCH($C342,'Energieverbruik in TJ Gemeente'!$B$4:$B$347,0),MATCH(L$2,'Energieverbruik in TJ Gemeente'!$B$4:$Q$4,0))</f>
        <v>581</v>
      </c>
      <c r="M342">
        <f>INDEX('Energieverbruik in TJ Gemeente'!$B$4:$Q$347,MATCH($C342,'Energieverbruik in TJ Gemeente'!$B$4:$B$347,0),MATCH(M$2,'Energieverbruik in TJ Gemeente'!$B$4:$Q$4,0))</f>
        <v>605</v>
      </c>
      <c r="N342">
        <f>INDEX('Energieverbruik in TJ Gemeente'!$B$4:$Q$347,MATCH($C342,'Energieverbruik in TJ Gemeente'!$B$4:$B$347,0),MATCH(N$2,'Energieverbruik in TJ Gemeente'!$B$4:$Q$4,0))</f>
        <v>22</v>
      </c>
      <c r="O342">
        <f>INDEX('Energieverbruik in TJ Gemeente'!$B$4:$Q$347,MATCH($C342,'Energieverbruik in TJ Gemeente'!$B$4:$B$347,0),MATCH(O$2,'Energieverbruik in TJ Gemeente'!$B$4:$Q$4,0))</f>
        <v>19</v>
      </c>
      <c r="P342">
        <f>INDEX('Energieverbruik in TJ Gemeente'!$B$4:$Q$347,MATCH($C342,'Energieverbruik in TJ Gemeente'!$B$4:$B$347,0),MATCH(P$2,'Energieverbruik in TJ Gemeente'!$B$4:$Q$4,0))</f>
        <v>22</v>
      </c>
      <c r="Q342">
        <f>INDEX('Energieverbruik in TJ Gemeente'!$B$4:$Q$347,MATCH($C342,'Energieverbruik in TJ Gemeente'!$B$4:$B$347,0),MATCH(Q$2,'Energieverbruik in TJ Gemeente'!$B$4:$Q$4,0))</f>
        <v>19</v>
      </c>
      <c r="R342">
        <f>INDEX('Energieverbruik in TJ Gemeente'!$B$4:$Q$347,MATCH($C342,'Energieverbruik in TJ Gemeente'!$B$4:$B$347,0),MATCH(R$2,'Energieverbruik in TJ Gemeente'!$B$4:$Q$4,0))</f>
        <v>15</v>
      </c>
      <c r="S342" cm="1">
        <f t="array" ref="S342">MAX(_xlfn._xlws.FILTER(D$1:H$1, D342:H342&lt;&gt;"?"))</f>
        <v>2023</v>
      </c>
      <c r="T342" cm="1">
        <f t="array" ref="T342">MAX(_xlfn._xlws.FILTER(I$1:M$1, I342:M342&lt;&gt;"?"))</f>
        <v>2023</v>
      </c>
      <c r="U342" cm="1">
        <f t="array" ref="U342">MAX(_xlfn._xlws.FILTER(F$1:J$1, F342:J342&lt;&gt;"?"))</f>
        <v>2023</v>
      </c>
      <c r="V342">
        <f t="shared" si="25"/>
        <v>383</v>
      </c>
      <c r="W342">
        <f t="shared" si="26"/>
        <v>605</v>
      </c>
      <c r="X342">
        <f t="shared" si="27"/>
        <v>15</v>
      </c>
      <c r="Y342">
        <f t="shared" si="28"/>
        <v>1003</v>
      </c>
      <c r="Z342">
        <f t="shared" si="29"/>
        <v>1.6669159561915209E-3</v>
      </c>
    </row>
    <row r="343" spans="1:26" ht="16" x14ac:dyDescent="0.2">
      <c r="A343" s="4" t="s">
        <v>1036</v>
      </c>
      <c r="B343" s="4" t="s">
        <v>1037</v>
      </c>
      <c r="C343" s="4" t="s">
        <v>1038</v>
      </c>
      <c r="D343">
        <f>INDEX('Energieverbruik in TJ Gemeente'!$B$4:$Q$347,MATCH($C343,'Energieverbruik in TJ Gemeente'!$B$4:$B$347,0),MATCH(D$2,'Energieverbruik in TJ Gemeente'!$B$4:$Q$4,0))</f>
        <v>969</v>
      </c>
      <c r="E343">
        <f>INDEX('Energieverbruik in TJ Gemeente'!$B$4:$Q$347,MATCH($C343,'Energieverbruik in TJ Gemeente'!$B$4:$B$347,0),MATCH(E$2,'Energieverbruik in TJ Gemeente'!$B$4:$Q$4,0))</f>
        <v>950</v>
      </c>
      <c r="F343">
        <f>INDEX('Energieverbruik in TJ Gemeente'!$B$4:$Q$347,MATCH($C343,'Energieverbruik in TJ Gemeente'!$B$4:$B$347,0),MATCH(F$2,'Energieverbruik in TJ Gemeente'!$B$4:$Q$4,0))</f>
        <v>958</v>
      </c>
      <c r="G343">
        <f>INDEX('Energieverbruik in TJ Gemeente'!$B$4:$Q$347,MATCH($C343,'Energieverbruik in TJ Gemeente'!$B$4:$B$347,0),MATCH(G$2,'Energieverbruik in TJ Gemeente'!$B$4:$Q$4,0))</f>
        <v>831</v>
      </c>
      <c r="H343">
        <f>INDEX('Energieverbruik in TJ Gemeente'!$B$4:$Q$347,MATCH($C343,'Energieverbruik in TJ Gemeente'!$B$4:$B$347,0),MATCH(H$2,'Energieverbruik in TJ Gemeente'!$B$4:$Q$4,0))</f>
        <v>710</v>
      </c>
      <c r="I343">
        <f>INDEX('Energieverbruik in TJ Gemeente'!$B$4:$Q$347,MATCH($C343,'Energieverbruik in TJ Gemeente'!$B$4:$B$347,0),MATCH(I$2,'Energieverbruik in TJ Gemeente'!$B$4:$Q$4,0))</f>
        <v>1364</v>
      </c>
      <c r="J343">
        <f>INDEX('Energieverbruik in TJ Gemeente'!$B$4:$Q$347,MATCH($C343,'Energieverbruik in TJ Gemeente'!$B$4:$B$347,0),MATCH(J$2,'Energieverbruik in TJ Gemeente'!$B$4:$Q$4,0))</f>
        <v>1236</v>
      </c>
      <c r="K343">
        <f>INDEX('Energieverbruik in TJ Gemeente'!$B$4:$Q$347,MATCH($C343,'Energieverbruik in TJ Gemeente'!$B$4:$B$347,0),MATCH(K$2,'Energieverbruik in TJ Gemeente'!$B$4:$Q$4,0))</f>
        <v>1333</v>
      </c>
      <c r="L343">
        <f>INDEX('Energieverbruik in TJ Gemeente'!$B$4:$Q$347,MATCH($C343,'Energieverbruik in TJ Gemeente'!$B$4:$B$347,0),MATCH(L$2,'Energieverbruik in TJ Gemeente'!$B$4:$Q$4,0))</f>
        <v>1234</v>
      </c>
      <c r="M343">
        <f>INDEX('Energieverbruik in TJ Gemeente'!$B$4:$Q$347,MATCH($C343,'Energieverbruik in TJ Gemeente'!$B$4:$B$347,0),MATCH(M$2,'Energieverbruik in TJ Gemeente'!$B$4:$Q$4,0))</f>
        <v>1061</v>
      </c>
      <c r="N343" t="str">
        <f>INDEX('Energieverbruik in TJ Gemeente'!$B$4:$Q$347,MATCH($C343,'Energieverbruik in TJ Gemeente'!$B$4:$B$347,0),MATCH(N$2,'Energieverbruik in TJ Gemeente'!$B$4:$Q$4,0))</f>
        <v>?</v>
      </c>
      <c r="O343">
        <f>INDEX('Energieverbruik in TJ Gemeente'!$B$4:$Q$347,MATCH($C343,'Energieverbruik in TJ Gemeente'!$B$4:$B$347,0),MATCH(O$2,'Energieverbruik in TJ Gemeente'!$B$4:$Q$4,0))</f>
        <v>2</v>
      </c>
      <c r="P343" t="str">
        <f>INDEX('Energieverbruik in TJ Gemeente'!$B$4:$Q$347,MATCH($C343,'Energieverbruik in TJ Gemeente'!$B$4:$B$347,0),MATCH(P$2,'Energieverbruik in TJ Gemeente'!$B$4:$Q$4,0))</f>
        <v>?</v>
      </c>
      <c r="Q343" t="str">
        <f>INDEX('Energieverbruik in TJ Gemeente'!$B$4:$Q$347,MATCH($C343,'Energieverbruik in TJ Gemeente'!$B$4:$B$347,0),MATCH(Q$2,'Energieverbruik in TJ Gemeente'!$B$4:$Q$4,0))</f>
        <v>?</v>
      </c>
      <c r="R343" t="str">
        <f>INDEX('Energieverbruik in TJ Gemeente'!$B$4:$Q$347,MATCH($C343,'Energieverbruik in TJ Gemeente'!$B$4:$B$347,0),MATCH(R$2,'Energieverbruik in TJ Gemeente'!$B$4:$Q$4,0))</f>
        <v>?</v>
      </c>
      <c r="S343" cm="1">
        <f t="array" ref="S343">MAX(_xlfn._xlws.FILTER(D$1:H$1, D343:H343&lt;&gt;"?"))</f>
        <v>2023</v>
      </c>
      <c r="T343" cm="1">
        <f t="array" ref="T343">MAX(_xlfn._xlws.FILTER(I$1:M$1, I343:M343&lt;&gt;"?"))</f>
        <v>2023</v>
      </c>
      <c r="U343" cm="1">
        <f t="array" ref="U343">MAX(_xlfn._xlws.FILTER(F$1:J$1, F343:J343&lt;&gt;"?"))</f>
        <v>2023</v>
      </c>
      <c r="V343">
        <f t="shared" si="25"/>
        <v>710</v>
      </c>
      <c r="W343">
        <f t="shared" si="26"/>
        <v>1061</v>
      </c>
      <c r="X343" t="str">
        <f t="shared" si="27"/>
        <v>?</v>
      </c>
      <c r="Y343">
        <f t="shared" si="28"/>
        <v>1771</v>
      </c>
      <c r="Z343">
        <f t="shared" si="29"/>
        <v>2.9432783234448487E-3</v>
      </c>
    </row>
    <row r="344" spans="1:26" ht="16" x14ac:dyDescent="0.2">
      <c r="A344" s="4" t="s">
        <v>1039</v>
      </c>
      <c r="B344" s="4" t="s">
        <v>1040</v>
      </c>
      <c r="C344" s="4" t="s">
        <v>1041</v>
      </c>
      <c r="D344" t="str">
        <f>INDEX('Energieverbruik in TJ Gemeente'!$B$4:$Q$347,MATCH($C344,'Energieverbruik in TJ Gemeente'!$B$4:$B$347,0),MATCH(D$2,'Energieverbruik in TJ Gemeente'!$B$4:$Q$4,0))</f>
        <v>?</v>
      </c>
      <c r="E344" t="str">
        <f>INDEX('Energieverbruik in TJ Gemeente'!$B$4:$Q$347,MATCH($C344,'Energieverbruik in TJ Gemeente'!$B$4:$B$347,0),MATCH(E$2,'Energieverbruik in TJ Gemeente'!$B$4:$Q$4,0))</f>
        <v>?</v>
      </c>
      <c r="F344">
        <f>INDEX('Energieverbruik in TJ Gemeente'!$B$4:$Q$347,MATCH($C344,'Energieverbruik in TJ Gemeente'!$B$4:$B$347,0),MATCH(F$2,'Energieverbruik in TJ Gemeente'!$B$4:$Q$4,0))</f>
        <v>3004</v>
      </c>
      <c r="G344">
        <f>INDEX('Energieverbruik in TJ Gemeente'!$B$4:$Q$347,MATCH($C344,'Energieverbruik in TJ Gemeente'!$B$4:$B$347,0),MATCH(G$2,'Energieverbruik in TJ Gemeente'!$B$4:$Q$4,0))</f>
        <v>2611</v>
      </c>
      <c r="H344">
        <f>INDEX('Energieverbruik in TJ Gemeente'!$B$4:$Q$347,MATCH($C344,'Energieverbruik in TJ Gemeente'!$B$4:$B$347,0),MATCH(H$2,'Energieverbruik in TJ Gemeente'!$B$4:$Q$4,0))</f>
        <v>2221</v>
      </c>
      <c r="I344">
        <f>INDEX('Energieverbruik in TJ Gemeente'!$B$4:$Q$347,MATCH($C344,'Energieverbruik in TJ Gemeente'!$B$4:$B$347,0),MATCH(I$2,'Energieverbruik in TJ Gemeente'!$B$4:$Q$4,0))</f>
        <v>700</v>
      </c>
      <c r="J344">
        <f>INDEX('Energieverbruik in TJ Gemeente'!$B$4:$Q$347,MATCH($C344,'Energieverbruik in TJ Gemeente'!$B$4:$B$347,0),MATCH(J$2,'Energieverbruik in TJ Gemeente'!$B$4:$Q$4,0))</f>
        <v>756</v>
      </c>
      <c r="K344">
        <f>INDEX('Energieverbruik in TJ Gemeente'!$B$4:$Q$347,MATCH($C344,'Energieverbruik in TJ Gemeente'!$B$4:$B$347,0),MATCH(K$2,'Energieverbruik in TJ Gemeente'!$B$4:$Q$4,0))</f>
        <v>744</v>
      </c>
      <c r="L344">
        <f>INDEX('Energieverbruik in TJ Gemeente'!$B$4:$Q$347,MATCH($C344,'Energieverbruik in TJ Gemeente'!$B$4:$B$347,0),MATCH(L$2,'Energieverbruik in TJ Gemeente'!$B$4:$Q$4,0))</f>
        <v>670</v>
      </c>
      <c r="M344">
        <f>INDEX('Energieverbruik in TJ Gemeente'!$B$4:$Q$347,MATCH($C344,'Energieverbruik in TJ Gemeente'!$B$4:$B$347,0),MATCH(M$2,'Energieverbruik in TJ Gemeente'!$B$4:$Q$4,0))</f>
        <v>669</v>
      </c>
      <c r="N344">
        <f>INDEX('Energieverbruik in TJ Gemeente'!$B$4:$Q$347,MATCH($C344,'Energieverbruik in TJ Gemeente'!$B$4:$B$347,0),MATCH(N$2,'Energieverbruik in TJ Gemeente'!$B$4:$Q$4,0))</f>
        <v>24</v>
      </c>
      <c r="O344">
        <f>INDEX('Energieverbruik in TJ Gemeente'!$B$4:$Q$347,MATCH($C344,'Energieverbruik in TJ Gemeente'!$B$4:$B$347,0),MATCH(O$2,'Energieverbruik in TJ Gemeente'!$B$4:$Q$4,0))</f>
        <v>26</v>
      </c>
      <c r="P344">
        <f>INDEX('Energieverbruik in TJ Gemeente'!$B$4:$Q$347,MATCH($C344,'Energieverbruik in TJ Gemeente'!$B$4:$B$347,0),MATCH(P$2,'Energieverbruik in TJ Gemeente'!$B$4:$Q$4,0))</f>
        <v>29</v>
      </c>
      <c r="Q344">
        <f>INDEX('Energieverbruik in TJ Gemeente'!$B$4:$Q$347,MATCH($C344,'Energieverbruik in TJ Gemeente'!$B$4:$B$347,0),MATCH(Q$2,'Energieverbruik in TJ Gemeente'!$B$4:$Q$4,0))</f>
        <v>22</v>
      </c>
      <c r="R344">
        <f>INDEX('Energieverbruik in TJ Gemeente'!$B$4:$Q$347,MATCH($C344,'Energieverbruik in TJ Gemeente'!$B$4:$B$347,0),MATCH(R$2,'Energieverbruik in TJ Gemeente'!$B$4:$Q$4,0))</f>
        <v>19</v>
      </c>
      <c r="S344" cm="1">
        <f t="array" ref="S344">MAX(_xlfn._xlws.FILTER(D$1:H$1, D344:H344&lt;&gt;"?"))</f>
        <v>2023</v>
      </c>
      <c r="T344" cm="1">
        <f t="array" ref="T344">MAX(_xlfn._xlws.FILTER(I$1:M$1, I344:M344&lt;&gt;"?"))</f>
        <v>2023</v>
      </c>
      <c r="U344" cm="1">
        <f t="array" ref="U344">MAX(_xlfn._xlws.FILTER(F$1:J$1, F344:J344&lt;&gt;"?"))</f>
        <v>2023</v>
      </c>
      <c r="V344">
        <f t="shared" si="25"/>
        <v>2221</v>
      </c>
      <c r="W344">
        <f t="shared" si="26"/>
        <v>669</v>
      </c>
      <c r="X344">
        <f t="shared" si="27"/>
        <v>19</v>
      </c>
      <c r="Y344">
        <f t="shared" si="28"/>
        <v>2909</v>
      </c>
      <c r="Z344">
        <f t="shared" si="29"/>
        <v>4.8345548520051188E-3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1:S356"/>
  <sheetViews>
    <sheetView topLeftCell="P1" zoomScale="125" workbookViewId="0">
      <selection activeCell="Q50" sqref="Q50"/>
    </sheetView>
  </sheetViews>
  <sheetFormatPr baseColWidth="10" defaultColWidth="8.5" defaultRowHeight="15" x14ac:dyDescent="0.2"/>
  <cols>
    <col min="1" max="1" width="31.1640625" customWidth="1" collapsed="1"/>
    <col min="2" max="2" width="31.1640625" customWidth="1"/>
    <col min="15" max="15" width="35.6640625" bestFit="1" customWidth="1"/>
    <col min="16" max="16" width="86.6640625" bestFit="1" customWidth="1"/>
    <col min="17" max="17" width="55.33203125" bestFit="1" customWidth="1"/>
  </cols>
  <sheetData>
    <row r="1" spans="1:19" x14ac:dyDescent="0.2">
      <c r="A1" s="1" t="s">
        <v>0</v>
      </c>
      <c r="B1" s="5"/>
    </row>
    <row r="2" spans="1:19" x14ac:dyDescent="0.2">
      <c r="A2" s="1" t="s">
        <v>1</v>
      </c>
      <c r="B2" s="1"/>
      <c r="C2" s="1">
        <v>2019</v>
      </c>
      <c r="D2" s="1">
        <v>2019</v>
      </c>
      <c r="E2" s="1">
        <v>2019</v>
      </c>
      <c r="F2" s="1">
        <v>2020</v>
      </c>
      <c r="G2" s="1">
        <v>2020</v>
      </c>
      <c r="H2" s="1">
        <v>2020</v>
      </c>
      <c r="I2" s="1">
        <v>2021</v>
      </c>
      <c r="J2" s="1">
        <v>2021</v>
      </c>
      <c r="K2" s="1">
        <v>2021</v>
      </c>
      <c r="L2" s="1">
        <v>2022</v>
      </c>
      <c r="M2" s="1">
        <v>2022</v>
      </c>
      <c r="N2" s="1">
        <v>2022</v>
      </c>
      <c r="O2" s="1">
        <v>2023</v>
      </c>
      <c r="P2" s="1">
        <v>2023</v>
      </c>
      <c r="Q2" s="1">
        <v>2023</v>
      </c>
    </row>
    <row r="3" spans="1:19" x14ac:dyDescent="0.2">
      <c r="A3" s="1" t="s">
        <v>1</v>
      </c>
      <c r="B3" s="1"/>
      <c r="C3" s="1" t="s">
        <v>2</v>
      </c>
      <c r="D3" s="1" t="s">
        <v>3</v>
      </c>
      <c r="E3" s="1" t="s">
        <v>4</v>
      </c>
      <c r="F3" s="1" t="s">
        <v>2</v>
      </c>
      <c r="G3" s="1" t="s">
        <v>3</v>
      </c>
      <c r="H3" s="1" t="s">
        <v>4</v>
      </c>
      <c r="I3" s="1" t="s">
        <v>2</v>
      </c>
      <c r="J3" s="1" t="s">
        <v>3</v>
      </c>
      <c r="K3" s="1" t="s">
        <v>4</v>
      </c>
      <c r="L3" s="1" t="s">
        <v>2</v>
      </c>
      <c r="M3" s="1" t="s">
        <v>3</v>
      </c>
      <c r="N3" s="1" t="s">
        <v>4</v>
      </c>
      <c r="O3" s="1" t="s">
        <v>2</v>
      </c>
      <c r="P3" s="1" t="s">
        <v>3</v>
      </c>
      <c r="Q3" s="1" t="s">
        <v>4</v>
      </c>
    </row>
    <row r="4" spans="1:19" x14ac:dyDescent="0.2">
      <c r="A4" s="1"/>
      <c r="B4" s="1"/>
      <c r="C4" s="1" t="str">
        <f>C3&amp;"_"&amp;C2</f>
        <v>Aardgasverbruik Gebouwde omgeving_2019</v>
      </c>
      <c r="D4" s="1" t="str">
        <f t="shared" ref="D4:P4" si="0">D3&amp;"_"&amp;D2</f>
        <v>Totaal bekend aardgasverbruik Industrie, Energie, Afval en Water (excl. Energievoorziening, SBI D)_2019</v>
      </c>
      <c r="E4" s="1" t="str">
        <f t="shared" si="0"/>
        <v>Aardgas geleverd aan Landbouw, bosbouw en visserij (SBI A)_2019</v>
      </c>
      <c r="F4" s="1" t="str">
        <f t="shared" si="0"/>
        <v>Aardgasverbruik Gebouwde omgeving_2020</v>
      </c>
      <c r="G4" s="1" t="str">
        <f t="shared" si="0"/>
        <v>Totaal bekend aardgasverbruik Industrie, Energie, Afval en Water (excl. Energievoorziening, SBI D)_2020</v>
      </c>
      <c r="H4" s="1" t="str">
        <f t="shared" si="0"/>
        <v>Aardgas geleverd aan Landbouw, bosbouw en visserij (SBI A)_2020</v>
      </c>
      <c r="I4" s="1" t="str">
        <f t="shared" si="0"/>
        <v>Aardgasverbruik Gebouwde omgeving_2021</v>
      </c>
      <c r="J4" s="1" t="str">
        <f t="shared" si="0"/>
        <v>Totaal bekend aardgasverbruik Industrie, Energie, Afval en Water (excl. Energievoorziening, SBI D)_2021</v>
      </c>
      <c r="K4" s="1" t="str">
        <f t="shared" si="0"/>
        <v>Aardgas geleverd aan Landbouw, bosbouw en visserij (SBI A)_2021</v>
      </c>
      <c r="L4" s="1" t="str">
        <f t="shared" si="0"/>
        <v>Aardgasverbruik Gebouwde omgeving_2022</v>
      </c>
      <c r="M4" s="1" t="str">
        <f t="shared" si="0"/>
        <v>Totaal bekend aardgasverbruik Industrie, Energie, Afval en Water (excl. Energievoorziening, SBI D)_2022</v>
      </c>
      <c r="N4" s="1" t="str">
        <f t="shared" si="0"/>
        <v>Aardgas geleverd aan Landbouw, bosbouw en visserij (SBI A)_2022</v>
      </c>
      <c r="O4" s="1" t="str">
        <f t="shared" si="0"/>
        <v>Aardgasverbruik Gebouwde omgeving_2023</v>
      </c>
      <c r="P4" s="1" t="str">
        <f t="shared" si="0"/>
        <v>Totaal bekend aardgasverbruik Industrie, Energie, Afval en Water (excl. Energievoorziening, SBI D)_2023</v>
      </c>
      <c r="Q4" s="1" t="str">
        <f>Q3&amp;"_"&amp;Q2</f>
        <v>Aardgas geleverd aan Landbouw, bosbouw en visserij (SBI A)_2023</v>
      </c>
    </row>
    <row r="5" spans="1:19" x14ac:dyDescent="0.2">
      <c r="A5" s="1" t="s">
        <v>1042</v>
      </c>
      <c r="B5" s="1" t="s">
        <v>21</v>
      </c>
      <c r="C5" s="2">
        <v>928</v>
      </c>
      <c r="D5" s="2" t="s">
        <v>5</v>
      </c>
      <c r="E5" s="2">
        <v>38</v>
      </c>
      <c r="F5" s="2" t="s">
        <v>5</v>
      </c>
      <c r="G5" s="2" t="s">
        <v>5</v>
      </c>
      <c r="H5" s="2">
        <v>31</v>
      </c>
      <c r="I5" s="2" t="s">
        <v>5</v>
      </c>
      <c r="J5" s="2" t="s">
        <v>5</v>
      </c>
      <c r="K5" s="2">
        <v>33</v>
      </c>
      <c r="L5" s="2" t="s">
        <v>5</v>
      </c>
      <c r="M5" s="2" t="s">
        <v>5</v>
      </c>
      <c r="N5" s="2">
        <v>27</v>
      </c>
      <c r="O5" s="2" t="s">
        <v>5</v>
      </c>
      <c r="P5" s="2" t="s">
        <v>5</v>
      </c>
      <c r="Q5" s="2">
        <v>22</v>
      </c>
      <c r="S5" s="6"/>
    </row>
    <row r="6" spans="1:19" x14ac:dyDescent="0.2">
      <c r="A6" s="1" t="s">
        <v>1042</v>
      </c>
      <c r="B6" s="1" t="s">
        <v>24</v>
      </c>
      <c r="C6" s="2" t="s">
        <v>5</v>
      </c>
      <c r="D6" s="2" t="s">
        <v>5</v>
      </c>
      <c r="E6" s="2">
        <v>710</v>
      </c>
      <c r="F6" s="2" t="s">
        <v>5</v>
      </c>
      <c r="G6" s="2" t="s">
        <v>5</v>
      </c>
      <c r="H6" s="2">
        <v>723</v>
      </c>
      <c r="I6" s="2" t="s">
        <v>5</v>
      </c>
      <c r="J6" s="2" t="s">
        <v>5</v>
      </c>
      <c r="K6" s="2">
        <v>758</v>
      </c>
      <c r="L6" s="2">
        <v>760</v>
      </c>
      <c r="M6" s="2" t="s">
        <v>5</v>
      </c>
      <c r="N6" s="2">
        <v>482</v>
      </c>
      <c r="O6" s="2" t="s">
        <v>5</v>
      </c>
      <c r="P6" s="2" t="s">
        <v>5</v>
      </c>
      <c r="Q6" s="2">
        <v>514</v>
      </c>
    </row>
    <row r="7" spans="1:19" x14ac:dyDescent="0.2">
      <c r="A7" s="1" t="s">
        <v>1042</v>
      </c>
      <c r="B7" s="1" t="s">
        <v>27</v>
      </c>
      <c r="C7" s="2" t="s">
        <v>5</v>
      </c>
      <c r="D7" s="2">
        <v>69</v>
      </c>
      <c r="E7" s="2">
        <v>49</v>
      </c>
      <c r="F7" s="2">
        <v>662</v>
      </c>
      <c r="G7" s="2">
        <v>64</v>
      </c>
      <c r="H7" s="2">
        <v>28</v>
      </c>
      <c r="I7" s="2">
        <v>665</v>
      </c>
      <c r="J7" s="2">
        <v>70</v>
      </c>
      <c r="K7" s="2">
        <v>31</v>
      </c>
      <c r="L7" s="2">
        <v>594</v>
      </c>
      <c r="M7" s="2">
        <v>57</v>
      </c>
      <c r="N7" s="2">
        <v>25</v>
      </c>
      <c r="O7" s="2">
        <v>477</v>
      </c>
      <c r="P7" s="2">
        <v>44</v>
      </c>
      <c r="Q7" s="2">
        <v>19</v>
      </c>
    </row>
    <row r="8" spans="1:19" x14ac:dyDescent="0.2">
      <c r="A8" s="1" t="s">
        <v>1042</v>
      </c>
      <c r="B8" s="1" t="s">
        <v>30</v>
      </c>
      <c r="C8" s="2">
        <v>725</v>
      </c>
      <c r="D8" s="2">
        <v>347</v>
      </c>
      <c r="E8" s="2">
        <v>23</v>
      </c>
      <c r="F8" s="2">
        <v>726</v>
      </c>
      <c r="G8" s="2">
        <v>319</v>
      </c>
      <c r="H8" s="2">
        <v>13</v>
      </c>
      <c r="I8" s="2">
        <v>723</v>
      </c>
      <c r="J8" s="2">
        <v>286</v>
      </c>
      <c r="K8" s="2">
        <v>14</v>
      </c>
      <c r="L8" s="2">
        <v>630</v>
      </c>
      <c r="M8" s="2">
        <v>282</v>
      </c>
      <c r="N8" s="2">
        <v>11</v>
      </c>
      <c r="O8" s="2">
        <v>508</v>
      </c>
      <c r="P8" s="2">
        <v>277</v>
      </c>
      <c r="Q8" s="2">
        <v>9</v>
      </c>
    </row>
    <row r="9" spans="1:19" x14ac:dyDescent="0.2">
      <c r="A9" s="1" t="s">
        <v>1042</v>
      </c>
      <c r="B9" s="1" t="s">
        <v>33</v>
      </c>
      <c r="C9" s="2" t="s">
        <v>5</v>
      </c>
      <c r="D9" s="2">
        <v>392</v>
      </c>
      <c r="E9" s="2" t="s">
        <v>5</v>
      </c>
      <c r="F9" s="2">
        <v>394</v>
      </c>
      <c r="G9" s="2">
        <v>372</v>
      </c>
      <c r="H9" s="2" t="s">
        <v>5</v>
      </c>
      <c r="I9" s="2">
        <v>399</v>
      </c>
      <c r="J9" s="2">
        <v>432</v>
      </c>
      <c r="K9" s="2" t="s">
        <v>5</v>
      </c>
      <c r="L9" s="2">
        <v>347</v>
      </c>
      <c r="M9" s="2">
        <v>348</v>
      </c>
      <c r="N9" s="2" t="s">
        <v>5</v>
      </c>
      <c r="O9" s="2">
        <v>280</v>
      </c>
      <c r="P9" s="2">
        <v>335</v>
      </c>
      <c r="Q9" s="2" t="s">
        <v>5</v>
      </c>
    </row>
    <row r="10" spans="1:19" x14ac:dyDescent="0.2">
      <c r="A10" s="1" t="s">
        <v>1042</v>
      </c>
      <c r="B10" s="1" t="s">
        <v>36</v>
      </c>
      <c r="C10" s="2">
        <v>533</v>
      </c>
      <c r="D10" s="2">
        <v>14</v>
      </c>
      <c r="E10" s="2">
        <v>36</v>
      </c>
      <c r="F10" s="2">
        <v>520</v>
      </c>
      <c r="G10" s="2">
        <v>11</v>
      </c>
      <c r="H10" s="2" t="s">
        <v>5</v>
      </c>
      <c r="I10" s="2">
        <v>527</v>
      </c>
      <c r="J10" s="2">
        <v>13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5</v>
      </c>
      <c r="P10" s="2" t="s">
        <v>5</v>
      </c>
      <c r="Q10" s="2" t="s">
        <v>5</v>
      </c>
    </row>
    <row r="11" spans="1:19" x14ac:dyDescent="0.2">
      <c r="A11" s="1" t="s">
        <v>1042</v>
      </c>
      <c r="B11" s="1" t="s">
        <v>39</v>
      </c>
      <c r="C11" s="2">
        <v>2636</v>
      </c>
      <c r="D11" s="2" t="s">
        <v>5</v>
      </c>
      <c r="E11" s="2">
        <v>44</v>
      </c>
      <c r="F11" s="2">
        <v>2560</v>
      </c>
      <c r="G11" s="2" t="s">
        <v>5</v>
      </c>
      <c r="H11" s="2">
        <v>39</v>
      </c>
      <c r="I11" s="2">
        <v>2579</v>
      </c>
      <c r="J11" s="2" t="s">
        <v>5</v>
      </c>
      <c r="K11" s="2">
        <v>40</v>
      </c>
      <c r="L11" s="2">
        <v>2286</v>
      </c>
      <c r="M11" s="2" t="s">
        <v>5</v>
      </c>
      <c r="N11" s="2">
        <v>30</v>
      </c>
      <c r="O11" s="2">
        <v>1958</v>
      </c>
      <c r="P11" s="2" t="s">
        <v>5</v>
      </c>
      <c r="Q11" s="2">
        <v>27</v>
      </c>
    </row>
    <row r="12" spans="1:19" x14ac:dyDescent="0.2">
      <c r="A12" s="1" t="s">
        <v>1042</v>
      </c>
      <c r="B12" s="1" t="s">
        <v>42</v>
      </c>
      <c r="C12" s="2" t="s">
        <v>5</v>
      </c>
      <c r="D12" s="2" t="s">
        <v>5</v>
      </c>
      <c r="E12" s="2">
        <v>17</v>
      </c>
      <c r="F12" s="2">
        <v>1880</v>
      </c>
      <c r="G12" s="2">
        <v>484</v>
      </c>
      <c r="H12" s="2">
        <v>13</v>
      </c>
      <c r="I12" s="2">
        <v>2027</v>
      </c>
      <c r="J12" s="2">
        <v>615</v>
      </c>
      <c r="K12" s="2">
        <v>16</v>
      </c>
      <c r="L12" s="2" t="s">
        <v>5</v>
      </c>
      <c r="M12" s="2" t="s">
        <v>5</v>
      </c>
      <c r="N12" s="2">
        <v>13</v>
      </c>
      <c r="O12" s="2">
        <v>1512</v>
      </c>
      <c r="P12" s="2">
        <v>499</v>
      </c>
      <c r="Q12" s="2">
        <v>11</v>
      </c>
    </row>
    <row r="13" spans="1:19" x14ac:dyDescent="0.2">
      <c r="A13" s="1" t="s">
        <v>1042</v>
      </c>
      <c r="B13" s="1" t="s">
        <v>45</v>
      </c>
      <c r="C13" s="2" t="s">
        <v>5</v>
      </c>
      <c r="D13" s="2">
        <v>198</v>
      </c>
      <c r="E13" s="2">
        <v>386</v>
      </c>
      <c r="F13" s="2" t="s">
        <v>5</v>
      </c>
      <c r="G13" s="2">
        <v>202</v>
      </c>
      <c r="H13" s="2">
        <v>386</v>
      </c>
      <c r="I13" s="2">
        <v>1585</v>
      </c>
      <c r="J13" s="2">
        <v>247</v>
      </c>
      <c r="K13" s="2">
        <v>419</v>
      </c>
      <c r="L13" s="2">
        <v>1363</v>
      </c>
      <c r="M13" s="2">
        <v>194</v>
      </c>
      <c r="N13" s="2">
        <v>304</v>
      </c>
      <c r="O13" s="2">
        <v>1174</v>
      </c>
      <c r="P13" s="2" t="s">
        <v>5</v>
      </c>
      <c r="Q13" s="2">
        <v>323</v>
      </c>
    </row>
    <row r="14" spans="1:19" x14ac:dyDescent="0.2">
      <c r="A14" s="1" t="s">
        <v>1042</v>
      </c>
      <c r="B14" s="1" t="s">
        <v>48</v>
      </c>
      <c r="C14" s="2" t="s">
        <v>5</v>
      </c>
      <c r="D14" s="2" t="s">
        <v>5</v>
      </c>
      <c r="E14" s="2">
        <v>104</v>
      </c>
      <c r="F14" s="2">
        <v>2352</v>
      </c>
      <c r="G14" s="2">
        <v>172</v>
      </c>
      <c r="H14" s="2">
        <v>75</v>
      </c>
      <c r="I14" s="2">
        <v>2381</v>
      </c>
      <c r="J14" s="2">
        <v>189</v>
      </c>
      <c r="K14" s="2">
        <v>89</v>
      </c>
      <c r="L14" s="2">
        <v>2068</v>
      </c>
      <c r="M14" s="2">
        <v>171</v>
      </c>
      <c r="N14" s="2">
        <v>68</v>
      </c>
      <c r="O14" s="2">
        <v>1782</v>
      </c>
      <c r="P14" s="2" t="s">
        <v>5</v>
      </c>
      <c r="Q14" s="2">
        <v>63</v>
      </c>
    </row>
    <row r="15" spans="1:19" x14ac:dyDescent="0.2">
      <c r="A15" s="1" t="s">
        <v>1042</v>
      </c>
      <c r="B15" s="1" t="s">
        <v>51</v>
      </c>
      <c r="C15" s="2" t="s">
        <v>5</v>
      </c>
      <c r="D15" s="2">
        <v>13</v>
      </c>
      <c r="E15" s="2">
        <v>98</v>
      </c>
      <c r="F15" s="2">
        <v>278</v>
      </c>
      <c r="G15" s="2">
        <v>13</v>
      </c>
      <c r="H15" s="2">
        <v>84</v>
      </c>
      <c r="I15" s="2">
        <v>281</v>
      </c>
      <c r="J15" s="2">
        <v>15</v>
      </c>
      <c r="K15" s="2">
        <v>83</v>
      </c>
      <c r="L15" s="2">
        <v>246</v>
      </c>
      <c r="M15" s="2">
        <v>14</v>
      </c>
      <c r="N15" s="2">
        <v>55</v>
      </c>
      <c r="O15" s="2">
        <v>199</v>
      </c>
      <c r="P15" s="2">
        <v>11</v>
      </c>
      <c r="Q15" s="2">
        <v>45</v>
      </c>
    </row>
    <row r="16" spans="1:19" x14ac:dyDescent="0.2">
      <c r="A16" s="1" t="s">
        <v>1042</v>
      </c>
      <c r="B16" s="1" t="s">
        <v>54</v>
      </c>
      <c r="C16" s="2">
        <v>1251</v>
      </c>
      <c r="D16" s="2">
        <v>177</v>
      </c>
      <c r="E16" s="2">
        <v>184</v>
      </c>
      <c r="F16" s="2">
        <v>1230</v>
      </c>
      <c r="G16" s="2">
        <v>200</v>
      </c>
      <c r="H16" s="2">
        <v>184</v>
      </c>
      <c r="I16" s="2">
        <v>1228</v>
      </c>
      <c r="J16" s="2">
        <v>215</v>
      </c>
      <c r="K16" s="2">
        <v>255</v>
      </c>
      <c r="L16" s="2">
        <v>1059</v>
      </c>
      <c r="M16" s="2">
        <v>186</v>
      </c>
      <c r="N16" s="2">
        <v>171</v>
      </c>
      <c r="O16" s="2">
        <v>923</v>
      </c>
      <c r="P16" s="2">
        <v>134</v>
      </c>
      <c r="Q16" s="2">
        <v>187</v>
      </c>
    </row>
    <row r="17" spans="1:17" x14ac:dyDescent="0.2">
      <c r="A17" s="1" t="s">
        <v>1042</v>
      </c>
      <c r="B17" s="1" t="s">
        <v>57</v>
      </c>
      <c r="C17" s="2">
        <v>239</v>
      </c>
      <c r="D17" s="2">
        <v>4</v>
      </c>
      <c r="E17" s="2">
        <v>4</v>
      </c>
      <c r="F17" s="2">
        <v>229</v>
      </c>
      <c r="G17" s="2">
        <v>4</v>
      </c>
      <c r="H17" s="2">
        <v>2</v>
      </c>
      <c r="I17" s="2">
        <v>242</v>
      </c>
      <c r="J17" s="2">
        <v>4</v>
      </c>
      <c r="K17" s="2">
        <v>2</v>
      </c>
      <c r="L17" s="2">
        <v>211</v>
      </c>
      <c r="M17" s="2">
        <v>3</v>
      </c>
      <c r="N17" s="2">
        <v>2</v>
      </c>
      <c r="O17" s="2">
        <v>185</v>
      </c>
      <c r="P17" s="2">
        <v>3</v>
      </c>
      <c r="Q17" s="2">
        <v>2</v>
      </c>
    </row>
    <row r="18" spans="1:17" x14ac:dyDescent="0.2">
      <c r="A18" s="1" t="s">
        <v>1042</v>
      </c>
      <c r="B18" s="1" t="s">
        <v>60</v>
      </c>
      <c r="C18" s="2">
        <v>3390</v>
      </c>
      <c r="D18" s="2">
        <v>138</v>
      </c>
      <c r="E18" s="2">
        <v>5</v>
      </c>
      <c r="F18" s="2">
        <v>3316</v>
      </c>
      <c r="G18" s="2">
        <v>122</v>
      </c>
      <c r="H18" s="2">
        <v>5</v>
      </c>
      <c r="I18" s="2">
        <v>3378</v>
      </c>
      <c r="J18" s="2">
        <v>130</v>
      </c>
      <c r="K18" s="2">
        <v>5</v>
      </c>
      <c r="L18" s="2">
        <v>2932</v>
      </c>
      <c r="M18" s="2">
        <v>104</v>
      </c>
      <c r="N18" s="2">
        <v>4</v>
      </c>
      <c r="O18" s="2">
        <v>2532</v>
      </c>
      <c r="P18" s="2">
        <v>95</v>
      </c>
      <c r="Q18" s="2">
        <v>4</v>
      </c>
    </row>
    <row r="19" spans="1:17" x14ac:dyDescent="0.2">
      <c r="A19" s="1" t="s">
        <v>1042</v>
      </c>
      <c r="B19" s="1" t="s">
        <v>64</v>
      </c>
      <c r="C19" s="2">
        <v>2048</v>
      </c>
      <c r="D19" s="2">
        <v>34</v>
      </c>
      <c r="E19" s="2">
        <v>359</v>
      </c>
      <c r="F19" s="2">
        <v>1951</v>
      </c>
      <c r="G19" s="2">
        <v>31</v>
      </c>
      <c r="H19" s="2">
        <v>337</v>
      </c>
      <c r="I19" s="2">
        <v>1959</v>
      </c>
      <c r="J19" s="2">
        <v>43</v>
      </c>
      <c r="K19" s="2">
        <v>326</v>
      </c>
      <c r="L19" s="2">
        <v>1752</v>
      </c>
      <c r="M19" s="2" t="s">
        <v>5</v>
      </c>
      <c r="N19" s="2">
        <v>268</v>
      </c>
      <c r="O19" s="2">
        <v>1525</v>
      </c>
      <c r="P19" s="2">
        <v>29</v>
      </c>
      <c r="Q19" s="2">
        <v>300</v>
      </c>
    </row>
    <row r="20" spans="1:17" x14ac:dyDescent="0.2">
      <c r="A20" s="1" t="s">
        <v>1042</v>
      </c>
      <c r="B20" s="1" t="s">
        <v>67</v>
      </c>
      <c r="C20" s="2">
        <v>19783</v>
      </c>
      <c r="D20" s="2">
        <v>4736</v>
      </c>
      <c r="E20" s="2" t="s">
        <v>5</v>
      </c>
      <c r="F20" s="2">
        <v>18783</v>
      </c>
      <c r="G20" s="2">
        <v>4664</v>
      </c>
      <c r="H20" s="2" t="s">
        <v>5</v>
      </c>
      <c r="I20" s="2">
        <v>19016</v>
      </c>
      <c r="J20" s="2">
        <v>4660</v>
      </c>
      <c r="K20" s="2">
        <v>43</v>
      </c>
      <c r="L20" s="2">
        <v>16764</v>
      </c>
      <c r="M20" s="2" t="s">
        <v>5</v>
      </c>
      <c r="N20" s="2" t="s">
        <v>5</v>
      </c>
      <c r="O20" s="2" t="s">
        <v>5</v>
      </c>
      <c r="P20" s="2">
        <v>4299</v>
      </c>
      <c r="Q20" s="2">
        <v>9</v>
      </c>
    </row>
    <row r="21" spans="1:17" x14ac:dyDescent="0.2">
      <c r="A21" s="1" t="s">
        <v>1042</v>
      </c>
      <c r="B21" s="1" t="s">
        <v>70</v>
      </c>
      <c r="C21" s="2">
        <v>4696</v>
      </c>
      <c r="D21" s="2">
        <v>1219</v>
      </c>
      <c r="E21" s="2">
        <v>50</v>
      </c>
      <c r="F21" s="2">
        <v>4516</v>
      </c>
      <c r="G21" s="2">
        <v>1102</v>
      </c>
      <c r="H21" s="2">
        <v>35</v>
      </c>
      <c r="I21" s="2">
        <v>4549</v>
      </c>
      <c r="J21" s="2">
        <v>1213</v>
      </c>
      <c r="K21" s="2">
        <v>39</v>
      </c>
      <c r="L21" s="2">
        <v>4017</v>
      </c>
      <c r="M21" s="2">
        <v>1153</v>
      </c>
      <c r="N21" s="2">
        <v>30</v>
      </c>
      <c r="O21" s="2">
        <v>3347</v>
      </c>
      <c r="P21" s="2">
        <v>1099</v>
      </c>
      <c r="Q21" s="2">
        <v>24</v>
      </c>
    </row>
    <row r="22" spans="1:17" x14ac:dyDescent="0.2">
      <c r="A22" s="1" t="s">
        <v>1042</v>
      </c>
      <c r="B22" s="1" t="s">
        <v>73</v>
      </c>
      <c r="C22" s="2">
        <v>3976</v>
      </c>
      <c r="D22" s="2">
        <v>223</v>
      </c>
      <c r="E22" s="2">
        <v>18</v>
      </c>
      <c r="F22" s="2">
        <v>3786</v>
      </c>
      <c r="G22" s="2">
        <v>197</v>
      </c>
      <c r="H22" s="2">
        <v>17</v>
      </c>
      <c r="I22" s="2">
        <v>3918</v>
      </c>
      <c r="J22" s="2">
        <v>214</v>
      </c>
      <c r="K22" s="2">
        <v>19</v>
      </c>
      <c r="L22" s="2">
        <v>3441</v>
      </c>
      <c r="M22" s="2">
        <v>201</v>
      </c>
      <c r="N22" s="2">
        <v>16</v>
      </c>
      <c r="O22" s="2" t="s">
        <v>5</v>
      </c>
      <c r="P22" s="2">
        <v>207</v>
      </c>
      <c r="Q22" s="2">
        <v>16</v>
      </c>
    </row>
    <row r="23" spans="1:17" x14ac:dyDescent="0.2">
      <c r="A23" s="1" t="s">
        <v>1042</v>
      </c>
      <c r="B23" s="1" t="s">
        <v>76</v>
      </c>
      <c r="C23" s="2">
        <v>1859</v>
      </c>
      <c r="D23" s="2" t="s">
        <v>5</v>
      </c>
      <c r="E23" s="2">
        <v>11</v>
      </c>
      <c r="F23" s="2">
        <v>1837</v>
      </c>
      <c r="G23" s="2" t="s">
        <v>5</v>
      </c>
      <c r="H23" s="2">
        <v>13</v>
      </c>
      <c r="I23" s="2">
        <v>1865</v>
      </c>
      <c r="J23" s="2" t="s">
        <v>5</v>
      </c>
      <c r="K23" s="2">
        <v>13</v>
      </c>
      <c r="L23" s="2">
        <v>1644</v>
      </c>
      <c r="M23" s="2" t="s">
        <v>5</v>
      </c>
      <c r="N23" s="2">
        <v>10</v>
      </c>
      <c r="O23" s="2">
        <v>1419</v>
      </c>
      <c r="P23" s="2">
        <v>55</v>
      </c>
      <c r="Q23" s="2">
        <v>9</v>
      </c>
    </row>
    <row r="24" spans="1:17" x14ac:dyDescent="0.2">
      <c r="A24" s="1" t="s">
        <v>1042</v>
      </c>
      <c r="B24" s="1" t="s">
        <v>79</v>
      </c>
      <c r="C24" s="2">
        <v>426</v>
      </c>
      <c r="D24" s="2">
        <v>56</v>
      </c>
      <c r="E24" s="2">
        <v>1653</v>
      </c>
      <c r="F24" s="2">
        <v>415</v>
      </c>
      <c r="G24" s="2">
        <v>56</v>
      </c>
      <c r="H24" s="2">
        <v>1786</v>
      </c>
      <c r="I24" s="2">
        <v>414</v>
      </c>
      <c r="J24" s="2">
        <v>59</v>
      </c>
      <c r="K24" s="2">
        <v>1550</v>
      </c>
      <c r="L24" s="2">
        <v>367</v>
      </c>
      <c r="M24" s="2">
        <v>55</v>
      </c>
      <c r="N24" s="2">
        <v>941</v>
      </c>
      <c r="O24" s="2">
        <v>303</v>
      </c>
      <c r="P24" s="2">
        <v>50</v>
      </c>
      <c r="Q24" s="2">
        <v>1082</v>
      </c>
    </row>
    <row r="25" spans="1:17" x14ac:dyDescent="0.2">
      <c r="A25" s="1" t="s">
        <v>1042</v>
      </c>
      <c r="B25" s="1" t="s">
        <v>82</v>
      </c>
      <c r="C25" s="2">
        <v>204</v>
      </c>
      <c r="D25" s="2">
        <v>86</v>
      </c>
      <c r="E25" s="2">
        <v>61</v>
      </c>
      <c r="F25" s="2">
        <v>196</v>
      </c>
      <c r="G25" s="2">
        <v>88</v>
      </c>
      <c r="H25" s="2">
        <v>53</v>
      </c>
      <c r="I25" s="2">
        <v>198</v>
      </c>
      <c r="J25" s="2">
        <v>90</v>
      </c>
      <c r="K25" s="2">
        <v>56</v>
      </c>
      <c r="L25" s="2">
        <v>175</v>
      </c>
      <c r="M25" s="2">
        <v>84</v>
      </c>
      <c r="N25" s="2">
        <v>41</v>
      </c>
      <c r="O25" s="2">
        <v>145</v>
      </c>
      <c r="P25" s="2">
        <v>87</v>
      </c>
      <c r="Q25" s="2">
        <v>38</v>
      </c>
    </row>
    <row r="26" spans="1:17" x14ac:dyDescent="0.2">
      <c r="A26" s="1" t="s">
        <v>1042</v>
      </c>
      <c r="B26" s="1" t="s">
        <v>85</v>
      </c>
      <c r="C26" s="2">
        <v>762</v>
      </c>
      <c r="D26" s="2">
        <v>34</v>
      </c>
      <c r="E26" s="2">
        <v>3</v>
      </c>
      <c r="F26" s="2">
        <v>739</v>
      </c>
      <c r="G26" s="2">
        <v>33</v>
      </c>
      <c r="H26" s="2">
        <v>3</v>
      </c>
      <c r="I26" s="2">
        <v>756</v>
      </c>
      <c r="J26" s="2">
        <v>36</v>
      </c>
      <c r="K26" s="2">
        <v>3</v>
      </c>
      <c r="L26" s="2">
        <v>665</v>
      </c>
      <c r="M26" s="2">
        <v>33</v>
      </c>
      <c r="N26" s="2">
        <v>3</v>
      </c>
      <c r="O26" s="2">
        <v>569</v>
      </c>
      <c r="P26" s="2">
        <v>31</v>
      </c>
      <c r="Q26" s="2">
        <v>2</v>
      </c>
    </row>
    <row r="27" spans="1:17" x14ac:dyDescent="0.2">
      <c r="A27" s="1" t="s">
        <v>1042</v>
      </c>
      <c r="B27" s="1" t="s">
        <v>88</v>
      </c>
      <c r="C27" s="2">
        <v>889</v>
      </c>
      <c r="D27" s="2">
        <v>20</v>
      </c>
      <c r="E27" s="2">
        <v>70</v>
      </c>
      <c r="F27" s="2">
        <v>866</v>
      </c>
      <c r="G27" s="2" t="s">
        <v>5</v>
      </c>
      <c r="H27" s="2" t="s">
        <v>5</v>
      </c>
      <c r="I27" s="2">
        <v>902</v>
      </c>
      <c r="J27" s="2">
        <v>22</v>
      </c>
      <c r="K27" s="2">
        <v>64</v>
      </c>
      <c r="L27" s="2" t="s">
        <v>5</v>
      </c>
      <c r="M27" s="2" t="s">
        <v>5</v>
      </c>
      <c r="N27" s="2">
        <v>25</v>
      </c>
      <c r="O27" s="2" t="s">
        <v>5</v>
      </c>
      <c r="P27" s="2" t="s">
        <v>5</v>
      </c>
      <c r="Q27" s="2" t="s">
        <v>5</v>
      </c>
    </row>
    <row r="28" spans="1:17" x14ac:dyDescent="0.2">
      <c r="A28" s="1" t="s">
        <v>1042</v>
      </c>
      <c r="B28" s="1" t="s">
        <v>91</v>
      </c>
      <c r="C28" s="2">
        <v>1520</v>
      </c>
      <c r="D28" s="2">
        <v>314</v>
      </c>
      <c r="E28" s="2">
        <v>98</v>
      </c>
      <c r="F28" s="2">
        <v>1444</v>
      </c>
      <c r="G28" s="2">
        <v>299</v>
      </c>
      <c r="H28" s="2" t="s">
        <v>5</v>
      </c>
      <c r="I28" s="2">
        <v>1481</v>
      </c>
      <c r="J28" s="2">
        <v>332</v>
      </c>
      <c r="K28" s="2">
        <v>69</v>
      </c>
      <c r="L28" s="2">
        <v>1302</v>
      </c>
      <c r="M28" s="2">
        <v>317</v>
      </c>
      <c r="N28" s="2" t="s">
        <v>5</v>
      </c>
      <c r="O28" s="2">
        <v>1089</v>
      </c>
      <c r="P28" s="2">
        <v>305</v>
      </c>
      <c r="Q28" s="2">
        <v>39</v>
      </c>
    </row>
    <row r="29" spans="1:17" x14ac:dyDescent="0.2">
      <c r="A29" s="1" t="s">
        <v>1042</v>
      </c>
      <c r="B29" s="1" t="s">
        <v>94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2">
        <v>3</v>
      </c>
      <c r="I29" s="2" t="s">
        <v>5</v>
      </c>
      <c r="J29" s="2">
        <v>147</v>
      </c>
      <c r="K29" s="2">
        <v>2</v>
      </c>
      <c r="L29" s="2">
        <v>411</v>
      </c>
      <c r="M29" s="2">
        <v>145</v>
      </c>
      <c r="N29" s="2">
        <v>2</v>
      </c>
      <c r="O29" s="2" t="s">
        <v>5</v>
      </c>
      <c r="P29" s="2">
        <v>137</v>
      </c>
      <c r="Q29" s="2">
        <v>1</v>
      </c>
    </row>
    <row r="30" spans="1:17" x14ac:dyDescent="0.2">
      <c r="A30" s="1" t="s">
        <v>1042</v>
      </c>
      <c r="B30" s="1" t="s">
        <v>97</v>
      </c>
      <c r="C30" s="2">
        <v>1029</v>
      </c>
      <c r="D30" s="2">
        <v>159</v>
      </c>
      <c r="E30" s="2">
        <v>9</v>
      </c>
      <c r="F30" s="2">
        <v>985</v>
      </c>
      <c r="G30" s="2">
        <v>143</v>
      </c>
      <c r="H30" s="2">
        <v>8</v>
      </c>
      <c r="I30" s="2">
        <v>988</v>
      </c>
      <c r="J30" s="2">
        <v>141</v>
      </c>
      <c r="K30" s="2">
        <v>9</v>
      </c>
      <c r="L30" s="2">
        <v>864</v>
      </c>
      <c r="M30" s="2">
        <v>130</v>
      </c>
      <c r="N30" s="2">
        <v>8</v>
      </c>
      <c r="O30" s="2">
        <v>687</v>
      </c>
      <c r="P30" s="2">
        <v>115</v>
      </c>
      <c r="Q30" s="2">
        <v>6</v>
      </c>
    </row>
    <row r="31" spans="1:17" x14ac:dyDescent="0.2">
      <c r="A31" s="1" t="s">
        <v>1042</v>
      </c>
      <c r="B31" s="1" t="s">
        <v>100</v>
      </c>
      <c r="C31" s="2">
        <v>346</v>
      </c>
      <c r="D31" s="2">
        <v>117</v>
      </c>
      <c r="E31" s="2">
        <v>31</v>
      </c>
      <c r="F31" s="2">
        <v>338</v>
      </c>
      <c r="G31" s="2">
        <v>111</v>
      </c>
      <c r="H31" s="2">
        <v>41</v>
      </c>
      <c r="I31" s="2">
        <v>334</v>
      </c>
      <c r="J31" s="2">
        <v>119</v>
      </c>
      <c r="K31" s="2">
        <v>45</v>
      </c>
      <c r="L31" s="2">
        <v>296</v>
      </c>
      <c r="M31" s="2">
        <v>104</v>
      </c>
      <c r="N31" s="2">
        <v>41</v>
      </c>
      <c r="O31" s="2">
        <v>243</v>
      </c>
      <c r="P31" s="2">
        <v>76</v>
      </c>
      <c r="Q31" s="2">
        <v>48</v>
      </c>
    </row>
    <row r="32" spans="1:17" x14ac:dyDescent="0.2">
      <c r="A32" s="1" t="s">
        <v>1042</v>
      </c>
      <c r="B32" s="1" t="s">
        <v>103</v>
      </c>
      <c r="C32" s="2" t="s">
        <v>5</v>
      </c>
      <c r="D32" s="2" t="s">
        <v>5</v>
      </c>
      <c r="E32" s="2">
        <v>16</v>
      </c>
      <c r="F32" s="2">
        <v>948</v>
      </c>
      <c r="G32" s="2" t="s">
        <v>5</v>
      </c>
      <c r="H32" s="2">
        <v>8</v>
      </c>
      <c r="I32" s="2">
        <v>929</v>
      </c>
      <c r="J32" s="2" t="s">
        <v>5</v>
      </c>
      <c r="K32" s="2">
        <v>10</v>
      </c>
      <c r="L32" s="2" t="s">
        <v>5</v>
      </c>
      <c r="M32" s="2" t="s">
        <v>5</v>
      </c>
      <c r="N32" s="2">
        <v>9</v>
      </c>
      <c r="O32" s="2" t="s">
        <v>5</v>
      </c>
      <c r="P32" s="2" t="s">
        <v>5</v>
      </c>
      <c r="Q32" s="2" t="s">
        <v>5</v>
      </c>
    </row>
    <row r="33" spans="1:17" x14ac:dyDescent="0.2">
      <c r="A33" s="1" t="s">
        <v>1042</v>
      </c>
      <c r="B33" s="1" t="s">
        <v>106</v>
      </c>
      <c r="C33" s="2">
        <v>572</v>
      </c>
      <c r="D33" s="2">
        <v>50</v>
      </c>
      <c r="E33" s="2">
        <v>27</v>
      </c>
      <c r="F33" s="2">
        <v>549</v>
      </c>
      <c r="G33" s="2">
        <v>47</v>
      </c>
      <c r="H33" s="2">
        <v>19</v>
      </c>
      <c r="I33" s="2">
        <v>553</v>
      </c>
      <c r="J33" s="2">
        <v>54</v>
      </c>
      <c r="K33" s="2">
        <v>18</v>
      </c>
      <c r="L33" s="2">
        <v>490</v>
      </c>
      <c r="M33" s="2">
        <v>46</v>
      </c>
      <c r="N33" s="2">
        <v>15</v>
      </c>
      <c r="O33" s="2">
        <v>417</v>
      </c>
      <c r="P33" s="2">
        <v>45</v>
      </c>
      <c r="Q33" s="2">
        <v>19</v>
      </c>
    </row>
    <row r="34" spans="1:17" x14ac:dyDescent="0.2">
      <c r="A34" s="1" t="s">
        <v>1042</v>
      </c>
      <c r="B34" s="1" t="s">
        <v>109</v>
      </c>
      <c r="C34" s="2">
        <v>351</v>
      </c>
      <c r="D34" s="2">
        <v>94</v>
      </c>
      <c r="E34" s="2">
        <v>399</v>
      </c>
      <c r="F34" s="2">
        <v>342</v>
      </c>
      <c r="G34" s="2">
        <v>95</v>
      </c>
      <c r="H34" s="2">
        <v>461</v>
      </c>
      <c r="I34" s="2">
        <v>345</v>
      </c>
      <c r="J34" s="2">
        <v>99</v>
      </c>
      <c r="K34" s="2">
        <v>491</v>
      </c>
      <c r="L34" s="2" t="s">
        <v>5</v>
      </c>
      <c r="M34" s="2">
        <v>95</v>
      </c>
      <c r="N34" s="2">
        <v>361</v>
      </c>
      <c r="O34" s="2" t="s">
        <v>5</v>
      </c>
      <c r="P34" s="2">
        <v>90</v>
      </c>
      <c r="Q34" s="2">
        <v>429</v>
      </c>
    </row>
    <row r="35" spans="1:17" x14ac:dyDescent="0.2">
      <c r="A35" s="1" t="s">
        <v>1042</v>
      </c>
      <c r="B35" s="1" t="s">
        <v>112</v>
      </c>
      <c r="C35" s="2" t="s">
        <v>5</v>
      </c>
      <c r="D35" s="2" t="s">
        <v>5</v>
      </c>
      <c r="E35" s="2">
        <v>59</v>
      </c>
      <c r="F35" s="2">
        <v>974</v>
      </c>
      <c r="G35" s="2">
        <v>9</v>
      </c>
      <c r="H35" s="2">
        <v>50</v>
      </c>
      <c r="I35" s="2">
        <v>994</v>
      </c>
      <c r="J35" s="2">
        <v>10</v>
      </c>
      <c r="K35" s="2">
        <v>55</v>
      </c>
      <c r="L35" s="2">
        <v>865</v>
      </c>
      <c r="M35" s="2">
        <v>8</v>
      </c>
      <c r="N35" s="2">
        <v>38</v>
      </c>
      <c r="O35" s="2">
        <v>741</v>
      </c>
      <c r="P35" s="2">
        <v>7</v>
      </c>
      <c r="Q35" s="2">
        <v>36</v>
      </c>
    </row>
    <row r="36" spans="1:17" x14ac:dyDescent="0.2">
      <c r="A36" s="1" t="s">
        <v>1042</v>
      </c>
      <c r="B36" s="1" t="s">
        <v>115</v>
      </c>
      <c r="C36" s="2">
        <v>1535</v>
      </c>
      <c r="D36" s="2">
        <v>7413</v>
      </c>
      <c r="E36" s="2" t="s">
        <v>5</v>
      </c>
      <c r="F36" s="2">
        <v>1567</v>
      </c>
      <c r="G36" s="2">
        <v>8335</v>
      </c>
      <c r="H36" s="2">
        <v>336</v>
      </c>
      <c r="I36" s="2">
        <v>1460</v>
      </c>
      <c r="J36" s="2">
        <v>7995</v>
      </c>
      <c r="K36" s="2">
        <v>360</v>
      </c>
      <c r="L36" s="2">
        <v>1369</v>
      </c>
      <c r="M36" s="2">
        <v>7498</v>
      </c>
      <c r="N36" s="2">
        <v>251</v>
      </c>
      <c r="O36" s="2">
        <v>1181</v>
      </c>
      <c r="P36" s="2">
        <v>7682</v>
      </c>
      <c r="Q36" s="2">
        <v>256</v>
      </c>
    </row>
    <row r="37" spans="1:17" x14ac:dyDescent="0.2">
      <c r="A37" s="1" t="s">
        <v>1042</v>
      </c>
      <c r="B37" s="1" t="s">
        <v>118</v>
      </c>
      <c r="C37" s="2">
        <v>1213</v>
      </c>
      <c r="D37" s="2">
        <v>840</v>
      </c>
      <c r="E37" s="2">
        <v>106</v>
      </c>
      <c r="F37" s="2">
        <v>1166</v>
      </c>
      <c r="G37" s="2">
        <v>724</v>
      </c>
      <c r="H37" s="2">
        <v>66</v>
      </c>
      <c r="I37" s="2">
        <v>1175</v>
      </c>
      <c r="J37" s="2">
        <v>715</v>
      </c>
      <c r="K37" s="2">
        <v>75</v>
      </c>
      <c r="L37" s="2">
        <v>1043</v>
      </c>
      <c r="M37" s="2">
        <v>848</v>
      </c>
      <c r="N37" s="2">
        <v>61</v>
      </c>
      <c r="O37" s="2">
        <v>851</v>
      </c>
      <c r="P37" s="2">
        <v>923</v>
      </c>
      <c r="Q37" s="2">
        <v>47</v>
      </c>
    </row>
    <row r="38" spans="1:17" x14ac:dyDescent="0.2">
      <c r="A38" s="1" t="s">
        <v>1042</v>
      </c>
      <c r="B38" s="1" t="s">
        <v>121</v>
      </c>
      <c r="C38" s="2">
        <v>754</v>
      </c>
      <c r="D38" s="2">
        <v>35</v>
      </c>
      <c r="E38" s="2">
        <v>81</v>
      </c>
      <c r="F38" s="2">
        <v>731</v>
      </c>
      <c r="G38" s="2">
        <v>31</v>
      </c>
      <c r="H38" s="2">
        <v>61</v>
      </c>
      <c r="I38" s="2">
        <v>742</v>
      </c>
      <c r="J38" s="2">
        <v>35</v>
      </c>
      <c r="K38" s="2">
        <v>64</v>
      </c>
      <c r="L38" s="2">
        <v>654</v>
      </c>
      <c r="M38" s="2">
        <v>31</v>
      </c>
      <c r="N38" s="2">
        <v>50</v>
      </c>
      <c r="O38" s="2">
        <v>533</v>
      </c>
      <c r="P38" s="2">
        <v>34</v>
      </c>
      <c r="Q38" s="2">
        <v>38</v>
      </c>
    </row>
    <row r="39" spans="1:17" x14ac:dyDescent="0.2">
      <c r="A39" s="1" t="s">
        <v>1042</v>
      </c>
      <c r="B39" s="1" t="s">
        <v>124</v>
      </c>
      <c r="C39" s="2" t="s">
        <v>5</v>
      </c>
      <c r="D39" s="2">
        <v>131</v>
      </c>
      <c r="E39" s="2">
        <v>14</v>
      </c>
      <c r="F39" s="2" t="s">
        <v>5</v>
      </c>
      <c r="G39" s="2">
        <v>137</v>
      </c>
      <c r="H39" s="2">
        <v>9</v>
      </c>
      <c r="I39" s="2">
        <v>701</v>
      </c>
      <c r="J39" s="2">
        <v>141</v>
      </c>
      <c r="K39" s="2">
        <v>10</v>
      </c>
      <c r="L39" s="2">
        <v>615</v>
      </c>
      <c r="M39" s="2">
        <v>125</v>
      </c>
      <c r="N39" s="2">
        <v>8</v>
      </c>
      <c r="O39" s="2">
        <v>516</v>
      </c>
      <c r="P39" s="2">
        <v>121</v>
      </c>
      <c r="Q39" s="2">
        <v>6</v>
      </c>
    </row>
    <row r="40" spans="1:17" x14ac:dyDescent="0.2">
      <c r="A40" s="1" t="s">
        <v>1042</v>
      </c>
      <c r="B40" s="1" t="s">
        <v>127</v>
      </c>
      <c r="C40" s="2">
        <v>617</v>
      </c>
      <c r="D40" s="2" t="s">
        <v>5</v>
      </c>
      <c r="E40" s="2">
        <v>31</v>
      </c>
      <c r="F40" s="2">
        <v>571</v>
      </c>
      <c r="G40" s="2" t="s">
        <v>5</v>
      </c>
      <c r="H40" s="2">
        <v>25</v>
      </c>
      <c r="I40" s="2">
        <v>602</v>
      </c>
      <c r="J40" s="2" t="s">
        <v>5</v>
      </c>
      <c r="K40" s="2">
        <v>27</v>
      </c>
      <c r="L40" s="2">
        <v>508</v>
      </c>
      <c r="M40" s="2" t="s">
        <v>5</v>
      </c>
      <c r="N40" s="2">
        <v>10</v>
      </c>
      <c r="O40" s="2">
        <v>413</v>
      </c>
      <c r="P40" s="2">
        <v>210</v>
      </c>
      <c r="Q40" s="2">
        <v>7</v>
      </c>
    </row>
    <row r="41" spans="1:17" x14ac:dyDescent="0.2">
      <c r="A41" s="1" t="s">
        <v>1042</v>
      </c>
      <c r="B41" s="1" t="s">
        <v>130</v>
      </c>
      <c r="C41" s="2">
        <v>1053</v>
      </c>
      <c r="D41" s="2" t="s">
        <v>5</v>
      </c>
      <c r="E41" s="2" t="s">
        <v>5</v>
      </c>
      <c r="F41" s="2">
        <v>1030</v>
      </c>
      <c r="G41" s="2" t="s">
        <v>5</v>
      </c>
      <c r="H41" s="2" t="s">
        <v>5</v>
      </c>
      <c r="I41" s="2">
        <v>1008</v>
      </c>
      <c r="J41" s="2" t="s">
        <v>5</v>
      </c>
      <c r="K41" s="2">
        <v>2</v>
      </c>
      <c r="L41" s="2">
        <v>886</v>
      </c>
      <c r="M41" s="2" t="s">
        <v>5</v>
      </c>
      <c r="N41" s="2">
        <v>1</v>
      </c>
      <c r="O41" s="2">
        <v>772</v>
      </c>
      <c r="P41" s="2" t="s">
        <v>5</v>
      </c>
      <c r="Q41" s="2">
        <v>1</v>
      </c>
    </row>
    <row r="42" spans="1:17" x14ac:dyDescent="0.2">
      <c r="A42" s="1" t="s">
        <v>1042</v>
      </c>
      <c r="B42" s="1" t="s">
        <v>136</v>
      </c>
      <c r="C42" s="2">
        <v>571</v>
      </c>
      <c r="D42" s="2">
        <v>124</v>
      </c>
      <c r="E42" s="2">
        <v>35</v>
      </c>
      <c r="F42" s="2">
        <v>557</v>
      </c>
      <c r="G42" s="2">
        <v>113</v>
      </c>
      <c r="H42" s="2">
        <v>26</v>
      </c>
      <c r="I42" s="2">
        <v>565</v>
      </c>
      <c r="J42" s="2">
        <v>127</v>
      </c>
      <c r="K42" s="2">
        <v>29</v>
      </c>
      <c r="L42" s="2">
        <v>505</v>
      </c>
      <c r="M42" s="2">
        <v>105</v>
      </c>
      <c r="N42" s="2">
        <v>21</v>
      </c>
      <c r="O42" s="2">
        <v>427</v>
      </c>
      <c r="P42" s="2">
        <v>100</v>
      </c>
      <c r="Q42" s="2">
        <v>18</v>
      </c>
    </row>
    <row r="43" spans="1:17" x14ac:dyDescent="0.2">
      <c r="A43" s="1" t="s">
        <v>1042</v>
      </c>
      <c r="B43" s="1" t="s">
        <v>139</v>
      </c>
      <c r="C43" s="2">
        <v>412</v>
      </c>
      <c r="D43" s="2">
        <v>5</v>
      </c>
      <c r="E43" s="2">
        <v>4</v>
      </c>
      <c r="F43" s="2">
        <v>363</v>
      </c>
      <c r="G43" s="2">
        <v>4</v>
      </c>
      <c r="H43" s="2">
        <v>3</v>
      </c>
      <c r="I43" s="2">
        <v>323</v>
      </c>
      <c r="J43" s="2">
        <v>4</v>
      </c>
      <c r="K43" s="2">
        <v>3</v>
      </c>
      <c r="L43" s="2">
        <v>286</v>
      </c>
      <c r="M43" s="2">
        <v>4</v>
      </c>
      <c r="N43" s="2">
        <v>3</v>
      </c>
      <c r="O43" s="2">
        <v>242</v>
      </c>
      <c r="P43" s="2">
        <v>3</v>
      </c>
      <c r="Q43" s="2">
        <v>2</v>
      </c>
    </row>
    <row r="44" spans="1:17" x14ac:dyDescent="0.2">
      <c r="A44" s="1" t="s">
        <v>1042</v>
      </c>
      <c r="B44" s="1" t="s">
        <v>142</v>
      </c>
      <c r="C44" s="2">
        <v>794</v>
      </c>
      <c r="D44" s="2">
        <v>8</v>
      </c>
      <c r="E44" s="2">
        <v>2</v>
      </c>
      <c r="F44" s="2">
        <v>740</v>
      </c>
      <c r="G44" s="2">
        <v>5</v>
      </c>
      <c r="H44" s="2">
        <v>2</v>
      </c>
      <c r="I44" s="2">
        <v>758</v>
      </c>
      <c r="J44" s="2">
        <v>6</v>
      </c>
      <c r="K44" s="2">
        <v>3</v>
      </c>
      <c r="L44" s="2">
        <v>661</v>
      </c>
      <c r="M44" s="2">
        <v>5</v>
      </c>
      <c r="N44" s="2">
        <v>2</v>
      </c>
      <c r="O44" s="2">
        <v>558</v>
      </c>
      <c r="P44" s="2">
        <v>3</v>
      </c>
      <c r="Q44" s="2" t="s">
        <v>5</v>
      </c>
    </row>
    <row r="45" spans="1:17" x14ac:dyDescent="0.2">
      <c r="A45" s="1" t="s">
        <v>1042</v>
      </c>
      <c r="B45" s="1" t="s">
        <v>145</v>
      </c>
      <c r="C45" s="2">
        <v>814</v>
      </c>
      <c r="D45" s="2">
        <v>123</v>
      </c>
      <c r="E45" s="2">
        <v>22</v>
      </c>
      <c r="F45" s="2">
        <v>747</v>
      </c>
      <c r="G45" s="2">
        <v>115</v>
      </c>
      <c r="H45" s="2">
        <v>18</v>
      </c>
      <c r="I45" s="2">
        <v>747</v>
      </c>
      <c r="J45" s="2">
        <v>117</v>
      </c>
      <c r="K45" s="2">
        <v>19</v>
      </c>
      <c r="L45" s="2">
        <v>639</v>
      </c>
      <c r="M45" s="2">
        <v>115</v>
      </c>
      <c r="N45" s="2">
        <v>15</v>
      </c>
      <c r="O45" s="2">
        <v>534</v>
      </c>
      <c r="P45" s="2">
        <v>113</v>
      </c>
      <c r="Q45" s="2">
        <v>11</v>
      </c>
    </row>
    <row r="46" spans="1:17" x14ac:dyDescent="0.2">
      <c r="A46" s="1" t="s">
        <v>1042</v>
      </c>
      <c r="B46" s="1" t="s">
        <v>148</v>
      </c>
      <c r="C46" s="2">
        <v>269</v>
      </c>
      <c r="D46" s="2">
        <v>16</v>
      </c>
      <c r="E46" s="2">
        <v>307</v>
      </c>
      <c r="F46" s="2">
        <v>266</v>
      </c>
      <c r="G46" s="2">
        <v>13</v>
      </c>
      <c r="H46" s="2">
        <v>351</v>
      </c>
      <c r="I46" s="2">
        <v>260</v>
      </c>
      <c r="J46" s="2">
        <v>15</v>
      </c>
      <c r="K46" s="2">
        <v>352</v>
      </c>
      <c r="L46" s="2">
        <v>217</v>
      </c>
      <c r="M46" s="2">
        <v>12</v>
      </c>
      <c r="N46" s="2">
        <v>244</v>
      </c>
      <c r="O46" s="2">
        <v>175</v>
      </c>
      <c r="P46" s="2">
        <v>11</v>
      </c>
      <c r="Q46" s="2">
        <v>270</v>
      </c>
    </row>
    <row r="47" spans="1:17" x14ac:dyDescent="0.2">
      <c r="A47" s="1" t="s">
        <v>1042</v>
      </c>
      <c r="B47" s="1" t="s">
        <v>151</v>
      </c>
      <c r="C47" s="2">
        <v>832</v>
      </c>
      <c r="D47" s="2">
        <v>55</v>
      </c>
      <c r="E47" s="2">
        <v>50</v>
      </c>
      <c r="F47" s="2" t="s">
        <v>5</v>
      </c>
      <c r="G47" s="2">
        <v>65</v>
      </c>
      <c r="H47" s="2">
        <v>45</v>
      </c>
      <c r="I47" s="2">
        <v>788</v>
      </c>
      <c r="J47" s="2">
        <v>60</v>
      </c>
      <c r="K47" s="2">
        <v>50</v>
      </c>
      <c r="L47" s="2">
        <v>692</v>
      </c>
      <c r="M47" s="2">
        <v>48</v>
      </c>
      <c r="N47" s="2">
        <v>39</v>
      </c>
      <c r="O47" s="2">
        <v>570</v>
      </c>
      <c r="P47" s="2">
        <v>102</v>
      </c>
      <c r="Q47" s="2">
        <v>34</v>
      </c>
    </row>
    <row r="48" spans="1:17" x14ac:dyDescent="0.2">
      <c r="A48" s="1" t="s">
        <v>1042</v>
      </c>
      <c r="B48" s="1" t="s">
        <v>154</v>
      </c>
      <c r="C48" s="2">
        <v>505</v>
      </c>
      <c r="D48" s="2">
        <v>23</v>
      </c>
      <c r="E48" s="2">
        <v>6</v>
      </c>
      <c r="F48" s="2">
        <v>506</v>
      </c>
      <c r="G48" s="2">
        <v>12</v>
      </c>
      <c r="H48" s="2">
        <v>3</v>
      </c>
      <c r="I48" s="2">
        <v>542</v>
      </c>
      <c r="J48" s="2">
        <v>23</v>
      </c>
      <c r="K48" s="2">
        <v>4</v>
      </c>
      <c r="L48" s="2">
        <v>479</v>
      </c>
      <c r="M48" s="2">
        <v>24</v>
      </c>
      <c r="N48" s="2">
        <v>3</v>
      </c>
      <c r="O48" s="2">
        <v>389</v>
      </c>
      <c r="P48" s="2" t="s">
        <v>5</v>
      </c>
      <c r="Q48" s="2">
        <v>3</v>
      </c>
    </row>
    <row r="49" spans="1:17" x14ac:dyDescent="0.2">
      <c r="A49" s="1" t="s">
        <v>1042</v>
      </c>
      <c r="B49" s="1" t="s">
        <v>157</v>
      </c>
      <c r="C49" s="2">
        <v>603</v>
      </c>
      <c r="D49" s="2" t="s">
        <v>5</v>
      </c>
      <c r="E49" s="2">
        <v>33</v>
      </c>
      <c r="F49" s="2" t="s">
        <v>5</v>
      </c>
      <c r="G49" s="2" t="s">
        <v>5</v>
      </c>
      <c r="H49" s="2">
        <v>17</v>
      </c>
      <c r="I49" s="2">
        <v>667</v>
      </c>
      <c r="J49" s="2" t="s">
        <v>5</v>
      </c>
      <c r="K49" s="2">
        <v>27</v>
      </c>
      <c r="L49" s="2" t="s">
        <v>5</v>
      </c>
      <c r="M49" s="2" t="s">
        <v>5</v>
      </c>
      <c r="N49" s="2">
        <v>16</v>
      </c>
      <c r="O49" s="2" t="s">
        <v>5</v>
      </c>
      <c r="P49" s="2" t="s">
        <v>5</v>
      </c>
      <c r="Q49" s="2">
        <v>17</v>
      </c>
    </row>
    <row r="50" spans="1:17" x14ac:dyDescent="0.2">
      <c r="A50" s="1" t="s">
        <v>1042</v>
      </c>
      <c r="B50" s="1" t="s">
        <v>160</v>
      </c>
      <c r="C50" s="2">
        <v>791</v>
      </c>
      <c r="D50" s="2">
        <v>218</v>
      </c>
      <c r="E50" s="2">
        <v>35</v>
      </c>
      <c r="F50" s="2">
        <v>766</v>
      </c>
      <c r="G50" s="2">
        <v>223</v>
      </c>
      <c r="H50" s="2">
        <v>41</v>
      </c>
      <c r="I50" s="2">
        <v>785</v>
      </c>
      <c r="J50" s="2">
        <v>236</v>
      </c>
      <c r="K50" s="2">
        <v>30</v>
      </c>
      <c r="L50" s="2">
        <v>684</v>
      </c>
      <c r="M50" s="2">
        <v>218</v>
      </c>
      <c r="N50" s="2">
        <v>28</v>
      </c>
      <c r="O50" s="2">
        <v>557</v>
      </c>
      <c r="P50" s="2">
        <v>204</v>
      </c>
      <c r="Q50" s="2">
        <v>8</v>
      </c>
    </row>
    <row r="51" spans="1:17" x14ac:dyDescent="0.2">
      <c r="A51" s="1" t="s">
        <v>1042</v>
      </c>
      <c r="B51" s="1" t="s">
        <v>163</v>
      </c>
      <c r="C51" s="2">
        <v>3857</v>
      </c>
      <c r="D51" s="2">
        <v>363</v>
      </c>
      <c r="E51" s="2">
        <v>697</v>
      </c>
      <c r="F51" s="2">
        <v>3739</v>
      </c>
      <c r="G51" s="2">
        <v>338</v>
      </c>
      <c r="H51" s="2">
        <v>815</v>
      </c>
      <c r="I51" s="2">
        <v>3806</v>
      </c>
      <c r="J51" s="2">
        <v>341</v>
      </c>
      <c r="K51" s="2">
        <v>848</v>
      </c>
      <c r="L51" s="2">
        <v>3263</v>
      </c>
      <c r="M51" s="2">
        <v>311</v>
      </c>
      <c r="N51" s="2">
        <v>531</v>
      </c>
      <c r="O51" s="2">
        <v>2803</v>
      </c>
      <c r="P51" s="2">
        <v>306</v>
      </c>
      <c r="Q51" s="2">
        <v>532</v>
      </c>
    </row>
    <row r="52" spans="1:17" x14ac:dyDescent="0.2">
      <c r="A52" s="1" t="s">
        <v>1042</v>
      </c>
      <c r="B52" s="1" t="s">
        <v>166</v>
      </c>
      <c r="C52" s="2">
        <v>1047</v>
      </c>
      <c r="D52" s="2">
        <v>1336</v>
      </c>
      <c r="E52" s="2">
        <v>98</v>
      </c>
      <c r="F52" s="2">
        <v>1009</v>
      </c>
      <c r="G52" s="2">
        <v>1212</v>
      </c>
      <c r="H52" s="2">
        <v>46</v>
      </c>
      <c r="I52" s="2">
        <v>1018</v>
      </c>
      <c r="J52" s="2">
        <v>1287</v>
      </c>
      <c r="K52" s="2">
        <v>52</v>
      </c>
      <c r="L52" s="2">
        <v>900</v>
      </c>
      <c r="M52" s="2">
        <v>1270</v>
      </c>
      <c r="N52" s="2">
        <v>44</v>
      </c>
      <c r="O52" s="2">
        <v>715</v>
      </c>
      <c r="P52" s="2">
        <v>1245</v>
      </c>
      <c r="Q52" s="2">
        <v>36</v>
      </c>
    </row>
    <row r="53" spans="1:17" x14ac:dyDescent="0.2">
      <c r="A53" s="1" t="s">
        <v>1042</v>
      </c>
      <c r="B53" s="1" t="s">
        <v>169</v>
      </c>
      <c r="C53" s="2">
        <v>580</v>
      </c>
      <c r="D53" s="2">
        <v>4407</v>
      </c>
      <c r="E53" s="2">
        <v>7</v>
      </c>
      <c r="F53" s="2">
        <v>555</v>
      </c>
      <c r="G53" s="2">
        <v>4690</v>
      </c>
      <c r="H53" s="2">
        <v>4</v>
      </c>
      <c r="I53" s="2">
        <v>557</v>
      </c>
      <c r="J53" s="2">
        <v>4709</v>
      </c>
      <c r="K53" s="2">
        <v>5</v>
      </c>
      <c r="L53" s="2">
        <v>488</v>
      </c>
      <c r="M53" s="2">
        <v>4073</v>
      </c>
      <c r="N53" s="2">
        <v>4</v>
      </c>
      <c r="O53" s="2">
        <v>399</v>
      </c>
      <c r="P53" s="2">
        <v>2567</v>
      </c>
      <c r="Q53" s="2">
        <v>4</v>
      </c>
    </row>
    <row r="54" spans="1:17" x14ac:dyDescent="0.2">
      <c r="A54" s="1" t="s">
        <v>1042</v>
      </c>
      <c r="B54" s="1" t="s">
        <v>172</v>
      </c>
      <c r="C54" s="2">
        <v>717</v>
      </c>
      <c r="D54" s="2" t="s">
        <v>5</v>
      </c>
      <c r="E54" s="2">
        <v>1</v>
      </c>
      <c r="F54" s="2">
        <v>694</v>
      </c>
      <c r="G54" s="2" t="s">
        <v>5</v>
      </c>
      <c r="H54" s="2">
        <v>1</v>
      </c>
      <c r="I54" s="2">
        <v>697</v>
      </c>
      <c r="J54" s="2" t="s">
        <v>5</v>
      </c>
      <c r="K54" s="2">
        <v>1</v>
      </c>
      <c r="L54" s="2" t="s">
        <v>5</v>
      </c>
      <c r="M54" s="2" t="s">
        <v>5</v>
      </c>
      <c r="N54" s="2">
        <v>1</v>
      </c>
      <c r="O54" s="2" t="s">
        <v>5</v>
      </c>
      <c r="P54" s="2" t="s">
        <v>5</v>
      </c>
      <c r="Q54" s="2">
        <v>1</v>
      </c>
    </row>
    <row r="55" spans="1:17" x14ac:dyDescent="0.2">
      <c r="A55" s="1" t="s">
        <v>1042</v>
      </c>
      <c r="B55" s="1" t="s">
        <v>175</v>
      </c>
      <c r="C55" s="2">
        <v>480</v>
      </c>
      <c r="D55" s="2">
        <v>7</v>
      </c>
      <c r="E55" s="2">
        <v>12</v>
      </c>
      <c r="F55" s="2">
        <v>456</v>
      </c>
      <c r="G55" s="2">
        <v>6</v>
      </c>
      <c r="H55" s="2">
        <v>10</v>
      </c>
      <c r="I55" s="2">
        <v>465</v>
      </c>
      <c r="J55" s="2">
        <v>8</v>
      </c>
      <c r="K55" s="2">
        <v>11</v>
      </c>
      <c r="L55" s="2">
        <v>413</v>
      </c>
      <c r="M55" s="2">
        <v>6</v>
      </c>
      <c r="N55" s="2">
        <v>9</v>
      </c>
      <c r="O55" s="2">
        <v>357</v>
      </c>
      <c r="P55" s="2">
        <v>5</v>
      </c>
      <c r="Q55" s="2">
        <v>7</v>
      </c>
    </row>
    <row r="56" spans="1:17" x14ac:dyDescent="0.2">
      <c r="A56" s="1" t="s">
        <v>1042</v>
      </c>
      <c r="B56" s="1" t="s">
        <v>178</v>
      </c>
      <c r="C56" s="2">
        <v>557</v>
      </c>
      <c r="D56" s="2">
        <v>299</v>
      </c>
      <c r="E56" s="2">
        <v>7</v>
      </c>
      <c r="F56" s="2">
        <v>533</v>
      </c>
      <c r="G56" s="2">
        <v>288</v>
      </c>
      <c r="H56" s="2">
        <v>7</v>
      </c>
      <c r="I56" s="2">
        <v>538</v>
      </c>
      <c r="J56" s="2">
        <v>304</v>
      </c>
      <c r="K56" s="2">
        <v>7</v>
      </c>
      <c r="L56" s="2">
        <v>443</v>
      </c>
      <c r="M56" s="2">
        <v>229</v>
      </c>
      <c r="N56" s="2">
        <v>6</v>
      </c>
      <c r="O56" s="2">
        <v>396</v>
      </c>
      <c r="P56" s="2" t="s">
        <v>5</v>
      </c>
      <c r="Q56" s="2">
        <v>6</v>
      </c>
    </row>
    <row r="57" spans="1:17" x14ac:dyDescent="0.2">
      <c r="A57" s="1" t="s">
        <v>1042</v>
      </c>
      <c r="B57" s="1" t="s">
        <v>181</v>
      </c>
      <c r="C57" s="2">
        <v>681</v>
      </c>
      <c r="D57" s="2">
        <v>26</v>
      </c>
      <c r="E57" s="2">
        <v>35</v>
      </c>
      <c r="F57" s="2">
        <v>660</v>
      </c>
      <c r="G57" s="2">
        <v>16</v>
      </c>
      <c r="H57" s="2">
        <v>23</v>
      </c>
      <c r="I57" s="2">
        <v>663</v>
      </c>
      <c r="J57" s="2">
        <v>20</v>
      </c>
      <c r="K57" s="2">
        <v>27</v>
      </c>
      <c r="L57" s="2">
        <v>579</v>
      </c>
      <c r="M57" s="2">
        <v>45</v>
      </c>
      <c r="N57" s="2">
        <v>20</v>
      </c>
      <c r="O57" s="2">
        <v>464</v>
      </c>
      <c r="P57" s="2">
        <v>70</v>
      </c>
      <c r="Q57" s="2">
        <v>16</v>
      </c>
    </row>
    <row r="58" spans="1:17" x14ac:dyDescent="0.2">
      <c r="A58" s="1" t="s">
        <v>1042</v>
      </c>
      <c r="B58" s="1" t="s">
        <v>184</v>
      </c>
      <c r="C58" s="2">
        <v>1042</v>
      </c>
      <c r="D58" s="2">
        <v>37</v>
      </c>
      <c r="E58" s="2" t="s">
        <v>5</v>
      </c>
      <c r="F58" s="2">
        <v>1046</v>
      </c>
      <c r="G58" s="2">
        <v>31</v>
      </c>
      <c r="H58" s="2" t="s">
        <v>5</v>
      </c>
      <c r="I58" s="2">
        <v>1051</v>
      </c>
      <c r="J58" s="2">
        <v>34</v>
      </c>
      <c r="K58" s="2" t="s">
        <v>5</v>
      </c>
      <c r="L58" s="2">
        <v>914</v>
      </c>
      <c r="M58" s="2">
        <v>29</v>
      </c>
      <c r="N58" s="2" t="s">
        <v>5</v>
      </c>
      <c r="O58" s="2">
        <v>789</v>
      </c>
      <c r="P58" s="2">
        <v>27</v>
      </c>
      <c r="Q58" s="2">
        <v>0</v>
      </c>
    </row>
    <row r="59" spans="1:17" x14ac:dyDescent="0.2">
      <c r="A59" s="1" t="s">
        <v>1042</v>
      </c>
      <c r="B59" s="1" t="s">
        <v>187</v>
      </c>
      <c r="C59" s="2">
        <v>893</v>
      </c>
      <c r="D59" s="2">
        <v>12</v>
      </c>
      <c r="E59" s="2">
        <v>24</v>
      </c>
      <c r="F59" s="2">
        <v>868</v>
      </c>
      <c r="G59" s="2">
        <v>11</v>
      </c>
      <c r="H59" s="2">
        <v>21</v>
      </c>
      <c r="I59" s="2">
        <v>879</v>
      </c>
      <c r="J59" s="2">
        <v>11</v>
      </c>
      <c r="K59" s="2">
        <v>17</v>
      </c>
      <c r="L59" s="2">
        <v>756</v>
      </c>
      <c r="M59" s="2">
        <v>9</v>
      </c>
      <c r="N59" s="2">
        <v>12</v>
      </c>
      <c r="O59" s="2">
        <v>646</v>
      </c>
      <c r="P59" s="2">
        <v>8</v>
      </c>
      <c r="Q59" s="2">
        <v>13</v>
      </c>
    </row>
    <row r="60" spans="1:17" x14ac:dyDescent="0.2">
      <c r="A60" s="1" t="s">
        <v>1042</v>
      </c>
      <c r="B60" s="1" t="s">
        <v>190</v>
      </c>
      <c r="C60" s="2" t="s">
        <v>5</v>
      </c>
      <c r="D60" s="2">
        <v>671</v>
      </c>
      <c r="E60" s="2">
        <v>59</v>
      </c>
      <c r="F60" s="2" t="s">
        <v>5</v>
      </c>
      <c r="G60" s="2">
        <v>673</v>
      </c>
      <c r="H60" s="2">
        <v>37</v>
      </c>
      <c r="I60" s="2">
        <v>1111</v>
      </c>
      <c r="J60" s="2">
        <v>680</v>
      </c>
      <c r="K60" s="2">
        <v>40</v>
      </c>
      <c r="L60" s="2">
        <v>997</v>
      </c>
      <c r="M60" s="2">
        <v>651</v>
      </c>
      <c r="N60" s="2">
        <v>32</v>
      </c>
      <c r="O60" s="2" t="s">
        <v>5</v>
      </c>
      <c r="P60" s="2">
        <v>577</v>
      </c>
      <c r="Q60" s="2">
        <v>24</v>
      </c>
    </row>
    <row r="61" spans="1:17" x14ac:dyDescent="0.2">
      <c r="A61" s="1" t="s">
        <v>1042</v>
      </c>
      <c r="B61" s="1" t="s">
        <v>193</v>
      </c>
      <c r="C61" s="2" t="s">
        <v>5</v>
      </c>
      <c r="D61" s="2">
        <v>375</v>
      </c>
      <c r="E61" s="2">
        <v>19</v>
      </c>
      <c r="F61" s="2" t="s">
        <v>5</v>
      </c>
      <c r="G61" s="2">
        <v>384</v>
      </c>
      <c r="H61" s="2">
        <v>9</v>
      </c>
      <c r="I61" s="2" t="s">
        <v>5</v>
      </c>
      <c r="J61" s="2">
        <v>346</v>
      </c>
      <c r="K61" s="2">
        <v>11</v>
      </c>
      <c r="L61" s="2">
        <v>501</v>
      </c>
      <c r="M61" s="2">
        <v>297</v>
      </c>
      <c r="N61" s="2">
        <v>8</v>
      </c>
      <c r="O61" s="2">
        <v>408</v>
      </c>
      <c r="P61" s="2">
        <v>288</v>
      </c>
      <c r="Q61" s="2">
        <v>7</v>
      </c>
    </row>
    <row r="62" spans="1:17" x14ac:dyDescent="0.2">
      <c r="A62" s="1" t="s">
        <v>1042</v>
      </c>
      <c r="B62" s="1" t="s">
        <v>196</v>
      </c>
      <c r="C62" s="2" t="s">
        <v>5</v>
      </c>
      <c r="D62" s="2">
        <v>56</v>
      </c>
      <c r="E62" s="2" t="s">
        <v>5</v>
      </c>
      <c r="F62" s="2">
        <v>558</v>
      </c>
      <c r="G62" s="2" t="s">
        <v>5</v>
      </c>
      <c r="H62" s="2">
        <v>1</v>
      </c>
      <c r="I62" s="2">
        <v>573</v>
      </c>
      <c r="J62" s="2">
        <v>56</v>
      </c>
      <c r="K62" s="2">
        <v>1</v>
      </c>
      <c r="L62" s="2" t="s">
        <v>5</v>
      </c>
      <c r="M62" s="2" t="s">
        <v>5</v>
      </c>
      <c r="N62" s="2" t="s">
        <v>5</v>
      </c>
      <c r="O62" s="2" t="s">
        <v>5</v>
      </c>
      <c r="P62" s="2" t="s">
        <v>5</v>
      </c>
      <c r="Q62" s="2">
        <v>1</v>
      </c>
    </row>
    <row r="63" spans="1:17" x14ac:dyDescent="0.2">
      <c r="A63" s="1" t="s">
        <v>1042</v>
      </c>
      <c r="B63" s="1" t="s">
        <v>199</v>
      </c>
      <c r="C63" s="2" t="s">
        <v>5</v>
      </c>
      <c r="D63" s="2">
        <v>123</v>
      </c>
      <c r="E63" s="2">
        <v>67</v>
      </c>
      <c r="F63" s="2">
        <v>718</v>
      </c>
      <c r="G63" s="2">
        <v>128</v>
      </c>
      <c r="H63" s="2">
        <v>59</v>
      </c>
      <c r="I63" s="2" t="s">
        <v>5</v>
      </c>
      <c r="J63" s="2">
        <v>130</v>
      </c>
      <c r="K63" s="2">
        <v>65</v>
      </c>
      <c r="L63" s="2">
        <v>631</v>
      </c>
      <c r="M63" s="2">
        <v>126</v>
      </c>
      <c r="N63" s="2">
        <v>53</v>
      </c>
      <c r="O63" s="2">
        <v>510</v>
      </c>
      <c r="P63" s="2">
        <v>120</v>
      </c>
      <c r="Q63" s="2">
        <v>44</v>
      </c>
    </row>
    <row r="64" spans="1:17" x14ac:dyDescent="0.2">
      <c r="A64" s="1" t="s">
        <v>1042</v>
      </c>
      <c r="B64" s="1" t="s">
        <v>202</v>
      </c>
      <c r="C64" s="2">
        <v>481</v>
      </c>
      <c r="D64" s="2">
        <v>32</v>
      </c>
      <c r="E64" s="2">
        <v>14</v>
      </c>
      <c r="F64" s="2">
        <v>469</v>
      </c>
      <c r="G64" s="2">
        <v>17</v>
      </c>
      <c r="H64" s="2">
        <v>7</v>
      </c>
      <c r="I64" s="2">
        <v>468</v>
      </c>
      <c r="J64" s="2">
        <v>19</v>
      </c>
      <c r="K64" s="2">
        <v>7</v>
      </c>
      <c r="L64" s="2">
        <v>413</v>
      </c>
      <c r="M64" s="2">
        <v>13</v>
      </c>
      <c r="N64" s="2">
        <v>6</v>
      </c>
      <c r="O64" s="2">
        <v>330</v>
      </c>
      <c r="P64" s="2">
        <v>10</v>
      </c>
      <c r="Q64" s="2">
        <v>6</v>
      </c>
    </row>
    <row r="65" spans="1:17" x14ac:dyDescent="0.2">
      <c r="A65" s="1" t="s">
        <v>1042</v>
      </c>
      <c r="B65" s="1" t="s">
        <v>133</v>
      </c>
      <c r="C65" s="2" t="s">
        <v>5</v>
      </c>
      <c r="D65" s="2" t="s">
        <v>5</v>
      </c>
      <c r="E65" s="2">
        <v>18</v>
      </c>
      <c r="F65" s="2">
        <v>1185</v>
      </c>
      <c r="G65" s="2" t="s">
        <v>5</v>
      </c>
      <c r="H65" s="2">
        <v>17</v>
      </c>
      <c r="I65" s="2">
        <v>1222</v>
      </c>
      <c r="J65" s="2" t="s">
        <v>5</v>
      </c>
      <c r="K65" s="2">
        <v>19</v>
      </c>
      <c r="L65" s="2">
        <v>1033</v>
      </c>
      <c r="M65" s="2" t="s">
        <v>5</v>
      </c>
      <c r="N65" s="2">
        <v>16</v>
      </c>
      <c r="O65" s="2">
        <v>850</v>
      </c>
      <c r="P65" s="2" t="s">
        <v>5</v>
      </c>
      <c r="Q65" s="2">
        <v>14</v>
      </c>
    </row>
    <row r="66" spans="1:17" x14ac:dyDescent="0.2">
      <c r="A66" s="1" t="s">
        <v>1042</v>
      </c>
      <c r="B66" s="1" t="s">
        <v>296</v>
      </c>
      <c r="C66" s="2" t="s">
        <v>5</v>
      </c>
      <c r="D66" s="2">
        <v>627</v>
      </c>
      <c r="E66" s="2">
        <v>60</v>
      </c>
      <c r="F66" s="2" t="s">
        <v>5</v>
      </c>
      <c r="G66" s="2">
        <v>589</v>
      </c>
      <c r="H66" s="2">
        <v>36</v>
      </c>
      <c r="I66" s="2" t="s">
        <v>5</v>
      </c>
      <c r="J66" s="2">
        <v>628</v>
      </c>
      <c r="K66" s="2">
        <v>38</v>
      </c>
      <c r="L66" s="2">
        <v>1222</v>
      </c>
      <c r="M66" s="2">
        <v>941</v>
      </c>
      <c r="N66" s="2">
        <v>31</v>
      </c>
      <c r="O66" s="2">
        <v>1014</v>
      </c>
      <c r="P66" s="2">
        <v>963</v>
      </c>
      <c r="Q66" s="2">
        <v>23</v>
      </c>
    </row>
    <row r="67" spans="1:17" x14ac:dyDescent="0.2">
      <c r="A67" s="1" t="s">
        <v>1042</v>
      </c>
      <c r="B67" s="1" t="s">
        <v>739</v>
      </c>
      <c r="C67" s="2">
        <v>1087</v>
      </c>
      <c r="D67" s="2">
        <v>119</v>
      </c>
      <c r="E67" s="2">
        <v>175</v>
      </c>
      <c r="F67" s="2">
        <v>1050</v>
      </c>
      <c r="G67" s="2">
        <v>115</v>
      </c>
      <c r="H67" s="2">
        <v>212</v>
      </c>
      <c r="I67" s="2">
        <v>1058</v>
      </c>
      <c r="J67" s="2">
        <v>122</v>
      </c>
      <c r="K67" s="2">
        <v>199</v>
      </c>
      <c r="L67" s="2">
        <v>910</v>
      </c>
      <c r="M67" s="2">
        <v>103</v>
      </c>
      <c r="N67" s="2">
        <v>153</v>
      </c>
      <c r="O67" s="2">
        <v>762</v>
      </c>
      <c r="P67" s="2">
        <v>93</v>
      </c>
      <c r="Q67" s="2">
        <v>162</v>
      </c>
    </row>
    <row r="68" spans="1:17" x14ac:dyDescent="0.2">
      <c r="A68" s="1" t="s">
        <v>1042</v>
      </c>
      <c r="B68" s="1" t="s">
        <v>993</v>
      </c>
      <c r="C68" s="2">
        <v>701</v>
      </c>
      <c r="D68" s="2">
        <v>22</v>
      </c>
      <c r="E68" s="2">
        <v>75</v>
      </c>
      <c r="F68" s="2" t="s">
        <v>5</v>
      </c>
      <c r="G68" s="2" t="s">
        <v>5</v>
      </c>
      <c r="H68" s="2">
        <v>43</v>
      </c>
      <c r="I68" s="2">
        <v>687</v>
      </c>
      <c r="J68" s="2">
        <v>18</v>
      </c>
      <c r="K68" s="2">
        <v>42</v>
      </c>
      <c r="L68" s="2">
        <v>606</v>
      </c>
      <c r="M68" s="2">
        <v>16</v>
      </c>
      <c r="N68" s="2">
        <v>35</v>
      </c>
      <c r="O68" s="2">
        <v>496</v>
      </c>
      <c r="P68" s="2">
        <v>14</v>
      </c>
      <c r="Q68" s="2">
        <v>31</v>
      </c>
    </row>
    <row r="69" spans="1:17" x14ac:dyDescent="0.2">
      <c r="A69" s="1" t="s">
        <v>1042</v>
      </c>
      <c r="B69" s="1" t="s">
        <v>205</v>
      </c>
      <c r="C69" s="2">
        <v>2294</v>
      </c>
      <c r="D69" s="2">
        <v>991</v>
      </c>
      <c r="E69" s="2">
        <v>1</v>
      </c>
      <c r="F69" s="2">
        <v>2284</v>
      </c>
      <c r="G69" s="2">
        <v>1057</v>
      </c>
      <c r="H69" s="2">
        <v>0</v>
      </c>
      <c r="I69" s="2">
        <v>2346</v>
      </c>
      <c r="J69" s="2">
        <v>1120</v>
      </c>
      <c r="K69" s="2">
        <v>1</v>
      </c>
      <c r="L69" s="2">
        <v>1949</v>
      </c>
      <c r="M69" s="2">
        <v>1134</v>
      </c>
      <c r="N69" s="2">
        <v>0</v>
      </c>
      <c r="O69" s="2">
        <v>1711</v>
      </c>
      <c r="P69" s="2">
        <v>926</v>
      </c>
      <c r="Q69" s="2">
        <v>1</v>
      </c>
    </row>
    <row r="70" spans="1:17" x14ac:dyDescent="0.2">
      <c r="A70" s="1" t="s">
        <v>1042</v>
      </c>
      <c r="B70" s="1" t="s">
        <v>1058</v>
      </c>
      <c r="C70" s="2">
        <v>11688</v>
      </c>
      <c r="D70" s="2">
        <v>225</v>
      </c>
      <c r="E70" s="2">
        <v>18</v>
      </c>
      <c r="F70" s="2">
        <v>11297</v>
      </c>
      <c r="G70" s="2">
        <v>195</v>
      </c>
      <c r="H70" s="2">
        <v>14</v>
      </c>
      <c r="I70" s="2">
        <v>11499</v>
      </c>
      <c r="J70" s="2">
        <v>185</v>
      </c>
      <c r="K70" s="2">
        <v>15</v>
      </c>
      <c r="L70" s="2">
        <v>10186</v>
      </c>
      <c r="M70" s="2">
        <v>128</v>
      </c>
      <c r="N70" s="2">
        <v>14</v>
      </c>
      <c r="O70" s="2">
        <v>8940</v>
      </c>
      <c r="P70" s="2">
        <v>129</v>
      </c>
      <c r="Q70" s="2">
        <v>18</v>
      </c>
    </row>
    <row r="71" spans="1:17" x14ac:dyDescent="0.2">
      <c r="A71" s="1" t="s">
        <v>1042</v>
      </c>
      <c r="B71" s="1" t="s">
        <v>387</v>
      </c>
      <c r="C71" s="2">
        <v>1665</v>
      </c>
      <c r="D71" s="2">
        <v>31</v>
      </c>
      <c r="E71" s="2">
        <v>73</v>
      </c>
      <c r="F71" s="2">
        <v>1630</v>
      </c>
      <c r="G71" s="2">
        <v>26</v>
      </c>
      <c r="H71" s="2">
        <v>75</v>
      </c>
      <c r="I71" s="2">
        <v>1663</v>
      </c>
      <c r="J71" s="2" t="s">
        <v>5</v>
      </c>
      <c r="K71" s="2">
        <v>80</v>
      </c>
      <c r="L71" s="2">
        <v>1435</v>
      </c>
      <c r="M71" s="2">
        <v>26</v>
      </c>
      <c r="N71" s="2">
        <v>55</v>
      </c>
      <c r="O71" s="2">
        <v>1272</v>
      </c>
      <c r="P71" s="2">
        <v>23</v>
      </c>
      <c r="Q71" s="2">
        <v>56</v>
      </c>
    </row>
    <row r="72" spans="1:17" x14ac:dyDescent="0.2">
      <c r="A72" s="1" t="s">
        <v>1042</v>
      </c>
      <c r="B72" s="1" t="s">
        <v>208</v>
      </c>
      <c r="C72" s="2">
        <v>856</v>
      </c>
      <c r="D72" s="2">
        <v>127</v>
      </c>
      <c r="E72" s="2">
        <v>290</v>
      </c>
      <c r="F72" s="2">
        <v>826</v>
      </c>
      <c r="G72" s="2">
        <v>131</v>
      </c>
      <c r="H72" s="2">
        <v>266</v>
      </c>
      <c r="I72" s="2">
        <v>841</v>
      </c>
      <c r="J72" s="2">
        <v>142</v>
      </c>
      <c r="K72" s="2">
        <v>291</v>
      </c>
      <c r="L72" s="2">
        <v>737</v>
      </c>
      <c r="M72" s="2">
        <v>88</v>
      </c>
      <c r="N72" s="2">
        <v>193</v>
      </c>
      <c r="O72" s="2">
        <v>602</v>
      </c>
      <c r="P72" s="2">
        <v>85</v>
      </c>
      <c r="Q72" s="2">
        <v>212</v>
      </c>
    </row>
    <row r="73" spans="1:17" x14ac:dyDescent="0.2">
      <c r="A73" s="1" t="s">
        <v>1042</v>
      </c>
      <c r="B73" s="1" t="s">
        <v>211</v>
      </c>
      <c r="C73" s="2">
        <v>2289</v>
      </c>
      <c r="D73" s="2">
        <v>605</v>
      </c>
      <c r="E73" s="2">
        <v>34</v>
      </c>
      <c r="F73" s="2" t="s">
        <v>5</v>
      </c>
      <c r="G73" s="2">
        <v>620</v>
      </c>
      <c r="H73" s="2">
        <v>35</v>
      </c>
      <c r="I73" s="2">
        <v>2283</v>
      </c>
      <c r="J73" s="2">
        <v>629</v>
      </c>
      <c r="K73" s="2">
        <v>38</v>
      </c>
      <c r="L73" s="2">
        <v>2005</v>
      </c>
      <c r="M73" s="2">
        <v>532</v>
      </c>
      <c r="N73" s="2">
        <v>30</v>
      </c>
      <c r="O73" s="2">
        <v>1698</v>
      </c>
      <c r="P73" s="2">
        <v>484</v>
      </c>
      <c r="Q73" s="2">
        <v>24</v>
      </c>
    </row>
    <row r="74" spans="1:17" x14ac:dyDescent="0.2">
      <c r="A74" s="1" t="s">
        <v>1042</v>
      </c>
      <c r="B74" s="1" t="s">
        <v>214</v>
      </c>
      <c r="C74" s="2" t="s">
        <v>5</v>
      </c>
      <c r="D74" s="2">
        <v>31</v>
      </c>
      <c r="E74" s="2" t="s">
        <v>5</v>
      </c>
      <c r="F74" s="2" t="s">
        <v>5</v>
      </c>
      <c r="G74" s="2">
        <v>27</v>
      </c>
      <c r="H74" s="2" t="s">
        <v>5</v>
      </c>
      <c r="I74" s="2">
        <v>601</v>
      </c>
      <c r="J74" s="2">
        <v>31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5</v>
      </c>
      <c r="P74" s="2" t="s">
        <v>5</v>
      </c>
      <c r="Q74" s="2" t="s">
        <v>5</v>
      </c>
    </row>
    <row r="75" spans="1:17" x14ac:dyDescent="0.2">
      <c r="A75" s="1" t="s">
        <v>1042</v>
      </c>
      <c r="B75" s="1" t="s">
        <v>217</v>
      </c>
      <c r="C75" s="2" t="s">
        <v>5</v>
      </c>
      <c r="D75" s="2" t="s">
        <v>5</v>
      </c>
      <c r="E75" s="2">
        <v>881</v>
      </c>
      <c r="F75" s="2">
        <v>1551</v>
      </c>
      <c r="G75" s="2" t="s">
        <v>5</v>
      </c>
      <c r="H75" s="2">
        <v>839</v>
      </c>
      <c r="I75" s="2">
        <v>1553</v>
      </c>
      <c r="J75" s="2" t="s">
        <v>5</v>
      </c>
      <c r="K75" s="2">
        <v>931</v>
      </c>
      <c r="L75" s="2">
        <v>1320</v>
      </c>
      <c r="M75" s="2">
        <v>508</v>
      </c>
      <c r="N75" s="2">
        <v>720</v>
      </c>
      <c r="O75" s="2">
        <v>1119</v>
      </c>
      <c r="P75" s="2">
        <v>481</v>
      </c>
      <c r="Q75" s="2">
        <v>785</v>
      </c>
    </row>
    <row r="76" spans="1:17" x14ac:dyDescent="0.2">
      <c r="A76" s="1" t="s">
        <v>1042</v>
      </c>
      <c r="B76" s="1" t="s">
        <v>220</v>
      </c>
      <c r="C76" s="2">
        <v>762</v>
      </c>
      <c r="D76" s="2">
        <v>100</v>
      </c>
      <c r="E76" s="2">
        <v>129</v>
      </c>
      <c r="F76" s="2">
        <v>727</v>
      </c>
      <c r="G76" s="2">
        <v>68</v>
      </c>
      <c r="H76" s="2">
        <v>68</v>
      </c>
      <c r="I76" s="2">
        <v>791</v>
      </c>
      <c r="J76" s="2">
        <v>100</v>
      </c>
      <c r="K76" s="2">
        <v>109</v>
      </c>
      <c r="L76" s="2">
        <v>705</v>
      </c>
      <c r="M76" s="2">
        <v>84</v>
      </c>
      <c r="N76" s="2">
        <v>66</v>
      </c>
      <c r="O76" s="2">
        <v>574</v>
      </c>
      <c r="P76" s="2">
        <v>77</v>
      </c>
      <c r="Q76" s="2">
        <v>60</v>
      </c>
    </row>
    <row r="77" spans="1:17" x14ac:dyDescent="0.2">
      <c r="A77" s="1" t="s">
        <v>1042</v>
      </c>
      <c r="B77" s="1" t="s">
        <v>223</v>
      </c>
      <c r="C77" s="2">
        <v>257</v>
      </c>
      <c r="D77" s="2">
        <v>25</v>
      </c>
      <c r="E77" s="2">
        <v>1</v>
      </c>
      <c r="F77" s="2">
        <v>251</v>
      </c>
      <c r="G77" s="2">
        <v>21</v>
      </c>
      <c r="H77" s="2">
        <v>1</v>
      </c>
      <c r="I77" s="2">
        <v>261</v>
      </c>
      <c r="J77" s="2">
        <v>22</v>
      </c>
      <c r="K77" s="2">
        <v>1</v>
      </c>
      <c r="L77" s="2">
        <v>225</v>
      </c>
      <c r="M77" s="2" t="s">
        <v>5</v>
      </c>
      <c r="N77" s="2">
        <v>1</v>
      </c>
      <c r="O77" s="2">
        <v>190</v>
      </c>
      <c r="P77" s="2" t="s">
        <v>5</v>
      </c>
      <c r="Q77" s="2">
        <v>1</v>
      </c>
    </row>
    <row r="78" spans="1:17" x14ac:dyDescent="0.2">
      <c r="A78" s="1" t="s">
        <v>1042</v>
      </c>
      <c r="B78" s="1" t="s">
        <v>226</v>
      </c>
      <c r="C78" s="2">
        <v>1509</v>
      </c>
      <c r="D78" s="2">
        <v>677</v>
      </c>
      <c r="E78" s="2">
        <v>24</v>
      </c>
      <c r="F78" s="2">
        <v>1453</v>
      </c>
      <c r="G78" s="2">
        <v>599</v>
      </c>
      <c r="H78" s="2">
        <v>22</v>
      </c>
      <c r="I78" s="2">
        <v>1495</v>
      </c>
      <c r="J78" s="2">
        <v>640</v>
      </c>
      <c r="K78" s="2">
        <v>23</v>
      </c>
      <c r="L78" s="2">
        <v>1330</v>
      </c>
      <c r="M78" s="2">
        <v>625</v>
      </c>
      <c r="N78" s="2">
        <v>18</v>
      </c>
      <c r="O78" s="2">
        <v>1094</v>
      </c>
      <c r="P78" s="2">
        <v>603</v>
      </c>
      <c r="Q78" s="2">
        <v>15</v>
      </c>
    </row>
    <row r="79" spans="1:17" x14ac:dyDescent="0.2">
      <c r="A79" s="1" t="s">
        <v>1042</v>
      </c>
      <c r="B79" s="1" t="s">
        <v>229</v>
      </c>
      <c r="C79" s="2">
        <v>631</v>
      </c>
      <c r="D79" s="2">
        <v>1594</v>
      </c>
      <c r="E79" s="2">
        <v>531</v>
      </c>
      <c r="F79" s="2">
        <v>599</v>
      </c>
      <c r="G79" s="2">
        <v>1540</v>
      </c>
      <c r="H79" s="2">
        <v>547</v>
      </c>
      <c r="I79" s="2">
        <v>598</v>
      </c>
      <c r="J79" s="2">
        <v>1460</v>
      </c>
      <c r="K79" s="2">
        <v>564</v>
      </c>
      <c r="L79" s="2">
        <v>510</v>
      </c>
      <c r="M79" s="2">
        <v>1454</v>
      </c>
      <c r="N79" s="2">
        <v>383</v>
      </c>
      <c r="O79" s="2">
        <v>428</v>
      </c>
      <c r="P79" s="2">
        <v>1317</v>
      </c>
      <c r="Q79" s="2">
        <v>409</v>
      </c>
    </row>
    <row r="80" spans="1:17" x14ac:dyDescent="0.2">
      <c r="A80" s="1" t="s">
        <v>1042</v>
      </c>
      <c r="B80" s="1" t="s">
        <v>232</v>
      </c>
      <c r="C80" s="2">
        <v>2733</v>
      </c>
      <c r="D80" s="2">
        <v>267</v>
      </c>
      <c r="E80" s="2">
        <v>7</v>
      </c>
      <c r="F80" s="2">
        <v>2626</v>
      </c>
      <c r="G80" s="2">
        <v>260</v>
      </c>
      <c r="H80" s="2" t="s">
        <v>5</v>
      </c>
      <c r="I80" s="2">
        <v>2694</v>
      </c>
      <c r="J80" s="2">
        <v>279</v>
      </c>
      <c r="K80" s="2">
        <v>6</v>
      </c>
      <c r="L80" s="2">
        <v>2275</v>
      </c>
      <c r="M80" s="2">
        <v>259</v>
      </c>
      <c r="N80" s="2">
        <v>5</v>
      </c>
      <c r="O80" s="2">
        <v>1944</v>
      </c>
      <c r="P80" s="2">
        <v>260</v>
      </c>
      <c r="Q80" s="2">
        <v>4</v>
      </c>
    </row>
    <row r="81" spans="1:17" x14ac:dyDescent="0.2">
      <c r="A81" s="1" t="s">
        <v>1042</v>
      </c>
      <c r="B81" s="1" t="s">
        <v>235</v>
      </c>
      <c r="C81" s="2">
        <v>450</v>
      </c>
      <c r="D81" s="2">
        <v>23</v>
      </c>
      <c r="E81" s="2">
        <v>310</v>
      </c>
      <c r="F81" s="2">
        <v>447</v>
      </c>
      <c r="G81" s="2">
        <v>23</v>
      </c>
      <c r="H81" s="2">
        <v>318</v>
      </c>
      <c r="I81" s="2">
        <v>446</v>
      </c>
      <c r="J81" s="2">
        <v>22</v>
      </c>
      <c r="K81" s="2">
        <v>332</v>
      </c>
      <c r="L81" s="2">
        <v>385</v>
      </c>
      <c r="M81" s="2">
        <v>17</v>
      </c>
      <c r="N81" s="2">
        <v>252</v>
      </c>
      <c r="O81" s="2">
        <v>317</v>
      </c>
      <c r="P81" s="2">
        <v>22</v>
      </c>
      <c r="Q81" s="2">
        <v>236</v>
      </c>
    </row>
    <row r="82" spans="1:17" x14ac:dyDescent="0.2">
      <c r="A82" s="1" t="s">
        <v>1042</v>
      </c>
      <c r="B82" s="1" t="s">
        <v>238</v>
      </c>
      <c r="C82" s="2">
        <v>636</v>
      </c>
      <c r="D82" s="2">
        <v>70</v>
      </c>
      <c r="E82" s="2">
        <v>904</v>
      </c>
      <c r="F82" s="2">
        <v>616</v>
      </c>
      <c r="G82" s="2">
        <v>67</v>
      </c>
      <c r="H82" s="2">
        <v>1033</v>
      </c>
      <c r="I82" s="2">
        <v>623</v>
      </c>
      <c r="J82" s="2">
        <v>22</v>
      </c>
      <c r="K82" s="2">
        <v>969</v>
      </c>
      <c r="L82" s="2">
        <v>545</v>
      </c>
      <c r="M82" s="2">
        <v>13</v>
      </c>
      <c r="N82" s="2">
        <v>710</v>
      </c>
      <c r="O82" s="2">
        <v>450</v>
      </c>
      <c r="P82" s="2">
        <v>11</v>
      </c>
      <c r="Q82" s="2">
        <v>896</v>
      </c>
    </row>
    <row r="83" spans="1:17" x14ac:dyDescent="0.2">
      <c r="A83" s="1" t="s">
        <v>1042</v>
      </c>
      <c r="B83" s="1" t="s">
        <v>241</v>
      </c>
      <c r="C83" s="2">
        <v>926</v>
      </c>
      <c r="D83" s="2">
        <v>108</v>
      </c>
      <c r="E83" s="2">
        <v>104</v>
      </c>
      <c r="F83" s="2">
        <v>904</v>
      </c>
      <c r="G83" s="2">
        <v>99</v>
      </c>
      <c r="H83" s="2">
        <v>87</v>
      </c>
      <c r="I83" s="2">
        <v>919</v>
      </c>
      <c r="J83" s="2">
        <v>106</v>
      </c>
      <c r="K83" s="2">
        <v>84</v>
      </c>
      <c r="L83" s="2">
        <v>807</v>
      </c>
      <c r="M83" s="2" t="s">
        <v>5</v>
      </c>
      <c r="N83" s="2">
        <v>79</v>
      </c>
      <c r="O83" s="2">
        <v>677</v>
      </c>
      <c r="P83" s="2" t="s">
        <v>5</v>
      </c>
      <c r="Q83" s="2">
        <v>72</v>
      </c>
    </row>
    <row r="84" spans="1:17" x14ac:dyDescent="0.2">
      <c r="A84" s="1" t="s">
        <v>1042</v>
      </c>
      <c r="B84" s="1" t="s">
        <v>244</v>
      </c>
      <c r="C84" s="2">
        <v>447</v>
      </c>
      <c r="D84" s="2">
        <v>176</v>
      </c>
      <c r="E84" s="2">
        <v>11</v>
      </c>
      <c r="F84" s="2">
        <v>431</v>
      </c>
      <c r="G84" s="2">
        <v>187</v>
      </c>
      <c r="H84" s="2">
        <v>7</v>
      </c>
      <c r="I84" s="2">
        <v>435</v>
      </c>
      <c r="J84" s="2">
        <v>216</v>
      </c>
      <c r="K84" s="2" t="s">
        <v>5</v>
      </c>
      <c r="L84" s="2">
        <v>387</v>
      </c>
      <c r="M84" s="2">
        <v>218</v>
      </c>
      <c r="N84" s="2">
        <v>6</v>
      </c>
      <c r="O84" s="2">
        <v>315</v>
      </c>
      <c r="P84" s="2">
        <v>225</v>
      </c>
      <c r="Q84" s="2">
        <v>4</v>
      </c>
    </row>
    <row r="85" spans="1:17" x14ac:dyDescent="0.2">
      <c r="A85" s="1" t="s">
        <v>1042</v>
      </c>
      <c r="B85" s="1" t="s">
        <v>247</v>
      </c>
      <c r="C85" s="2" t="s">
        <v>5</v>
      </c>
      <c r="D85" s="2" t="s">
        <v>5</v>
      </c>
      <c r="E85" s="2">
        <v>61</v>
      </c>
      <c r="F85" s="2" t="s">
        <v>5</v>
      </c>
      <c r="G85" s="2">
        <v>8</v>
      </c>
      <c r="H85" s="2">
        <v>57</v>
      </c>
      <c r="I85" s="2">
        <v>256</v>
      </c>
      <c r="J85" s="2">
        <v>7</v>
      </c>
      <c r="K85" s="2">
        <v>68</v>
      </c>
      <c r="L85" s="2">
        <v>221</v>
      </c>
      <c r="M85" s="2">
        <v>7</v>
      </c>
      <c r="N85" s="2">
        <v>64</v>
      </c>
      <c r="O85" s="2">
        <v>180</v>
      </c>
      <c r="P85" s="2">
        <v>6</v>
      </c>
      <c r="Q85" s="2">
        <v>64</v>
      </c>
    </row>
    <row r="86" spans="1:17" x14ac:dyDescent="0.2">
      <c r="A86" s="1" t="s">
        <v>1042</v>
      </c>
      <c r="B86" s="1" t="s">
        <v>250</v>
      </c>
      <c r="C86" s="2">
        <v>923</v>
      </c>
      <c r="D86" s="2" t="s">
        <v>5</v>
      </c>
      <c r="E86" s="2">
        <v>11</v>
      </c>
      <c r="F86" s="2" t="s">
        <v>5</v>
      </c>
      <c r="G86" s="2" t="s">
        <v>5</v>
      </c>
      <c r="H86" s="2">
        <v>8</v>
      </c>
      <c r="I86" s="2" t="s">
        <v>5</v>
      </c>
      <c r="J86" s="2" t="s">
        <v>5</v>
      </c>
      <c r="K86" s="2">
        <v>10</v>
      </c>
      <c r="L86" s="2" t="s">
        <v>5</v>
      </c>
      <c r="M86" s="2" t="s">
        <v>5</v>
      </c>
      <c r="N86" s="2">
        <v>7</v>
      </c>
      <c r="O86" s="2">
        <v>630</v>
      </c>
      <c r="P86" s="2">
        <v>210</v>
      </c>
      <c r="Q86" s="2">
        <v>5</v>
      </c>
    </row>
    <row r="87" spans="1:17" x14ac:dyDescent="0.2">
      <c r="A87" s="1" t="s">
        <v>1042</v>
      </c>
      <c r="B87" s="1" t="s">
        <v>253</v>
      </c>
      <c r="C87" s="2" t="s">
        <v>5</v>
      </c>
      <c r="D87" s="2">
        <v>80</v>
      </c>
      <c r="E87" s="2">
        <v>7</v>
      </c>
      <c r="F87" s="2" t="s">
        <v>5</v>
      </c>
      <c r="G87" s="2">
        <v>76</v>
      </c>
      <c r="H87" s="2">
        <v>5</v>
      </c>
      <c r="I87" s="2" t="s">
        <v>5</v>
      </c>
      <c r="J87" s="2">
        <v>86</v>
      </c>
      <c r="K87" s="2">
        <v>5</v>
      </c>
      <c r="L87" s="2">
        <v>840</v>
      </c>
      <c r="M87" s="2">
        <v>71</v>
      </c>
      <c r="N87" s="2">
        <v>4</v>
      </c>
      <c r="O87" s="2">
        <v>709</v>
      </c>
      <c r="P87" s="2">
        <v>65</v>
      </c>
      <c r="Q87" s="2">
        <v>4</v>
      </c>
    </row>
    <row r="88" spans="1:17" x14ac:dyDescent="0.2">
      <c r="A88" s="1" t="s">
        <v>1042</v>
      </c>
      <c r="B88" s="1" t="s">
        <v>256</v>
      </c>
      <c r="C88" s="2" t="s">
        <v>5</v>
      </c>
      <c r="D88" s="2">
        <v>247</v>
      </c>
      <c r="E88" s="2">
        <v>124</v>
      </c>
      <c r="F88" s="2">
        <v>2732</v>
      </c>
      <c r="G88" s="2">
        <v>222</v>
      </c>
      <c r="H88" s="2">
        <v>95</v>
      </c>
      <c r="I88" s="2">
        <v>2728</v>
      </c>
      <c r="J88" s="2">
        <v>245</v>
      </c>
      <c r="K88" s="2">
        <v>100</v>
      </c>
      <c r="L88" s="2" t="s">
        <v>5</v>
      </c>
      <c r="M88" s="2">
        <v>230</v>
      </c>
      <c r="N88" s="2">
        <v>79</v>
      </c>
      <c r="O88" s="2" t="s">
        <v>5</v>
      </c>
      <c r="P88" s="2">
        <v>252</v>
      </c>
      <c r="Q88" s="2">
        <v>62</v>
      </c>
    </row>
    <row r="89" spans="1:17" x14ac:dyDescent="0.2">
      <c r="A89" s="1" t="s">
        <v>1042</v>
      </c>
      <c r="B89" s="1" t="s">
        <v>259</v>
      </c>
      <c r="C89" s="2" t="s">
        <v>5</v>
      </c>
      <c r="D89" s="2" t="s">
        <v>5</v>
      </c>
      <c r="E89" s="2">
        <v>5</v>
      </c>
      <c r="F89" s="2" t="s">
        <v>5</v>
      </c>
      <c r="G89" s="2" t="s">
        <v>5</v>
      </c>
      <c r="H89" s="2">
        <v>4</v>
      </c>
      <c r="I89" s="2">
        <v>221</v>
      </c>
      <c r="J89" s="2" t="s">
        <v>5</v>
      </c>
      <c r="K89" s="2" t="s">
        <v>5</v>
      </c>
      <c r="L89" s="2" t="s">
        <v>5</v>
      </c>
      <c r="M89" s="2" t="s">
        <v>5</v>
      </c>
      <c r="N89" s="2">
        <v>4</v>
      </c>
      <c r="O89" s="2" t="s">
        <v>5</v>
      </c>
      <c r="P89" s="2" t="s">
        <v>5</v>
      </c>
      <c r="Q89" s="2">
        <v>3</v>
      </c>
    </row>
    <row r="90" spans="1:17" x14ac:dyDescent="0.2">
      <c r="A90" s="1" t="s">
        <v>1042</v>
      </c>
      <c r="B90" s="1" t="s">
        <v>262</v>
      </c>
      <c r="C90" s="2">
        <v>1429</v>
      </c>
      <c r="D90" s="2" t="s">
        <v>5</v>
      </c>
      <c r="E90" s="2">
        <v>59</v>
      </c>
      <c r="F90" s="2">
        <v>1432</v>
      </c>
      <c r="G90" s="2" t="s">
        <v>5</v>
      </c>
      <c r="H90" s="2">
        <v>53</v>
      </c>
      <c r="I90" s="2">
        <v>1415</v>
      </c>
      <c r="J90" s="2" t="s">
        <v>5</v>
      </c>
      <c r="K90" s="2">
        <v>56</v>
      </c>
      <c r="L90" s="2" t="s">
        <v>5</v>
      </c>
      <c r="M90" s="2" t="s">
        <v>5</v>
      </c>
      <c r="N90" s="2">
        <v>47</v>
      </c>
      <c r="O90" s="2">
        <v>1047</v>
      </c>
      <c r="P90" s="2" t="s">
        <v>5</v>
      </c>
      <c r="Q90" s="2">
        <v>40</v>
      </c>
    </row>
    <row r="91" spans="1:17" x14ac:dyDescent="0.2">
      <c r="A91" s="1" t="s">
        <v>1042</v>
      </c>
      <c r="B91" s="1" t="s">
        <v>266</v>
      </c>
      <c r="C91" s="2">
        <v>540</v>
      </c>
      <c r="D91" s="2">
        <v>61</v>
      </c>
      <c r="E91" s="2">
        <v>31</v>
      </c>
      <c r="F91" s="2">
        <v>525</v>
      </c>
      <c r="G91" s="2">
        <v>58</v>
      </c>
      <c r="H91" s="2">
        <v>18</v>
      </c>
      <c r="I91" s="2">
        <v>533</v>
      </c>
      <c r="J91" s="2">
        <v>61</v>
      </c>
      <c r="K91" s="2">
        <v>20</v>
      </c>
      <c r="L91" s="2">
        <v>476</v>
      </c>
      <c r="M91" s="2">
        <v>42</v>
      </c>
      <c r="N91" s="2">
        <v>15</v>
      </c>
      <c r="O91" s="2">
        <v>396</v>
      </c>
      <c r="P91" s="2">
        <v>36</v>
      </c>
      <c r="Q91" s="2">
        <v>13</v>
      </c>
    </row>
    <row r="92" spans="1:17" x14ac:dyDescent="0.2">
      <c r="A92" s="1" t="s">
        <v>1042</v>
      </c>
      <c r="B92" s="1" t="s">
        <v>269</v>
      </c>
      <c r="C92" s="2">
        <v>734</v>
      </c>
      <c r="D92" s="2" t="s">
        <v>5</v>
      </c>
      <c r="E92" s="2">
        <v>13</v>
      </c>
      <c r="F92" s="2" t="s">
        <v>5</v>
      </c>
      <c r="G92" s="2" t="s">
        <v>5</v>
      </c>
      <c r="H92" s="2">
        <v>11</v>
      </c>
      <c r="I92" s="2" t="s">
        <v>5</v>
      </c>
      <c r="J92" s="2" t="s">
        <v>5</v>
      </c>
      <c r="K92" s="2">
        <v>11</v>
      </c>
      <c r="L92" s="2" t="s">
        <v>5</v>
      </c>
      <c r="M92" s="2" t="s">
        <v>5</v>
      </c>
      <c r="N92" s="2">
        <v>9</v>
      </c>
      <c r="O92" s="2" t="s">
        <v>5</v>
      </c>
      <c r="P92" s="2" t="s">
        <v>5</v>
      </c>
      <c r="Q92" s="2">
        <v>8</v>
      </c>
    </row>
    <row r="93" spans="1:17" x14ac:dyDescent="0.2">
      <c r="A93" s="1" t="s">
        <v>1042</v>
      </c>
      <c r="B93" s="1" t="s">
        <v>272</v>
      </c>
      <c r="C93" s="2">
        <v>5989</v>
      </c>
      <c r="D93" s="2">
        <v>1182</v>
      </c>
      <c r="E93" s="2">
        <v>8</v>
      </c>
      <c r="F93" s="2">
        <v>5849</v>
      </c>
      <c r="G93" s="2">
        <v>1198</v>
      </c>
      <c r="H93" s="2">
        <v>6</v>
      </c>
      <c r="I93" s="2" t="s">
        <v>5</v>
      </c>
      <c r="J93" s="2">
        <v>1357</v>
      </c>
      <c r="K93" s="2">
        <v>8</v>
      </c>
      <c r="L93" s="2">
        <v>5291</v>
      </c>
      <c r="M93" s="2">
        <v>1319</v>
      </c>
      <c r="N93" s="2">
        <v>9</v>
      </c>
      <c r="O93" s="2" t="s">
        <v>5</v>
      </c>
      <c r="P93" s="2">
        <v>1119</v>
      </c>
      <c r="Q93" s="2">
        <v>7</v>
      </c>
    </row>
    <row r="94" spans="1:17" x14ac:dyDescent="0.2">
      <c r="A94" s="1" t="s">
        <v>1042</v>
      </c>
      <c r="B94" s="1" t="s">
        <v>275</v>
      </c>
      <c r="C94" s="2" t="s">
        <v>5</v>
      </c>
      <c r="D94" s="2">
        <v>75</v>
      </c>
      <c r="E94" s="2">
        <v>13</v>
      </c>
      <c r="F94" s="2" t="s">
        <v>5</v>
      </c>
      <c r="G94" s="2">
        <v>79</v>
      </c>
      <c r="H94" s="2">
        <v>7</v>
      </c>
      <c r="I94" s="2">
        <v>602</v>
      </c>
      <c r="J94" s="2">
        <v>95</v>
      </c>
      <c r="K94" s="2">
        <v>7</v>
      </c>
      <c r="L94" s="2">
        <v>523</v>
      </c>
      <c r="M94" s="2">
        <v>93</v>
      </c>
      <c r="N94" s="2">
        <v>6</v>
      </c>
      <c r="O94" s="2">
        <v>440</v>
      </c>
      <c r="P94" s="2">
        <v>65</v>
      </c>
      <c r="Q94" s="2">
        <v>5</v>
      </c>
    </row>
    <row r="95" spans="1:17" x14ac:dyDescent="0.2">
      <c r="A95" s="1" t="s">
        <v>1042</v>
      </c>
      <c r="B95" s="1" t="s">
        <v>278</v>
      </c>
      <c r="C95" s="2">
        <v>3087</v>
      </c>
      <c r="D95" s="2" t="s">
        <v>5</v>
      </c>
      <c r="E95" s="2">
        <v>1809</v>
      </c>
      <c r="F95" s="2">
        <v>2963</v>
      </c>
      <c r="G95" s="2" t="s">
        <v>5</v>
      </c>
      <c r="H95" s="2">
        <v>2103</v>
      </c>
      <c r="I95" s="2">
        <v>2989</v>
      </c>
      <c r="J95" s="2" t="s">
        <v>5</v>
      </c>
      <c r="K95" s="2">
        <v>2136</v>
      </c>
      <c r="L95" s="2" t="s">
        <v>5</v>
      </c>
      <c r="M95" s="2" t="s">
        <v>5</v>
      </c>
      <c r="N95" s="2">
        <v>1525</v>
      </c>
      <c r="O95" s="2" t="s">
        <v>5</v>
      </c>
      <c r="P95" s="2">
        <v>436</v>
      </c>
      <c r="Q95" s="2">
        <v>1401</v>
      </c>
    </row>
    <row r="96" spans="1:17" x14ac:dyDescent="0.2">
      <c r="A96" s="1" t="s">
        <v>1042</v>
      </c>
      <c r="B96" s="1" t="s">
        <v>281</v>
      </c>
      <c r="C96" s="2">
        <v>432</v>
      </c>
      <c r="D96" s="2">
        <v>70</v>
      </c>
      <c r="E96" s="2">
        <v>292</v>
      </c>
      <c r="F96" s="2">
        <v>421</v>
      </c>
      <c r="G96" s="2">
        <v>44</v>
      </c>
      <c r="H96" s="2">
        <v>304</v>
      </c>
      <c r="I96" s="2">
        <v>433</v>
      </c>
      <c r="J96" s="2">
        <v>45</v>
      </c>
      <c r="K96" s="2">
        <v>307</v>
      </c>
      <c r="L96" s="2">
        <v>380</v>
      </c>
      <c r="M96" s="2">
        <v>33</v>
      </c>
      <c r="N96" s="2">
        <v>274</v>
      </c>
      <c r="O96" s="2">
        <v>321</v>
      </c>
      <c r="P96" s="2">
        <v>28</v>
      </c>
      <c r="Q96" s="2">
        <v>284</v>
      </c>
    </row>
    <row r="97" spans="1:17" x14ac:dyDescent="0.2">
      <c r="A97" s="1" t="s">
        <v>1042</v>
      </c>
      <c r="B97" s="1" t="s">
        <v>284</v>
      </c>
      <c r="C97" s="2">
        <v>3648</v>
      </c>
      <c r="D97" s="2">
        <v>661</v>
      </c>
      <c r="E97" s="2">
        <v>18</v>
      </c>
      <c r="F97" s="2">
        <v>3608</v>
      </c>
      <c r="G97" s="2">
        <v>573</v>
      </c>
      <c r="H97" s="2">
        <v>18</v>
      </c>
      <c r="I97" s="2">
        <v>3640</v>
      </c>
      <c r="J97" s="2">
        <v>561</v>
      </c>
      <c r="K97" s="2">
        <v>20</v>
      </c>
      <c r="L97" s="2">
        <v>3220</v>
      </c>
      <c r="M97" s="2">
        <v>479</v>
      </c>
      <c r="N97" s="2">
        <v>16</v>
      </c>
      <c r="O97" s="2">
        <v>2745</v>
      </c>
      <c r="P97" s="2">
        <v>379</v>
      </c>
      <c r="Q97" s="2">
        <v>14</v>
      </c>
    </row>
    <row r="98" spans="1:17" x14ac:dyDescent="0.2">
      <c r="A98" s="1" t="s">
        <v>1042</v>
      </c>
      <c r="B98" s="1" t="s">
        <v>287</v>
      </c>
      <c r="C98" s="2">
        <v>993</v>
      </c>
      <c r="D98" s="2">
        <v>258</v>
      </c>
      <c r="E98" s="2">
        <v>43</v>
      </c>
      <c r="F98" s="2">
        <v>957</v>
      </c>
      <c r="G98" s="2">
        <v>251</v>
      </c>
      <c r="H98" s="2">
        <v>25</v>
      </c>
      <c r="I98" s="2">
        <v>948</v>
      </c>
      <c r="J98" s="2">
        <v>276</v>
      </c>
      <c r="K98" s="2">
        <v>26</v>
      </c>
      <c r="L98" s="2">
        <v>842</v>
      </c>
      <c r="M98" s="2">
        <v>230</v>
      </c>
      <c r="N98" s="2">
        <v>16</v>
      </c>
      <c r="O98" s="2">
        <v>689</v>
      </c>
      <c r="P98" s="2">
        <v>206</v>
      </c>
      <c r="Q98" s="2">
        <v>14</v>
      </c>
    </row>
    <row r="99" spans="1:17" x14ac:dyDescent="0.2">
      <c r="A99" s="1" t="s">
        <v>1042</v>
      </c>
      <c r="B99" s="1" t="s">
        <v>290</v>
      </c>
      <c r="C99" s="2">
        <v>833</v>
      </c>
      <c r="D99" s="2">
        <v>616</v>
      </c>
      <c r="E99" s="2">
        <v>35</v>
      </c>
      <c r="F99" s="2">
        <v>812</v>
      </c>
      <c r="G99" s="2">
        <v>534</v>
      </c>
      <c r="H99" s="2">
        <v>31</v>
      </c>
      <c r="I99" s="2">
        <v>852</v>
      </c>
      <c r="J99" s="2">
        <v>538</v>
      </c>
      <c r="K99" s="2">
        <v>32</v>
      </c>
      <c r="L99" s="2">
        <v>752</v>
      </c>
      <c r="M99" s="2">
        <v>457</v>
      </c>
      <c r="N99" s="2">
        <v>25</v>
      </c>
      <c r="O99" s="2">
        <v>655</v>
      </c>
      <c r="P99" s="2">
        <v>378</v>
      </c>
      <c r="Q99" s="2">
        <v>25</v>
      </c>
    </row>
    <row r="100" spans="1:17" x14ac:dyDescent="0.2">
      <c r="A100" s="1" t="s">
        <v>1042</v>
      </c>
      <c r="B100" s="1" t="s">
        <v>293</v>
      </c>
      <c r="C100" s="2">
        <v>999</v>
      </c>
      <c r="D100" s="2">
        <v>1354</v>
      </c>
      <c r="E100" s="2">
        <v>889</v>
      </c>
      <c r="F100" s="2">
        <v>953</v>
      </c>
      <c r="G100" s="2">
        <v>1286</v>
      </c>
      <c r="H100" s="2">
        <v>919</v>
      </c>
      <c r="I100" s="2">
        <v>929</v>
      </c>
      <c r="J100" s="2">
        <v>1369</v>
      </c>
      <c r="K100" s="2">
        <v>928</v>
      </c>
      <c r="L100" s="2">
        <v>775</v>
      </c>
      <c r="M100" s="2">
        <v>1320</v>
      </c>
      <c r="N100" s="2">
        <v>524</v>
      </c>
      <c r="O100" s="2">
        <v>656</v>
      </c>
      <c r="P100" s="2">
        <v>1201</v>
      </c>
      <c r="Q100" s="2">
        <v>647</v>
      </c>
    </row>
    <row r="101" spans="1:17" x14ac:dyDescent="0.2">
      <c r="A101" s="1" t="s">
        <v>1042</v>
      </c>
      <c r="B101" s="1" t="s">
        <v>299</v>
      </c>
      <c r="C101" s="2" t="s">
        <v>5</v>
      </c>
      <c r="D101" s="2" t="s">
        <v>5</v>
      </c>
      <c r="E101" s="2">
        <v>8</v>
      </c>
      <c r="F101" s="2" t="s">
        <v>5</v>
      </c>
      <c r="G101" s="2" t="s">
        <v>5</v>
      </c>
      <c r="H101" s="2">
        <v>3</v>
      </c>
      <c r="I101" s="2" t="s">
        <v>5</v>
      </c>
      <c r="J101" s="2" t="s">
        <v>5</v>
      </c>
      <c r="K101" s="2">
        <v>3</v>
      </c>
      <c r="L101" s="2" t="s">
        <v>5</v>
      </c>
      <c r="M101" s="2" t="s">
        <v>5</v>
      </c>
      <c r="N101" s="2">
        <v>2</v>
      </c>
      <c r="O101" s="2" t="s">
        <v>5</v>
      </c>
      <c r="P101" s="2" t="s">
        <v>5</v>
      </c>
      <c r="Q101" s="2">
        <v>1</v>
      </c>
    </row>
    <row r="102" spans="1:17" x14ac:dyDescent="0.2">
      <c r="A102" s="1" t="s">
        <v>1042</v>
      </c>
      <c r="B102" s="1" t="s">
        <v>302</v>
      </c>
      <c r="C102" s="2">
        <v>998</v>
      </c>
      <c r="D102" s="2">
        <v>196</v>
      </c>
      <c r="E102" s="2">
        <v>7</v>
      </c>
      <c r="F102" s="2">
        <v>958</v>
      </c>
      <c r="G102" s="2">
        <v>214</v>
      </c>
      <c r="H102" s="2">
        <v>6</v>
      </c>
      <c r="I102" s="2">
        <v>972</v>
      </c>
      <c r="J102" s="2">
        <v>224</v>
      </c>
      <c r="K102" s="2">
        <v>6</v>
      </c>
      <c r="L102" s="2">
        <v>862</v>
      </c>
      <c r="M102" s="2">
        <v>210</v>
      </c>
      <c r="N102" s="2">
        <v>4</v>
      </c>
      <c r="O102" s="2">
        <v>709</v>
      </c>
      <c r="P102" s="2">
        <v>198</v>
      </c>
      <c r="Q102" s="2">
        <v>2</v>
      </c>
    </row>
    <row r="103" spans="1:17" x14ac:dyDescent="0.2">
      <c r="A103" s="1" t="s">
        <v>1042</v>
      </c>
      <c r="B103" s="1" t="s">
        <v>305</v>
      </c>
      <c r="C103" s="2">
        <v>773</v>
      </c>
      <c r="D103" s="2">
        <v>111</v>
      </c>
      <c r="E103" s="2">
        <v>174</v>
      </c>
      <c r="F103" s="2">
        <v>743</v>
      </c>
      <c r="G103" s="2">
        <v>104</v>
      </c>
      <c r="H103" s="2">
        <v>172</v>
      </c>
      <c r="I103" s="2">
        <v>737</v>
      </c>
      <c r="J103" s="2">
        <v>117</v>
      </c>
      <c r="K103" s="2">
        <v>177</v>
      </c>
      <c r="L103" s="2">
        <v>653</v>
      </c>
      <c r="M103" s="2">
        <v>100</v>
      </c>
      <c r="N103" s="2">
        <v>113</v>
      </c>
      <c r="O103" s="2">
        <v>535</v>
      </c>
      <c r="P103" s="2" t="s">
        <v>5</v>
      </c>
      <c r="Q103" s="2">
        <v>114</v>
      </c>
    </row>
    <row r="104" spans="1:17" x14ac:dyDescent="0.2">
      <c r="A104" s="1" t="s">
        <v>1042</v>
      </c>
      <c r="B104" s="1" t="s">
        <v>308</v>
      </c>
      <c r="C104" s="2">
        <v>533</v>
      </c>
      <c r="D104" s="2">
        <v>75</v>
      </c>
      <c r="E104" s="2">
        <v>8</v>
      </c>
      <c r="F104" s="2">
        <v>511</v>
      </c>
      <c r="G104" s="2">
        <v>83</v>
      </c>
      <c r="H104" s="2">
        <v>7</v>
      </c>
      <c r="I104" s="2">
        <v>510</v>
      </c>
      <c r="J104" s="2">
        <v>95</v>
      </c>
      <c r="K104" s="2">
        <v>10</v>
      </c>
      <c r="L104" s="2">
        <v>446</v>
      </c>
      <c r="M104" s="2">
        <v>76</v>
      </c>
      <c r="N104" s="2">
        <v>7</v>
      </c>
      <c r="O104" s="2">
        <v>378</v>
      </c>
      <c r="P104" s="2">
        <v>69</v>
      </c>
      <c r="Q104" s="2">
        <v>6</v>
      </c>
    </row>
    <row r="105" spans="1:17" x14ac:dyDescent="0.2">
      <c r="A105" s="1" t="s">
        <v>1042</v>
      </c>
      <c r="B105" s="1" t="s">
        <v>311</v>
      </c>
      <c r="C105" s="2">
        <v>692</v>
      </c>
      <c r="D105" s="2">
        <v>87</v>
      </c>
      <c r="E105" s="2">
        <v>24</v>
      </c>
      <c r="F105" s="2">
        <v>697</v>
      </c>
      <c r="G105" s="2">
        <v>92</v>
      </c>
      <c r="H105" s="2">
        <v>21</v>
      </c>
      <c r="I105" s="2" t="s">
        <v>5</v>
      </c>
      <c r="J105" s="2">
        <v>102</v>
      </c>
      <c r="K105" s="2">
        <v>23</v>
      </c>
      <c r="L105" s="2">
        <v>597</v>
      </c>
      <c r="M105" s="2">
        <v>88</v>
      </c>
      <c r="N105" s="2">
        <v>21</v>
      </c>
      <c r="O105" s="2">
        <v>497</v>
      </c>
      <c r="P105" s="2">
        <v>93</v>
      </c>
      <c r="Q105" s="2">
        <v>15</v>
      </c>
    </row>
    <row r="106" spans="1:17" x14ac:dyDescent="0.2">
      <c r="A106" s="1" t="s">
        <v>1042</v>
      </c>
      <c r="B106" s="1" t="s">
        <v>314</v>
      </c>
      <c r="C106" s="2">
        <v>1288</v>
      </c>
      <c r="D106" s="2">
        <v>62</v>
      </c>
      <c r="E106" s="2">
        <v>291</v>
      </c>
      <c r="F106" s="2">
        <v>1266</v>
      </c>
      <c r="G106" s="2">
        <v>59</v>
      </c>
      <c r="H106" s="2">
        <v>280</v>
      </c>
      <c r="I106" s="2">
        <v>1271</v>
      </c>
      <c r="J106" s="2">
        <v>63</v>
      </c>
      <c r="K106" s="2">
        <v>276</v>
      </c>
      <c r="L106" s="2">
        <v>1111</v>
      </c>
      <c r="M106" s="2">
        <v>61</v>
      </c>
      <c r="N106" s="2">
        <v>249</v>
      </c>
      <c r="O106" s="2" t="s">
        <v>5</v>
      </c>
      <c r="P106" s="2" t="s">
        <v>5</v>
      </c>
      <c r="Q106" s="2">
        <v>236</v>
      </c>
    </row>
    <row r="107" spans="1:17" x14ac:dyDescent="0.2">
      <c r="A107" s="1" t="s">
        <v>1042</v>
      </c>
      <c r="B107" s="1" t="s">
        <v>317</v>
      </c>
      <c r="C107" s="2">
        <v>1063</v>
      </c>
      <c r="D107" s="2">
        <v>343</v>
      </c>
      <c r="E107" s="2">
        <v>8</v>
      </c>
      <c r="F107" s="2">
        <v>966</v>
      </c>
      <c r="G107" s="2">
        <v>157</v>
      </c>
      <c r="H107" s="2">
        <v>4</v>
      </c>
      <c r="I107" s="2">
        <v>1020</v>
      </c>
      <c r="J107" s="2">
        <v>349</v>
      </c>
      <c r="K107" s="2">
        <v>5</v>
      </c>
      <c r="L107" s="2">
        <v>892</v>
      </c>
      <c r="M107" s="2">
        <v>318</v>
      </c>
      <c r="N107" s="2">
        <v>4</v>
      </c>
      <c r="O107" s="2">
        <v>764</v>
      </c>
      <c r="P107" s="2">
        <v>343</v>
      </c>
      <c r="Q107" s="2">
        <v>3</v>
      </c>
    </row>
    <row r="108" spans="1:17" x14ac:dyDescent="0.2">
      <c r="A108" s="1" t="s">
        <v>1042</v>
      </c>
      <c r="B108" s="1" t="s">
        <v>320</v>
      </c>
      <c r="C108" s="2">
        <v>553</v>
      </c>
      <c r="D108" s="2">
        <v>42</v>
      </c>
      <c r="E108" s="2">
        <v>11</v>
      </c>
      <c r="F108" s="2">
        <v>525</v>
      </c>
      <c r="G108" s="2">
        <v>32</v>
      </c>
      <c r="H108" s="2">
        <v>9</v>
      </c>
      <c r="I108" s="2">
        <v>525</v>
      </c>
      <c r="J108" s="2">
        <v>23</v>
      </c>
      <c r="K108" s="2">
        <v>10</v>
      </c>
      <c r="L108" s="2">
        <v>466</v>
      </c>
      <c r="M108" s="2">
        <v>14</v>
      </c>
      <c r="N108" s="2">
        <v>8</v>
      </c>
      <c r="O108" s="2">
        <v>382</v>
      </c>
      <c r="P108" s="2">
        <v>10</v>
      </c>
      <c r="Q108" s="2">
        <v>4</v>
      </c>
    </row>
    <row r="109" spans="1:17" x14ac:dyDescent="0.2">
      <c r="A109" s="1" t="s">
        <v>1042</v>
      </c>
      <c r="B109" s="1" t="s">
        <v>323</v>
      </c>
      <c r="C109" s="2">
        <v>1738</v>
      </c>
      <c r="D109" s="2">
        <v>121</v>
      </c>
      <c r="E109" s="2">
        <v>7</v>
      </c>
      <c r="F109" s="2">
        <v>1656</v>
      </c>
      <c r="G109" s="2">
        <v>108</v>
      </c>
      <c r="H109" s="2">
        <v>5</v>
      </c>
      <c r="I109" s="2">
        <v>1708</v>
      </c>
      <c r="J109" s="2">
        <v>110</v>
      </c>
      <c r="K109" s="2">
        <v>3</v>
      </c>
      <c r="L109" s="2">
        <v>1491</v>
      </c>
      <c r="M109" s="2">
        <v>101</v>
      </c>
      <c r="N109" s="2">
        <v>1</v>
      </c>
      <c r="O109" s="2">
        <v>1256</v>
      </c>
      <c r="P109" s="2">
        <v>98</v>
      </c>
      <c r="Q109" s="2">
        <v>2</v>
      </c>
    </row>
    <row r="110" spans="1:17" x14ac:dyDescent="0.2">
      <c r="A110" s="1" t="s">
        <v>1042</v>
      </c>
      <c r="B110" s="1" t="s">
        <v>326</v>
      </c>
      <c r="C110" s="2">
        <v>833</v>
      </c>
      <c r="D110" s="2">
        <v>1383</v>
      </c>
      <c r="E110" s="2">
        <v>1</v>
      </c>
      <c r="F110" s="2">
        <v>818</v>
      </c>
      <c r="G110" s="2">
        <v>1423</v>
      </c>
      <c r="H110" s="2">
        <v>1</v>
      </c>
      <c r="I110" s="2">
        <v>835</v>
      </c>
      <c r="J110" s="2">
        <v>1428</v>
      </c>
      <c r="K110" s="2">
        <v>1</v>
      </c>
      <c r="L110" s="2">
        <v>727</v>
      </c>
      <c r="M110" s="2">
        <v>1469</v>
      </c>
      <c r="N110" s="2">
        <v>1</v>
      </c>
      <c r="O110" s="2">
        <v>633</v>
      </c>
      <c r="P110" s="2">
        <v>1436</v>
      </c>
      <c r="Q110" s="2">
        <v>0</v>
      </c>
    </row>
    <row r="111" spans="1:17" x14ac:dyDescent="0.2">
      <c r="A111" s="1" t="s">
        <v>1042</v>
      </c>
      <c r="B111" s="1" t="s">
        <v>329</v>
      </c>
      <c r="C111" s="2">
        <v>1564</v>
      </c>
      <c r="D111" s="2">
        <v>840</v>
      </c>
      <c r="E111" s="2">
        <v>0</v>
      </c>
      <c r="F111" s="2">
        <v>1518</v>
      </c>
      <c r="G111" s="2">
        <v>793</v>
      </c>
      <c r="H111" s="2">
        <v>0</v>
      </c>
      <c r="I111" s="2">
        <v>1551</v>
      </c>
      <c r="J111" s="2">
        <v>838</v>
      </c>
      <c r="K111" s="2">
        <v>0</v>
      </c>
      <c r="L111" s="2">
        <v>1353</v>
      </c>
      <c r="M111" s="2">
        <v>761</v>
      </c>
      <c r="N111" s="2">
        <v>0</v>
      </c>
      <c r="O111" s="2">
        <v>1153</v>
      </c>
      <c r="P111" s="2">
        <v>730</v>
      </c>
      <c r="Q111" s="2">
        <v>0</v>
      </c>
    </row>
    <row r="112" spans="1:17" x14ac:dyDescent="0.2">
      <c r="A112" s="1" t="s">
        <v>1042</v>
      </c>
      <c r="B112" s="1" t="s">
        <v>263</v>
      </c>
      <c r="C112" s="2">
        <v>6414</v>
      </c>
      <c r="D112" s="2" t="s">
        <v>5</v>
      </c>
      <c r="E112" s="2">
        <v>38</v>
      </c>
      <c r="F112" s="2">
        <v>6346</v>
      </c>
      <c r="G112" s="2">
        <v>2447</v>
      </c>
      <c r="H112" s="2">
        <v>31</v>
      </c>
      <c r="I112" s="2">
        <v>6467</v>
      </c>
      <c r="J112" s="2">
        <v>2784</v>
      </c>
      <c r="K112" s="2">
        <v>38</v>
      </c>
      <c r="L112" s="2">
        <v>5521</v>
      </c>
      <c r="M112" s="2">
        <v>2385</v>
      </c>
      <c r="N112" s="2">
        <v>26</v>
      </c>
      <c r="O112" s="2">
        <v>4719</v>
      </c>
      <c r="P112" s="2" t="s">
        <v>5</v>
      </c>
      <c r="Q112" s="2" t="s">
        <v>5</v>
      </c>
    </row>
    <row r="113" spans="1:17" x14ac:dyDescent="0.2">
      <c r="A113" s="1" t="s">
        <v>1042</v>
      </c>
      <c r="B113" s="1" t="s">
        <v>336</v>
      </c>
      <c r="C113" s="2" t="s">
        <v>5</v>
      </c>
      <c r="D113" s="2">
        <v>69</v>
      </c>
      <c r="E113" s="2">
        <v>7</v>
      </c>
      <c r="F113" s="2" t="s">
        <v>5</v>
      </c>
      <c r="G113" s="2">
        <v>69</v>
      </c>
      <c r="H113" s="2">
        <v>4</v>
      </c>
      <c r="I113" s="2" t="s">
        <v>5</v>
      </c>
      <c r="J113" s="2">
        <v>66</v>
      </c>
      <c r="K113" s="2">
        <v>5</v>
      </c>
      <c r="L113" s="2">
        <v>401</v>
      </c>
      <c r="M113" s="2">
        <v>61</v>
      </c>
      <c r="N113" s="2">
        <v>4</v>
      </c>
      <c r="O113" s="2">
        <v>319</v>
      </c>
      <c r="P113" s="2">
        <v>46</v>
      </c>
      <c r="Q113" s="2">
        <v>3</v>
      </c>
    </row>
    <row r="114" spans="1:17" x14ac:dyDescent="0.2">
      <c r="A114" s="1" t="s">
        <v>1042</v>
      </c>
      <c r="B114" s="1" t="s">
        <v>339</v>
      </c>
      <c r="C114" s="2">
        <v>633</v>
      </c>
      <c r="D114" s="2">
        <v>77</v>
      </c>
      <c r="E114" s="2">
        <v>40</v>
      </c>
      <c r="F114" s="2">
        <v>615</v>
      </c>
      <c r="G114" s="2">
        <v>78</v>
      </c>
      <c r="H114" s="2">
        <v>38</v>
      </c>
      <c r="I114" s="2">
        <v>621</v>
      </c>
      <c r="J114" s="2">
        <v>90</v>
      </c>
      <c r="K114" s="2">
        <v>41</v>
      </c>
      <c r="L114" s="2">
        <v>537</v>
      </c>
      <c r="M114" s="2">
        <v>69</v>
      </c>
      <c r="N114" s="2">
        <v>33</v>
      </c>
      <c r="O114" s="2">
        <v>437</v>
      </c>
      <c r="P114" s="2">
        <v>60</v>
      </c>
      <c r="Q114" s="2">
        <v>27</v>
      </c>
    </row>
    <row r="115" spans="1:17" x14ac:dyDescent="0.2">
      <c r="A115" s="1" t="s">
        <v>1042</v>
      </c>
      <c r="B115" s="1" t="s">
        <v>342</v>
      </c>
      <c r="C115" s="2">
        <v>3964</v>
      </c>
      <c r="D115" s="2">
        <v>298</v>
      </c>
      <c r="E115" s="2">
        <v>8</v>
      </c>
      <c r="F115" s="2">
        <v>3768</v>
      </c>
      <c r="G115" s="2">
        <v>285</v>
      </c>
      <c r="H115" s="2">
        <v>7</v>
      </c>
      <c r="I115" s="2" t="s">
        <v>5</v>
      </c>
      <c r="J115" s="2">
        <v>319</v>
      </c>
      <c r="K115" s="2">
        <v>8</v>
      </c>
      <c r="L115" s="2">
        <v>3313</v>
      </c>
      <c r="M115" s="2">
        <v>279</v>
      </c>
      <c r="N115" s="2" t="s">
        <v>5</v>
      </c>
      <c r="O115" s="2">
        <v>2857</v>
      </c>
      <c r="P115" s="2" t="s">
        <v>5</v>
      </c>
      <c r="Q115" s="2">
        <v>7</v>
      </c>
    </row>
    <row r="116" spans="1:17" x14ac:dyDescent="0.2">
      <c r="A116" s="1" t="s">
        <v>1042</v>
      </c>
      <c r="B116" s="1" t="s">
        <v>345</v>
      </c>
      <c r="C116" s="2">
        <v>4432</v>
      </c>
      <c r="D116" s="2">
        <v>197</v>
      </c>
      <c r="E116" s="2">
        <v>1871</v>
      </c>
      <c r="F116" s="2">
        <v>4108</v>
      </c>
      <c r="G116" s="2">
        <v>170</v>
      </c>
      <c r="H116" s="2">
        <v>1744</v>
      </c>
      <c r="I116" s="2">
        <v>4311</v>
      </c>
      <c r="J116" s="2">
        <v>194</v>
      </c>
      <c r="K116" s="2">
        <v>1710</v>
      </c>
      <c r="L116" s="2">
        <v>3785</v>
      </c>
      <c r="M116" s="2">
        <v>165</v>
      </c>
      <c r="N116" s="2">
        <v>1446</v>
      </c>
      <c r="O116" s="2">
        <v>3438</v>
      </c>
      <c r="P116" s="2">
        <v>162</v>
      </c>
      <c r="Q116" s="2">
        <v>1679</v>
      </c>
    </row>
    <row r="117" spans="1:17" x14ac:dyDescent="0.2">
      <c r="A117" s="1" t="s">
        <v>1042</v>
      </c>
      <c r="B117" s="1" t="s">
        <v>348</v>
      </c>
      <c r="C117" s="2">
        <v>784</v>
      </c>
      <c r="D117" s="2">
        <v>61</v>
      </c>
      <c r="E117" s="2">
        <v>238</v>
      </c>
      <c r="F117" s="2">
        <v>750</v>
      </c>
      <c r="G117" s="2">
        <v>59</v>
      </c>
      <c r="H117" s="2">
        <v>239</v>
      </c>
      <c r="I117" s="2">
        <v>767</v>
      </c>
      <c r="J117" s="2">
        <v>63</v>
      </c>
      <c r="K117" s="2">
        <v>237</v>
      </c>
      <c r="L117" s="2">
        <v>660</v>
      </c>
      <c r="M117" s="2">
        <v>46</v>
      </c>
      <c r="N117" s="2">
        <v>159</v>
      </c>
      <c r="O117" s="2">
        <v>545</v>
      </c>
      <c r="P117" s="2">
        <v>39</v>
      </c>
      <c r="Q117" s="2">
        <v>196</v>
      </c>
    </row>
    <row r="118" spans="1:17" x14ac:dyDescent="0.2">
      <c r="A118" s="1" t="s">
        <v>1042</v>
      </c>
      <c r="B118" s="1" t="s">
        <v>351</v>
      </c>
      <c r="C118" s="2">
        <v>1667</v>
      </c>
      <c r="D118" s="2">
        <v>124</v>
      </c>
      <c r="E118" s="2">
        <v>117</v>
      </c>
      <c r="F118" s="2" t="s">
        <v>5</v>
      </c>
      <c r="G118" s="2" t="s">
        <v>5</v>
      </c>
      <c r="H118" s="2">
        <v>79</v>
      </c>
      <c r="I118" s="2">
        <v>1715</v>
      </c>
      <c r="J118" s="2">
        <v>133</v>
      </c>
      <c r="K118" s="2">
        <v>84</v>
      </c>
      <c r="L118" s="2">
        <v>1534</v>
      </c>
      <c r="M118" s="2">
        <v>115</v>
      </c>
      <c r="N118" s="2">
        <v>67</v>
      </c>
      <c r="O118" s="2">
        <v>1294</v>
      </c>
      <c r="P118" s="2">
        <v>104</v>
      </c>
      <c r="Q118" s="2">
        <v>54</v>
      </c>
    </row>
    <row r="119" spans="1:17" x14ac:dyDescent="0.2">
      <c r="A119" s="1" t="s">
        <v>1042</v>
      </c>
      <c r="B119" s="1" t="s">
        <v>354</v>
      </c>
      <c r="C119" s="2" t="s">
        <v>5</v>
      </c>
      <c r="D119" s="2">
        <v>242</v>
      </c>
      <c r="E119" s="2">
        <v>26</v>
      </c>
      <c r="F119" s="2" t="s">
        <v>5</v>
      </c>
      <c r="G119" s="2">
        <v>226</v>
      </c>
      <c r="H119" s="2" t="s">
        <v>5</v>
      </c>
      <c r="I119" s="2" t="s">
        <v>5</v>
      </c>
      <c r="J119" s="2" t="s">
        <v>5</v>
      </c>
      <c r="K119" s="2">
        <v>22</v>
      </c>
      <c r="L119" s="2">
        <v>1102</v>
      </c>
      <c r="M119" s="2">
        <v>213</v>
      </c>
      <c r="N119" s="2">
        <v>17</v>
      </c>
      <c r="O119" s="2">
        <v>955</v>
      </c>
      <c r="P119" s="2" t="s">
        <v>5</v>
      </c>
      <c r="Q119" s="2">
        <v>15</v>
      </c>
    </row>
    <row r="120" spans="1:17" x14ac:dyDescent="0.2">
      <c r="A120" s="1" t="s">
        <v>1042</v>
      </c>
      <c r="B120" s="1" t="s">
        <v>357</v>
      </c>
      <c r="C120" s="2" t="s">
        <v>5</v>
      </c>
      <c r="D120" s="2">
        <v>77</v>
      </c>
      <c r="E120" s="2">
        <v>1</v>
      </c>
      <c r="F120" s="2">
        <v>342</v>
      </c>
      <c r="G120" s="2">
        <v>71</v>
      </c>
      <c r="H120" s="2">
        <v>0</v>
      </c>
      <c r="I120" s="2">
        <v>345</v>
      </c>
      <c r="J120" s="2">
        <v>80</v>
      </c>
      <c r="K120" s="2">
        <v>0</v>
      </c>
      <c r="L120" s="2">
        <v>301</v>
      </c>
      <c r="M120" s="2">
        <v>70</v>
      </c>
      <c r="N120" s="2">
        <v>1</v>
      </c>
      <c r="O120" s="2">
        <v>248</v>
      </c>
      <c r="P120" s="2">
        <v>65</v>
      </c>
      <c r="Q120" s="2">
        <v>0</v>
      </c>
    </row>
    <row r="121" spans="1:17" x14ac:dyDescent="0.2">
      <c r="A121" s="1" t="s">
        <v>1042</v>
      </c>
      <c r="B121" s="1" t="s">
        <v>360</v>
      </c>
      <c r="C121" s="2">
        <v>420</v>
      </c>
      <c r="D121" s="2" t="s">
        <v>5</v>
      </c>
      <c r="E121" s="2">
        <v>54</v>
      </c>
      <c r="F121" s="2">
        <v>418</v>
      </c>
      <c r="G121" s="2" t="s">
        <v>5</v>
      </c>
      <c r="H121" s="2">
        <v>17</v>
      </c>
      <c r="I121" s="2">
        <v>415</v>
      </c>
      <c r="J121" s="2" t="s">
        <v>5</v>
      </c>
      <c r="K121" s="2">
        <v>5</v>
      </c>
      <c r="L121" s="2">
        <v>358</v>
      </c>
      <c r="M121" s="2" t="s">
        <v>5</v>
      </c>
      <c r="N121" s="2">
        <v>3</v>
      </c>
      <c r="O121" s="2">
        <v>302</v>
      </c>
      <c r="P121" s="2" t="s">
        <v>5</v>
      </c>
      <c r="Q121" s="2" t="s">
        <v>5</v>
      </c>
    </row>
    <row r="122" spans="1:17" x14ac:dyDescent="0.2">
      <c r="A122" s="1" t="s">
        <v>1042</v>
      </c>
      <c r="B122" s="1" t="s">
        <v>363</v>
      </c>
      <c r="C122" s="2" t="s">
        <v>5</v>
      </c>
      <c r="D122" s="2" t="s">
        <v>5</v>
      </c>
      <c r="E122" s="2">
        <v>2</v>
      </c>
      <c r="F122" s="2">
        <v>348</v>
      </c>
      <c r="G122" s="2" t="s">
        <v>5</v>
      </c>
      <c r="H122" s="2">
        <v>2</v>
      </c>
      <c r="I122" s="2">
        <v>315</v>
      </c>
      <c r="J122" s="2" t="s">
        <v>5</v>
      </c>
      <c r="K122" s="2">
        <v>2</v>
      </c>
      <c r="L122" s="2">
        <v>283</v>
      </c>
      <c r="M122" s="2" t="s">
        <v>5</v>
      </c>
      <c r="N122" s="2">
        <v>1</v>
      </c>
      <c r="O122" s="2">
        <v>234</v>
      </c>
      <c r="P122" s="2" t="s">
        <v>5</v>
      </c>
      <c r="Q122" s="2">
        <v>1</v>
      </c>
    </row>
    <row r="123" spans="1:17" x14ac:dyDescent="0.2">
      <c r="A123" s="1" t="s">
        <v>1042</v>
      </c>
      <c r="B123" s="1" t="s">
        <v>366</v>
      </c>
      <c r="C123" s="2">
        <v>792</v>
      </c>
      <c r="D123" s="2">
        <v>10</v>
      </c>
      <c r="E123" s="2">
        <v>120</v>
      </c>
      <c r="F123" s="2">
        <v>778</v>
      </c>
      <c r="G123" s="2">
        <v>10</v>
      </c>
      <c r="H123" s="2">
        <v>134</v>
      </c>
      <c r="I123" s="2">
        <v>783</v>
      </c>
      <c r="J123" s="2">
        <v>11</v>
      </c>
      <c r="K123" s="2">
        <v>127</v>
      </c>
      <c r="L123" s="2">
        <v>679</v>
      </c>
      <c r="M123" s="2">
        <v>8</v>
      </c>
      <c r="N123" s="2">
        <v>92</v>
      </c>
      <c r="O123" s="2">
        <v>590</v>
      </c>
      <c r="P123" s="2" t="s">
        <v>5</v>
      </c>
      <c r="Q123" s="2">
        <v>87</v>
      </c>
    </row>
    <row r="124" spans="1:17" x14ac:dyDescent="0.2">
      <c r="A124" s="1" t="s">
        <v>1042</v>
      </c>
      <c r="B124" s="1" t="s">
        <v>369</v>
      </c>
      <c r="C124" s="2" t="s">
        <v>5</v>
      </c>
      <c r="D124" s="2" t="s">
        <v>5</v>
      </c>
      <c r="E124" s="2">
        <v>5</v>
      </c>
      <c r="F124" s="2" t="s">
        <v>5</v>
      </c>
      <c r="G124" s="2" t="s">
        <v>5</v>
      </c>
      <c r="H124" s="2">
        <v>4</v>
      </c>
      <c r="I124" s="2" t="s">
        <v>5</v>
      </c>
      <c r="J124" s="2" t="s">
        <v>5</v>
      </c>
      <c r="K124" s="2" t="s">
        <v>5</v>
      </c>
      <c r="L124" s="2" t="s">
        <v>5</v>
      </c>
      <c r="M124" s="2" t="s">
        <v>5</v>
      </c>
      <c r="N124" s="2">
        <v>4</v>
      </c>
      <c r="O124" s="2" t="s">
        <v>5</v>
      </c>
      <c r="P124" s="2" t="s">
        <v>5</v>
      </c>
      <c r="Q124" s="2">
        <v>3</v>
      </c>
    </row>
    <row r="125" spans="1:17" x14ac:dyDescent="0.2">
      <c r="A125" s="1" t="s">
        <v>1042</v>
      </c>
      <c r="B125" s="1" t="s">
        <v>372</v>
      </c>
      <c r="C125" s="2">
        <v>516</v>
      </c>
      <c r="D125" s="2">
        <v>100</v>
      </c>
      <c r="E125" s="2">
        <v>38</v>
      </c>
      <c r="F125" s="2" t="s">
        <v>5</v>
      </c>
      <c r="G125" s="2">
        <v>90</v>
      </c>
      <c r="H125" s="2">
        <v>35</v>
      </c>
      <c r="I125" s="2">
        <v>484</v>
      </c>
      <c r="J125" s="2">
        <v>87</v>
      </c>
      <c r="K125" s="2">
        <v>37</v>
      </c>
      <c r="L125" s="2">
        <v>436</v>
      </c>
      <c r="M125" s="2">
        <v>74</v>
      </c>
      <c r="N125" s="2">
        <v>21</v>
      </c>
      <c r="O125" s="2">
        <v>358</v>
      </c>
      <c r="P125" s="2">
        <v>73</v>
      </c>
      <c r="Q125" s="2">
        <v>8</v>
      </c>
    </row>
    <row r="126" spans="1:17" x14ac:dyDescent="0.2">
      <c r="A126" s="1" t="s">
        <v>1042</v>
      </c>
      <c r="B126" s="1" t="s">
        <v>375</v>
      </c>
      <c r="C126" s="2">
        <v>1656</v>
      </c>
      <c r="D126" s="2" t="s">
        <v>5</v>
      </c>
      <c r="E126" s="2">
        <v>37</v>
      </c>
      <c r="F126" s="2">
        <v>1437</v>
      </c>
      <c r="G126" s="2">
        <v>844</v>
      </c>
      <c r="H126" s="2">
        <v>26</v>
      </c>
      <c r="I126" s="2">
        <v>1425</v>
      </c>
      <c r="J126" s="2">
        <v>826</v>
      </c>
      <c r="K126" s="2">
        <v>26</v>
      </c>
      <c r="L126" s="2">
        <v>1250</v>
      </c>
      <c r="M126" s="2" t="s">
        <v>5</v>
      </c>
      <c r="N126" s="2">
        <v>21</v>
      </c>
      <c r="O126" s="2">
        <v>1046</v>
      </c>
      <c r="P126" s="2" t="s">
        <v>5</v>
      </c>
      <c r="Q126" s="2">
        <v>16</v>
      </c>
    </row>
    <row r="127" spans="1:17" x14ac:dyDescent="0.2">
      <c r="A127" s="1" t="s">
        <v>1042</v>
      </c>
      <c r="B127" s="1" t="s">
        <v>378</v>
      </c>
      <c r="C127" s="2">
        <v>2470</v>
      </c>
      <c r="D127" s="2">
        <v>527</v>
      </c>
      <c r="E127" s="2">
        <v>1</v>
      </c>
      <c r="F127" s="2">
        <v>2403</v>
      </c>
      <c r="G127" s="2">
        <v>522</v>
      </c>
      <c r="H127" s="2">
        <v>1</v>
      </c>
      <c r="I127" s="2" t="s">
        <v>5</v>
      </c>
      <c r="J127" s="2">
        <v>563</v>
      </c>
      <c r="K127" s="2">
        <v>1</v>
      </c>
      <c r="L127" s="2" t="s">
        <v>5</v>
      </c>
      <c r="M127" s="2" t="s">
        <v>5</v>
      </c>
      <c r="N127" s="2">
        <v>1</v>
      </c>
      <c r="O127" s="2" t="s">
        <v>5</v>
      </c>
      <c r="P127" s="2" t="s">
        <v>5</v>
      </c>
      <c r="Q127" s="2">
        <v>1</v>
      </c>
    </row>
    <row r="128" spans="1:17" x14ac:dyDescent="0.2">
      <c r="A128" s="1" t="s">
        <v>1042</v>
      </c>
      <c r="B128" s="1" t="s">
        <v>381</v>
      </c>
      <c r="C128" s="2" t="s">
        <v>5</v>
      </c>
      <c r="D128" s="2">
        <v>13</v>
      </c>
      <c r="E128" s="2">
        <v>17</v>
      </c>
      <c r="F128" s="2" t="s">
        <v>5</v>
      </c>
      <c r="G128" s="2">
        <v>12</v>
      </c>
      <c r="H128" s="2">
        <v>11</v>
      </c>
      <c r="I128" s="2" t="s">
        <v>5</v>
      </c>
      <c r="J128" s="2">
        <v>13</v>
      </c>
      <c r="K128" s="2">
        <v>12</v>
      </c>
      <c r="L128" s="2">
        <v>392</v>
      </c>
      <c r="M128" s="2" t="s">
        <v>5</v>
      </c>
      <c r="N128" s="2">
        <v>9</v>
      </c>
      <c r="O128" s="2" t="s">
        <v>5</v>
      </c>
      <c r="P128" s="2" t="s">
        <v>5</v>
      </c>
      <c r="Q128" s="2" t="s">
        <v>5</v>
      </c>
    </row>
    <row r="129" spans="1:17" x14ac:dyDescent="0.2">
      <c r="A129" s="1" t="s">
        <v>1042</v>
      </c>
      <c r="B129" s="1" t="s">
        <v>384</v>
      </c>
      <c r="C129" s="2">
        <v>599</v>
      </c>
      <c r="D129" s="2">
        <v>6</v>
      </c>
      <c r="E129" s="2">
        <v>8</v>
      </c>
      <c r="F129" s="2">
        <v>581</v>
      </c>
      <c r="G129" s="2">
        <v>4</v>
      </c>
      <c r="H129" s="2">
        <v>4</v>
      </c>
      <c r="I129" s="2">
        <v>589</v>
      </c>
      <c r="J129" s="2">
        <v>5</v>
      </c>
      <c r="K129" s="2">
        <v>3</v>
      </c>
      <c r="L129" s="2">
        <v>509</v>
      </c>
      <c r="M129" s="2">
        <v>5</v>
      </c>
      <c r="N129" s="2">
        <v>5</v>
      </c>
      <c r="O129" s="2">
        <v>430</v>
      </c>
      <c r="P129" s="2">
        <v>4</v>
      </c>
      <c r="Q129" s="2">
        <v>3</v>
      </c>
    </row>
    <row r="130" spans="1:17" x14ac:dyDescent="0.2">
      <c r="A130" s="1" t="s">
        <v>1042</v>
      </c>
      <c r="B130" s="1" t="s">
        <v>390</v>
      </c>
      <c r="C130" s="2">
        <v>907</v>
      </c>
      <c r="D130" s="2">
        <v>414</v>
      </c>
      <c r="E130" s="2">
        <v>46</v>
      </c>
      <c r="F130" s="2">
        <v>885</v>
      </c>
      <c r="G130" s="2">
        <v>343</v>
      </c>
      <c r="H130" s="2">
        <v>38</v>
      </c>
      <c r="I130" s="2">
        <v>896</v>
      </c>
      <c r="J130" s="2">
        <v>408</v>
      </c>
      <c r="K130" s="2">
        <v>40</v>
      </c>
      <c r="L130" s="2">
        <v>779</v>
      </c>
      <c r="M130" s="2">
        <v>364</v>
      </c>
      <c r="N130" s="2">
        <v>32</v>
      </c>
      <c r="O130" s="2">
        <v>638</v>
      </c>
      <c r="P130" s="2">
        <v>316</v>
      </c>
      <c r="Q130" s="2">
        <v>26</v>
      </c>
    </row>
    <row r="131" spans="1:17" x14ac:dyDescent="0.2">
      <c r="A131" s="1" t="s">
        <v>1042</v>
      </c>
      <c r="B131" s="1" t="s">
        <v>393</v>
      </c>
      <c r="C131" s="2">
        <v>1918</v>
      </c>
      <c r="D131" s="2">
        <v>1246</v>
      </c>
      <c r="E131" s="2">
        <v>313</v>
      </c>
      <c r="F131" s="2">
        <v>1883</v>
      </c>
      <c r="G131" s="2" t="s">
        <v>5</v>
      </c>
      <c r="H131" s="2">
        <v>321</v>
      </c>
      <c r="I131" s="2" t="s">
        <v>5</v>
      </c>
      <c r="J131" s="2">
        <v>1244</v>
      </c>
      <c r="K131" s="2">
        <v>303</v>
      </c>
      <c r="L131" s="2">
        <v>1669</v>
      </c>
      <c r="M131" s="2">
        <v>1185</v>
      </c>
      <c r="N131" s="2" t="s">
        <v>5</v>
      </c>
      <c r="O131" s="2">
        <v>1426</v>
      </c>
      <c r="P131" s="2">
        <v>1147</v>
      </c>
      <c r="Q131" s="2" t="s">
        <v>5</v>
      </c>
    </row>
    <row r="132" spans="1:17" x14ac:dyDescent="0.2">
      <c r="A132" s="1" t="s">
        <v>1042</v>
      </c>
      <c r="B132" s="1" t="s">
        <v>396</v>
      </c>
      <c r="C132" s="2">
        <v>527</v>
      </c>
      <c r="D132" s="2">
        <v>33</v>
      </c>
      <c r="E132" s="2" t="s">
        <v>5</v>
      </c>
      <c r="F132" s="2">
        <v>527</v>
      </c>
      <c r="G132" s="2">
        <v>31</v>
      </c>
      <c r="H132" s="2" t="s">
        <v>5</v>
      </c>
      <c r="I132" s="2">
        <v>523</v>
      </c>
      <c r="J132" s="2">
        <v>34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5</v>
      </c>
      <c r="P132" s="2" t="s">
        <v>5</v>
      </c>
      <c r="Q132" s="2" t="s">
        <v>5</v>
      </c>
    </row>
    <row r="133" spans="1:17" x14ac:dyDescent="0.2">
      <c r="A133" s="1" t="s">
        <v>1042</v>
      </c>
      <c r="B133" s="1" t="s">
        <v>399</v>
      </c>
      <c r="C133" s="2">
        <v>2139</v>
      </c>
      <c r="D133" s="2" t="s">
        <v>5</v>
      </c>
      <c r="E133" s="2">
        <v>11</v>
      </c>
      <c r="F133" s="2">
        <v>2106</v>
      </c>
      <c r="G133" s="2" t="s">
        <v>5</v>
      </c>
      <c r="H133" s="2">
        <v>8</v>
      </c>
      <c r="I133" s="2">
        <v>2150</v>
      </c>
      <c r="J133" s="2" t="s">
        <v>5</v>
      </c>
      <c r="K133" s="2">
        <v>10</v>
      </c>
      <c r="L133" s="2">
        <v>1897</v>
      </c>
      <c r="M133" s="2" t="s">
        <v>5</v>
      </c>
      <c r="N133" s="2">
        <v>8</v>
      </c>
      <c r="O133" s="2" t="s">
        <v>5</v>
      </c>
      <c r="P133" s="2" t="s">
        <v>5</v>
      </c>
      <c r="Q133" s="2">
        <v>6</v>
      </c>
    </row>
    <row r="134" spans="1:17" x14ac:dyDescent="0.2">
      <c r="A134" s="1" t="s">
        <v>1042</v>
      </c>
      <c r="B134" s="1" t="s">
        <v>425</v>
      </c>
      <c r="C134" s="2">
        <v>1467</v>
      </c>
      <c r="D134" s="2">
        <v>1761</v>
      </c>
      <c r="E134" s="2" t="s">
        <v>5</v>
      </c>
      <c r="F134" s="2" t="s">
        <v>5</v>
      </c>
      <c r="G134" s="2" t="s">
        <v>5</v>
      </c>
      <c r="H134" s="2">
        <v>85</v>
      </c>
      <c r="I134" s="2" t="s">
        <v>5</v>
      </c>
      <c r="J134" s="2" t="s">
        <v>5</v>
      </c>
      <c r="K134" s="2">
        <v>92</v>
      </c>
      <c r="L134" s="2">
        <v>1280</v>
      </c>
      <c r="M134" s="2" t="s">
        <v>5</v>
      </c>
      <c r="N134" s="2">
        <v>74</v>
      </c>
      <c r="O134" s="2">
        <v>1037</v>
      </c>
      <c r="P134" s="2" t="s">
        <v>5</v>
      </c>
      <c r="Q134" s="2">
        <v>62</v>
      </c>
    </row>
    <row r="135" spans="1:17" x14ac:dyDescent="0.2">
      <c r="A135" s="1" t="s">
        <v>1042</v>
      </c>
      <c r="B135" s="1" t="s">
        <v>404</v>
      </c>
      <c r="C135" s="2">
        <v>419</v>
      </c>
      <c r="D135" s="2">
        <v>10</v>
      </c>
      <c r="E135" s="2">
        <v>9</v>
      </c>
      <c r="F135" s="2" t="s">
        <v>5</v>
      </c>
      <c r="G135" s="2">
        <v>8</v>
      </c>
      <c r="H135" s="2">
        <v>6</v>
      </c>
      <c r="I135" s="2">
        <v>401</v>
      </c>
      <c r="J135" s="2">
        <v>10</v>
      </c>
      <c r="K135" s="2">
        <v>6</v>
      </c>
      <c r="L135" s="2">
        <v>356</v>
      </c>
      <c r="M135" s="2">
        <v>7</v>
      </c>
      <c r="N135" s="2">
        <v>5</v>
      </c>
      <c r="O135" s="2">
        <v>286</v>
      </c>
      <c r="P135" s="2">
        <v>6</v>
      </c>
      <c r="Q135" s="2">
        <v>4</v>
      </c>
    </row>
    <row r="136" spans="1:17" x14ac:dyDescent="0.2">
      <c r="A136" s="1" t="s">
        <v>1042</v>
      </c>
      <c r="B136" s="1" t="s">
        <v>407</v>
      </c>
      <c r="C136" s="2">
        <v>1043</v>
      </c>
      <c r="D136" s="2">
        <v>522</v>
      </c>
      <c r="E136" s="2">
        <v>994</v>
      </c>
      <c r="F136" s="2">
        <v>1026</v>
      </c>
      <c r="G136" s="2">
        <v>537</v>
      </c>
      <c r="H136" s="2">
        <v>1114</v>
      </c>
      <c r="I136" s="2">
        <v>1018</v>
      </c>
      <c r="J136" s="2">
        <v>564</v>
      </c>
      <c r="K136" s="2">
        <v>1064</v>
      </c>
      <c r="L136" s="2">
        <v>899</v>
      </c>
      <c r="M136" s="2">
        <v>516</v>
      </c>
      <c r="N136" s="2">
        <v>712</v>
      </c>
      <c r="O136" s="2">
        <v>722</v>
      </c>
      <c r="P136" s="2">
        <v>476</v>
      </c>
      <c r="Q136" s="2">
        <v>738</v>
      </c>
    </row>
    <row r="137" spans="1:17" x14ac:dyDescent="0.2">
      <c r="A137" s="1" t="s">
        <v>1042</v>
      </c>
      <c r="B137" s="1" t="s">
        <v>410</v>
      </c>
      <c r="C137" s="2">
        <v>492</v>
      </c>
      <c r="D137" s="2">
        <v>58</v>
      </c>
      <c r="E137" s="2">
        <v>75</v>
      </c>
      <c r="F137" s="2">
        <v>477</v>
      </c>
      <c r="G137" s="2">
        <v>60</v>
      </c>
      <c r="H137" s="2" t="s">
        <v>5</v>
      </c>
      <c r="I137" s="2">
        <v>478</v>
      </c>
      <c r="J137" s="2">
        <v>67</v>
      </c>
      <c r="K137" s="2">
        <v>75</v>
      </c>
      <c r="L137" s="2" t="s">
        <v>5</v>
      </c>
      <c r="M137" s="2" t="s">
        <v>5</v>
      </c>
      <c r="N137" s="2">
        <v>69</v>
      </c>
      <c r="O137" s="2">
        <v>353</v>
      </c>
      <c r="P137" s="2">
        <v>53</v>
      </c>
      <c r="Q137" s="2">
        <v>66</v>
      </c>
    </row>
    <row r="138" spans="1:17" x14ac:dyDescent="0.2">
      <c r="A138" s="1" t="s">
        <v>1042</v>
      </c>
      <c r="B138" s="1" t="s">
        <v>413</v>
      </c>
      <c r="C138" s="2">
        <v>424</v>
      </c>
      <c r="D138" s="2">
        <v>14</v>
      </c>
      <c r="E138" s="2">
        <v>33</v>
      </c>
      <c r="F138" s="2">
        <v>416</v>
      </c>
      <c r="G138" s="2">
        <v>11</v>
      </c>
      <c r="H138" s="2">
        <v>21</v>
      </c>
      <c r="I138" s="2" t="s">
        <v>5</v>
      </c>
      <c r="J138" s="2">
        <v>15</v>
      </c>
      <c r="K138" s="2">
        <v>22</v>
      </c>
      <c r="L138" s="2">
        <v>370</v>
      </c>
      <c r="M138" s="2">
        <v>12</v>
      </c>
      <c r="N138" s="2">
        <v>17</v>
      </c>
      <c r="O138" s="2">
        <v>303</v>
      </c>
      <c r="P138" s="2">
        <v>9</v>
      </c>
      <c r="Q138" s="2">
        <v>17</v>
      </c>
    </row>
    <row r="139" spans="1:17" x14ac:dyDescent="0.2">
      <c r="A139" s="1" t="s">
        <v>1042</v>
      </c>
      <c r="B139" s="1" t="s">
        <v>416</v>
      </c>
      <c r="C139" s="2">
        <v>2706</v>
      </c>
      <c r="D139" s="2">
        <v>48</v>
      </c>
      <c r="E139" s="2">
        <v>2</v>
      </c>
      <c r="F139" s="2">
        <v>2541</v>
      </c>
      <c r="G139" s="2">
        <v>42</v>
      </c>
      <c r="H139" s="2">
        <v>1</v>
      </c>
      <c r="I139" s="2">
        <v>2603</v>
      </c>
      <c r="J139" s="2">
        <v>46</v>
      </c>
      <c r="K139" s="2">
        <v>1</v>
      </c>
      <c r="L139" s="2">
        <v>2298</v>
      </c>
      <c r="M139" s="2" t="s">
        <v>5</v>
      </c>
      <c r="N139" s="2">
        <v>1</v>
      </c>
      <c r="O139" s="2">
        <v>1981</v>
      </c>
      <c r="P139" s="2">
        <v>30</v>
      </c>
      <c r="Q139" s="2" t="s">
        <v>5</v>
      </c>
    </row>
    <row r="140" spans="1:17" x14ac:dyDescent="0.2">
      <c r="A140" s="1" t="s">
        <v>1042</v>
      </c>
      <c r="B140" s="1" t="s">
        <v>419</v>
      </c>
      <c r="C140" s="2" t="s">
        <v>5</v>
      </c>
      <c r="D140" s="2">
        <v>317</v>
      </c>
      <c r="E140" s="2">
        <v>374</v>
      </c>
      <c r="F140" s="2">
        <v>1871</v>
      </c>
      <c r="G140" s="2">
        <v>298</v>
      </c>
      <c r="H140" s="2">
        <v>345</v>
      </c>
      <c r="I140" s="2">
        <v>1892</v>
      </c>
      <c r="J140" s="2">
        <v>308</v>
      </c>
      <c r="K140" s="2">
        <v>352</v>
      </c>
      <c r="L140" s="2">
        <v>1618</v>
      </c>
      <c r="M140" s="2">
        <v>275</v>
      </c>
      <c r="N140" s="2">
        <v>196</v>
      </c>
      <c r="O140" s="2">
        <v>1351</v>
      </c>
      <c r="P140" s="2">
        <v>260</v>
      </c>
      <c r="Q140" s="2">
        <v>197</v>
      </c>
    </row>
    <row r="141" spans="1:17" x14ac:dyDescent="0.2">
      <c r="A141" s="1" t="s">
        <v>1042</v>
      </c>
      <c r="B141" s="1" t="s">
        <v>422</v>
      </c>
      <c r="C141" s="2">
        <v>962</v>
      </c>
      <c r="D141" s="2" t="s">
        <v>5</v>
      </c>
      <c r="E141" s="2">
        <v>116</v>
      </c>
      <c r="F141" s="2">
        <v>938</v>
      </c>
      <c r="G141" s="2" t="s">
        <v>5</v>
      </c>
      <c r="H141" s="2">
        <v>80</v>
      </c>
      <c r="I141" s="2">
        <v>998</v>
      </c>
      <c r="J141" s="2" t="s">
        <v>5</v>
      </c>
      <c r="K141" s="2">
        <v>92</v>
      </c>
      <c r="L141" s="2">
        <v>881</v>
      </c>
      <c r="M141" s="2">
        <v>292</v>
      </c>
      <c r="N141" s="2">
        <v>75</v>
      </c>
      <c r="O141" s="2">
        <v>709</v>
      </c>
      <c r="P141" s="2" t="s">
        <v>5</v>
      </c>
      <c r="Q141" s="2">
        <v>59</v>
      </c>
    </row>
    <row r="142" spans="1:17" x14ac:dyDescent="0.2">
      <c r="A142" s="1" t="s">
        <v>1042</v>
      </c>
      <c r="B142" s="1" t="s">
        <v>428</v>
      </c>
      <c r="C142" s="2">
        <v>1153</v>
      </c>
      <c r="D142" s="2" t="s">
        <v>5</v>
      </c>
      <c r="E142" s="2" t="s">
        <v>5</v>
      </c>
      <c r="F142" s="2">
        <v>1140</v>
      </c>
      <c r="G142" s="2" t="s">
        <v>5</v>
      </c>
      <c r="H142" s="2" t="s">
        <v>5</v>
      </c>
      <c r="I142" s="2">
        <v>1142</v>
      </c>
      <c r="J142" s="2" t="s">
        <v>5</v>
      </c>
      <c r="K142" s="2" t="s">
        <v>5</v>
      </c>
      <c r="L142" s="2">
        <v>990</v>
      </c>
      <c r="M142" s="2">
        <v>186</v>
      </c>
      <c r="N142" s="2">
        <v>5169</v>
      </c>
      <c r="O142" s="2" t="s">
        <v>5</v>
      </c>
      <c r="P142" s="2" t="s">
        <v>5</v>
      </c>
      <c r="Q142" s="2" t="s">
        <v>5</v>
      </c>
    </row>
    <row r="143" spans="1:17" x14ac:dyDescent="0.2">
      <c r="A143" s="1" t="s">
        <v>1042</v>
      </c>
      <c r="B143" s="1" t="s">
        <v>431</v>
      </c>
      <c r="C143" s="2">
        <v>1504</v>
      </c>
      <c r="D143" s="2">
        <v>1226</v>
      </c>
      <c r="E143" s="2">
        <v>40</v>
      </c>
      <c r="F143" s="2">
        <v>1498</v>
      </c>
      <c r="G143" s="2">
        <v>1171</v>
      </c>
      <c r="H143" s="2">
        <v>28</v>
      </c>
      <c r="I143" s="2">
        <v>1507</v>
      </c>
      <c r="J143" s="2">
        <v>1257</v>
      </c>
      <c r="K143" s="2">
        <v>29</v>
      </c>
      <c r="L143" s="2">
        <v>1347</v>
      </c>
      <c r="M143" s="2">
        <v>1254</v>
      </c>
      <c r="N143" s="2">
        <v>25</v>
      </c>
      <c r="O143" s="2">
        <v>1111</v>
      </c>
      <c r="P143" s="2">
        <v>1100</v>
      </c>
      <c r="Q143" s="2">
        <v>23</v>
      </c>
    </row>
    <row r="144" spans="1:17" x14ac:dyDescent="0.2">
      <c r="A144" s="1" t="s">
        <v>1042</v>
      </c>
      <c r="B144" s="1" t="s">
        <v>434</v>
      </c>
      <c r="C144" s="2">
        <v>1629</v>
      </c>
      <c r="D144" s="2">
        <v>160</v>
      </c>
      <c r="E144" s="2">
        <v>12</v>
      </c>
      <c r="F144" s="2">
        <v>1601</v>
      </c>
      <c r="G144" s="2">
        <v>146</v>
      </c>
      <c r="H144" s="2">
        <v>9</v>
      </c>
      <c r="I144" s="2">
        <v>1640</v>
      </c>
      <c r="J144" s="2">
        <v>143</v>
      </c>
      <c r="K144" s="2">
        <v>8</v>
      </c>
      <c r="L144" s="2">
        <v>1440</v>
      </c>
      <c r="M144" s="2">
        <v>119</v>
      </c>
      <c r="N144" s="2">
        <v>4</v>
      </c>
      <c r="O144" s="2">
        <v>1229</v>
      </c>
      <c r="P144" s="2">
        <v>94</v>
      </c>
      <c r="Q144" s="2">
        <v>6</v>
      </c>
    </row>
    <row r="145" spans="1:17" x14ac:dyDescent="0.2">
      <c r="A145" s="1" t="s">
        <v>1042</v>
      </c>
      <c r="B145" s="1" t="s">
        <v>437</v>
      </c>
      <c r="C145" s="2">
        <v>1250</v>
      </c>
      <c r="D145" s="2">
        <v>220</v>
      </c>
      <c r="E145" s="2">
        <v>3065</v>
      </c>
      <c r="F145" s="2">
        <v>1198</v>
      </c>
      <c r="G145" s="2">
        <v>216</v>
      </c>
      <c r="H145" s="2">
        <v>3356</v>
      </c>
      <c r="I145" s="2">
        <v>1225</v>
      </c>
      <c r="J145" s="2">
        <v>269</v>
      </c>
      <c r="K145" s="2">
        <v>3241</v>
      </c>
      <c r="L145" s="2">
        <v>1078</v>
      </c>
      <c r="M145" s="2">
        <v>244</v>
      </c>
      <c r="N145" s="2">
        <v>1970</v>
      </c>
      <c r="O145" s="2">
        <v>879</v>
      </c>
      <c r="P145" s="2">
        <v>272</v>
      </c>
      <c r="Q145" s="2">
        <v>2202</v>
      </c>
    </row>
    <row r="146" spans="1:17" x14ac:dyDescent="0.2">
      <c r="A146" s="1" t="s">
        <v>1042</v>
      </c>
      <c r="B146" s="1" t="s">
        <v>440</v>
      </c>
      <c r="C146" s="2">
        <v>808</v>
      </c>
      <c r="D146" s="2">
        <v>32</v>
      </c>
      <c r="E146" s="2">
        <v>284</v>
      </c>
      <c r="F146" s="2" t="s">
        <v>5</v>
      </c>
      <c r="G146" s="2" t="s">
        <v>5</v>
      </c>
      <c r="H146" s="2">
        <v>262</v>
      </c>
      <c r="I146" s="2" t="s">
        <v>5</v>
      </c>
      <c r="J146" s="2">
        <v>31</v>
      </c>
      <c r="K146" s="2">
        <v>268</v>
      </c>
      <c r="L146" s="2" t="s">
        <v>5</v>
      </c>
      <c r="M146" s="2" t="s">
        <v>5</v>
      </c>
      <c r="N146" s="2">
        <v>115</v>
      </c>
      <c r="O146" s="2" t="s">
        <v>5</v>
      </c>
      <c r="P146" s="2" t="s">
        <v>5</v>
      </c>
      <c r="Q146" s="2">
        <v>131</v>
      </c>
    </row>
    <row r="147" spans="1:17" x14ac:dyDescent="0.2">
      <c r="A147" s="1" t="s">
        <v>1042</v>
      </c>
      <c r="B147" s="1" t="s">
        <v>443</v>
      </c>
      <c r="C147" s="2" t="s">
        <v>5</v>
      </c>
      <c r="D147" s="2">
        <v>138</v>
      </c>
      <c r="E147" s="2">
        <v>1</v>
      </c>
      <c r="F147" s="2">
        <v>962</v>
      </c>
      <c r="G147" s="2">
        <v>88</v>
      </c>
      <c r="H147" s="2" t="s">
        <v>5</v>
      </c>
      <c r="I147" s="2">
        <v>978</v>
      </c>
      <c r="J147" s="2">
        <v>82</v>
      </c>
      <c r="K147" s="2" t="s">
        <v>5</v>
      </c>
      <c r="L147" s="2">
        <v>854</v>
      </c>
      <c r="M147" s="2">
        <v>77</v>
      </c>
      <c r="N147" s="2" t="s">
        <v>5</v>
      </c>
      <c r="O147" s="2">
        <v>727</v>
      </c>
      <c r="P147" s="2">
        <v>70</v>
      </c>
      <c r="Q147" s="2" t="s">
        <v>5</v>
      </c>
    </row>
    <row r="148" spans="1:17" x14ac:dyDescent="0.2">
      <c r="A148" s="1" t="s">
        <v>1042</v>
      </c>
      <c r="B148" s="1" t="s">
        <v>446</v>
      </c>
      <c r="C148" s="2" t="s">
        <v>5</v>
      </c>
      <c r="D148" s="2">
        <v>130</v>
      </c>
      <c r="E148" s="2">
        <v>14</v>
      </c>
      <c r="F148" s="2">
        <v>703</v>
      </c>
      <c r="G148" s="2">
        <v>76</v>
      </c>
      <c r="H148" s="2">
        <v>4</v>
      </c>
      <c r="I148" s="2">
        <v>731</v>
      </c>
      <c r="J148" s="2">
        <v>136</v>
      </c>
      <c r="K148" s="2">
        <v>5</v>
      </c>
      <c r="L148" s="2">
        <v>649</v>
      </c>
      <c r="M148" s="2">
        <v>104</v>
      </c>
      <c r="N148" s="2">
        <v>4</v>
      </c>
      <c r="O148" s="2">
        <v>543</v>
      </c>
      <c r="P148" s="2">
        <v>115</v>
      </c>
      <c r="Q148" s="2">
        <v>3</v>
      </c>
    </row>
    <row r="149" spans="1:17" x14ac:dyDescent="0.2">
      <c r="A149" s="1" t="s">
        <v>1042</v>
      </c>
      <c r="B149" s="1" t="s">
        <v>449</v>
      </c>
      <c r="C149" s="2">
        <v>650</v>
      </c>
      <c r="D149" s="2">
        <v>93</v>
      </c>
      <c r="E149" s="2">
        <v>4</v>
      </c>
      <c r="F149" s="2">
        <v>633</v>
      </c>
      <c r="G149" s="2">
        <v>94</v>
      </c>
      <c r="H149" s="2">
        <v>3</v>
      </c>
      <c r="I149" s="2" t="s">
        <v>5</v>
      </c>
      <c r="J149" s="2">
        <v>108</v>
      </c>
      <c r="K149" s="2">
        <v>3</v>
      </c>
      <c r="L149" s="2">
        <v>567</v>
      </c>
      <c r="M149" s="2">
        <v>87</v>
      </c>
      <c r="N149" s="2">
        <v>3</v>
      </c>
      <c r="O149" s="2">
        <v>485</v>
      </c>
      <c r="P149" s="2">
        <v>76</v>
      </c>
      <c r="Q149" s="2">
        <v>2</v>
      </c>
    </row>
    <row r="150" spans="1:17" x14ac:dyDescent="0.2">
      <c r="A150" s="1" t="s">
        <v>1042</v>
      </c>
      <c r="B150" s="1" t="s">
        <v>452</v>
      </c>
      <c r="C150" s="2">
        <v>594</v>
      </c>
      <c r="D150" s="2">
        <v>37</v>
      </c>
      <c r="E150" s="2">
        <v>652</v>
      </c>
      <c r="F150" s="2">
        <v>584</v>
      </c>
      <c r="G150" s="2">
        <v>32</v>
      </c>
      <c r="H150" s="2">
        <v>565</v>
      </c>
      <c r="I150" s="2">
        <v>587</v>
      </c>
      <c r="J150" s="2">
        <v>37</v>
      </c>
      <c r="K150" s="2">
        <v>627</v>
      </c>
      <c r="L150" s="2">
        <v>506</v>
      </c>
      <c r="M150" s="2">
        <v>27</v>
      </c>
      <c r="N150" s="2">
        <v>484</v>
      </c>
      <c r="O150" s="2">
        <v>429</v>
      </c>
      <c r="P150" s="2">
        <v>25</v>
      </c>
      <c r="Q150" s="2">
        <v>480</v>
      </c>
    </row>
    <row r="151" spans="1:17" x14ac:dyDescent="0.2">
      <c r="A151" s="1" t="s">
        <v>1042</v>
      </c>
      <c r="B151" s="1" t="s">
        <v>455</v>
      </c>
      <c r="C151" s="2" t="s">
        <v>5</v>
      </c>
      <c r="D151" s="2">
        <v>400</v>
      </c>
      <c r="E151" s="2">
        <v>1243</v>
      </c>
      <c r="F151" s="2">
        <v>1162</v>
      </c>
      <c r="G151" s="2">
        <v>439</v>
      </c>
      <c r="H151" s="2">
        <v>1228</v>
      </c>
      <c r="I151" s="2">
        <v>1190</v>
      </c>
      <c r="J151" s="2">
        <v>586</v>
      </c>
      <c r="K151" s="2">
        <v>1402</v>
      </c>
      <c r="L151" s="2">
        <v>1039</v>
      </c>
      <c r="M151" s="2">
        <v>548</v>
      </c>
      <c r="N151" s="2">
        <v>982</v>
      </c>
      <c r="O151" s="2">
        <v>875</v>
      </c>
      <c r="P151" s="2">
        <v>467</v>
      </c>
      <c r="Q151" s="2">
        <v>1230</v>
      </c>
    </row>
    <row r="152" spans="1:17" x14ac:dyDescent="0.2">
      <c r="A152" s="1" t="s">
        <v>1042</v>
      </c>
      <c r="B152" s="1" t="s">
        <v>458</v>
      </c>
      <c r="C152" s="2">
        <v>287</v>
      </c>
      <c r="D152" s="2" t="s">
        <v>5</v>
      </c>
      <c r="E152" s="2" t="s">
        <v>5</v>
      </c>
      <c r="F152" s="2">
        <v>281</v>
      </c>
      <c r="G152" s="2" t="s">
        <v>5</v>
      </c>
      <c r="H152" s="2" t="s">
        <v>5</v>
      </c>
      <c r="I152" s="2">
        <v>291</v>
      </c>
      <c r="J152" s="2" t="s">
        <v>5</v>
      </c>
      <c r="K152" s="2" t="s">
        <v>5</v>
      </c>
      <c r="L152" s="2">
        <v>246</v>
      </c>
      <c r="M152" s="2" t="s">
        <v>5</v>
      </c>
      <c r="N152" s="2" t="s">
        <v>5</v>
      </c>
      <c r="O152" s="2" t="s">
        <v>5</v>
      </c>
      <c r="P152" s="2" t="s">
        <v>5</v>
      </c>
      <c r="Q152" s="2" t="s">
        <v>5</v>
      </c>
    </row>
    <row r="153" spans="1:17" x14ac:dyDescent="0.2">
      <c r="A153" s="1" t="s">
        <v>1042</v>
      </c>
      <c r="B153" s="1" t="s">
        <v>461</v>
      </c>
      <c r="C153" s="2">
        <v>1338</v>
      </c>
      <c r="D153" s="2">
        <v>131</v>
      </c>
      <c r="E153" s="2">
        <v>561</v>
      </c>
      <c r="F153" s="2">
        <v>1263</v>
      </c>
      <c r="G153" s="2">
        <v>122</v>
      </c>
      <c r="H153" s="2">
        <v>555</v>
      </c>
      <c r="I153" s="2">
        <v>1275</v>
      </c>
      <c r="J153" s="2" t="s">
        <v>5</v>
      </c>
      <c r="K153" s="2">
        <v>592</v>
      </c>
      <c r="L153" s="2">
        <v>1121</v>
      </c>
      <c r="M153" s="2">
        <v>118</v>
      </c>
      <c r="N153" s="2">
        <v>447</v>
      </c>
      <c r="O153" s="2">
        <v>970</v>
      </c>
      <c r="P153" s="2">
        <v>107</v>
      </c>
      <c r="Q153" s="2">
        <v>435</v>
      </c>
    </row>
    <row r="154" spans="1:17" x14ac:dyDescent="0.2">
      <c r="A154" s="1" t="s">
        <v>1042</v>
      </c>
      <c r="B154" s="1" t="s">
        <v>464</v>
      </c>
      <c r="C154" s="2" t="s">
        <v>5</v>
      </c>
      <c r="D154" s="2">
        <v>779</v>
      </c>
      <c r="E154" s="2">
        <v>1</v>
      </c>
      <c r="F154" s="2">
        <v>1233</v>
      </c>
      <c r="G154" s="2">
        <v>770</v>
      </c>
      <c r="H154" s="2" t="s">
        <v>5</v>
      </c>
      <c r="I154" s="2">
        <v>1265</v>
      </c>
      <c r="J154" s="2">
        <v>794</v>
      </c>
      <c r="K154" s="2">
        <v>1</v>
      </c>
      <c r="L154" s="2">
        <v>1102</v>
      </c>
      <c r="M154" s="2">
        <v>773</v>
      </c>
      <c r="N154" s="2">
        <v>1</v>
      </c>
      <c r="O154" s="2">
        <v>921</v>
      </c>
      <c r="P154" s="2">
        <v>636</v>
      </c>
      <c r="Q154" s="2">
        <v>1</v>
      </c>
    </row>
    <row r="155" spans="1:17" x14ac:dyDescent="0.2">
      <c r="A155" s="1" t="s">
        <v>1042</v>
      </c>
      <c r="B155" s="1" t="s">
        <v>467</v>
      </c>
      <c r="C155" s="2">
        <v>502</v>
      </c>
      <c r="D155" s="2">
        <v>99</v>
      </c>
      <c r="E155" s="2">
        <v>643</v>
      </c>
      <c r="F155" s="2">
        <v>498</v>
      </c>
      <c r="G155" s="2">
        <v>90</v>
      </c>
      <c r="H155" s="2">
        <v>629</v>
      </c>
      <c r="I155" s="2">
        <v>495</v>
      </c>
      <c r="J155" s="2">
        <v>94</v>
      </c>
      <c r="K155" s="2">
        <v>658</v>
      </c>
      <c r="L155" s="2">
        <v>428</v>
      </c>
      <c r="M155" s="2">
        <v>94</v>
      </c>
      <c r="N155" s="2">
        <v>443</v>
      </c>
      <c r="O155" s="2" t="s">
        <v>5</v>
      </c>
      <c r="P155" s="2" t="s">
        <v>5</v>
      </c>
      <c r="Q155" s="2">
        <v>438</v>
      </c>
    </row>
    <row r="156" spans="1:17" x14ac:dyDescent="0.2">
      <c r="A156" s="1" t="s">
        <v>1042</v>
      </c>
      <c r="B156" s="1" t="s">
        <v>470</v>
      </c>
      <c r="C156" s="2" t="s">
        <v>5</v>
      </c>
      <c r="D156" s="2" t="s">
        <v>5</v>
      </c>
      <c r="E156" s="2" t="s">
        <v>5</v>
      </c>
      <c r="F156" s="2" t="s">
        <v>5</v>
      </c>
      <c r="G156" s="2" t="s">
        <v>5</v>
      </c>
      <c r="H156" s="2" t="s">
        <v>5</v>
      </c>
      <c r="I156" s="2" t="s">
        <v>5</v>
      </c>
      <c r="J156" s="2" t="s">
        <v>5</v>
      </c>
      <c r="K156" s="2" t="s">
        <v>5</v>
      </c>
      <c r="L156" s="2">
        <v>498</v>
      </c>
      <c r="M156" s="2">
        <v>39</v>
      </c>
      <c r="N156" s="2" t="s">
        <v>5</v>
      </c>
      <c r="O156" s="2">
        <v>424</v>
      </c>
      <c r="P156" s="2">
        <v>39</v>
      </c>
      <c r="Q156" s="2" t="s">
        <v>5</v>
      </c>
    </row>
    <row r="157" spans="1:17" x14ac:dyDescent="0.2">
      <c r="A157" s="1" t="s">
        <v>1042</v>
      </c>
      <c r="B157" s="1" t="s">
        <v>473</v>
      </c>
      <c r="C157" s="2">
        <v>1276</v>
      </c>
      <c r="D157" s="2">
        <v>101</v>
      </c>
      <c r="E157" s="2">
        <v>29</v>
      </c>
      <c r="F157" s="2">
        <v>1252</v>
      </c>
      <c r="G157" s="2">
        <v>94</v>
      </c>
      <c r="H157" s="2">
        <v>20</v>
      </c>
      <c r="I157" s="2">
        <v>1265</v>
      </c>
      <c r="J157" s="2">
        <v>99</v>
      </c>
      <c r="K157" s="2">
        <v>21</v>
      </c>
      <c r="L157" s="2">
        <v>1093</v>
      </c>
      <c r="M157" s="2">
        <v>83</v>
      </c>
      <c r="N157" s="2">
        <v>16</v>
      </c>
      <c r="O157" s="2">
        <v>920</v>
      </c>
      <c r="P157" s="2">
        <v>72</v>
      </c>
      <c r="Q157" s="2">
        <v>13</v>
      </c>
    </row>
    <row r="158" spans="1:17" x14ac:dyDescent="0.2">
      <c r="A158" s="1" t="s">
        <v>1042</v>
      </c>
      <c r="B158" s="1" t="s">
        <v>476</v>
      </c>
      <c r="C158" s="2">
        <v>534</v>
      </c>
      <c r="D158" s="2">
        <v>924</v>
      </c>
      <c r="E158" s="2">
        <v>413</v>
      </c>
      <c r="F158" s="2">
        <v>519</v>
      </c>
      <c r="G158" s="2">
        <v>821</v>
      </c>
      <c r="H158" s="2">
        <v>464</v>
      </c>
      <c r="I158" s="2">
        <v>539</v>
      </c>
      <c r="J158" s="2">
        <v>800</v>
      </c>
      <c r="K158" s="2">
        <v>480</v>
      </c>
      <c r="L158" s="2">
        <v>470</v>
      </c>
      <c r="M158" s="2">
        <v>746</v>
      </c>
      <c r="N158" s="2">
        <v>291</v>
      </c>
      <c r="O158" s="2">
        <v>379</v>
      </c>
      <c r="P158" s="2" t="s">
        <v>5</v>
      </c>
      <c r="Q158" s="2">
        <v>399</v>
      </c>
    </row>
    <row r="159" spans="1:17" x14ac:dyDescent="0.2">
      <c r="A159" s="1" t="s">
        <v>1042</v>
      </c>
      <c r="B159" s="1" t="s">
        <v>479</v>
      </c>
      <c r="C159" s="2">
        <v>2330</v>
      </c>
      <c r="D159" s="2">
        <v>1193</v>
      </c>
      <c r="E159" s="2">
        <v>262</v>
      </c>
      <c r="F159" s="2">
        <v>2293</v>
      </c>
      <c r="G159" s="2">
        <v>1148</v>
      </c>
      <c r="H159" s="2">
        <v>236</v>
      </c>
      <c r="I159" s="2" t="s">
        <v>5</v>
      </c>
      <c r="J159" s="2">
        <v>1121</v>
      </c>
      <c r="K159" s="2">
        <v>242</v>
      </c>
      <c r="L159" s="2">
        <v>2012</v>
      </c>
      <c r="M159" s="2">
        <v>1079</v>
      </c>
      <c r="N159" s="2">
        <v>148</v>
      </c>
      <c r="O159" s="2">
        <v>1685</v>
      </c>
      <c r="P159" s="2">
        <v>1023</v>
      </c>
      <c r="Q159" s="2">
        <v>537</v>
      </c>
    </row>
    <row r="160" spans="1:17" x14ac:dyDescent="0.2">
      <c r="A160" s="1" t="s">
        <v>1042</v>
      </c>
      <c r="B160" s="1" t="s">
        <v>482</v>
      </c>
      <c r="C160" s="2" t="s">
        <v>5</v>
      </c>
      <c r="D160" s="2">
        <v>125</v>
      </c>
      <c r="E160" s="2">
        <v>3</v>
      </c>
      <c r="F160" s="2" t="s">
        <v>5</v>
      </c>
      <c r="G160" s="2">
        <v>123</v>
      </c>
      <c r="H160" s="2" t="s">
        <v>5</v>
      </c>
      <c r="I160" s="2">
        <v>940</v>
      </c>
      <c r="J160" s="2">
        <v>141</v>
      </c>
      <c r="K160" s="2">
        <v>3</v>
      </c>
      <c r="L160" s="2">
        <v>811</v>
      </c>
      <c r="M160" s="2">
        <v>123</v>
      </c>
      <c r="N160" s="2">
        <v>2</v>
      </c>
      <c r="O160" s="2">
        <v>662</v>
      </c>
      <c r="P160" s="2">
        <v>89</v>
      </c>
      <c r="Q160" s="2">
        <v>2</v>
      </c>
    </row>
    <row r="161" spans="1:17" x14ac:dyDescent="0.2">
      <c r="A161" s="1" t="s">
        <v>1042</v>
      </c>
      <c r="B161" s="1" t="s">
        <v>485</v>
      </c>
      <c r="C161" s="2" t="s">
        <v>5</v>
      </c>
      <c r="D161" s="2" t="s">
        <v>5</v>
      </c>
      <c r="E161" s="2">
        <v>3</v>
      </c>
      <c r="F161" s="2" t="s">
        <v>5</v>
      </c>
      <c r="G161" s="2" t="s">
        <v>5</v>
      </c>
      <c r="H161" s="2">
        <v>3</v>
      </c>
      <c r="I161" s="2" t="s">
        <v>5</v>
      </c>
      <c r="J161" s="2" t="s">
        <v>5</v>
      </c>
      <c r="K161" s="2">
        <v>3</v>
      </c>
      <c r="L161" s="2" t="s">
        <v>5</v>
      </c>
      <c r="M161" s="2" t="s">
        <v>5</v>
      </c>
      <c r="N161" s="2">
        <v>2</v>
      </c>
      <c r="O161" s="2" t="s">
        <v>5</v>
      </c>
      <c r="P161" s="2" t="s">
        <v>5</v>
      </c>
      <c r="Q161" s="2">
        <v>2</v>
      </c>
    </row>
    <row r="162" spans="1:17" x14ac:dyDescent="0.2">
      <c r="A162" s="1" t="s">
        <v>1042</v>
      </c>
      <c r="B162" s="1" t="s">
        <v>488</v>
      </c>
      <c r="C162" s="2">
        <v>1244</v>
      </c>
      <c r="D162" s="2" t="s">
        <v>5</v>
      </c>
      <c r="E162" s="2">
        <v>8165</v>
      </c>
      <c r="F162" s="2">
        <v>1183</v>
      </c>
      <c r="G162" s="2" t="s">
        <v>5</v>
      </c>
      <c r="H162" s="2">
        <v>8092</v>
      </c>
      <c r="I162" s="2">
        <v>1223</v>
      </c>
      <c r="J162" s="2" t="s">
        <v>5</v>
      </c>
      <c r="K162" s="2">
        <v>8444</v>
      </c>
      <c r="L162" s="2" t="s">
        <v>5</v>
      </c>
      <c r="M162" s="2" t="s">
        <v>5</v>
      </c>
      <c r="N162" s="2">
        <v>5995</v>
      </c>
      <c r="O162" s="2" t="s">
        <v>5</v>
      </c>
      <c r="P162" s="2" t="s">
        <v>5</v>
      </c>
      <c r="Q162" s="2">
        <v>6576</v>
      </c>
    </row>
    <row r="163" spans="1:17" x14ac:dyDescent="0.2">
      <c r="A163" s="1" t="s">
        <v>1042</v>
      </c>
      <c r="B163" s="1" t="s">
        <v>491</v>
      </c>
      <c r="C163" s="2">
        <v>482</v>
      </c>
      <c r="D163" s="2">
        <v>7</v>
      </c>
      <c r="E163" s="2">
        <v>2</v>
      </c>
      <c r="F163" s="2">
        <v>448</v>
      </c>
      <c r="G163" s="2">
        <v>6</v>
      </c>
      <c r="H163" s="2" t="s">
        <v>5</v>
      </c>
      <c r="I163" s="2">
        <v>469</v>
      </c>
      <c r="J163" s="2">
        <v>6</v>
      </c>
      <c r="K163" s="2" t="s">
        <v>5</v>
      </c>
      <c r="L163" s="2">
        <v>407</v>
      </c>
      <c r="M163" s="2">
        <v>5</v>
      </c>
      <c r="N163" s="2" t="s">
        <v>5</v>
      </c>
      <c r="O163" s="2">
        <v>348</v>
      </c>
      <c r="P163" s="2">
        <v>3</v>
      </c>
      <c r="Q163" s="2">
        <v>1</v>
      </c>
    </row>
    <row r="164" spans="1:17" x14ac:dyDescent="0.2">
      <c r="A164" s="1" t="s">
        <v>1042</v>
      </c>
      <c r="B164" s="1" t="s">
        <v>494</v>
      </c>
      <c r="C164" s="2">
        <v>3415</v>
      </c>
      <c r="D164" s="2">
        <v>1376</v>
      </c>
      <c r="E164" s="2">
        <v>29</v>
      </c>
      <c r="F164" s="2">
        <v>3401</v>
      </c>
      <c r="G164" s="2">
        <v>1606</v>
      </c>
      <c r="H164" s="2" t="s">
        <v>5</v>
      </c>
      <c r="I164" s="2">
        <v>3430</v>
      </c>
      <c r="J164" s="2">
        <v>1559</v>
      </c>
      <c r="K164" s="2">
        <v>18</v>
      </c>
      <c r="L164" s="2">
        <v>2960</v>
      </c>
      <c r="M164" s="2">
        <v>1347</v>
      </c>
      <c r="N164" s="2">
        <v>16</v>
      </c>
      <c r="O164" s="2">
        <v>2508</v>
      </c>
      <c r="P164" s="2">
        <v>1231</v>
      </c>
      <c r="Q164" s="2">
        <v>96</v>
      </c>
    </row>
    <row r="165" spans="1:17" x14ac:dyDescent="0.2">
      <c r="A165" s="1" t="s">
        <v>1042</v>
      </c>
      <c r="B165" s="1" t="s">
        <v>497</v>
      </c>
      <c r="C165" s="2">
        <v>2471</v>
      </c>
      <c r="D165" s="2">
        <v>175</v>
      </c>
      <c r="E165" s="2">
        <v>3</v>
      </c>
      <c r="F165" s="2" t="s">
        <v>5</v>
      </c>
      <c r="G165" s="2" t="s">
        <v>5</v>
      </c>
      <c r="H165" s="2">
        <v>2</v>
      </c>
      <c r="I165" s="2">
        <v>2443</v>
      </c>
      <c r="J165" s="2">
        <v>182</v>
      </c>
      <c r="K165" s="2">
        <v>2</v>
      </c>
      <c r="L165" s="2">
        <v>2146</v>
      </c>
      <c r="M165" s="2">
        <v>144</v>
      </c>
      <c r="N165" s="2">
        <v>2</v>
      </c>
      <c r="O165" s="2" t="s">
        <v>5</v>
      </c>
      <c r="P165" s="2" t="s">
        <v>5</v>
      </c>
      <c r="Q165" s="2">
        <v>2</v>
      </c>
    </row>
    <row r="166" spans="1:17" x14ac:dyDescent="0.2">
      <c r="A166" s="1" t="s">
        <v>1042</v>
      </c>
      <c r="B166" s="1" t="s">
        <v>500</v>
      </c>
      <c r="C166" s="2">
        <v>587</v>
      </c>
      <c r="D166" s="2">
        <v>7</v>
      </c>
      <c r="E166" s="2">
        <v>1</v>
      </c>
      <c r="F166" s="2" t="s">
        <v>5</v>
      </c>
      <c r="G166" s="2">
        <v>5</v>
      </c>
      <c r="H166" s="2">
        <v>0</v>
      </c>
      <c r="I166" s="2">
        <v>568</v>
      </c>
      <c r="J166" s="2">
        <v>5</v>
      </c>
      <c r="K166" s="2" t="s">
        <v>5</v>
      </c>
      <c r="L166" s="2">
        <v>505</v>
      </c>
      <c r="M166" s="2">
        <v>4</v>
      </c>
      <c r="N166" s="2" t="s">
        <v>5</v>
      </c>
      <c r="O166" s="2">
        <v>432</v>
      </c>
      <c r="P166" s="2" t="s">
        <v>5</v>
      </c>
      <c r="Q166" s="2">
        <v>0</v>
      </c>
    </row>
    <row r="167" spans="1:17" x14ac:dyDescent="0.2">
      <c r="A167" s="1" t="s">
        <v>1042</v>
      </c>
      <c r="B167" s="1" t="s">
        <v>503</v>
      </c>
      <c r="C167" s="2">
        <v>1732</v>
      </c>
      <c r="D167" s="2">
        <v>13</v>
      </c>
      <c r="E167" s="2">
        <v>175</v>
      </c>
      <c r="F167" s="2" t="s">
        <v>5</v>
      </c>
      <c r="G167" s="2" t="s">
        <v>5</v>
      </c>
      <c r="H167" s="2">
        <v>204</v>
      </c>
      <c r="I167" s="2">
        <v>1679</v>
      </c>
      <c r="J167" s="2">
        <v>13</v>
      </c>
      <c r="K167" s="2">
        <v>176</v>
      </c>
      <c r="L167" s="2">
        <v>1465</v>
      </c>
      <c r="M167" s="2" t="s">
        <v>5</v>
      </c>
      <c r="N167" s="2">
        <v>64</v>
      </c>
      <c r="O167" s="2">
        <v>1268</v>
      </c>
      <c r="P167" s="2" t="s">
        <v>5</v>
      </c>
      <c r="Q167" s="2">
        <v>70</v>
      </c>
    </row>
    <row r="168" spans="1:17" x14ac:dyDescent="0.2">
      <c r="A168" s="1" t="s">
        <v>1042</v>
      </c>
      <c r="B168" s="1" t="s">
        <v>506</v>
      </c>
      <c r="C168" s="2">
        <v>1681</v>
      </c>
      <c r="D168" s="2">
        <v>696</v>
      </c>
      <c r="E168" s="2">
        <v>11</v>
      </c>
      <c r="F168" s="2">
        <v>1520</v>
      </c>
      <c r="G168" s="2">
        <v>630</v>
      </c>
      <c r="H168" s="2">
        <v>8</v>
      </c>
      <c r="I168" s="2" t="s">
        <v>5</v>
      </c>
      <c r="J168" s="2" t="s">
        <v>5</v>
      </c>
      <c r="K168" s="2">
        <v>8</v>
      </c>
      <c r="L168" s="2" t="s">
        <v>5</v>
      </c>
      <c r="M168" s="2" t="s">
        <v>5</v>
      </c>
      <c r="N168" s="2">
        <v>6</v>
      </c>
      <c r="O168" s="2" t="s">
        <v>5</v>
      </c>
      <c r="P168" s="2" t="s">
        <v>5</v>
      </c>
      <c r="Q168" s="2">
        <v>5</v>
      </c>
    </row>
    <row r="169" spans="1:17" x14ac:dyDescent="0.2">
      <c r="A169" s="1" t="s">
        <v>1042</v>
      </c>
      <c r="B169" s="1" t="s">
        <v>509</v>
      </c>
      <c r="C169" s="2">
        <v>1064</v>
      </c>
      <c r="D169" s="2">
        <v>168</v>
      </c>
      <c r="E169" s="2">
        <v>222</v>
      </c>
      <c r="F169" s="2" t="s">
        <v>5</v>
      </c>
      <c r="G169" s="2">
        <v>161</v>
      </c>
      <c r="H169" s="2">
        <v>251</v>
      </c>
      <c r="I169" s="2">
        <v>1046</v>
      </c>
      <c r="J169" s="2">
        <v>166</v>
      </c>
      <c r="K169" s="2">
        <v>275</v>
      </c>
      <c r="L169" s="2">
        <v>921</v>
      </c>
      <c r="M169" s="2">
        <v>141</v>
      </c>
      <c r="N169" s="2">
        <v>213</v>
      </c>
      <c r="O169" s="2">
        <v>750</v>
      </c>
      <c r="P169" s="2">
        <v>139</v>
      </c>
      <c r="Q169" s="2">
        <v>196</v>
      </c>
    </row>
    <row r="170" spans="1:17" x14ac:dyDescent="0.2">
      <c r="A170" s="1" t="s">
        <v>1042</v>
      </c>
      <c r="B170" s="1" t="s">
        <v>512</v>
      </c>
      <c r="C170" s="2">
        <v>718</v>
      </c>
      <c r="D170" s="2">
        <v>17</v>
      </c>
      <c r="E170" s="2">
        <v>9</v>
      </c>
      <c r="F170" s="2">
        <v>713</v>
      </c>
      <c r="G170" s="2">
        <v>15</v>
      </c>
      <c r="H170" s="2">
        <v>8</v>
      </c>
      <c r="I170" s="2">
        <v>720</v>
      </c>
      <c r="J170" s="2">
        <v>16</v>
      </c>
      <c r="K170" s="2">
        <v>9</v>
      </c>
      <c r="L170" s="2">
        <v>626</v>
      </c>
      <c r="M170" s="2">
        <v>14</v>
      </c>
      <c r="N170" s="2">
        <v>7</v>
      </c>
      <c r="O170" s="2">
        <v>529</v>
      </c>
      <c r="P170" s="2">
        <v>15</v>
      </c>
      <c r="Q170" s="2">
        <v>5</v>
      </c>
    </row>
    <row r="171" spans="1:17" x14ac:dyDescent="0.2">
      <c r="A171" s="1" t="s">
        <v>1042</v>
      </c>
      <c r="B171" s="1" t="s">
        <v>515</v>
      </c>
      <c r="C171" s="2">
        <v>1121</v>
      </c>
      <c r="D171" s="2">
        <v>672</v>
      </c>
      <c r="E171" s="2">
        <v>1147</v>
      </c>
      <c r="F171" s="2">
        <v>1066</v>
      </c>
      <c r="G171" s="2">
        <v>676</v>
      </c>
      <c r="H171" s="2">
        <v>1013</v>
      </c>
      <c r="I171" s="2">
        <v>1079</v>
      </c>
      <c r="J171" s="2">
        <v>724</v>
      </c>
      <c r="K171" s="2">
        <v>934</v>
      </c>
      <c r="L171" s="2">
        <v>949</v>
      </c>
      <c r="M171" s="2">
        <v>684</v>
      </c>
      <c r="N171" s="2" t="s">
        <v>5</v>
      </c>
      <c r="O171" s="2" t="s">
        <v>5</v>
      </c>
      <c r="P171" s="2">
        <v>592</v>
      </c>
      <c r="Q171" s="2">
        <v>614</v>
      </c>
    </row>
    <row r="172" spans="1:17" x14ac:dyDescent="0.2">
      <c r="A172" s="1" t="s">
        <v>1042</v>
      </c>
      <c r="B172" s="1" t="s">
        <v>518</v>
      </c>
      <c r="C172" s="2">
        <v>522</v>
      </c>
      <c r="D172" s="2">
        <v>29</v>
      </c>
      <c r="E172" s="2">
        <v>43</v>
      </c>
      <c r="F172" s="2">
        <v>510</v>
      </c>
      <c r="G172" s="2">
        <v>29</v>
      </c>
      <c r="H172" s="2">
        <v>43</v>
      </c>
      <c r="I172" s="2">
        <v>515</v>
      </c>
      <c r="J172" s="2">
        <v>31</v>
      </c>
      <c r="K172" s="2">
        <v>49</v>
      </c>
      <c r="L172" s="2">
        <v>435</v>
      </c>
      <c r="M172" s="2">
        <v>29</v>
      </c>
      <c r="N172" s="2">
        <v>38</v>
      </c>
      <c r="O172" s="2">
        <v>371</v>
      </c>
      <c r="P172" s="2">
        <v>26</v>
      </c>
      <c r="Q172" s="2">
        <v>30</v>
      </c>
    </row>
    <row r="173" spans="1:17" x14ac:dyDescent="0.2">
      <c r="A173" s="1" t="s">
        <v>1042</v>
      </c>
      <c r="B173" s="1" t="s">
        <v>521</v>
      </c>
      <c r="C173" s="2">
        <v>1039</v>
      </c>
      <c r="D173" s="2">
        <v>649</v>
      </c>
      <c r="E173" s="2">
        <v>74</v>
      </c>
      <c r="F173" s="2">
        <v>992</v>
      </c>
      <c r="G173" s="2">
        <v>655</v>
      </c>
      <c r="H173" s="2">
        <v>37</v>
      </c>
      <c r="I173" s="2">
        <v>1005</v>
      </c>
      <c r="J173" s="2">
        <v>624</v>
      </c>
      <c r="K173" s="2">
        <v>40</v>
      </c>
      <c r="L173" s="2">
        <v>888</v>
      </c>
      <c r="M173" s="2">
        <v>648</v>
      </c>
      <c r="N173" s="2">
        <v>33</v>
      </c>
      <c r="O173" s="2">
        <v>727</v>
      </c>
      <c r="P173" s="2">
        <v>502</v>
      </c>
      <c r="Q173" s="2">
        <v>28</v>
      </c>
    </row>
    <row r="174" spans="1:17" x14ac:dyDescent="0.2">
      <c r="A174" s="1" t="s">
        <v>1042</v>
      </c>
      <c r="B174" s="1" t="s">
        <v>524</v>
      </c>
      <c r="C174" s="2">
        <v>614</v>
      </c>
      <c r="D174" s="2">
        <v>20</v>
      </c>
      <c r="E174" s="2">
        <v>10</v>
      </c>
      <c r="F174" s="2">
        <v>593</v>
      </c>
      <c r="G174" s="2">
        <v>17</v>
      </c>
      <c r="H174" s="2">
        <v>6</v>
      </c>
      <c r="I174" s="2">
        <v>597</v>
      </c>
      <c r="J174" s="2">
        <v>20</v>
      </c>
      <c r="K174" s="2">
        <v>7</v>
      </c>
      <c r="L174" s="2">
        <v>515</v>
      </c>
      <c r="M174" s="2">
        <v>17</v>
      </c>
      <c r="N174" s="2">
        <v>6</v>
      </c>
      <c r="O174" s="2">
        <v>436</v>
      </c>
      <c r="P174" s="2">
        <v>13</v>
      </c>
      <c r="Q174" s="2">
        <v>5</v>
      </c>
    </row>
    <row r="175" spans="1:17" x14ac:dyDescent="0.2">
      <c r="A175" s="1" t="s">
        <v>1042</v>
      </c>
      <c r="B175" s="1" t="s">
        <v>527</v>
      </c>
      <c r="C175" s="2">
        <v>315</v>
      </c>
      <c r="D175" s="2">
        <v>51</v>
      </c>
      <c r="E175" s="2">
        <v>25</v>
      </c>
      <c r="F175" s="2">
        <v>304</v>
      </c>
      <c r="G175" s="2">
        <v>40</v>
      </c>
      <c r="H175" s="2">
        <v>19</v>
      </c>
      <c r="I175" s="2">
        <v>311</v>
      </c>
      <c r="J175" s="2">
        <v>44</v>
      </c>
      <c r="K175" s="2">
        <v>22</v>
      </c>
      <c r="L175" s="2">
        <v>271</v>
      </c>
      <c r="M175" s="2">
        <v>46</v>
      </c>
      <c r="N175" s="2">
        <v>17</v>
      </c>
      <c r="O175" s="2">
        <v>221</v>
      </c>
      <c r="P175" s="2">
        <v>38</v>
      </c>
      <c r="Q175" s="2">
        <v>12</v>
      </c>
    </row>
    <row r="176" spans="1:17" x14ac:dyDescent="0.2">
      <c r="A176" s="1" t="s">
        <v>1042</v>
      </c>
      <c r="B176" s="1" t="s">
        <v>530</v>
      </c>
      <c r="C176" s="2">
        <v>619</v>
      </c>
      <c r="D176" s="2">
        <v>85</v>
      </c>
      <c r="E176" s="2">
        <v>30</v>
      </c>
      <c r="F176" s="2">
        <v>598</v>
      </c>
      <c r="G176" s="2">
        <v>88</v>
      </c>
      <c r="H176" s="2">
        <v>21</v>
      </c>
      <c r="I176" s="2">
        <v>607</v>
      </c>
      <c r="J176" s="2">
        <v>94</v>
      </c>
      <c r="K176" s="2">
        <v>23</v>
      </c>
      <c r="L176" s="2">
        <v>536</v>
      </c>
      <c r="M176" s="2">
        <v>86</v>
      </c>
      <c r="N176" s="2">
        <v>19</v>
      </c>
      <c r="O176" s="2">
        <v>441</v>
      </c>
      <c r="P176" s="2">
        <v>90</v>
      </c>
      <c r="Q176" s="2">
        <v>16</v>
      </c>
    </row>
    <row r="177" spans="1:17" x14ac:dyDescent="0.2">
      <c r="A177" s="1" t="s">
        <v>1042</v>
      </c>
      <c r="B177" s="1" t="s">
        <v>533</v>
      </c>
      <c r="C177" s="2">
        <v>657</v>
      </c>
      <c r="D177" s="2">
        <v>388</v>
      </c>
      <c r="E177" s="2">
        <v>440</v>
      </c>
      <c r="F177" s="2">
        <v>628</v>
      </c>
      <c r="G177" s="2">
        <v>383</v>
      </c>
      <c r="H177" s="2">
        <v>365</v>
      </c>
      <c r="I177" s="2">
        <v>637</v>
      </c>
      <c r="J177" s="2">
        <v>409</v>
      </c>
      <c r="K177" s="2">
        <v>382</v>
      </c>
      <c r="L177" s="2">
        <v>553</v>
      </c>
      <c r="M177" s="2">
        <v>390</v>
      </c>
      <c r="N177" s="2" t="s">
        <v>5</v>
      </c>
      <c r="O177" s="2">
        <v>453</v>
      </c>
      <c r="P177" s="2">
        <v>304</v>
      </c>
      <c r="Q177" s="2">
        <v>337</v>
      </c>
    </row>
    <row r="178" spans="1:17" x14ac:dyDescent="0.2">
      <c r="A178" s="1" t="s">
        <v>1042</v>
      </c>
      <c r="B178" s="1" t="s">
        <v>536</v>
      </c>
      <c r="C178" s="2">
        <v>698</v>
      </c>
      <c r="D178" s="2" t="s">
        <v>5</v>
      </c>
      <c r="E178" s="2">
        <v>9</v>
      </c>
      <c r="F178" s="2">
        <v>671</v>
      </c>
      <c r="G178" s="2" t="s">
        <v>5</v>
      </c>
      <c r="H178" s="2">
        <v>9</v>
      </c>
      <c r="I178" s="2">
        <v>674</v>
      </c>
      <c r="J178" s="2" t="s">
        <v>5</v>
      </c>
      <c r="K178" s="2">
        <v>9</v>
      </c>
      <c r="L178" s="2" t="s">
        <v>5</v>
      </c>
      <c r="M178" s="2" t="s">
        <v>5</v>
      </c>
      <c r="N178" s="2">
        <v>7</v>
      </c>
      <c r="O178" s="2" t="s">
        <v>5</v>
      </c>
      <c r="P178" s="2" t="s">
        <v>5</v>
      </c>
      <c r="Q178" s="2">
        <v>5</v>
      </c>
    </row>
    <row r="179" spans="1:17" x14ac:dyDescent="0.2">
      <c r="A179" s="1" t="s">
        <v>1042</v>
      </c>
      <c r="B179" s="1" t="s">
        <v>539</v>
      </c>
      <c r="C179" s="2">
        <v>1579</v>
      </c>
      <c r="D179" s="2">
        <v>277</v>
      </c>
      <c r="E179" s="2">
        <v>136</v>
      </c>
      <c r="F179" s="2">
        <v>1550</v>
      </c>
      <c r="G179" s="2">
        <v>261</v>
      </c>
      <c r="H179" s="2">
        <v>128</v>
      </c>
      <c r="I179" s="2">
        <v>1561</v>
      </c>
      <c r="J179" s="2">
        <v>309</v>
      </c>
      <c r="K179" s="2">
        <v>136</v>
      </c>
      <c r="L179" s="2">
        <v>1370</v>
      </c>
      <c r="M179" s="2">
        <v>276</v>
      </c>
      <c r="N179" s="2">
        <v>81</v>
      </c>
      <c r="O179" s="2">
        <v>1145</v>
      </c>
      <c r="P179" s="2">
        <v>290</v>
      </c>
      <c r="Q179" s="2">
        <v>68</v>
      </c>
    </row>
    <row r="180" spans="1:17" x14ac:dyDescent="0.2">
      <c r="A180" s="1" t="s">
        <v>1042</v>
      </c>
      <c r="B180" s="1" t="s">
        <v>542</v>
      </c>
      <c r="C180" s="2" t="s">
        <v>5</v>
      </c>
      <c r="D180" s="2">
        <v>18</v>
      </c>
      <c r="E180" s="2" t="s">
        <v>5</v>
      </c>
      <c r="F180" s="2">
        <v>612</v>
      </c>
      <c r="G180" s="2">
        <v>13</v>
      </c>
      <c r="H180" s="2" t="s">
        <v>5</v>
      </c>
      <c r="I180" s="2" t="s">
        <v>5</v>
      </c>
      <c r="J180" s="2">
        <v>14</v>
      </c>
      <c r="K180" s="2">
        <v>1</v>
      </c>
      <c r="L180" s="2">
        <v>539</v>
      </c>
      <c r="M180" s="2" t="s">
        <v>5</v>
      </c>
      <c r="N180" s="2">
        <v>1</v>
      </c>
      <c r="O180" s="2">
        <v>461</v>
      </c>
      <c r="P180" s="2" t="s">
        <v>5</v>
      </c>
      <c r="Q180" s="2">
        <v>0</v>
      </c>
    </row>
    <row r="181" spans="1:17" x14ac:dyDescent="0.2">
      <c r="A181" s="1" t="s">
        <v>1042</v>
      </c>
      <c r="B181" s="1" t="s">
        <v>545</v>
      </c>
      <c r="C181" s="2">
        <v>3458</v>
      </c>
      <c r="D181" s="2" t="s">
        <v>5</v>
      </c>
      <c r="E181" s="2">
        <v>4</v>
      </c>
      <c r="F181" s="2">
        <v>3329</v>
      </c>
      <c r="G181" s="2" t="s">
        <v>5</v>
      </c>
      <c r="H181" s="2">
        <v>2</v>
      </c>
      <c r="I181" s="2">
        <v>3410</v>
      </c>
      <c r="J181" s="2" t="s">
        <v>5</v>
      </c>
      <c r="K181" s="2">
        <v>2</v>
      </c>
      <c r="L181" s="2">
        <v>2991</v>
      </c>
      <c r="M181" s="2" t="s">
        <v>5</v>
      </c>
      <c r="N181" s="2">
        <v>2</v>
      </c>
      <c r="O181" s="2">
        <v>2573</v>
      </c>
      <c r="P181" s="2" t="s">
        <v>5</v>
      </c>
      <c r="Q181" s="2">
        <v>2</v>
      </c>
    </row>
    <row r="182" spans="1:17" x14ac:dyDescent="0.2">
      <c r="A182" s="1" t="s">
        <v>1042</v>
      </c>
      <c r="B182" s="1" t="s">
        <v>548</v>
      </c>
      <c r="C182" s="2">
        <v>1090</v>
      </c>
      <c r="D182" s="2">
        <v>180</v>
      </c>
      <c r="E182" s="2">
        <v>2261</v>
      </c>
      <c r="F182" s="2">
        <v>1076</v>
      </c>
      <c r="G182" s="2">
        <v>152</v>
      </c>
      <c r="H182" s="2">
        <v>1721</v>
      </c>
      <c r="I182" s="2">
        <v>1091</v>
      </c>
      <c r="J182" s="2">
        <v>122</v>
      </c>
      <c r="K182" s="2">
        <v>1858</v>
      </c>
      <c r="L182" s="2">
        <v>947</v>
      </c>
      <c r="M182" s="2">
        <v>75</v>
      </c>
      <c r="N182" s="2">
        <v>1257</v>
      </c>
      <c r="O182" s="2">
        <v>790</v>
      </c>
      <c r="P182" s="2">
        <v>91</v>
      </c>
      <c r="Q182" s="2">
        <v>1786</v>
      </c>
    </row>
    <row r="183" spans="1:17" x14ac:dyDescent="0.2">
      <c r="A183" s="1" t="s">
        <v>1042</v>
      </c>
      <c r="B183" s="1" t="s">
        <v>551</v>
      </c>
      <c r="C183" s="2">
        <v>534</v>
      </c>
      <c r="D183" s="2">
        <v>64</v>
      </c>
      <c r="E183" s="2">
        <v>5</v>
      </c>
      <c r="F183" s="2">
        <v>503</v>
      </c>
      <c r="G183" s="2">
        <v>57</v>
      </c>
      <c r="H183" s="2">
        <v>4</v>
      </c>
      <c r="I183" s="2">
        <v>510</v>
      </c>
      <c r="J183" s="2">
        <v>42</v>
      </c>
      <c r="K183" s="2">
        <v>4</v>
      </c>
      <c r="L183" s="2">
        <v>448</v>
      </c>
      <c r="M183" s="2">
        <v>7</v>
      </c>
      <c r="N183" s="2">
        <v>3</v>
      </c>
      <c r="O183" s="2">
        <v>356</v>
      </c>
      <c r="P183" s="2">
        <v>6</v>
      </c>
      <c r="Q183" s="2">
        <v>2</v>
      </c>
    </row>
    <row r="184" spans="1:17" x14ac:dyDescent="0.2">
      <c r="A184" s="1" t="s">
        <v>1042</v>
      </c>
      <c r="B184" s="1" t="s">
        <v>554</v>
      </c>
      <c r="C184" s="2">
        <v>2088</v>
      </c>
      <c r="D184" s="2">
        <v>2107</v>
      </c>
      <c r="E184" s="2">
        <v>238</v>
      </c>
      <c r="F184" s="2">
        <v>2024</v>
      </c>
      <c r="G184" s="2">
        <v>2074</v>
      </c>
      <c r="H184" s="2">
        <v>197</v>
      </c>
      <c r="I184" s="2">
        <v>2033</v>
      </c>
      <c r="J184" s="2">
        <v>2186</v>
      </c>
      <c r="K184" s="2">
        <v>207</v>
      </c>
      <c r="L184" s="2">
        <v>1772</v>
      </c>
      <c r="M184" s="2">
        <v>2090</v>
      </c>
      <c r="N184" s="2">
        <v>143</v>
      </c>
      <c r="O184" s="2">
        <v>1456</v>
      </c>
      <c r="P184" s="2">
        <v>2106</v>
      </c>
      <c r="Q184" s="2">
        <v>138</v>
      </c>
    </row>
    <row r="185" spans="1:17" x14ac:dyDescent="0.2">
      <c r="A185" s="1" t="s">
        <v>1042</v>
      </c>
      <c r="B185" s="1" t="s">
        <v>557</v>
      </c>
      <c r="C185" s="2">
        <v>889</v>
      </c>
      <c r="D185" s="2">
        <v>637</v>
      </c>
      <c r="E185" s="2">
        <v>12</v>
      </c>
      <c r="F185" s="2" t="s">
        <v>5</v>
      </c>
      <c r="G185" s="2" t="s">
        <v>5</v>
      </c>
      <c r="H185" s="2">
        <v>5</v>
      </c>
      <c r="I185" s="2">
        <v>893</v>
      </c>
      <c r="J185" s="2">
        <v>687</v>
      </c>
      <c r="K185" s="2">
        <v>6</v>
      </c>
      <c r="L185" s="2">
        <v>776</v>
      </c>
      <c r="M185" s="2">
        <v>646</v>
      </c>
      <c r="N185" s="2">
        <v>4</v>
      </c>
      <c r="O185" s="2">
        <v>651</v>
      </c>
      <c r="P185" s="2">
        <v>590</v>
      </c>
      <c r="Q185" s="2">
        <v>4</v>
      </c>
    </row>
    <row r="186" spans="1:17" x14ac:dyDescent="0.2">
      <c r="A186" s="1" t="s">
        <v>1042</v>
      </c>
      <c r="B186" s="1" t="s">
        <v>560</v>
      </c>
      <c r="C186" s="2">
        <v>1188</v>
      </c>
      <c r="D186" s="2" t="s">
        <v>5</v>
      </c>
      <c r="E186" s="2">
        <v>46</v>
      </c>
      <c r="F186" s="2">
        <v>1145</v>
      </c>
      <c r="G186" s="2" t="s">
        <v>5</v>
      </c>
      <c r="H186" s="2">
        <v>24</v>
      </c>
      <c r="I186" s="2">
        <v>1183</v>
      </c>
      <c r="J186" s="2" t="s">
        <v>5</v>
      </c>
      <c r="K186" s="2" t="s">
        <v>5</v>
      </c>
      <c r="L186" s="2">
        <v>1030</v>
      </c>
      <c r="M186" s="2" t="s">
        <v>5</v>
      </c>
      <c r="N186" s="2">
        <v>28</v>
      </c>
      <c r="O186" s="2" t="s">
        <v>5</v>
      </c>
      <c r="P186" s="2" t="s">
        <v>5</v>
      </c>
      <c r="Q186" s="2">
        <v>2</v>
      </c>
    </row>
    <row r="187" spans="1:17" x14ac:dyDescent="0.2">
      <c r="A187" s="1" t="s">
        <v>1042</v>
      </c>
      <c r="B187" s="1" t="s">
        <v>563</v>
      </c>
      <c r="C187" s="2">
        <v>368</v>
      </c>
      <c r="D187" s="2">
        <v>17</v>
      </c>
      <c r="E187" s="2">
        <v>2774</v>
      </c>
      <c r="F187" s="2">
        <v>363</v>
      </c>
      <c r="G187" s="2">
        <v>16</v>
      </c>
      <c r="H187" s="2">
        <v>2441</v>
      </c>
      <c r="I187" s="2">
        <v>446</v>
      </c>
      <c r="J187" s="2">
        <v>22</v>
      </c>
      <c r="K187" s="2">
        <v>2621</v>
      </c>
      <c r="L187" s="2" t="s">
        <v>5</v>
      </c>
      <c r="M187" s="2" t="s">
        <v>5</v>
      </c>
      <c r="N187" s="2">
        <v>1852</v>
      </c>
      <c r="O187" s="2" t="s">
        <v>5</v>
      </c>
      <c r="P187" s="2" t="s">
        <v>5</v>
      </c>
      <c r="Q187" s="2">
        <v>1882</v>
      </c>
    </row>
    <row r="188" spans="1:17" x14ac:dyDescent="0.2">
      <c r="A188" s="1" t="s">
        <v>1042</v>
      </c>
      <c r="B188" s="1" t="s">
        <v>566</v>
      </c>
      <c r="C188" s="2" t="s">
        <v>5</v>
      </c>
      <c r="D188" s="2" t="s">
        <v>5</v>
      </c>
      <c r="E188" s="2">
        <v>90</v>
      </c>
      <c r="F188" s="2">
        <v>973</v>
      </c>
      <c r="G188" s="2">
        <v>1050</v>
      </c>
      <c r="H188" s="2">
        <v>88</v>
      </c>
      <c r="I188" s="2">
        <v>986</v>
      </c>
      <c r="J188" s="2">
        <v>942</v>
      </c>
      <c r="K188" s="2">
        <v>96</v>
      </c>
      <c r="L188" s="2">
        <v>861</v>
      </c>
      <c r="M188" s="2">
        <v>876</v>
      </c>
      <c r="N188" s="2">
        <v>74</v>
      </c>
      <c r="O188" s="2">
        <v>710</v>
      </c>
      <c r="P188" s="2">
        <v>1201</v>
      </c>
      <c r="Q188" s="2">
        <v>55</v>
      </c>
    </row>
    <row r="189" spans="1:17" x14ac:dyDescent="0.2">
      <c r="A189" s="1" t="s">
        <v>1042</v>
      </c>
      <c r="B189" s="1" t="s">
        <v>569</v>
      </c>
      <c r="C189" s="2">
        <v>1699</v>
      </c>
      <c r="D189" s="2">
        <v>2440</v>
      </c>
      <c r="E189" s="2">
        <v>640</v>
      </c>
      <c r="F189" s="2">
        <v>1683</v>
      </c>
      <c r="G189" s="2">
        <v>2434</v>
      </c>
      <c r="H189" s="2">
        <v>744</v>
      </c>
      <c r="I189" s="2">
        <v>1679</v>
      </c>
      <c r="J189" s="2">
        <v>2415</v>
      </c>
      <c r="K189" s="2">
        <v>794</v>
      </c>
      <c r="L189" s="2">
        <v>1459</v>
      </c>
      <c r="M189" s="2">
        <v>2036</v>
      </c>
      <c r="N189" s="2">
        <v>604</v>
      </c>
      <c r="O189" s="2">
        <v>1188</v>
      </c>
      <c r="P189" s="2">
        <v>1608</v>
      </c>
      <c r="Q189" s="2">
        <v>353</v>
      </c>
    </row>
    <row r="190" spans="1:17" x14ac:dyDescent="0.2">
      <c r="A190" s="1" t="s">
        <v>1042</v>
      </c>
      <c r="B190" s="1" t="s">
        <v>572</v>
      </c>
      <c r="C190" s="2">
        <v>1034</v>
      </c>
      <c r="D190" s="2" t="s">
        <v>5</v>
      </c>
      <c r="E190" s="2">
        <v>569</v>
      </c>
      <c r="F190" s="2">
        <v>1004</v>
      </c>
      <c r="G190" s="2" t="s">
        <v>5</v>
      </c>
      <c r="H190" s="2">
        <v>515</v>
      </c>
      <c r="I190" s="2">
        <v>1025</v>
      </c>
      <c r="J190" s="2">
        <v>8657</v>
      </c>
      <c r="K190" s="2" t="s">
        <v>5</v>
      </c>
      <c r="L190" s="2">
        <v>878</v>
      </c>
      <c r="M190" s="2">
        <v>6986</v>
      </c>
      <c r="N190" s="2" t="s">
        <v>5</v>
      </c>
      <c r="O190" s="2">
        <v>753</v>
      </c>
      <c r="P190" s="2" t="s">
        <v>5</v>
      </c>
      <c r="Q190" s="2" t="s">
        <v>5</v>
      </c>
    </row>
    <row r="191" spans="1:17" x14ac:dyDescent="0.2">
      <c r="A191" s="1" t="s">
        <v>1042</v>
      </c>
      <c r="B191" s="1" t="s">
        <v>575</v>
      </c>
      <c r="C191" s="2">
        <v>942</v>
      </c>
      <c r="D191" s="2">
        <v>321</v>
      </c>
      <c r="E191" s="2">
        <v>30</v>
      </c>
      <c r="F191" s="2">
        <v>908</v>
      </c>
      <c r="G191" s="2">
        <v>273</v>
      </c>
      <c r="H191" s="2">
        <v>28</v>
      </c>
      <c r="I191" s="2">
        <v>921</v>
      </c>
      <c r="J191" s="2">
        <v>282</v>
      </c>
      <c r="K191" s="2">
        <v>31</v>
      </c>
      <c r="L191" s="2">
        <v>802</v>
      </c>
      <c r="M191" s="2">
        <v>253</v>
      </c>
      <c r="N191" s="2">
        <v>26</v>
      </c>
      <c r="O191" s="2">
        <v>658</v>
      </c>
      <c r="P191" s="2">
        <v>243</v>
      </c>
      <c r="Q191" s="2">
        <v>22</v>
      </c>
    </row>
    <row r="192" spans="1:17" x14ac:dyDescent="0.2">
      <c r="A192" s="1" t="s">
        <v>1042</v>
      </c>
      <c r="B192" s="1" t="s">
        <v>578</v>
      </c>
      <c r="C192" s="2">
        <v>928</v>
      </c>
      <c r="D192" s="2">
        <v>375</v>
      </c>
      <c r="E192" s="2">
        <v>31</v>
      </c>
      <c r="F192" s="2">
        <v>901</v>
      </c>
      <c r="G192" s="2">
        <v>362</v>
      </c>
      <c r="H192" s="2">
        <v>20</v>
      </c>
      <c r="I192" s="2">
        <v>899</v>
      </c>
      <c r="J192" s="2">
        <v>364</v>
      </c>
      <c r="K192" s="2">
        <v>21</v>
      </c>
      <c r="L192" s="2">
        <v>795</v>
      </c>
      <c r="M192" s="2">
        <v>294</v>
      </c>
      <c r="N192" s="2">
        <v>18</v>
      </c>
      <c r="O192" s="2">
        <v>634</v>
      </c>
      <c r="P192" s="2">
        <v>134</v>
      </c>
      <c r="Q192" s="2">
        <v>14</v>
      </c>
    </row>
    <row r="193" spans="1:17" x14ac:dyDescent="0.2">
      <c r="A193" s="1" t="s">
        <v>1042</v>
      </c>
      <c r="B193" s="1" t="s">
        <v>581</v>
      </c>
      <c r="C193" s="2">
        <v>328</v>
      </c>
      <c r="D193" s="2">
        <v>23</v>
      </c>
      <c r="E193" s="2">
        <v>11</v>
      </c>
      <c r="F193" s="2">
        <v>314</v>
      </c>
      <c r="G193" s="2">
        <v>20</v>
      </c>
      <c r="H193" s="2">
        <v>10</v>
      </c>
      <c r="I193" s="2">
        <v>323</v>
      </c>
      <c r="J193" s="2">
        <v>22</v>
      </c>
      <c r="K193" s="2">
        <v>11</v>
      </c>
      <c r="L193" s="2">
        <v>276</v>
      </c>
      <c r="M193" s="2">
        <v>19</v>
      </c>
      <c r="N193" s="2">
        <v>9</v>
      </c>
      <c r="O193" s="2">
        <v>234</v>
      </c>
      <c r="P193" s="2">
        <v>18</v>
      </c>
      <c r="Q193" s="2">
        <v>8</v>
      </c>
    </row>
    <row r="194" spans="1:17" x14ac:dyDescent="0.2">
      <c r="A194" s="1" t="s">
        <v>1042</v>
      </c>
      <c r="B194" s="1" t="s">
        <v>584</v>
      </c>
      <c r="C194" s="2" t="s">
        <v>5</v>
      </c>
      <c r="D194" s="2">
        <v>42</v>
      </c>
      <c r="E194" s="2">
        <v>2</v>
      </c>
      <c r="F194" s="2" t="s">
        <v>5</v>
      </c>
      <c r="G194" s="2">
        <v>40</v>
      </c>
      <c r="H194" s="2">
        <v>1</v>
      </c>
      <c r="I194" s="2" t="s">
        <v>5</v>
      </c>
      <c r="J194" s="2">
        <v>41</v>
      </c>
      <c r="K194" s="2">
        <v>2</v>
      </c>
      <c r="L194" s="2">
        <v>187</v>
      </c>
      <c r="M194" s="2">
        <v>34</v>
      </c>
      <c r="N194" s="2">
        <v>1</v>
      </c>
      <c r="O194" s="2">
        <v>149</v>
      </c>
      <c r="P194" s="2">
        <v>32</v>
      </c>
      <c r="Q194" s="2">
        <v>1</v>
      </c>
    </row>
    <row r="195" spans="1:17" x14ac:dyDescent="0.2">
      <c r="A195" s="1" t="s">
        <v>1042</v>
      </c>
      <c r="B195" s="1" t="s">
        <v>587</v>
      </c>
      <c r="C195" s="2">
        <v>549</v>
      </c>
      <c r="D195" s="2">
        <v>490</v>
      </c>
      <c r="E195" s="2">
        <v>50</v>
      </c>
      <c r="F195" s="2">
        <v>536</v>
      </c>
      <c r="G195" s="2">
        <v>427</v>
      </c>
      <c r="H195" s="2">
        <v>37</v>
      </c>
      <c r="I195" s="2">
        <v>540</v>
      </c>
      <c r="J195" s="2">
        <v>423</v>
      </c>
      <c r="K195" s="2">
        <v>41</v>
      </c>
      <c r="L195" s="2">
        <v>476</v>
      </c>
      <c r="M195" s="2">
        <v>395</v>
      </c>
      <c r="N195" s="2">
        <v>29</v>
      </c>
      <c r="O195" s="2">
        <v>388</v>
      </c>
      <c r="P195" s="2">
        <v>433</v>
      </c>
      <c r="Q195" s="2">
        <v>24</v>
      </c>
    </row>
    <row r="196" spans="1:17" x14ac:dyDescent="0.2">
      <c r="A196" s="1" t="s">
        <v>1042</v>
      </c>
      <c r="B196" s="1" t="s">
        <v>590</v>
      </c>
      <c r="C196" s="2">
        <v>453</v>
      </c>
      <c r="D196" s="2">
        <v>32</v>
      </c>
      <c r="E196" s="2">
        <v>76</v>
      </c>
      <c r="F196" s="2" t="s">
        <v>5</v>
      </c>
      <c r="G196" s="2">
        <v>31</v>
      </c>
      <c r="H196" s="2">
        <v>70</v>
      </c>
      <c r="I196" s="2" t="s">
        <v>5</v>
      </c>
      <c r="J196" s="2">
        <v>34</v>
      </c>
      <c r="K196" s="2">
        <v>79</v>
      </c>
      <c r="L196" s="2">
        <v>394</v>
      </c>
      <c r="M196" s="2">
        <v>35</v>
      </c>
      <c r="N196" s="2">
        <v>65</v>
      </c>
      <c r="O196" s="2">
        <v>322</v>
      </c>
      <c r="P196" s="2">
        <v>33</v>
      </c>
      <c r="Q196" s="2">
        <v>58</v>
      </c>
    </row>
    <row r="197" spans="1:17" x14ac:dyDescent="0.2">
      <c r="A197" s="1" t="s">
        <v>1042</v>
      </c>
      <c r="B197" s="1" t="s">
        <v>593</v>
      </c>
      <c r="C197" s="2">
        <v>829</v>
      </c>
      <c r="D197" s="2">
        <v>142</v>
      </c>
      <c r="E197" s="2">
        <v>2</v>
      </c>
      <c r="F197" s="2" t="s">
        <v>5</v>
      </c>
      <c r="G197" s="2">
        <v>129</v>
      </c>
      <c r="H197" s="2">
        <v>1</v>
      </c>
      <c r="I197" s="2">
        <v>803</v>
      </c>
      <c r="J197" s="2">
        <v>139</v>
      </c>
      <c r="K197" s="2">
        <v>1</v>
      </c>
      <c r="L197" s="2">
        <v>687</v>
      </c>
      <c r="M197" s="2">
        <v>134</v>
      </c>
      <c r="N197" s="2" t="s">
        <v>5</v>
      </c>
      <c r="O197" s="2">
        <v>593</v>
      </c>
      <c r="P197" s="2">
        <v>132</v>
      </c>
      <c r="Q197" s="2">
        <v>1</v>
      </c>
    </row>
    <row r="198" spans="1:17" x14ac:dyDescent="0.2">
      <c r="A198" s="1" t="s">
        <v>1042</v>
      </c>
      <c r="B198" s="1" t="s">
        <v>596</v>
      </c>
      <c r="C198" s="2">
        <v>671</v>
      </c>
      <c r="D198" s="2">
        <v>59</v>
      </c>
      <c r="E198" s="2">
        <v>734</v>
      </c>
      <c r="F198" s="2">
        <v>655</v>
      </c>
      <c r="G198" s="2">
        <v>47</v>
      </c>
      <c r="H198" s="2">
        <v>678</v>
      </c>
      <c r="I198" s="2">
        <v>651</v>
      </c>
      <c r="J198" s="2">
        <v>44</v>
      </c>
      <c r="K198" s="2">
        <v>720</v>
      </c>
      <c r="L198" s="2">
        <v>554</v>
      </c>
      <c r="M198" s="2">
        <v>33</v>
      </c>
      <c r="N198" s="2">
        <v>414</v>
      </c>
      <c r="O198" s="2">
        <v>462</v>
      </c>
      <c r="P198" s="2">
        <v>35</v>
      </c>
      <c r="Q198" s="2">
        <v>401</v>
      </c>
    </row>
    <row r="199" spans="1:17" x14ac:dyDescent="0.2">
      <c r="A199" s="1" t="s">
        <v>1042</v>
      </c>
      <c r="B199" s="1" t="s">
        <v>599</v>
      </c>
      <c r="C199" s="2">
        <v>1029</v>
      </c>
      <c r="D199" s="2">
        <v>509</v>
      </c>
      <c r="E199" s="2">
        <v>22</v>
      </c>
      <c r="F199" s="2">
        <v>983</v>
      </c>
      <c r="G199" s="2">
        <v>470</v>
      </c>
      <c r="H199" s="2">
        <v>13</v>
      </c>
      <c r="I199" s="2">
        <v>1016</v>
      </c>
      <c r="J199" s="2">
        <v>478</v>
      </c>
      <c r="K199" s="2">
        <v>14</v>
      </c>
      <c r="L199" s="2">
        <v>898</v>
      </c>
      <c r="M199" s="2">
        <v>469</v>
      </c>
      <c r="N199" s="2">
        <v>11</v>
      </c>
      <c r="O199" s="2">
        <v>744</v>
      </c>
      <c r="P199" s="2">
        <v>365</v>
      </c>
      <c r="Q199" s="2" t="s">
        <v>5</v>
      </c>
    </row>
    <row r="200" spans="1:17" x14ac:dyDescent="0.2">
      <c r="A200" s="1" t="s">
        <v>1042</v>
      </c>
      <c r="B200" s="1" t="s">
        <v>602</v>
      </c>
      <c r="C200" s="2">
        <v>4384</v>
      </c>
      <c r="D200" s="2">
        <v>605</v>
      </c>
      <c r="E200" s="2">
        <v>39</v>
      </c>
      <c r="F200" s="2">
        <v>4211</v>
      </c>
      <c r="G200" s="2">
        <v>573</v>
      </c>
      <c r="H200" s="2">
        <v>31</v>
      </c>
      <c r="I200" s="2">
        <v>4349</v>
      </c>
      <c r="J200" s="2">
        <v>573</v>
      </c>
      <c r="K200" s="2">
        <v>36</v>
      </c>
      <c r="L200" s="2">
        <v>3888</v>
      </c>
      <c r="M200" s="2">
        <v>540</v>
      </c>
      <c r="N200" s="2">
        <v>24</v>
      </c>
      <c r="O200" s="2">
        <v>3321</v>
      </c>
      <c r="P200" s="2">
        <v>471</v>
      </c>
      <c r="Q200" s="2">
        <v>14</v>
      </c>
    </row>
    <row r="201" spans="1:17" x14ac:dyDescent="0.2">
      <c r="A201" s="1" t="s">
        <v>1042</v>
      </c>
      <c r="B201" s="1" t="s">
        <v>605</v>
      </c>
      <c r="C201" s="2" t="s">
        <v>5</v>
      </c>
      <c r="D201" s="2" t="s">
        <v>5</v>
      </c>
      <c r="E201" s="2">
        <v>1</v>
      </c>
      <c r="F201" s="2">
        <v>1653</v>
      </c>
      <c r="G201" s="2" t="s">
        <v>5</v>
      </c>
      <c r="H201" s="2">
        <v>1</v>
      </c>
      <c r="I201" s="2">
        <v>1656</v>
      </c>
      <c r="J201" s="2" t="s">
        <v>5</v>
      </c>
      <c r="K201" s="2">
        <v>1</v>
      </c>
      <c r="L201" s="2">
        <v>1457</v>
      </c>
      <c r="M201" s="2" t="s">
        <v>5</v>
      </c>
      <c r="N201" s="2">
        <v>1</v>
      </c>
      <c r="O201" s="2">
        <v>1259</v>
      </c>
      <c r="P201" s="2">
        <v>31</v>
      </c>
      <c r="Q201" s="2">
        <v>1</v>
      </c>
    </row>
    <row r="202" spans="1:17" x14ac:dyDescent="0.2">
      <c r="A202" s="1" t="s">
        <v>1042</v>
      </c>
      <c r="B202" s="1" t="s">
        <v>608</v>
      </c>
      <c r="C202" s="2">
        <v>1221</v>
      </c>
      <c r="D202" s="2">
        <v>238</v>
      </c>
      <c r="E202" s="2">
        <v>75</v>
      </c>
      <c r="F202" s="2">
        <v>1221</v>
      </c>
      <c r="G202" s="2">
        <v>231</v>
      </c>
      <c r="H202" s="2">
        <v>39</v>
      </c>
      <c r="I202" s="2">
        <v>1212</v>
      </c>
      <c r="J202" s="2">
        <v>235</v>
      </c>
      <c r="K202" s="2">
        <v>41</v>
      </c>
      <c r="L202" s="2">
        <v>1072</v>
      </c>
      <c r="M202" s="2">
        <v>214</v>
      </c>
      <c r="N202" s="2">
        <v>30</v>
      </c>
      <c r="O202" s="2">
        <v>873</v>
      </c>
      <c r="P202" s="2" t="s">
        <v>5</v>
      </c>
      <c r="Q202" s="2">
        <v>25</v>
      </c>
    </row>
    <row r="203" spans="1:17" x14ac:dyDescent="0.2">
      <c r="A203" s="1" t="s">
        <v>1042</v>
      </c>
      <c r="B203" s="1" t="s">
        <v>611</v>
      </c>
      <c r="C203" s="2" t="s">
        <v>5</v>
      </c>
      <c r="D203" s="2">
        <v>3</v>
      </c>
      <c r="E203" s="2">
        <v>7</v>
      </c>
      <c r="F203" s="2">
        <v>257</v>
      </c>
      <c r="G203" s="2">
        <v>2</v>
      </c>
      <c r="H203" s="2">
        <v>5</v>
      </c>
      <c r="I203" s="2" t="s">
        <v>5</v>
      </c>
      <c r="J203" s="2">
        <v>3</v>
      </c>
      <c r="K203" s="2">
        <v>6</v>
      </c>
      <c r="L203" s="2">
        <v>256</v>
      </c>
      <c r="M203" s="2">
        <v>2</v>
      </c>
      <c r="N203" s="2">
        <v>8</v>
      </c>
      <c r="O203" s="2">
        <v>222</v>
      </c>
      <c r="P203" s="2">
        <v>2</v>
      </c>
      <c r="Q203" s="2">
        <v>8</v>
      </c>
    </row>
    <row r="204" spans="1:17" x14ac:dyDescent="0.2">
      <c r="A204" s="1" t="s">
        <v>1042</v>
      </c>
      <c r="B204" s="1" t="s">
        <v>614</v>
      </c>
      <c r="C204" s="2">
        <v>987</v>
      </c>
      <c r="D204" s="2">
        <v>45</v>
      </c>
      <c r="E204" s="2">
        <v>24</v>
      </c>
      <c r="F204" s="2" t="s">
        <v>5</v>
      </c>
      <c r="G204" s="2" t="s">
        <v>5</v>
      </c>
      <c r="H204" s="2">
        <v>22</v>
      </c>
      <c r="I204" s="2">
        <v>969</v>
      </c>
      <c r="J204" s="2">
        <v>49</v>
      </c>
      <c r="K204" s="2">
        <v>25</v>
      </c>
      <c r="L204" s="2">
        <v>848</v>
      </c>
      <c r="M204" s="2">
        <v>42</v>
      </c>
      <c r="N204" s="2">
        <v>20</v>
      </c>
      <c r="O204" s="2">
        <v>689</v>
      </c>
      <c r="P204" s="2">
        <v>39</v>
      </c>
      <c r="Q204" s="2">
        <v>16</v>
      </c>
    </row>
    <row r="205" spans="1:17" x14ac:dyDescent="0.2">
      <c r="A205" s="1" t="s">
        <v>1042</v>
      </c>
      <c r="B205" s="1" t="s">
        <v>617</v>
      </c>
      <c r="C205" s="2">
        <v>1208</v>
      </c>
      <c r="D205" s="2">
        <v>138</v>
      </c>
      <c r="E205" s="2" t="s">
        <v>5</v>
      </c>
      <c r="F205" s="2">
        <v>1224</v>
      </c>
      <c r="G205" s="2">
        <v>122</v>
      </c>
      <c r="H205" s="2" t="s">
        <v>5</v>
      </c>
      <c r="I205" s="2" t="s">
        <v>5</v>
      </c>
      <c r="J205" s="2">
        <v>128</v>
      </c>
      <c r="K205" s="2">
        <v>3286</v>
      </c>
      <c r="L205" s="2" t="s">
        <v>5</v>
      </c>
      <c r="M205" s="2" t="s">
        <v>5</v>
      </c>
      <c r="N205" s="2" t="s">
        <v>5</v>
      </c>
      <c r="O205" s="2" t="s">
        <v>5</v>
      </c>
      <c r="P205" s="2" t="s">
        <v>5</v>
      </c>
      <c r="Q205" s="2">
        <v>3097</v>
      </c>
    </row>
    <row r="206" spans="1:17" x14ac:dyDescent="0.2">
      <c r="A206" s="1" t="s">
        <v>1042</v>
      </c>
      <c r="B206" s="1" t="s">
        <v>620</v>
      </c>
      <c r="C206" s="2">
        <v>1297</v>
      </c>
      <c r="D206" s="2">
        <v>34</v>
      </c>
      <c r="E206" s="2">
        <v>189</v>
      </c>
      <c r="F206" s="2">
        <v>1205</v>
      </c>
      <c r="G206" s="2">
        <v>31</v>
      </c>
      <c r="H206" s="2">
        <v>170</v>
      </c>
      <c r="I206" s="2">
        <v>1236</v>
      </c>
      <c r="J206" s="2">
        <v>38</v>
      </c>
      <c r="K206" s="2">
        <v>185</v>
      </c>
      <c r="L206" s="2">
        <v>1068</v>
      </c>
      <c r="M206" s="2">
        <v>28</v>
      </c>
      <c r="N206" s="2">
        <v>147</v>
      </c>
      <c r="O206" s="2">
        <v>908</v>
      </c>
      <c r="P206" s="2">
        <v>24</v>
      </c>
      <c r="Q206" s="2">
        <v>132</v>
      </c>
    </row>
    <row r="207" spans="1:17" x14ac:dyDescent="0.2">
      <c r="A207" s="1" t="s">
        <v>1042</v>
      </c>
      <c r="B207" s="1" t="s">
        <v>1059</v>
      </c>
      <c r="C207" s="2" t="s">
        <v>5</v>
      </c>
      <c r="D207" s="2">
        <v>56</v>
      </c>
      <c r="E207" s="2">
        <v>12</v>
      </c>
      <c r="F207" s="2" t="s">
        <v>5</v>
      </c>
      <c r="G207" s="2">
        <v>52</v>
      </c>
      <c r="H207" s="2">
        <v>9</v>
      </c>
      <c r="I207" s="2" t="s">
        <v>5</v>
      </c>
      <c r="J207" s="2">
        <v>58</v>
      </c>
      <c r="K207" s="2">
        <v>9</v>
      </c>
      <c r="L207" s="2">
        <v>524</v>
      </c>
      <c r="M207" s="2">
        <v>56</v>
      </c>
      <c r="N207" s="2">
        <v>7</v>
      </c>
      <c r="O207" s="2">
        <v>425</v>
      </c>
      <c r="P207" s="2">
        <v>61</v>
      </c>
      <c r="Q207" s="2">
        <v>5</v>
      </c>
    </row>
    <row r="208" spans="1:17" x14ac:dyDescent="0.2">
      <c r="A208" s="1" t="s">
        <v>1042</v>
      </c>
      <c r="B208" s="1" t="s">
        <v>625</v>
      </c>
      <c r="C208" s="2">
        <v>732</v>
      </c>
      <c r="D208" s="2">
        <v>457</v>
      </c>
      <c r="E208" s="2">
        <v>18</v>
      </c>
      <c r="F208" s="2">
        <v>691</v>
      </c>
      <c r="G208" s="2">
        <v>461</v>
      </c>
      <c r="H208" s="2">
        <v>11</v>
      </c>
      <c r="I208" s="2">
        <v>710</v>
      </c>
      <c r="J208" s="2">
        <v>429</v>
      </c>
      <c r="K208" s="2">
        <v>11</v>
      </c>
      <c r="L208" s="2">
        <v>630</v>
      </c>
      <c r="M208" s="2" t="s">
        <v>5</v>
      </c>
      <c r="N208" s="2">
        <v>9</v>
      </c>
      <c r="O208" s="2">
        <v>510</v>
      </c>
      <c r="P208" s="2">
        <v>396</v>
      </c>
      <c r="Q208" s="2">
        <v>7</v>
      </c>
    </row>
    <row r="209" spans="1:17" x14ac:dyDescent="0.2">
      <c r="A209" s="1" t="s">
        <v>1042</v>
      </c>
      <c r="B209" s="1" t="s">
        <v>628</v>
      </c>
      <c r="C209" s="2" t="s">
        <v>5</v>
      </c>
      <c r="D209" s="2">
        <v>2</v>
      </c>
      <c r="E209" s="2">
        <v>4</v>
      </c>
      <c r="F209" s="2">
        <v>510</v>
      </c>
      <c r="G209" s="2">
        <v>2</v>
      </c>
      <c r="H209" s="2">
        <v>3</v>
      </c>
      <c r="I209" s="2" t="s">
        <v>5</v>
      </c>
      <c r="J209" s="2">
        <v>4</v>
      </c>
      <c r="K209" s="2">
        <v>3</v>
      </c>
      <c r="L209" s="2">
        <v>465</v>
      </c>
      <c r="M209" s="2">
        <v>2</v>
      </c>
      <c r="N209" s="2">
        <v>2</v>
      </c>
      <c r="O209" s="2">
        <v>400</v>
      </c>
      <c r="P209" s="2">
        <v>2</v>
      </c>
      <c r="Q209" s="2">
        <v>0</v>
      </c>
    </row>
    <row r="210" spans="1:17" x14ac:dyDescent="0.2">
      <c r="A210" s="1" t="s">
        <v>1042</v>
      </c>
      <c r="B210" s="1" t="s">
        <v>631</v>
      </c>
      <c r="C210" s="2" t="s">
        <v>5</v>
      </c>
      <c r="D210" s="2">
        <v>36</v>
      </c>
      <c r="E210" s="2">
        <v>220</v>
      </c>
      <c r="F210" s="2" t="s">
        <v>5</v>
      </c>
      <c r="G210" s="2">
        <v>37</v>
      </c>
      <c r="H210" s="2">
        <v>236</v>
      </c>
      <c r="I210" s="2" t="s">
        <v>5</v>
      </c>
      <c r="J210" s="2">
        <v>42</v>
      </c>
      <c r="K210" s="2">
        <v>258</v>
      </c>
      <c r="L210" s="2" t="s">
        <v>5</v>
      </c>
      <c r="M210" s="2">
        <v>37</v>
      </c>
      <c r="N210" s="2">
        <v>192</v>
      </c>
      <c r="O210" s="2" t="s">
        <v>5</v>
      </c>
      <c r="P210" s="2" t="s">
        <v>5</v>
      </c>
      <c r="Q210" s="2">
        <v>199</v>
      </c>
    </row>
    <row r="211" spans="1:17" x14ac:dyDescent="0.2">
      <c r="A211" s="1" t="s">
        <v>1042</v>
      </c>
      <c r="B211" s="1" t="s">
        <v>634</v>
      </c>
      <c r="C211" s="2">
        <v>885</v>
      </c>
      <c r="D211" s="2">
        <v>33</v>
      </c>
      <c r="E211" s="2">
        <v>64</v>
      </c>
      <c r="F211" s="2">
        <v>842</v>
      </c>
      <c r="G211" s="2">
        <v>30</v>
      </c>
      <c r="H211" s="2">
        <v>67</v>
      </c>
      <c r="I211" s="2">
        <v>853</v>
      </c>
      <c r="J211" s="2">
        <v>35</v>
      </c>
      <c r="K211" s="2">
        <v>114</v>
      </c>
      <c r="L211" s="2">
        <v>744</v>
      </c>
      <c r="M211" s="2">
        <v>29</v>
      </c>
      <c r="N211" s="2">
        <v>98</v>
      </c>
      <c r="O211" s="2">
        <v>620</v>
      </c>
      <c r="P211" s="2">
        <v>31</v>
      </c>
      <c r="Q211" s="2">
        <v>91</v>
      </c>
    </row>
    <row r="212" spans="1:17" x14ac:dyDescent="0.2">
      <c r="A212" s="1" t="s">
        <v>1042</v>
      </c>
      <c r="B212" s="1" t="s">
        <v>637</v>
      </c>
      <c r="C212" s="2">
        <v>1189</v>
      </c>
      <c r="D212" s="2">
        <v>1152</v>
      </c>
      <c r="E212" s="2">
        <v>29</v>
      </c>
      <c r="F212" s="2">
        <v>1201</v>
      </c>
      <c r="G212" s="2">
        <v>1012</v>
      </c>
      <c r="H212" s="2">
        <v>28</v>
      </c>
      <c r="I212" s="2">
        <v>1207</v>
      </c>
      <c r="J212" s="2">
        <v>1195</v>
      </c>
      <c r="K212" s="2">
        <v>29</v>
      </c>
      <c r="L212" s="2">
        <v>1047</v>
      </c>
      <c r="M212" s="2">
        <v>878</v>
      </c>
      <c r="N212" s="2">
        <v>24</v>
      </c>
      <c r="O212" s="2">
        <v>857</v>
      </c>
      <c r="P212" s="2">
        <v>674</v>
      </c>
      <c r="Q212" s="2">
        <v>21</v>
      </c>
    </row>
    <row r="213" spans="1:17" x14ac:dyDescent="0.2">
      <c r="A213" s="1" t="s">
        <v>1042</v>
      </c>
      <c r="B213" s="1" t="s">
        <v>640</v>
      </c>
      <c r="C213" s="2">
        <v>595</v>
      </c>
      <c r="D213" s="2" t="s">
        <v>5</v>
      </c>
      <c r="E213" s="2">
        <v>23</v>
      </c>
      <c r="F213" s="2">
        <v>571</v>
      </c>
      <c r="G213" s="2">
        <v>103</v>
      </c>
      <c r="H213" s="2">
        <v>16</v>
      </c>
      <c r="I213" s="2">
        <v>567</v>
      </c>
      <c r="J213" s="2">
        <v>106</v>
      </c>
      <c r="K213" s="2">
        <v>16</v>
      </c>
      <c r="L213" s="2">
        <v>508</v>
      </c>
      <c r="M213" s="2">
        <v>103</v>
      </c>
      <c r="N213" s="2">
        <v>14</v>
      </c>
      <c r="O213" s="2" t="s">
        <v>5</v>
      </c>
      <c r="P213" s="2" t="s">
        <v>5</v>
      </c>
      <c r="Q213" s="2">
        <v>12</v>
      </c>
    </row>
    <row r="214" spans="1:17" x14ac:dyDescent="0.2">
      <c r="A214" s="1" t="s">
        <v>1042</v>
      </c>
      <c r="B214" s="1" t="s">
        <v>643</v>
      </c>
      <c r="C214" s="2">
        <v>844</v>
      </c>
      <c r="D214" s="2">
        <v>272</v>
      </c>
      <c r="E214" s="2">
        <v>6</v>
      </c>
      <c r="F214" s="2" t="s">
        <v>5</v>
      </c>
      <c r="G214" s="2">
        <v>206</v>
      </c>
      <c r="H214" s="2">
        <v>2</v>
      </c>
      <c r="I214" s="2">
        <v>901</v>
      </c>
      <c r="J214" s="2">
        <v>282</v>
      </c>
      <c r="K214" s="2">
        <v>2</v>
      </c>
      <c r="L214" s="2">
        <v>794</v>
      </c>
      <c r="M214" s="2">
        <v>263</v>
      </c>
      <c r="N214" s="2">
        <v>1</v>
      </c>
      <c r="O214" s="2" t="s">
        <v>5</v>
      </c>
      <c r="P214" s="2">
        <v>246</v>
      </c>
      <c r="Q214" s="2">
        <v>1</v>
      </c>
    </row>
    <row r="215" spans="1:17" x14ac:dyDescent="0.2">
      <c r="A215" s="1" t="s">
        <v>1042</v>
      </c>
      <c r="B215" s="1" t="s">
        <v>646</v>
      </c>
      <c r="C215" s="2">
        <v>449</v>
      </c>
      <c r="D215" s="2">
        <v>74</v>
      </c>
      <c r="E215" s="2">
        <v>37</v>
      </c>
      <c r="F215" s="2" t="s">
        <v>5</v>
      </c>
      <c r="G215" s="2">
        <v>70</v>
      </c>
      <c r="H215" s="2">
        <v>32</v>
      </c>
      <c r="I215" s="2">
        <v>438</v>
      </c>
      <c r="J215" s="2">
        <v>69</v>
      </c>
      <c r="K215" s="2">
        <v>35</v>
      </c>
      <c r="L215" s="2">
        <v>386</v>
      </c>
      <c r="M215" s="2">
        <v>65</v>
      </c>
      <c r="N215" s="2">
        <v>27</v>
      </c>
      <c r="O215" s="2">
        <v>315</v>
      </c>
      <c r="P215" s="2">
        <v>63</v>
      </c>
      <c r="Q215" s="2">
        <v>30</v>
      </c>
    </row>
    <row r="216" spans="1:17" x14ac:dyDescent="0.2">
      <c r="A216" s="1" t="s">
        <v>1042</v>
      </c>
      <c r="B216" s="1" t="s">
        <v>649</v>
      </c>
      <c r="C216" s="2">
        <v>533</v>
      </c>
      <c r="D216" s="2">
        <v>87</v>
      </c>
      <c r="E216" s="2">
        <v>54</v>
      </c>
      <c r="F216" s="2">
        <v>518</v>
      </c>
      <c r="G216" s="2">
        <v>109</v>
      </c>
      <c r="H216" s="2">
        <v>50</v>
      </c>
      <c r="I216" s="2">
        <v>523</v>
      </c>
      <c r="J216" s="2">
        <v>134</v>
      </c>
      <c r="K216" s="2">
        <v>51</v>
      </c>
      <c r="L216" s="2">
        <v>462</v>
      </c>
      <c r="M216" s="2">
        <v>115</v>
      </c>
      <c r="N216" s="2">
        <v>37</v>
      </c>
      <c r="O216" s="2">
        <v>377</v>
      </c>
      <c r="P216" s="2">
        <v>115</v>
      </c>
      <c r="Q216" s="2">
        <v>29</v>
      </c>
    </row>
    <row r="217" spans="1:17" x14ac:dyDescent="0.2">
      <c r="A217" s="1" t="s">
        <v>1042</v>
      </c>
      <c r="B217" s="1" t="s">
        <v>1060</v>
      </c>
      <c r="C217" s="2" t="s">
        <v>1</v>
      </c>
      <c r="D217" s="2" t="s">
        <v>1</v>
      </c>
      <c r="E217" s="2" t="s">
        <v>5</v>
      </c>
      <c r="F217" s="2" t="s">
        <v>1</v>
      </c>
      <c r="G217" s="2" t="s">
        <v>1</v>
      </c>
      <c r="H217" s="2" t="s">
        <v>5</v>
      </c>
      <c r="I217" s="2" t="s">
        <v>1</v>
      </c>
      <c r="J217" s="2" t="s">
        <v>1</v>
      </c>
      <c r="K217" s="2">
        <v>15</v>
      </c>
      <c r="L217" s="2">
        <v>3</v>
      </c>
      <c r="M217" s="2">
        <v>0</v>
      </c>
      <c r="N217" s="2" t="s">
        <v>5</v>
      </c>
      <c r="O217" s="2" t="s">
        <v>5</v>
      </c>
      <c r="P217" s="2" t="s">
        <v>5</v>
      </c>
      <c r="Q217" s="2" t="s">
        <v>5</v>
      </c>
    </row>
    <row r="218" spans="1:17" x14ac:dyDescent="0.2">
      <c r="A218" s="1" t="s">
        <v>1042</v>
      </c>
      <c r="B218" s="1" t="s">
        <v>652</v>
      </c>
      <c r="C218" s="2">
        <v>805</v>
      </c>
      <c r="D218" s="2">
        <v>209</v>
      </c>
      <c r="E218" s="2">
        <v>63</v>
      </c>
      <c r="F218" s="2">
        <v>787</v>
      </c>
      <c r="G218" s="2">
        <v>182</v>
      </c>
      <c r="H218" s="2">
        <v>52</v>
      </c>
      <c r="I218" s="2">
        <v>803</v>
      </c>
      <c r="J218" s="2">
        <v>192</v>
      </c>
      <c r="K218" s="2">
        <v>54</v>
      </c>
      <c r="L218" s="2">
        <v>706</v>
      </c>
      <c r="M218" s="2">
        <v>167</v>
      </c>
      <c r="N218" s="2">
        <v>42</v>
      </c>
      <c r="O218" s="2">
        <v>569</v>
      </c>
      <c r="P218" s="2">
        <v>170</v>
      </c>
      <c r="Q218" s="2">
        <v>34</v>
      </c>
    </row>
    <row r="219" spans="1:17" x14ac:dyDescent="0.2">
      <c r="A219" s="1" t="s">
        <v>1042</v>
      </c>
      <c r="B219" s="1" t="s">
        <v>655</v>
      </c>
      <c r="C219" s="2" t="s">
        <v>5</v>
      </c>
      <c r="D219" s="2" t="s">
        <v>5</v>
      </c>
      <c r="E219" s="2">
        <v>171</v>
      </c>
      <c r="F219" s="2" t="s">
        <v>5</v>
      </c>
      <c r="G219" s="2" t="s">
        <v>5</v>
      </c>
      <c r="H219" s="2" t="s">
        <v>5</v>
      </c>
      <c r="I219" s="2" t="s">
        <v>5</v>
      </c>
      <c r="J219" s="2" t="s">
        <v>5</v>
      </c>
      <c r="K219" s="2">
        <v>204</v>
      </c>
      <c r="L219" s="2" t="s">
        <v>5</v>
      </c>
      <c r="M219" s="2" t="s">
        <v>5</v>
      </c>
      <c r="N219" s="2">
        <v>141</v>
      </c>
      <c r="O219" s="2" t="s">
        <v>5</v>
      </c>
      <c r="P219" s="2" t="s">
        <v>5</v>
      </c>
      <c r="Q219" s="2" t="s">
        <v>5</v>
      </c>
    </row>
    <row r="220" spans="1:17" x14ac:dyDescent="0.2">
      <c r="A220" s="1" t="s">
        <v>1042</v>
      </c>
      <c r="B220" s="1" t="s">
        <v>658</v>
      </c>
      <c r="C220" s="2">
        <v>725</v>
      </c>
      <c r="D220" s="2">
        <v>148</v>
      </c>
      <c r="E220" s="2">
        <v>48</v>
      </c>
      <c r="F220" s="2">
        <v>698</v>
      </c>
      <c r="G220" s="2">
        <v>140</v>
      </c>
      <c r="H220" s="2">
        <v>32</v>
      </c>
      <c r="I220" s="2">
        <v>701</v>
      </c>
      <c r="J220" s="2">
        <v>133</v>
      </c>
      <c r="K220" s="2">
        <v>32</v>
      </c>
      <c r="L220" s="2">
        <v>599</v>
      </c>
      <c r="M220" s="2">
        <v>128</v>
      </c>
      <c r="N220" s="2">
        <v>33</v>
      </c>
      <c r="O220" s="2">
        <v>480</v>
      </c>
      <c r="P220" s="2">
        <v>109</v>
      </c>
      <c r="Q220" s="2">
        <v>27</v>
      </c>
    </row>
    <row r="221" spans="1:17" x14ac:dyDescent="0.2">
      <c r="A221" s="1" t="s">
        <v>1042</v>
      </c>
      <c r="B221" s="1" t="s">
        <v>661</v>
      </c>
      <c r="C221" s="2" t="s">
        <v>5</v>
      </c>
      <c r="D221" s="2">
        <v>45</v>
      </c>
      <c r="E221" s="2">
        <v>1</v>
      </c>
      <c r="F221" s="2">
        <v>203</v>
      </c>
      <c r="G221" s="2">
        <v>32</v>
      </c>
      <c r="H221" s="2">
        <v>1</v>
      </c>
      <c r="I221" s="2" t="s">
        <v>5</v>
      </c>
      <c r="J221" s="2">
        <v>34</v>
      </c>
      <c r="K221" s="2">
        <v>1</v>
      </c>
      <c r="L221" s="2" t="s">
        <v>5</v>
      </c>
      <c r="M221" s="2">
        <v>31</v>
      </c>
      <c r="N221" s="2">
        <v>1</v>
      </c>
      <c r="O221" s="2">
        <v>153</v>
      </c>
      <c r="P221" s="2">
        <v>29</v>
      </c>
      <c r="Q221" s="2">
        <v>0</v>
      </c>
    </row>
    <row r="222" spans="1:17" x14ac:dyDescent="0.2">
      <c r="A222" s="1" t="s">
        <v>1042</v>
      </c>
      <c r="B222" s="1" t="s">
        <v>664</v>
      </c>
      <c r="C222" s="2">
        <v>273</v>
      </c>
      <c r="D222" s="2">
        <v>39</v>
      </c>
      <c r="E222" s="2">
        <v>48</v>
      </c>
      <c r="F222" s="2">
        <v>269</v>
      </c>
      <c r="G222" s="2">
        <v>32</v>
      </c>
      <c r="H222" s="2">
        <v>60</v>
      </c>
      <c r="I222" s="2">
        <v>273</v>
      </c>
      <c r="J222" s="2">
        <v>36</v>
      </c>
      <c r="K222" s="2">
        <v>69</v>
      </c>
      <c r="L222" s="2">
        <v>236</v>
      </c>
      <c r="M222" s="2">
        <v>35</v>
      </c>
      <c r="N222" s="2">
        <v>43</v>
      </c>
      <c r="O222" s="2">
        <v>202</v>
      </c>
      <c r="P222" s="2">
        <v>33</v>
      </c>
      <c r="Q222" s="2">
        <v>40</v>
      </c>
    </row>
    <row r="223" spans="1:17" x14ac:dyDescent="0.2">
      <c r="A223" s="1" t="s">
        <v>1042</v>
      </c>
      <c r="B223" s="1" t="s">
        <v>667</v>
      </c>
      <c r="C223" s="2" t="s">
        <v>5</v>
      </c>
      <c r="D223" s="2">
        <v>52</v>
      </c>
      <c r="E223" s="2">
        <v>49</v>
      </c>
      <c r="F223" s="2">
        <v>817</v>
      </c>
      <c r="G223" s="2">
        <v>40</v>
      </c>
      <c r="H223" s="2">
        <v>28</v>
      </c>
      <c r="I223" s="2">
        <v>809</v>
      </c>
      <c r="J223" s="2">
        <v>44</v>
      </c>
      <c r="K223" s="2">
        <v>31</v>
      </c>
      <c r="L223" s="2">
        <v>699</v>
      </c>
      <c r="M223" s="2">
        <v>37</v>
      </c>
      <c r="N223" s="2">
        <v>24</v>
      </c>
      <c r="O223" s="2">
        <v>572</v>
      </c>
      <c r="P223" s="2">
        <v>37</v>
      </c>
      <c r="Q223" s="2">
        <v>21</v>
      </c>
    </row>
    <row r="224" spans="1:17" x14ac:dyDescent="0.2">
      <c r="A224" s="1" t="s">
        <v>1042</v>
      </c>
      <c r="B224" s="1" t="s">
        <v>670</v>
      </c>
      <c r="C224" s="2">
        <v>2259</v>
      </c>
      <c r="D224" s="2">
        <v>1174</v>
      </c>
      <c r="E224" s="2">
        <v>117</v>
      </c>
      <c r="F224" s="2">
        <v>2210</v>
      </c>
      <c r="G224" s="2">
        <v>1176</v>
      </c>
      <c r="H224" s="2">
        <v>84</v>
      </c>
      <c r="I224" s="2">
        <v>2266</v>
      </c>
      <c r="J224" s="2">
        <v>1229</v>
      </c>
      <c r="K224" s="2">
        <v>95</v>
      </c>
      <c r="L224" s="2">
        <v>1990</v>
      </c>
      <c r="M224" s="2">
        <v>1118</v>
      </c>
      <c r="N224" s="2">
        <v>56</v>
      </c>
      <c r="O224" s="2">
        <v>1651</v>
      </c>
      <c r="P224" s="2">
        <v>1087</v>
      </c>
      <c r="Q224" s="2">
        <v>53</v>
      </c>
    </row>
    <row r="225" spans="1:17" x14ac:dyDescent="0.2">
      <c r="A225" s="1" t="s">
        <v>1042</v>
      </c>
      <c r="B225" s="1" t="s">
        <v>673</v>
      </c>
      <c r="C225" s="2" t="s">
        <v>5</v>
      </c>
      <c r="D225" s="2">
        <v>195</v>
      </c>
      <c r="E225" s="2">
        <v>49</v>
      </c>
      <c r="F225" s="2">
        <v>997</v>
      </c>
      <c r="G225" s="2">
        <v>159</v>
      </c>
      <c r="H225" s="2">
        <v>26</v>
      </c>
      <c r="I225" s="2">
        <v>998</v>
      </c>
      <c r="J225" s="2">
        <v>175</v>
      </c>
      <c r="K225" s="2">
        <v>31</v>
      </c>
      <c r="L225" s="2">
        <v>889</v>
      </c>
      <c r="M225" s="2">
        <v>137</v>
      </c>
      <c r="N225" s="2">
        <v>23</v>
      </c>
      <c r="O225" s="2">
        <v>714</v>
      </c>
      <c r="P225" s="2">
        <v>157</v>
      </c>
      <c r="Q225" s="2">
        <v>18</v>
      </c>
    </row>
    <row r="226" spans="1:17" x14ac:dyDescent="0.2">
      <c r="A226" s="1" t="s">
        <v>1042</v>
      </c>
      <c r="B226" s="1" t="s">
        <v>676</v>
      </c>
      <c r="C226" s="2">
        <v>493</v>
      </c>
      <c r="D226" s="2" t="s">
        <v>5</v>
      </c>
      <c r="E226" s="2">
        <v>2</v>
      </c>
      <c r="F226" s="2">
        <v>424</v>
      </c>
      <c r="G226" s="2" t="s">
        <v>5</v>
      </c>
      <c r="H226" s="2">
        <v>3</v>
      </c>
      <c r="I226" s="2">
        <v>415</v>
      </c>
      <c r="J226" s="2" t="s">
        <v>5</v>
      </c>
      <c r="K226" s="2">
        <v>3</v>
      </c>
      <c r="L226" s="2">
        <v>347</v>
      </c>
      <c r="M226" s="2">
        <v>37</v>
      </c>
      <c r="N226" s="2">
        <v>3</v>
      </c>
      <c r="O226" s="2">
        <v>300</v>
      </c>
      <c r="P226" s="2">
        <v>35</v>
      </c>
      <c r="Q226" s="2">
        <v>3</v>
      </c>
    </row>
    <row r="227" spans="1:17" x14ac:dyDescent="0.2">
      <c r="A227" s="1" t="s">
        <v>1042</v>
      </c>
      <c r="B227" s="1" t="s">
        <v>679</v>
      </c>
      <c r="C227" s="2" t="s">
        <v>5</v>
      </c>
      <c r="D227" s="2">
        <v>23</v>
      </c>
      <c r="E227" s="2">
        <v>9</v>
      </c>
      <c r="F227" s="2" t="s">
        <v>5</v>
      </c>
      <c r="G227" s="2">
        <v>21</v>
      </c>
      <c r="H227" s="2">
        <v>8</v>
      </c>
      <c r="I227" s="2" t="s">
        <v>5</v>
      </c>
      <c r="J227" s="2">
        <v>21</v>
      </c>
      <c r="K227" s="2">
        <v>9</v>
      </c>
      <c r="L227" s="2">
        <v>201</v>
      </c>
      <c r="M227" s="2">
        <v>14</v>
      </c>
      <c r="N227" s="2">
        <v>7</v>
      </c>
      <c r="O227" s="2">
        <v>167</v>
      </c>
      <c r="P227" s="2">
        <v>10</v>
      </c>
      <c r="Q227" s="2">
        <v>6</v>
      </c>
    </row>
    <row r="228" spans="1:17" x14ac:dyDescent="0.2">
      <c r="A228" s="1" t="s">
        <v>1042</v>
      </c>
      <c r="B228" s="1" t="s">
        <v>682</v>
      </c>
      <c r="C228" s="2">
        <v>1125</v>
      </c>
      <c r="D228" s="2">
        <v>348</v>
      </c>
      <c r="E228" s="2">
        <v>148</v>
      </c>
      <c r="F228" s="2">
        <v>1111</v>
      </c>
      <c r="G228" s="2">
        <v>342</v>
      </c>
      <c r="H228" s="2">
        <v>123</v>
      </c>
      <c r="I228" s="2">
        <v>1120</v>
      </c>
      <c r="J228" s="2">
        <v>349</v>
      </c>
      <c r="K228" s="2">
        <v>131</v>
      </c>
      <c r="L228" s="2">
        <v>970</v>
      </c>
      <c r="M228" s="2">
        <v>313</v>
      </c>
      <c r="N228" s="2">
        <v>86</v>
      </c>
      <c r="O228" s="2">
        <v>786</v>
      </c>
      <c r="P228" s="2">
        <v>305</v>
      </c>
      <c r="Q228" s="2">
        <v>90</v>
      </c>
    </row>
    <row r="229" spans="1:17" x14ac:dyDescent="0.2">
      <c r="A229" s="1" t="s">
        <v>1042</v>
      </c>
      <c r="B229" s="1" t="s">
        <v>685</v>
      </c>
      <c r="C229" s="2">
        <v>592</v>
      </c>
      <c r="D229" s="2">
        <v>109</v>
      </c>
      <c r="E229" s="2" t="s">
        <v>5</v>
      </c>
      <c r="F229" s="2">
        <v>581</v>
      </c>
      <c r="G229" s="2">
        <v>107</v>
      </c>
      <c r="H229" s="2" t="s">
        <v>5</v>
      </c>
      <c r="I229" s="2">
        <v>599</v>
      </c>
      <c r="J229" s="2">
        <v>104</v>
      </c>
      <c r="K229" s="2" t="s">
        <v>5</v>
      </c>
      <c r="L229" s="2" t="s">
        <v>5</v>
      </c>
      <c r="M229" s="2" t="s">
        <v>5</v>
      </c>
      <c r="N229" s="2" t="s">
        <v>5</v>
      </c>
      <c r="O229" s="2" t="s">
        <v>5</v>
      </c>
      <c r="P229" s="2" t="s">
        <v>5</v>
      </c>
      <c r="Q229" s="2" t="s">
        <v>5</v>
      </c>
    </row>
    <row r="230" spans="1:17" x14ac:dyDescent="0.2">
      <c r="A230" s="1" t="s">
        <v>1042</v>
      </c>
      <c r="B230" s="1" t="s">
        <v>688</v>
      </c>
      <c r="C230" s="2">
        <v>1138</v>
      </c>
      <c r="D230" s="2">
        <v>462</v>
      </c>
      <c r="E230" s="2">
        <v>3717</v>
      </c>
      <c r="F230" s="2">
        <v>1097</v>
      </c>
      <c r="G230" s="2">
        <v>508</v>
      </c>
      <c r="H230" s="2" t="s">
        <v>5</v>
      </c>
      <c r="I230" s="2">
        <v>1093</v>
      </c>
      <c r="J230" s="2">
        <v>489</v>
      </c>
      <c r="K230" s="2" t="s">
        <v>5</v>
      </c>
      <c r="L230" s="2" t="s">
        <v>5</v>
      </c>
      <c r="M230" s="2" t="s">
        <v>5</v>
      </c>
      <c r="N230" s="2">
        <v>2382</v>
      </c>
      <c r="O230" s="2" t="s">
        <v>5</v>
      </c>
      <c r="P230" s="2" t="s">
        <v>5</v>
      </c>
      <c r="Q230" s="2">
        <v>2565</v>
      </c>
    </row>
    <row r="231" spans="1:17" x14ac:dyDescent="0.2">
      <c r="A231" s="1" t="s">
        <v>1042</v>
      </c>
      <c r="B231" s="1" t="s">
        <v>691</v>
      </c>
      <c r="C231" s="2">
        <v>350</v>
      </c>
      <c r="D231" s="2">
        <v>372</v>
      </c>
      <c r="E231" s="2">
        <v>6</v>
      </c>
      <c r="F231" s="2">
        <v>346</v>
      </c>
      <c r="G231" s="2">
        <v>348</v>
      </c>
      <c r="H231" s="2">
        <v>5</v>
      </c>
      <c r="I231" s="2">
        <v>340</v>
      </c>
      <c r="J231" s="2">
        <v>364</v>
      </c>
      <c r="K231" s="2">
        <v>5</v>
      </c>
      <c r="L231" s="2">
        <v>298</v>
      </c>
      <c r="M231" s="2">
        <v>355</v>
      </c>
      <c r="N231" s="2">
        <v>4</v>
      </c>
      <c r="O231" s="2">
        <v>241</v>
      </c>
      <c r="P231" s="2">
        <v>309</v>
      </c>
      <c r="Q231" s="2">
        <v>3</v>
      </c>
    </row>
    <row r="232" spans="1:17" x14ac:dyDescent="0.2">
      <c r="A232" s="1" t="s">
        <v>1042</v>
      </c>
      <c r="B232" s="1" t="s">
        <v>694</v>
      </c>
      <c r="C232" s="2">
        <v>869</v>
      </c>
      <c r="D232" s="2">
        <v>18</v>
      </c>
      <c r="E232" s="2">
        <v>3648</v>
      </c>
      <c r="F232" s="2">
        <v>884</v>
      </c>
      <c r="G232" s="2">
        <v>16</v>
      </c>
      <c r="H232" s="2">
        <v>3438</v>
      </c>
      <c r="I232" s="2">
        <v>871</v>
      </c>
      <c r="J232" s="2">
        <v>19</v>
      </c>
      <c r="K232" s="2">
        <v>3533</v>
      </c>
      <c r="L232" s="2">
        <v>749</v>
      </c>
      <c r="M232" s="2">
        <v>14</v>
      </c>
      <c r="N232" s="2">
        <v>2154</v>
      </c>
      <c r="O232" s="2">
        <v>637</v>
      </c>
      <c r="P232" s="2">
        <v>12</v>
      </c>
      <c r="Q232" s="2">
        <v>2643</v>
      </c>
    </row>
    <row r="233" spans="1:17" x14ac:dyDescent="0.2">
      <c r="A233" s="1" t="s">
        <v>1042</v>
      </c>
      <c r="B233" s="1" t="s">
        <v>697</v>
      </c>
      <c r="C233" s="2" t="s">
        <v>5</v>
      </c>
      <c r="D233" s="2" t="s">
        <v>5</v>
      </c>
      <c r="E233" s="2" t="s">
        <v>5</v>
      </c>
      <c r="F233" s="2" t="s">
        <v>5</v>
      </c>
      <c r="G233" s="2" t="s">
        <v>5</v>
      </c>
      <c r="H233" s="2" t="s">
        <v>5</v>
      </c>
      <c r="I233" s="2" t="s">
        <v>5</v>
      </c>
      <c r="J233" s="2" t="s">
        <v>5</v>
      </c>
      <c r="K233" s="2" t="s">
        <v>5</v>
      </c>
      <c r="L233" s="2">
        <v>709</v>
      </c>
      <c r="M233" s="2" t="s">
        <v>5</v>
      </c>
      <c r="N233" s="2">
        <v>76</v>
      </c>
      <c r="O233" s="2">
        <v>597</v>
      </c>
      <c r="P233" s="2" t="s">
        <v>5</v>
      </c>
      <c r="Q233" s="2">
        <v>91</v>
      </c>
    </row>
    <row r="234" spans="1:17" x14ac:dyDescent="0.2">
      <c r="A234" s="1" t="s">
        <v>1042</v>
      </c>
      <c r="B234" s="1" t="s">
        <v>700</v>
      </c>
      <c r="C234" s="2">
        <v>624</v>
      </c>
      <c r="D234" s="2">
        <v>125</v>
      </c>
      <c r="E234" s="2">
        <v>38</v>
      </c>
      <c r="F234" s="2">
        <v>587</v>
      </c>
      <c r="G234" s="2">
        <v>158</v>
      </c>
      <c r="H234" s="2">
        <v>31</v>
      </c>
      <c r="I234" s="2">
        <v>595</v>
      </c>
      <c r="J234" s="2">
        <v>156</v>
      </c>
      <c r="K234" s="2">
        <v>33</v>
      </c>
      <c r="L234" s="2">
        <v>526</v>
      </c>
      <c r="M234" s="2">
        <v>100</v>
      </c>
      <c r="N234" s="2">
        <v>27</v>
      </c>
      <c r="O234" s="2">
        <v>436</v>
      </c>
      <c r="P234" s="2">
        <v>123</v>
      </c>
      <c r="Q234" s="2">
        <v>22</v>
      </c>
    </row>
    <row r="235" spans="1:17" x14ac:dyDescent="0.2">
      <c r="A235" s="1" t="s">
        <v>1042</v>
      </c>
      <c r="B235" s="1" t="s">
        <v>703</v>
      </c>
      <c r="C235" s="2">
        <v>946</v>
      </c>
      <c r="D235" s="2">
        <v>210</v>
      </c>
      <c r="E235" s="2">
        <v>78</v>
      </c>
      <c r="F235" s="2">
        <v>929</v>
      </c>
      <c r="G235" s="2">
        <v>228</v>
      </c>
      <c r="H235" s="2">
        <v>76</v>
      </c>
      <c r="I235" s="2">
        <v>943</v>
      </c>
      <c r="J235" s="2">
        <v>240</v>
      </c>
      <c r="K235" s="2">
        <v>80</v>
      </c>
      <c r="L235" s="2">
        <v>822</v>
      </c>
      <c r="M235" s="2">
        <v>218</v>
      </c>
      <c r="N235" s="2">
        <v>62</v>
      </c>
      <c r="O235" s="2">
        <v>681</v>
      </c>
      <c r="P235" s="2">
        <v>217</v>
      </c>
      <c r="Q235" s="2">
        <v>51</v>
      </c>
    </row>
    <row r="236" spans="1:17" x14ac:dyDescent="0.2">
      <c r="A236" s="1" t="s">
        <v>1042</v>
      </c>
      <c r="B236" s="1" t="s">
        <v>706</v>
      </c>
      <c r="C236" s="2">
        <v>478</v>
      </c>
      <c r="D236" s="2">
        <v>994</v>
      </c>
      <c r="E236" s="2" t="s">
        <v>5</v>
      </c>
      <c r="F236" s="2">
        <v>473</v>
      </c>
      <c r="G236" s="2" t="s">
        <v>5</v>
      </c>
      <c r="H236" s="2" t="s">
        <v>5</v>
      </c>
      <c r="I236" s="2">
        <v>489</v>
      </c>
      <c r="J236" s="2">
        <v>983</v>
      </c>
      <c r="K236" s="2">
        <v>1508</v>
      </c>
      <c r="L236" s="2">
        <v>419</v>
      </c>
      <c r="M236" s="2" t="s">
        <v>5</v>
      </c>
      <c r="N236" s="2" t="s">
        <v>5</v>
      </c>
      <c r="O236" s="2">
        <v>356</v>
      </c>
      <c r="P236" s="2" t="s">
        <v>5</v>
      </c>
      <c r="Q236" s="2" t="s">
        <v>5</v>
      </c>
    </row>
    <row r="237" spans="1:17" x14ac:dyDescent="0.2">
      <c r="A237" s="1" t="s">
        <v>1042</v>
      </c>
      <c r="B237" s="1" t="s">
        <v>709</v>
      </c>
      <c r="C237" s="2" t="s">
        <v>5</v>
      </c>
      <c r="D237" s="2" t="s">
        <v>5</v>
      </c>
      <c r="E237" s="2">
        <v>5</v>
      </c>
      <c r="F237" s="2" t="s">
        <v>5</v>
      </c>
      <c r="G237" s="2" t="s">
        <v>5</v>
      </c>
      <c r="H237" s="2">
        <v>5</v>
      </c>
      <c r="I237" s="2" t="s">
        <v>5</v>
      </c>
      <c r="J237" s="2" t="s">
        <v>5</v>
      </c>
      <c r="K237" s="2">
        <v>6</v>
      </c>
      <c r="L237" s="2" t="s">
        <v>5</v>
      </c>
      <c r="M237" s="2" t="s">
        <v>5</v>
      </c>
      <c r="N237" s="2">
        <v>5</v>
      </c>
      <c r="O237" s="2" t="s">
        <v>5</v>
      </c>
      <c r="P237" s="2" t="s">
        <v>5</v>
      </c>
      <c r="Q237" s="2">
        <v>5</v>
      </c>
    </row>
    <row r="238" spans="1:17" x14ac:dyDescent="0.2">
      <c r="A238" s="1" t="s">
        <v>1042</v>
      </c>
      <c r="B238" s="1" t="s">
        <v>712</v>
      </c>
      <c r="C238" s="2" t="s">
        <v>5</v>
      </c>
      <c r="D238" s="2">
        <v>14</v>
      </c>
      <c r="E238" s="2" t="s">
        <v>5</v>
      </c>
      <c r="F238" s="2" t="s">
        <v>5</v>
      </c>
      <c r="G238" s="2">
        <v>13</v>
      </c>
      <c r="H238" s="2">
        <v>9</v>
      </c>
      <c r="I238" s="2" t="s">
        <v>5</v>
      </c>
      <c r="J238" s="2">
        <v>14</v>
      </c>
      <c r="K238" s="2">
        <v>10</v>
      </c>
      <c r="L238" s="2">
        <v>106</v>
      </c>
      <c r="M238" s="2">
        <v>10</v>
      </c>
      <c r="N238" s="2">
        <v>7</v>
      </c>
      <c r="O238" s="2">
        <v>88</v>
      </c>
      <c r="P238" s="2">
        <v>9</v>
      </c>
      <c r="Q238" s="2">
        <v>6</v>
      </c>
    </row>
    <row r="239" spans="1:17" x14ac:dyDescent="0.2">
      <c r="A239" s="1" t="s">
        <v>1042</v>
      </c>
      <c r="B239" s="1" t="s">
        <v>715</v>
      </c>
      <c r="C239" s="2" t="s">
        <v>5</v>
      </c>
      <c r="D239" s="2">
        <v>12</v>
      </c>
      <c r="E239" s="2">
        <v>57</v>
      </c>
      <c r="F239" s="2" t="s">
        <v>5</v>
      </c>
      <c r="G239" s="2">
        <v>10</v>
      </c>
      <c r="H239" s="2">
        <v>47</v>
      </c>
      <c r="I239" s="2" t="s">
        <v>5</v>
      </c>
      <c r="J239" s="2">
        <v>12</v>
      </c>
      <c r="K239" s="2">
        <v>50</v>
      </c>
      <c r="L239" s="2">
        <v>284</v>
      </c>
      <c r="M239" s="2">
        <v>11</v>
      </c>
      <c r="N239" s="2">
        <v>36</v>
      </c>
      <c r="O239" s="2">
        <v>225</v>
      </c>
      <c r="P239" s="2">
        <v>10</v>
      </c>
      <c r="Q239" s="2">
        <v>32</v>
      </c>
    </row>
    <row r="240" spans="1:17" x14ac:dyDescent="0.2">
      <c r="A240" s="1" t="s">
        <v>1042</v>
      </c>
      <c r="B240" s="1" t="s">
        <v>718</v>
      </c>
      <c r="C240" s="2">
        <v>1285</v>
      </c>
      <c r="D240" s="2">
        <v>102</v>
      </c>
      <c r="E240" s="2">
        <v>6</v>
      </c>
      <c r="F240" s="2">
        <v>1232</v>
      </c>
      <c r="G240" s="2">
        <v>86</v>
      </c>
      <c r="H240" s="2">
        <v>5</v>
      </c>
      <c r="I240" s="2">
        <v>1245</v>
      </c>
      <c r="J240" s="2">
        <v>95</v>
      </c>
      <c r="K240" s="2">
        <v>6</v>
      </c>
      <c r="L240" s="2">
        <v>1083</v>
      </c>
      <c r="M240" s="2">
        <v>80</v>
      </c>
      <c r="N240" s="2">
        <v>4</v>
      </c>
      <c r="O240" s="2">
        <v>896</v>
      </c>
      <c r="P240" s="2">
        <v>76</v>
      </c>
      <c r="Q240" s="2">
        <v>3</v>
      </c>
    </row>
    <row r="241" spans="1:17" x14ac:dyDescent="0.2">
      <c r="A241" s="1" t="s">
        <v>1042</v>
      </c>
      <c r="B241" s="1" t="s">
        <v>721</v>
      </c>
      <c r="C241" s="2" t="s">
        <v>5</v>
      </c>
      <c r="D241" s="2">
        <v>160</v>
      </c>
      <c r="E241" s="2">
        <v>8</v>
      </c>
      <c r="F241" s="2" t="s">
        <v>5</v>
      </c>
      <c r="G241" s="2">
        <v>147</v>
      </c>
      <c r="H241" s="2">
        <v>6</v>
      </c>
      <c r="I241" s="2" t="s">
        <v>5</v>
      </c>
      <c r="J241" s="2">
        <v>176</v>
      </c>
      <c r="K241" s="2">
        <v>6</v>
      </c>
      <c r="L241" s="2">
        <v>420</v>
      </c>
      <c r="M241" s="2">
        <v>127</v>
      </c>
      <c r="N241" s="2">
        <v>6</v>
      </c>
      <c r="O241" s="2">
        <v>347</v>
      </c>
      <c r="P241" s="2">
        <v>143</v>
      </c>
      <c r="Q241" s="2">
        <v>5</v>
      </c>
    </row>
    <row r="242" spans="1:17" x14ac:dyDescent="0.2">
      <c r="A242" s="1" t="s">
        <v>1042</v>
      </c>
      <c r="B242" s="1" t="s">
        <v>724</v>
      </c>
      <c r="C242" s="2">
        <v>962</v>
      </c>
      <c r="D242" s="2">
        <v>98</v>
      </c>
      <c r="E242" s="2">
        <v>317</v>
      </c>
      <c r="F242" s="2">
        <v>923</v>
      </c>
      <c r="G242" s="2">
        <v>73</v>
      </c>
      <c r="H242" s="2">
        <v>295</v>
      </c>
      <c r="I242" s="2">
        <v>952</v>
      </c>
      <c r="J242" s="2">
        <v>78</v>
      </c>
      <c r="K242" s="2">
        <v>262</v>
      </c>
      <c r="L242" s="2">
        <v>811</v>
      </c>
      <c r="M242" s="2">
        <v>72</v>
      </c>
      <c r="N242" s="2">
        <v>198</v>
      </c>
      <c r="O242" s="2">
        <v>686</v>
      </c>
      <c r="P242" s="2">
        <v>59</v>
      </c>
      <c r="Q242" s="2">
        <v>212</v>
      </c>
    </row>
    <row r="243" spans="1:17" x14ac:dyDescent="0.2">
      <c r="A243" s="1" t="s">
        <v>1042</v>
      </c>
      <c r="B243" s="1" t="s">
        <v>727</v>
      </c>
      <c r="C243" s="2" t="s">
        <v>5</v>
      </c>
      <c r="D243" s="2">
        <v>155</v>
      </c>
      <c r="E243" s="2">
        <v>37</v>
      </c>
      <c r="F243" s="2">
        <v>941</v>
      </c>
      <c r="G243" s="2">
        <v>157</v>
      </c>
      <c r="H243" s="2">
        <v>31</v>
      </c>
      <c r="I243" s="2" t="s">
        <v>5</v>
      </c>
      <c r="J243" s="2">
        <v>165</v>
      </c>
      <c r="K243" s="2">
        <v>33</v>
      </c>
      <c r="L243" s="2">
        <v>842</v>
      </c>
      <c r="M243" s="2">
        <v>146</v>
      </c>
      <c r="N243" s="2">
        <v>27</v>
      </c>
      <c r="O243" s="2">
        <v>686</v>
      </c>
      <c r="P243" s="2">
        <v>141</v>
      </c>
      <c r="Q243" s="2">
        <v>21</v>
      </c>
    </row>
    <row r="244" spans="1:17" x14ac:dyDescent="0.2">
      <c r="A244" s="1" t="s">
        <v>1042</v>
      </c>
      <c r="B244" s="1" t="s">
        <v>730</v>
      </c>
      <c r="C244" s="2">
        <v>1414</v>
      </c>
      <c r="D244" s="2">
        <v>69</v>
      </c>
      <c r="E244" s="2">
        <v>16</v>
      </c>
      <c r="F244" s="2">
        <v>1344</v>
      </c>
      <c r="G244" s="2">
        <v>60</v>
      </c>
      <c r="H244" s="2" t="s">
        <v>5</v>
      </c>
      <c r="I244" s="2">
        <v>1347</v>
      </c>
      <c r="J244" s="2">
        <v>65</v>
      </c>
      <c r="K244" s="2" t="s">
        <v>5</v>
      </c>
      <c r="L244" s="2">
        <v>1142</v>
      </c>
      <c r="M244" s="2" t="s">
        <v>5</v>
      </c>
      <c r="N244" s="2" t="s">
        <v>5</v>
      </c>
      <c r="O244" s="2">
        <v>1002</v>
      </c>
      <c r="P244" s="2" t="s">
        <v>5</v>
      </c>
      <c r="Q244" s="2">
        <v>1</v>
      </c>
    </row>
    <row r="245" spans="1:17" x14ac:dyDescent="0.2">
      <c r="A245" s="1" t="s">
        <v>1042</v>
      </c>
      <c r="B245" s="1" t="s">
        <v>733</v>
      </c>
      <c r="C245" s="2">
        <v>605</v>
      </c>
      <c r="D245" s="2" t="s">
        <v>5</v>
      </c>
      <c r="E245" s="2">
        <v>19</v>
      </c>
      <c r="F245" s="2">
        <v>563</v>
      </c>
      <c r="G245" s="2" t="s">
        <v>5</v>
      </c>
      <c r="H245" s="2">
        <v>20</v>
      </c>
      <c r="I245" s="2" t="s">
        <v>5</v>
      </c>
      <c r="J245" s="2" t="s">
        <v>5</v>
      </c>
      <c r="K245" s="2">
        <v>15</v>
      </c>
      <c r="L245" s="2" t="s">
        <v>5</v>
      </c>
      <c r="M245" s="2" t="s">
        <v>5</v>
      </c>
      <c r="N245" s="2">
        <v>7</v>
      </c>
      <c r="O245" s="2" t="s">
        <v>5</v>
      </c>
      <c r="P245" s="2" t="s">
        <v>5</v>
      </c>
      <c r="Q245" s="2">
        <v>6</v>
      </c>
    </row>
    <row r="246" spans="1:17" x14ac:dyDescent="0.2">
      <c r="A246" s="1" t="s">
        <v>1042</v>
      </c>
      <c r="B246" s="1" t="s">
        <v>736</v>
      </c>
      <c r="C246" s="2">
        <v>1662</v>
      </c>
      <c r="D246" s="2">
        <v>4128</v>
      </c>
      <c r="E246" s="2">
        <v>9</v>
      </c>
      <c r="F246" s="2">
        <v>1608</v>
      </c>
      <c r="G246" s="2">
        <v>30</v>
      </c>
      <c r="H246" s="2" t="s">
        <v>5</v>
      </c>
      <c r="I246" s="2">
        <v>1645</v>
      </c>
      <c r="J246" s="2">
        <v>4310</v>
      </c>
      <c r="K246" s="2">
        <v>8</v>
      </c>
      <c r="L246" s="2">
        <v>1464</v>
      </c>
      <c r="M246" s="2">
        <v>4141</v>
      </c>
      <c r="N246" s="2">
        <v>7</v>
      </c>
      <c r="O246" s="2">
        <v>1215</v>
      </c>
      <c r="P246" s="2">
        <v>3991</v>
      </c>
      <c r="Q246" s="2">
        <v>6</v>
      </c>
    </row>
    <row r="247" spans="1:17" x14ac:dyDescent="0.2">
      <c r="A247" s="1" t="s">
        <v>1042</v>
      </c>
      <c r="B247" s="1" t="s">
        <v>742</v>
      </c>
      <c r="C247" s="2" t="s">
        <v>5</v>
      </c>
      <c r="D247" s="2">
        <v>488</v>
      </c>
      <c r="E247" s="2">
        <v>436</v>
      </c>
      <c r="F247" s="2">
        <v>1917</v>
      </c>
      <c r="G247" s="2">
        <v>555</v>
      </c>
      <c r="H247" s="2">
        <v>407</v>
      </c>
      <c r="I247" s="2">
        <v>1944</v>
      </c>
      <c r="J247" s="2">
        <v>557</v>
      </c>
      <c r="K247" s="2">
        <v>396</v>
      </c>
      <c r="L247" s="2">
        <v>1692</v>
      </c>
      <c r="M247" s="2">
        <v>559</v>
      </c>
      <c r="N247" s="2">
        <v>191</v>
      </c>
      <c r="O247" s="2">
        <v>1431</v>
      </c>
      <c r="P247" s="2">
        <v>515</v>
      </c>
      <c r="Q247" s="2">
        <v>277</v>
      </c>
    </row>
    <row r="248" spans="1:17" x14ac:dyDescent="0.2">
      <c r="A248" s="1" t="s">
        <v>1042</v>
      </c>
      <c r="B248" s="1" t="s">
        <v>745</v>
      </c>
      <c r="C248" s="2">
        <v>14705</v>
      </c>
      <c r="D248" s="2">
        <v>118704</v>
      </c>
      <c r="E248" s="2">
        <v>929</v>
      </c>
      <c r="F248" s="2">
        <v>14303</v>
      </c>
      <c r="G248" s="2">
        <v>118600</v>
      </c>
      <c r="H248" s="2">
        <v>927</v>
      </c>
      <c r="I248" s="2">
        <v>14300</v>
      </c>
      <c r="J248" s="2">
        <v>114916</v>
      </c>
      <c r="K248" s="2">
        <v>977</v>
      </c>
      <c r="L248" s="2">
        <v>12012</v>
      </c>
      <c r="M248" s="2">
        <v>86154</v>
      </c>
      <c r="N248" s="2">
        <v>718</v>
      </c>
      <c r="O248" s="2">
        <v>11527</v>
      </c>
      <c r="P248" s="2">
        <v>87873</v>
      </c>
      <c r="Q248" s="2">
        <v>780</v>
      </c>
    </row>
    <row r="249" spans="1:17" x14ac:dyDescent="0.2">
      <c r="A249" s="1" t="s">
        <v>1042</v>
      </c>
      <c r="B249" s="1" t="s">
        <v>748</v>
      </c>
      <c r="C249" s="2" t="s">
        <v>5</v>
      </c>
      <c r="D249" s="2" t="s">
        <v>5</v>
      </c>
      <c r="E249" s="2" t="s">
        <v>5</v>
      </c>
      <c r="F249" s="2" t="s">
        <v>5</v>
      </c>
      <c r="G249" s="2" t="s">
        <v>5</v>
      </c>
      <c r="H249" s="2" t="s">
        <v>5</v>
      </c>
      <c r="I249" s="2" t="s">
        <v>5</v>
      </c>
      <c r="J249" s="2" t="s">
        <v>5</v>
      </c>
      <c r="K249" s="2" t="s">
        <v>5</v>
      </c>
      <c r="L249" s="2">
        <v>48</v>
      </c>
      <c r="M249" s="2" t="s">
        <v>5</v>
      </c>
      <c r="N249" s="2" t="s">
        <v>5</v>
      </c>
      <c r="O249" s="2" t="s">
        <v>5</v>
      </c>
      <c r="P249" s="2" t="s">
        <v>5</v>
      </c>
      <c r="Q249" s="2" t="s">
        <v>5</v>
      </c>
    </row>
    <row r="250" spans="1:17" x14ac:dyDescent="0.2">
      <c r="A250" s="1" t="s">
        <v>1042</v>
      </c>
      <c r="B250" s="1" t="s">
        <v>751</v>
      </c>
      <c r="C250" s="2">
        <v>604</v>
      </c>
      <c r="D250" s="2">
        <v>80</v>
      </c>
      <c r="E250" s="2">
        <v>54</v>
      </c>
      <c r="F250" s="2" t="s">
        <v>5</v>
      </c>
      <c r="G250" s="2">
        <v>78</v>
      </c>
      <c r="H250" s="2">
        <v>42</v>
      </c>
      <c r="I250" s="2" t="s">
        <v>5</v>
      </c>
      <c r="J250" s="2">
        <v>85</v>
      </c>
      <c r="K250" s="2">
        <v>49</v>
      </c>
      <c r="L250" s="2">
        <v>514</v>
      </c>
      <c r="M250" s="2">
        <v>84</v>
      </c>
      <c r="N250" s="2">
        <v>39</v>
      </c>
      <c r="O250" s="2">
        <v>425</v>
      </c>
      <c r="P250" s="2">
        <v>83</v>
      </c>
      <c r="Q250" s="2">
        <v>30</v>
      </c>
    </row>
    <row r="251" spans="1:17" x14ac:dyDescent="0.2">
      <c r="A251" s="1" t="s">
        <v>1042</v>
      </c>
      <c r="B251" s="1" t="s">
        <v>1061</v>
      </c>
      <c r="C251" s="2">
        <v>3861</v>
      </c>
      <c r="D251" s="2">
        <v>559</v>
      </c>
      <c r="E251" s="2">
        <v>24</v>
      </c>
      <c r="F251" s="2">
        <v>3738</v>
      </c>
      <c r="G251" s="2">
        <v>537</v>
      </c>
      <c r="H251" s="2">
        <v>20</v>
      </c>
      <c r="I251" s="2">
        <v>3797</v>
      </c>
      <c r="J251" s="2">
        <v>513</v>
      </c>
      <c r="K251" s="2">
        <v>22</v>
      </c>
      <c r="L251" s="2">
        <v>3316</v>
      </c>
      <c r="M251" s="2">
        <v>469</v>
      </c>
      <c r="N251" s="2">
        <v>18</v>
      </c>
      <c r="O251" s="2">
        <v>2828</v>
      </c>
      <c r="P251" s="2">
        <v>399</v>
      </c>
      <c r="Q251" s="2">
        <v>16</v>
      </c>
    </row>
    <row r="252" spans="1:17" x14ac:dyDescent="0.2">
      <c r="A252" s="1" t="s">
        <v>1042</v>
      </c>
      <c r="B252" s="1" t="s">
        <v>754</v>
      </c>
      <c r="C252" s="2">
        <v>1242</v>
      </c>
      <c r="D252" s="2" t="s">
        <v>5</v>
      </c>
      <c r="E252" s="2" t="s">
        <v>5</v>
      </c>
      <c r="F252" s="2">
        <v>1218</v>
      </c>
      <c r="G252" s="2" t="s">
        <v>5</v>
      </c>
      <c r="H252" s="2" t="s">
        <v>5</v>
      </c>
      <c r="I252" s="2">
        <v>1248</v>
      </c>
      <c r="J252" s="2" t="s">
        <v>5</v>
      </c>
      <c r="K252" s="2" t="s">
        <v>5</v>
      </c>
      <c r="L252" s="2">
        <v>1079</v>
      </c>
      <c r="M252" s="2">
        <v>92</v>
      </c>
      <c r="N252" s="2">
        <v>166</v>
      </c>
      <c r="O252" s="2" t="s">
        <v>5</v>
      </c>
      <c r="P252" s="2">
        <v>84</v>
      </c>
      <c r="Q252" s="2" t="s">
        <v>5</v>
      </c>
    </row>
    <row r="253" spans="1:17" x14ac:dyDescent="0.2">
      <c r="A253" s="1" t="s">
        <v>1042</v>
      </c>
      <c r="B253" s="1" t="s">
        <v>757</v>
      </c>
      <c r="C253" s="2" t="s">
        <v>5</v>
      </c>
      <c r="D253" s="2">
        <v>88</v>
      </c>
      <c r="E253" s="2">
        <v>2</v>
      </c>
      <c r="F253" s="2" t="s">
        <v>5</v>
      </c>
      <c r="G253" s="2">
        <v>76</v>
      </c>
      <c r="H253" s="2" t="s">
        <v>5</v>
      </c>
      <c r="I253" s="2">
        <v>222</v>
      </c>
      <c r="J253" s="2">
        <v>79</v>
      </c>
      <c r="K253" s="2" t="s">
        <v>5</v>
      </c>
      <c r="L253" s="2">
        <v>194</v>
      </c>
      <c r="M253" s="2">
        <v>74</v>
      </c>
      <c r="N253" s="2" t="s">
        <v>5</v>
      </c>
      <c r="O253" s="2">
        <v>160</v>
      </c>
      <c r="P253" s="2">
        <v>72</v>
      </c>
      <c r="Q253" s="2" t="s">
        <v>5</v>
      </c>
    </row>
    <row r="254" spans="1:17" x14ac:dyDescent="0.2">
      <c r="A254" s="1" t="s">
        <v>1042</v>
      </c>
      <c r="B254" s="1" t="s">
        <v>760</v>
      </c>
      <c r="C254" s="2">
        <v>1655</v>
      </c>
      <c r="D254" s="2">
        <v>142</v>
      </c>
      <c r="E254" s="2">
        <v>1</v>
      </c>
      <c r="F254" s="2">
        <v>1617</v>
      </c>
      <c r="G254" s="2">
        <v>130</v>
      </c>
      <c r="H254" s="2">
        <v>1</v>
      </c>
      <c r="I254" s="2">
        <v>1653</v>
      </c>
      <c r="J254" s="2">
        <v>150</v>
      </c>
      <c r="K254" s="2">
        <v>1</v>
      </c>
      <c r="L254" s="2">
        <v>1446</v>
      </c>
      <c r="M254" s="2">
        <v>117</v>
      </c>
      <c r="N254" s="2">
        <v>0</v>
      </c>
      <c r="O254" s="2">
        <v>1264</v>
      </c>
      <c r="P254" s="2">
        <v>116</v>
      </c>
      <c r="Q254" s="2">
        <v>1</v>
      </c>
    </row>
    <row r="255" spans="1:17" x14ac:dyDescent="0.2">
      <c r="A255" s="1" t="s">
        <v>1042</v>
      </c>
      <c r="B255" s="1" t="s">
        <v>763</v>
      </c>
      <c r="C255" s="2" t="s">
        <v>5</v>
      </c>
      <c r="D255" s="2" t="s">
        <v>5</v>
      </c>
      <c r="E255" s="2">
        <v>3</v>
      </c>
      <c r="F255" s="2" t="s">
        <v>5</v>
      </c>
      <c r="G255" s="2" t="s">
        <v>5</v>
      </c>
      <c r="H255" s="2">
        <v>3</v>
      </c>
      <c r="I255" s="2" t="s">
        <v>5</v>
      </c>
      <c r="J255" s="2" t="s">
        <v>5</v>
      </c>
      <c r="K255" s="2">
        <v>3</v>
      </c>
      <c r="L255" s="2">
        <v>59</v>
      </c>
      <c r="M255" s="2" t="s">
        <v>5</v>
      </c>
      <c r="N255" s="2">
        <v>3</v>
      </c>
      <c r="O255" s="2">
        <v>50</v>
      </c>
      <c r="P255" s="2" t="s">
        <v>5</v>
      </c>
      <c r="Q255" s="2">
        <v>2</v>
      </c>
    </row>
    <row r="256" spans="1:17" x14ac:dyDescent="0.2">
      <c r="A256" s="1" t="s">
        <v>1042</v>
      </c>
      <c r="B256" s="1" t="s">
        <v>766</v>
      </c>
      <c r="C256" s="2">
        <v>1113</v>
      </c>
      <c r="D256" s="2">
        <v>57</v>
      </c>
      <c r="E256" s="2">
        <v>524</v>
      </c>
      <c r="F256" s="2">
        <v>1044</v>
      </c>
      <c r="G256" s="2">
        <v>36</v>
      </c>
      <c r="H256" s="2">
        <v>210</v>
      </c>
      <c r="I256" s="2">
        <v>1103</v>
      </c>
      <c r="J256" s="2">
        <v>57</v>
      </c>
      <c r="K256" s="2">
        <v>498</v>
      </c>
      <c r="L256" s="2">
        <v>962</v>
      </c>
      <c r="M256" s="2">
        <v>51</v>
      </c>
      <c r="N256" s="2">
        <v>269</v>
      </c>
      <c r="O256" s="2">
        <v>809</v>
      </c>
      <c r="P256" s="2">
        <v>46</v>
      </c>
      <c r="Q256" s="2">
        <v>365</v>
      </c>
    </row>
    <row r="257" spans="1:17" x14ac:dyDescent="0.2">
      <c r="A257" s="1" t="s">
        <v>1042</v>
      </c>
      <c r="B257" s="1" t="s">
        <v>769</v>
      </c>
      <c r="C257" s="2" t="s">
        <v>5</v>
      </c>
      <c r="D257" s="2">
        <v>4</v>
      </c>
      <c r="E257" s="2">
        <v>2</v>
      </c>
      <c r="F257" s="2" t="s">
        <v>5</v>
      </c>
      <c r="G257" s="2">
        <v>3</v>
      </c>
      <c r="H257" s="2">
        <v>2</v>
      </c>
      <c r="I257" s="2" t="s">
        <v>5</v>
      </c>
      <c r="J257" s="2">
        <v>3</v>
      </c>
      <c r="K257" s="2">
        <v>2</v>
      </c>
      <c r="L257" s="2">
        <v>254</v>
      </c>
      <c r="M257" s="2">
        <v>3</v>
      </c>
      <c r="N257" s="2">
        <v>2</v>
      </c>
      <c r="O257" s="2">
        <v>204</v>
      </c>
      <c r="P257" s="2">
        <v>2</v>
      </c>
      <c r="Q257" s="2">
        <v>2</v>
      </c>
    </row>
    <row r="258" spans="1:17" x14ac:dyDescent="0.2">
      <c r="A258" s="1" t="s">
        <v>1042</v>
      </c>
      <c r="B258" s="1" t="s">
        <v>772</v>
      </c>
      <c r="C258" s="2">
        <v>738</v>
      </c>
      <c r="D258" s="2">
        <v>13</v>
      </c>
      <c r="E258" s="2">
        <v>25</v>
      </c>
      <c r="F258" s="2">
        <v>713</v>
      </c>
      <c r="G258" s="2">
        <v>11</v>
      </c>
      <c r="H258" s="2">
        <v>13</v>
      </c>
      <c r="I258" s="2">
        <v>721</v>
      </c>
      <c r="J258" s="2">
        <v>12</v>
      </c>
      <c r="K258" s="2">
        <v>14</v>
      </c>
      <c r="L258" s="2">
        <v>629</v>
      </c>
      <c r="M258" s="2">
        <v>10</v>
      </c>
      <c r="N258" s="2">
        <v>11</v>
      </c>
      <c r="O258" s="2">
        <v>519</v>
      </c>
      <c r="P258" s="2">
        <v>9</v>
      </c>
      <c r="Q258" s="2">
        <v>10</v>
      </c>
    </row>
    <row r="259" spans="1:17" x14ac:dyDescent="0.2">
      <c r="A259" s="1" t="s">
        <v>1042</v>
      </c>
      <c r="B259" s="1" t="s">
        <v>775</v>
      </c>
      <c r="C259" s="2" t="s">
        <v>5</v>
      </c>
      <c r="D259" s="2" t="s">
        <v>5</v>
      </c>
      <c r="E259" s="2" t="s">
        <v>5</v>
      </c>
      <c r="F259" s="2">
        <v>2577</v>
      </c>
      <c r="G259" s="2" t="s">
        <v>5</v>
      </c>
      <c r="H259" s="2">
        <v>9</v>
      </c>
      <c r="I259" s="2">
        <v>2597</v>
      </c>
      <c r="J259" s="2" t="s">
        <v>5</v>
      </c>
      <c r="K259" s="2">
        <v>10</v>
      </c>
      <c r="L259" s="2" t="s">
        <v>5</v>
      </c>
      <c r="M259" s="2" t="s">
        <v>5</v>
      </c>
      <c r="N259" s="2">
        <v>7</v>
      </c>
      <c r="O259" s="2">
        <v>1873</v>
      </c>
      <c r="P259" s="2" t="s">
        <v>5</v>
      </c>
      <c r="Q259" s="2">
        <v>5</v>
      </c>
    </row>
    <row r="260" spans="1:17" x14ac:dyDescent="0.2">
      <c r="A260" s="1" t="s">
        <v>1042</v>
      </c>
      <c r="B260" s="1" t="s">
        <v>778</v>
      </c>
      <c r="C260" s="2">
        <v>551</v>
      </c>
      <c r="D260" s="2">
        <v>154</v>
      </c>
      <c r="E260" s="2" t="s">
        <v>5</v>
      </c>
      <c r="F260" s="2" t="s">
        <v>5</v>
      </c>
      <c r="G260" s="2">
        <v>144</v>
      </c>
      <c r="H260" s="2" t="s">
        <v>5</v>
      </c>
      <c r="I260" s="2" t="s">
        <v>5</v>
      </c>
      <c r="J260" s="2">
        <v>158</v>
      </c>
      <c r="K260" s="2" t="s">
        <v>5</v>
      </c>
      <c r="L260" s="2">
        <v>471</v>
      </c>
      <c r="M260" s="2">
        <v>152</v>
      </c>
      <c r="N260" s="2" t="s">
        <v>5</v>
      </c>
      <c r="O260" s="2">
        <v>412</v>
      </c>
      <c r="P260" s="2">
        <v>147</v>
      </c>
      <c r="Q260" s="2" t="s">
        <v>5</v>
      </c>
    </row>
    <row r="261" spans="1:17" x14ac:dyDescent="0.2">
      <c r="A261" s="1" t="s">
        <v>1042</v>
      </c>
      <c r="B261" s="1" t="s">
        <v>781</v>
      </c>
      <c r="C261" s="2">
        <v>913</v>
      </c>
      <c r="D261" s="2">
        <v>43</v>
      </c>
      <c r="E261" s="2">
        <v>19</v>
      </c>
      <c r="F261" s="2">
        <v>882</v>
      </c>
      <c r="G261" s="2">
        <v>27</v>
      </c>
      <c r="H261" s="2">
        <v>6</v>
      </c>
      <c r="I261" s="2">
        <v>920</v>
      </c>
      <c r="J261" s="2">
        <v>38</v>
      </c>
      <c r="K261" s="2">
        <v>7</v>
      </c>
      <c r="L261" s="2">
        <v>821</v>
      </c>
      <c r="M261" s="2">
        <v>38</v>
      </c>
      <c r="N261" s="2">
        <v>5</v>
      </c>
      <c r="O261" s="2">
        <v>711</v>
      </c>
      <c r="P261" s="2">
        <v>35</v>
      </c>
      <c r="Q261" s="2">
        <v>5</v>
      </c>
    </row>
    <row r="262" spans="1:17" x14ac:dyDescent="0.2">
      <c r="A262" s="1" t="s">
        <v>1042</v>
      </c>
      <c r="B262" s="1" t="s">
        <v>784</v>
      </c>
      <c r="C262" s="2">
        <v>1509</v>
      </c>
      <c r="D262" s="2">
        <v>265</v>
      </c>
      <c r="E262" s="2">
        <v>33</v>
      </c>
      <c r="F262" s="2">
        <v>1482</v>
      </c>
      <c r="G262" s="2">
        <v>253</v>
      </c>
      <c r="H262" s="2">
        <v>20</v>
      </c>
      <c r="I262" s="2">
        <v>1506</v>
      </c>
      <c r="J262" s="2">
        <v>261</v>
      </c>
      <c r="K262" s="2" t="s">
        <v>5</v>
      </c>
      <c r="L262" s="2">
        <v>1333</v>
      </c>
      <c r="M262" s="2">
        <v>226</v>
      </c>
      <c r="N262" s="2" t="s">
        <v>5</v>
      </c>
      <c r="O262" s="2">
        <v>1115</v>
      </c>
      <c r="P262" s="2">
        <v>212</v>
      </c>
      <c r="Q262" s="2">
        <v>16</v>
      </c>
    </row>
    <row r="263" spans="1:17" x14ac:dyDescent="0.2">
      <c r="A263" s="1" t="s">
        <v>1042</v>
      </c>
      <c r="B263" s="1" t="s">
        <v>787</v>
      </c>
      <c r="C263" s="2">
        <v>1293</v>
      </c>
      <c r="D263" s="2">
        <v>118</v>
      </c>
      <c r="E263" s="2">
        <v>4</v>
      </c>
      <c r="F263" s="2">
        <v>1245</v>
      </c>
      <c r="G263" s="2">
        <v>110</v>
      </c>
      <c r="H263" s="2">
        <v>4</v>
      </c>
      <c r="I263" s="2">
        <v>1270</v>
      </c>
      <c r="J263" s="2">
        <v>122</v>
      </c>
      <c r="K263" s="2">
        <v>4</v>
      </c>
      <c r="L263" s="2">
        <v>1106</v>
      </c>
      <c r="M263" s="2">
        <v>111</v>
      </c>
      <c r="N263" s="2">
        <v>3</v>
      </c>
      <c r="O263" s="2">
        <v>931</v>
      </c>
      <c r="P263" s="2">
        <v>111</v>
      </c>
      <c r="Q263" s="2">
        <v>3</v>
      </c>
    </row>
    <row r="264" spans="1:17" x14ac:dyDescent="0.2">
      <c r="A264" s="1" t="s">
        <v>1042</v>
      </c>
      <c r="B264" s="1" t="s">
        <v>790</v>
      </c>
      <c r="C264" s="2">
        <v>486</v>
      </c>
      <c r="D264" s="2">
        <v>71</v>
      </c>
      <c r="E264" s="2">
        <v>1421</v>
      </c>
      <c r="F264" s="2">
        <v>464</v>
      </c>
      <c r="G264" s="2">
        <v>65</v>
      </c>
      <c r="H264" s="2">
        <v>1517</v>
      </c>
      <c r="I264" s="2">
        <v>468</v>
      </c>
      <c r="J264" s="2">
        <v>64</v>
      </c>
      <c r="K264" s="2">
        <v>1489</v>
      </c>
      <c r="L264" s="2">
        <v>415</v>
      </c>
      <c r="M264" s="2">
        <v>62</v>
      </c>
      <c r="N264" s="2">
        <v>1050</v>
      </c>
      <c r="O264" s="2">
        <v>334</v>
      </c>
      <c r="P264" s="2">
        <v>60</v>
      </c>
      <c r="Q264" s="2">
        <v>1342</v>
      </c>
    </row>
    <row r="265" spans="1:17" x14ac:dyDescent="0.2">
      <c r="A265" s="1" t="s">
        <v>1042</v>
      </c>
      <c r="B265" s="1" t="s">
        <v>793</v>
      </c>
      <c r="C265" s="2" t="s">
        <v>5</v>
      </c>
      <c r="D265" s="2">
        <v>354</v>
      </c>
      <c r="E265" s="2">
        <v>10</v>
      </c>
      <c r="F265" s="2">
        <v>483</v>
      </c>
      <c r="G265" s="2" t="s">
        <v>5</v>
      </c>
      <c r="H265" s="2">
        <v>8</v>
      </c>
      <c r="I265" s="2">
        <v>501</v>
      </c>
      <c r="J265" s="2">
        <v>800</v>
      </c>
      <c r="K265" s="2">
        <v>10</v>
      </c>
      <c r="L265" s="2">
        <v>435</v>
      </c>
      <c r="M265" s="2">
        <v>370</v>
      </c>
      <c r="N265" s="2">
        <v>6</v>
      </c>
      <c r="O265" s="2">
        <v>359</v>
      </c>
      <c r="P265" s="2">
        <v>886</v>
      </c>
      <c r="Q265" s="2">
        <v>6</v>
      </c>
    </row>
    <row r="266" spans="1:17" x14ac:dyDescent="0.2">
      <c r="A266" s="1" t="s">
        <v>1042</v>
      </c>
      <c r="B266" s="1" t="s">
        <v>796</v>
      </c>
      <c r="C266" s="2" t="s">
        <v>5</v>
      </c>
      <c r="D266" s="2">
        <v>57</v>
      </c>
      <c r="E266" s="2">
        <v>17</v>
      </c>
      <c r="F266" s="2">
        <v>954</v>
      </c>
      <c r="G266" s="2">
        <v>57</v>
      </c>
      <c r="H266" s="2">
        <v>16</v>
      </c>
      <c r="I266" s="2">
        <v>938</v>
      </c>
      <c r="J266" s="2">
        <v>60</v>
      </c>
      <c r="K266" s="2">
        <v>17</v>
      </c>
      <c r="L266" s="2">
        <v>822</v>
      </c>
      <c r="M266" s="2">
        <v>55</v>
      </c>
      <c r="N266" s="2">
        <v>14</v>
      </c>
      <c r="O266" s="2">
        <v>674</v>
      </c>
      <c r="P266" s="2">
        <v>52</v>
      </c>
      <c r="Q266" s="2">
        <v>11</v>
      </c>
    </row>
    <row r="267" spans="1:17" x14ac:dyDescent="0.2">
      <c r="A267" s="1" t="s">
        <v>1042</v>
      </c>
      <c r="B267" s="1" t="s">
        <v>799</v>
      </c>
      <c r="C267" s="2">
        <v>412</v>
      </c>
      <c r="D267" s="2">
        <v>196</v>
      </c>
      <c r="E267" s="2">
        <v>41</v>
      </c>
      <c r="F267" s="2">
        <v>406</v>
      </c>
      <c r="G267" s="2">
        <v>180</v>
      </c>
      <c r="H267" s="2">
        <v>19</v>
      </c>
      <c r="I267" s="2">
        <v>414</v>
      </c>
      <c r="J267" s="2">
        <v>167</v>
      </c>
      <c r="K267" s="2">
        <v>22</v>
      </c>
      <c r="L267" s="2">
        <v>363</v>
      </c>
      <c r="M267" s="2">
        <v>163</v>
      </c>
      <c r="N267" s="2">
        <v>18</v>
      </c>
      <c r="O267" s="2">
        <v>293</v>
      </c>
      <c r="P267" s="2">
        <v>152</v>
      </c>
      <c r="Q267" s="2">
        <v>16</v>
      </c>
    </row>
    <row r="268" spans="1:17" x14ac:dyDescent="0.2">
      <c r="A268" s="1" t="s">
        <v>1042</v>
      </c>
      <c r="B268" s="1" t="s">
        <v>802</v>
      </c>
      <c r="C268" s="2">
        <v>514</v>
      </c>
      <c r="D268" s="2">
        <v>7</v>
      </c>
      <c r="E268" s="2">
        <v>159</v>
      </c>
      <c r="F268" s="2">
        <v>498</v>
      </c>
      <c r="G268" s="2">
        <v>6</v>
      </c>
      <c r="H268" s="2">
        <v>153</v>
      </c>
      <c r="I268" s="2">
        <v>517</v>
      </c>
      <c r="J268" s="2">
        <v>7</v>
      </c>
      <c r="K268" s="2">
        <v>171</v>
      </c>
      <c r="L268" s="2">
        <v>439</v>
      </c>
      <c r="M268" s="2">
        <v>5</v>
      </c>
      <c r="N268" s="2">
        <v>133</v>
      </c>
      <c r="O268" s="2">
        <v>379</v>
      </c>
      <c r="P268" s="2" t="s">
        <v>5</v>
      </c>
      <c r="Q268" s="2">
        <v>125</v>
      </c>
    </row>
    <row r="269" spans="1:17" x14ac:dyDescent="0.2">
      <c r="A269" s="1" t="s">
        <v>1042</v>
      </c>
      <c r="B269" s="1" t="s">
        <v>805</v>
      </c>
      <c r="C269" s="2">
        <v>561</v>
      </c>
      <c r="D269" s="2" t="s">
        <v>5</v>
      </c>
      <c r="E269" s="2" t="s">
        <v>5</v>
      </c>
      <c r="F269" s="2">
        <v>549</v>
      </c>
      <c r="G269" s="2" t="s">
        <v>5</v>
      </c>
      <c r="H269" s="2" t="s">
        <v>5</v>
      </c>
      <c r="I269" s="2">
        <v>545</v>
      </c>
      <c r="J269" s="2" t="s">
        <v>5</v>
      </c>
      <c r="K269" s="2" t="s">
        <v>5</v>
      </c>
      <c r="L269" s="2">
        <v>469</v>
      </c>
      <c r="M269" s="2" t="s">
        <v>5</v>
      </c>
      <c r="N269" s="2" t="s">
        <v>5</v>
      </c>
      <c r="O269" s="2">
        <v>391</v>
      </c>
      <c r="P269" s="2">
        <v>2198</v>
      </c>
      <c r="Q269" s="2">
        <v>3213</v>
      </c>
    </row>
    <row r="270" spans="1:17" x14ac:dyDescent="0.2">
      <c r="A270" s="1" t="s">
        <v>1042</v>
      </c>
      <c r="B270" s="1" t="s">
        <v>808</v>
      </c>
      <c r="C270" s="2">
        <v>1210</v>
      </c>
      <c r="D270" s="2">
        <v>66</v>
      </c>
      <c r="E270" s="2">
        <v>56</v>
      </c>
      <c r="F270" s="2">
        <v>1192</v>
      </c>
      <c r="G270" s="2">
        <v>63</v>
      </c>
      <c r="H270" s="2">
        <v>29</v>
      </c>
      <c r="I270" s="2">
        <v>1207</v>
      </c>
      <c r="J270" s="2">
        <v>80</v>
      </c>
      <c r="K270" s="2">
        <v>31</v>
      </c>
      <c r="L270" s="2">
        <v>1058</v>
      </c>
      <c r="M270" s="2">
        <v>66</v>
      </c>
      <c r="N270" s="2">
        <v>23</v>
      </c>
      <c r="O270" s="2">
        <v>862</v>
      </c>
      <c r="P270" s="2">
        <v>60</v>
      </c>
      <c r="Q270" s="2">
        <v>31</v>
      </c>
    </row>
    <row r="271" spans="1:17" x14ac:dyDescent="0.2">
      <c r="A271" s="1" t="s">
        <v>1042</v>
      </c>
      <c r="B271" s="1" t="s">
        <v>811</v>
      </c>
      <c r="C271" s="2">
        <v>724</v>
      </c>
      <c r="D271" s="2">
        <v>30</v>
      </c>
      <c r="E271" s="2">
        <v>1</v>
      </c>
      <c r="F271" s="2">
        <v>765</v>
      </c>
      <c r="G271" s="2" t="s">
        <v>5</v>
      </c>
      <c r="H271" s="2">
        <v>1</v>
      </c>
      <c r="I271" s="2">
        <v>688</v>
      </c>
      <c r="J271" s="2" t="s">
        <v>5</v>
      </c>
      <c r="K271" s="2">
        <v>1</v>
      </c>
      <c r="L271" s="2" t="s">
        <v>5</v>
      </c>
      <c r="M271" s="2" t="s">
        <v>5</v>
      </c>
      <c r="N271" s="2">
        <v>1</v>
      </c>
      <c r="O271" s="2" t="s">
        <v>5</v>
      </c>
      <c r="P271" s="2" t="s">
        <v>5</v>
      </c>
      <c r="Q271" s="2">
        <v>1</v>
      </c>
    </row>
    <row r="272" spans="1:17" x14ac:dyDescent="0.2">
      <c r="A272" s="1" t="s">
        <v>1042</v>
      </c>
      <c r="B272" s="1" t="s">
        <v>814</v>
      </c>
      <c r="C272" s="2">
        <v>1529</v>
      </c>
      <c r="D272" s="2">
        <v>82</v>
      </c>
      <c r="E272" s="2">
        <v>110</v>
      </c>
      <c r="F272" s="2">
        <v>1465</v>
      </c>
      <c r="G272" s="2">
        <v>74</v>
      </c>
      <c r="H272" s="2">
        <v>99</v>
      </c>
      <c r="I272" s="2">
        <v>1490</v>
      </c>
      <c r="J272" s="2">
        <v>82</v>
      </c>
      <c r="K272" s="2">
        <v>96</v>
      </c>
      <c r="L272" s="2">
        <v>1288</v>
      </c>
      <c r="M272" s="2">
        <v>71</v>
      </c>
      <c r="N272" s="2">
        <v>80</v>
      </c>
      <c r="O272" s="2">
        <v>1088</v>
      </c>
      <c r="P272" s="2">
        <v>70</v>
      </c>
      <c r="Q272" s="2">
        <v>92</v>
      </c>
    </row>
    <row r="273" spans="1:17" x14ac:dyDescent="0.2">
      <c r="A273" s="1" t="s">
        <v>1042</v>
      </c>
      <c r="B273" s="1" t="s">
        <v>817</v>
      </c>
      <c r="C273" s="2">
        <v>2560</v>
      </c>
      <c r="D273" s="2">
        <v>889</v>
      </c>
      <c r="E273" s="2" t="s">
        <v>5</v>
      </c>
      <c r="F273" s="2" t="s">
        <v>5</v>
      </c>
      <c r="G273" s="2">
        <v>942</v>
      </c>
      <c r="H273" s="2">
        <v>81</v>
      </c>
      <c r="I273" s="2">
        <v>2548</v>
      </c>
      <c r="J273" s="2">
        <v>963</v>
      </c>
      <c r="K273" s="2">
        <v>91</v>
      </c>
      <c r="L273" s="2">
        <v>2206</v>
      </c>
      <c r="M273" s="2">
        <v>910</v>
      </c>
      <c r="N273" s="2">
        <v>43</v>
      </c>
      <c r="O273" s="2">
        <v>1830</v>
      </c>
      <c r="P273" s="2" t="s">
        <v>5</v>
      </c>
      <c r="Q273" s="2" t="s">
        <v>5</v>
      </c>
    </row>
    <row r="274" spans="1:17" x14ac:dyDescent="0.2">
      <c r="A274" s="1" t="s">
        <v>1042</v>
      </c>
      <c r="B274" s="1" t="s">
        <v>820</v>
      </c>
      <c r="C274" s="2">
        <v>1484</v>
      </c>
      <c r="D274" s="2" t="s">
        <v>5</v>
      </c>
      <c r="E274" s="2">
        <v>17</v>
      </c>
      <c r="F274" s="2">
        <v>1431</v>
      </c>
      <c r="G274" s="2" t="s">
        <v>5</v>
      </c>
      <c r="H274" s="2">
        <v>4</v>
      </c>
      <c r="I274" s="2">
        <v>1465</v>
      </c>
      <c r="J274" s="2" t="s">
        <v>5</v>
      </c>
      <c r="K274" s="2">
        <v>5</v>
      </c>
      <c r="L274" s="2">
        <v>1286</v>
      </c>
      <c r="M274" s="2" t="s">
        <v>5</v>
      </c>
      <c r="N274" s="2">
        <v>4</v>
      </c>
      <c r="O274" s="2">
        <v>1085</v>
      </c>
      <c r="P274" s="2" t="s">
        <v>5</v>
      </c>
      <c r="Q274" s="2">
        <v>3</v>
      </c>
    </row>
    <row r="275" spans="1:17" x14ac:dyDescent="0.2">
      <c r="A275" s="1" t="s">
        <v>1042</v>
      </c>
      <c r="B275" s="1" t="s">
        <v>823</v>
      </c>
      <c r="C275" s="2">
        <v>245</v>
      </c>
      <c r="D275" s="2">
        <v>4</v>
      </c>
      <c r="E275" s="2">
        <v>5</v>
      </c>
      <c r="F275" s="2">
        <v>229</v>
      </c>
      <c r="G275" s="2">
        <v>3</v>
      </c>
      <c r="H275" s="2">
        <v>2</v>
      </c>
      <c r="I275" s="2">
        <v>244</v>
      </c>
      <c r="J275" s="2">
        <v>3</v>
      </c>
      <c r="K275" s="2">
        <v>2</v>
      </c>
      <c r="L275" s="2">
        <v>210</v>
      </c>
      <c r="M275" s="2">
        <v>3</v>
      </c>
      <c r="N275" s="2">
        <v>2</v>
      </c>
      <c r="O275" s="2">
        <v>176</v>
      </c>
      <c r="P275" s="2">
        <v>2</v>
      </c>
      <c r="Q275" s="2">
        <v>1</v>
      </c>
    </row>
    <row r="276" spans="1:17" x14ac:dyDescent="0.2">
      <c r="A276" s="1" t="s">
        <v>1042</v>
      </c>
      <c r="B276" s="1" t="s">
        <v>826</v>
      </c>
      <c r="C276" s="2">
        <v>654</v>
      </c>
      <c r="D276" s="2" t="s">
        <v>5</v>
      </c>
      <c r="E276" s="2">
        <v>21</v>
      </c>
      <c r="F276" s="2">
        <v>603</v>
      </c>
      <c r="G276" s="2" t="s">
        <v>5</v>
      </c>
      <c r="H276" s="2">
        <v>17</v>
      </c>
      <c r="I276" s="2">
        <v>616</v>
      </c>
      <c r="J276" s="2">
        <v>18</v>
      </c>
      <c r="K276" s="2">
        <v>19</v>
      </c>
      <c r="L276" s="2">
        <v>534</v>
      </c>
      <c r="M276" s="2">
        <v>15</v>
      </c>
      <c r="N276" s="2">
        <v>16</v>
      </c>
      <c r="O276" s="2">
        <v>467</v>
      </c>
      <c r="P276" s="2">
        <v>14</v>
      </c>
      <c r="Q276" s="2">
        <v>13</v>
      </c>
    </row>
    <row r="277" spans="1:17" x14ac:dyDescent="0.2">
      <c r="A277" s="1" t="s">
        <v>1042</v>
      </c>
      <c r="B277" s="1" t="s">
        <v>829</v>
      </c>
      <c r="C277" s="2">
        <v>813</v>
      </c>
      <c r="D277" s="2">
        <v>139</v>
      </c>
      <c r="E277" s="2">
        <v>81</v>
      </c>
      <c r="F277" s="2">
        <v>805</v>
      </c>
      <c r="G277" s="2">
        <v>129</v>
      </c>
      <c r="H277" s="2">
        <v>71</v>
      </c>
      <c r="I277" s="2">
        <v>823</v>
      </c>
      <c r="J277" s="2">
        <v>140</v>
      </c>
      <c r="K277" s="2">
        <v>75</v>
      </c>
      <c r="L277" s="2">
        <v>713</v>
      </c>
      <c r="M277" s="2">
        <v>120</v>
      </c>
      <c r="N277" s="2">
        <v>55</v>
      </c>
      <c r="O277" s="2">
        <v>611</v>
      </c>
      <c r="P277" s="2">
        <v>115</v>
      </c>
      <c r="Q277" s="2">
        <v>45</v>
      </c>
    </row>
    <row r="278" spans="1:17" x14ac:dyDescent="0.2">
      <c r="A278" s="1" t="s">
        <v>1042</v>
      </c>
      <c r="B278" s="1" t="s">
        <v>832</v>
      </c>
      <c r="C278" s="2">
        <v>568</v>
      </c>
      <c r="D278" s="2">
        <v>65</v>
      </c>
      <c r="E278" s="2">
        <v>514</v>
      </c>
      <c r="F278" s="2">
        <v>546</v>
      </c>
      <c r="G278" s="2">
        <v>42</v>
      </c>
      <c r="H278" s="2">
        <v>225</v>
      </c>
      <c r="I278" s="2">
        <v>567</v>
      </c>
      <c r="J278" s="2">
        <v>70</v>
      </c>
      <c r="K278" s="2">
        <v>461</v>
      </c>
      <c r="L278" s="2">
        <v>501</v>
      </c>
      <c r="M278" s="2">
        <v>65</v>
      </c>
      <c r="N278" s="2">
        <v>265</v>
      </c>
      <c r="O278" s="2">
        <v>418</v>
      </c>
      <c r="P278" s="2">
        <v>58</v>
      </c>
      <c r="Q278" s="2">
        <v>355</v>
      </c>
    </row>
    <row r="279" spans="1:17" x14ac:dyDescent="0.2">
      <c r="A279" s="1" t="s">
        <v>1042</v>
      </c>
      <c r="B279" s="1" t="s">
        <v>835</v>
      </c>
      <c r="C279" s="2">
        <v>1059</v>
      </c>
      <c r="D279" s="2">
        <v>707</v>
      </c>
      <c r="E279" s="2">
        <v>5</v>
      </c>
      <c r="F279" s="2">
        <v>1006</v>
      </c>
      <c r="G279" s="2">
        <v>733</v>
      </c>
      <c r="H279" s="2">
        <v>2</v>
      </c>
      <c r="I279" s="2">
        <v>1089</v>
      </c>
      <c r="J279" s="2">
        <v>830</v>
      </c>
      <c r="K279" s="2">
        <v>2</v>
      </c>
      <c r="L279" s="2">
        <v>953</v>
      </c>
      <c r="M279" s="2">
        <v>717</v>
      </c>
      <c r="N279" s="2">
        <v>2</v>
      </c>
      <c r="O279" s="2">
        <v>820</v>
      </c>
      <c r="P279" s="2">
        <v>623</v>
      </c>
      <c r="Q279" s="2">
        <v>2</v>
      </c>
    </row>
    <row r="280" spans="1:17" x14ac:dyDescent="0.2">
      <c r="A280" s="1" t="s">
        <v>1042</v>
      </c>
      <c r="B280" s="1" t="s">
        <v>838</v>
      </c>
      <c r="C280" s="2">
        <v>3992</v>
      </c>
      <c r="D280" s="2">
        <v>1820</v>
      </c>
      <c r="E280" s="2">
        <v>24</v>
      </c>
      <c r="F280" s="2">
        <v>3979</v>
      </c>
      <c r="G280" s="2">
        <v>1617</v>
      </c>
      <c r="H280" s="2">
        <v>20</v>
      </c>
      <c r="I280" s="2">
        <v>4038</v>
      </c>
      <c r="J280" s="2">
        <v>1733</v>
      </c>
      <c r="K280" s="2">
        <v>36</v>
      </c>
      <c r="L280" s="2">
        <v>3556</v>
      </c>
      <c r="M280" s="2">
        <v>1702</v>
      </c>
      <c r="N280" s="2">
        <v>28</v>
      </c>
      <c r="O280" s="2" t="s">
        <v>5</v>
      </c>
      <c r="P280" s="2" t="s">
        <v>5</v>
      </c>
      <c r="Q280" s="2">
        <v>24</v>
      </c>
    </row>
    <row r="281" spans="1:17" x14ac:dyDescent="0.2">
      <c r="A281" s="1" t="s">
        <v>1042</v>
      </c>
      <c r="B281" s="1" t="s">
        <v>841</v>
      </c>
      <c r="C281" s="2">
        <v>575</v>
      </c>
      <c r="D281" s="2">
        <v>47</v>
      </c>
      <c r="E281" s="2">
        <v>77</v>
      </c>
      <c r="F281" s="2">
        <v>550</v>
      </c>
      <c r="G281" s="2">
        <v>48</v>
      </c>
      <c r="H281" s="2">
        <v>49</v>
      </c>
      <c r="I281" s="2">
        <v>592</v>
      </c>
      <c r="J281" s="2">
        <v>55</v>
      </c>
      <c r="K281" s="2">
        <v>55</v>
      </c>
      <c r="L281" s="2">
        <v>525</v>
      </c>
      <c r="M281" s="2">
        <v>41</v>
      </c>
      <c r="N281" s="2">
        <v>44</v>
      </c>
      <c r="O281" s="2">
        <v>420</v>
      </c>
      <c r="P281" s="2" t="s">
        <v>5</v>
      </c>
      <c r="Q281" s="2">
        <v>34</v>
      </c>
    </row>
    <row r="282" spans="1:17" x14ac:dyDescent="0.2">
      <c r="A282" s="1" t="s">
        <v>1042</v>
      </c>
      <c r="B282" s="1" t="s">
        <v>844</v>
      </c>
      <c r="C282" s="2">
        <v>811</v>
      </c>
      <c r="D282" s="2">
        <v>184</v>
      </c>
      <c r="E282" s="2">
        <v>41</v>
      </c>
      <c r="F282" s="2">
        <v>809</v>
      </c>
      <c r="G282" s="2">
        <v>159</v>
      </c>
      <c r="H282" s="2">
        <v>27</v>
      </c>
      <c r="I282" s="2">
        <v>859</v>
      </c>
      <c r="J282" s="2">
        <v>183</v>
      </c>
      <c r="K282" s="2">
        <v>30</v>
      </c>
      <c r="L282" s="2">
        <v>765</v>
      </c>
      <c r="M282" s="2">
        <v>160</v>
      </c>
      <c r="N282" s="2">
        <v>19</v>
      </c>
      <c r="O282" s="2">
        <v>620</v>
      </c>
      <c r="P282" s="2">
        <v>161</v>
      </c>
      <c r="Q282" s="2">
        <v>24</v>
      </c>
    </row>
    <row r="283" spans="1:17" x14ac:dyDescent="0.2">
      <c r="A283" s="1" t="s">
        <v>1042</v>
      </c>
      <c r="B283" s="1" t="s">
        <v>847</v>
      </c>
      <c r="C283" s="2">
        <v>1035</v>
      </c>
      <c r="D283" s="2">
        <v>14</v>
      </c>
      <c r="E283" s="2">
        <v>40</v>
      </c>
      <c r="F283" s="2" t="s">
        <v>5</v>
      </c>
      <c r="G283" s="2" t="s">
        <v>5</v>
      </c>
      <c r="H283" s="2">
        <v>35</v>
      </c>
      <c r="I283" s="2">
        <v>1011</v>
      </c>
      <c r="J283" s="2">
        <v>17</v>
      </c>
      <c r="K283" s="2">
        <v>38</v>
      </c>
      <c r="L283" s="2">
        <v>888</v>
      </c>
      <c r="M283" s="2">
        <v>15</v>
      </c>
      <c r="N283" s="2">
        <v>31</v>
      </c>
      <c r="O283" s="2">
        <v>736</v>
      </c>
      <c r="P283" s="2">
        <v>12</v>
      </c>
      <c r="Q283" s="2">
        <v>23</v>
      </c>
    </row>
    <row r="284" spans="1:17" x14ac:dyDescent="0.2">
      <c r="A284" s="1" t="s">
        <v>1042</v>
      </c>
      <c r="B284" s="1" t="s">
        <v>850</v>
      </c>
      <c r="C284" s="2">
        <v>846</v>
      </c>
      <c r="D284" s="2" t="s">
        <v>5</v>
      </c>
      <c r="E284" s="2">
        <v>31</v>
      </c>
      <c r="F284" s="2">
        <v>826</v>
      </c>
      <c r="G284" s="2" t="s">
        <v>5</v>
      </c>
      <c r="H284" s="2">
        <v>18</v>
      </c>
      <c r="I284" s="2">
        <v>799</v>
      </c>
      <c r="J284" s="2" t="s">
        <v>5</v>
      </c>
      <c r="K284" s="2">
        <v>19</v>
      </c>
      <c r="L284" s="2" t="s">
        <v>5</v>
      </c>
      <c r="M284" s="2" t="s">
        <v>5</v>
      </c>
      <c r="N284" s="2">
        <v>15</v>
      </c>
      <c r="O284" s="2" t="s">
        <v>5</v>
      </c>
      <c r="P284" s="2">
        <v>688</v>
      </c>
      <c r="Q284" s="2">
        <v>15</v>
      </c>
    </row>
    <row r="285" spans="1:17" x14ac:dyDescent="0.2">
      <c r="A285" s="1" t="s">
        <v>1042</v>
      </c>
      <c r="B285" s="1" t="s">
        <v>853</v>
      </c>
      <c r="C285" s="2">
        <v>272</v>
      </c>
      <c r="D285" s="2">
        <v>10</v>
      </c>
      <c r="E285" s="2">
        <v>3</v>
      </c>
      <c r="F285" s="2">
        <v>270</v>
      </c>
      <c r="G285" s="2">
        <v>10</v>
      </c>
      <c r="H285" s="2">
        <v>2</v>
      </c>
      <c r="I285" s="2">
        <v>271</v>
      </c>
      <c r="J285" s="2">
        <v>12</v>
      </c>
      <c r="K285" s="2">
        <v>2</v>
      </c>
      <c r="L285" s="2">
        <v>236</v>
      </c>
      <c r="M285" s="2">
        <v>9</v>
      </c>
      <c r="N285" s="2">
        <v>2</v>
      </c>
      <c r="O285" s="2">
        <v>198</v>
      </c>
      <c r="P285" s="2">
        <v>8</v>
      </c>
      <c r="Q285" s="2">
        <v>2</v>
      </c>
    </row>
    <row r="286" spans="1:17" x14ac:dyDescent="0.2">
      <c r="A286" s="1" t="s">
        <v>1042</v>
      </c>
      <c r="B286" s="1" t="s">
        <v>856</v>
      </c>
      <c r="C286" s="2" t="s">
        <v>5</v>
      </c>
      <c r="D286" s="2">
        <v>142</v>
      </c>
      <c r="E286" s="2" t="s">
        <v>5</v>
      </c>
      <c r="F286" s="2" t="s">
        <v>5</v>
      </c>
      <c r="G286" s="2" t="s">
        <v>5</v>
      </c>
      <c r="H286" s="2" t="s">
        <v>5</v>
      </c>
      <c r="I286" s="2">
        <v>599</v>
      </c>
      <c r="J286" s="2">
        <v>70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5</v>
      </c>
      <c r="P286" s="2" t="s">
        <v>5</v>
      </c>
      <c r="Q286" s="2" t="s">
        <v>5</v>
      </c>
    </row>
    <row r="287" spans="1:17" x14ac:dyDescent="0.2">
      <c r="A287" s="1" t="s">
        <v>1042</v>
      </c>
      <c r="B287" s="1" t="s">
        <v>859</v>
      </c>
      <c r="C287" s="2">
        <v>416</v>
      </c>
      <c r="D287" s="2">
        <v>53</v>
      </c>
      <c r="E287" s="2">
        <v>4</v>
      </c>
      <c r="F287" s="2">
        <v>408</v>
      </c>
      <c r="G287" s="2">
        <v>48</v>
      </c>
      <c r="H287" s="2">
        <v>3</v>
      </c>
      <c r="I287" s="2">
        <v>417</v>
      </c>
      <c r="J287" s="2">
        <v>53</v>
      </c>
      <c r="K287" s="2">
        <v>3</v>
      </c>
      <c r="L287" s="2">
        <v>354</v>
      </c>
      <c r="M287" s="2">
        <v>42</v>
      </c>
      <c r="N287" s="2">
        <v>2</v>
      </c>
      <c r="O287" s="2">
        <v>285</v>
      </c>
      <c r="P287" s="2">
        <v>39</v>
      </c>
      <c r="Q287" s="2">
        <v>2</v>
      </c>
    </row>
    <row r="288" spans="1:17" x14ac:dyDescent="0.2">
      <c r="A288" s="1" t="s">
        <v>1042</v>
      </c>
      <c r="B288" s="1" t="s">
        <v>61</v>
      </c>
      <c r="C288" s="2">
        <v>6074</v>
      </c>
      <c r="D288" s="2">
        <v>546</v>
      </c>
      <c r="E288" s="2">
        <v>7</v>
      </c>
      <c r="F288" s="2">
        <v>5902</v>
      </c>
      <c r="G288" s="2">
        <v>486</v>
      </c>
      <c r="H288" s="2">
        <v>6</v>
      </c>
      <c r="I288" s="2">
        <v>5878</v>
      </c>
      <c r="J288" s="2" t="s">
        <v>5</v>
      </c>
      <c r="K288" s="2">
        <v>7</v>
      </c>
      <c r="L288" s="2">
        <v>5279</v>
      </c>
      <c r="M288" s="2" t="s">
        <v>5</v>
      </c>
      <c r="N288" s="2">
        <v>6</v>
      </c>
      <c r="O288" s="2">
        <v>4643</v>
      </c>
      <c r="P288" s="2" t="s">
        <v>5</v>
      </c>
      <c r="Q288" s="2">
        <v>6</v>
      </c>
    </row>
    <row r="289" spans="1:17" x14ac:dyDescent="0.2">
      <c r="A289" s="1" t="s">
        <v>1042</v>
      </c>
      <c r="B289" s="1" t="s">
        <v>864</v>
      </c>
      <c r="C289" s="2">
        <v>1514</v>
      </c>
      <c r="D289" s="2">
        <v>22</v>
      </c>
      <c r="E289" s="2">
        <v>20</v>
      </c>
      <c r="F289" s="2">
        <v>1464</v>
      </c>
      <c r="G289" s="2">
        <v>19</v>
      </c>
      <c r="H289" s="2">
        <v>18</v>
      </c>
      <c r="I289" s="2">
        <v>1479</v>
      </c>
      <c r="J289" s="2">
        <v>20</v>
      </c>
      <c r="K289" s="2">
        <v>19</v>
      </c>
      <c r="L289" s="2">
        <v>1292</v>
      </c>
      <c r="M289" s="2">
        <v>17</v>
      </c>
      <c r="N289" s="2">
        <v>16</v>
      </c>
      <c r="O289" s="2">
        <v>1080</v>
      </c>
      <c r="P289" s="2">
        <v>13</v>
      </c>
      <c r="Q289" s="2">
        <v>12</v>
      </c>
    </row>
    <row r="290" spans="1:17" x14ac:dyDescent="0.2">
      <c r="A290" s="1" t="s">
        <v>1042</v>
      </c>
      <c r="B290" s="1" t="s">
        <v>867</v>
      </c>
      <c r="C290" s="2" t="s">
        <v>5</v>
      </c>
      <c r="D290" s="2">
        <v>7</v>
      </c>
      <c r="E290" s="2">
        <v>2</v>
      </c>
      <c r="F290" s="2" t="s">
        <v>5</v>
      </c>
      <c r="G290" s="2">
        <v>6</v>
      </c>
      <c r="H290" s="2">
        <v>1</v>
      </c>
      <c r="I290" s="2">
        <v>339</v>
      </c>
      <c r="J290" s="2">
        <v>7</v>
      </c>
      <c r="K290" s="2">
        <v>1</v>
      </c>
      <c r="L290" s="2">
        <v>304</v>
      </c>
      <c r="M290" s="2">
        <v>6</v>
      </c>
      <c r="N290" s="2">
        <v>1</v>
      </c>
      <c r="O290" s="2">
        <v>260</v>
      </c>
      <c r="P290" s="2">
        <v>5</v>
      </c>
      <c r="Q290" s="2">
        <v>1</v>
      </c>
    </row>
    <row r="291" spans="1:17" x14ac:dyDescent="0.2">
      <c r="A291" s="1" t="s">
        <v>1042</v>
      </c>
      <c r="B291" s="1" t="s">
        <v>870</v>
      </c>
      <c r="C291" s="2">
        <v>643</v>
      </c>
      <c r="D291" s="2">
        <v>7</v>
      </c>
      <c r="E291" s="2">
        <v>7</v>
      </c>
      <c r="F291" s="2" t="s">
        <v>5</v>
      </c>
      <c r="G291" s="2">
        <v>7</v>
      </c>
      <c r="H291" s="2">
        <v>5</v>
      </c>
      <c r="I291" s="2">
        <v>604</v>
      </c>
      <c r="J291" s="2">
        <v>7</v>
      </c>
      <c r="K291" s="2">
        <v>8</v>
      </c>
      <c r="L291" s="2">
        <v>549</v>
      </c>
      <c r="M291" s="2">
        <v>6</v>
      </c>
      <c r="N291" s="2">
        <v>6</v>
      </c>
      <c r="O291" s="2">
        <v>459</v>
      </c>
      <c r="P291" s="2">
        <v>4</v>
      </c>
      <c r="Q291" s="2">
        <v>4</v>
      </c>
    </row>
    <row r="292" spans="1:17" x14ac:dyDescent="0.2">
      <c r="A292" s="1" t="s">
        <v>1042</v>
      </c>
      <c r="B292" s="1" t="s">
        <v>873</v>
      </c>
      <c r="C292" s="2">
        <v>823</v>
      </c>
      <c r="D292" s="2">
        <v>134</v>
      </c>
      <c r="E292" s="2">
        <v>6</v>
      </c>
      <c r="F292" s="2">
        <v>797</v>
      </c>
      <c r="G292" s="2">
        <v>136</v>
      </c>
      <c r="H292" s="2">
        <v>4</v>
      </c>
      <c r="I292" s="2">
        <v>803</v>
      </c>
      <c r="J292" s="2">
        <v>149</v>
      </c>
      <c r="K292" s="2">
        <v>4</v>
      </c>
      <c r="L292" s="2">
        <v>704</v>
      </c>
      <c r="M292" s="2">
        <v>139</v>
      </c>
      <c r="N292" s="2">
        <v>3</v>
      </c>
      <c r="O292" s="2">
        <v>576</v>
      </c>
      <c r="P292" s="2">
        <v>130</v>
      </c>
      <c r="Q292" s="2">
        <v>2</v>
      </c>
    </row>
    <row r="293" spans="1:17" x14ac:dyDescent="0.2">
      <c r="A293" s="1" t="s">
        <v>1042</v>
      </c>
      <c r="B293" s="1" t="s">
        <v>876</v>
      </c>
      <c r="C293" s="2">
        <v>846</v>
      </c>
      <c r="D293" s="2" t="s">
        <v>5</v>
      </c>
      <c r="E293" s="2">
        <v>14</v>
      </c>
      <c r="F293" s="2">
        <v>818</v>
      </c>
      <c r="G293" s="2" t="s">
        <v>5</v>
      </c>
      <c r="H293" s="2">
        <v>12</v>
      </c>
      <c r="I293" s="2" t="s">
        <v>5</v>
      </c>
      <c r="J293" s="2" t="s">
        <v>5</v>
      </c>
      <c r="K293" s="2">
        <v>12</v>
      </c>
      <c r="L293" s="2">
        <v>721</v>
      </c>
      <c r="M293" s="2" t="s">
        <v>5</v>
      </c>
      <c r="N293" s="2">
        <v>9</v>
      </c>
      <c r="O293" s="2">
        <v>600</v>
      </c>
      <c r="P293" s="2" t="s">
        <v>5</v>
      </c>
      <c r="Q293" s="2">
        <v>8</v>
      </c>
    </row>
    <row r="294" spans="1:17" x14ac:dyDescent="0.2">
      <c r="A294" s="1" t="s">
        <v>1042</v>
      </c>
      <c r="B294" s="1" t="s">
        <v>879</v>
      </c>
      <c r="C294" s="2">
        <v>1400</v>
      </c>
      <c r="D294" s="2">
        <v>277</v>
      </c>
      <c r="E294" s="2">
        <v>4</v>
      </c>
      <c r="F294" s="2">
        <v>1347</v>
      </c>
      <c r="G294" s="2">
        <v>243</v>
      </c>
      <c r="H294" s="2">
        <v>3</v>
      </c>
      <c r="I294" s="2">
        <v>1382</v>
      </c>
      <c r="J294" s="2" t="s">
        <v>5</v>
      </c>
      <c r="K294" s="2">
        <v>3</v>
      </c>
      <c r="L294" s="2">
        <v>1208</v>
      </c>
      <c r="M294" s="2" t="s">
        <v>5</v>
      </c>
      <c r="N294" s="2">
        <v>3</v>
      </c>
      <c r="O294" s="2">
        <v>1029</v>
      </c>
      <c r="P294" s="2">
        <v>140</v>
      </c>
      <c r="Q294" s="2">
        <v>3</v>
      </c>
    </row>
    <row r="295" spans="1:17" x14ac:dyDescent="0.2">
      <c r="A295" s="1" t="s">
        <v>1042</v>
      </c>
      <c r="B295" s="1" t="s">
        <v>882</v>
      </c>
      <c r="C295" s="2">
        <v>754</v>
      </c>
      <c r="D295" s="2">
        <v>8</v>
      </c>
      <c r="E295" s="2">
        <v>57</v>
      </c>
      <c r="F295" s="2">
        <v>697</v>
      </c>
      <c r="G295" s="2">
        <v>7</v>
      </c>
      <c r="H295" s="2">
        <v>24</v>
      </c>
      <c r="I295" s="2">
        <v>737</v>
      </c>
      <c r="J295" s="2">
        <v>8</v>
      </c>
      <c r="K295" s="2">
        <v>47</v>
      </c>
      <c r="L295" s="2">
        <v>660</v>
      </c>
      <c r="M295" s="2">
        <v>7</v>
      </c>
      <c r="N295" s="2">
        <v>15</v>
      </c>
      <c r="O295" s="2">
        <v>566</v>
      </c>
      <c r="P295" s="2">
        <v>4</v>
      </c>
      <c r="Q295" s="2">
        <v>11</v>
      </c>
    </row>
    <row r="296" spans="1:17" x14ac:dyDescent="0.2">
      <c r="A296" s="1" t="s">
        <v>1042</v>
      </c>
      <c r="B296" s="1" t="s">
        <v>885</v>
      </c>
      <c r="C296" s="2">
        <v>1147</v>
      </c>
      <c r="D296" s="2">
        <v>229</v>
      </c>
      <c r="E296" s="2">
        <v>31</v>
      </c>
      <c r="F296" s="2" t="s">
        <v>5</v>
      </c>
      <c r="G296" s="2">
        <v>235</v>
      </c>
      <c r="H296" s="2">
        <v>29</v>
      </c>
      <c r="I296" s="2">
        <v>1103</v>
      </c>
      <c r="J296" s="2">
        <v>255</v>
      </c>
      <c r="K296" s="2">
        <v>30</v>
      </c>
      <c r="L296" s="2">
        <v>973</v>
      </c>
      <c r="M296" s="2">
        <v>211</v>
      </c>
      <c r="N296" s="2" t="s">
        <v>5</v>
      </c>
      <c r="O296" s="2">
        <v>816</v>
      </c>
      <c r="P296" s="2">
        <v>209</v>
      </c>
      <c r="Q296" s="2">
        <v>8</v>
      </c>
    </row>
    <row r="297" spans="1:17" x14ac:dyDescent="0.2">
      <c r="A297" s="1" t="s">
        <v>1042</v>
      </c>
      <c r="B297" s="1" t="s">
        <v>888</v>
      </c>
      <c r="C297" s="2">
        <v>1572</v>
      </c>
      <c r="D297" s="2" t="s">
        <v>5</v>
      </c>
      <c r="E297" s="2">
        <v>4</v>
      </c>
      <c r="F297" s="2">
        <v>1528</v>
      </c>
      <c r="G297" s="2" t="s">
        <v>5</v>
      </c>
      <c r="H297" s="2">
        <v>6</v>
      </c>
      <c r="I297" s="2">
        <v>1574</v>
      </c>
      <c r="J297" s="2" t="s">
        <v>5</v>
      </c>
      <c r="K297" s="2">
        <v>6</v>
      </c>
      <c r="L297" s="2">
        <v>1386</v>
      </c>
      <c r="M297" s="2" t="s">
        <v>5</v>
      </c>
      <c r="N297" s="2">
        <v>5</v>
      </c>
      <c r="O297" s="2">
        <v>1193</v>
      </c>
      <c r="P297" s="2" t="s">
        <v>5</v>
      </c>
      <c r="Q297" s="2">
        <v>4</v>
      </c>
    </row>
    <row r="298" spans="1:17" x14ac:dyDescent="0.2">
      <c r="A298" s="1" t="s">
        <v>1042</v>
      </c>
      <c r="B298" s="1" t="s">
        <v>891</v>
      </c>
      <c r="C298" s="2">
        <v>2967</v>
      </c>
      <c r="D298" s="2">
        <v>1507</v>
      </c>
      <c r="E298" s="2">
        <v>1716</v>
      </c>
      <c r="F298" s="2">
        <v>2884</v>
      </c>
      <c r="G298" s="2">
        <v>1438</v>
      </c>
      <c r="H298" s="2">
        <v>1836</v>
      </c>
      <c r="I298" s="2">
        <v>2920</v>
      </c>
      <c r="J298" s="2" t="s">
        <v>5</v>
      </c>
      <c r="K298" s="2" t="s">
        <v>5</v>
      </c>
      <c r="L298" s="2">
        <v>2580</v>
      </c>
      <c r="M298" s="2">
        <v>1446</v>
      </c>
      <c r="N298" s="2">
        <v>1303</v>
      </c>
      <c r="O298" s="2" t="s">
        <v>5</v>
      </c>
      <c r="P298" s="2">
        <v>1376</v>
      </c>
      <c r="Q298" s="2">
        <v>1383</v>
      </c>
    </row>
    <row r="299" spans="1:17" x14ac:dyDescent="0.2">
      <c r="A299" s="1" t="s">
        <v>1042</v>
      </c>
      <c r="B299" s="1" t="s">
        <v>894</v>
      </c>
      <c r="C299" s="2">
        <v>1196</v>
      </c>
      <c r="D299" s="2">
        <v>842</v>
      </c>
      <c r="E299" s="2">
        <v>339</v>
      </c>
      <c r="F299" s="2">
        <v>1157</v>
      </c>
      <c r="G299" s="2">
        <v>854</v>
      </c>
      <c r="H299" s="2">
        <v>333</v>
      </c>
      <c r="I299" s="2">
        <v>1186</v>
      </c>
      <c r="J299" s="2">
        <v>846</v>
      </c>
      <c r="K299" s="2">
        <v>341</v>
      </c>
      <c r="L299" s="2">
        <v>1037</v>
      </c>
      <c r="M299" s="2">
        <v>781</v>
      </c>
      <c r="N299" s="2">
        <v>267</v>
      </c>
      <c r="O299" s="2">
        <v>870</v>
      </c>
      <c r="P299" s="2">
        <v>787</v>
      </c>
      <c r="Q299" s="2">
        <v>260</v>
      </c>
    </row>
    <row r="300" spans="1:17" x14ac:dyDescent="0.2">
      <c r="A300" s="1" t="s">
        <v>1042</v>
      </c>
      <c r="B300" s="1" t="s">
        <v>897</v>
      </c>
      <c r="C300" s="2">
        <v>1269</v>
      </c>
      <c r="D300" s="2">
        <v>1805</v>
      </c>
      <c r="E300" s="2">
        <v>27</v>
      </c>
      <c r="F300" s="2">
        <v>1225</v>
      </c>
      <c r="G300" s="2">
        <v>1501</v>
      </c>
      <c r="H300" s="2">
        <v>19</v>
      </c>
      <c r="I300" s="2">
        <v>1223</v>
      </c>
      <c r="J300" s="2">
        <v>1728</v>
      </c>
      <c r="K300" s="2">
        <v>20</v>
      </c>
      <c r="L300" s="2">
        <v>1083</v>
      </c>
      <c r="M300" s="2">
        <v>1717</v>
      </c>
      <c r="N300" s="2">
        <v>16</v>
      </c>
      <c r="O300" s="2">
        <v>912</v>
      </c>
      <c r="P300" s="2">
        <v>1694</v>
      </c>
      <c r="Q300" s="2">
        <v>14</v>
      </c>
    </row>
    <row r="301" spans="1:17" x14ac:dyDescent="0.2">
      <c r="A301" s="1" t="s">
        <v>1042</v>
      </c>
      <c r="B301" s="1" t="s">
        <v>900</v>
      </c>
      <c r="C301" s="2">
        <v>1734</v>
      </c>
      <c r="D301" s="2">
        <v>241</v>
      </c>
      <c r="E301" s="2">
        <v>2</v>
      </c>
      <c r="F301" s="2">
        <v>1701</v>
      </c>
      <c r="G301" s="2">
        <v>124</v>
      </c>
      <c r="H301" s="2" t="s">
        <v>5</v>
      </c>
      <c r="I301" s="2">
        <v>1640</v>
      </c>
      <c r="J301" s="2">
        <v>113</v>
      </c>
      <c r="K301" s="2" t="s">
        <v>5</v>
      </c>
      <c r="L301" s="2">
        <v>1466</v>
      </c>
      <c r="M301" s="2" t="s">
        <v>5</v>
      </c>
      <c r="N301" s="2" t="s">
        <v>5</v>
      </c>
      <c r="O301" s="2" t="s">
        <v>5</v>
      </c>
      <c r="P301" s="2" t="s">
        <v>5</v>
      </c>
      <c r="Q301" s="2">
        <v>1</v>
      </c>
    </row>
    <row r="302" spans="1:17" x14ac:dyDescent="0.2">
      <c r="A302" s="1" t="s">
        <v>1042</v>
      </c>
      <c r="B302" s="1" t="s">
        <v>903</v>
      </c>
      <c r="C302" s="2" t="s">
        <v>5</v>
      </c>
      <c r="D302" s="2" t="s">
        <v>5</v>
      </c>
      <c r="E302" s="2" t="s">
        <v>5</v>
      </c>
      <c r="F302" s="2">
        <v>68</v>
      </c>
      <c r="G302" s="2" t="s">
        <v>5</v>
      </c>
      <c r="H302" s="2" t="s">
        <v>5</v>
      </c>
      <c r="I302" s="2" t="s">
        <v>5</v>
      </c>
      <c r="J302" s="2" t="s">
        <v>5</v>
      </c>
      <c r="K302" s="2" t="s">
        <v>5</v>
      </c>
      <c r="L302" s="2">
        <v>61</v>
      </c>
      <c r="M302" s="2" t="s">
        <v>5</v>
      </c>
      <c r="N302" s="2" t="s">
        <v>5</v>
      </c>
      <c r="O302" s="2">
        <v>53</v>
      </c>
      <c r="P302" s="2" t="s">
        <v>5</v>
      </c>
      <c r="Q302" s="2" t="s">
        <v>5</v>
      </c>
    </row>
    <row r="303" spans="1:17" x14ac:dyDescent="0.2">
      <c r="A303" s="1" t="s">
        <v>1042</v>
      </c>
      <c r="B303" s="1" t="s">
        <v>906</v>
      </c>
      <c r="C303" s="2">
        <v>1030</v>
      </c>
      <c r="D303" s="2" t="s">
        <v>5</v>
      </c>
      <c r="E303" s="2">
        <v>1</v>
      </c>
      <c r="F303" s="2">
        <v>978</v>
      </c>
      <c r="G303" s="2" t="s">
        <v>5</v>
      </c>
      <c r="H303" s="2">
        <v>1</v>
      </c>
      <c r="I303" s="2">
        <v>1025</v>
      </c>
      <c r="J303" s="2" t="s">
        <v>5</v>
      </c>
      <c r="K303" s="2">
        <v>1</v>
      </c>
      <c r="L303" s="2" t="s">
        <v>5</v>
      </c>
      <c r="M303" s="2" t="s">
        <v>5</v>
      </c>
      <c r="N303" s="2">
        <v>1</v>
      </c>
      <c r="O303" s="2" t="s">
        <v>5</v>
      </c>
      <c r="P303" s="2" t="s">
        <v>5</v>
      </c>
      <c r="Q303" s="2">
        <v>1</v>
      </c>
    </row>
    <row r="304" spans="1:17" x14ac:dyDescent="0.2">
      <c r="A304" s="1" t="s">
        <v>1042</v>
      </c>
      <c r="B304" s="1" t="s">
        <v>909</v>
      </c>
      <c r="C304" s="2" t="s">
        <v>5</v>
      </c>
      <c r="D304" s="2" t="s">
        <v>5</v>
      </c>
      <c r="E304" s="2">
        <v>4</v>
      </c>
      <c r="F304" s="2" t="s">
        <v>5</v>
      </c>
      <c r="G304" s="2" t="s">
        <v>5</v>
      </c>
      <c r="H304" s="2">
        <v>3</v>
      </c>
      <c r="I304" s="2">
        <v>335</v>
      </c>
      <c r="J304" s="2" t="s">
        <v>5</v>
      </c>
      <c r="K304" s="2">
        <v>4</v>
      </c>
      <c r="L304" s="2">
        <v>292</v>
      </c>
      <c r="M304" s="2">
        <v>5</v>
      </c>
      <c r="N304" s="2">
        <v>3</v>
      </c>
      <c r="O304" s="2">
        <v>233</v>
      </c>
      <c r="P304" s="2">
        <v>4</v>
      </c>
      <c r="Q304" s="2">
        <v>2</v>
      </c>
    </row>
    <row r="305" spans="1:17" x14ac:dyDescent="0.2">
      <c r="A305" s="1" t="s">
        <v>1042</v>
      </c>
      <c r="B305" s="1" t="s">
        <v>912</v>
      </c>
      <c r="C305" s="2">
        <v>1588</v>
      </c>
      <c r="D305" s="2" t="s">
        <v>5</v>
      </c>
      <c r="E305" s="2" t="s">
        <v>5</v>
      </c>
      <c r="F305" s="2">
        <v>1578</v>
      </c>
      <c r="G305" s="2" t="s">
        <v>5</v>
      </c>
      <c r="H305" s="2" t="s">
        <v>5</v>
      </c>
      <c r="I305" s="2">
        <v>1542</v>
      </c>
      <c r="J305" s="2" t="s">
        <v>5</v>
      </c>
      <c r="K305" s="2" t="s">
        <v>5</v>
      </c>
      <c r="L305" s="2" t="s">
        <v>5</v>
      </c>
      <c r="M305" s="2" t="s">
        <v>5</v>
      </c>
      <c r="N305" s="2" t="s">
        <v>5</v>
      </c>
      <c r="O305" s="2" t="s">
        <v>5</v>
      </c>
      <c r="P305" s="2" t="s">
        <v>5</v>
      </c>
      <c r="Q305" s="2">
        <v>2215</v>
      </c>
    </row>
    <row r="306" spans="1:17" x14ac:dyDescent="0.2">
      <c r="A306" s="1" t="s">
        <v>1042</v>
      </c>
      <c r="B306" s="1" t="s">
        <v>915</v>
      </c>
      <c r="C306" s="2" t="s">
        <v>5</v>
      </c>
      <c r="D306" s="2">
        <v>4</v>
      </c>
      <c r="E306" s="2" t="s">
        <v>5</v>
      </c>
      <c r="F306" s="2">
        <v>562</v>
      </c>
      <c r="G306" s="2">
        <v>3</v>
      </c>
      <c r="H306" s="2" t="s">
        <v>5</v>
      </c>
      <c r="I306" s="2" t="s">
        <v>5</v>
      </c>
      <c r="J306" s="2">
        <v>4</v>
      </c>
      <c r="K306" s="2" t="s">
        <v>5</v>
      </c>
      <c r="L306" s="2">
        <v>493</v>
      </c>
      <c r="M306" s="2">
        <v>3</v>
      </c>
      <c r="N306" s="2" t="s">
        <v>5</v>
      </c>
      <c r="O306" s="2">
        <v>416</v>
      </c>
      <c r="P306" s="2">
        <v>3</v>
      </c>
      <c r="Q306" s="2">
        <v>0</v>
      </c>
    </row>
    <row r="307" spans="1:17" x14ac:dyDescent="0.2">
      <c r="A307" s="1" t="s">
        <v>1042</v>
      </c>
      <c r="B307" s="1" t="s">
        <v>918</v>
      </c>
      <c r="C307" s="2">
        <v>718</v>
      </c>
      <c r="D307" s="2">
        <v>40</v>
      </c>
      <c r="E307" s="2">
        <v>95</v>
      </c>
      <c r="F307" s="2">
        <v>682</v>
      </c>
      <c r="G307" s="2">
        <v>36</v>
      </c>
      <c r="H307" s="2">
        <v>63</v>
      </c>
      <c r="I307" s="2">
        <v>695</v>
      </c>
      <c r="J307" s="2">
        <v>40</v>
      </c>
      <c r="K307" s="2">
        <v>70</v>
      </c>
      <c r="L307" s="2">
        <v>615</v>
      </c>
      <c r="M307" s="2">
        <v>21</v>
      </c>
      <c r="N307" s="2">
        <v>72</v>
      </c>
      <c r="O307" s="2">
        <v>505</v>
      </c>
      <c r="P307" s="2">
        <v>18</v>
      </c>
      <c r="Q307" s="2">
        <v>70</v>
      </c>
    </row>
    <row r="308" spans="1:17" x14ac:dyDescent="0.2">
      <c r="A308" s="1" t="s">
        <v>1042</v>
      </c>
      <c r="B308" s="1" t="s">
        <v>921</v>
      </c>
      <c r="C308" s="2" t="s">
        <v>5</v>
      </c>
      <c r="D308" s="2">
        <v>16</v>
      </c>
      <c r="E308" s="2">
        <v>36</v>
      </c>
      <c r="F308" s="2" t="s">
        <v>5</v>
      </c>
      <c r="G308" s="2">
        <v>12</v>
      </c>
      <c r="H308" s="2">
        <v>39</v>
      </c>
      <c r="I308" s="2">
        <v>921</v>
      </c>
      <c r="J308" s="2">
        <v>14</v>
      </c>
      <c r="K308" s="2">
        <v>7</v>
      </c>
      <c r="L308" s="2">
        <v>795</v>
      </c>
      <c r="M308" s="2">
        <v>12</v>
      </c>
      <c r="N308" s="2">
        <v>6</v>
      </c>
      <c r="O308" s="2">
        <v>670</v>
      </c>
      <c r="P308" s="2">
        <v>10</v>
      </c>
      <c r="Q308" s="2">
        <v>5</v>
      </c>
    </row>
    <row r="309" spans="1:17" x14ac:dyDescent="0.2">
      <c r="A309" s="1" t="s">
        <v>1042</v>
      </c>
      <c r="B309" s="1" t="s">
        <v>924</v>
      </c>
      <c r="C309" s="2">
        <v>1196</v>
      </c>
      <c r="D309" s="2">
        <v>691</v>
      </c>
      <c r="E309" s="2">
        <v>1703</v>
      </c>
      <c r="F309" s="2">
        <v>1183</v>
      </c>
      <c r="G309" s="2">
        <v>679</v>
      </c>
      <c r="H309" s="2">
        <v>1774</v>
      </c>
      <c r="I309" s="2">
        <v>1187</v>
      </c>
      <c r="J309" s="2">
        <v>677</v>
      </c>
      <c r="K309" s="2">
        <v>1569</v>
      </c>
      <c r="L309" s="2">
        <v>1027</v>
      </c>
      <c r="M309" s="2">
        <v>563</v>
      </c>
      <c r="N309" s="2">
        <v>998</v>
      </c>
      <c r="O309" s="2">
        <v>852</v>
      </c>
      <c r="P309" s="2">
        <v>583</v>
      </c>
      <c r="Q309" s="2">
        <v>710</v>
      </c>
    </row>
    <row r="310" spans="1:17" x14ac:dyDescent="0.2">
      <c r="A310" s="1" t="s">
        <v>1042</v>
      </c>
      <c r="B310" s="1" t="s">
        <v>927</v>
      </c>
      <c r="C310" s="2" t="s">
        <v>5</v>
      </c>
      <c r="D310" s="2">
        <v>11</v>
      </c>
      <c r="E310" s="2">
        <v>4</v>
      </c>
      <c r="F310" s="2" t="s">
        <v>5</v>
      </c>
      <c r="G310" s="2">
        <v>8</v>
      </c>
      <c r="H310" s="2">
        <v>1</v>
      </c>
      <c r="I310" s="2" t="s">
        <v>5</v>
      </c>
      <c r="J310" s="2">
        <v>10</v>
      </c>
      <c r="K310" s="2">
        <v>1</v>
      </c>
      <c r="L310" s="2">
        <v>412</v>
      </c>
      <c r="M310" s="2">
        <v>8</v>
      </c>
      <c r="N310" s="2">
        <v>1</v>
      </c>
      <c r="O310" s="2">
        <v>335</v>
      </c>
      <c r="P310" s="2">
        <v>7</v>
      </c>
      <c r="Q310" s="2">
        <v>1</v>
      </c>
    </row>
    <row r="311" spans="1:17" x14ac:dyDescent="0.2">
      <c r="A311" s="1" t="s">
        <v>1042</v>
      </c>
      <c r="B311" s="1" t="s">
        <v>930</v>
      </c>
      <c r="C311" s="2">
        <v>1301</v>
      </c>
      <c r="D311" s="2">
        <v>418</v>
      </c>
      <c r="E311" s="2">
        <v>33</v>
      </c>
      <c r="F311" s="2">
        <v>1276</v>
      </c>
      <c r="G311" s="2">
        <v>442</v>
      </c>
      <c r="H311" s="2">
        <v>21</v>
      </c>
      <c r="I311" s="2">
        <v>1292</v>
      </c>
      <c r="J311" s="2">
        <v>425</v>
      </c>
      <c r="K311" s="2">
        <v>32</v>
      </c>
      <c r="L311" s="2">
        <v>1113</v>
      </c>
      <c r="M311" s="2">
        <v>384</v>
      </c>
      <c r="N311" s="2">
        <v>27</v>
      </c>
      <c r="O311" s="2" t="s">
        <v>5</v>
      </c>
      <c r="P311" s="2" t="s">
        <v>5</v>
      </c>
      <c r="Q311" s="2">
        <v>21</v>
      </c>
    </row>
    <row r="312" spans="1:17" x14ac:dyDescent="0.2">
      <c r="A312" s="1" t="s">
        <v>1042</v>
      </c>
      <c r="B312" s="1" t="s">
        <v>933</v>
      </c>
      <c r="C312" s="2">
        <v>589</v>
      </c>
      <c r="D312" s="2">
        <v>43</v>
      </c>
      <c r="E312" s="2">
        <v>1316</v>
      </c>
      <c r="F312" s="2">
        <v>584</v>
      </c>
      <c r="G312" s="2">
        <v>40</v>
      </c>
      <c r="H312" s="2">
        <v>1389</v>
      </c>
      <c r="I312" s="2">
        <v>589</v>
      </c>
      <c r="J312" s="2">
        <v>49</v>
      </c>
      <c r="K312" s="2">
        <v>1469</v>
      </c>
      <c r="L312" s="2">
        <v>494</v>
      </c>
      <c r="M312" s="2">
        <v>44</v>
      </c>
      <c r="N312" s="2">
        <v>958</v>
      </c>
      <c r="O312" s="2">
        <v>426</v>
      </c>
      <c r="P312" s="2">
        <v>40</v>
      </c>
      <c r="Q312" s="2">
        <v>1277</v>
      </c>
    </row>
    <row r="313" spans="1:17" x14ac:dyDescent="0.2">
      <c r="A313" s="1" t="s">
        <v>1042</v>
      </c>
      <c r="B313" s="1" t="s">
        <v>936</v>
      </c>
      <c r="C313" s="2">
        <v>992</v>
      </c>
      <c r="D313" s="2">
        <v>33</v>
      </c>
      <c r="E313" s="2">
        <v>53</v>
      </c>
      <c r="F313" s="2">
        <v>920</v>
      </c>
      <c r="G313" s="2">
        <v>35</v>
      </c>
      <c r="H313" s="2">
        <v>51</v>
      </c>
      <c r="I313" s="2">
        <v>962</v>
      </c>
      <c r="J313" s="2">
        <v>38</v>
      </c>
      <c r="K313" s="2" t="s">
        <v>5</v>
      </c>
      <c r="L313" s="2" t="s">
        <v>5</v>
      </c>
      <c r="M313" s="2">
        <v>34</v>
      </c>
      <c r="N313" s="2">
        <v>49</v>
      </c>
      <c r="O313" s="2" t="s">
        <v>5</v>
      </c>
      <c r="P313" s="2">
        <v>33</v>
      </c>
      <c r="Q313" s="2">
        <v>47</v>
      </c>
    </row>
    <row r="314" spans="1:17" x14ac:dyDescent="0.2">
      <c r="A314" s="1" t="s">
        <v>1042</v>
      </c>
      <c r="B314" s="1" t="s">
        <v>939</v>
      </c>
      <c r="C314" s="2" t="s">
        <v>5</v>
      </c>
      <c r="D314" s="2">
        <v>9</v>
      </c>
      <c r="E314" s="2">
        <v>10</v>
      </c>
      <c r="F314" s="2">
        <v>955</v>
      </c>
      <c r="G314" s="2">
        <v>6</v>
      </c>
      <c r="H314" s="2">
        <v>9</v>
      </c>
      <c r="I314" s="2" t="s">
        <v>5</v>
      </c>
      <c r="J314" s="2">
        <v>7</v>
      </c>
      <c r="K314" s="2">
        <v>9</v>
      </c>
      <c r="L314" s="2">
        <v>846</v>
      </c>
      <c r="M314" s="2">
        <v>5</v>
      </c>
      <c r="N314" s="2">
        <v>7</v>
      </c>
      <c r="O314" s="2">
        <v>723</v>
      </c>
      <c r="P314" s="2">
        <v>4</v>
      </c>
      <c r="Q314" s="2">
        <v>5</v>
      </c>
    </row>
    <row r="315" spans="1:17" x14ac:dyDescent="0.2">
      <c r="A315" s="1" t="s">
        <v>1042</v>
      </c>
      <c r="B315" s="1" t="s">
        <v>942</v>
      </c>
      <c r="C315" s="2">
        <v>414</v>
      </c>
      <c r="D315" s="2">
        <v>15</v>
      </c>
      <c r="E315" s="2">
        <v>7</v>
      </c>
      <c r="F315" s="2" t="s">
        <v>5</v>
      </c>
      <c r="G315" s="2">
        <v>13</v>
      </c>
      <c r="H315" s="2">
        <v>7</v>
      </c>
      <c r="I315" s="2" t="s">
        <v>5</v>
      </c>
      <c r="J315" s="2">
        <v>15</v>
      </c>
      <c r="K315" s="2">
        <v>8</v>
      </c>
      <c r="L315" s="2">
        <v>354</v>
      </c>
      <c r="M315" s="2">
        <v>13</v>
      </c>
      <c r="N315" s="2">
        <v>6</v>
      </c>
      <c r="O315" s="2">
        <v>298</v>
      </c>
      <c r="P315" s="2">
        <v>7</v>
      </c>
      <c r="Q315" s="2">
        <v>6</v>
      </c>
    </row>
    <row r="316" spans="1:17" x14ac:dyDescent="0.2">
      <c r="A316" s="1" t="s">
        <v>1042</v>
      </c>
      <c r="B316" s="1" t="s">
        <v>945</v>
      </c>
      <c r="C316" s="2">
        <v>1365</v>
      </c>
      <c r="D316" s="2">
        <v>332</v>
      </c>
      <c r="E316" s="2">
        <v>58</v>
      </c>
      <c r="F316" s="2">
        <v>1337</v>
      </c>
      <c r="G316" s="2">
        <v>325</v>
      </c>
      <c r="H316" s="2">
        <v>57</v>
      </c>
      <c r="I316" s="2">
        <v>1314</v>
      </c>
      <c r="J316" s="2">
        <v>348</v>
      </c>
      <c r="K316" s="2">
        <v>69</v>
      </c>
      <c r="L316" s="2" t="s">
        <v>5</v>
      </c>
      <c r="M316" s="2" t="s">
        <v>5</v>
      </c>
      <c r="N316" s="2">
        <v>61</v>
      </c>
      <c r="O316" s="2">
        <v>973</v>
      </c>
      <c r="P316" s="2">
        <v>594</v>
      </c>
      <c r="Q316" s="2">
        <v>60</v>
      </c>
    </row>
    <row r="317" spans="1:17" x14ac:dyDescent="0.2">
      <c r="A317" s="1" t="s">
        <v>1042</v>
      </c>
      <c r="B317" s="1" t="s">
        <v>948</v>
      </c>
      <c r="C317" s="2">
        <v>1335</v>
      </c>
      <c r="D317" s="2">
        <v>1057</v>
      </c>
      <c r="E317" s="2">
        <v>1310</v>
      </c>
      <c r="F317" s="2">
        <v>1267</v>
      </c>
      <c r="G317" s="2">
        <v>1079</v>
      </c>
      <c r="H317" s="2">
        <v>1273</v>
      </c>
      <c r="I317" s="2">
        <v>1294</v>
      </c>
      <c r="J317" s="2">
        <v>1116</v>
      </c>
      <c r="K317" s="2">
        <v>1378</v>
      </c>
      <c r="L317" s="2">
        <v>1107</v>
      </c>
      <c r="M317" s="2">
        <v>908</v>
      </c>
      <c r="N317" s="2">
        <v>980</v>
      </c>
      <c r="O317" s="2">
        <v>904</v>
      </c>
      <c r="P317" s="2">
        <v>1042</v>
      </c>
      <c r="Q317" s="2">
        <v>995</v>
      </c>
    </row>
    <row r="318" spans="1:17" x14ac:dyDescent="0.2">
      <c r="A318" s="1" t="s">
        <v>1042</v>
      </c>
      <c r="B318" s="1" t="s">
        <v>951</v>
      </c>
      <c r="C318" s="2">
        <v>524</v>
      </c>
      <c r="D318" s="2">
        <v>22</v>
      </c>
      <c r="E318" s="2">
        <v>30</v>
      </c>
      <c r="F318" s="2">
        <v>502</v>
      </c>
      <c r="G318" s="2">
        <v>20</v>
      </c>
      <c r="H318" s="2">
        <v>21</v>
      </c>
      <c r="I318" s="2">
        <v>513</v>
      </c>
      <c r="J318" s="2">
        <v>22</v>
      </c>
      <c r="K318" s="2">
        <v>22</v>
      </c>
      <c r="L318" s="2">
        <v>446</v>
      </c>
      <c r="M318" s="2">
        <v>18</v>
      </c>
      <c r="N318" s="2">
        <v>12</v>
      </c>
      <c r="O318" s="2">
        <v>355</v>
      </c>
      <c r="P318" s="2">
        <v>15</v>
      </c>
      <c r="Q318" s="2">
        <v>9</v>
      </c>
    </row>
    <row r="319" spans="1:17" x14ac:dyDescent="0.2">
      <c r="A319" s="1" t="s">
        <v>1042</v>
      </c>
      <c r="B319" s="1" t="s">
        <v>954</v>
      </c>
      <c r="C319" s="2">
        <v>1695</v>
      </c>
      <c r="D319" s="2">
        <v>351</v>
      </c>
      <c r="E319" s="2">
        <v>125</v>
      </c>
      <c r="F319" s="2">
        <v>1689</v>
      </c>
      <c r="G319" s="2">
        <v>366</v>
      </c>
      <c r="H319" s="2">
        <v>110</v>
      </c>
      <c r="I319" s="2" t="s">
        <v>5</v>
      </c>
      <c r="J319" s="2">
        <v>406</v>
      </c>
      <c r="K319" s="2">
        <v>110</v>
      </c>
      <c r="L319" s="2">
        <v>1447</v>
      </c>
      <c r="M319" s="2">
        <v>334</v>
      </c>
      <c r="N319" s="2">
        <v>86</v>
      </c>
      <c r="O319" s="2">
        <v>1171</v>
      </c>
      <c r="P319" s="2">
        <v>318</v>
      </c>
      <c r="Q319" s="2">
        <v>67</v>
      </c>
    </row>
    <row r="320" spans="1:17" x14ac:dyDescent="0.2">
      <c r="A320" s="1" t="s">
        <v>1042</v>
      </c>
      <c r="B320" s="1" t="s">
        <v>957</v>
      </c>
      <c r="C320" s="2" t="s">
        <v>5</v>
      </c>
      <c r="D320" s="2">
        <v>10</v>
      </c>
      <c r="E320" s="2">
        <v>38</v>
      </c>
      <c r="F320" s="2" t="s">
        <v>5</v>
      </c>
      <c r="G320" s="2" t="s">
        <v>5</v>
      </c>
      <c r="H320" s="2">
        <v>17</v>
      </c>
      <c r="I320" s="2">
        <v>686</v>
      </c>
      <c r="J320" s="2">
        <v>8</v>
      </c>
      <c r="K320" s="2">
        <v>20</v>
      </c>
      <c r="L320" s="2">
        <v>596</v>
      </c>
      <c r="M320" s="2">
        <v>7</v>
      </c>
      <c r="N320" s="2">
        <v>15</v>
      </c>
      <c r="O320" s="2">
        <v>480</v>
      </c>
      <c r="P320" s="2">
        <v>6</v>
      </c>
      <c r="Q320" s="2">
        <v>12</v>
      </c>
    </row>
    <row r="321" spans="1:17" x14ac:dyDescent="0.2">
      <c r="A321" s="1" t="s">
        <v>1042</v>
      </c>
      <c r="B321" s="1" t="s">
        <v>960</v>
      </c>
      <c r="C321" s="2" t="s">
        <v>5</v>
      </c>
      <c r="D321" s="2">
        <v>7</v>
      </c>
      <c r="E321" s="2">
        <v>0</v>
      </c>
      <c r="F321" s="2" t="s">
        <v>5</v>
      </c>
      <c r="G321" s="2">
        <v>6</v>
      </c>
      <c r="H321" s="2" t="s">
        <v>5</v>
      </c>
      <c r="I321" s="2" t="s">
        <v>5</v>
      </c>
      <c r="J321" s="2">
        <v>7</v>
      </c>
      <c r="K321" s="2" t="s">
        <v>5</v>
      </c>
      <c r="L321" s="2" t="s">
        <v>5</v>
      </c>
      <c r="M321" s="2" t="s">
        <v>5</v>
      </c>
      <c r="N321" s="2" t="s">
        <v>5</v>
      </c>
      <c r="O321" s="2" t="s">
        <v>5</v>
      </c>
      <c r="P321" s="2" t="s">
        <v>5</v>
      </c>
      <c r="Q321" s="2" t="s">
        <v>5</v>
      </c>
    </row>
    <row r="322" spans="1:17" x14ac:dyDescent="0.2">
      <c r="A322" s="1" t="s">
        <v>1042</v>
      </c>
      <c r="B322" s="1" t="s">
        <v>963</v>
      </c>
      <c r="C322" s="2">
        <v>846</v>
      </c>
      <c r="D322" s="2" t="s">
        <v>5</v>
      </c>
      <c r="E322" s="2" t="s">
        <v>5</v>
      </c>
      <c r="F322" s="2">
        <v>881</v>
      </c>
      <c r="G322" s="2" t="s">
        <v>5</v>
      </c>
      <c r="H322" s="2">
        <v>53</v>
      </c>
      <c r="I322" s="2">
        <v>915</v>
      </c>
      <c r="J322" s="2" t="s">
        <v>5</v>
      </c>
      <c r="K322" s="2">
        <v>54</v>
      </c>
      <c r="L322" s="2" t="s">
        <v>5</v>
      </c>
      <c r="M322" s="2" t="s">
        <v>5</v>
      </c>
      <c r="N322" s="2">
        <v>45</v>
      </c>
      <c r="O322" s="2">
        <v>619</v>
      </c>
      <c r="P322" s="2" t="s">
        <v>5</v>
      </c>
      <c r="Q322" s="2" t="s">
        <v>5</v>
      </c>
    </row>
    <row r="323" spans="1:17" x14ac:dyDescent="0.2">
      <c r="A323" s="1" t="s">
        <v>1042</v>
      </c>
      <c r="B323" s="1" t="s">
        <v>966</v>
      </c>
      <c r="C323" s="2" t="s">
        <v>5</v>
      </c>
      <c r="D323" s="2" t="s">
        <v>5</v>
      </c>
      <c r="E323" s="2">
        <v>28851</v>
      </c>
      <c r="F323" s="2" t="s">
        <v>5</v>
      </c>
      <c r="G323" s="2" t="s">
        <v>5</v>
      </c>
      <c r="H323" s="2">
        <v>26029</v>
      </c>
      <c r="I323" s="2" t="s">
        <v>5</v>
      </c>
      <c r="J323" s="2" t="s">
        <v>5</v>
      </c>
      <c r="K323" s="2">
        <v>29919</v>
      </c>
      <c r="L323" s="2">
        <v>2068</v>
      </c>
      <c r="M323" s="2">
        <v>313</v>
      </c>
      <c r="N323" s="2">
        <v>22034</v>
      </c>
      <c r="O323" s="2">
        <v>1838</v>
      </c>
      <c r="P323" s="2">
        <v>279</v>
      </c>
      <c r="Q323" s="2">
        <v>22908</v>
      </c>
    </row>
    <row r="324" spans="1:17" x14ac:dyDescent="0.2">
      <c r="A324" s="1" t="s">
        <v>1042</v>
      </c>
      <c r="B324" s="1" t="s">
        <v>969</v>
      </c>
      <c r="C324" s="2">
        <v>727</v>
      </c>
      <c r="D324" s="2">
        <v>88</v>
      </c>
      <c r="E324" s="2">
        <v>48</v>
      </c>
      <c r="F324" s="2">
        <v>711</v>
      </c>
      <c r="G324" s="2">
        <v>81</v>
      </c>
      <c r="H324" s="2">
        <v>28</v>
      </c>
      <c r="I324" s="2">
        <v>708</v>
      </c>
      <c r="J324" s="2">
        <v>88</v>
      </c>
      <c r="K324" s="2">
        <v>31</v>
      </c>
      <c r="L324" s="2">
        <v>614</v>
      </c>
      <c r="M324" s="2">
        <v>79</v>
      </c>
      <c r="N324" s="2">
        <v>25</v>
      </c>
      <c r="O324" s="2">
        <v>505</v>
      </c>
      <c r="P324" s="2">
        <v>72</v>
      </c>
      <c r="Q324" s="2">
        <v>21</v>
      </c>
    </row>
    <row r="325" spans="1:17" x14ac:dyDescent="0.2">
      <c r="A325" s="1" t="s">
        <v>1042</v>
      </c>
      <c r="B325" s="1" t="s">
        <v>972</v>
      </c>
      <c r="C325" s="2">
        <v>580</v>
      </c>
      <c r="D325" s="2">
        <v>182</v>
      </c>
      <c r="E325" s="2">
        <v>35</v>
      </c>
      <c r="F325" s="2">
        <v>575</v>
      </c>
      <c r="G325" s="2">
        <v>179</v>
      </c>
      <c r="H325" s="2">
        <v>23</v>
      </c>
      <c r="I325" s="2">
        <v>622</v>
      </c>
      <c r="J325" s="2">
        <v>187</v>
      </c>
      <c r="K325" s="2">
        <v>24</v>
      </c>
      <c r="L325" s="2">
        <v>546</v>
      </c>
      <c r="M325" s="2">
        <v>174</v>
      </c>
      <c r="N325" s="2">
        <v>19</v>
      </c>
      <c r="O325" s="2">
        <v>445</v>
      </c>
      <c r="P325" s="2">
        <v>168</v>
      </c>
      <c r="Q325" s="2">
        <v>16</v>
      </c>
    </row>
    <row r="326" spans="1:17" x14ac:dyDescent="0.2">
      <c r="A326" s="1" t="s">
        <v>1042</v>
      </c>
      <c r="B326" s="1" t="s">
        <v>975</v>
      </c>
      <c r="C326" s="2">
        <v>947</v>
      </c>
      <c r="D326" s="2">
        <v>607</v>
      </c>
      <c r="E326" s="2">
        <v>15</v>
      </c>
      <c r="F326" s="2">
        <v>913</v>
      </c>
      <c r="G326" s="2">
        <v>523</v>
      </c>
      <c r="H326" s="2" t="s">
        <v>5</v>
      </c>
      <c r="I326" s="2">
        <v>930</v>
      </c>
      <c r="J326" s="2">
        <v>626</v>
      </c>
      <c r="K326" s="2">
        <v>16</v>
      </c>
      <c r="L326" s="2">
        <v>811</v>
      </c>
      <c r="M326" s="2">
        <v>574</v>
      </c>
      <c r="N326" s="2">
        <v>11</v>
      </c>
      <c r="O326" s="2">
        <v>665</v>
      </c>
      <c r="P326" s="2">
        <v>529</v>
      </c>
      <c r="Q326" s="2">
        <v>9</v>
      </c>
    </row>
    <row r="327" spans="1:17" x14ac:dyDescent="0.2">
      <c r="A327" s="1" t="s">
        <v>1042</v>
      </c>
      <c r="B327" s="1" t="s">
        <v>978</v>
      </c>
      <c r="C327" s="2">
        <v>702</v>
      </c>
      <c r="D327" s="2">
        <v>22</v>
      </c>
      <c r="E327" s="2">
        <v>14</v>
      </c>
      <c r="F327" s="2">
        <v>647</v>
      </c>
      <c r="G327" s="2">
        <v>18</v>
      </c>
      <c r="H327" s="2">
        <v>12</v>
      </c>
      <c r="I327" s="2">
        <v>664</v>
      </c>
      <c r="J327" s="2">
        <v>21</v>
      </c>
      <c r="K327" s="2">
        <v>13</v>
      </c>
      <c r="L327" s="2">
        <v>586</v>
      </c>
      <c r="M327" s="2">
        <v>17</v>
      </c>
      <c r="N327" s="2">
        <v>9</v>
      </c>
      <c r="O327" s="2">
        <v>495</v>
      </c>
      <c r="P327" s="2">
        <v>16</v>
      </c>
      <c r="Q327" s="2">
        <v>7</v>
      </c>
    </row>
    <row r="328" spans="1:17" x14ac:dyDescent="0.2">
      <c r="A328" s="1" t="s">
        <v>1042</v>
      </c>
      <c r="B328" s="1" t="s">
        <v>981</v>
      </c>
      <c r="C328" s="2">
        <v>497</v>
      </c>
      <c r="D328" s="2">
        <v>14</v>
      </c>
      <c r="E328" s="2">
        <v>9</v>
      </c>
      <c r="F328" s="2">
        <v>497</v>
      </c>
      <c r="G328" s="2">
        <v>13</v>
      </c>
      <c r="H328" s="2">
        <v>8</v>
      </c>
      <c r="I328" s="2">
        <v>501</v>
      </c>
      <c r="J328" s="2">
        <v>13</v>
      </c>
      <c r="K328" s="2">
        <v>9</v>
      </c>
      <c r="L328" s="2">
        <v>440</v>
      </c>
      <c r="M328" s="2">
        <v>11</v>
      </c>
      <c r="N328" s="2">
        <v>7</v>
      </c>
      <c r="O328" s="2">
        <v>363</v>
      </c>
      <c r="P328" s="2">
        <v>10</v>
      </c>
      <c r="Q328" s="2">
        <v>6</v>
      </c>
    </row>
    <row r="329" spans="1:17" x14ac:dyDescent="0.2">
      <c r="A329" s="1" t="s">
        <v>1042</v>
      </c>
      <c r="B329" s="1" t="s">
        <v>984</v>
      </c>
      <c r="C329" s="2">
        <v>863</v>
      </c>
      <c r="D329" s="2">
        <v>174</v>
      </c>
      <c r="E329" s="2">
        <v>39</v>
      </c>
      <c r="F329" s="2">
        <v>843</v>
      </c>
      <c r="G329" s="2">
        <v>146</v>
      </c>
      <c r="H329" s="2">
        <v>18</v>
      </c>
      <c r="I329" s="2">
        <v>869</v>
      </c>
      <c r="J329" s="2">
        <v>170</v>
      </c>
      <c r="K329" s="2">
        <v>21</v>
      </c>
      <c r="L329" s="2">
        <v>768</v>
      </c>
      <c r="M329" s="2">
        <v>104</v>
      </c>
      <c r="N329" s="2">
        <v>16</v>
      </c>
      <c r="O329" s="2">
        <v>638</v>
      </c>
      <c r="P329" s="2" t="s">
        <v>5</v>
      </c>
      <c r="Q329" s="2">
        <v>13</v>
      </c>
    </row>
    <row r="330" spans="1:17" x14ac:dyDescent="0.2">
      <c r="A330" s="1" t="s">
        <v>1042</v>
      </c>
      <c r="B330" s="1" t="s">
        <v>987</v>
      </c>
      <c r="C330" s="2">
        <v>628</v>
      </c>
      <c r="D330" s="2" t="s">
        <v>5</v>
      </c>
      <c r="E330" s="2">
        <v>54</v>
      </c>
      <c r="F330" s="2" t="s">
        <v>5</v>
      </c>
      <c r="G330" s="2" t="s">
        <v>5</v>
      </c>
      <c r="H330" s="2">
        <v>54</v>
      </c>
      <c r="I330" s="2" t="s">
        <v>5</v>
      </c>
      <c r="J330" s="2" t="s">
        <v>5</v>
      </c>
      <c r="K330" s="2">
        <v>50</v>
      </c>
      <c r="L330" s="2" t="s">
        <v>5</v>
      </c>
      <c r="M330" s="2" t="s">
        <v>5</v>
      </c>
      <c r="N330" s="2">
        <v>32</v>
      </c>
      <c r="O330" s="2" t="s">
        <v>5</v>
      </c>
      <c r="P330" s="2" t="s">
        <v>5</v>
      </c>
      <c r="Q330" s="2">
        <v>34</v>
      </c>
    </row>
    <row r="331" spans="1:17" x14ac:dyDescent="0.2">
      <c r="A331" s="1" t="s">
        <v>1042</v>
      </c>
      <c r="B331" s="1" t="s">
        <v>990</v>
      </c>
      <c r="C331" s="2">
        <v>1229</v>
      </c>
      <c r="D331" s="2">
        <v>287</v>
      </c>
      <c r="E331" s="2">
        <v>963</v>
      </c>
      <c r="F331" s="2">
        <v>1180</v>
      </c>
      <c r="G331" s="2">
        <v>300</v>
      </c>
      <c r="H331" s="2">
        <v>898</v>
      </c>
      <c r="I331" s="2">
        <v>1204</v>
      </c>
      <c r="J331" s="2">
        <v>322</v>
      </c>
      <c r="K331" s="2">
        <v>877</v>
      </c>
      <c r="L331" s="2">
        <v>1037</v>
      </c>
      <c r="M331" s="2" t="s">
        <v>5</v>
      </c>
      <c r="N331" s="2" t="s">
        <v>5</v>
      </c>
      <c r="O331" s="2">
        <v>875</v>
      </c>
      <c r="P331" s="2" t="s">
        <v>5</v>
      </c>
      <c r="Q331" s="2" t="s">
        <v>5</v>
      </c>
    </row>
    <row r="332" spans="1:17" x14ac:dyDescent="0.2">
      <c r="A332" s="1" t="s">
        <v>1042</v>
      </c>
      <c r="B332" s="1" t="s">
        <v>996</v>
      </c>
      <c r="C332" s="2">
        <v>339</v>
      </c>
      <c r="D332" s="2">
        <v>340</v>
      </c>
      <c r="E332" s="2">
        <v>8</v>
      </c>
      <c r="F332" s="2">
        <v>337</v>
      </c>
      <c r="G332" s="2">
        <v>328</v>
      </c>
      <c r="H332" s="2">
        <v>8</v>
      </c>
      <c r="I332" s="2">
        <v>339</v>
      </c>
      <c r="J332" s="2">
        <v>344</v>
      </c>
      <c r="K332" s="2">
        <v>8</v>
      </c>
      <c r="L332" s="2">
        <v>290</v>
      </c>
      <c r="M332" s="2">
        <v>342</v>
      </c>
      <c r="N332" s="2">
        <v>8</v>
      </c>
      <c r="O332" s="2">
        <v>245</v>
      </c>
      <c r="P332" s="2">
        <v>352</v>
      </c>
      <c r="Q332" s="2">
        <v>6</v>
      </c>
    </row>
    <row r="333" spans="1:17" x14ac:dyDescent="0.2">
      <c r="A333" s="1" t="s">
        <v>1042</v>
      </c>
      <c r="B333" s="1" t="s">
        <v>999</v>
      </c>
      <c r="C333" s="2" t="s">
        <v>5</v>
      </c>
      <c r="D333" s="2">
        <v>10</v>
      </c>
      <c r="E333" s="2">
        <v>11</v>
      </c>
      <c r="F333" s="2" t="s">
        <v>5</v>
      </c>
      <c r="G333" s="2">
        <v>8</v>
      </c>
      <c r="H333" s="2">
        <v>10</v>
      </c>
      <c r="I333" s="2" t="s">
        <v>5</v>
      </c>
      <c r="J333" s="2">
        <v>9</v>
      </c>
      <c r="K333" s="2">
        <v>11</v>
      </c>
      <c r="L333" s="2">
        <v>253</v>
      </c>
      <c r="M333" s="2">
        <v>8</v>
      </c>
      <c r="N333" s="2">
        <v>9</v>
      </c>
      <c r="O333" s="2">
        <v>209</v>
      </c>
      <c r="P333" s="2">
        <v>6</v>
      </c>
      <c r="Q333" s="2">
        <v>66</v>
      </c>
    </row>
    <row r="334" spans="1:17" x14ac:dyDescent="0.2">
      <c r="A334" s="1" t="s">
        <v>1042</v>
      </c>
      <c r="B334" s="1" t="s">
        <v>1002</v>
      </c>
      <c r="C334" s="2">
        <v>3414</v>
      </c>
      <c r="D334" s="2">
        <v>3417</v>
      </c>
      <c r="E334" s="2">
        <v>88</v>
      </c>
      <c r="F334" s="2">
        <v>3419</v>
      </c>
      <c r="G334" s="2">
        <v>3228</v>
      </c>
      <c r="H334" s="2">
        <v>85</v>
      </c>
      <c r="I334" s="2">
        <v>3379</v>
      </c>
      <c r="J334" s="2">
        <v>3171</v>
      </c>
      <c r="K334" s="2">
        <v>98</v>
      </c>
      <c r="L334" s="2">
        <v>2943</v>
      </c>
      <c r="M334" s="2">
        <v>2814</v>
      </c>
      <c r="N334" s="2">
        <v>81</v>
      </c>
      <c r="O334" s="2">
        <v>2538</v>
      </c>
      <c r="P334" s="2" t="s">
        <v>5</v>
      </c>
      <c r="Q334" s="2">
        <v>53</v>
      </c>
    </row>
    <row r="335" spans="1:17" x14ac:dyDescent="0.2">
      <c r="A335" s="1" t="s">
        <v>1042</v>
      </c>
      <c r="B335" s="1" t="s">
        <v>1005</v>
      </c>
      <c r="C335" s="2">
        <v>704</v>
      </c>
      <c r="D335" s="2">
        <v>531</v>
      </c>
      <c r="E335" s="2" t="s">
        <v>5</v>
      </c>
      <c r="F335" s="2">
        <v>680</v>
      </c>
      <c r="G335" s="2">
        <v>517</v>
      </c>
      <c r="H335" s="2">
        <v>5139</v>
      </c>
      <c r="I335" s="2">
        <v>692</v>
      </c>
      <c r="J335" s="2">
        <v>523</v>
      </c>
      <c r="K335" s="2">
        <v>5541</v>
      </c>
      <c r="L335" s="2">
        <v>598</v>
      </c>
      <c r="M335" s="2">
        <v>481</v>
      </c>
      <c r="N335" s="2">
        <v>4161</v>
      </c>
      <c r="O335" s="2">
        <v>490</v>
      </c>
      <c r="P335" s="2">
        <v>515</v>
      </c>
      <c r="Q335" s="2">
        <v>4538</v>
      </c>
    </row>
    <row r="336" spans="1:17" x14ac:dyDescent="0.2">
      <c r="A336" s="1" t="s">
        <v>1042</v>
      </c>
      <c r="B336" s="1" t="s">
        <v>1008</v>
      </c>
      <c r="C336" s="2">
        <v>547</v>
      </c>
      <c r="D336" s="2" t="s">
        <v>5</v>
      </c>
      <c r="E336" s="2" t="s">
        <v>5</v>
      </c>
      <c r="F336" s="2">
        <v>533</v>
      </c>
      <c r="G336" s="2">
        <v>3</v>
      </c>
      <c r="H336" s="2" t="s">
        <v>5</v>
      </c>
      <c r="I336" s="2">
        <v>544</v>
      </c>
      <c r="J336" s="2">
        <v>3</v>
      </c>
      <c r="K336" s="2" t="s">
        <v>5</v>
      </c>
      <c r="L336" s="2">
        <v>492</v>
      </c>
      <c r="M336" s="2">
        <v>2</v>
      </c>
      <c r="N336" s="2" t="s">
        <v>5</v>
      </c>
      <c r="O336" s="2">
        <v>428</v>
      </c>
      <c r="P336" s="2" t="s">
        <v>5</v>
      </c>
      <c r="Q336" s="2" t="s">
        <v>5</v>
      </c>
    </row>
    <row r="337" spans="1:17" x14ac:dyDescent="0.2">
      <c r="A337" s="1" t="s">
        <v>1042</v>
      </c>
      <c r="B337" s="1" t="s">
        <v>1011</v>
      </c>
      <c r="C337" s="2">
        <v>491</v>
      </c>
      <c r="D337" s="2">
        <v>56</v>
      </c>
      <c r="E337" s="2">
        <v>41</v>
      </c>
      <c r="F337" s="2">
        <v>462</v>
      </c>
      <c r="G337" s="2">
        <v>59</v>
      </c>
      <c r="H337" s="2">
        <v>34</v>
      </c>
      <c r="I337" s="2">
        <v>479</v>
      </c>
      <c r="J337" s="2">
        <v>70</v>
      </c>
      <c r="K337" s="2">
        <v>37</v>
      </c>
      <c r="L337" s="2">
        <v>434</v>
      </c>
      <c r="M337" s="2" t="s">
        <v>5</v>
      </c>
      <c r="N337" s="2">
        <v>32</v>
      </c>
      <c r="O337" s="2">
        <v>391</v>
      </c>
      <c r="P337" s="2" t="s">
        <v>5</v>
      </c>
      <c r="Q337" s="2">
        <v>220</v>
      </c>
    </row>
    <row r="338" spans="1:17" x14ac:dyDescent="0.2">
      <c r="A338" s="1" t="s">
        <v>1042</v>
      </c>
      <c r="B338" s="1" t="s">
        <v>1014</v>
      </c>
      <c r="C338" s="2">
        <v>1891</v>
      </c>
      <c r="D338" s="2">
        <v>120</v>
      </c>
      <c r="E338" s="2">
        <v>3</v>
      </c>
      <c r="F338" s="2">
        <v>1846</v>
      </c>
      <c r="G338" s="2">
        <v>111</v>
      </c>
      <c r="H338" s="2">
        <v>2</v>
      </c>
      <c r="I338" s="2">
        <v>1875</v>
      </c>
      <c r="J338" s="2">
        <v>132</v>
      </c>
      <c r="K338" s="2">
        <v>3</v>
      </c>
      <c r="L338" s="2">
        <v>1638</v>
      </c>
      <c r="M338" s="2">
        <v>127</v>
      </c>
      <c r="N338" s="2">
        <v>2</v>
      </c>
      <c r="O338" s="2">
        <v>1407</v>
      </c>
      <c r="P338" s="2">
        <v>127</v>
      </c>
      <c r="Q338" s="2">
        <v>2</v>
      </c>
    </row>
    <row r="339" spans="1:17" x14ac:dyDescent="0.2">
      <c r="A339" s="1" t="s">
        <v>1042</v>
      </c>
      <c r="B339" s="1" t="s">
        <v>1017</v>
      </c>
      <c r="C339" s="2">
        <v>1020</v>
      </c>
      <c r="D339" s="2" t="s">
        <v>5</v>
      </c>
      <c r="E339" s="2">
        <v>21</v>
      </c>
      <c r="F339" s="2">
        <v>994</v>
      </c>
      <c r="G339" s="2" t="s">
        <v>5</v>
      </c>
      <c r="H339" s="2">
        <v>14</v>
      </c>
      <c r="I339" s="2">
        <v>1005</v>
      </c>
      <c r="J339" s="2" t="s">
        <v>5</v>
      </c>
      <c r="K339" s="2">
        <v>15</v>
      </c>
      <c r="L339" s="2">
        <v>889</v>
      </c>
      <c r="M339" s="2">
        <v>1385</v>
      </c>
      <c r="N339" s="2">
        <v>11</v>
      </c>
      <c r="O339" s="2">
        <v>724</v>
      </c>
      <c r="P339" s="2">
        <v>1255</v>
      </c>
      <c r="Q339" s="2">
        <v>9</v>
      </c>
    </row>
    <row r="340" spans="1:17" x14ac:dyDescent="0.2">
      <c r="A340" s="1" t="s">
        <v>1042</v>
      </c>
      <c r="B340" s="1" t="s">
        <v>1020</v>
      </c>
      <c r="C340" s="2">
        <v>2358</v>
      </c>
      <c r="D340" s="2">
        <v>278</v>
      </c>
      <c r="E340" s="2">
        <v>6</v>
      </c>
      <c r="F340" s="2">
        <v>2308</v>
      </c>
      <c r="G340" s="2" t="s">
        <v>5</v>
      </c>
      <c r="H340" s="2">
        <v>6</v>
      </c>
      <c r="I340" s="2">
        <v>2304</v>
      </c>
      <c r="J340" s="2" t="s">
        <v>5</v>
      </c>
      <c r="K340" s="2">
        <v>9</v>
      </c>
      <c r="L340" s="2">
        <v>1981</v>
      </c>
      <c r="M340" s="2" t="s">
        <v>5</v>
      </c>
      <c r="N340" s="2">
        <v>6</v>
      </c>
      <c r="O340" s="2">
        <v>1756</v>
      </c>
      <c r="P340" s="2" t="s">
        <v>5</v>
      </c>
      <c r="Q340" s="2">
        <v>6</v>
      </c>
    </row>
    <row r="341" spans="1:17" x14ac:dyDescent="0.2">
      <c r="A341" s="1" t="s">
        <v>1042</v>
      </c>
      <c r="B341" s="1" t="s">
        <v>1023</v>
      </c>
      <c r="C341" s="2" t="s">
        <v>5</v>
      </c>
      <c r="D341" s="2" t="s">
        <v>5</v>
      </c>
      <c r="E341" s="2" t="s">
        <v>5</v>
      </c>
      <c r="F341" s="2" t="s">
        <v>5</v>
      </c>
      <c r="G341" s="2" t="s">
        <v>5</v>
      </c>
      <c r="H341" s="2">
        <v>5</v>
      </c>
      <c r="I341" s="2" t="s">
        <v>5</v>
      </c>
      <c r="J341" s="2" t="s">
        <v>5</v>
      </c>
      <c r="K341" s="2" t="s">
        <v>5</v>
      </c>
      <c r="L341" s="2" t="s">
        <v>5</v>
      </c>
      <c r="M341" s="2" t="s">
        <v>5</v>
      </c>
      <c r="N341" s="2">
        <v>4</v>
      </c>
      <c r="O341" s="2" t="s">
        <v>5</v>
      </c>
      <c r="P341" s="2" t="s">
        <v>5</v>
      </c>
      <c r="Q341" s="2">
        <v>3</v>
      </c>
    </row>
    <row r="342" spans="1:17" x14ac:dyDescent="0.2">
      <c r="A342" s="1" t="s">
        <v>1042</v>
      </c>
      <c r="B342" s="1" t="s">
        <v>1026</v>
      </c>
      <c r="C342" s="2">
        <v>867</v>
      </c>
      <c r="D342" s="2">
        <v>134</v>
      </c>
      <c r="E342" s="2">
        <v>3415</v>
      </c>
      <c r="F342" s="2">
        <v>850</v>
      </c>
      <c r="G342" s="2">
        <v>129</v>
      </c>
      <c r="H342" s="2">
        <v>3154</v>
      </c>
      <c r="I342" s="2">
        <v>860</v>
      </c>
      <c r="J342" s="2">
        <v>128</v>
      </c>
      <c r="K342" s="2">
        <v>3277</v>
      </c>
      <c r="L342" s="2">
        <v>739</v>
      </c>
      <c r="M342" s="2">
        <v>136</v>
      </c>
      <c r="N342" s="2">
        <v>2235</v>
      </c>
      <c r="O342" s="2">
        <v>626</v>
      </c>
      <c r="P342" s="2">
        <v>148</v>
      </c>
      <c r="Q342" s="2">
        <v>2146</v>
      </c>
    </row>
    <row r="343" spans="1:17" x14ac:dyDescent="0.2">
      <c r="A343" s="1" t="s">
        <v>1042</v>
      </c>
      <c r="B343" s="1" t="s">
        <v>1029</v>
      </c>
      <c r="C343" s="2">
        <v>610</v>
      </c>
      <c r="D343" s="2">
        <v>48</v>
      </c>
      <c r="E343" s="2">
        <v>287</v>
      </c>
      <c r="F343" s="2">
        <v>577</v>
      </c>
      <c r="G343" s="2">
        <v>51</v>
      </c>
      <c r="H343" s="2">
        <v>284</v>
      </c>
      <c r="I343" s="2">
        <v>586</v>
      </c>
      <c r="J343" s="2">
        <v>51</v>
      </c>
      <c r="K343" s="2">
        <v>303</v>
      </c>
      <c r="L343" s="2">
        <v>517</v>
      </c>
      <c r="M343" s="2">
        <v>42</v>
      </c>
      <c r="N343" s="2">
        <v>181</v>
      </c>
      <c r="O343" s="2">
        <v>426</v>
      </c>
      <c r="P343" s="2">
        <v>46</v>
      </c>
      <c r="Q343" s="2">
        <v>194</v>
      </c>
    </row>
    <row r="344" spans="1:17" x14ac:dyDescent="0.2">
      <c r="A344" s="1" t="s">
        <v>1042</v>
      </c>
      <c r="B344" s="1" t="s">
        <v>1032</v>
      </c>
      <c r="C344" s="2">
        <v>1220</v>
      </c>
      <c r="D344" s="2">
        <v>127</v>
      </c>
      <c r="E344" s="2">
        <v>50</v>
      </c>
      <c r="F344" s="2">
        <v>1188</v>
      </c>
      <c r="G344" s="2">
        <v>111</v>
      </c>
      <c r="H344" s="2">
        <v>51</v>
      </c>
      <c r="I344" s="2">
        <v>1239</v>
      </c>
      <c r="J344" s="2">
        <v>120</v>
      </c>
      <c r="K344" s="2">
        <v>49</v>
      </c>
      <c r="L344" s="2">
        <v>1089</v>
      </c>
      <c r="M344" s="2">
        <v>97</v>
      </c>
      <c r="N344" s="2">
        <v>25</v>
      </c>
      <c r="O344" s="2">
        <v>912</v>
      </c>
      <c r="P344" s="2">
        <v>70</v>
      </c>
      <c r="Q344" s="2">
        <v>23</v>
      </c>
    </row>
    <row r="345" spans="1:17" x14ac:dyDescent="0.2">
      <c r="A345" s="1" t="s">
        <v>1042</v>
      </c>
      <c r="B345" s="1" t="s">
        <v>1035</v>
      </c>
      <c r="C345" s="2">
        <v>523</v>
      </c>
      <c r="D345" s="2">
        <v>610</v>
      </c>
      <c r="E345" s="2">
        <v>22</v>
      </c>
      <c r="F345" s="2">
        <v>517</v>
      </c>
      <c r="G345" s="2">
        <v>623</v>
      </c>
      <c r="H345" s="2">
        <v>19</v>
      </c>
      <c r="I345" s="2">
        <v>530</v>
      </c>
      <c r="J345" s="2">
        <v>682</v>
      </c>
      <c r="K345" s="2">
        <v>22</v>
      </c>
      <c r="L345" s="2">
        <v>464</v>
      </c>
      <c r="M345" s="2">
        <v>581</v>
      </c>
      <c r="N345" s="2">
        <v>19</v>
      </c>
      <c r="O345" s="2">
        <v>383</v>
      </c>
      <c r="P345" s="2">
        <v>605</v>
      </c>
      <c r="Q345" s="2">
        <v>15</v>
      </c>
    </row>
    <row r="346" spans="1:17" x14ac:dyDescent="0.2">
      <c r="A346" s="1" t="s">
        <v>1042</v>
      </c>
      <c r="B346" s="1" t="s">
        <v>1038</v>
      </c>
      <c r="C346" s="2">
        <v>969</v>
      </c>
      <c r="D346" s="2">
        <v>1364</v>
      </c>
      <c r="E346" s="2" t="s">
        <v>5</v>
      </c>
      <c r="F346" s="2">
        <v>950</v>
      </c>
      <c r="G346" s="2">
        <v>1236</v>
      </c>
      <c r="H346" s="2">
        <v>2</v>
      </c>
      <c r="I346" s="2">
        <v>958</v>
      </c>
      <c r="J346" s="2">
        <v>1333</v>
      </c>
      <c r="K346" s="2" t="s">
        <v>5</v>
      </c>
      <c r="L346" s="2">
        <v>831</v>
      </c>
      <c r="M346" s="2">
        <v>1234</v>
      </c>
      <c r="N346" s="2" t="s">
        <v>5</v>
      </c>
      <c r="O346" s="2">
        <v>710</v>
      </c>
      <c r="P346" s="2">
        <v>1061</v>
      </c>
      <c r="Q346" s="2" t="s">
        <v>5</v>
      </c>
    </row>
    <row r="347" spans="1:17" x14ac:dyDescent="0.2">
      <c r="A347" s="1" t="s">
        <v>1042</v>
      </c>
      <c r="B347" s="1" t="s">
        <v>1041</v>
      </c>
      <c r="C347" s="2" t="s">
        <v>5</v>
      </c>
      <c r="D347" s="2">
        <v>700</v>
      </c>
      <c r="E347" s="2">
        <v>24</v>
      </c>
      <c r="F347" s="2" t="s">
        <v>5</v>
      </c>
      <c r="G347" s="2">
        <v>756</v>
      </c>
      <c r="H347" s="2">
        <v>26</v>
      </c>
      <c r="I347" s="2">
        <v>3004</v>
      </c>
      <c r="J347" s="2">
        <v>744</v>
      </c>
      <c r="K347" s="2">
        <v>29</v>
      </c>
      <c r="L347" s="2">
        <v>2611</v>
      </c>
      <c r="M347" s="2">
        <v>670</v>
      </c>
      <c r="N347" s="2">
        <v>22</v>
      </c>
      <c r="O347" s="2">
        <v>2221</v>
      </c>
      <c r="P347" s="2">
        <v>669</v>
      </c>
      <c r="Q347" s="2">
        <v>19</v>
      </c>
    </row>
    <row r="349" spans="1:17" x14ac:dyDescent="0.2">
      <c r="A349" s="2" t="s">
        <v>6</v>
      </c>
      <c r="B349" s="2"/>
      <c r="C349" s="2" t="s">
        <v>7</v>
      </c>
    </row>
    <row r="350" spans="1:17" x14ac:dyDescent="0.2">
      <c r="A350" s="2" t="s">
        <v>8</v>
      </c>
      <c r="B350" s="2"/>
      <c r="C350" s="2" t="s">
        <v>9</v>
      </c>
    </row>
    <row r="351" spans="1:17" x14ac:dyDescent="0.2">
      <c r="A351" s="2" t="s">
        <v>10</v>
      </c>
      <c r="B351" s="2"/>
      <c r="C351" s="2" t="s">
        <v>11</v>
      </c>
    </row>
    <row r="352" spans="1:17" x14ac:dyDescent="0.2">
      <c r="A352" s="1" t="s">
        <v>1</v>
      </c>
      <c r="B352" s="1"/>
      <c r="C352" s="2" t="s">
        <v>12</v>
      </c>
    </row>
    <row r="354" spans="1:3" x14ac:dyDescent="0.2">
      <c r="A354" s="2" t="s">
        <v>13</v>
      </c>
    </row>
    <row r="356" spans="1:3" x14ac:dyDescent="0.2">
      <c r="A356" s="2" t="s">
        <v>14</v>
      </c>
      <c r="B356" s="2"/>
      <c r="C356" s="2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</vt:lpstr>
      <vt:lpstr>Energieverbruik in TJ Gemeente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Claudia Valkenier</cp:lastModifiedBy>
  <dcterms:created xsi:type="dcterms:W3CDTF">2025-08-06T15:05:31Z</dcterms:created>
  <dcterms:modified xsi:type="dcterms:W3CDTF">2025-08-07T10:16:49Z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