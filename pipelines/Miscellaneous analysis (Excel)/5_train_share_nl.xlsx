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charlottevm/Library/CloudStorage/Dropbox-Quintel/Quintel/Projects/Active/756 Gemeentelijke datasets 2023/2023/"/>
    </mc:Choice>
  </mc:AlternateContent>
  <xr:revisionPtr revIDLastSave="0" documentId="8_{6D921E82-357A-3A4F-8C0B-D4FC622798A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Data" sheetId="6" r:id="rId1"/>
    <sheet name="Calculation" sheetId="3" r:id="rId2"/>
    <sheet name="Source_NS_Dashboard" sheetId="1" r:id="rId3"/>
    <sheet name="Source_GM_code_CBS" sheetId="2" r:id="rId4"/>
  </sheets>
  <definedNames>
    <definedName name="_xlnm._FilterDatabase" localSheetId="1" hidden="1">Calculation!$A$1:$C$399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0" i="3" l="1"/>
  <c r="B340" i="6" s="1"/>
  <c r="J2" i="3"/>
  <c r="H4" i="3"/>
  <c r="H3" i="3"/>
  <c r="H2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B276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2" i="3"/>
  <c r="E3" i="3"/>
  <c r="F3" i="3" s="1"/>
  <c r="E4" i="3"/>
  <c r="F4" i="3"/>
  <c r="E5" i="3"/>
  <c r="F5" i="3"/>
  <c r="E6" i="3"/>
  <c r="F6" i="3" s="1"/>
  <c r="E7" i="3"/>
  <c r="F7" i="3" s="1"/>
  <c r="E8" i="3"/>
  <c r="F8" i="3" s="1"/>
  <c r="E9" i="3"/>
  <c r="F9" i="3"/>
  <c r="E10" i="3"/>
  <c r="F10" i="3"/>
  <c r="E11" i="3"/>
  <c r="F11" i="3" s="1"/>
  <c r="E12" i="3"/>
  <c r="F12" i="3" s="1"/>
  <c r="E13" i="3"/>
  <c r="F13" i="3" s="1"/>
  <c r="E14" i="3"/>
  <c r="F14" i="3"/>
  <c r="E15" i="3"/>
  <c r="F15" i="3" s="1"/>
  <c r="E16" i="3"/>
  <c r="F16" i="3"/>
  <c r="E17" i="3"/>
  <c r="F17" i="3" s="1"/>
  <c r="E18" i="3"/>
  <c r="F18" i="3"/>
  <c r="E19" i="3"/>
  <c r="F19" i="3" s="1"/>
  <c r="E20" i="3"/>
  <c r="F20" i="3" s="1"/>
  <c r="E21" i="3"/>
  <c r="F21" i="3" s="1"/>
  <c r="E22" i="3"/>
  <c r="F22" i="3"/>
  <c r="E23" i="3"/>
  <c r="F23" i="3" s="1"/>
  <c r="E24" i="3"/>
  <c r="F24" i="3"/>
  <c r="E25" i="3"/>
  <c r="F25" i="3"/>
  <c r="E26" i="3"/>
  <c r="F26" i="3" s="1"/>
  <c r="E27" i="3"/>
  <c r="F27" i="3" s="1"/>
  <c r="E28" i="3"/>
  <c r="F28" i="3"/>
  <c r="E29" i="3"/>
  <c r="F29" i="3" s="1"/>
  <c r="E30" i="3"/>
  <c r="F30" i="3" s="1"/>
  <c r="E31" i="3"/>
  <c r="F31" i="3" s="1"/>
  <c r="E32" i="3"/>
  <c r="F32" i="3"/>
  <c r="E33" i="3"/>
  <c r="F33" i="3"/>
  <c r="E34" i="3"/>
  <c r="F34" i="3"/>
  <c r="E35" i="3"/>
  <c r="F35" i="3" s="1"/>
  <c r="E36" i="3"/>
  <c r="F36" i="3"/>
  <c r="E37" i="3"/>
  <c r="F37" i="3"/>
  <c r="E38" i="3"/>
  <c r="F38" i="3" s="1"/>
  <c r="E39" i="3"/>
  <c r="F39" i="3" s="1"/>
  <c r="E40" i="3"/>
  <c r="F40" i="3" s="1"/>
  <c r="E41" i="3"/>
  <c r="F41" i="3"/>
  <c r="E42" i="3"/>
  <c r="F42" i="3"/>
  <c r="E43" i="3"/>
  <c r="F43" i="3" s="1"/>
  <c r="E44" i="3"/>
  <c r="F44" i="3" s="1"/>
  <c r="E45" i="3"/>
  <c r="F45" i="3"/>
  <c r="E46" i="3"/>
  <c r="F46" i="3"/>
  <c r="E47" i="3"/>
  <c r="F47" i="3" s="1"/>
  <c r="E48" i="3"/>
  <c r="F48" i="3"/>
  <c r="E49" i="3"/>
  <c r="F49" i="3" s="1"/>
  <c r="E50" i="3"/>
  <c r="F50" i="3"/>
  <c r="E51" i="3"/>
  <c r="F51" i="3" s="1"/>
  <c r="E52" i="3"/>
  <c r="F52" i="3" s="1"/>
  <c r="E53" i="3"/>
  <c r="F53" i="3" s="1"/>
  <c r="E54" i="3"/>
  <c r="F54" i="3"/>
  <c r="E55" i="3"/>
  <c r="F55" i="3" s="1"/>
  <c r="E56" i="3"/>
  <c r="F56" i="3"/>
  <c r="E57" i="3"/>
  <c r="F57" i="3"/>
  <c r="E58" i="3"/>
  <c r="F58" i="3" s="1"/>
  <c r="E59" i="3"/>
  <c r="F59" i="3" s="1"/>
  <c r="E60" i="3"/>
  <c r="F60" i="3"/>
  <c r="E61" i="3"/>
  <c r="F61" i="3" s="1"/>
  <c r="E62" i="3"/>
  <c r="F62" i="3" s="1"/>
  <c r="E63" i="3"/>
  <c r="F63" i="3" s="1"/>
  <c r="E64" i="3"/>
  <c r="F64" i="3"/>
  <c r="E65" i="3"/>
  <c r="F65" i="3"/>
  <c r="E66" i="3"/>
  <c r="F66" i="3"/>
  <c r="E67" i="3"/>
  <c r="F67" i="3" s="1"/>
  <c r="E68" i="3"/>
  <c r="F68" i="3"/>
  <c r="E69" i="3"/>
  <c r="F69" i="3"/>
  <c r="E70" i="3"/>
  <c r="F70" i="3" s="1"/>
  <c r="E71" i="3"/>
  <c r="F71" i="3" s="1"/>
  <c r="E72" i="3"/>
  <c r="F72" i="3" s="1"/>
  <c r="E73" i="3"/>
  <c r="F73" i="3"/>
  <c r="E74" i="3"/>
  <c r="F74" i="3"/>
  <c r="E75" i="3"/>
  <c r="F75" i="3" s="1"/>
  <c r="E76" i="3"/>
  <c r="F76" i="3" s="1"/>
  <c r="E77" i="3"/>
  <c r="F77" i="3"/>
  <c r="E78" i="3"/>
  <c r="F78" i="3"/>
  <c r="E79" i="3"/>
  <c r="F79" i="3" s="1"/>
  <c r="E80" i="3"/>
  <c r="F80" i="3"/>
  <c r="E81" i="3"/>
  <c r="F81" i="3" s="1"/>
  <c r="F82" i="3"/>
  <c r="G82" i="3" s="1"/>
  <c r="E83" i="3"/>
  <c r="F83" i="3" s="1"/>
  <c r="E84" i="3"/>
  <c r="F84" i="3" s="1"/>
  <c r="E85" i="3"/>
  <c r="F85" i="3" s="1"/>
  <c r="E86" i="3"/>
  <c r="F86" i="3"/>
  <c r="E87" i="3"/>
  <c r="F87" i="3" s="1"/>
  <c r="E88" i="3"/>
  <c r="F88" i="3"/>
  <c r="E89" i="3"/>
  <c r="F89" i="3"/>
  <c r="E90" i="3"/>
  <c r="F90" i="3" s="1"/>
  <c r="E91" i="3"/>
  <c r="F91" i="3" s="1"/>
  <c r="E92" i="3"/>
  <c r="F92" i="3"/>
  <c r="E93" i="3"/>
  <c r="F93" i="3" s="1"/>
  <c r="E94" i="3"/>
  <c r="F94" i="3" s="1"/>
  <c r="E95" i="3"/>
  <c r="F95" i="3" s="1"/>
  <c r="E96" i="3"/>
  <c r="F96" i="3"/>
  <c r="E97" i="3"/>
  <c r="F97" i="3"/>
  <c r="E98" i="3"/>
  <c r="F98" i="3"/>
  <c r="E99" i="3"/>
  <c r="F99" i="3" s="1"/>
  <c r="E100" i="3"/>
  <c r="F100" i="3"/>
  <c r="E101" i="3"/>
  <c r="F101" i="3"/>
  <c r="E102" i="3"/>
  <c r="F102" i="3" s="1"/>
  <c r="E103" i="3"/>
  <c r="F103" i="3" s="1"/>
  <c r="E104" i="3"/>
  <c r="F104" i="3" s="1"/>
  <c r="E105" i="3"/>
  <c r="F105" i="3"/>
  <c r="E106" i="3"/>
  <c r="F106" i="3"/>
  <c r="E107" i="3"/>
  <c r="F107" i="3" s="1"/>
  <c r="E108" i="3"/>
  <c r="F108" i="3" s="1"/>
  <c r="E109" i="3"/>
  <c r="F109" i="3"/>
  <c r="E110" i="3"/>
  <c r="F110" i="3"/>
  <c r="E111" i="3"/>
  <c r="F111" i="3" s="1"/>
  <c r="E112" i="3"/>
  <c r="F112" i="3"/>
  <c r="E113" i="3"/>
  <c r="F113" i="3" s="1"/>
  <c r="E114" i="3"/>
  <c r="F114" i="3"/>
  <c r="E115" i="3"/>
  <c r="F115" i="3" s="1"/>
  <c r="E116" i="3"/>
  <c r="F116" i="3" s="1"/>
  <c r="E117" i="3"/>
  <c r="F117" i="3" s="1"/>
  <c r="E118" i="3"/>
  <c r="F118" i="3"/>
  <c r="E119" i="3"/>
  <c r="F119" i="3" s="1"/>
  <c r="E120" i="3"/>
  <c r="F120" i="3"/>
  <c r="E121" i="3"/>
  <c r="F121" i="3"/>
  <c r="E122" i="3"/>
  <c r="F122" i="3" s="1"/>
  <c r="E123" i="3"/>
  <c r="F123" i="3" s="1"/>
  <c r="E124" i="3"/>
  <c r="F124" i="3"/>
  <c r="E125" i="3"/>
  <c r="F125" i="3" s="1"/>
  <c r="E126" i="3"/>
  <c r="F126" i="3" s="1"/>
  <c r="E127" i="3"/>
  <c r="F127" i="3" s="1"/>
  <c r="E128" i="3"/>
  <c r="F128" i="3"/>
  <c r="E129" i="3"/>
  <c r="F129" i="3"/>
  <c r="E130" i="3"/>
  <c r="F130" i="3"/>
  <c r="E131" i="3"/>
  <c r="F131" i="3" s="1"/>
  <c r="E132" i="3"/>
  <c r="F132" i="3"/>
  <c r="E133" i="3"/>
  <c r="F133" i="3"/>
  <c r="E134" i="3"/>
  <c r="F134" i="3" s="1"/>
  <c r="E135" i="3"/>
  <c r="F135" i="3" s="1"/>
  <c r="E136" i="3"/>
  <c r="F136" i="3" s="1"/>
  <c r="E137" i="3"/>
  <c r="F137" i="3"/>
  <c r="E138" i="3"/>
  <c r="F138" i="3"/>
  <c r="E139" i="3"/>
  <c r="F139" i="3" s="1"/>
  <c r="E140" i="3"/>
  <c r="F140" i="3" s="1"/>
  <c r="E141" i="3"/>
  <c r="F141" i="3"/>
  <c r="E142" i="3"/>
  <c r="F142" i="3"/>
  <c r="E143" i="3"/>
  <c r="F143" i="3" s="1"/>
  <c r="E144" i="3"/>
  <c r="F144" i="3"/>
  <c r="E145" i="3"/>
  <c r="F145" i="3" s="1"/>
  <c r="E146" i="3"/>
  <c r="F146" i="3"/>
  <c r="E147" i="3"/>
  <c r="F147" i="3" s="1"/>
  <c r="E148" i="3"/>
  <c r="F148" i="3" s="1"/>
  <c r="E149" i="3"/>
  <c r="F149" i="3" s="1"/>
  <c r="E150" i="3"/>
  <c r="F150" i="3"/>
  <c r="E151" i="3"/>
  <c r="F151" i="3" s="1"/>
  <c r="E152" i="3"/>
  <c r="F152" i="3"/>
  <c r="E153" i="3"/>
  <c r="F153" i="3"/>
  <c r="E154" i="3"/>
  <c r="F154" i="3" s="1"/>
  <c r="E155" i="3"/>
  <c r="F155" i="3" s="1"/>
  <c r="E156" i="3"/>
  <c r="F156" i="3"/>
  <c r="E157" i="3"/>
  <c r="F157" i="3" s="1"/>
  <c r="E158" i="3"/>
  <c r="F158" i="3" s="1"/>
  <c r="E159" i="3"/>
  <c r="F159" i="3" s="1"/>
  <c r="E160" i="3"/>
  <c r="F160" i="3"/>
  <c r="E161" i="3"/>
  <c r="F161" i="3"/>
  <c r="E162" i="3"/>
  <c r="F162" i="3"/>
  <c r="E163" i="3"/>
  <c r="F163" i="3" s="1"/>
  <c r="E164" i="3"/>
  <c r="F164" i="3"/>
  <c r="E165" i="3"/>
  <c r="F165" i="3"/>
  <c r="E166" i="3"/>
  <c r="F166" i="3" s="1"/>
  <c r="E167" i="3"/>
  <c r="F167" i="3" s="1"/>
  <c r="E168" i="3"/>
  <c r="F168" i="3" s="1"/>
  <c r="E169" i="3"/>
  <c r="F169" i="3"/>
  <c r="E170" i="3"/>
  <c r="F170" i="3"/>
  <c r="E171" i="3"/>
  <c r="F171" i="3" s="1"/>
  <c r="E172" i="3"/>
  <c r="F172" i="3" s="1"/>
  <c r="E173" i="3"/>
  <c r="F173" i="3"/>
  <c r="E174" i="3"/>
  <c r="F174" i="3"/>
  <c r="E175" i="3"/>
  <c r="F175" i="3" s="1"/>
  <c r="E176" i="3"/>
  <c r="F176" i="3"/>
  <c r="E177" i="3"/>
  <c r="F177" i="3" s="1"/>
  <c r="E178" i="3"/>
  <c r="F178" i="3"/>
  <c r="E179" i="3"/>
  <c r="F179" i="3" s="1"/>
  <c r="E180" i="3"/>
  <c r="F180" i="3" s="1"/>
  <c r="E181" i="3"/>
  <c r="F181" i="3" s="1"/>
  <c r="E182" i="3"/>
  <c r="F182" i="3"/>
  <c r="E183" i="3"/>
  <c r="F183" i="3" s="1"/>
  <c r="E184" i="3"/>
  <c r="F184" i="3"/>
  <c r="E185" i="3"/>
  <c r="F185" i="3"/>
  <c r="E186" i="3"/>
  <c r="F186" i="3" s="1"/>
  <c r="E187" i="3"/>
  <c r="F187" i="3" s="1"/>
  <c r="E188" i="3"/>
  <c r="F188" i="3"/>
  <c r="E189" i="3"/>
  <c r="F189" i="3" s="1"/>
  <c r="E190" i="3"/>
  <c r="F190" i="3" s="1"/>
  <c r="E191" i="3"/>
  <c r="F191" i="3" s="1"/>
  <c r="E192" i="3"/>
  <c r="F192" i="3"/>
  <c r="E193" i="3"/>
  <c r="F193" i="3"/>
  <c r="E194" i="3"/>
  <c r="F194" i="3"/>
  <c r="E195" i="3"/>
  <c r="F195" i="3" s="1"/>
  <c r="E196" i="3"/>
  <c r="F196" i="3"/>
  <c r="E197" i="3"/>
  <c r="F197" i="3"/>
  <c r="E198" i="3"/>
  <c r="F198" i="3" s="1"/>
  <c r="E199" i="3"/>
  <c r="F199" i="3" s="1"/>
  <c r="E200" i="3"/>
  <c r="F200" i="3" s="1"/>
  <c r="E201" i="3"/>
  <c r="F201" i="3"/>
  <c r="E202" i="3"/>
  <c r="F202" i="3"/>
  <c r="E203" i="3"/>
  <c r="F203" i="3" s="1"/>
  <c r="E204" i="3"/>
  <c r="F204" i="3" s="1"/>
  <c r="E205" i="3"/>
  <c r="F205" i="3"/>
  <c r="E206" i="3"/>
  <c r="F206" i="3"/>
  <c r="E207" i="3"/>
  <c r="F207" i="3" s="1"/>
  <c r="E208" i="3"/>
  <c r="F208" i="3"/>
  <c r="E209" i="3"/>
  <c r="F209" i="3" s="1"/>
  <c r="E210" i="3"/>
  <c r="F210" i="3"/>
  <c r="E211" i="3"/>
  <c r="F211" i="3" s="1"/>
  <c r="E212" i="3"/>
  <c r="F212" i="3" s="1"/>
  <c r="E213" i="3"/>
  <c r="F213" i="3" s="1"/>
  <c r="E214" i="3"/>
  <c r="F214" i="3"/>
  <c r="E215" i="3"/>
  <c r="F215" i="3" s="1"/>
  <c r="E216" i="3"/>
  <c r="F216" i="3" s="1"/>
  <c r="E217" i="3"/>
  <c r="F217" i="3"/>
  <c r="E218" i="3"/>
  <c r="F218" i="3" s="1"/>
  <c r="E219" i="3"/>
  <c r="F219" i="3" s="1"/>
  <c r="E220" i="3"/>
  <c r="F220" i="3"/>
  <c r="E221" i="3"/>
  <c r="F221" i="3" s="1"/>
  <c r="E222" i="3"/>
  <c r="F222" i="3" s="1"/>
  <c r="E223" i="3"/>
  <c r="F223" i="3" s="1"/>
  <c r="E224" i="3"/>
  <c r="F224" i="3"/>
  <c r="E225" i="3"/>
  <c r="F225" i="3"/>
  <c r="E226" i="3"/>
  <c r="F226" i="3"/>
  <c r="E227" i="3"/>
  <c r="F227" i="3" s="1"/>
  <c r="E228" i="3"/>
  <c r="F228" i="3"/>
  <c r="E229" i="3"/>
  <c r="F229" i="3"/>
  <c r="E230" i="3"/>
  <c r="F230" i="3" s="1"/>
  <c r="E231" i="3"/>
  <c r="F231" i="3" s="1"/>
  <c r="E232" i="3"/>
  <c r="F232" i="3" s="1"/>
  <c r="E233" i="3"/>
  <c r="F233" i="3"/>
  <c r="E234" i="3"/>
  <c r="F234" i="3"/>
  <c r="E235" i="3"/>
  <c r="F235" i="3" s="1"/>
  <c r="E236" i="3"/>
  <c r="F236" i="3" s="1"/>
  <c r="E237" i="3"/>
  <c r="F237" i="3"/>
  <c r="E238" i="3"/>
  <c r="F238" i="3" s="1"/>
  <c r="E239" i="3"/>
  <c r="F239" i="3" s="1"/>
  <c r="E240" i="3"/>
  <c r="F240" i="3"/>
  <c r="E241" i="3"/>
  <c r="F241" i="3" s="1"/>
  <c r="E242" i="3"/>
  <c r="F242" i="3"/>
  <c r="E243" i="3"/>
  <c r="F243" i="3" s="1"/>
  <c r="E244" i="3"/>
  <c r="F244" i="3" s="1"/>
  <c r="E245" i="3"/>
  <c r="F245" i="3" s="1"/>
  <c r="E246" i="3"/>
  <c r="F246" i="3"/>
  <c r="E247" i="3"/>
  <c r="F247" i="3" s="1"/>
  <c r="E248" i="3"/>
  <c r="F248" i="3"/>
  <c r="E249" i="3"/>
  <c r="F249" i="3"/>
  <c r="E250" i="3"/>
  <c r="F250" i="3" s="1"/>
  <c r="E251" i="3"/>
  <c r="F251" i="3" s="1"/>
  <c r="E252" i="3"/>
  <c r="F252" i="3"/>
  <c r="E253" i="3"/>
  <c r="F253" i="3" s="1"/>
  <c r="E254" i="3"/>
  <c r="F254" i="3" s="1"/>
  <c r="E255" i="3"/>
  <c r="F255" i="3" s="1"/>
  <c r="E256" i="3"/>
  <c r="F256" i="3"/>
  <c r="E257" i="3"/>
  <c r="F257" i="3"/>
  <c r="E258" i="3"/>
  <c r="F258" i="3"/>
  <c r="E259" i="3"/>
  <c r="F259" i="3" s="1"/>
  <c r="E260" i="3"/>
  <c r="F260" i="3"/>
  <c r="E261" i="3"/>
  <c r="F261" i="3"/>
  <c r="E262" i="3"/>
  <c r="F262" i="3" s="1"/>
  <c r="E263" i="3"/>
  <c r="F263" i="3" s="1"/>
  <c r="E264" i="3"/>
  <c r="F264" i="3" s="1"/>
  <c r="E265" i="3"/>
  <c r="F265" i="3"/>
  <c r="E266" i="3"/>
  <c r="F266" i="3"/>
  <c r="E267" i="3"/>
  <c r="F267" i="3" s="1"/>
  <c r="E268" i="3"/>
  <c r="F268" i="3" s="1"/>
  <c r="E269" i="3"/>
  <c r="F269" i="3"/>
  <c r="E270" i="3"/>
  <c r="F270" i="3"/>
  <c r="E271" i="3"/>
  <c r="F271" i="3" s="1"/>
  <c r="E272" i="3"/>
  <c r="F272" i="3"/>
  <c r="E273" i="3"/>
  <c r="F273" i="3" s="1"/>
  <c r="E274" i="3"/>
  <c r="F274" i="3"/>
  <c r="E275" i="3"/>
  <c r="F275" i="3" s="1"/>
  <c r="E276" i="3"/>
  <c r="F276" i="3" s="1"/>
  <c r="E277" i="3"/>
  <c r="F277" i="3" s="1"/>
  <c r="E278" i="3"/>
  <c r="F278" i="3"/>
  <c r="E279" i="3"/>
  <c r="F279" i="3" s="1"/>
  <c r="E280" i="3"/>
  <c r="F280" i="3"/>
  <c r="E281" i="3"/>
  <c r="F281" i="3"/>
  <c r="E282" i="3"/>
  <c r="F282" i="3" s="1"/>
  <c r="E283" i="3"/>
  <c r="F283" i="3" s="1"/>
  <c r="E284" i="3"/>
  <c r="F284" i="3"/>
  <c r="E285" i="3"/>
  <c r="F285" i="3" s="1"/>
  <c r="E286" i="3"/>
  <c r="F286" i="3" s="1"/>
  <c r="E287" i="3"/>
  <c r="F287" i="3" s="1"/>
  <c r="E288" i="3"/>
  <c r="F288" i="3"/>
  <c r="E289" i="3"/>
  <c r="F289" i="3"/>
  <c r="E290" i="3"/>
  <c r="F290" i="3"/>
  <c r="E291" i="3"/>
  <c r="F291" i="3" s="1"/>
  <c r="E292" i="3"/>
  <c r="F292" i="3"/>
  <c r="E293" i="3"/>
  <c r="F293" i="3"/>
  <c r="E294" i="3"/>
  <c r="F294" i="3" s="1"/>
  <c r="E295" i="3"/>
  <c r="F295" i="3" s="1"/>
  <c r="E296" i="3"/>
  <c r="F296" i="3" s="1"/>
  <c r="E297" i="3"/>
  <c r="F297" i="3"/>
  <c r="E298" i="3"/>
  <c r="F298" i="3"/>
  <c r="E299" i="3"/>
  <c r="F299" i="3" s="1"/>
  <c r="E300" i="3"/>
  <c r="F300" i="3" s="1"/>
  <c r="E301" i="3"/>
  <c r="F301" i="3"/>
  <c r="E302" i="3"/>
  <c r="F302" i="3"/>
  <c r="E303" i="3"/>
  <c r="F303" i="3" s="1"/>
  <c r="E304" i="3"/>
  <c r="F304" i="3"/>
  <c r="E305" i="3"/>
  <c r="F305" i="3" s="1"/>
  <c r="E306" i="3"/>
  <c r="F306" i="3"/>
  <c r="E307" i="3"/>
  <c r="F307" i="3" s="1"/>
  <c r="E308" i="3"/>
  <c r="F308" i="3" s="1"/>
  <c r="E309" i="3"/>
  <c r="F309" i="3" s="1"/>
  <c r="E310" i="3"/>
  <c r="F310" i="3"/>
  <c r="E311" i="3"/>
  <c r="F311" i="3" s="1"/>
  <c r="E312" i="3"/>
  <c r="F312" i="3"/>
  <c r="E313" i="3"/>
  <c r="F313" i="3"/>
  <c r="E314" i="3"/>
  <c r="F314" i="3" s="1"/>
  <c r="E315" i="3"/>
  <c r="F315" i="3" s="1"/>
  <c r="E316" i="3"/>
  <c r="F316" i="3"/>
  <c r="E317" i="3"/>
  <c r="F317" i="3" s="1"/>
  <c r="E318" i="3"/>
  <c r="F318" i="3" s="1"/>
  <c r="E319" i="3"/>
  <c r="F319" i="3" s="1"/>
  <c r="E320" i="3"/>
  <c r="F320" i="3"/>
  <c r="E321" i="3"/>
  <c r="F321" i="3"/>
  <c r="E322" i="3"/>
  <c r="F322" i="3"/>
  <c r="E323" i="3"/>
  <c r="F323" i="3" s="1"/>
  <c r="E324" i="3"/>
  <c r="F324" i="3"/>
  <c r="E325" i="3"/>
  <c r="F325" i="3"/>
  <c r="E326" i="3"/>
  <c r="F326" i="3" s="1"/>
  <c r="E327" i="3"/>
  <c r="F327" i="3" s="1"/>
  <c r="E328" i="3"/>
  <c r="F328" i="3" s="1"/>
  <c r="E329" i="3"/>
  <c r="F329" i="3"/>
  <c r="E330" i="3"/>
  <c r="F330" i="3"/>
  <c r="E331" i="3"/>
  <c r="F331" i="3" s="1"/>
  <c r="E332" i="3"/>
  <c r="F332" i="3" s="1"/>
  <c r="E333" i="3"/>
  <c r="F333" i="3"/>
  <c r="E334" i="3"/>
  <c r="F334" i="3"/>
  <c r="E335" i="3"/>
  <c r="F335" i="3" s="1"/>
  <c r="E336" i="3"/>
  <c r="F336" i="3"/>
  <c r="E337" i="3"/>
  <c r="F337" i="3" s="1"/>
  <c r="E338" i="3"/>
  <c r="F338" i="3"/>
  <c r="E339" i="3"/>
  <c r="F339" i="3" s="1"/>
  <c r="E340" i="3"/>
  <c r="F340" i="3" s="1"/>
  <c r="E341" i="3"/>
  <c r="F341" i="3" s="1"/>
  <c r="E342" i="3"/>
  <c r="F342" i="3"/>
  <c r="E343" i="3"/>
  <c r="F343" i="3"/>
  <c r="E344" i="3"/>
  <c r="F344" i="3" s="1"/>
  <c r="E345" i="3"/>
  <c r="F345" i="3" s="1"/>
  <c r="E346" i="3"/>
  <c r="F346" i="3"/>
  <c r="E347" i="3"/>
  <c r="F347" i="3"/>
  <c r="E348" i="3"/>
  <c r="F348" i="3" s="1"/>
  <c r="E349" i="3"/>
  <c r="F349" i="3" s="1"/>
  <c r="E350" i="3"/>
  <c r="F350" i="3"/>
  <c r="E351" i="3"/>
  <c r="F351" i="3"/>
  <c r="E352" i="3"/>
  <c r="F352" i="3" s="1"/>
  <c r="E353" i="3"/>
  <c r="F353" i="3" s="1"/>
  <c r="E354" i="3"/>
  <c r="F354" i="3"/>
  <c r="E355" i="3"/>
  <c r="F355" i="3"/>
  <c r="E356" i="3"/>
  <c r="F356" i="3" s="1"/>
  <c r="E357" i="3"/>
  <c r="F357" i="3" s="1"/>
  <c r="E358" i="3"/>
  <c r="F358" i="3"/>
  <c r="E359" i="3"/>
  <c r="F359" i="3"/>
  <c r="E360" i="3"/>
  <c r="F360" i="3" s="1"/>
  <c r="E361" i="3"/>
  <c r="F361" i="3" s="1"/>
  <c r="E362" i="3"/>
  <c r="F362" i="3"/>
  <c r="E363" i="3"/>
  <c r="F363" i="3"/>
  <c r="E364" i="3"/>
  <c r="F364" i="3" s="1"/>
  <c r="E365" i="3"/>
  <c r="F365" i="3" s="1"/>
  <c r="E366" i="3"/>
  <c r="F366" i="3"/>
  <c r="E367" i="3"/>
  <c r="F367" i="3"/>
  <c r="E368" i="3"/>
  <c r="F368" i="3" s="1"/>
  <c r="E369" i="3"/>
  <c r="F369" i="3" s="1"/>
  <c r="E370" i="3"/>
  <c r="F370" i="3"/>
  <c r="E371" i="3"/>
  <c r="F371" i="3"/>
  <c r="E372" i="3"/>
  <c r="F372" i="3" s="1"/>
  <c r="E373" i="3"/>
  <c r="F373" i="3" s="1"/>
  <c r="E374" i="3"/>
  <c r="F374" i="3"/>
  <c r="E375" i="3"/>
  <c r="F375" i="3"/>
  <c r="E376" i="3"/>
  <c r="F376" i="3" s="1"/>
  <c r="E377" i="3"/>
  <c r="F377" i="3" s="1"/>
  <c r="E378" i="3"/>
  <c r="F378" i="3"/>
  <c r="E379" i="3"/>
  <c r="F379" i="3"/>
  <c r="E380" i="3"/>
  <c r="F380" i="3" s="1"/>
  <c r="E381" i="3"/>
  <c r="F381" i="3" s="1"/>
  <c r="E382" i="3"/>
  <c r="F382" i="3"/>
  <c r="E383" i="3"/>
  <c r="F383" i="3"/>
  <c r="E384" i="3"/>
  <c r="F384" i="3" s="1"/>
  <c r="E385" i="3"/>
  <c r="F385" i="3" s="1"/>
  <c r="E386" i="3"/>
  <c r="F386" i="3"/>
  <c r="E387" i="3"/>
  <c r="F387" i="3"/>
  <c r="E388" i="3"/>
  <c r="F388" i="3" s="1"/>
  <c r="E389" i="3"/>
  <c r="F389" i="3" s="1"/>
  <c r="E390" i="3"/>
  <c r="F390" i="3"/>
  <c r="E391" i="3"/>
  <c r="F391" i="3"/>
  <c r="E392" i="3"/>
  <c r="F392" i="3" s="1"/>
  <c r="E393" i="3"/>
  <c r="F393" i="3" s="1"/>
  <c r="E394" i="3"/>
  <c r="F394" i="3"/>
  <c r="E395" i="3"/>
  <c r="F395" i="3"/>
  <c r="E396" i="3"/>
  <c r="F396" i="3" s="1"/>
  <c r="E397" i="3"/>
  <c r="F397" i="3" s="1"/>
  <c r="E398" i="3"/>
  <c r="F398" i="3"/>
  <c r="E399" i="3"/>
  <c r="F399" i="3"/>
  <c r="E2" i="3"/>
  <c r="F2" i="3" s="1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2" i="3"/>
  <c r="B288" i="3"/>
  <c r="B189" i="3"/>
  <c r="B188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2" i="3"/>
  <c r="A3" i="3"/>
  <c r="A4" i="3"/>
  <c r="A5" i="3"/>
  <c r="A6" i="3"/>
  <c r="A7" i="3"/>
  <c r="A8" i="3"/>
  <c r="A9" i="3"/>
  <c r="A10" i="3"/>
  <c r="A11" i="3"/>
  <c r="A12" i="3"/>
  <c r="A13" i="3"/>
  <c r="A1" i="3"/>
  <c r="B343" i="6" l="1"/>
  <c r="B10" i="6"/>
  <c r="B336" i="6"/>
  <c r="B328" i="6"/>
  <c r="B331" i="6"/>
  <c r="B315" i="6"/>
  <c r="B338" i="6"/>
  <c r="B330" i="6"/>
  <c r="B314" i="6"/>
  <c r="B306" i="6"/>
  <c r="B298" i="6"/>
  <c r="B266" i="6"/>
  <c r="B337" i="6"/>
  <c r="B329" i="6"/>
  <c r="B321" i="6"/>
  <c r="B313" i="6"/>
  <c r="B305" i="6"/>
  <c r="B297" i="6"/>
  <c r="B289" i="6"/>
  <c r="B281" i="6"/>
  <c r="B273" i="6"/>
  <c r="B265" i="6"/>
  <c r="B257" i="6"/>
  <c r="B249" i="6"/>
  <c r="B241" i="6"/>
  <c r="B233" i="6"/>
  <c r="B225" i="6"/>
  <c r="B217" i="6"/>
  <c r="B209" i="6"/>
  <c r="B201" i="6"/>
  <c r="B193" i="6"/>
  <c r="B185" i="6"/>
  <c r="B177" i="6"/>
  <c r="B169" i="6"/>
  <c r="B161" i="6"/>
  <c r="B153" i="6"/>
  <c r="B145" i="6"/>
  <c r="B137" i="6"/>
  <c r="B129" i="6"/>
  <c r="B121" i="6"/>
  <c r="B113" i="6"/>
  <c r="B105" i="6"/>
  <c r="B97" i="6"/>
  <c r="B89" i="6"/>
  <c r="B81" i="6"/>
  <c r="B73" i="6"/>
  <c r="B65" i="6"/>
  <c r="B57" i="6"/>
  <c r="B49" i="6"/>
  <c r="B41" i="6"/>
  <c r="B33" i="6"/>
  <c r="B25" i="6"/>
  <c r="B17" i="6"/>
  <c r="B9" i="6"/>
  <c r="B320" i="6"/>
  <c r="B312" i="6"/>
  <c r="B304" i="6"/>
  <c r="B296" i="6"/>
  <c r="B288" i="6"/>
  <c r="B280" i="6"/>
  <c r="B272" i="6"/>
  <c r="B264" i="6"/>
  <c r="B256" i="6"/>
  <c r="B248" i="6"/>
  <c r="B240" i="6"/>
  <c r="B232" i="6"/>
  <c r="B224" i="6"/>
  <c r="B216" i="6"/>
  <c r="B208" i="6"/>
  <c r="B200" i="6"/>
  <c r="B192" i="6"/>
  <c r="B184" i="6"/>
  <c r="B176" i="6"/>
  <c r="B168" i="6"/>
  <c r="B160" i="6"/>
  <c r="B152" i="6"/>
  <c r="B144" i="6"/>
  <c r="B136" i="6"/>
  <c r="B128" i="6"/>
  <c r="B120" i="6"/>
  <c r="B112" i="6"/>
  <c r="B104" i="6"/>
  <c r="B96" i="6"/>
  <c r="B88" i="6"/>
  <c r="B80" i="6"/>
  <c r="B72" i="6"/>
  <c r="B64" i="6"/>
  <c r="B56" i="6"/>
  <c r="B48" i="6"/>
  <c r="B40" i="6"/>
  <c r="B32" i="6"/>
  <c r="B24" i="6"/>
  <c r="B16" i="6"/>
  <c r="B8" i="6"/>
  <c r="B327" i="6"/>
  <c r="B319" i="6"/>
  <c r="B303" i="6"/>
  <c r="B295" i="6"/>
  <c r="B287" i="6"/>
  <c r="B279" i="6"/>
  <c r="B271" i="6"/>
  <c r="B263" i="6"/>
  <c r="B255" i="6"/>
  <c r="B247" i="6"/>
  <c r="B239" i="6"/>
  <c r="B231" i="6"/>
  <c r="B223" i="6"/>
  <c r="B215" i="6"/>
  <c r="B207" i="6"/>
  <c r="B199" i="6"/>
  <c r="B191" i="6"/>
  <c r="B183" i="6"/>
  <c r="B175" i="6"/>
  <c r="B167" i="6"/>
  <c r="B159" i="6"/>
  <c r="B151" i="6"/>
  <c r="B143" i="6"/>
  <c r="B135" i="6"/>
  <c r="B127" i="6"/>
  <c r="B119" i="6"/>
  <c r="B111" i="6"/>
  <c r="B103" i="6"/>
  <c r="B95" i="6"/>
  <c r="B87" i="6"/>
  <c r="B79" i="6"/>
  <c r="B71" i="6"/>
  <c r="B63" i="6"/>
  <c r="B55" i="6"/>
  <c r="B47" i="6"/>
  <c r="B39" i="6"/>
  <c r="B31" i="6"/>
  <c r="B23" i="6"/>
  <c r="B15" i="6"/>
  <c r="B7" i="6"/>
  <c r="B334" i="6"/>
  <c r="B326" i="6"/>
  <c r="B318" i="6"/>
  <c r="B310" i="6"/>
  <c r="B302" i="6"/>
  <c r="B294" i="6"/>
  <c r="B286" i="6"/>
  <c r="B278" i="6"/>
  <c r="B270" i="6"/>
  <c r="B262" i="6"/>
  <c r="B254" i="6"/>
  <c r="B246" i="6"/>
  <c r="B238" i="6"/>
  <c r="B230" i="6"/>
  <c r="B222" i="6"/>
  <c r="B214" i="6"/>
  <c r="B206" i="6"/>
  <c r="B198" i="6"/>
  <c r="B190" i="6"/>
  <c r="B182" i="6"/>
  <c r="B174" i="6"/>
  <c r="B166" i="6"/>
  <c r="B158" i="6"/>
  <c r="B150" i="6"/>
  <c r="B142" i="6"/>
  <c r="B134" i="6"/>
  <c r="B126" i="6"/>
  <c r="B118" i="6"/>
  <c r="B110" i="6"/>
  <c r="B102" i="6"/>
  <c r="B94" i="6"/>
  <c r="B86" i="6"/>
  <c r="B78" i="6"/>
  <c r="B70" i="6"/>
  <c r="B62" i="6"/>
  <c r="B54" i="6"/>
  <c r="B46" i="6"/>
  <c r="B38" i="6"/>
  <c r="B30" i="6"/>
  <c r="B22" i="6"/>
  <c r="B14" i="6"/>
  <c r="B6" i="6"/>
  <c r="B2" i="6"/>
  <c r="B335" i="6"/>
  <c r="B311" i="6"/>
  <c r="B342" i="6"/>
  <c r="B341" i="6"/>
  <c r="B333" i="6"/>
  <c r="B325" i="6"/>
  <c r="B317" i="6"/>
  <c r="B309" i="6"/>
  <c r="B301" i="6"/>
  <c r="B293" i="6"/>
  <c r="B285" i="6"/>
  <c r="B277" i="6"/>
  <c r="B269" i="6"/>
  <c r="B261" i="6"/>
  <c r="B253" i="6"/>
  <c r="B245" i="6"/>
  <c r="B237" i="6"/>
  <c r="B229" i="6"/>
  <c r="B221" i="6"/>
  <c r="B213" i="6"/>
  <c r="B205" i="6"/>
  <c r="B197" i="6"/>
  <c r="B189" i="6"/>
  <c r="B181" i="6"/>
  <c r="B173" i="6"/>
  <c r="B165" i="6"/>
  <c r="B157" i="6"/>
  <c r="B149" i="6"/>
  <c r="B141" i="6"/>
  <c r="B133" i="6"/>
  <c r="B125" i="6"/>
  <c r="B117" i="6"/>
  <c r="B109" i="6"/>
  <c r="B101" i="6"/>
  <c r="B93" i="6"/>
  <c r="B85" i="6"/>
  <c r="B77" i="6"/>
  <c r="B69" i="6"/>
  <c r="B61" i="6"/>
  <c r="B53" i="6"/>
  <c r="B45" i="6"/>
  <c r="B37" i="6"/>
  <c r="B29" i="6"/>
  <c r="B21" i="6"/>
  <c r="B13" i="6"/>
  <c r="B5" i="6"/>
  <c r="B332" i="6"/>
  <c r="B292" i="6"/>
  <c r="B260" i="6"/>
  <c r="B252" i="6"/>
  <c r="B244" i="6"/>
  <c r="B236" i="6"/>
  <c r="B228" i="6"/>
  <c r="B220" i="6"/>
  <c r="B212" i="6"/>
  <c r="B204" i="6"/>
  <c r="B196" i="6"/>
  <c r="B188" i="6"/>
  <c r="B180" i="6"/>
  <c r="B172" i="6"/>
  <c r="B164" i="6"/>
  <c r="B156" i="6"/>
  <c r="B148" i="6"/>
  <c r="B140" i="6"/>
  <c r="B132" i="6"/>
  <c r="B124" i="6"/>
  <c r="B116" i="6"/>
  <c r="B108" i="6"/>
  <c r="B100" i="6"/>
  <c r="B92" i="6"/>
  <c r="B84" i="6"/>
  <c r="B76" i="6"/>
  <c r="B68" i="6"/>
  <c r="B60" i="6"/>
  <c r="B52" i="6"/>
  <c r="B44" i="6"/>
  <c r="B36" i="6"/>
  <c r="B28" i="6"/>
  <c r="B20" i="6"/>
  <c r="B12" i="6"/>
  <c r="B4" i="6"/>
  <c r="B316" i="6"/>
  <c r="B300" i="6"/>
  <c r="B284" i="6"/>
  <c r="B323" i="6"/>
  <c r="B307" i="6"/>
  <c r="B299" i="6"/>
  <c r="B291" i="6"/>
  <c r="B283" i="6"/>
  <c r="B275" i="6"/>
  <c r="B267" i="6"/>
  <c r="B259" i="6"/>
  <c r="B251" i="6"/>
  <c r="B243" i="6"/>
  <c r="B235" i="6"/>
  <c r="B227" i="6"/>
  <c r="B219" i="6"/>
  <c r="B211" i="6"/>
  <c r="B203" i="6"/>
  <c r="B195" i="6"/>
  <c r="B187" i="6"/>
  <c r="B179" i="6"/>
  <c r="B171" i="6"/>
  <c r="B163" i="6"/>
  <c r="B155" i="6"/>
  <c r="B147" i="6"/>
  <c r="B139" i="6"/>
  <c r="B131" i="6"/>
  <c r="B123" i="6"/>
  <c r="B115" i="6"/>
  <c r="B107" i="6"/>
  <c r="B99" i="6"/>
  <c r="B91" i="6"/>
  <c r="B83" i="6"/>
  <c r="B75" i="6"/>
  <c r="B67" i="6"/>
  <c r="B59" i="6"/>
  <c r="B51" i="6"/>
  <c r="B43" i="6"/>
  <c r="B35" i="6"/>
  <c r="B27" i="6"/>
  <c r="B19" i="6"/>
  <c r="B11" i="6"/>
  <c r="B3" i="6"/>
  <c r="B324" i="6"/>
  <c r="B308" i="6"/>
  <c r="B268" i="6"/>
  <c r="B339" i="6"/>
  <c r="B322" i="6"/>
  <c r="B290" i="6"/>
  <c r="B282" i="6"/>
  <c r="B274" i="6"/>
  <c r="B258" i="6"/>
  <c r="B250" i="6"/>
  <c r="B242" i="6"/>
  <c r="B234" i="6"/>
  <c r="B226" i="6"/>
  <c r="B218" i="6"/>
  <c r="B210" i="6"/>
  <c r="B202" i="6"/>
  <c r="B194" i="6"/>
  <c r="B186" i="6"/>
  <c r="B178" i="6"/>
  <c r="B170" i="6"/>
  <c r="B162" i="6"/>
  <c r="B154" i="6"/>
  <c r="B146" i="6"/>
  <c r="B138" i="6"/>
  <c r="B130" i="6"/>
  <c r="B122" i="6"/>
  <c r="B114" i="6"/>
  <c r="B106" i="6"/>
  <c r="B98" i="6"/>
  <c r="B90" i="6"/>
  <c r="B82" i="6"/>
  <c r="B74" i="6"/>
  <c r="B66" i="6"/>
  <c r="B58" i="6"/>
  <c r="B50" i="6"/>
  <c r="B42" i="6"/>
  <c r="B34" i="6"/>
  <c r="B26" i="6"/>
  <c r="B18" i="6"/>
</calcChain>
</file>

<file path=xl/sharedStrings.xml><?xml version="1.0" encoding="utf-8"?>
<sst xmlns="http://schemas.openxmlformats.org/spreadsheetml/2006/main" count="5168" uniqueCount="2326">
  <si>
    <t>Naam</t>
  </si>
  <si>
    <t>Plaats</t>
  </si>
  <si>
    <t>Afk</t>
  </si>
  <si>
    <t>Opening</t>
  </si>
  <si>
    <t>Per</t>
  </si>
  <si>
    <t>Psp</t>
  </si>
  <si>
    <t>Spoorlijn</t>
  </si>
  <si>
    <t>Vervoerders</t>
  </si>
  <si>
    <t>Reizigers per dag</t>
  </si>
  <si>
    <t>Aalten</t>
  </si>
  <si>
    <t>Atn</t>
  </si>
  <si>
    <t>Winterswijk-Zevenaar</t>
  </si>
  <si>
    <t>Arriva</t>
  </si>
  <si>
    <t>1.531 (2008)</t>
  </si>
  <si>
    <t>Abcoude</t>
  </si>
  <si>
    <t>Ac</t>
  </si>
  <si>
    <t>Rhijnspoorweg</t>
  </si>
  <si>
    <t>NS</t>
  </si>
  <si>
    <t>1.599 (2022)</t>
  </si>
  <si>
    <t>Akkrum</t>
  </si>
  <si>
    <t>Akm</t>
  </si>
  <si>
    <t>Staatslijn A</t>
  </si>
  <si>
    <t>725 (2023)</t>
  </si>
  <si>
    <t>Alkmaar</t>
  </si>
  <si>
    <t>Amr</t>
  </si>
  <si>
    <t>Staatslijn K Alkmaar-Hoorn</t>
  </si>
  <si>
    <t>15.272 (2024)</t>
  </si>
  <si>
    <t>Alkmaar Noord</t>
  </si>
  <si>
    <t>Amrn</t>
  </si>
  <si>
    <t>3.526 (2023)</t>
  </si>
  <si>
    <t>Almelo</t>
  </si>
  <si>
    <t>Aml</t>
  </si>
  <si>
    <t>Almelo-Salzbergen Zwolle-Almelo Deventer-Almelo Mariënberg-Almelo</t>
  </si>
  <si>
    <t>Arriva Keolis NS</t>
  </si>
  <si>
    <t>6.544 (2024) (NS)</t>
  </si>
  <si>
    <t>Almelo De Riet</t>
  </si>
  <si>
    <t>Amri</t>
  </si>
  <si>
    <t>Almelo-Salzbergen</t>
  </si>
  <si>
    <t>Keolis NS</t>
  </si>
  <si>
    <t>182 (2023) (NS)</t>
  </si>
  <si>
    <t>Almere Buiten</t>
  </si>
  <si>
    <t>Almb</t>
  </si>
  <si>
    <t>Flevolijn</t>
  </si>
  <si>
    <t>4.679 (2024)</t>
  </si>
  <si>
    <t>Almere Centrum</t>
  </si>
  <si>
    <t>Almere Stad</t>
  </si>
  <si>
    <t>Alm</t>
  </si>
  <si>
    <t>Arriva NS</t>
  </si>
  <si>
    <t>26.979 (2024) (NS)</t>
  </si>
  <si>
    <t>Almere Muziekwijk</t>
  </si>
  <si>
    <t>Almm</t>
  </si>
  <si>
    <t>4.585 (2023)</t>
  </si>
  <si>
    <t>Almere Oostvaarders</t>
  </si>
  <si>
    <t>Almo</t>
  </si>
  <si>
    <t>3.849 (2023)</t>
  </si>
  <si>
    <t>Almere Parkwijk</t>
  </si>
  <si>
    <t>Almp</t>
  </si>
  <si>
    <t>2.208 (2023)</t>
  </si>
  <si>
    <t>Almere Poort</t>
  </si>
  <si>
    <t>Ampo</t>
  </si>
  <si>
    <t>5.818 (2023)</t>
  </si>
  <si>
    <t>Alphen a/d Rijn</t>
  </si>
  <si>
    <t>Alphen aan den Rijn</t>
  </si>
  <si>
    <t>Apn</t>
  </si>
  <si>
    <t>Woerden-Leiden Gouda-Alphen a/d Rijn</t>
  </si>
  <si>
    <t>10.606 (2022)</t>
  </si>
  <si>
    <t>Amersfoort Centraal</t>
  </si>
  <si>
    <t>Amersfoort</t>
  </si>
  <si>
    <t>Amf</t>
  </si>
  <si>
    <t>Centraalspoorweg Oosterspoorweg Ponlijn Valleilijn</t>
  </si>
  <si>
    <t>Keolis NS NS International</t>
  </si>
  <si>
    <t>43.123 (2024) (NS)</t>
  </si>
  <si>
    <t>Amersfoort Schothorst</t>
  </si>
  <si>
    <t>Amfs</t>
  </si>
  <si>
    <t>Centraalspoorweg</t>
  </si>
  <si>
    <t>5.527 (2023)</t>
  </si>
  <si>
    <t>Amersfoort Vathorst</t>
  </si>
  <si>
    <t>Hooglanderveen</t>
  </si>
  <si>
    <t>Avat</t>
  </si>
  <si>
    <t>3.286 (2023)</t>
  </si>
  <si>
    <t>Amsterdam Amstel</t>
  </si>
  <si>
    <t>Amsterdam</t>
  </si>
  <si>
    <t>Asa</t>
  </si>
  <si>
    <t>26.593 (2024)</t>
  </si>
  <si>
    <t>Amsterdam ArenA (alleen bij evenementen)</t>
  </si>
  <si>
    <t>Asdar</t>
  </si>
  <si>
    <t>Rhijnspoorweg Utrechtboog</t>
  </si>
  <si>
    <t>-</t>
  </si>
  <si>
    <t>Amsterdam Bijlmer ArenA</t>
  </si>
  <si>
    <t>Asb</t>
  </si>
  <si>
    <t>25.873 (2024)</t>
  </si>
  <si>
    <t>Amsterdam Centraal</t>
  </si>
  <si>
    <t>Asd</t>
  </si>
  <si>
    <t>Oude Lijn Staatslijn K Oosterspoorweg Rhijnspoorweg Amsterdam-Schiphol</t>
  </si>
  <si>
    <t>Arriva European Sleeper Eurostar NS NS International</t>
  </si>
  <si>
    <t>171.272 (2024)</t>
  </si>
  <si>
    <t>Amsterdam Holendrecht</t>
  </si>
  <si>
    <t>Ashd</t>
  </si>
  <si>
    <t>4.496 (2023)</t>
  </si>
  <si>
    <t>Amsterdam Lelylaan</t>
  </si>
  <si>
    <t>Asdl</t>
  </si>
  <si>
    <t>Amsterdam-Schiphol</t>
  </si>
  <si>
    <t>11.290 (2024)</t>
  </si>
  <si>
    <t>Amsterdam Muiderpoort</t>
  </si>
  <si>
    <t>Asdm</t>
  </si>
  <si>
    <t>Oosterspoorweg Rhijnspoorweg</t>
  </si>
  <si>
    <t>12.515 (2024)</t>
  </si>
  <si>
    <t>Amsterdam RAI</t>
  </si>
  <si>
    <t>Rai</t>
  </si>
  <si>
    <t>Schiphollijn</t>
  </si>
  <si>
    <t>4.307 (2023)</t>
  </si>
  <si>
    <t>Amsterdam Science Park</t>
  </si>
  <si>
    <t>Assp</t>
  </si>
  <si>
    <t>Oosterspoorweg</t>
  </si>
  <si>
    <t>4.525 (2023)</t>
  </si>
  <si>
    <t>Amsterdam Sloterdijk</t>
  </si>
  <si>
    <t>Ass</t>
  </si>
  <si>
    <t>Oude Lijn Staatslijn K Amsterdam-Schiphol</t>
  </si>
  <si>
    <t>57.576 (2024)</t>
  </si>
  <si>
    <t>Amsterdam Zuid</t>
  </si>
  <si>
    <t>Asdz</t>
  </si>
  <si>
    <t>63.365 (2024)</t>
  </si>
  <si>
    <t>Anna Paulowna</t>
  </si>
  <si>
    <t>Ana</t>
  </si>
  <si>
    <t>Staatslijn K</t>
  </si>
  <si>
    <t>1.592 (2023)</t>
  </si>
  <si>
    <t>Apeldoorn</t>
  </si>
  <si>
    <t>Apd</t>
  </si>
  <si>
    <t>Apeldoorn-Deventer Oosterspoorweg Dieren-Apeldoorn</t>
  </si>
  <si>
    <t>Arriva NS NS International VSM</t>
  </si>
  <si>
    <t>12.590 (2024) (NS)</t>
  </si>
  <si>
    <t>Apeldoorn De Maten</t>
  </si>
  <si>
    <t>Apdm</t>
  </si>
  <si>
    <t>612 (2009)</t>
  </si>
  <si>
    <t>Apeldoorn Osseveld</t>
  </si>
  <si>
    <t>Apdo</t>
  </si>
  <si>
    <t>Apeldoorn-Deventer</t>
  </si>
  <si>
    <t>1.092 (2023)</t>
  </si>
  <si>
    <t>Appingedam</t>
  </si>
  <si>
    <t>Apg</t>
  </si>
  <si>
    <t>Groningen-Delfzijl</t>
  </si>
  <si>
    <t>1.082 (2009)</t>
  </si>
  <si>
    <t>Arkel</t>
  </si>
  <si>
    <t>Akl</t>
  </si>
  <si>
    <t>MerwedeLingelijn (Betuwelijn)</t>
  </si>
  <si>
    <t>Qbuzz</t>
  </si>
  <si>
    <t>160 (2014)</t>
  </si>
  <si>
    <t>Arnemuiden</t>
  </si>
  <si>
    <t>Arn</t>
  </si>
  <si>
    <t>Staatslijn F</t>
  </si>
  <si>
    <t>410 (2022)</t>
  </si>
  <si>
    <t>Arnhem Centraal</t>
  </si>
  <si>
    <t>Arnhem</t>
  </si>
  <si>
    <t>Ah</t>
  </si>
  <si>
    <t>Rhijnspoorweg Staatslijn A Arnhem-Nijmegen</t>
  </si>
  <si>
    <t>Arriva Breng NS NS International VIAS GmbH</t>
  </si>
  <si>
    <t>43.362 (2024) (NS)</t>
  </si>
  <si>
    <t>Arnhem Presikhaaf</t>
  </si>
  <si>
    <t>Ahpr</t>
  </si>
  <si>
    <t>2.248 (2023)</t>
  </si>
  <si>
    <t>Arnhem Velperpoort</t>
  </si>
  <si>
    <t>Ahp</t>
  </si>
  <si>
    <t>Rhijnspoorweg Staatslijn A</t>
  </si>
  <si>
    <t>Arriva Breng NS</t>
  </si>
  <si>
    <t>1.852 (2022) (NS)</t>
  </si>
  <si>
    <t>Arnhem Zuid</t>
  </si>
  <si>
    <t>Ahz</t>
  </si>
  <si>
    <t>Arnhem-Nijmegen</t>
  </si>
  <si>
    <t>3.189 (2023)</t>
  </si>
  <si>
    <t>Assen</t>
  </si>
  <si>
    <t>Asn</t>
  </si>
  <si>
    <t>Staatslijn C</t>
  </si>
  <si>
    <t>7.548 (2024)</t>
  </si>
  <si>
    <t>Baarn</t>
  </si>
  <si>
    <t>Brn</t>
  </si>
  <si>
    <t>Oosterspoorweg Stichtse Lijn</t>
  </si>
  <si>
    <t>4.085 (2023)</t>
  </si>
  <si>
    <t>Bad Nieuweschans</t>
  </si>
  <si>
    <t>Nsch</t>
  </si>
  <si>
    <t>Staatslijn B Ihrhove-Nieuweschans</t>
  </si>
  <si>
    <t>476 (2009)</t>
  </si>
  <si>
    <t>Baflo</t>
  </si>
  <si>
    <t>Bf</t>
  </si>
  <si>
    <t>Hogelandspoor</t>
  </si>
  <si>
    <t>754 (2009)</t>
  </si>
  <si>
    <t>Barendrecht</t>
  </si>
  <si>
    <t>Brd</t>
  </si>
  <si>
    <t>Staatslijn I</t>
  </si>
  <si>
    <t>5.238 (2023)</t>
  </si>
  <si>
    <t>Barneveld Centrum</t>
  </si>
  <si>
    <t>Barneveld</t>
  </si>
  <si>
    <t>Bnc</t>
  </si>
  <si>
    <t>Valleilijn (Kippenlijn)</t>
  </si>
  <si>
    <t>Keolis</t>
  </si>
  <si>
    <t>2.863 (2009)</t>
  </si>
  <si>
    <t>Barneveld Noord</t>
  </si>
  <si>
    <t>Bnn</t>
  </si>
  <si>
    <t>1.177 (2008)</t>
  </si>
  <si>
    <t>Barneveld Zuid</t>
  </si>
  <si>
    <t>Bnz</t>
  </si>
  <si>
    <t>612 (2016)</t>
  </si>
  <si>
    <t>Bedum</t>
  </si>
  <si>
    <t>Bdm</t>
  </si>
  <si>
    <t>464 (2009)</t>
  </si>
  <si>
    <t>Beek-Elsloo</t>
  </si>
  <si>
    <t>Beek Elsloo</t>
  </si>
  <si>
    <t>Bk</t>
  </si>
  <si>
    <t>Staatslijn E</t>
  </si>
  <si>
    <t>1.968 (2016)</t>
  </si>
  <si>
    <t>Beesd</t>
  </si>
  <si>
    <t>Bsd</t>
  </si>
  <si>
    <t>183 (2014)</t>
  </si>
  <si>
    <t>Beilen</t>
  </si>
  <si>
    <t>Bl</t>
  </si>
  <si>
    <t>1.587 (2022)</t>
  </si>
  <si>
    <t>Bergen op Zoom</t>
  </si>
  <si>
    <t>Bgn</t>
  </si>
  <si>
    <t>5.311 (2023)</t>
  </si>
  <si>
    <t>Best</t>
  </si>
  <si>
    <t>Bet</t>
  </si>
  <si>
    <t>5.090 (2023)</t>
  </si>
  <si>
    <t>Beverwijk</t>
  </si>
  <si>
    <t>Bv</t>
  </si>
  <si>
    <t>Haarlem-Uitgeest</t>
  </si>
  <si>
    <t>4.228 (2023)</t>
  </si>
  <si>
    <t>Bilthoven</t>
  </si>
  <si>
    <t>Bhv</t>
  </si>
  <si>
    <t>4.329 (2023)</t>
  </si>
  <si>
    <t>Blerick</t>
  </si>
  <si>
    <t>Br</t>
  </si>
  <si>
    <t>Nijmegen-Venlo Venlo-Eindhoven</t>
  </si>
  <si>
    <t>1.257 (2023) (NS)</t>
  </si>
  <si>
    <t>Bloemendaal</t>
  </si>
  <si>
    <t>Bll</t>
  </si>
  <si>
    <t>1.179 (2022)</t>
  </si>
  <si>
    <t>Bodegraven</t>
  </si>
  <si>
    <t>Bdg</t>
  </si>
  <si>
    <t>Woerden-Leiden</t>
  </si>
  <si>
    <t>3.005 (2023)</t>
  </si>
  <si>
    <t>Borne</t>
  </si>
  <si>
    <t>Bn</t>
  </si>
  <si>
    <t>286 (2023) (NS)</t>
  </si>
  <si>
    <t>Boskoop</t>
  </si>
  <si>
    <t>Bsk</t>
  </si>
  <si>
    <t>Gouda-Alphen aan den Rijn</t>
  </si>
  <si>
    <t>1.197 (2023)</t>
  </si>
  <si>
    <t>Boskoop Snijdelwijk</t>
  </si>
  <si>
    <t>Bsks</t>
  </si>
  <si>
    <t>649 (2022)</t>
  </si>
  <si>
    <t>Boven Hardinxveld</t>
  </si>
  <si>
    <t>Boven-Hardinxveld</t>
  </si>
  <si>
    <t>Bhdv</t>
  </si>
  <si>
    <t>343 (2014)</t>
  </si>
  <si>
    <t>Bovenkarspel Flora</t>
  </si>
  <si>
    <t>Bovenkarspel</t>
  </si>
  <si>
    <t>Bkf</t>
  </si>
  <si>
    <t>Zaandam-Enkhuizen</t>
  </si>
  <si>
    <t>550 (2023)</t>
  </si>
  <si>
    <t>Bovenkarspel-Grootebroek</t>
  </si>
  <si>
    <t>Bkg</t>
  </si>
  <si>
    <t>1.621 (2023)</t>
  </si>
  <si>
    <t>Boxmeer</t>
  </si>
  <si>
    <t>Bmr</t>
  </si>
  <si>
    <t>Nijmegen-Venlo</t>
  </si>
  <si>
    <t>3.738 (2006)</t>
  </si>
  <si>
    <t>Boxtel</t>
  </si>
  <si>
    <t>Btl</t>
  </si>
  <si>
    <t>Staatslijn E Staatslijn H Duits Lijntje</t>
  </si>
  <si>
    <t>5.222 (2024)</t>
  </si>
  <si>
    <t>Breda</t>
  </si>
  <si>
    <t>Bd</t>
  </si>
  <si>
    <t>Staatslijn I Roosendaal-Breda Breda-Eindhoven</t>
  </si>
  <si>
    <t>NS NS International</t>
  </si>
  <si>
    <t>36.131 (2024)</t>
  </si>
  <si>
    <t>Breda-Prinsenbeek</t>
  </si>
  <si>
    <t>Prinsenbeek</t>
  </si>
  <si>
    <t>Bdpb</t>
  </si>
  <si>
    <t>1.413 (2023)</t>
  </si>
  <si>
    <t>Breukelen</t>
  </si>
  <si>
    <t>Bkl</t>
  </si>
  <si>
    <t>Rhijnspoorweg Woerden-Breukelen</t>
  </si>
  <si>
    <t>6.092 (2023)</t>
  </si>
  <si>
    <t>Brummen</t>
  </si>
  <si>
    <t>Bmn</t>
  </si>
  <si>
    <t>821 (2023)</t>
  </si>
  <si>
    <t>Buitenpost</t>
  </si>
  <si>
    <t>Bp</t>
  </si>
  <si>
    <t>Staatslijn B</t>
  </si>
  <si>
    <t>Bunde</t>
  </si>
  <si>
    <t>Bde</t>
  </si>
  <si>
    <t>838 (2016)</t>
  </si>
  <si>
    <t>Bunnik</t>
  </si>
  <si>
    <t>Bnk</t>
  </si>
  <si>
    <t>2.007 (2023)</t>
  </si>
  <si>
    <t>Bussum Zuid</t>
  </si>
  <si>
    <t>Bussum</t>
  </si>
  <si>
    <t>Bsmz</t>
  </si>
  <si>
    <t>3.700 (2023)</t>
  </si>
  <si>
    <t>Capelle Schollevaar</t>
  </si>
  <si>
    <t>Capelle aan den IJssel</t>
  </si>
  <si>
    <t>Cps</t>
  </si>
  <si>
    <t>Utrecht-Rotterdam</t>
  </si>
  <si>
    <t>1.930 (2023)</t>
  </si>
  <si>
    <t>Castricum</t>
  </si>
  <si>
    <t>Cas</t>
  </si>
  <si>
    <t>6.458 (2024)</t>
  </si>
  <si>
    <t>Chevremont</t>
  </si>
  <si>
    <t>Kerkrade</t>
  </si>
  <si>
    <t>Cvm</t>
  </si>
  <si>
    <t>Heuvellandlijn</t>
  </si>
  <si>
    <t>Coevorden</t>
  </si>
  <si>
    <t>Co</t>
  </si>
  <si>
    <t>Zwolle-Emmen</t>
  </si>
  <si>
    <t>1.399 (2009)</t>
  </si>
  <si>
    <t>Cuijk</t>
  </si>
  <si>
    <t>Ck</t>
  </si>
  <si>
    <t>2.948 (2006)</t>
  </si>
  <si>
    <t>Culemborg</t>
  </si>
  <si>
    <t>Cl</t>
  </si>
  <si>
    <t>Staatslijn H</t>
  </si>
  <si>
    <t>7.842 (2024)</t>
  </si>
  <si>
    <t>Daarlerveen</t>
  </si>
  <si>
    <t>Da</t>
  </si>
  <si>
    <t>Mariënberg-Almelo</t>
  </si>
  <si>
    <t>&lt;100 (2005)</t>
  </si>
  <si>
    <t>Dalen</t>
  </si>
  <si>
    <t>Dln</t>
  </si>
  <si>
    <t>253 (2008)</t>
  </si>
  <si>
    <t>Dalfsen</t>
  </si>
  <si>
    <t>Dl</t>
  </si>
  <si>
    <t>1.147 (2008)</t>
  </si>
  <si>
    <t>De Vink</t>
  </si>
  <si>
    <t>Leiden Voorschoten</t>
  </si>
  <si>
    <t>Dvnk</t>
  </si>
  <si>
    <t>Oude Lijn</t>
  </si>
  <si>
    <t>2.603 (2023)</t>
  </si>
  <si>
    <t>De Westereen</t>
  </si>
  <si>
    <t>Zwaagwesteinde</t>
  </si>
  <si>
    <t>Dwe</t>
  </si>
  <si>
    <t>Deinum</t>
  </si>
  <si>
    <t>Dei</t>
  </si>
  <si>
    <t>154 (2009)</t>
  </si>
  <si>
    <t>Delden</t>
  </si>
  <si>
    <t>Ddn</t>
  </si>
  <si>
    <t>Staatslijn D</t>
  </si>
  <si>
    <t>Delft</t>
  </si>
  <si>
    <t>Dt</t>
  </si>
  <si>
    <t>34.989 (2024)</t>
  </si>
  <si>
    <t>Delft Campus</t>
  </si>
  <si>
    <t>Dtcp</t>
  </si>
  <si>
    <t>4.232 (2023)</t>
  </si>
  <si>
    <t>Delfzijl</t>
  </si>
  <si>
    <t>Dz</t>
  </si>
  <si>
    <t>1.290 (2009)</t>
  </si>
  <si>
    <t>Delfzijl West</t>
  </si>
  <si>
    <t>Dzw</t>
  </si>
  <si>
    <t>465 (2009)</t>
  </si>
  <si>
    <t>Den Dolder</t>
  </si>
  <si>
    <t>Dld</t>
  </si>
  <si>
    <t>Centraalspoorweg Stichtse Lijn</t>
  </si>
  <si>
    <t>1.783 (2023)</t>
  </si>
  <si>
    <t>Den Haag Centraal</t>
  </si>
  <si>
    <t>Den Haag</t>
  </si>
  <si>
    <t>Gvc</t>
  </si>
  <si>
    <t>Gouda-Den Haag</t>
  </si>
  <si>
    <t>80.091 (2024)</t>
  </si>
  <si>
    <t>Den Haag HS</t>
  </si>
  <si>
    <t>Gv</t>
  </si>
  <si>
    <t>NS European Sleeper</t>
  </si>
  <si>
    <t>31.212 (2024) (NS)</t>
  </si>
  <si>
    <t>Den Haag Laan van NOI</t>
  </si>
  <si>
    <t>Laa</t>
  </si>
  <si>
    <t>16.862 (2024)</t>
  </si>
  <si>
    <t>Den Haag Mariahoeve</t>
  </si>
  <si>
    <t>Gvm</t>
  </si>
  <si>
    <t>2.451 (2023)</t>
  </si>
  <si>
    <t>Den Haag Moerwijk</t>
  </si>
  <si>
    <t>Gvmw</t>
  </si>
  <si>
    <t>2.434 (2022)</t>
  </si>
  <si>
    <t>Den Haag Ypenburg</t>
  </si>
  <si>
    <t>Ypb</t>
  </si>
  <si>
    <t>1.945 (2023)</t>
  </si>
  <si>
    <t>Den Helder</t>
  </si>
  <si>
    <t>Hdr</t>
  </si>
  <si>
    <t>3.187 (2023)</t>
  </si>
  <si>
    <t>Den Helder Zuid</t>
  </si>
  <si>
    <t>Hdrz</t>
  </si>
  <si>
    <t>1.657 (2023)</t>
  </si>
  <si>
    <t>Deurne</t>
  </si>
  <si>
    <t>Dn</t>
  </si>
  <si>
    <t>Venlo-Eindhoven</t>
  </si>
  <si>
    <t>3.868 (2023)</t>
  </si>
  <si>
    <t>Deventer</t>
  </si>
  <si>
    <t>Dv</t>
  </si>
  <si>
    <t>Staatslijn A Apeldoorn-Deventer Deventer-Almelo</t>
  </si>
  <si>
    <t>European Sleeper NS NS International</t>
  </si>
  <si>
    <t>20.355 (2024) (NS)</t>
  </si>
  <si>
    <t>Deventer Colmschate</t>
  </si>
  <si>
    <t>Dvc</t>
  </si>
  <si>
    <t>Deventer-Almelo</t>
  </si>
  <si>
    <t>1.138 (2023)</t>
  </si>
  <si>
    <t>Didam</t>
  </si>
  <si>
    <t>Did</t>
  </si>
  <si>
    <t>Arriva Breng</t>
  </si>
  <si>
    <t>1.892 (2005)</t>
  </si>
  <si>
    <t>Diemen</t>
  </si>
  <si>
    <t>Dmn</t>
  </si>
  <si>
    <t>2.718 (2023)</t>
  </si>
  <si>
    <t>Diemen Zuid</t>
  </si>
  <si>
    <t>Dmnz</t>
  </si>
  <si>
    <t>3.258 (2023)</t>
  </si>
  <si>
    <t>Dieren</t>
  </si>
  <si>
    <t>Dr</t>
  </si>
  <si>
    <t>Staatslijn A Dieren-Apeldoorn</t>
  </si>
  <si>
    <t>NS VSM</t>
  </si>
  <si>
    <t>3.470 (2023) (NS)</t>
  </si>
  <si>
    <t>Doetinchem</t>
  </si>
  <si>
    <t>Dtc</t>
  </si>
  <si>
    <t>7.283 (2013)</t>
  </si>
  <si>
    <t>Doetinchem De Huet</t>
  </si>
  <si>
    <t>Dtch</t>
  </si>
  <si>
    <t>1.232 (2005)</t>
  </si>
  <si>
    <t>Dordrecht</t>
  </si>
  <si>
    <t>Ddr</t>
  </si>
  <si>
    <t>Staatslijn I MerwedeLingelijn (Betuwelijn)</t>
  </si>
  <si>
    <t>NS Qbuzz</t>
  </si>
  <si>
    <t>20.360 (2024) (NS)</t>
  </si>
  <si>
    <t>Dordrecht Stadspolders</t>
  </si>
  <si>
    <t>Ddrs</t>
  </si>
  <si>
    <t>709 (2014)</t>
  </si>
  <si>
    <t>Dordrecht Zuid</t>
  </si>
  <si>
    <t>Ddzd</t>
  </si>
  <si>
    <t>924 (2023)</t>
  </si>
  <si>
    <t>Driebergen-Zeist</t>
  </si>
  <si>
    <t>Driebergen-Rijsenburg</t>
  </si>
  <si>
    <t>Db</t>
  </si>
  <si>
    <t>9.139 (2024)</t>
  </si>
  <si>
    <t>Driehuis</t>
  </si>
  <si>
    <t>Drh</t>
  </si>
  <si>
    <t>943 (2023)</t>
  </si>
  <si>
    <t>Dronryp</t>
  </si>
  <si>
    <t>Dronrijp</t>
  </si>
  <si>
    <t>Drp</t>
  </si>
  <si>
    <t>144 (2009)</t>
  </si>
  <si>
    <t>Dronten</t>
  </si>
  <si>
    <t>Dron</t>
  </si>
  <si>
    <t>Hanzelijn</t>
  </si>
  <si>
    <t>2.810 (2023)</t>
  </si>
  <si>
    <t>Duiven</t>
  </si>
  <si>
    <t>Dvn</t>
  </si>
  <si>
    <t>3.264 (2005)</t>
  </si>
  <si>
    <t>Duivendrecht</t>
  </si>
  <si>
    <t>Dvd</t>
  </si>
  <si>
    <t>Rhijnspoorweg Schiphollijn</t>
  </si>
  <si>
    <t>9.459 (2024) (NS)</t>
  </si>
  <si>
    <t>Echt</t>
  </si>
  <si>
    <t>Ec</t>
  </si>
  <si>
    <t>2.097 (2016)</t>
  </si>
  <si>
    <t>Ede Centrum</t>
  </si>
  <si>
    <t>Ede</t>
  </si>
  <si>
    <t>Edc</t>
  </si>
  <si>
    <t>Ede-Wageningen</t>
  </si>
  <si>
    <t>Ed</t>
  </si>
  <si>
    <t>Rhijnspoorweg Valleilijn (Kippenlijn)</t>
  </si>
  <si>
    <t>15.346 (2024) (NS)</t>
  </si>
  <si>
    <t>Eemshaven (alleen als de veerboot gaat)</t>
  </si>
  <si>
    <t>Eemshaven</t>
  </si>
  <si>
    <t>Eem</t>
  </si>
  <si>
    <t>Stamlijn Eemshaven</t>
  </si>
  <si>
    <t>Eijsden</t>
  </si>
  <si>
    <t>Edn</t>
  </si>
  <si>
    <t>Spoorlijn 40</t>
  </si>
  <si>
    <t>160 (2018)</t>
  </si>
  <si>
    <t>Eindhoven Centraal</t>
  </si>
  <si>
    <t>Eindhoven</t>
  </si>
  <si>
    <t>Ehv</t>
  </si>
  <si>
    <t>Eindhoven-Weert Staatslijn E</t>
  </si>
  <si>
    <t>63.532 (2023) (NS)</t>
  </si>
  <si>
    <t>Eindhoven Stadion (alleen bij evenementen)</t>
  </si>
  <si>
    <t>Ehst</t>
  </si>
  <si>
    <t>Eindhoven Strijp-S</t>
  </si>
  <si>
    <t>Ehs</t>
  </si>
  <si>
    <t>3.887 (2023)</t>
  </si>
  <si>
    <t>Elst</t>
  </si>
  <si>
    <t>Est</t>
  </si>
  <si>
    <t>Arnhem-Nijmegen Betuwelijn</t>
  </si>
  <si>
    <t>3.656 (2023) (NS)</t>
  </si>
  <si>
    <t>Emmen</t>
  </si>
  <si>
    <t>Emn</t>
  </si>
  <si>
    <t>2.613 (2009)</t>
  </si>
  <si>
    <t>Emmen Zuid</t>
  </si>
  <si>
    <t>Emnz</t>
  </si>
  <si>
    <t>Enkhuizen</t>
  </si>
  <si>
    <t>Ekz</t>
  </si>
  <si>
    <t>1.607 (2022)</t>
  </si>
  <si>
    <t>Enschede</t>
  </si>
  <si>
    <t>Es</t>
  </si>
  <si>
    <t>DB Regio NRW Keolis NS</t>
  </si>
  <si>
    <t>8.334 (2024) (NS)</t>
  </si>
  <si>
    <t>Enschede De Eschmarke</t>
  </si>
  <si>
    <t>Ese</t>
  </si>
  <si>
    <t>DB Regio NRW</t>
  </si>
  <si>
    <t>54 (2006)</t>
  </si>
  <si>
    <t>Enschede Kennispark</t>
  </si>
  <si>
    <t>Esk</t>
  </si>
  <si>
    <t>344 (2023) (NS)</t>
  </si>
  <si>
    <t>Ermelo</t>
  </si>
  <si>
    <t>Eml</t>
  </si>
  <si>
    <t>2.229 (2023)</t>
  </si>
  <si>
    <t>Etten-Leur</t>
  </si>
  <si>
    <t>Etn</t>
  </si>
  <si>
    <t>Roosendaal-Breda</t>
  </si>
  <si>
    <t>2.934 (2023)</t>
  </si>
  <si>
    <t>Eygelshoven</t>
  </si>
  <si>
    <t>Egh</t>
  </si>
  <si>
    <t>Heuvellandlijn (Miljoenenlijn)</t>
  </si>
  <si>
    <t>Eygelshoven Markt</t>
  </si>
  <si>
    <t>Eghm</t>
  </si>
  <si>
    <t>Sittard-Herzogenrath</t>
  </si>
  <si>
    <t>Feanwâlden</t>
  </si>
  <si>
    <t>Veenwouden</t>
  </si>
  <si>
    <t>Fwd</t>
  </si>
  <si>
    <t>Franeker</t>
  </si>
  <si>
    <t>Fn</t>
  </si>
  <si>
    <t>839 (2009)</t>
  </si>
  <si>
    <t>Gaanderen</t>
  </si>
  <si>
    <t>Gdr</t>
  </si>
  <si>
    <t>Geldermalsen</t>
  </si>
  <si>
    <t>Gdm</t>
  </si>
  <si>
    <t>Staatslijn H MerwedeLingelijn (Betuwelijn)</t>
  </si>
  <si>
    <t>6.228 (2024) (NS)</t>
  </si>
  <si>
    <t>Geldrop</t>
  </si>
  <si>
    <t>Gp</t>
  </si>
  <si>
    <t>Eindhoven-Weert</t>
  </si>
  <si>
    <t>1.505 (2023)</t>
  </si>
  <si>
    <t>Geleen-Lutterade</t>
  </si>
  <si>
    <t>Geleen</t>
  </si>
  <si>
    <t>Lut</t>
  </si>
  <si>
    <t>1.312 (2016)</t>
  </si>
  <si>
    <t>Geleen Oost</t>
  </si>
  <si>
    <t>Gln</t>
  </si>
  <si>
    <t>629 (2016)</t>
  </si>
  <si>
    <t>Gilze-Rijen</t>
  </si>
  <si>
    <t>Rijen</t>
  </si>
  <si>
    <t>Gz</t>
  </si>
  <si>
    <t>Breda-Eindhoven</t>
  </si>
  <si>
    <t>2.386 (2023)</t>
  </si>
  <si>
    <t>Glanerbrug</t>
  </si>
  <si>
    <t>Gbr</t>
  </si>
  <si>
    <t>Goes</t>
  </si>
  <si>
    <t>Gs</t>
  </si>
  <si>
    <t>5.786 (2024)</t>
  </si>
  <si>
    <t>Goor</t>
  </si>
  <si>
    <t>Go</t>
  </si>
  <si>
    <t>1.688</t>
  </si>
  <si>
    <t>Gorinchem</t>
  </si>
  <si>
    <t>Gr</t>
  </si>
  <si>
    <t>1.660 (2014)</t>
  </si>
  <si>
    <t>Gouda</t>
  </si>
  <si>
    <t>Gd</t>
  </si>
  <si>
    <t>Utrecht-Rotterdam Gouda-Den Haag Gouda-Alphen aan den Rijn</t>
  </si>
  <si>
    <t>28.246 (2024)</t>
  </si>
  <si>
    <t>Gouda Goverwelle</t>
  </si>
  <si>
    <t>Gdg</t>
  </si>
  <si>
    <t>2.486 (2023)</t>
  </si>
  <si>
    <t>Gramsbergen</t>
  </si>
  <si>
    <t>Gbg</t>
  </si>
  <si>
    <t>Zwolle-Stadskanaal</t>
  </si>
  <si>
    <t>244 (2008)</t>
  </si>
  <si>
    <t>Grijpskerk</t>
  </si>
  <si>
    <t>Gk</t>
  </si>
  <si>
    <t>Groningen</t>
  </si>
  <si>
    <t>Gn</t>
  </si>
  <si>
    <t>Groningen-Delfzijl Staatslijn B Staatslijn C</t>
  </si>
  <si>
    <t>16.064 (2024) (NS)</t>
  </si>
  <si>
    <t>Groningen Europapark</t>
  </si>
  <si>
    <t>Gerp</t>
  </si>
  <si>
    <t>Staatslijn B Staatslijn C</t>
  </si>
  <si>
    <t>1.287 (2023) (NS)</t>
  </si>
  <si>
    <t>Groningen Noord</t>
  </si>
  <si>
    <t>Gnn</t>
  </si>
  <si>
    <t>Groningen - Delfzijl</t>
  </si>
  <si>
    <t>3.260 (2014)</t>
  </si>
  <si>
    <t>Grou-Jirnsum</t>
  </si>
  <si>
    <t>Grouw</t>
  </si>
  <si>
    <t>Gw</t>
  </si>
  <si>
    <t>764 (2023)</t>
  </si>
  <si>
    <t>Haarlem</t>
  </si>
  <si>
    <t>Hlm</t>
  </si>
  <si>
    <t>Oude Lijn Haarlem-Uitgeest Haarlem-Zandvoort</t>
  </si>
  <si>
    <t>36.507 (2024)</t>
  </si>
  <si>
    <t>Haarlem Spaarnwoude</t>
  </si>
  <si>
    <t>Hlms</t>
  </si>
  <si>
    <t>3.654 (2023)</t>
  </si>
  <si>
    <t>Halfweg-Zwanenburg</t>
  </si>
  <si>
    <t>Halfweg</t>
  </si>
  <si>
    <t>Hwzb</t>
  </si>
  <si>
    <t>2.776 (2023)</t>
  </si>
  <si>
    <t>'t Harde</t>
  </si>
  <si>
    <t>Hde</t>
  </si>
  <si>
    <t>1.203 (2023)</t>
  </si>
  <si>
    <t>Hardenberg</t>
  </si>
  <si>
    <t>Hdb</t>
  </si>
  <si>
    <t>2.382 (2009)</t>
  </si>
  <si>
    <t>Harderwijk</t>
  </si>
  <si>
    <t>Hd</t>
  </si>
  <si>
    <t>4.993 (2023)</t>
  </si>
  <si>
    <t>Hardinxveld Blauwe Zoom</t>
  </si>
  <si>
    <t>Hardinxveld-Giessendam</t>
  </si>
  <si>
    <t>Hbzm</t>
  </si>
  <si>
    <t>246 (2014)</t>
  </si>
  <si>
    <t>Gnd</t>
  </si>
  <si>
    <t>660 (2014)</t>
  </si>
  <si>
    <t>Haren</t>
  </si>
  <si>
    <t>Hrn</t>
  </si>
  <si>
    <t>1.040 (2022)</t>
  </si>
  <si>
    <t>Harlingen</t>
  </si>
  <si>
    <t>Hlg</t>
  </si>
  <si>
    <t>1.613 (2009)</t>
  </si>
  <si>
    <t>Harlingen Haven</t>
  </si>
  <si>
    <t>Hlgh</t>
  </si>
  <si>
    <t>496 (2009)</t>
  </si>
  <si>
    <t>Heemskerk</t>
  </si>
  <si>
    <t>Hk</t>
  </si>
  <si>
    <t>2.298 (2023)</t>
  </si>
  <si>
    <t>Heemstede-Aerdenhout</t>
  </si>
  <si>
    <t>Heemstede</t>
  </si>
  <si>
    <t>Had</t>
  </si>
  <si>
    <t>6.257 (2024)</t>
  </si>
  <si>
    <t>Heerenveen</t>
  </si>
  <si>
    <t>Hr</t>
  </si>
  <si>
    <t>5.234 (2023)</t>
  </si>
  <si>
    <t>Heerhugowaard</t>
  </si>
  <si>
    <t>Hwd</t>
  </si>
  <si>
    <t>Alkmaar-Hoorn Staatslijn K</t>
  </si>
  <si>
    <t>6.198 (2024)</t>
  </si>
  <si>
    <t>Heerlen</t>
  </si>
  <si>
    <t>Hrl</t>
  </si>
  <si>
    <t>Heuvellandlijn Sittard-Herzogenrath</t>
  </si>
  <si>
    <t>3.871 (2023) (NS)</t>
  </si>
  <si>
    <t>Heerlen Woonboulevard</t>
  </si>
  <si>
    <t>Hrlw</t>
  </si>
  <si>
    <t>Heeze</t>
  </si>
  <si>
    <t>Hze</t>
  </si>
  <si>
    <t>1.362 (2023)</t>
  </si>
  <si>
    <t>Heiloo</t>
  </si>
  <si>
    <t>Hlo</t>
  </si>
  <si>
    <t>4.087 (2023)</t>
  </si>
  <si>
    <t>Heino</t>
  </si>
  <si>
    <t>Hno</t>
  </si>
  <si>
    <t>Zwolle-Almelo</t>
  </si>
  <si>
    <t>709 (2016)</t>
  </si>
  <si>
    <t>Helmond</t>
  </si>
  <si>
    <t>Hm</t>
  </si>
  <si>
    <t>6.474 (2024)</t>
  </si>
  <si>
    <t>Helmond Brandevoort</t>
  </si>
  <si>
    <t>Hmbv</t>
  </si>
  <si>
    <t>1.632 (2023)</t>
  </si>
  <si>
    <t>Helmond Brouwhuis</t>
  </si>
  <si>
    <t>Hmbh</t>
  </si>
  <si>
    <t>1.483 (2023)</t>
  </si>
  <si>
    <t>Helmond 't Hout</t>
  </si>
  <si>
    <t>Hmh</t>
  </si>
  <si>
    <t>1.178 (2023)</t>
  </si>
  <si>
    <t>Hemmen-Dodewaard</t>
  </si>
  <si>
    <t>Dodewaard</t>
  </si>
  <si>
    <t>Hmn</t>
  </si>
  <si>
    <t>Betuwelijn</t>
  </si>
  <si>
    <t>Hengelo</t>
  </si>
  <si>
    <t>Hgl</t>
  </si>
  <si>
    <t>Almelo-Salzbergen Staatslijn D</t>
  </si>
  <si>
    <t>Arriva eurobahn Keolis NS NS International</t>
  </si>
  <si>
    <t>6.088 (2023) (NS)</t>
  </si>
  <si>
    <t>Hengelo Gezondheidspark</t>
  </si>
  <si>
    <t>Hglg</t>
  </si>
  <si>
    <t>Hengelo Oost</t>
  </si>
  <si>
    <t>Hglo</t>
  </si>
  <si>
    <t>'s-Hertogenbosch</t>
  </si>
  <si>
    <t>Ht</t>
  </si>
  <si>
    <t>Brabantse Lijn Staatslijn H</t>
  </si>
  <si>
    <t>56.752 (2024) (NS)</t>
  </si>
  <si>
    <t>'s-Hertogenbosch Oost</t>
  </si>
  <si>
    <t>Hto</t>
  </si>
  <si>
    <t>Brabantse Lijn</t>
  </si>
  <si>
    <t>1.200 (2023)</t>
  </si>
  <si>
    <t>Hillegom</t>
  </si>
  <si>
    <t>Hil</t>
  </si>
  <si>
    <t>2.059 (2023)</t>
  </si>
  <si>
    <t>Hilversum</t>
  </si>
  <si>
    <t>Hvs</t>
  </si>
  <si>
    <t>Oosterspoorweg Hilversum-Lunetten</t>
  </si>
  <si>
    <t>24.941 (2024) (NS)</t>
  </si>
  <si>
    <t>Hilversum Media Park</t>
  </si>
  <si>
    <t>Hvsm</t>
  </si>
  <si>
    <t>3.968 (2023)</t>
  </si>
  <si>
    <t>Hilversum Sportpark</t>
  </si>
  <si>
    <t>Hvsp</t>
  </si>
  <si>
    <t>Hilversum-Lunetten</t>
  </si>
  <si>
    <t>5.797 (2024)</t>
  </si>
  <si>
    <t>Hindeloopen</t>
  </si>
  <si>
    <t>Hnp</t>
  </si>
  <si>
    <t>Leeuwarden-Stavoren</t>
  </si>
  <si>
    <t>41 (2018)</t>
  </si>
  <si>
    <t>Hoensbroek</t>
  </si>
  <si>
    <t>Hb</t>
  </si>
  <si>
    <t>205 (2016)</t>
  </si>
  <si>
    <t>Hoevelaken</t>
  </si>
  <si>
    <t>Stoutenburg Noord</t>
  </si>
  <si>
    <t>Hvl</t>
  </si>
  <si>
    <t>Oosterspoorweg Valleilijn (Kippenlijn)</t>
  </si>
  <si>
    <t>1.359 (2016)</t>
  </si>
  <si>
    <t>Hollandsche Rading</t>
  </si>
  <si>
    <t>Hor</t>
  </si>
  <si>
    <t>Hilversum - Lunetten</t>
  </si>
  <si>
    <t>906 (2023)</t>
  </si>
  <si>
    <t>Holten</t>
  </si>
  <si>
    <t>Hon</t>
  </si>
  <si>
    <t>1.156 (2023)</t>
  </si>
  <si>
    <t>Hoofddorp</t>
  </si>
  <si>
    <t>Hfd</t>
  </si>
  <si>
    <t>14.152 (2024)</t>
  </si>
  <si>
    <t>Hoogeveen</t>
  </si>
  <si>
    <t>Hgv</t>
  </si>
  <si>
    <t>3.694 (2023)</t>
  </si>
  <si>
    <t>Hoogezand-Sappemeer</t>
  </si>
  <si>
    <t>Hoogezand</t>
  </si>
  <si>
    <t>Hgz</t>
  </si>
  <si>
    <t>968 (2009)</t>
  </si>
  <si>
    <t>Hoogkarspel</t>
  </si>
  <si>
    <t>Hks</t>
  </si>
  <si>
    <t>1.577 (2023)</t>
  </si>
  <si>
    <t>Hoorn</t>
  </si>
  <si>
    <t>Hn</t>
  </si>
  <si>
    <t>Zaandam-Enkhuizen Alkmaar-Hoorn Hoorn-Medemblik</t>
  </si>
  <si>
    <t>NS SHM</t>
  </si>
  <si>
    <t>12.896 (2024)</t>
  </si>
  <si>
    <t>Hoorn Kersenboogerd</t>
  </si>
  <si>
    <t>Hnk</t>
  </si>
  <si>
    <t>3.888 (2023)</t>
  </si>
  <si>
    <t>Horst-Sevenum</t>
  </si>
  <si>
    <t>Hegelsom</t>
  </si>
  <si>
    <t>Hrt</t>
  </si>
  <si>
    <t>2.402 (2023)</t>
  </si>
  <si>
    <t>Houten</t>
  </si>
  <si>
    <t>Htn</t>
  </si>
  <si>
    <t>6.095 (2024)</t>
  </si>
  <si>
    <t>Houten Castellum</t>
  </si>
  <si>
    <t>Htnc</t>
  </si>
  <si>
    <t>5.008 (2023)</t>
  </si>
  <si>
    <t>Houthem-Sint Gerlach</t>
  </si>
  <si>
    <t>Houthem</t>
  </si>
  <si>
    <t>Sgl</t>
  </si>
  <si>
    <t>Hurdegaryp</t>
  </si>
  <si>
    <t>Hardegarijp</t>
  </si>
  <si>
    <t>Hdg</t>
  </si>
  <si>
    <t>IJlst</t>
  </si>
  <si>
    <t>IJt</t>
  </si>
  <si>
    <t>Kampen</t>
  </si>
  <si>
    <t>Kpn</t>
  </si>
  <si>
    <t>Centraalspoorweg (Kamperlijntje)</t>
  </si>
  <si>
    <t>Kampen Zuid</t>
  </si>
  <si>
    <t>Kpnz</t>
  </si>
  <si>
    <t>1.612 (2023)</t>
  </si>
  <si>
    <t>Kapelle-Biezelinge</t>
  </si>
  <si>
    <t>Biezelinge Kapelle</t>
  </si>
  <si>
    <t>Bzl</t>
  </si>
  <si>
    <t>962 (2023)</t>
  </si>
  <si>
    <t>Kerkrade Centrum</t>
  </si>
  <si>
    <t>Krd</t>
  </si>
  <si>
    <t>Heuvellandlijn Miljoenenlijn</t>
  </si>
  <si>
    <t>Arriva ZLSM</t>
  </si>
  <si>
    <t>Kesteren</t>
  </si>
  <si>
    <t>Ktr</t>
  </si>
  <si>
    <t>Klarenbeek</t>
  </si>
  <si>
    <t>Kbk</t>
  </si>
  <si>
    <t>Klimmen-Ransdaal</t>
  </si>
  <si>
    <t>Klimmen Ransdaal</t>
  </si>
  <si>
    <t>Kmr</t>
  </si>
  <si>
    <t>Koog aan de Zaan</t>
  </si>
  <si>
    <t>Kz</t>
  </si>
  <si>
    <t>2.551 (2023)</t>
  </si>
  <si>
    <t>Koudum-Molkwerum</t>
  </si>
  <si>
    <t>Molkwerum</t>
  </si>
  <si>
    <t>Kmw</t>
  </si>
  <si>
    <t>49 (2018)</t>
  </si>
  <si>
    <t>Krabbendijke</t>
  </si>
  <si>
    <t>Kbd</t>
  </si>
  <si>
    <t>696 (2023)</t>
  </si>
  <si>
    <t>Krommenie-Assendelft</t>
  </si>
  <si>
    <t>Assendelft Krommenie</t>
  </si>
  <si>
    <t>Kma</t>
  </si>
  <si>
    <t>4.579 (2023)</t>
  </si>
  <si>
    <t>Kropswolde</t>
  </si>
  <si>
    <t>Kw</t>
  </si>
  <si>
    <t>511 (2009)</t>
  </si>
  <si>
    <t>Kruiningen-Yerseke</t>
  </si>
  <si>
    <t>Kruiningen</t>
  </si>
  <si>
    <t>Krg</t>
  </si>
  <si>
    <t>659 (2022)</t>
  </si>
  <si>
    <t>Lage Zwaluwe</t>
  </si>
  <si>
    <t>Zevenbergschen Hoek</t>
  </si>
  <si>
    <t>Zlw</t>
  </si>
  <si>
    <t>Staatslijn I Spoorlijn 12 Langestraatspoorlijn</t>
  </si>
  <si>
    <t>865 (2023)</t>
  </si>
  <si>
    <t>Landgraaf</t>
  </si>
  <si>
    <t>Lg</t>
  </si>
  <si>
    <t>Lansingerland-Zoetermeer</t>
  </si>
  <si>
    <t>Bleiswijk Zoetermeer</t>
  </si>
  <si>
    <t>Llzm</t>
  </si>
  <si>
    <t>2.425 (2023)</t>
  </si>
  <si>
    <t>Leerdam</t>
  </si>
  <si>
    <t>Ldm</t>
  </si>
  <si>
    <t>712 (2014)</t>
  </si>
  <si>
    <t>Leeuwarden</t>
  </si>
  <si>
    <t>Lw</t>
  </si>
  <si>
    <t>Staatslijn A Staatslijn B Leeuwarden-Stavoren</t>
  </si>
  <si>
    <t>7.705 (2024) (NS)</t>
  </si>
  <si>
    <t>Leeuwarden Camminghaburen</t>
  </si>
  <si>
    <t>Lwc</t>
  </si>
  <si>
    <t>784 (2009)</t>
  </si>
  <si>
    <t>Leiden Centraal</t>
  </si>
  <si>
    <t>Leiden</t>
  </si>
  <si>
    <t>Ledn</t>
  </si>
  <si>
    <t>Oude Lijn Schiphollijn Woerden-Leiden</t>
  </si>
  <si>
    <t>80.409 (2022)</t>
  </si>
  <si>
    <t>Leiden Lammenschans</t>
  </si>
  <si>
    <t>Ldl</t>
  </si>
  <si>
    <t>4.636 (2023)</t>
  </si>
  <si>
    <t>Lelystad Centrum</t>
  </si>
  <si>
    <t>Lelystad</t>
  </si>
  <si>
    <t>Lls</t>
  </si>
  <si>
    <t>Flevolijn Hanzelijn</t>
  </si>
  <si>
    <t>12.592 (2024) (NS)</t>
  </si>
  <si>
    <t>Lichtenvoorde-Groenlo</t>
  </si>
  <si>
    <t>Lievelde</t>
  </si>
  <si>
    <t>Ltv</t>
  </si>
  <si>
    <t>Zutphen-Winterswijk</t>
  </si>
  <si>
    <t>Lochem</t>
  </si>
  <si>
    <t>Lc</t>
  </si>
  <si>
    <t>Loppersum</t>
  </si>
  <si>
    <t>Lp</t>
  </si>
  <si>
    <t>572 (2009)</t>
  </si>
  <si>
    <t>Lunteren</t>
  </si>
  <si>
    <t>Ltn</t>
  </si>
  <si>
    <t>Maarheeze</t>
  </si>
  <si>
    <t>Mz</t>
  </si>
  <si>
    <t>1.251 (2023)</t>
  </si>
  <si>
    <t>Maarn</t>
  </si>
  <si>
    <t>Mrn</t>
  </si>
  <si>
    <t>1.452 (2023)</t>
  </si>
  <si>
    <t>Maarssen</t>
  </si>
  <si>
    <t>Mas</t>
  </si>
  <si>
    <t>3.907 (2023)</t>
  </si>
  <si>
    <t>Maastricht</t>
  </si>
  <si>
    <t>Mt</t>
  </si>
  <si>
    <t>Staatslijn E Heuvellandlijn Spoorlijn 20 Spoorlijn 40</t>
  </si>
  <si>
    <t>9.791 (2024) (NS)</t>
  </si>
  <si>
    <t>Maastricht Noord</t>
  </si>
  <si>
    <t>Mtn</t>
  </si>
  <si>
    <t>Maastricht Randwyck</t>
  </si>
  <si>
    <t>Mtr</t>
  </si>
  <si>
    <t>Heuvellandlijn Spoorlijn 40</t>
  </si>
  <si>
    <t>142 (2018) (NMBS)</t>
  </si>
  <si>
    <t>Mantgum</t>
  </si>
  <si>
    <t>Mg</t>
  </si>
  <si>
    <t>513 (2009)</t>
  </si>
  <si>
    <t>Mariënberg</t>
  </si>
  <si>
    <t>Mrb</t>
  </si>
  <si>
    <t>Zwolle-Emmen Mariënberg-Almelo</t>
  </si>
  <si>
    <t>766 (2009)</t>
  </si>
  <si>
    <t>Martenshoek</t>
  </si>
  <si>
    <t>Mth</t>
  </si>
  <si>
    <t>Staatslijn B Groningen-Veendam</t>
  </si>
  <si>
    <t>1.048 (2009)</t>
  </si>
  <si>
    <t>Meerssen</t>
  </si>
  <si>
    <t>Mes</t>
  </si>
  <si>
    <t>Meppel</t>
  </si>
  <si>
    <t>Mp</t>
  </si>
  <si>
    <t>Staatslijn A Staatslijn C</t>
  </si>
  <si>
    <t>6.386 (2024)</t>
  </si>
  <si>
    <t>Middelburg</t>
  </si>
  <si>
    <t>Mdb</t>
  </si>
  <si>
    <t>3.940 (2023)</t>
  </si>
  <si>
    <t>Mook-Molenhoek</t>
  </si>
  <si>
    <t>Molenhoek</t>
  </si>
  <si>
    <t>Mmlh</t>
  </si>
  <si>
    <t>Maaslijn</t>
  </si>
  <si>
    <t>1.250 (2011)</t>
  </si>
  <si>
    <t>Naarden-Bussum</t>
  </si>
  <si>
    <t>Ndb</t>
  </si>
  <si>
    <t>8.815 (2024)</t>
  </si>
  <si>
    <t>Nieuw Amsterdam</t>
  </si>
  <si>
    <t>Veenoord</t>
  </si>
  <si>
    <t>Na</t>
  </si>
  <si>
    <t>475 (2008)</t>
  </si>
  <si>
    <t>Nieuw Vennep</t>
  </si>
  <si>
    <t>Nieuw-Vennep</t>
  </si>
  <si>
    <t>Nvp</t>
  </si>
  <si>
    <t>2.988 (2023)</t>
  </si>
  <si>
    <t>Nieuwerkerk a/d IJssel</t>
  </si>
  <si>
    <t>Nieuwerkerk aan den IJssel</t>
  </si>
  <si>
    <t>Nwk</t>
  </si>
  <si>
    <t>2.866 (2023)</t>
  </si>
  <si>
    <t>Nijkerk</t>
  </si>
  <si>
    <t>Nkk</t>
  </si>
  <si>
    <t>2.906 (2023)</t>
  </si>
  <si>
    <t>Nijmegen</t>
  </si>
  <si>
    <t>Nm</t>
  </si>
  <si>
    <t>Brabantse Lijn Maaslijn Arnhem-Nijmegen</t>
  </si>
  <si>
    <t>39.943 (2024) (NS)</t>
  </si>
  <si>
    <t>Nijmegen Dukenburg</t>
  </si>
  <si>
    <t>Nmd</t>
  </si>
  <si>
    <t>2.296 (2023)</t>
  </si>
  <si>
    <t>Nijmegen Goffert</t>
  </si>
  <si>
    <t>Nmgo</t>
  </si>
  <si>
    <t>1.635 (2023)</t>
  </si>
  <si>
    <t>Nijmegen Heyendaal</t>
  </si>
  <si>
    <t>Nmh</t>
  </si>
  <si>
    <t>3.246 (2009)</t>
  </si>
  <si>
    <t>Nijmegen Lent</t>
  </si>
  <si>
    <t>Nml</t>
  </si>
  <si>
    <t>1.346 (2023)</t>
  </si>
  <si>
    <t>Nijverdal</t>
  </si>
  <si>
    <t>Nvd</t>
  </si>
  <si>
    <t>3.015 (2016)</t>
  </si>
  <si>
    <t>Nunspeet</t>
  </si>
  <si>
    <t>Ns</t>
  </si>
  <si>
    <t>Nuth</t>
  </si>
  <si>
    <t>Nh</t>
  </si>
  <si>
    <t>486 (2016)</t>
  </si>
  <si>
    <t>Obdam</t>
  </si>
  <si>
    <t>Obd</t>
  </si>
  <si>
    <t>Alkmaar-Hoorn</t>
  </si>
  <si>
    <t>1.067 (2023)</t>
  </si>
  <si>
    <t>Oisterwijk</t>
  </si>
  <si>
    <t>Ot</t>
  </si>
  <si>
    <t>2.314 (2023)</t>
  </si>
  <si>
    <t>Oldenzaal</t>
  </si>
  <si>
    <t>Odz</t>
  </si>
  <si>
    <t>Arriva eurobahn</t>
  </si>
  <si>
    <t>Olst</t>
  </si>
  <si>
    <t>Ost</t>
  </si>
  <si>
    <t>1.108 (2023)</t>
  </si>
  <si>
    <t>Ommen</t>
  </si>
  <si>
    <t>Omn</t>
  </si>
  <si>
    <t>1.719 (2009)</t>
  </si>
  <si>
    <t>Oosterbeek</t>
  </si>
  <si>
    <t>Otb</t>
  </si>
  <si>
    <t>526 (2023)</t>
  </si>
  <si>
    <t>Opheusden</t>
  </si>
  <si>
    <t>Op</t>
  </si>
  <si>
    <t>Oss</t>
  </si>
  <si>
    <t>O</t>
  </si>
  <si>
    <t>7.012 (2024)</t>
  </si>
  <si>
    <t>Oss West</t>
  </si>
  <si>
    <t>Ow</t>
  </si>
  <si>
    <t>Oudenbosch</t>
  </si>
  <si>
    <t>Odb</t>
  </si>
  <si>
    <t>Spoorlijn 12</t>
  </si>
  <si>
    <t>1.041 (2023)</t>
  </si>
  <si>
    <t>Overveen</t>
  </si>
  <si>
    <t>Ovn</t>
  </si>
  <si>
    <t>Haarlem-Zandvoort</t>
  </si>
  <si>
    <t>1.786 (2023)</t>
  </si>
  <si>
    <t>Purmerend</t>
  </si>
  <si>
    <t>Pmr</t>
  </si>
  <si>
    <t>2.014 (2023)</t>
  </si>
  <si>
    <t>Purmerend Overwhere</t>
  </si>
  <si>
    <t>Pmo</t>
  </si>
  <si>
    <t>1.773 (2023)</t>
  </si>
  <si>
    <t>Purmerend Weidevenne</t>
  </si>
  <si>
    <t>Pmw</t>
  </si>
  <si>
    <t>1.312 (2023)</t>
  </si>
  <si>
    <t>Putten</t>
  </si>
  <si>
    <t>Pt</t>
  </si>
  <si>
    <t>1.615 (2023)</t>
  </si>
  <si>
    <t>Raalte</t>
  </si>
  <si>
    <t>Rat</t>
  </si>
  <si>
    <t>2.121 (2017)</t>
  </si>
  <si>
    <t>Ravenstein</t>
  </si>
  <si>
    <t>Rvs</t>
  </si>
  <si>
    <t>1.137 (2023)</t>
  </si>
  <si>
    <t>Reuver</t>
  </si>
  <si>
    <t>Rv</t>
  </si>
  <si>
    <t>2.761 (2014)</t>
  </si>
  <si>
    <t>Rheden</t>
  </si>
  <si>
    <t>Rh</t>
  </si>
  <si>
    <t>803 (2023)</t>
  </si>
  <si>
    <t>Rhenen</t>
  </si>
  <si>
    <t>Rhn</t>
  </si>
  <si>
    <t>Kesteren-Amersfoort (Veenendaallijn)</t>
  </si>
  <si>
    <t>1.537 (2023)</t>
  </si>
  <si>
    <t>Rijssen</t>
  </si>
  <si>
    <t>Rsn</t>
  </si>
  <si>
    <t>2.101 (2023)</t>
  </si>
  <si>
    <t>Rijswijk</t>
  </si>
  <si>
    <t>Rsw</t>
  </si>
  <si>
    <t>5.232 (2023)</t>
  </si>
  <si>
    <t>Rilland-Bath</t>
  </si>
  <si>
    <t>Stationsbuurt</t>
  </si>
  <si>
    <t>Rb</t>
  </si>
  <si>
    <t>386 (2023)</t>
  </si>
  <si>
    <t>Roermond</t>
  </si>
  <si>
    <t>Rm</t>
  </si>
  <si>
    <t>8.967 (2024) (NS)</t>
  </si>
  <si>
    <t>Roodeschool</t>
  </si>
  <si>
    <t>Rd</t>
  </si>
  <si>
    <t>Roosendaal</t>
  </si>
  <si>
    <t>Rsd</t>
  </si>
  <si>
    <t>Spoorlijn 12 Roosendaal-Breda Staatslijn F</t>
  </si>
  <si>
    <t>European Sleeper NMBS NS</t>
  </si>
  <si>
    <t>11.359 (2024) (NS)</t>
  </si>
  <si>
    <t>Rosmalen</t>
  </si>
  <si>
    <t>Rs</t>
  </si>
  <si>
    <t>1.874 (2022)</t>
  </si>
  <si>
    <t>Rotterdam Alexander</t>
  </si>
  <si>
    <t>Rotterdam</t>
  </si>
  <si>
    <t>Rta</t>
  </si>
  <si>
    <t>14.858 (2024)</t>
  </si>
  <si>
    <t>Rotterdam Blaak</t>
  </si>
  <si>
    <t>Rtb</t>
  </si>
  <si>
    <t>21.572 (2024)</t>
  </si>
  <si>
    <t>Rotterdam Centraal</t>
  </si>
  <si>
    <t>Rtd</t>
  </si>
  <si>
    <t>Oude Lijn Staatslijn I Utrecht - Rotterdam HSL-Zuid</t>
  </si>
  <si>
    <t>European Sleeper Eurostar NS NS International</t>
  </si>
  <si>
    <t>104.840 (2023) (NS)</t>
  </si>
  <si>
    <t>Rotterdam Lombardijen</t>
  </si>
  <si>
    <t>Rlb</t>
  </si>
  <si>
    <t>6.071 (2023)</t>
  </si>
  <si>
    <t>Rotterdam Noord</t>
  </si>
  <si>
    <t>Rtn</t>
  </si>
  <si>
    <t>1.989 (2023)</t>
  </si>
  <si>
    <t>Rotterdam Stadion (alleen bij evenementen)</t>
  </si>
  <si>
    <t>Rtst</t>
  </si>
  <si>
    <t>2.790 (2014)</t>
  </si>
  <si>
    <t>Rotterdam Zuid</t>
  </si>
  <si>
    <t>Rtz</t>
  </si>
  <si>
    <t>3.227 (2023)</t>
  </si>
  <si>
    <t>Ruurlo</t>
  </si>
  <si>
    <t>Rl</t>
  </si>
  <si>
    <t>Zutphen-Gelsenkirchen</t>
  </si>
  <si>
    <t>Santpoort Noord</t>
  </si>
  <si>
    <t>Santpoort-Noord</t>
  </si>
  <si>
    <t>Sptn</t>
  </si>
  <si>
    <t>697 (2023)</t>
  </si>
  <si>
    <t>Santpoort Zuid</t>
  </si>
  <si>
    <t>Santpoort-Zuid</t>
  </si>
  <si>
    <t>Sptz</t>
  </si>
  <si>
    <t>818 (2023)</t>
  </si>
  <si>
    <t>Sassenheim</t>
  </si>
  <si>
    <t>Warmond</t>
  </si>
  <si>
    <t>Ssh</t>
  </si>
  <si>
    <t>3.685 (2023)</t>
  </si>
  <si>
    <t>Sauwerd</t>
  </si>
  <si>
    <t>Swd</t>
  </si>
  <si>
    <t>Groningen-Delfzijl Hogelandspoor</t>
  </si>
  <si>
    <t>269 (2009)</t>
  </si>
  <si>
    <t>Schagen</t>
  </si>
  <si>
    <t>Sgn</t>
  </si>
  <si>
    <t>4.046 (2023)</t>
  </si>
  <si>
    <t>Scheemda</t>
  </si>
  <si>
    <t>Sda</t>
  </si>
  <si>
    <t>714 (2009)</t>
  </si>
  <si>
    <t>Schiedam Centrum</t>
  </si>
  <si>
    <t>Schiedam</t>
  </si>
  <si>
    <t>Sdm</t>
  </si>
  <si>
    <t>19.306 (2023)</t>
  </si>
  <si>
    <t>Schin op Geul</t>
  </si>
  <si>
    <t>Sog</t>
  </si>
  <si>
    <t>Heuvellandlijn Heerlen-Schin op Geul</t>
  </si>
  <si>
    <t>Schinnen</t>
  </si>
  <si>
    <t>Sn</t>
  </si>
  <si>
    <t>259 (2016)</t>
  </si>
  <si>
    <t>Schiphol Airport</t>
  </si>
  <si>
    <t>Luchthaven Schiphol</t>
  </si>
  <si>
    <t>Shl</t>
  </si>
  <si>
    <t>HSL-Zuid Schiphollijn Amsterdam-Schiphol</t>
  </si>
  <si>
    <t>Arriva NS NS International Eurostar</t>
  </si>
  <si>
    <t>90.108 (2024) (NS)</t>
  </si>
  <si>
    <t>Sittard</t>
  </si>
  <si>
    <t>Std</t>
  </si>
  <si>
    <t>Spoorlijn Maastricht - Venlo Sittard-Herzogenrath</t>
  </si>
  <si>
    <t>8.078 (2024) (NS)</t>
  </si>
  <si>
    <t>Sliedrecht</t>
  </si>
  <si>
    <t>Sdt</t>
  </si>
  <si>
    <t>866 (2014)</t>
  </si>
  <si>
    <t>Sliedrecht Baanhoek</t>
  </si>
  <si>
    <t>Sdtb</t>
  </si>
  <si>
    <t>553 (2014)</t>
  </si>
  <si>
    <t>Sneek</t>
  </si>
  <si>
    <t>Sk</t>
  </si>
  <si>
    <t>2.891 (2009)</t>
  </si>
  <si>
    <t>Sneek Noord</t>
  </si>
  <si>
    <t>Sknd</t>
  </si>
  <si>
    <t>922 (2009)</t>
  </si>
  <si>
    <t>Soest</t>
  </si>
  <si>
    <t>St</t>
  </si>
  <si>
    <t>Stichtse Lijn</t>
  </si>
  <si>
    <t>207 (2023)</t>
  </si>
  <si>
    <t>Soest Zuid</t>
  </si>
  <si>
    <t>Stz</t>
  </si>
  <si>
    <t>1.616 (2023)</t>
  </si>
  <si>
    <t>Soestdijk</t>
  </si>
  <si>
    <t>Sd</t>
  </si>
  <si>
    <t>686 (2023)</t>
  </si>
  <si>
    <t>Spaubeek</t>
  </si>
  <si>
    <t>Sbk</t>
  </si>
  <si>
    <t>240 (2016)</t>
  </si>
  <si>
    <t>Stavoren</t>
  </si>
  <si>
    <t>Stv</t>
  </si>
  <si>
    <t>334 (2018)</t>
  </si>
  <si>
    <t>Stedum</t>
  </si>
  <si>
    <t>Stm</t>
  </si>
  <si>
    <t>377 (2009)</t>
  </si>
  <si>
    <t>Steenwijk</t>
  </si>
  <si>
    <t>Swk</t>
  </si>
  <si>
    <t>3.140 (2023)</t>
  </si>
  <si>
    <t>Susteren</t>
  </si>
  <si>
    <t>Srn</t>
  </si>
  <si>
    <t>840 (2016)</t>
  </si>
  <si>
    <t>Swalmen</t>
  </si>
  <si>
    <t>Sm</t>
  </si>
  <si>
    <t>Tegelen</t>
  </si>
  <si>
    <t>Tg</t>
  </si>
  <si>
    <t>Terborg</t>
  </si>
  <si>
    <t>Tbg</t>
  </si>
  <si>
    <t>885 (2005)</t>
  </si>
  <si>
    <t>Tiel</t>
  </si>
  <si>
    <t>Tl</t>
  </si>
  <si>
    <t>2.863 (2023) (NS)</t>
  </si>
  <si>
    <t>Tiel Passewaaij</t>
  </si>
  <si>
    <t>Tpsw</t>
  </si>
  <si>
    <t>1.209 (2023)</t>
  </si>
  <si>
    <t>Tilburg</t>
  </si>
  <si>
    <t>Tb</t>
  </si>
  <si>
    <t>Staatslijn E Brabantse Lijn</t>
  </si>
  <si>
    <t>31.144 (2024)</t>
  </si>
  <si>
    <t>Tilburg Reeshof</t>
  </si>
  <si>
    <t>Tbr</t>
  </si>
  <si>
    <t>2.766 (2023)</t>
  </si>
  <si>
    <t>Tilburg Universiteit</t>
  </si>
  <si>
    <t>Tbu</t>
  </si>
  <si>
    <t>6.030 (2024)</t>
  </si>
  <si>
    <t>Twello</t>
  </si>
  <si>
    <t>Twl</t>
  </si>
  <si>
    <t>1.147 (2023)</t>
  </si>
  <si>
    <t>Uitgeest</t>
  </si>
  <si>
    <t>Utg</t>
  </si>
  <si>
    <t>Staatslijn K Haarlem-Uitgeest</t>
  </si>
  <si>
    <t>4.487 (2023)</t>
  </si>
  <si>
    <t>Uithuizen</t>
  </si>
  <si>
    <t>Uhz</t>
  </si>
  <si>
    <t>821 (2009)</t>
  </si>
  <si>
    <t>Uithuizermeeden</t>
  </si>
  <si>
    <t>Uhm</t>
  </si>
  <si>
    <t>299 (2006)</t>
  </si>
  <si>
    <t>Usquert</t>
  </si>
  <si>
    <t>Ust</t>
  </si>
  <si>
    <t>250 (2008)</t>
  </si>
  <si>
    <t>Utrecht Centraal</t>
  </si>
  <si>
    <t>Utrecht</t>
  </si>
  <si>
    <t>Ut</t>
  </si>
  <si>
    <t>Centraalspoorweg Rhijnspoorweg Staatslijn H Utrecht-Rotterdam</t>
  </si>
  <si>
    <t>Arriva NS NS International</t>
  </si>
  <si>
    <t>229.788 (2024) (NS)</t>
  </si>
  <si>
    <t>Utrecht Leidsche Rijn</t>
  </si>
  <si>
    <t>Utlr</t>
  </si>
  <si>
    <t>4.014 (2023)</t>
  </si>
  <si>
    <t>Utrecht Lunetten</t>
  </si>
  <si>
    <t>Utln</t>
  </si>
  <si>
    <t>Staatslijn H Hilversum-Lunetten</t>
  </si>
  <si>
    <t>3.260 (2023)</t>
  </si>
  <si>
    <t>Utrecht Maliebaan (alleen als het Spoorwegmuseum open is)</t>
  </si>
  <si>
    <t>Utm</t>
  </si>
  <si>
    <t>Utrecht Overvecht</t>
  </si>
  <si>
    <t>Uto</t>
  </si>
  <si>
    <t>7.306 (2024)</t>
  </si>
  <si>
    <t>Utrecht Terwijde</t>
  </si>
  <si>
    <t>Utt</t>
  </si>
  <si>
    <t>Utrecht-Gouda</t>
  </si>
  <si>
    <t>3.776 (2023)</t>
  </si>
  <si>
    <t>Utrecht Vaartsche Rijn</t>
  </si>
  <si>
    <t>Utvr</t>
  </si>
  <si>
    <t>Rhijnspoorweg Staatslijn H</t>
  </si>
  <si>
    <t>8.931 (2024)</t>
  </si>
  <si>
    <t>Utrecht Zuilen</t>
  </si>
  <si>
    <t>Utzl</t>
  </si>
  <si>
    <t>2.366 (2023)</t>
  </si>
  <si>
    <t>Valkenburg</t>
  </si>
  <si>
    <t>Vk</t>
  </si>
  <si>
    <t>Varsseveld</t>
  </si>
  <si>
    <t>Vsv</t>
  </si>
  <si>
    <t>556 (2005)</t>
  </si>
  <si>
    <t>Veendam</t>
  </si>
  <si>
    <t>Vdm</t>
  </si>
  <si>
    <t>Stadskanaal-Zuidbroek</t>
  </si>
  <si>
    <t>Arriva STAR</t>
  </si>
  <si>
    <t>Veenendaal Centrum</t>
  </si>
  <si>
    <t>Veenendaal</t>
  </si>
  <si>
    <t>Vndc</t>
  </si>
  <si>
    <t>2.002 (2023)</t>
  </si>
  <si>
    <t>Veenendaal-De Klomp</t>
  </si>
  <si>
    <t>De Klomp</t>
  </si>
  <si>
    <t>Klp</t>
  </si>
  <si>
    <t>3.832 (2023)</t>
  </si>
  <si>
    <t>Veenendaal West</t>
  </si>
  <si>
    <t>Vndw</t>
  </si>
  <si>
    <t>1.250 (2023)</t>
  </si>
  <si>
    <t>Velp</t>
  </si>
  <si>
    <t>Vp</t>
  </si>
  <si>
    <t>1.354 (2023)</t>
  </si>
  <si>
    <t>Venlo</t>
  </si>
  <si>
    <t>Vl</t>
  </si>
  <si>
    <t>Maaslijn Staatslijn E Staatslijn G</t>
  </si>
  <si>
    <t>Arriva eurobahn NS</t>
  </si>
  <si>
    <t>3.227 (2023) (NS)</t>
  </si>
  <si>
    <t>Venray</t>
  </si>
  <si>
    <t>Oostrum</t>
  </si>
  <si>
    <t>Vry</t>
  </si>
  <si>
    <t>Vierlingsbeek</t>
  </si>
  <si>
    <t>Vlb</t>
  </si>
  <si>
    <t>367 (2006)</t>
  </si>
  <si>
    <t>Vleuten</t>
  </si>
  <si>
    <t>Vtn</t>
  </si>
  <si>
    <t>4.058 (2023)</t>
  </si>
  <si>
    <t>Vlissingen</t>
  </si>
  <si>
    <t>Vs</t>
  </si>
  <si>
    <t>2.005 (2023)</t>
  </si>
  <si>
    <t>Vlissingen Souburg</t>
  </si>
  <si>
    <t>Vss</t>
  </si>
  <si>
    <t>754 (2023)</t>
  </si>
  <si>
    <t>Voerendaal</t>
  </si>
  <si>
    <t>Vdl</t>
  </si>
  <si>
    <t>Heerlen-Schin op Geul</t>
  </si>
  <si>
    <t>Voorburg</t>
  </si>
  <si>
    <t>Vb</t>
  </si>
  <si>
    <t>Voorhout</t>
  </si>
  <si>
    <t>Vh</t>
  </si>
  <si>
    <t>2.815 (2023)</t>
  </si>
  <si>
    <t>Voorschoten</t>
  </si>
  <si>
    <t>Vst</t>
  </si>
  <si>
    <t>2.839 (2023)</t>
  </si>
  <si>
    <t>Voorst-Empe</t>
  </si>
  <si>
    <t>Empe</t>
  </si>
  <si>
    <t>Vem</t>
  </si>
  <si>
    <t>Vorden</t>
  </si>
  <si>
    <t>Vd</t>
  </si>
  <si>
    <t>Vriezenveen</t>
  </si>
  <si>
    <t>Vz</t>
  </si>
  <si>
    <t>Vroomshoop</t>
  </si>
  <si>
    <t>Vhp</t>
  </si>
  <si>
    <t>Vught</t>
  </si>
  <si>
    <t>Vg</t>
  </si>
  <si>
    <t>1.649 (2023)</t>
  </si>
  <si>
    <t>Waddinxveen</t>
  </si>
  <si>
    <t>Wad</t>
  </si>
  <si>
    <t>1.596 (2023)</t>
  </si>
  <si>
    <t>Waddinxveen Noord</t>
  </si>
  <si>
    <t>Wadn</t>
  </si>
  <si>
    <t>804 (2023)</t>
  </si>
  <si>
    <t>Waddinxveen Triangel</t>
  </si>
  <si>
    <t>Wadt</t>
  </si>
  <si>
    <t>942 (2023)</t>
  </si>
  <si>
    <t>Warffum</t>
  </si>
  <si>
    <t>Wfm</t>
  </si>
  <si>
    <t>843 (2009)</t>
  </si>
  <si>
    <t>Weert</t>
  </si>
  <si>
    <t>Wt</t>
  </si>
  <si>
    <t>Eindhoven-Weert Budel-Vlodrop</t>
  </si>
  <si>
    <t>6.738 (2024) (NS)</t>
  </si>
  <si>
    <t>Weesp</t>
  </si>
  <si>
    <t>Wp</t>
  </si>
  <si>
    <t>Flevolijn Oosterspoorweg Schiphollijn</t>
  </si>
  <si>
    <t>13.907 (2024)</t>
  </si>
  <si>
    <t>Wehl</t>
  </si>
  <si>
    <t>Wl</t>
  </si>
  <si>
    <t>592 (2005)</t>
  </si>
  <si>
    <t>Westervoort</t>
  </si>
  <si>
    <t>Wtv</t>
  </si>
  <si>
    <t>Wezep</t>
  </si>
  <si>
    <t>Wz</t>
  </si>
  <si>
    <t>927 (2023)</t>
  </si>
  <si>
    <t>Wierden</t>
  </si>
  <si>
    <t>Wdn</t>
  </si>
  <si>
    <t>Deventer-Almelo Zwolle-Almelo</t>
  </si>
  <si>
    <t>1.076 (2023) (NS)</t>
  </si>
  <si>
    <t>Wijchen</t>
  </si>
  <si>
    <t>Wc</t>
  </si>
  <si>
    <t>3.890 (2023)</t>
  </si>
  <si>
    <t>Wijhe</t>
  </si>
  <si>
    <t>Wh</t>
  </si>
  <si>
    <t>983 (2023)</t>
  </si>
  <si>
    <t>Winschoten</t>
  </si>
  <si>
    <t>Ws</t>
  </si>
  <si>
    <t>2.619 (2009)</t>
  </si>
  <si>
    <t>Winsum</t>
  </si>
  <si>
    <t>Wsm</t>
  </si>
  <si>
    <t>2.265 (2009)</t>
  </si>
  <si>
    <t>Winterswijk</t>
  </si>
  <si>
    <t>Ww</t>
  </si>
  <si>
    <t>Winterswijk-Zevenaar Zutphen-Winterswijk</t>
  </si>
  <si>
    <t>3.844 (2015)</t>
  </si>
  <si>
    <t>Winterswijk West</t>
  </si>
  <si>
    <t>Www</t>
  </si>
  <si>
    <t>Woerden</t>
  </si>
  <si>
    <t>Wd</t>
  </si>
  <si>
    <t>Utrecht-Rotterdam Woerden-Leiden</t>
  </si>
  <si>
    <t>13.157 (2024)</t>
  </si>
  <si>
    <t>Wolfheze</t>
  </si>
  <si>
    <t>Wf</t>
  </si>
  <si>
    <t>572 (2023)</t>
  </si>
  <si>
    <t>Wolvega</t>
  </si>
  <si>
    <t>Wv</t>
  </si>
  <si>
    <t>1.355 (2023)</t>
  </si>
  <si>
    <t>Workum</t>
  </si>
  <si>
    <t>Wk</t>
  </si>
  <si>
    <t>423 (2009)</t>
  </si>
  <si>
    <t>Wormerveer</t>
  </si>
  <si>
    <t>Wm</t>
  </si>
  <si>
    <t>3.490 (2023)</t>
  </si>
  <si>
    <t>Zaandam</t>
  </si>
  <si>
    <t>Zd</t>
  </si>
  <si>
    <t>Staatslijn K Zaandam-Enkhuizen</t>
  </si>
  <si>
    <t>23.093 (2023)</t>
  </si>
  <si>
    <t>Zdk</t>
  </si>
  <si>
    <t>1.349 (2023)</t>
  </si>
  <si>
    <t>Zaandijk Zaanse Schans</t>
  </si>
  <si>
    <t>Zaandijk</t>
  </si>
  <si>
    <t>Zzs</t>
  </si>
  <si>
    <t>3.677 (2023)</t>
  </si>
  <si>
    <t>Zaltbommel</t>
  </si>
  <si>
    <t>Zbm</t>
  </si>
  <si>
    <t>3.272 (2023)</t>
  </si>
  <si>
    <t>Zandvoort aan Zee</t>
  </si>
  <si>
    <t>Zandvoort</t>
  </si>
  <si>
    <t>Zvt</t>
  </si>
  <si>
    <t>5.476 (2023)</t>
  </si>
  <si>
    <t>Zetten-Andelst</t>
  </si>
  <si>
    <t>Zetten</t>
  </si>
  <si>
    <t>Za</t>
  </si>
  <si>
    <t>Zevenaar</t>
  </si>
  <si>
    <t>Zv</t>
  </si>
  <si>
    <t>Rhijnspoorweg Winterswijk-Zevenaar</t>
  </si>
  <si>
    <t>Arriva Breng VIAS GmbH</t>
  </si>
  <si>
    <t>3.641 (2005)</t>
  </si>
  <si>
    <t>Zevenbergen</t>
  </si>
  <si>
    <t>Zvb</t>
  </si>
  <si>
    <t>939 (2023)</t>
  </si>
  <si>
    <t>Zoetermeer</t>
  </si>
  <si>
    <t>Ztm</t>
  </si>
  <si>
    <t>2.302 (2023)</t>
  </si>
  <si>
    <t>Zoetermeer Oost</t>
  </si>
  <si>
    <t>Ztmo</t>
  </si>
  <si>
    <t>1.691 (2023)</t>
  </si>
  <si>
    <t>Zuidbroek</t>
  </si>
  <si>
    <t>Zb</t>
  </si>
  <si>
    <t>Staatslijn B Stadskanaal-Zuidbroek</t>
  </si>
  <si>
    <t>838 (2009)</t>
  </si>
  <si>
    <t>Zuidhorn</t>
  </si>
  <si>
    <t>Zh</t>
  </si>
  <si>
    <t>Zutphen</t>
  </si>
  <si>
    <t>Zp</t>
  </si>
  <si>
    <t>Oosterspoorweg Staatslijn A Staatslijn D Zutphen-Winterswijk</t>
  </si>
  <si>
    <t>10.763 (2023) (NS)</t>
  </si>
  <si>
    <t>Zwijndrecht</t>
  </si>
  <si>
    <t>Zwd</t>
  </si>
  <si>
    <t>4.328 (2023)</t>
  </si>
  <si>
    <t>Zwolle</t>
  </si>
  <si>
    <t>Zl</t>
  </si>
  <si>
    <t>Centraalspoorweg Staatslijn A Hanzelijn Zwolle-Almelo Zwolle-Emmen</t>
  </si>
  <si>
    <t>42.976 (2024) (NS)</t>
  </si>
  <si>
    <t>Zwolle Stadshagen</t>
  </si>
  <si>
    <t>Zlsh</t>
  </si>
  <si>
    <t>Kamperlijntje</t>
  </si>
  <si>
    <t>Gemeentecode</t>
  </si>
  <si>
    <t>GemeentecodeGM</t>
  </si>
  <si>
    <t>Gemeentenaam</t>
  </si>
  <si>
    <t>Provinciecode</t>
  </si>
  <si>
    <t>ProvinciecodePV</t>
  </si>
  <si>
    <t>Provincienaam</t>
  </si>
  <si>
    <t>1680</t>
  </si>
  <si>
    <t>GM1680</t>
  </si>
  <si>
    <t>Aa en Hunze</t>
  </si>
  <si>
    <t>22</t>
  </si>
  <si>
    <t>PV22</t>
  </si>
  <si>
    <t>Drenthe</t>
  </si>
  <si>
    <t>0358</t>
  </si>
  <si>
    <t>GM0358</t>
  </si>
  <si>
    <t>Aalsmeer</t>
  </si>
  <si>
    <t>27</t>
  </si>
  <si>
    <t>PV27</t>
  </si>
  <si>
    <t>Noord-Holland</t>
  </si>
  <si>
    <t>0197</t>
  </si>
  <si>
    <t>GM0197</t>
  </si>
  <si>
    <t>25</t>
  </si>
  <si>
    <t>PV25</t>
  </si>
  <si>
    <t>Gelderland</t>
  </si>
  <si>
    <t>0059</t>
  </si>
  <si>
    <t>GM0059</t>
  </si>
  <si>
    <t>Achtkarspelen</t>
  </si>
  <si>
    <t>21</t>
  </si>
  <si>
    <t>PV21</t>
  </si>
  <si>
    <t>Fryslân</t>
  </si>
  <si>
    <t>0482</t>
  </si>
  <si>
    <t>GM0482</t>
  </si>
  <si>
    <t>Alblasserdam</t>
  </si>
  <si>
    <t>28</t>
  </si>
  <si>
    <t>PV28</t>
  </si>
  <si>
    <t>Zuid-Holland</t>
  </si>
  <si>
    <t>0613</t>
  </si>
  <si>
    <t>GM0613</t>
  </si>
  <si>
    <t>Albrandswaard</t>
  </si>
  <si>
    <t>0361</t>
  </si>
  <si>
    <t>GM0361</t>
  </si>
  <si>
    <t>0141</t>
  </si>
  <si>
    <t>GM0141</t>
  </si>
  <si>
    <t>23</t>
  </si>
  <si>
    <t>PV23</t>
  </si>
  <si>
    <t>Overijssel</t>
  </si>
  <si>
    <t>0034</t>
  </si>
  <si>
    <t>GM0034</t>
  </si>
  <si>
    <t>Almere</t>
  </si>
  <si>
    <t>24</t>
  </si>
  <si>
    <t>PV24</t>
  </si>
  <si>
    <t>Flevoland</t>
  </si>
  <si>
    <t>0484</t>
  </si>
  <si>
    <t>GM0484</t>
  </si>
  <si>
    <t>1723</t>
  </si>
  <si>
    <t>GM1723</t>
  </si>
  <si>
    <t>Alphen-Chaam</t>
  </si>
  <si>
    <t>30</t>
  </si>
  <si>
    <t>PV30</t>
  </si>
  <si>
    <t>Noord-Brabant</t>
  </si>
  <si>
    <t>1959</t>
  </si>
  <si>
    <t>GM1959</t>
  </si>
  <si>
    <t>Altena</t>
  </si>
  <si>
    <t>0060</t>
  </si>
  <si>
    <t>GM0060</t>
  </si>
  <si>
    <t>Ameland</t>
  </si>
  <si>
    <t>0307</t>
  </si>
  <si>
    <t>GM0307</t>
  </si>
  <si>
    <t>26</t>
  </si>
  <si>
    <t>PV26</t>
  </si>
  <si>
    <t>0362</t>
  </si>
  <si>
    <t>GM0362</t>
  </si>
  <si>
    <t>Amstelveen</t>
  </si>
  <si>
    <t>0363</t>
  </si>
  <si>
    <t>GM0363</t>
  </si>
  <si>
    <t>0200</t>
  </si>
  <si>
    <t>GM0200</t>
  </si>
  <si>
    <t>0202</t>
  </si>
  <si>
    <t>GM0202</t>
  </si>
  <si>
    <t>0106</t>
  </si>
  <si>
    <t>GM0106</t>
  </si>
  <si>
    <t>0743</t>
  </si>
  <si>
    <t>GM0743</t>
  </si>
  <si>
    <t>Asten</t>
  </si>
  <si>
    <t>0744</t>
  </si>
  <si>
    <t>GM0744</t>
  </si>
  <si>
    <t>Baarle-Nassau</t>
  </si>
  <si>
    <t>0308</t>
  </si>
  <si>
    <t>GM0308</t>
  </si>
  <si>
    <t>0489</t>
  </si>
  <si>
    <t>GM0489</t>
  </si>
  <si>
    <t>0203</t>
  </si>
  <si>
    <t>GM0203</t>
  </si>
  <si>
    <t>0888</t>
  </si>
  <si>
    <t>GM0888</t>
  </si>
  <si>
    <t>Beek</t>
  </si>
  <si>
    <t>31</t>
  </si>
  <si>
    <t>PV31</t>
  </si>
  <si>
    <t>Limburg</t>
  </si>
  <si>
    <t>1954</t>
  </si>
  <si>
    <t>GM1954</t>
  </si>
  <si>
    <t>Beekdaelen</t>
  </si>
  <si>
    <t>0889</t>
  </si>
  <si>
    <t>GM0889</t>
  </si>
  <si>
    <t>Beesel</t>
  </si>
  <si>
    <t>1945</t>
  </si>
  <si>
    <t>GM1945</t>
  </si>
  <si>
    <t>Berg en Dal</t>
  </si>
  <si>
    <t>1724</t>
  </si>
  <si>
    <t>GM1724</t>
  </si>
  <si>
    <t>Bergeijk</t>
  </si>
  <si>
    <t>0893</t>
  </si>
  <si>
    <t>GM0893</t>
  </si>
  <si>
    <t>Bergen (L.)</t>
  </si>
  <si>
    <t>0373</t>
  </si>
  <si>
    <t>GM0373</t>
  </si>
  <si>
    <t>Bergen (NH.)</t>
  </si>
  <si>
    <t>0748</t>
  </si>
  <si>
    <t>GM0748</t>
  </si>
  <si>
    <t>1859</t>
  </si>
  <si>
    <t>GM1859</t>
  </si>
  <si>
    <t>Berkelland</t>
  </si>
  <si>
    <t>1721</t>
  </si>
  <si>
    <t>GM1721</t>
  </si>
  <si>
    <t>Bernheze</t>
  </si>
  <si>
    <t>0753</t>
  </si>
  <si>
    <t>GM0753</t>
  </si>
  <si>
    <t>0209</t>
  </si>
  <si>
    <t>GM0209</t>
  </si>
  <si>
    <t>Beuningen</t>
  </si>
  <si>
    <t>0375</t>
  </si>
  <si>
    <t>GM0375</t>
  </si>
  <si>
    <t>0310</t>
  </si>
  <si>
    <t>GM0310</t>
  </si>
  <si>
    <t>De Bilt</t>
  </si>
  <si>
    <t>1728</t>
  </si>
  <si>
    <t>GM1728</t>
  </si>
  <si>
    <t>Bladel</t>
  </si>
  <si>
    <t>0376</t>
  </si>
  <si>
    <t>GM0376</t>
  </si>
  <si>
    <t>Blaricum</t>
  </si>
  <si>
    <t>0377</t>
  </si>
  <si>
    <t>GM0377</t>
  </si>
  <si>
    <t>1901</t>
  </si>
  <si>
    <t>GM1901</t>
  </si>
  <si>
    <t>Bodegraven-Reeuwijk</t>
  </si>
  <si>
    <t>0755</t>
  </si>
  <si>
    <t>GM0755</t>
  </si>
  <si>
    <t>Boekel</t>
  </si>
  <si>
    <t>1681</t>
  </si>
  <si>
    <t>GM1681</t>
  </si>
  <si>
    <t>Borger-Odoorn</t>
  </si>
  <si>
    <t>0147</t>
  </si>
  <si>
    <t>GM0147</t>
  </si>
  <si>
    <t>0654</t>
  </si>
  <si>
    <t>GM0654</t>
  </si>
  <si>
    <t>Borsele</t>
  </si>
  <si>
    <t>29</t>
  </si>
  <si>
    <t>PV29</t>
  </si>
  <si>
    <t>Zeeland</t>
  </si>
  <si>
    <t>0757</t>
  </si>
  <si>
    <t>GM0757</t>
  </si>
  <si>
    <t>0758</t>
  </si>
  <si>
    <t>GM0758</t>
  </si>
  <si>
    <t>1876</t>
  </si>
  <si>
    <t>GM1876</t>
  </si>
  <si>
    <t>Bronckhorst</t>
  </si>
  <si>
    <t>0213</t>
  </si>
  <si>
    <t>GM0213</t>
  </si>
  <si>
    <t>0899</t>
  </si>
  <si>
    <t>GM0899</t>
  </si>
  <si>
    <t>Brunssum</t>
  </si>
  <si>
    <t>0312</t>
  </si>
  <si>
    <t>GM0312</t>
  </si>
  <si>
    <t>0313</t>
  </si>
  <si>
    <t>GM0313</t>
  </si>
  <si>
    <t>Bunschoten</t>
  </si>
  <si>
    <t>0214</t>
  </si>
  <si>
    <t>GM0214</t>
  </si>
  <si>
    <t>Buren</t>
  </si>
  <si>
    <t>0502</t>
  </si>
  <si>
    <t>GM0502</t>
  </si>
  <si>
    <t>0383</t>
  </si>
  <si>
    <t>GM0383</t>
  </si>
  <si>
    <t>0109</t>
  </si>
  <si>
    <t>GM0109</t>
  </si>
  <si>
    <t>1706</t>
  </si>
  <si>
    <t>GM1706</t>
  </si>
  <si>
    <t>Cranendonck</t>
  </si>
  <si>
    <t>0216</t>
  </si>
  <si>
    <t>GM0216</t>
  </si>
  <si>
    <t>0148</t>
  </si>
  <si>
    <t>GM0148</t>
  </si>
  <si>
    <t>1891</t>
  </si>
  <si>
    <t>GM1891</t>
  </si>
  <si>
    <t>Dantumadiel</t>
  </si>
  <si>
    <t>0503</t>
  </si>
  <si>
    <t>GM0503</t>
  </si>
  <si>
    <t>0762</t>
  </si>
  <si>
    <t>GM0762</t>
  </si>
  <si>
    <t>0150</t>
  </si>
  <si>
    <t>GM0150</t>
  </si>
  <si>
    <t>0384</t>
  </si>
  <si>
    <t>GM0384</t>
  </si>
  <si>
    <t>1980</t>
  </si>
  <si>
    <t>GM1980</t>
  </si>
  <si>
    <t>Dijk en Waard</t>
  </si>
  <si>
    <t>1774</t>
  </si>
  <si>
    <t>GM1774</t>
  </si>
  <si>
    <t>Dinkelland</t>
  </si>
  <si>
    <t>0221</t>
  </si>
  <si>
    <t>GM0221</t>
  </si>
  <si>
    <t>Doesburg</t>
  </si>
  <si>
    <t>0222</t>
  </si>
  <si>
    <t>GM0222</t>
  </si>
  <si>
    <t>0766</t>
  </si>
  <si>
    <t>GM0766</t>
  </si>
  <si>
    <t>Dongen</t>
  </si>
  <si>
    <t>0505</t>
  </si>
  <si>
    <t>GM0505</t>
  </si>
  <si>
    <t>0498</t>
  </si>
  <si>
    <t>GM0498</t>
  </si>
  <si>
    <t>Drechterland</t>
  </si>
  <si>
    <t>1719</t>
  </si>
  <si>
    <t>GM1719</t>
  </si>
  <si>
    <t>Drimmelen</t>
  </si>
  <si>
    <t>0303</t>
  </si>
  <si>
    <t>GM0303</t>
  </si>
  <si>
    <t>0225</t>
  </si>
  <si>
    <t>GM0225</t>
  </si>
  <si>
    <t>Druten</t>
  </si>
  <si>
    <t>0226</t>
  </si>
  <si>
    <t>GM0226</t>
  </si>
  <si>
    <t>1711</t>
  </si>
  <si>
    <t>GM1711</t>
  </si>
  <si>
    <t>Echt-Susteren</t>
  </si>
  <si>
    <t>0385</t>
  </si>
  <si>
    <t>GM0385</t>
  </si>
  <si>
    <t>Edam-Volendam</t>
  </si>
  <si>
    <t>0228</t>
  </si>
  <si>
    <t>GM0228</t>
  </si>
  <si>
    <t>0317</t>
  </si>
  <si>
    <t>GM0317</t>
  </si>
  <si>
    <t>Eemnes</t>
  </si>
  <si>
    <t>1979</t>
  </si>
  <si>
    <t>GM1979</t>
  </si>
  <si>
    <t>Eemsdelta</t>
  </si>
  <si>
    <t>20</t>
  </si>
  <si>
    <t>PV20</t>
  </si>
  <si>
    <t>0770</t>
  </si>
  <si>
    <t>GM0770</t>
  </si>
  <si>
    <t>Eersel</t>
  </si>
  <si>
    <t>1903</t>
  </si>
  <si>
    <t>GM1903</t>
  </si>
  <si>
    <t>Eijsden-Margraten</t>
  </si>
  <si>
    <t>0772</t>
  </si>
  <si>
    <t>GM0772</t>
  </si>
  <si>
    <t>0230</t>
  </si>
  <si>
    <t>GM0230</t>
  </si>
  <si>
    <t>Elburg</t>
  </si>
  <si>
    <t>0114</t>
  </si>
  <si>
    <t>GM0114</t>
  </si>
  <si>
    <t>0388</t>
  </si>
  <si>
    <t>GM0388</t>
  </si>
  <si>
    <t>0153</t>
  </si>
  <si>
    <t>GM0153</t>
  </si>
  <si>
    <t>0232</t>
  </si>
  <si>
    <t>GM0232</t>
  </si>
  <si>
    <t>Epe</t>
  </si>
  <si>
    <t>0233</t>
  </si>
  <si>
    <t>GM0233</t>
  </si>
  <si>
    <t>0777</t>
  </si>
  <si>
    <t>GM0777</t>
  </si>
  <si>
    <t>1940</t>
  </si>
  <si>
    <t>GM1940</t>
  </si>
  <si>
    <t>De Fryske Marren</t>
  </si>
  <si>
    <t>0779</t>
  </si>
  <si>
    <t>GM0779</t>
  </si>
  <si>
    <t>Geertruidenberg</t>
  </si>
  <si>
    <t>1771</t>
  </si>
  <si>
    <t>GM1771</t>
  </si>
  <si>
    <t>Geldrop-Mierlo</t>
  </si>
  <si>
    <t>1652</t>
  </si>
  <si>
    <t>GM1652</t>
  </si>
  <si>
    <t>Gemert-Bakel</t>
  </si>
  <si>
    <t>0907</t>
  </si>
  <si>
    <t>GM0907</t>
  </si>
  <si>
    <t>Gennep</t>
  </si>
  <si>
    <t>0784</t>
  </si>
  <si>
    <t>GM0784</t>
  </si>
  <si>
    <t>Gilze en Rijen</t>
  </si>
  <si>
    <t>1924</t>
  </si>
  <si>
    <t>GM1924</t>
  </si>
  <si>
    <t>Goeree-Overflakkee</t>
  </si>
  <si>
    <t>0664</t>
  </si>
  <si>
    <t>GM0664</t>
  </si>
  <si>
    <t>0785</t>
  </si>
  <si>
    <t>GM0785</t>
  </si>
  <si>
    <t>Goirle</t>
  </si>
  <si>
    <t>1942</t>
  </si>
  <si>
    <t>GM1942</t>
  </si>
  <si>
    <t>Gooise Meren</t>
  </si>
  <si>
    <t>0512</t>
  </si>
  <si>
    <t>GM0512</t>
  </si>
  <si>
    <t>0513</t>
  </si>
  <si>
    <t>GM0513</t>
  </si>
  <si>
    <t>0518</t>
  </si>
  <si>
    <t>GM0518</t>
  </si>
  <si>
    <t>'s-Gravenhage</t>
  </si>
  <si>
    <t>0014</t>
  </si>
  <si>
    <t>GM0014</t>
  </si>
  <si>
    <t>1729</t>
  </si>
  <si>
    <t>GM1729</t>
  </si>
  <si>
    <t>Gulpen-Wittem</t>
  </si>
  <si>
    <t>0158</t>
  </si>
  <si>
    <t>GM0158</t>
  </si>
  <si>
    <t>Haaksbergen</t>
  </si>
  <si>
    <t>0392</t>
  </si>
  <si>
    <t>GM0392</t>
  </si>
  <si>
    <t>0394</t>
  </si>
  <si>
    <t>GM0394</t>
  </si>
  <si>
    <t>Haarlemmermeer</t>
  </si>
  <si>
    <t>1655</t>
  </si>
  <si>
    <t>GM1655</t>
  </si>
  <si>
    <t>Halderberge</t>
  </si>
  <si>
    <t>0160</t>
  </si>
  <si>
    <t>GM0160</t>
  </si>
  <si>
    <t>0243</t>
  </si>
  <si>
    <t>GM0243</t>
  </si>
  <si>
    <t>0523</t>
  </si>
  <si>
    <t>GM0523</t>
  </si>
  <si>
    <t>0072</t>
  </si>
  <si>
    <t>GM0072</t>
  </si>
  <si>
    <t>0244</t>
  </si>
  <si>
    <t>GM0244</t>
  </si>
  <si>
    <t>Hattem</t>
  </si>
  <si>
    <t>0396</t>
  </si>
  <si>
    <t>GM0396</t>
  </si>
  <si>
    <t>0397</t>
  </si>
  <si>
    <t>GM0397</t>
  </si>
  <si>
    <t>0246</t>
  </si>
  <si>
    <t>GM0246</t>
  </si>
  <si>
    <t>Heerde</t>
  </si>
  <si>
    <t>0074</t>
  </si>
  <si>
    <t>GM0074</t>
  </si>
  <si>
    <t>0917</t>
  </si>
  <si>
    <t>GM0917</t>
  </si>
  <si>
    <t>1658</t>
  </si>
  <si>
    <t>GM1658</t>
  </si>
  <si>
    <t>Heeze-Leende</t>
  </si>
  <si>
    <t>0399</t>
  </si>
  <si>
    <t>GM0399</t>
  </si>
  <si>
    <t>0400</t>
  </si>
  <si>
    <t>GM0400</t>
  </si>
  <si>
    <t>0163</t>
  </si>
  <si>
    <t>GM0163</t>
  </si>
  <si>
    <t>Hellendoorn</t>
  </si>
  <si>
    <t>0794</t>
  </si>
  <si>
    <t>GM0794</t>
  </si>
  <si>
    <t>0531</t>
  </si>
  <si>
    <t>GM0531</t>
  </si>
  <si>
    <t>Hendrik-Ido-Ambacht</t>
  </si>
  <si>
    <t>0164</t>
  </si>
  <si>
    <t>GM0164</t>
  </si>
  <si>
    <t>0796</t>
  </si>
  <si>
    <t>GM0796</t>
  </si>
  <si>
    <t>0252</t>
  </si>
  <si>
    <t>GM0252</t>
  </si>
  <si>
    <t>Heumen</t>
  </si>
  <si>
    <t>0797</t>
  </si>
  <si>
    <t>GM0797</t>
  </si>
  <si>
    <t>Heusden</t>
  </si>
  <si>
    <t>0534</t>
  </si>
  <si>
    <t>GM0534</t>
  </si>
  <si>
    <t>0798</t>
  </si>
  <si>
    <t>GM0798</t>
  </si>
  <si>
    <t>Hilvarenbeek</t>
  </si>
  <si>
    <t>0402</t>
  </si>
  <si>
    <t>GM0402</t>
  </si>
  <si>
    <t>1963</t>
  </si>
  <si>
    <t>GM1963</t>
  </si>
  <si>
    <t>Hoeksche Waard</t>
  </si>
  <si>
    <t>1735</t>
  </si>
  <si>
    <t>GM1735</t>
  </si>
  <si>
    <t>Hof van Twente</t>
  </si>
  <si>
    <t>1966</t>
  </si>
  <si>
    <t>GM1966</t>
  </si>
  <si>
    <t>Het Hogeland</t>
  </si>
  <si>
    <t>1911</t>
  </si>
  <si>
    <t>GM1911</t>
  </si>
  <si>
    <t>Hollands Kroon</t>
  </si>
  <si>
    <t>0118</t>
  </si>
  <si>
    <t>GM0118</t>
  </si>
  <si>
    <t>0405</t>
  </si>
  <si>
    <t>GM0405</t>
  </si>
  <si>
    <t>1507</t>
  </si>
  <si>
    <t>GM1507</t>
  </si>
  <si>
    <t>Horst aan de Maas</t>
  </si>
  <si>
    <t>0321</t>
  </si>
  <si>
    <t>GM0321</t>
  </si>
  <si>
    <t>0406</t>
  </si>
  <si>
    <t>GM0406</t>
  </si>
  <si>
    <t>Huizen</t>
  </si>
  <si>
    <t>0677</t>
  </si>
  <si>
    <t>GM0677</t>
  </si>
  <si>
    <t>Hulst</t>
  </si>
  <si>
    <t>0353</t>
  </si>
  <si>
    <t>GM0353</t>
  </si>
  <si>
    <t>IJsselstein</t>
  </si>
  <si>
    <t>1884</t>
  </si>
  <si>
    <t>GM1884</t>
  </si>
  <si>
    <t>Kaag en Braassem</t>
  </si>
  <si>
    <t>0166</t>
  </si>
  <si>
    <t>GM0166</t>
  </si>
  <si>
    <t>0678</t>
  </si>
  <si>
    <t>GM0678</t>
  </si>
  <si>
    <t>Kapelle</t>
  </si>
  <si>
    <t>0537</t>
  </si>
  <si>
    <t>GM0537</t>
  </si>
  <si>
    <t>Katwijk</t>
  </si>
  <si>
    <t>0928</t>
  </si>
  <si>
    <t>GM0928</t>
  </si>
  <si>
    <t>1598</t>
  </si>
  <si>
    <t>GM1598</t>
  </si>
  <si>
    <t>Koggenland</t>
  </si>
  <si>
    <t>0542</t>
  </si>
  <si>
    <t>GM0542</t>
  </si>
  <si>
    <t>Krimpen aan den IJssel</t>
  </si>
  <si>
    <t>1931</t>
  </si>
  <si>
    <t>GM1931</t>
  </si>
  <si>
    <t>Krimpenerwaard</t>
  </si>
  <si>
    <t>1659</t>
  </si>
  <si>
    <t>GM1659</t>
  </si>
  <si>
    <t>Laarbeek</t>
  </si>
  <si>
    <t>1982</t>
  </si>
  <si>
    <t>GM1982</t>
  </si>
  <si>
    <t>Land van Cuijk</t>
  </si>
  <si>
    <t>0882</t>
  </si>
  <si>
    <t>GM0882</t>
  </si>
  <si>
    <t>0415</t>
  </si>
  <si>
    <t>GM0415</t>
  </si>
  <si>
    <t>Landsmeer</t>
  </si>
  <si>
    <t>1621</t>
  </si>
  <si>
    <t>GM1621</t>
  </si>
  <si>
    <t>Lansingerland</t>
  </si>
  <si>
    <t>0417</t>
  </si>
  <si>
    <t>GM0417</t>
  </si>
  <si>
    <t>Laren</t>
  </si>
  <si>
    <t>0080</t>
  </si>
  <si>
    <t>GM0080</t>
  </si>
  <si>
    <t>0546</t>
  </si>
  <si>
    <t>GM0546</t>
  </si>
  <si>
    <t>0547</t>
  </si>
  <si>
    <t>GM0547</t>
  </si>
  <si>
    <t>Leiderdorp</t>
  </si>
  <si>
    <t>1916</t>
  </si>
  <si>
    <t>GM1916</t>
  </si>
  <si>
    <t>Leidschendam-Voorburg</t>
  </si>
  <si>
    <t>0995</t>
  </si>
  <si>
    <t>GM0995</t>
  </si>
  <si>
    <t>1640</t>
  </si>
  <si>
    <t>GM1640</t>
  </si>
  <si>
    <t>Leudal</t>
  </si>
  <si>
    <t>0327</t>
  </si>
  <si>
    <t>GM0327</t>
  </si>
  <si>
    <t>Leusden</t>
  </si>
  <si>
    <t>1705</t>
  </si>
  <si>
    <t>GM1705</t>
  </si>
  <si>
    <t>Lingewaard</t>
  </si>
  <si>
    <t>0553</t>
  </si>
  <si>
    <t>GM0553</t>
  </si>
  <si>
    <t>Lisse</t>
  </si>
  <si>
    <t>0262</t>
  </si>
  <si>
    <t>GM0262</t>
  </si>
  <si>
    <t>0809</t>
  </si>
  <si>
    <t>GM0809</t>
  </si>
  <si>
    <t>Loon op Zand</t>
  </si>
  <si>
    <t>0331</t>
  </si>
  <si>
    <t>GM0331</t>
  </si>
  <si>
    <t>Lopik</t>
  </si>
  <si>
    <t>0168</t>
  </si>
  <si>
    <t>GM0168</t>
  </si>
  <si>
    <t>Losser</t>
  </si>
  <si>
    <t>0263</t>
  </si>
  <si>
    <t>GM0263</t>
  </si>
  <si>
    <t>Maasdriel</t>
  </si>
  <si>
    <t>1641</t>
  </si>
  <si>
    <t>GM1641</t>
  </si>
  <si>
    <t>Maasgouw</t>
  </si>
  <si>
    <t>1991</t>
  </si>
  <si>
    <t>GM1991</t>
  </si>
  <si>
    <t>Maashorst</t>
  </si>
  <si>
    <t>0556</t>
  </si>
  <si>
    <t>GM0556</t>
  </si>
  <si>
    <t>Maassluis</t>
  </si>
  <si>
    <t>0935</t>
  </si>
  <si>
    <t>GM0935</t>
  </si>
  <si>
    <t>0420</t>
  </si>
  <si>
    <t>GM0420</t>
  </si>
  <si>
    <t>Medemblik</t>
  </si>
  <si>
    <t>0938</t>
  </si>
  <si>
    <t>GM0938</t>
  </si>
  <si>
    <t>1948</t>
  </si>
  <si>
    <t>GM1948</t>
  </si>
  <si>
    <t>Meierijstad</t>
  </si>
  <si>
    <t>0119</t>
  </si>
  <si>
    <t>GM0119</t>
  </si>
  <si>
    <t>0687</t>
  </si>
  <si>
    <t>GM0687</t>
  </si>
  <si>
    <t>1842</t>
  </si>
  <si>
    <t>GM1842</t>
  </si>
  <si>
    <t>Midden-Delfland</t>
  </si>
  <si>
    <t>1731</t>
  </si>
  <si>
    <t>GM1731</t>
  </si>
  <si>
    <t>Midden-Drenthe</t>
  </si>
  <si>
    <t>1952</t>
  </si>
  <si>
    <t>GM1952</t>
  </si>
  <si>
    <t>Midden-Groningen</t>
  </si>
  <si>
    <t>1709</t>
  </si>
  <si>
    <t>GM1709</t>
  </si>
  <si>
    <t>Moerdijk</t>
  </si>
  <si>
    <t>1978</t>
  </si>
  <si>
    <t>GM1978</t>
  </si>
  <si>
    <t>Molenlanden</t>
  </si>
  <si>
    <t>1955</t>
  </si>
  <si>
    <t>GM1955</t>
  </si>
  <si>
    <t>Montferland</t>
  </si>
  <si>
    <t>0335</t>
  </si>
  <si>
    <t>GM0335</t>
  </si>
  <si>
    <t>Montfoort</t>
  </si>
  <si>
    <t>0944</t>
  </si>
  <si>
    <t>GM0944</t>
  </si>
  <si>
    <t>Mook en Middelaar</t>
  </si>
  <si>
    <t>1740</t>
  </si>
  <si>
    <t>GM1740</t>
  </si>
  <si>
    <t>Neder-Betuwe</t>
  </si>
  <si>
    <t>0946</t>
  </si>
  <si>
    <t>GM0946</t>
  </si>
  <si>
    <t>Nederweert</t>
  </si>
  <si>
    <t>0356</t>
  </si>
  <si>
    <t>GM0356</t>
  </si>
  <si>
    <t>Nieuwegein</t>
  </si>
  <si>
    <t>0569</t>
  </si>
  <si>
    <t>GM0569</t>
  </si>
  <si>
    <t>Nieuwkoop</t>
  </si>
  <si>
    <t>0267</t>
  </si>
  <si>
    <t>GM0267</t>
  </si>
  <si>
    <t>0268</t>
  </si>
  <si>
    <t>GM0268</t>
  </si>
  <si>
    <t>1930</t>
  </si>
  <si>
    <t>GM1930</t>
  </si>
  <si>
    <t>Nissewaard</t>
  </si>
  <si>
    <t>1970</t>
  </si>
  <si>
    <t>GM1970</t>
  </si>
  <si>
    <t>Noardeast-Fryslân</t>
  </si>
  <si>
    <t>1695</t>
  </si>
  <si>
    <t>GM1695</t>
  </si>
  <si>
    <t>Noord-Beveland</t>
  </si>
  <si>
    <t>1699</t>
  </si>
  <si>
    <t>GM1699</t>
  </si>
  <si>
    <t>Noordenveld</t>
  </si>
  <si>
    <t>0171</t>
  </si>
  <si>
    <t>GM0171</t>
  </si>
  <si>
    <t>Noordoostpolder</t>
  </si>
  <si>
    <t>0575</t>
  </si>
  <si>
    <t>GM0575</t>
  </si>
  <si>
    <t>Noordwijk</t>
  </si>
  <si>
    <t>0820</t>
  </si>
  <si>
    <t>GM0820</t>
  </si>
  <si>
    <t>Nuenen, Gerwen en Nederwetten</t>
  </si>
  <si>
    <t>0302</t>
  </si>
  <si>
    <t>GM0302</t>
  </si>
  <si>
    <t>0579</t>
  </si>
  <si>
    <t>GM0579</t>
  </si>
  <si>
    <t>Oegstgeest</t>
  </si>
  <si>
    <t>0823</t>
  </si>
  <si>
    <t>GM0823</t>
  </si>
  <si>
    <t>Oirschot</t>
  </si>
  <si>
    <t>0824</t>
  </si>
  <si>
    <t>GM0824</t>
  </si>
  <si>
    <t>1895</t>
  </si>
  <si>
    <t>GM1895</t>
  </si>
  <si>
    <t>Oldambt</t>
  </si>
  <si>
    <t>0269</t>
  </si>
  <si>
    <t>GM0269</t>
  </si>
  <si>
    <t>Oldebroek</t>
  </si>
  <si>
    <t>0173</t>
  </si>
  <si>
    <t>GM0173</t>
  </si>
  <si>
    <t>1773</t>
  </si>
  <si>
    <t>GM1773</t>
  </si>
  <si>
    <t>Olst-Wijhe</t>
  </si>
  <si>
    <t>0175</t>
  </si>
  <si>
    <t>GM0175</t>
  </si>
  <si>
    <t>1586</t>
  </si>
  <si>
    <t>GM1586</t>
  </si>
  <si>
    <t>Oost Gelre</t>
  </si>
  <si>
    <t>0826</t>
  </si>
  <si>
    <t>GM0826</t>
  </si>
  <si>
    <t>Oosterhout</t>
  </si>
  <si>
    <t>0085</t>
  </si>
  <si>
    <t>GM0085</t>
  </si>
  <si>
    <t>Ooststellingwerf</t>
  </si>
  <si>
    <t>0431</t>
  </si>
  <si>
    <t>GM0431</t>
  </si>
  <si>
    <t>Oostzaan</t>
  </si>
  <si>
    <t>0432</t>
  </si>
  <si>
    <t>GM0432</t>
  </si>
  <si>
    <t>Opmeer</t>
  </si>
  <si>
    <t>0086</t>
  </si>
  <si>
    <t>GM0086</t>
  </si>
  <si>
    <t>Opsterland</t>
  </si>
  <si>
    <t>0828</t>
  </si>
  <si>
    <t>GM0828</t>
  </si>
  <si>
    <t>1509</t>
  </si>
  <si>
    <t>GM1509</t>
  </si>
  <si>
    <t>Oude IJsselstreek</t>
  </si>
  <si>
    <t>0437</t>
  </si>
  <si>
    <t>GM0437</t>
  </si>
  <si>
    <t>Ouder-Amstel</t>
  </si>
  <si>
    <t>0589</t>
  </si>
  <si>
    <t>GM0589</t>
  </si>
  <si>
    <t>Oudewater</t>
  </si>
  <si>
    <t>1734</t>
  </si>
  <si>
    <t>GM1734</t>
  </si>
  <si>
    <t>Overbetuwe</t>
  </si>
  <si>
    <t>0590</t>
  </si>
  <si>
    <t>GM0590</t>
  </si>
  <si>
    <t>Papendrecht</t>
  </si>
  <si>
    <t>1894</t>
  </si>
  <si>
    <t>GM1894</t>
  </si>
  <si>
    <t>Peel en Maas</t>
  </si>
  <si>
    <t>0765</t>
  </si>
  <si>
    <t>GM0765</t>
  </si>
  <si>
    <t>Pekela</t>
  </si>
  <si>
    <t>1926</t>
  </si>
  <si>
    <t>GM1926</t>
  </si>
  <si>
    <t>Pijnacker-Nootdorp</t>
  </si>
  <si>
    <t>0439</t>
  </si>
  <si>
    <t>GM0439</t>
  </si>
  <si>
    <t>0273</t>
  </si>
  <si>
    <t>GM0273</t>
  </si>
  <si>
    <t>0177</t>
  </si>
  <si>
    <t>GM0177</t>
  </si>
  <si>
    <t>0703</t>
  </si>
  <si>
    <t>GM0703</t>
  </si>
  <si>
    <t>Reimerswaal</t>
  </si>
  <si>
    <t>0274</t>
  </si>
  <si>
    <t>GM0274</t>
  </si>
  <si>
    <t>Renkum</t>
  </si>
  <si>
    <t>0339</t>
  </si>
  <si>
    <t>GM0339</t>
  </si>
  <si>
    <t>Renswoude</t>
  </si>
  <si>
    <t>1667</t>
  </si>
  <si>
    <t>GM1667</t>
  </si>
  <si>
    <t>Reusel-De Mierden</t>
  </si>
  <si>
    <t>0275</t>
  </si>
  <si>
    <t>GM0275</t>
  </si>
  <si>
    <t>0340</t>
  </si>
  <si>
    <t>GM0340</t>
  </si>
  <si>
    <t>0597</t>
  </si>
  <si>
    <t>GM0597</t>
  </si>
  <si>
    <t>Ridderkerk</t>
  </si>
  <si>
    <t>1742</t>
  </si>
  <si>
    <t>GM1742</t>
  </si>
  <si>
    <t>Rijssen-Holten</t>
  </si>
  <si>
    <t>0603</t>
  </si>
  <si>
    <t>GM0603</t>
  </si>
  <si>
    <t>1669</t>
  </si>
  <si>
    <t>GM1669</t>
  </si>
  <si>
    <t>Roerdalen</t>
  </si>
  <si>
    <t>0957</t>
  </si>
  <si>
    <t>GM0957</t>
  </si>
  <si>
    <t>0736</t>
  </si>
  <si>
    <t>GM0736</t>
  </si>
  <si>
    <t>De Ronde Venen</t>
  </si>
  <si>
    <t>1674</t>
  </si>
  <si>
    <t>GM1674</t>
  </si>
  <si>
    <t>0599</t>
  </si>
  <si>
    <t>GM0599</t>
  </si>
  <si>
    <t>0277</t>
  </si>
  <si>
    <t>GM0277</t>
  </si>
  <si>
    <t>Rozendaal</t>
  </si>
  <si>
    <t>0840</t>
  </si>
  <si>
    <t>GM0840</t>
  </si>
  <si>
    <t>Rucphen</t>
  </si>
  <si>
    <t>0441</t>
  </si>
  <si>
    <t>GM0441</t>
  </si>
  <si>
    <t>0279</t>
  </si>
  <si>
    <t>GM0279</t>
  </si>
  <si>
    <t>Scherpenzeel</t>
  </si>
  <si>
    <t>0606</t>
  </si>
  <si>
    <t>GM0606</t>
  </si>
  <si>
    <t>0088</t>
  </si>
  <si>
    <t>GM0088</t>
  </si>
  <si>
    <t>Schiermonnikoog</t>
  </si>
  <si>
    <t>1676</t>
  </si>
  <si>
    <t>GM1676</t>
  </si>
  <si>
    <t>Schouwen-Duiveland</t>
  </si>
  <si>
    <t>0965</t>
  </si>
  <si>
    <t>GM0965</t>
  </si>
  <si>
    <t>Simpelveld</t>
  </si>
  <si>
    <t>0845</t>
  </si>
  <si>
    <t>GM0845</t>
  </si>
  <si>
    <t>Sint-Michielsgestel</t>
  </si>
  <si>
    <t>1883</t>
  </si>
  <si>
    <t>GM1883</t>
  </si>
  <si>
    <t>Sittard-Geleen</t>
  </si>
  <si>
    <t>0610</t>
  </si>
  <si>
    <t>GM0610</t>
  </si>
  <si>
    <t>1714</t>
  </si>
  <si>
    <t>GM1714</t>
  </si>
  <si>
    <t>Sluis</t>
  </si>
  <si>
    <t>0090</t>
  </si>
  <si>
    <t>GM0090</t>
  </si>
  <si>
    <t>Smallingerland</t>
  </si>
  <si>
    <t>0342</t>
  </si>
  <si>
    <t>GM0342</t>
  </si>
  <si>
    <t>0847</t>
  </si>
  <si>
    <t>GM0847</t>
  </si>
  <si>
    <t>Someren</t>
  </si>
  <si>
    <t>0848</t>
  </si>
  <si>
    <t>GM0848</t>
  </si>
  <si>
    <t>Son en Breugel</t>
  </si>
  <si>
    <t>0037</t>
  </si>
  <si>
    <t>GM0037</t>
  </si>
  <si>
    <t>Stadskanaal</t>
  </si>
  <si>
    <t>0180</t>
  </si>
  <si>
    <t>GM0180</t>
  </si>
  <si>
    <t>Staphorst</t>
  </si>
  <si>
    <t>0532</t>
  </si>
  <si>
    <t>GM0532</t>
  </si>
  <si>
    <t>Stede Broec</t>
  </si>
  <si>
    <t>0851</t>
  </si>
  <si>
    <t>GM0851</t>
  </si>
  <si>
    <t>Steenbergen</t>
  </si>
  <si>
    <t>1708</t>
  </si>
  <si>
    <t>GM1708</t>
  </si>
  <si>
    <t>Steenwijkerland</t>
  </si>
  <si>
    <t>0971</t>
  </si>
  <si>
    <t>GM0971</t>
  </si>
  <si>
    <t>Stein</t>
  </si>
  <si>
    <t>1904</t>
  </si>
  <si>
    <t>GM1904</t>
  </si>
  <si>
    <t>Stichtse Vecht</t>
  </si>
  <si>
    <t>1900</t>
  </si>
  <si>
    <t>GM1900</t>
  </si>
  <si>
    <t>Súdwest-Fryslân</t>
  </si>
  <si>
    <t>0715</t>
  </si>
  <si>
    <t>GM0715</t>
  </si>
  <si>
    <t>Terneuzen</t>
  </si>
  <si>
    <t>0093</t>
  </si>
  <si>
    <t>GM0093</t>
  </si>
  <si>
    <t>Terschelling</t>
  </si>
  <si>
    <t>0448</t>
  </si>
  <si>
    <t>GM0448</t>
  </si>
  <si>
    <t>Texel</t>
  </si>
  <si>
    <t>1525</t>
  </si>
  <si>
    <t>GM1525</t>
  </si>
  <si>
    <t>Teylingen</t>
  </si>
  <si>
    <t>0716</t>
  </si>
  <si>
    <t>GM0716</t>
  </si>
  <si>
    <t>Tholen</t>
  </si>
  <si>
    <t>0281</t>
  </si>
  <si>
    <t>GM0281</t>
  </si>
  <si>
    <t>0855</t>
  </si>
  <si>
    <t>GM0855</t>
  </si>
  <si>
    <t>0183</t>
  </si>
  <si>
    <t>GM0183</t>
  </si>
  <si>
    <t>Tubbergen</t>
  </si>
  <si>
    <t>1700</t>
  </si>
  <si>
    <t>GM1700</t>
  </si>
  <si>
    <t>Twenterand</t>
  </si>
  <si>
    <t>1730</t>
  </si>
  <si>
    <t>GM1730</t>
  </si>
  <si>
    <t>Tynaarlo</t>
  </si>
  <si>
    <t>0737</t>
  </si>
  <si>
    <t>GM0737</t>
  </si>
  <si>
    <t>Tytsjerksteradiel</t>
  </si>
  <si>
    <t>0450</t>
  </si>
  <si>
    <t>GM0450</t>
  </si>
  <si>
    <t>0451</t>
  </si>
  <si>
    <t>GM0451</t>
  </si>
  <si>
    <t>Uithoorn</t>
  </si>
  <si>
    <t>0184</t>
  </si>
  <si>
    <t>GM0184</t>
  </si>
  <si>
    <t>Urk</t>
  </si>
  <si>
    <t>0344</t>
  </si>
  <si>
    <t>GM0344</t>
  </si>
  <si>
    <t>1581</t>
  </si>
  <si>
    <t>GM1581</t>
  </si>
  <si>
    <t>Utrechtse Heuvelrug</t>
  </si>
  <si>
    <t>0981</t>
  </si>
  <si>
    <t>GM0981</t>
  </si>
  <si>
    <t>Vaals</t>
  </si>
  <si>
    <t>0994</t>
  </si>
  <si>
    <t>GM0994</t>
  </si>
  <si>
    <t>Valkenburg aan de Geul</t>
  </si>
  <si>
    <t>0858</t>
  </si>
  <si>
    <t>GM0858</t>
  </si>
  <si>
    <t>Valkenswaard</t>
  </si>
  <si>
    <t>0047</t>
  </si>
  <si>
    <t>GM0047</t>
  </si>
  <si>
    <t>0345</t>
  </si>
  <si>
    <t>GM0345</t>
  </si>
  <si>
    <t>0717</t>
  </si>
  <si>
    <t>GM0717</t>
  </si>
  <si>
    <t>Veere</t>
  </si>
  <si>
    <t>0861</t>
  </si>
  <si>
    <t>GM0861</t>
  </si>
  <si>
    <t>Veldhoven</t>
  </si>
  <si>
    <t>0453</t>
  </si>
  <si>
    <t>GM0453</t>
  </si>
  <si>
    <t>Velsen</t>
  </si>
  <si>
    <t>0983</t>
  </si>
  <si>
    <t>GM0983</t>
  </si>
  <si>
    <t>0984</t>
  </si>
  <si>
    <t>GM0984</t>
  </si>
  <si>
    <t>1961</t>
  </si>
  <si>
    <t>GM1961</t>
  </si>
  <si>
    <t>Vijfheerenlanden</t>
  </si>
  <si>
    <t>0622</t>
  </si>
  <si>
    <t>GM0622</t>
  </si>
  <si>
    <t>Vlaardingen</t>
  </si>
  <si>
    <t>0096</t>
  </si>
  <si>
    <t>GM0096</t>
  </si>
  <si>
    <t>Vlieland</t>
  </si>
  <si>
    <t>0718</t>
  </si>
  <si>
    <t>GM0718</t>
  </si>
  <si>
    <t>0986</t>
  </si>
  <si>
    <t>GM0986</t>
  </si>
  <si>
    <t>1992</t>
  </si>
  <si>
    <t>GM1992</t>
  </si>
  <si>
    <t>Voorne aan Zee</t>
  </si>
  <si>
    <t>0626</t>
  </si>
  <si>
    <t>GM0626</t>
  </si>
  <si>
    <t>0285</t>
  </si>
  <si>
    <t>GM0285</t>
  </si>
  <si>
    <t>Voorst</t>
  </si>
  <si>
    <t>0865</t>
  </si>
  <si>
    <t>GM0865</t>
  </si>
  <si>
    <t>1949</t>
  </si>
  <si>
    <t>GM1949</t>
  </si>
  <si>
    <t>Waadhoeke</t>
  </si>
  <si>
    <t>0866</t>
  </si>
  <si>
    <t>GM0866</t>
  </si>
  <si>
    <t>Waalre</t>
  </si>
  <si>
    <t>0867</t>
  </si>
  <si>
    <t>GM0867</t>
  </si>
  <si>
    <t>Waalwijk</t>
  </si>
  <si>
    <t>0627</t>
  </si>
  <si>
    <t>GM0627</t>
  </si>
  <si>
    <t>0289</t>
  </si>
  <si>
    <t>GM0289</t>
  </si>
  <si>
    <t>Wageningen</t>
  </si>
  <si>
    <t>0629</t>
  </si>
  <si>
    <t>GM0629</t>
  </si>
  <si>
    <t>Wassenaar</t>
  </si>
  <si>
    <t>0852</t>
  </si>
  <si>
    <t>GM0852</t>
  </si>
  <si>
    <t>Waterland</t>
  </si>
  <si>
    <t>0988</t>
  </si>
  <si>
    <t>GM0988</t>
  </si>
  <si>
    <t>1960</t>
  </si>
  <si>
    <t>GM1960</t>
  </si>
  <si>
    <t>West Betuwe</t>
  </si>
  <si>
    <t>0668</t>
  </si>
  <si>
    <t>GM0668</t>
  </si>
  <si>
    <t>West Maas en Waal</t>
  </si>
  <si>
    <t>1969</t>
  </si>
  <si>
    <t>GM1969</t>
  </si>
  <si>
    <t>Westerkwartier</t>
  </si>
  <si>
    <t>1701</t>
  </si>
  <si>
    <t>GM1701</t>
  </si>
  <si>
    <t>Westerveld</t>
  </si>
  <si>
    <t>0293</t>
  </si>
  <si>
    <t>GM0293</t>
  </si>
  <si>
    <t>1950</t>
  </si>
  <si>
    <t>GM1950</t>
  </si>
  <si>
    <t>Westerwolde</t>
  </si>
  <si>
    <t>1783</t>
  </si>
  <si>
    <t>GM1783</t>
  </si>
  <si>
    <t>Westland</t>
  </si>
  <si>
    <t>0098</t>
  </si>
  <si>
    <t>GM0098</t>
  </si>
  <si>
    <t>Weststellingwerf</t>
  </si>
  <si>
    <t>0189</t>
  </si>
  <si>
    <t>GM0189</t>
  </si>
  <si>
    <t>0296</t>
  </si>
  <si>
    <t>GM0296</t>
  </si>
  <si>
    <t>1696</t>
  </si>
  <si>
    <t>GM1696</t>
  </si>
  <si>
    <t>Wijdemeren</t>
  </si>
  <si>
    <t>0352</t>
  </si>
  <si>
    <t>GM0352</t>
  </si>
  <si>
    <t>Wijk bij Duurstede</t>
  </si>
  <si>
    <t>0294</t>
  </si>
  <si>
    <t>GM0294</t>
  </si>
  <si>
    <t>0873</t>
  </si>
  <si>
    <t>GM0873</t>
  </si>
  <si>
    <t>Woensdrecht</t>
  </si>
  <si>
    <t>0632</t>
  </si>
  <si>
    <t>GM0632</t>
  </si>
  <si>
    <t>1690</t>
  </si>
  <si>
    <t>GM1690</t>
  </si>
  <si>
    <t>De Wolden</t>
  </si>
  <si>
    <t>0880</t>
  </si>
  <si>
    <t>GM0880</t>
  </si>
  <si>
    <t>Wormerland</t>
  </si>
  <si>
    <t>0351</t>
  </si>
  <si>
    <t>GM0351</t>
  </si>
  <si>
    <t>Woudenberg</t>
  </si>
  <si>
    <t>0479</t>
  </si>
  <si>
    <t>GM0479</t>
  </si>
  <si>
    <t>Zaanstad</t>
  </si>
  <si>
    <t>0297</t>
  </si>
  <si>
    <t>GM0297</t>
  </si>
  <si>
    <t>0473</t>
  </si>
  <si>
    <t>GM0473</t>
  </si>
  <si>
    <t>0050</t>
  </si>
  <si>
    <t>GM0050</t>
  </si>
  <si>
    <t>Zeewolde</t>
  </si>
  <si>
    <t>0355</t>
  </si>
  <si>
    <t>GM0355</t>
  </si>
  <si>
    <t>Zeist</t>
  </si>
  <si>
    <t>0299</t>
  </si>
  <si>
    <t>GM0299</t>
  </si>
  <si>
    <t>0637</t>
  </si>
  <si>
    <t>GM0637</t>
  </si>
  <si>
    <t>0638</t>
  </si>
  <si>
    <t>GM0638</t>
  </si>
  <si>
    <t>Zoeterwoude</t>
  </si>
  <si>
    <t>1892</t>
  </si>
  <si>
    <t>GM1892</t>
  </si>
  <si>
    <t>Zuidplas</t>
  </si>
  <si>
    <t>0879</t>
  </si>
  <si>
    <t>GM0879</t>
  </si>
  <si>
    <t>Zundert</t>
  </si>
  <si>
    <t>0301</t>
  </si>
  <si>
    <t>GM0301</t>
  </si>
  <si>
    <t>1896</t>
  </si>
  <si>
    <t>GM1896</t>
  </si>
  <si>
    <t>Zwartewaterland</t>
  </si>
  <si>
    <t>0642</t>
  </si>
  <si>
    <t>GM0642</t>
  </si>
  <si>
    <t>0193</t>
  </si>
  <si>
    <t>GM0193</t>
  </si>
  <si>
    <t xml:space="preserve"> </t>
  </si>
  <si>
    <t>Oude Ijsselstreek</t>
  </si>
  <si>
    <t>Gemeente</t>
  </si>
  <si>
    <t>train_share_in_nl</t>
  </si>
  <si>
    <t>converted to number</t>
  </si>
  <si>
    <t>GM_code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</si>
</sst>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2" xfId="1" applyFont="1" applyFill="1" applyBorder="1" applyAlignment="1">
      <alignment horizontal="center"/>
    </xf>
    <xf numFmtId="0" fontId="3" fillId="0" borderId="3" xfId="1" applyFont="1" applyBorder="1" applyAlignment="1">
      <alignment wrapText="1"/>
    </xf>
    <xf numFmtId="0" fontId="4" fillId="0" borderId="0" xfId="0" applyFont="1"/>
    <xf numFmtId="0" fontId="0" fillId="3" borderId="0" xfId="0" applyFill="1"/>
    <xf numFmtId="0" fontId="0" fillId="4" borderId="0" xfId="0" applyFill="1"/>
    <xf numFmtId="0" fontId="0" fillId="0" borderId="0" xfId="0" quotePrefix="1"/>
    <xf numFmtId="0" fontId="5" fillId="0" borderId="0" xfId="1" applyFont="1" applyAlignment="1">
      <alignment horizontal="center"/>
    </xf>
    <xf numFmtId="2" fontId="0" fillId="0" borderId="0" xfId="0" applyNumberFormat="1"/>
    <xf numFmtId="0" fontId="0" fillId="5" borderId="4" xfId="0" applyFill="1" applyBorder="1"/>
    <xf numFmtId="164" fontId="0" fillId="0" borderId="0" xfId="0" applyNumberFormat="1"/>
    <xf numFmtId="0" fontId="4" fillId="0" borderId="0" xfId="0" applyFont="1" applyAlignment="1">
      <alignment horizontal="center"/>
    </xf>
  </cellXfs>
  <cellStyles count="2">
    <cellStyle name="Normal" xfId="0" builtinId="0"/>
    <cellStyle name="Standaard_Gemeenten_alfabetisch_2022" xfId="1" xr:uid="{7C59DCEE-E33F-5149-9A8B-9F5CC17CFF7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469900</xdr:colOff>
      <xdr:row>4</xdr:row>
      <xdr:rowOff>63500</xdr:rowOff>
    </xdr:from>
    <xdr:to>
      <xdr:col>17</xdr:col>
      <xdr:colOff>533400</xdr:colOff>
      <xdr:row>17</xdr:row>
      <xdr:rowOff>101600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3F9C658-E761-9D4D-B7F4-1E651A2F340E}"/>
            </a:ext>
          </a:extLst>
        </xdr:cNvPr>
        <xdr:cNvSpPr txBox="1"/>
      </xdr:nvSpPr>
      <xdr:spPr>
        <a:xfrm>
          <a:off x="13271500" y="825500"/>
          <a:ext cx="4191000" cy="251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Plaatsnamen zijn handmatig </a:t>
          </a:r>
          <a:r>
            <a:rPr lang="en-US" sz="1100" baseline="0"/>
            <a:t>vertaald naar gemeentenamen en deze zijn gelinkt aan de gemeentecodes volgens CBS.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571500</xdr:colOff>
      <xdr:row>3</xdr:row>
      <xdr:rowOff>12700</xdr:rowOff>
    </xdr:from>
    <xdr:to>
      <xdr:col>18</xdr:col>
      <xdr:colOff>50800</xdr:colOff>
      <xdr:row>16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4B3C0E-D216-0499-5FE7-6EE29F9BC3E6}"/>
            </a:ext>
          </a:extLst>
        </xdr:cNvPr>
        <xdr:cNvSpPr txBox="1"/>
      </xdr:nvSpPr>
      <xdr:spPr>
        <a:xfrm>
          <a:off x="17678400" y="584200"/>
          <a:ext cx="4191000" cy="251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import pandas as pd</a:t>
          </a:r>
        </a:p>
        <a:p>
          <a:endParaRPr lang="en-US" sz="1100"/>
        </a:p>
        <a:p>
          <a:r>
            <a:rPr lang="en-US" sz="1100"/>
            <a:t>url = 'https://nl.wikipedia.org/wiki/Lijst_van_spoorwegstations_in_Nederland'</a:t>
          </a:r>
        </a:p>
        <a:p>
          <a:r>
            <a:rPr lang="en-US" sz="1100"/>
            <a:t>tabellen = pd.read_html(url)</a:t>
          </a:r>
        </a:p>
        <a:p>
          <a:r>
            <a:rPr lang="en-US" sz="1100"/>
            <a:t>len(tabellen)</a:t>
          </a:r>
        </a:p>
        <a:p>
          <a:endParaRPr lang="en-US" sz="1100"/>
        </a:p>
        <a:p>
          <a:r>
            <a:rPr lang="en-US" sz="1100"/>
            <a:t>df = pd.concat(tabellen, ignore_index=True, sort=False)</a:t>
          </a:r>
        </a:p>
        <a:p>
          <a:endParaRPr lang="en-US" sz="1100"/>
        </a:p>
        <a:p>
          <a:r>
            <a:rPr lang="en-US" sz="1100"/>
            <a:t>df.to_excel('stations_nederland.xlsx', index=False)</a:t>
          </a:r>
        </a:p>
      </xdr:txBody>
    </xdr:sp>
    <xdr:clientData/>
  </xdr:twoCellAnchor>
  <xdr:twoCellAnchor>
    <xdr:from>
      <xdr:col>11</xdr:col>
      <xdr:colOff>584200</xdr:colOff>
      <xdr:row>17</xdr:row>
      <xdr:rowOff>127000</xdr:rowOff>
    </xdr:from>
    <xdr:to>
      <xdr:col>18</xdr:col>
      <xdr:colOff>63500</xdr:colOff>
      <xdr:row>30</xdr:row>
      <xdr:rowOff>165100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3C1AB32-D5B9-BF43-B68B-30F24C44F3FE}"/>
            </a:ext>
          </a:extLst>
        </xdr:cNvPr>
        <xdr:cNvSpPr txBox="1"/>
      </xdr:nvSpPr>
      <xdr:spPr>
        <a:xfrm>
          <a:off x="17691100" y="3365500"/>
          <a:ext cx="4191000" cy="251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Bron</a:t>
          </a:r>
          <a:r>
            <a:rPr lang="en-US" sz="1100" baseline="0"/>
            <a:t> Wikipedia pagina: Dashboard NS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12</xdr:col>
      <xdr:colOff>63500</xdr:colOff>
      <xdr:row>9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DD04938-8F12-264B-BB4E-D95419A20C28}"/>
            </a:ext>
          </a:extLst>
        </xdr:cNvPr>
        <xdr:cNvSpPr txBox="1"/>
      </xdr:nvSpPr>
      <xdr:spPr>
        <a:xfrm>
          <a:off x="7327900" y="393700"/>
          <a:ext cx="4191000" cy="251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GM codes en namen volgens</a:t>
          </a:r>
          <a:r>
            <a:rPr lang="en-US" sz="1100" baseline="0"/>
            <a:t> CBS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DF9D5-3369-B74A-9F5A-3F1F0BC06335}">
  <sheetPr>
    <tabColor rgb="FF92D050"/>
  </sheetPr>
  <dimension ref="A1:E343"/>
  <sheetViews>
    <sheetView tabSelected="1" workbookViewId="0">
      <selection activeCell="E29" sqref="E29"/>
    </sheetView>
  </sheetViews>
  <sheetFormatPr baseColWidth="10" defaultRowHeight="15" x14ac:dyDescent="0.2"/>
  <cols>
    <col min="2" max="2" width="16.33203125" customWidth="1"/>
  </cols>
  <sheetData>
    <row r="1" spans="1:5" x14ac:dyDescent="0.2">
      <c r="A1" s="4" t="s">
        <v>2325</v>
      </c>
      <c r="B1" s="4" t="s">
        <v>2323</v>
      </c>
    </row>
    <row r="2" spans="1:5" ht="16" x14ac:dyDescent="0.2">
      <c r="A2" s="3" t="s">
        <v>1382</v>
      </c>
      <c r="B2" s="11">
        <f>SUMIF(Calculation!C:C,Data!A2,Calculation!H:H)</f>
        <v>0</v>
      </c>
      <c r="D2" s="11"/>
      <c r="E2" s="11"/>
    </row>
    <row r="3" spans="1:5" ht="16" x14ac:dyDescent="0.2">
      <c r="A3" s="3" t="s">
        <v>1388</v>
      </c>
      <c r="B3" s="11">
        <f>SUMIF(Calculation!C:C,Data!A3,Calculation!H:H)</f>
        <v>0</v>
      </c>
    </row>
    <row r="4" spans="1:5" ht="16" x14ac:dyDescent="0.2">
      <c r="A4" s="3" t="s">
        <v>1394</v>
      </c>
      <c r="B4" s="11">
        <f>SUMIF(Calculation!C:C,Data!A4,Calculation!H:H)</f>
        <v>6.0624419642945531E-4</v>
      </c>
    </row>
    <row r="5" spans="1:5" ht="16" x14ac:dyDescent="0.2">
      <c r="A5" s="3" t="s">
        <v>1399</v>
      </c>
      <c r="B5" s="11">
        <f>SUMIF(Calculation!C:C,Data!A5,Calculation!H:H)</f>
        <v>0</v>
      </c>
    </row>
    <row r="6" spans="1:5" ht="16" x14ac:dyDescent="0.2">
      <c r="A6" s="3" t="s">
        <v>1405</v>
      </c>
      <c r="B6" s="11">
        <f>SUMIF(Calculation!C:C,Data!A6,Calculation!H:H)</f>
        <v>0</v>
      </c>
    </row>
    <row r="7" spans="1:5" ht="16" x14ac:dyDescent="0.2">
      <c r="A7" s="3" t="s">
        <v>1411</v>
      </c>
      <c r="B7" s="11">
        <f>SUMIF(Calculation!C:C,Data!A7,Calculation!H:H)</f>
        <v>0</v>
      </c>
    </row>
    <row r="8" spans="1:5" ht="16" x14ac:dyDescent="0.2">
      <c r="A8" s="3" t="s">
        <v>1414</v>
      </c>
      <c r="B8" s="11">
        <f>SUMIF(Calculation!C:C,Data!A8,Calculation!H:H)</f>
        <v>7.443617507825539E-3</v>
      </c>
    </row>
    <row r="9" spans="1:5" ht="16" x14ac:dyDescent="0.2">
      <c r="A9" s="3" t="s">
        <v>1416</v>
      </c>
      <c r="B9" s="11">
        <f>SUMIF(Calculation!C:C,Data!A9,Calculation!H:H)</f>
        <v>2.6633562803295339E-3</v>
      </c>
    </row>
    <row r="10" spans="1:5" ht="16" x14ac:dyDescent="0.2">
      <c r="A10" s="3" t="s">
        <v>1421</v>
      </c>
      <c r="B10" s="11">
        <f>SUMIF(Calculation!C:C,Data!A10,Calculation!H:H)</f>
        <v>1.9053728441405963E-2</v>
      </c>
    </row>
    <row r="11" spans="1:5" ht="16" x14ac:dyDescent="0.2">
      <c r="A11" s="3" t="s">
        <v>1427</v>
      </c>
      <c r="B11" s="11">
        <f>SUMIF(Calculation!C:C,Data!A11,Calculation!H:H)</f>
        <v>4.9307333337293129E-3</v>
      </c>
    </row>
    <row r="12" spans="1:5" ht="16" x14ac:dyDescent="0.2">
      <c r="A12" s="3" t="s">
        <v>1429</v>
      </c>
      <c r="B12" s="11">
        <f>SUMIF(Calculation!C:C,Data!A12,Calculation!H:H)</f>
        <v>0</v>
      </c>
    </row>
    <row r="13" spans="1:5" ht="16" x14ac:dyDescent="0.2">
      <c r="A13" s="3" t="s">
        <v>1435</v>
      </c>
      <c r="B13" s="11">
        <f>SUMIF(Calculation!C:C,Data!A13,Calculation!H:H)</f>
        <v>0</v>
      </c>
    </row>
    <row r="14" spans="1:5" ht="16" x14ac:dyDescent="0.2">
      <c r="A14" s="3" t="s">
        <v>1438</v>
      </c>
      <c r="B14" s="11">
        <f>SUMIF(Calculation!C:C,Data!A14,Calculation!H:H)</f>
        <v>0</v>
      </c>
    </row>
    <row r="15" spans="1:5" ht="16" x14ac:dyDescent="0.2">
      <c r="A15" s="3" t="s">
        <v>1441</v>
      </c>
      <c r="B15" s="11">
        <f>SUMIF(Calculation!C:C,Data!A15,Calculation!H:H)</f>
        <v>2.0565577129823771E-2</v>
      </c>
    </row>
    <row r="16" spans="1:5" ht="16" x14ac:dyDescent="0.2">
      <c r="A16" s="3" t="s">
        <v>1445</v>
      </c>
      <c r="B16" s="11">
        <f>SUMIF(Calculation!C:C,Data!A16,Calculation!H:H)</f>
        <v>0</v>
      </c>
    </row>
    <row r="17" spans="1:2" ht="16" x14ac:dyDescent="0.2">
      <c r="A17" s="3" t="s">
        <v>1448</v>
      </c>
      <c r="B17" s="11">
        <f>SUMIF(Calculation!C:C,Data!A17,Calculation!H:H)</f>
        <v>0.15669650370141586</v>
      </c>
    </row>
    <row r="18" spans="1:2" ht="16" x14ac:dyDescent="0.2">
      <c r="A18" s="3" t="s">
        <v>1450</v>
      </c>
      <c r="B18" s="11">
        <f>SUMIF(Calculation!C:C,Data!A18,Calculation!H:H)</f>
        <v>5.6601270697339218E-3</v>
      </c>
    </row>
    <row r="19" spans="1:2" ht="16" x14ac:dyDescent="0.2">
      <c r="A19" s="3" t="s">
        <v>1452</v>
      </c>
      <c r="B19" s="11">
        <f>SUMIF(Calculation!C:C,Data!A19,Calculation!H:H)</f>
        <v>2.0056743823219033E-2</v>
      </c>
    </row>
    <row r="20" spans="1:2" ht="16" x14ac:dyDescent="0.2">
      <c r="A20" s="3" t="s">
        <v>1454</v>
      </c>
      <c r="B20" s="11">
        <f>SUMIF(Calculation!C:C,Data!A20,Calculation!H:H)</f>
        <v>2.9888512048657926E-3</v>
      </c>
    </row>
    <row r="21" spans="1:2" ht="16" x14ac:dyDescent="0.2">
      <c r="A21" s="3" t="s">
        <v>1456</v>
      </c>
      <c r="B21" s="11">
        <f>SUMIF(Calculation!C:C,Data!A21,Calculation!H:H)</f>
        <v>0</v>
      </c>
    </row>
    <row r="22" spans="1:2" ht="16" x14ac:dyDescent="0.2">
      <c r="A22" s="3" t="s">
        <v>1459</v>
      </c>
      <c r="B22" s="11">
        <f>SUMIF(Calculation!C:C,Data!A22,Calculation!H:H)</f>
        <v>0</v>
      </c>
    </row>
    <row r="23" spans="1:2" ht="16" x14ac:dyDescent="0.2">
      <c r="A23" s="3" t="s">
        <v>1462</v>
      </c>
      <c r="B23" s="11">
        <f>SUMIF(Calculation!C:C,Data!A23,Calculation!H:H)</f>
        <v>1.6175751420080503E-3</v>
      </c>
    </row>
    <row r="24" spans="1:2" ht="16" x14ac:dyDescent="0.2">
      <c r="A24" s="3" t="s">
        <v>1464</v>
      </c>
      <c r="B24" s="11">
        <f>SUMIF(Calculation!C:C,Data!A24,Calculation!H:H)</f>
        <v>2.0741391906580579E-3</v>
      </c>
    </row>
    <row r="25" spans="1:2" ht="16" x14ac:dyDescent="0.2">
      <c r="A25" s="3" t="s">
        <v>1466</v>
      </c>
      <c r="B25" s="11">
        <f>SUMIF(Calculation!C:C,Data!A25,Calculation!H:H)</f>
        <v>1.8420953636772213E-3</v>
      </c>
    </row>
    <row r="26" spans="1:2" ht="16" x14ac:dyDescent="0.2">
      <c r="A26" s="3" t="s">
        <v>1468</v>
      </c>
      <c r="B26" s="11">
        <f>SUMIF(Calculation!C:C,Data!A26,Calculation!H:H)</f>
        <v>8.7432213306089961E-4</v>
      </c>
    </row>
    <row r="27" spans="1:2" ht="16" x14ac:dyDescent="0.2">
      <c r="A27" s="3" t="s">
        <v>1474</v>
      </c>
      <c r="B27" s="11">
        <f>SUMIF(Calculation!C:C,Data!A27,Calculation!H:H)</f>
        <v>2.9500452406266769E-4</v>
      </c>
    </row>
    <row r="28" spans="1:2" ht="16" x14ac:dyDescent="0.2">
      <c r="A28" s="3" t="s">
        <v>1477</v>
      </c>
      <c r="B28" s="11">
        <f>SUMIF(Calculation!C:C,Data!A28,Calculation!H:H)</f>
        <v>1.0932986455530543E-3</v>
      </c>
    </row>
    <row r="29" spans="1:2" ht="16" x14ac:dyDescent="0.2">
      <c r="A29" s="3" t="s">
        <v>1480</v>
      </c>
      <c r="B29" s="11">
        <f>SUMIF(Calculation!C:C,Data!A29,Calculation!H:H)</f>
        <v>0</v>
      </c>
    </row>
    <row r="30" spans="1:2" ht="16" x14ac:dyDescent="0.2">
      <c r="A30" s="3" t="s">
        <v>1483</v>
      </c>
      <c r="B30" s="11">
        <f>SUMIF(Calculation!C:C,Data!A30,Calculation!H:H)</f>
        <v>0</v>
      </c>
    </row>
    <row r="31" spans="1:2" ht="16" x14ac:dyDescent="0.2">
      <c r="A31" s="3" t="s">
        <v>1486</v>
      </c>
      <c r="B31" s="11">
        <f>SUMIF(Calculation!C:C,Data!A31,Calculation!H:H)</f>
        <v>0</v>
      </c>
    </row>
    <row r="32" spans="1:2" ht="16" x14ac:dyDescent="0.2">
      <c r="A32" s="3" t="s">
        <v>1489</v>
      </c>
      <c r="B32" s="11">
        <f>SUMIF(Calculation!C:C,Data!A32,Calculation!H:H)</f>
        <v>0</v>
      </c>
    </row>
    <row r="33" spans="1:2" ht="16" x14ac:dyDescent="0.2">
      <c r="A33" s="3" t="s">
        <v>1492</v>
      </c>
      <c r="B33" s="11">
        <f>SUMIF(Calculation!C:C,Data!A33,Calculation!H:H)</f>
        <v>2.1030456742239302E-3</v>
      </c>
    </row>
    <row r="34" spans="1:2" ht="16" x14ac:dyDescent="0.2">
      <c r="A34" s="3" t="s">
        <v>1494</v>
      </c>
      <c r="B34" s="11">
        <f>SUMIF(Calculation!C:C,Data!A34,Calculation!H:H)</f>
        <v>0</v>
      </c>
    </row>
    <row r="35" spans="1:2" ht="16" x14ac:dyDescent="0.2">
      <c r="A35" s="3" t="s">
        <v>1497</v>
      </c>
      <c r="B35" s="11">
        <f>SUMIF(Calculation!C:C,Data!A35,Calculation!H:H)</f>
        <v>0</v>
      </c>
    </row>
    <row r="36" spans="1:2" ht="16" x14ac:dyDescent="0.2">
      <c r="A36" s="3" t="s">
        <v>1500</v>
      </c>
      <c r="B36" s="11">
        <f>SUMIF(Calculation!C:C,Data!A36,Calculation!H:H)</f>
        <v>2.0155342650724543E-3</v>
      </c>
    </row>
    <row r="37" spans="1:2" ht="16" x14ac:dyDescent="0.2">
      <c r="A37" s="3" t="s">
        <v>1502</v>
      </c>
      <c r="B37" s="11">
        <f>SUMIF(Calculation!C:C,Data!A37,Calculation!H:H)</f>
        <v>0</v>
      </c>
    </row>
    <row r="38" spans="1:2" ht="16" x14ac:dyDescent="0.2">
      <c r="A38" s="3" t="s">
        <v>1505</v>
      </c>
      <c r="B38" s="11">
        <f>SUMIF(Calculation!C:C,Data!A38,Calculation!H:H)</f>
        <v>1.6742001714590052E-3</v>
      </c>
    </row>
    <row r="39" spans="1:2" ht="16" x14ac:dyDescent="0.2">
      <c r="A39" s="3" t="s">
        <v>1507</v>
      </c>
      <c r="B39" s="11">
        <f>SUMIF(Calculation!C:C,Data!A39,Calculation!H:H)</f>
        <v>2.1719460597097078E-3</v>
      </c>
    </row>
    <row r="40" spans="1:2" ht="16" x14ac:dyDescent="0.2">
      <c r="A40" s="3" t="s">
        <v>1510</v>
      </c>
      <c r="B40" s="11">
        <f>SUMIF(Calculation!C:C,Data!A40,Calculation!H:H)</f>
        <v>0</v>
      </c>
    </row>
    <row r="41" spans="1:2" ht="16" x14ac:dyDescent="0.2">
      <c r="A41" s="3" t="s">
        <v>1513</v>
      </c>
      <c r="B41" s="11">
        <f>SUMIF(Calculation!C:C,Data!A41,Calculation!H:H)</f>
        <v>0</v>
      </c>
    </row>
    <row r="42" spans="1:2" ht="16" x14ac:dyDescent="0.2">
      <c r="A42" s="3" t="s">
        <v>1516</v>
      </c>
      <c r="B42" s="11">
        <f>SUMIF(Calculation!C:C,Data!A42,Calculation!H:H)</f>
        <v>1.1740784078467243E-3</v>
      </c>
    </row>
    <row r="43" spans="1:2" ht="16" x14ac:dyDescent="0.2">
      <c r="A43" s="3" t="s">
        <v>1518</v>
      </c>
      <c r="B43" s="11">
        <f>SUMIF(Calculation!C:C,Data!A43,Calculation!H:H)</f>
        <v>1.1899175769239146E-3</v>
      </c>
    </row>
    <row r="44" spans="1:2" ht="16" x14ac:dyDescent="0.2">
      <c r="A44" s="3" t="s">
        <v>1521</v>
      </c>
      <c r="B44" s="11">
        <f>SUMIF(Calculation!C:C,Data!A44,Calculation!H:H)</f>
        <v>0</v>
      </c>
    </row>
    <row r="45" spans="1:2" ht="16" x14ac:dyDescent="0.2">
      <c r="A45" s="3" t="s">
        <v>1524</v>
      </c>
      <c r="B45" s="11">
        <f>SUMIF(Calculation!C:C,Data!A45,Calculation!H:H)</f>
        <v>0</v>
      </c>
    </row>
    <row r="46" spans="1:2" ht="16" x14ac:dyDescent="0.2">
      <c r="A46" s="3" t="s">
        <v>1527</v>
      </c>
      <c r="B46" s="11">
        <f>SUMIF(Calculation!C:C,Data!A46,Calculation!H:H)</f>
        <v>1.1325005890191E-4</v>
      </c>
    </row>
    <row r="47" spans="1:2" ht="16" x14ac:dyDescent="0.2">
      <c r="A47" s="3" t="s">
        <v>1529</v>
      </c>
      <c r="B47" s="11">
        <f>SUMIF(Calculation!C:C,Data!A47,Calculation!H:H)</f>
        <v>0</v>
      </c>
    </row>
    <row r="48" spans="1:2" ht="16" x14ac:dyDescent="0.2">
      <c r="A48" s="3" t="s">
        <v>1535</v>
      </c>
      <c r="B48" s="11">
        <f>SUMIF(Calculation!C:C,Data!A48,Calculation!H:H)</f>
        <v>2.0678035230271819E-3</v>
      </c>
    </row>
    <row r="49" spans="1:2" ht="16" x14ac:dyDescent="0.2">
      <c r="A49" s="3" t="s">
        <v>1537</v>
      </c>
      <c r="B49" s="11">
        <f>SUMIF(Calculation!C:C,Data!A49,Calculation!H:H)</f>
        <v>1.4866644095850732E-2</v>
      </c>
    </row>
    <row r="50" spans="1:2" ht="16" x14ac:dyDescent="0.2">
      <c r="A50" s="3" t="s">
        <v>1539</v>
      </c>
      <c r="B50" s="11">
        <f>SUMIF(Calculation!C:C,Data!A50,Calculation!H:H)</f>
        <v>0</v>
      </c>
    </row>
    <row r="51" spans="1:2" ht="16" x14ac:dyDescent="0.2">
      <c r="A51" s="3" t="s">
        <v>1542</v>
      </c>
      <c r="B51" s="11">
        <f>SUMIF(Calculation!C:C,Data!A51,Calculation!H:H)</f>
        <v>3.2509894530932909E-4</v>
      </c>
    </row>
    <row r="52" spans="1:2" ht="16" x14ac:dyDescent="0.2">
      <c r="A52" s="3" t="s">
        <v>1544</v>
      </c>
      <c r="B52" s="11">
        <f>SUMIF(Calculation!C:C,Data!A52,Calculation!H:H)</f>
        <v>0</v>
      </c>
    </row>
    <row r="53" spans="1:2" ht="16" x14ac:dyDescent="0.2">
      <c r="A53" s="3" t="s">
        <v>1547</v>
      </c>
      <c r="B53" s="11">
        <f>SUMIF(Calculation!C:C,Data!A53,Calculation!H:H)</f>
        <v>7.9473030844801886E-4</v>
      </c>
    </row>
    <row r="54" spans="1:2" ht="16" x14ac:dyDescent="0.2">
      <c r="A54" s="3" t="s">
        <v>1549</v>
      </c>
      <c r="B54" s="11">
        <f>SUMIF(Calculation!C:C,Data!A54,Calculation!H:H)</f>
        <v>0</v>
      </c>
    </row>
    <row r="55" spans="1:2" ht="16" x14ac:dyDescent="0.2">
      <c r="A55" s="3" t="s">
        <v>1552</v>
      </c>
      <c r="B55" s="11">
        <f>SUMIF(Calculation!C:C,Data!A55,Calculation!H:H)</f>
        <v>0</v>
      </c>
    </row>
    <row r="56" spans="1:2" ht="16" x14ac:dyDescent="0.2">
      <c r="A56" s="3" t="s">
        <v>1555</v>
      </c>
      <c r="B56" s="11">
        <f>SUMIF(Calculation!C:C,Data!A56,Calculation!H:H)</f>
        <v>7.6423990797442763E-4</v>
      </c>
    </row>
    <row r="57" spans="1:2" ht="16" x14ac:dyDescent="0.2">
      <c r="A57" s="3" t="s">
        <v>1557</v>
      </c>
      <c r="B57" s="11">
        <f>SUMIF(Calculation!C:C,Data!A57,Calculation!H:H)</f>
        <v>2.5572338475123597E-3</v>
      </c>
    </row>
    <row r="58" spans="1:2" ht="16" x14ac:dyDescent="0.2">
      <c r="A58" s="3" t="s">
        <v>1559</v>
      </c>
      <c r="B58" s="11">
        <f>SUMIF(Calculation!C:C,Data!A58,Calculation!H:H)</f>
        <v>6.5415768288795576E-4</v>
      </c>
    </row>
    <row r="59" spans="1:2" ht="16" x14ac:dyDescent="0.2">
      <c r="A59" s="3" t="s">
        <v>1561</v>
      </c>
      <c r="B59" s="11">
        <f>SUMIF(Calculation!C:C,Data!A59,Calculation!H:H)</f>
        <v>4.9537001288912387E-4</v>
      </c>
    </row>
    <row r="60" spans="1:2" ht="16" x14ac:dyDescent="0.2">
      <c r="A60" s="3" t="s">
        <v>1564</v>
      </c>
      <c r="B60" s="11">
        <f>SUMIF(Calculation!C:C,Data!A60,Calculation!H:H)</f>
        <v>3.1052690975831407E-3</v>
      </c>
    </row>
    <row r="61" spans="1:2" ht="16" x14ac:dyDescent="0.2">
      <c r="A61" s="3" t="s">
        <v>1566</v>
      </c>
      <c r="B61" s="11">
        <f>SUMIF(Calculation!C:C,Data!A61,Calculation!H:H)</f>
        <v>4.541881732884293E-4</v>
      </c>
    </row>
    <row r="62" spans="1:2" ht="16" x14ac:dyDescent="0.2">
      <c r="A62" s="3" t="s">
        <v>1568</v>
      </c>
      <c r="B62" s="11">
        <f>SUMIF(Calculation!C:C,Data!A62,Calculation!H:H)</f>
        <v>0</v>
      </c>
    </row>
    <row r="63" spans="1:2" ht="16" x14ac:dyDescent="0.2">
      <c r="A63" s="3" t="s">
        <v>1571</v>
      </c>
      <c r="B63" s="11">
        <f>SUMIF(Calculation!C:C,Data!A63,Calculation!H:H)</f>
        <v>1.5530701259411932E-2</v>
      </c>
    </row>
    <row r="64" spans="1:2" ht="16" x14ac:dyDescent="0.2">
      <c r="A64" s="3" t="s">
        <v>1573</v>
      </c>
      <c r="B64" s="11">
        <f>SUMIF(Calculation!C:C,Data!A64,Calculation!H:H)</f>
        <v>1.5316476497642933E-3</v>
      </c>
    </row>
    <row r="65" spans="1:2" ht="16" x14ac:dyDescent="0.2">
      <c r="A65" s="3" t="s">
        <v>1575</v>
      </c>
      <c r="B65" s="11">
        <f>SUMIF(Calculation!C:C,Data!A65,Calculation!H:H)</f>
        <v>8.510781524401231E-3</v>
      </c>
    </row>
    <row r="66" spans="1:2" ht="16" x14ac:dyDescent="0.2">
      <c r="A66" s="3" t="s">
        <v>1577</v>
      </c>
      <c r="B66" s="11">
        <f>SUMIF(Calculation!C:C,Data!A66,Calculation!H:H)</f>
        <v>2.3663718601322175E-3</v>
      </c>
    </row>
    <row r="67" spans="1:2" ht="16" x14ac:dyDescent="0.2">
      <c r="A67" s="3" t="s">
        <v>1579</v>
      </c>
      <c r="B67" s="11">
        <f>SUMIF(Calculation!C:C,Data!A67,Calculation!H:H)</f>
        <v>1.5328355874450826E-3</v>
      </c>
    </row>
    <row r="68" spans="1:2" ht="16" x14ac:dyDescent="0.2">
      <c r="A68" s="3" t="s">
        <v>1582</v>
      </c>
      <c r="B68" s="11">
        <f>SUMIF(Calculation!C:C,Data!A68,Calculation!H:H)</f>
        <v>0</v>
      </c>
    </row>
    <row r="69" spans="1:2" ht="16" x14ac:dyDescent="0.2">
      <c r="A69" s="3" t="s">
        <v>1585</v>
      </c>
      <c r="B69" s="11">
        <f>SUMIF(Calculation!C:C,Data!A69,Calculation!H:H)</f>
        <v>0</v>
      </c>
    </row>
    <row r="70" spans="1:2" ht="16" x14ac:dyDescent="0.2">
      <c r="A70" s="3" t="s">
        <v>1588</v>
      </c>
      <c r="B70" s="11">
        <f>SUMIF(Calculation!C:C,Data!A70,Calculation!H:H)</f>
        <v>3.6061828196492811E-3</v>
      </c>
    </row>
    <row r="71" spans="1:2" ht="16" x14ac:dyDescent="0.2">
      <c r="A71" s="3" t="s">
        <v>1590</v>
      </c>
      <c r="B71" s="11">
        <f>SUMIF(Calculation!C:C,Data!A71,Calculation!H:H)</f>
        <v>0</v>
      </c>
    </row>
    <row r="72" spans="1:2" ht="16" x14ac:dyDescent="0.2">
      <c r="A72" s="3" t="s">
        <v>1593</v>
      </c>
      <c r="B72" s="11">
        <f>SUMIF(Calculation!C:C,Data!A72,Calculation!H:H)</f>
        <v>8.7087711378661063E-3</v>
      </c>
    </row>
    <row r="73" spans="1:2" ht="16" x14ac:dyDescent="0.2">
      <c r="A73" s="3" t="s">
        <v>1595</v>
      </c>
      <c r="B73" s="11">
        <f>SUMIF(Calculation!C:C,Data!A73,Calculation!H:H)</f>
        <v>5.1065481104861235E-3</v>
      </c>
    </row>
    <row r="74" spans="1:2" ht="16" x14ac:dyDescent="0.2">
      <c r="A74" s="3" t="s">
        <v>1598</v>
      </c>
      <c r="B74" s="11">
        <f>SUMIF(Calculation!C:C,Data!A74,Calculation!H:H)</f>
        <v>3.425220312942383E-4</v>
      </c>
    </row>
    <row r="75" spans="1:2" ht="16" x14ac:dyDescent="0.2">
      <c r="A75" s="3" t="s">
        <v>1601</v>
      </c>
      <c r="B75" s="11">
        <f>SUMIF(Calculation!C:C,Data!A75,Calculation!H:H)</f>
        <v>1.1127016276726122E-3</v>
      </c>
    </row>
    <row r="76" spans="1:2" ht="16" x14ac:dyDescent="0.2">
      <c r="A76" s="3" t="s">
        <v>1603</v>
      </c>
      <c r="B76" s="11">
        <f>SUMIF(Calculation!C:C,Data!A76,Calculation!H:H)</f>
        <v>0</v>
      </c>
    </row>
    <row r="77" spans="1:2" ht="16" x14ac:dyDescent="0.2">
      <c r="A77" s="3" t="s">
        <v>1606</v>
      </c>
      <c r="B77" s="11">
        <f>SUMIF(Calculation!C:C,Data!A77,Calculation!H:H)</f>
        <v>1.2924761966987212E-3</v>
      </c>
    </row>
    <row r="78" spans="1:2" ht="16" x14ac:dyDescent="0.2">
      <c r="A78" s="3" t="s">
        <v>1608</v>
      </c>
      <c r="B78" s="11">
        <f>SUMIF(Calculation!C:C,Data!A78,Calculation!H:H)</f>
        <v>1.1629909894926912E-3</v>
      </c>
    </row>
    <row r="79" spans="1:2" ht="16" x14ac:dyDescent="0.2">
      <c r="A79" s="3" t="s">
        <v>1611</v>
      </c>
      <c r="B79" s="11">
        <f>SUMIF(Calculation!C:C,Data!A79,Calculation!H:H)</f>
        <v>0</v>
      </c>
    </row>
    <row r="80" spans="1:2" ht="16" x14ac:dyDescent="0.2">
      <c r="A80" s="3" t="s">
        <v>1614</v>
      </c>
      <c r="B80" s="11">
        <f>SUMIF(Calculation!C:C,Data!A80,Calculation!H:H)</f>
        <v>6.0766972164640245E-3</v>
      </c>
    </row>
    <row r="81" spans="1:2" ht="16" x14ac:dyDescent="0.2">
      <c r="A81" s="3" t="s">
        <v>1616</v>
      </c>
      <c r="B81" s="11">
        <f>SUMIF(Calculation!C:C,Data!A81,Calculation!H:H)</f>
        <v>0</v>
      </c>
    </row>
    <row r="82" spans="1:2" ht="16" x14ac:dyDescent="0.2">
      <c r="A82" s="3" t="s">
        <v>1619</v>
      </c>
      <c r="B82" s="11">
        <f>SUMIF(Calculation!C:C,Data!A82,Calculation!H:H)</f>
        <v>1.4991773531560534E-3</v>
      </c>
    </row>
    <row r="83" spans="1:2" ht="16" x14ac:dyDescent="0.2">
      <c r="A83" s="3" t="s">
        <v>1624</v>
      </c>
      <c r="B83" s="11">
        <f>SUMIF(Calculation!C:C,Data!A83,Calculation!H:H)</f>
        <v>0</v>
      </c>
    </row>
    <row r="84" spans="1:2" ht="16" x14ac:dyDescent="0.2">
      <c r="A84" s="3" t="s">
        <v>1627</v>
      </c>
      <c r="B84" s="11">
        <f>SUMIF(Calculation!C:C,Data!A84,Calculation!H:H)</f>
        <v>6.3356676308760847E-5</v>
      </c>
    </row>
    <row r="85" spans="1:2" ht="16" x14ac:dyDescent="0.2">
      <c r="A85" s="3" t="s">
        <v>1630</v>
      </c>
      <c r="B85" s="11">
        <f>SUMIF(Calculation!C:C,Data!A85,Calculation!H:H)</f>
        <v>2.669652350037717E-2</v>
      </c>
    </row>
    <row r="86" spans="1:2" ht="16" x14ac:dyDescent="0.2">
      <c r="A86" s="3" t="s">
        <v>1632</v>
      </c>
      <c r="B86" s="11">
        <f>SUMIF(Calculation!C:C,Data!A86,Calculation!H:H)</f>
        <v>4.7636300999649559E-4</v>
      </c>
    </row>
    <row r="87" spans="1:2" ht="16" x14ac:dyDescent="0.2">
      <c r="A87" s="3" t="s">
        <v>1635</v>
      </c>
      <c r="B87" s="11">
        <f>SUMIF(Calculation!C:C,Data!A87,Calculation!H:H)</f>
        <v>1.2227838527590843E-3</v>
      </c>
    </row>
    <row r="88" spans="1:2" ht="16" x14ac:dyDescent="0.2">
      <c r="A88" s="3" t="s">
        <v>1637</v>
      </c>
      <c r="B88" s="11">
        <f>SUMIF(Calculation!C:C,Data!A88,Calculation!H:H)</f>
        <v>6.3633861767611671E-4</v>
      </c>
    </row>
    <row r="89" spans="1:2" ht="16" x14ac:dyDescent="0.2">
      <c r="A89" s="3" t="s">
        <v>1639</v>
      </c>
      <c r="B89" s="11">
        <f>SUMIF(Calculation!C:C,Data!A89,Calculation!H:H)</f>
        <v>3.4576906095506229E-3</v>
      </c>
    </row>
    <row r="90" spans="1:2" ht="16" x14ac:dyDescent="0.2">
      <c r="A90" s="3" t="s">
        <v>1641</v>
      </c>
      <c r="B90" s="11">
        <f>SUMIF(Calculation!C:C,Data!A90,Calculation!H:H)</f>
        <v>0</v>
      </c>
    </row>
    <row r="91" spans="1:2" ht="16" x14ac:dyDescent="0.2">
      <c r="A91" s="3" t="s">
        <v>1644</v>
      </c>
      <c r="B91" s="11">
        <f>SUMIF(Calculation!C:C,Data!A91,Calculation!H:H)</f>
        <v>8.826376968264245E-4</v>
      </c>
    </row>
    <row r="92" spans="1:2" ht="16" x14ac:dyDescent="0.2">
      <c r="A92" s="3" t="s">
        <v>1646</v>
      </c>
      <c r="B92" s="11">
        <f>SUMIF(Calculation!C:C,Data!A92,Calculation!H:H)</f>
        <v>1.1618030518119019E-3</v>
      </c>
    </row>
    <row r="93" spans="1:2" ht="16" x14ac:dyDescent="0.2">
      <c r="A93" s="3" t="s">
        <v>1648</v>
      </c>
      <c r="B93" s="11">
        <f>SUMIF(Calculation!C:C,Data!A93,Calculation!H:H)</f>
        <v>0</v>
      </c>
    </row>
    <row r="94" spans="1:2" ht="16" x14ac:dyDescent="0.2">
      <c r="A94" s="3" t="s">
        <v>1651</v>
      </c>
      <c r="B94" s="11">
        <f>SUMIF(Calculation!C:C,Data!A94,Calculation!H:H)</f>
        <v>0</v>
      </c>
    </row>
    <row r="95" spans="1:2" ht="16" x14ac:dyDescent="0.2">
      <c r="A95" s="3" t="s">
        <v>1654</v>
      </c>
      <c r="B95" s="11">
        <f>SUMIF(Calculation!C:C,Data!A95,Calculation!H:H)</f>
        <v>5.9594873652928169E-4</v>
      </c>
    </row>
    <row r="96" spans="1:2" ht="16" x14ac:dyDescent="0.2">
      <c r="A96" s="3" t="s">
        <v>1657</v>
      </c>
      <c r="B96" s="11">
        <f>SUMIF(Calculation!C:C,Data!A96,Calculation!H:H)</f>
        <v>0</v>
      </c>
    </row>
    <row r="97" spans="1:2" ht="16" x14ac:dyDescent="0.2">
      <c r="A97" s="3" t="s">
        <v>1660</v>
      </c>
      <c r="B97" s="11">
        <f>SUMIF(Calculation!C:C,Data!A97,Calculation!H:H)</f>
        <v>0</v>
      </c>
    </row>
    <row r="98" spans="1:2" ht="16" x14ac:dyDescent="0.2">
      <c r="A98" s="3" t="s">
        <v>1663</v>
      </c>
      <c r="B98" s="11">
        <f>SUMIF(Calculation!C:C,Data!A98,Calculation!H:H)</f>
        <v>1.7767587912338118E-3</v>
      </c>
    </row>
    <row r="99" spans="1:2" ht="16" x14ac:dyDescent="0.2">
      <c r="A99" s="3" t="s">
        <v>1666</v>
      </c>
      <c r="B99" s="11">
        <f>SUMIF(Calculation!C:C,Data!A99,Calculation!H:H)</f>
        <v>0</v>
      </c>
    </row>
    <row r="100" spans="1:2" ht="16" x14ac:dyDescent="0.2">
      <c r="A100" s="3" t="s">
        <v>1669</v>
      </c>
      <c r="B100" s="11">
        <f>SUMIF(Calculation!C:C,Data!A100,Calculation!H:H)</f>
        <v>2.2911358070155639E-3</v>
      </c>
    </row>
    <row r="101" spans="1:2" ht="16" x14ac:dyDescent="0.2">
      <c r="A101" s="3" t="s">
        <v>1671</v>
      </c>
      <c r="B101" s="11">
        <f>SUMIF(Calculation!C:C,Data!A101,Calculation!H:H)</f>
        <v>0</v>
      </c>
    </row>
    <row r="102" spans="1:2" ht="16" x14ac:dyDescent="0.2">
      <c r="A102" s="3" t="s">
        <v>1674</v>
      </c>
      <c r="B102" s="11">
        <f>SUMIF(Calculation!C:C,Data!A102,Calculation!H:H)</f>
        <v>4.9556800250258872E-3</v>
      </c>
    </row>
    <row r="103" spans="1:2" ht="16" x14ac:dyDescent="0.2">
      <c r="A103" s="3" t="s">
        <v>1677</v>
      </c>
      <c r="B103" s="11">
        <f>SUMIF(Calculation!C:C,Data!A103,Calculation!H:H)</f>
        <v>6.5732551670339377E-4</v>
      </c>
    </row>
    <row r="104" spans="1:2" ht="16" x14ac:dyDescent="0.2">
      <c r="A104" s="3" t="s">
        <v>1679</v>
      </c>
      <c r="B104" s="11">
        <f>SUMIF(Calculation!C:C,Data!A104,Calculation!H:H)</f>
        <v>1.2169233602005239E-2</v>
      </c>
    </row>
    <row r="105" spans="1:2" ht="16" x14ac:dyDescent="0.2">
      <c r="A105" s="3" t="s">
        <v>1681</v>
      </c>
      <c r="B105" s="11">
        <f>SUMIF(Calculation!C:C,Data!A105,Calculation!H:H)</f>
        <v>5.345521573938232E-2</v>
      </c>
    </row>
    <row r="106" spans="1:2" ht="16" x14ac:dyDescent="0.2">
      <c r="A106" s="3" t="s">
        <v>1684</v>
      </c>
      <c r="B106" s="11">
        <f>SUMIF(Calculation!C:C,Data!A106,Calculation!H:H)</f>
        <v>8.5733462422561326E-3</v>
      </c>
    </row>
    <row r="107" spans="1:2" ht="16" x14ac:dyDescent="0.2">
      <c r="A107" s="3" t="s">
        <v>1686</v>
      </c>
      <c r="B107" s="11">
        <f>SUMIF(Calculation!C:C,Data!A107,Calculation!H:H)</f>
        <v>0</v>
      </c>
    </row>
    <row r="108" spans="1:2" ht="16" x14ac:dyDescent="0.2">
      <c r="A108" s="3" t="s">
        <v>1689</v>
      </c>
      <c r="B108" s="11">
        <f>SUMIF(Calculation!C:C,Data!A108,Calculation!H:H)</f>
        <v>0</v>
      </c>
    </row>
    <row r="109" spans="1:2" ht="16" x14ac:dyDescent="0.2">
      <c r="A109" s="3" t="s">
        <v>1692</v>
      </c>
      <c r="B109" s="11">
        <f>SUMIF(Calculation!C:C,Data!A109,Calculation!H:H)</f>
        <v>1.5902921732725901E-2</v>
      </c>
    </row>
    <row r="110" spans="1:2" ht="16" x14ac:dyDescent="0.2">
      <c r="A110" s="3" t="s">
        <v>1694</v>
      </c>
      <c r="B110" s="11">
        <f>SUMIF(Calculation!C:C,Data!A110,Calculation!H:H)</f>
        <v>3.9426067708488013E-2</v>
      </c>
    </row>
    <row r="111" spans="1:2" ht="16" x14ac:dyDescent="0.2">
      <c r="A111" s="3" t="s">
        <v>1697</v>
      </c>
      <c r="B111" s="11">
        <f>SUMIF(Calculation!C:C,Data!A111,Calculation!H:H)</f>
        <v>4.1221437523387522E-4</v>
      </c>
    </row>
    <row r="112" spans="1:2" ht="16" x14ac:dyDescent="0.2">
      <c r="A112" s="3" t="s">
        <v>1700</v>
      </c>
      <c r="B112" s="11">
        <f>SUMIF(Calculation!C:C,Data!A112,Calculation!H:H)</f>
        <v>1.3431615377457299E-3</v>
      </c>
    </row>
    <row r="113" spans="1:2" ht="16" x14ac:dyDescent="0.2">
      <c r="A113" s="3" t="s">
        <v>1702</v>
      </c>
      <c r="B113" s="11">
        <f>SUMIF(Calculation!C:C,Data!A113,Calculation!H:H)</f>
        <v>1.9771242800602682E-3</v>
      </c>
    </row>
    <row r="114" spans="1:2" ht="16" x14ac:dyDescent="0.2">
      <c r="A114" s="3" t="s">
        <v>1704</v>
      </c>
      <c r="B114" s="11">
        <f>SUMIF(Calculation!C:C,Data!A114,Calculation!H:H)</f>
        <v>4.9457805443526431E-4</v>
      </c>
    </row>
    <row r="115" spans="1:2" ht="16" x14ac:dyDescent="0.2">
      <c r="A115" s="3" t="s">
        <v>1706</v>
      </c>
      <c r="B115" s="11">
        <f>SUMIF(Calculation!C:C,Data!A115,Calculation!H:H)</f>
        <v>8.3512018959485388E-4</v>
      </c>
    </row>
    <row r="116" spans="1:2" ht="16" x14ac:dyDescent="0.2">
      <c r="A116" s="3" t="s">
        <v>1708</v>
      </c>
      <c r="B116" s="11">
        <f>SUMIF(Calculation!C:C,Data!A116,Calculation!H:H)</f>
        <v>0</v>
      </c>
    </row>
    <row r="117" spans="1:2" ht="16" x14ac:dyDescent="0.2">
      <c r="A117" s="3" t="s">
        <v>1711</v>
      </c>
      <c r="B117" s="11">
        <f>SUMIF(Calculation!C:C,Data!A117,Calculation!H:H)</f>
        <v>9.099602634845776E-4</v>
      </c>
    </row>
    <row r="118" spans="1:2" ht="16" x14ac:dyDescent="0.2">
      <c r="A118" s="3" t="s">
        <v>1713</v>
      </c>
      <c r="B118" s="11">
        <f>SUMIF(Calculation!C:C,Data!A118,Calculation!H:H)</f>
        <v>2.4776420228994787E-3</v>
      </c>
    </row>
    <row r="119" spans="1:2" ht="16" x14ac:dyDescent="0.2">
      <c r="A119" s="3" t="s">
        <v>1715</v>
      </c>
      <c r="B119" s="11">
        <f>SUMIF(Calculation!C:C,Data!A119,Calculation!H:H)</f>
        <v>0</v>
      </c>
    </row>
    <row r="120" spans="1:2" ht="16" x14ac:dyDescent="0.2">
      <c r="A120" s="3" t="s">
        <v>1718</v>
      </c>
      <c r="B120" s="11">
        <f>SUMIF(Calculation!C:C,Data!A120,Calculation!H:H)</f>
        <v>4.8139194617850354E-3</v>
      </c>
    </row>
    <row r="121" spans="1:2" ht="16" x14ac:dyDescent="0.2">
      <c r="A121" s="3" t="s">
        <v>1720</v>
      </c>
      <c r="B121" s="11">
        <f>SUMIF(Calculation!C:C,Data!A121,Calculation!H:H)</f>
        <v>1.0774594764758642E-3</v>
      </c>
    </row>
    <row r="122" spans="1:2" ht="16" x14ac:dyDescent="0.2">
      <c r="A122" s="3" t="s">
        <v>1722</v>
      </c>
      <c r="B122" s="11">
        <f>SUMIF(Calculation!C:C,Data!A122,Calculation!H:H)</f>
        <v>1.6183671004619097E-3</v>
      </c>
    </row>
    <row r="123" spans="1:2" ht="16" x14ac:dyDescent="0.2">
      <c r="A123" s="3" t="s">
        <v>1725</v>
      </c>
      <c r="B123" s="11">
        <f>SUMIF(Calculation!C:C,Data!A123,Calculation!H:H)</f>
        <v>2.8074927189319649E-4</v>
      </c>
    </row>
    <row r="124" spans="1:2" ht="16" x14ac:dyDescent="0.2">
      <c r="A124" s="3" t="s">
        <v>1727</v>
      </c>
      <c r="B124" s="11">
        <f>SUMIF(Calculation!C:C,Data!A124,Calculation!H:H)</f>
        <v>1.9181233752477347E-3</v>
      </c>
    </row>
    <row r="125" spans="1:2" ht="16" x14ac:dyDescent="0.2">
      <c r="A125" s="3" t="s">
        <v>1729</v>
      </c>
      <c r="B125" s="11">
        <f>SUMIF(Calculation!C:C,Data!A125,Calculation!H:H)</f>
        <v>1.2334752918861877E-3</v>
      </c>
    </row>
    <row r="126" spans="1:2" ht="16" x14ac:dyDescent="0.2">
      <c r="A126" s="3" t="s">
        <v>1732</v>
      </c>
      <c r="B126" s="11">
        <f>SUMIF(Calculation!C:C,Data!A126,Calculation!H:H)</f>
        <v>1.6999388212094394E-3</v>
      </c>
    </row>
    <row r="127" spans="1:2" ht="16" x14ac:dyDescent="0.2">
      <c r="A127" s="3" t="s">
        <v>1734</v>
      </c>
      <c r="B127" s="11">
        <f>SUMIF(Calculation!C:C,Data!A127,Calculation!H:H)</f>
        <v>0</v>
      </c>
    </row>
    <row r="128" spans="1:2" ht="16" x14ac:dyDescent="0.2">
      <c r="A128" s="3" t="s">
        <v>1737</v>
      </c>
      <c r="B128" s="11">
        <f>SUMIF(Calculation!C:C,Data!A128,Calculation!H:H)</f>
        <v>2.4883334620265821E-2</v>
      </c>
    </row>
    <row r="129" spans="1:2" ht="16" x14ac:dyDescent="0.2">
      <c r="A129" s="3" t="s">
        <v>1739</v>
      </c>
      <c r="B129" s="11">
        <f>SUMIF(Calculation!C:C,Data!A129,Calculation!H:H)</f>
        <v>2.0325613718304341E-3</v>
      </c>
    </row>
    <row r="130" spans="1:2" ht="16" x14ac:dyDescent="0.2">
      <c r="A130" s="3" t="s">
        <v>1741</v>
      </c>
      <c r="B130" s="11">
        <f>SUMIF(Calculation!C:C,Data!A130,Calculation!H:H)</f>
        <v>0</v>
      </c>
    </row>
    <row r="131" spans="1:2" ht="16" x14ac:dyDescent="0.2">
      <c r="A131" s="3" t="s">
        <v>1744</v>
      </c>
      <c r="B131" s="11">
        <f>SUMIF(Calculation!C:C,Data!A131,Calculation!H:H)</f>
        <v>0</v>
      </c>
    </row>
    <row r="132" spans="1:2" ht="16" x14ac:dyDescent="0.2">
      <c r="A132" s="3" t="s">
        <v>1747</v>
      </c>
      <c r="B132" s="11">
        <f>SUMIF(Calculation!C:C,Data!A132,Calculation!H:H)</f>
        <v>9.8761178988550254E-3</v>
      </c>
    </row>
    <row r="133" spans="1:2" ht="16" x14ac:dyDescent="0.2">
      <c r="A133" s="3" t="s">
        <v>1749</v>
      </c>
      <c r="B133" s="11">
        <f>SUMIF(Calculation!C:C,Data!A133,Calculation!H:H)</f>
        <v>0</v>
      </c>
    </row>
    <row r="134" spans="1:2" ht="16" x14ac:dyDescent="0.2">
      <c r="A134" s="3" t="s">
        <v>1752</v>
      </c>
      <c r="B134" s="11">
        <f>SUMIF(Calculation!C:C,Data!A134,Calculation!H:H)</f>
        <v>3.8829722992731802E-3</v>
      </c>
    </row>
    <row r="135" spans="1:2" ht="16" x14ac:dyDescent="0.2">
      <c r="A135" s="3" t="s">
        <v>1754</v>
      </c>
      <c r="B135" s="11">
        <f>SUMIF(Calculation!C:C,Data!A135,Calculation!H:H)</f>
        <v>0</v>
      </c>
    </row>
    <row r="136" spans="1:2" ht="16" x14ac:dyDescent="0.2">
      <c r="A136" s="3" t="s">
        <v>1757</v>
      </c>
      <c r="B136" s="11">
        <f>SUMIF(Calculation!C:C,Data!A136,Calculation!H:H)</f>
        <v>0</v>
      </c>
    </row>
    <row r="137" spans="1:2" ht="16" x14ac:dyDescent="0.2">
      <c r="A137" s="3" t="s">
        <v>1760</v>
      </c>
      <c r="B137" s="11">
        <f>SUMIF(Calculation!C:C,Data!A137,Calculation!H:H)</f>
        <v>2.3620160886359902E-3</v>
      </c>
    </row>
    <row r="138" spans="1:2" ht="16" x14ac:dyDescent="0.2">
      <c r="A138" s="3" t="s">
        <v>1763</v>
      </c>
      <c r="B138" s="11">
        <f>SUMIF(Calculation!C:C,Data!A138,Calculation!H:H)</f>
        <v>6.3039892927217039E-4</v>
      </c>
    </row>
    <row r="139" spans="1:2" ht="16" x14ac:dyDescent="0.2">
      <c r="A139" s="3" t="s">
        <v>1766</v>
      </c>
      <c r="B139" s="11">
        <f>SUMIF(Calculation!C:C,Data!A139,Calculation!H:H)</f>
        <v>3.833078916680031E-4</v>
      </c>
    </row>
    <row r="140" spans="1:2" ht="16" x14ac:dyDescent="0.2">
      <c r="A140" s="3" t="s">
        <v>1768</v>
      </c>
      <c r="B140" s="11">
        <f>SUMIF(Calculation!C:C,Data!A140,Calculation!H:H)</f>
        <v>2.4907093373881606E-3</v>
      </c>
    </row>
    <row r="141" spans="1:2" ht="16" x14ac:dyDescent="0.2">
      <c r="A141" s="3" t="s">
        <v>1770</v>
      </c>
      <c r="B141" s="11">
        <f>SUMIF(Calculation!C:C,Data!A141,Calculation!H:H)</f>
        <v>2.4134933881368582E-3</v>
      </c>
    </row>
    <row r="142" spans="1:2" ht="16" x14ac:dyDescent="0.2">
      <c r="A142" s="3" t="s">
        <v>1773</v>
      </c>
      <c r="B142" s="11">
        <f>SUMIF(Calculation!C:C,Data!A142,Calculation!H:H)</f>
        <v>1.9830639684642144E-3</v>
      </c>
    </row>
    <row r="143" spans="1:2" ht="16" x14ac:dyDescent="0.2">
      <c r="A143" s="3" t="s">
        <v>1775</v>
      </c>
      <c r="B143" s="11">
        <f>SUMIF(Calculation!C:C,Data!A143,Calculation!H:H)</f>
        <v>0</v>
      </c>
    </row>
    <row r="144" spans="1:2" ht="16" x14ac:dyDescent="0.2">
      <c r="A144" s="3" t="s">
        <v>1778</v>
      </c>
      <c r="B144" s="11">
        <f>SUMIF(Calculation!C:C,Data!A144,Calculation!H:H)</f>
        <v>0</v>
      </c>
    </row>
    <row r="145" spans="1:2" ht="16" x14ac:dyDescent="0.2">
      <c r="A145" s="3" t="s">
        <v>1781</v>
      </c>
      <c r="B145" s="11">
        <f>SUMIF(Calculation!C:C,Data!A145,Calculation!H:H)</f>
        <v>0</v>
      </c>
    </row>
    <row r="146" spans="1:2" ht="16" x14ac:dyDescent="0.2">
      <c r="A146" s="3" t="s">
        <v>1784</v>
      </c>
      <c r="B146" s="11">
        <f>SUMIF(Calculation!C:C,Data!A146,Calculation!H:H)</f>
        <v>0</v>
      </c>
    </row>
    <row r="147" spans="1:2" ht="16" x14ac:dyDescent="0.2">
      <c r="A147" s="3" t="s">
        <v>1787</v>
      </c>
      <c r="B147" s="11">
        <f>SUMIF(Calculation!C:C,Data!A147,Calculation!H:H)</f>
        <v>6.3831851381076544E-4</v>
      </c>
    </row>
    <row r="148" spans="1:2" ht="16" x14ac:dyDescent="0.2">
      <c r="A148" s="3" t="s">
        <v>1789</v>
      </c>
      <c r="B148" s="11">
        <f>SUMIF(Calculation!C:C,Data!A148,Calculation!H:H)</f>
        <v>3.8093201630642459E-4</v>
      </c>
    </row>
    <row r="149" spans="1:2" ht="16" x14ac:dyDescent="0.2">
      <c r="A149" s="3" t="s">
        <v>1792</v>
      </c>
      <c r="B149" s="11">
        <f>SUMIF(Calculation!C:C,Data!A149,Calculation!H:H)</f>
        <v>0</v>
      </c>
    </row>
    <row r="150" spans="1:2" ht="16" x14ac:dyDescent="0.2">
      <c r="A150" s="3" t="s">
        <v>1795</v>
      </c>
      <c r="B150" s="11">
        <f>SUMIF(Calculation!C:C,Data!A150,Calculation!H:H)</f>
        <v>0</v>
      </c>
    </row>
    <row r="151" spans="1:2" ht="16" x14ac:dyDescent="0.2">
      <c r="A151" s="3" t="s">
        <v>1797</v>
      </c>
      <c r="B151" s="11">
        <f>SUMIF(Calculation!C:C,Data!A151,Calculation!H:H)</f>
        <v>4.2250983513404889E-4</v>
      </c>
    </row>
    <row r="152" spans="1:2" ht="16" x14ac:dyDescent="0.2">
      <c r="A152" s="3" t="s">
        <v>1800</v>
      </c>
      <c r="B152" s="11">
        <f>SUMIF(Calculation!C:C,Data!A152,Calculation!H:H)</f>
        <v>0</v>
      </c>
    </row>
    <row r="153" spans="1:2" ht="16" x14ac:dyDescent="0.2">
      <c r="A153" s="3" t="s">
        <v>1803</v>
      </c>
      <c r="B153" s="11">
        <f>SUMIF(Calculation!C:C,Data!A153,Calculation!H:H)</f>
        <v>0</v>
      </c>
    </row>
    <row r="154" spans="1:2" ht="16" x14ac:dyDescent="0.2">
      <c r="A154" s="3" t="s">
        <v>1806</v>
      </c>
      <c r="B154" s="11">
        <f>SUMIF(Calculation!C:C,Data!A154,Calculation!H:H)</f>
        <v>0</v>
      </c>
    </row>
    <row r="155" spans="1:2" ht="16" x14ac:dyDescent="0.2">
      <c r="A155" s="3" t="s">
        <v>1809</v>
      </c>
      <c r="B155" s="11">
        <f>SUMIF(Calculation!C:C,Data!A155,Calculation!H:H)</f>
        <v>2.7928414875355639E-3</v>
      </c>
    </row>
    <row r="156" spans="1:2" ht="16" x14ac:dyDescent="0.2">
      <c r="A156" s="3" t="s">
        <v>1812</v>
      </c>
      <c r="B156" s="11">
        <f>SUMIF(Calculation!C:C,Data!A156,Calculation!H:H)</f>
        <v>0</v>
      </c>
    </row>
    <row r="157" spans="1:2" ht="16" x14ac:dyDescent="0.2">
      <c r="A157" s="3" t="s">
        <v>1814</v>
      </c>
      <c r="B157" s="11">
        <f>SUMIF(Calculation!C:C,Data!A157,Calculation!H:H)</f>
        <v>0</v>
      </c>
    </row>
    <row r="158" spans="1:2" ht="16" x14ac:dyDescent="0.2">
      <c r="A158" s="3" t="s">
        <v>1817</v>
      </c>
      <c r="B158" s="11">
        <f>SUMIF(Calculation!C:C,Data!A158,Calculation!H:H)</f>
        <v>0</v>
      </c>
    </row>
    <row r="159" spans="1:2" ht="16" x14ac:dyDescent="0.2">
      <c r="A159" s="3" t="s">
        <v>1820</v>
      </c>
      <c r="B159" s="11">
        <f>SUMIF(Calculation!C:C,Data!A159,Calculation!H:H)</f>
        <v>0</v>
      </c>
    </row>
    <row r="160" spans="1:2" ht="16" x14ac:dyDescent="0.2">
      <c r="A160" s="3" t="s">
        <v>1823</v>
      </c>
      <c r="B160" s="11">
        <f>SUMIF(Calculation!C:C,Data!A160,Calculation!H:H)</f>
        <v>3.8671331301959899E-3</v>
      </c>
    </row>
    <row r="161" spans="1:2" ht="16" x14ac:dyDescent="0.2">
      <c r="A161" s="3" t="s">
        <v>1825</v>
      </c>
      <c r="B161" s="11">
        <f>SUMIF(Calculation!C:C,Data!A161,Calculation!H:H)</f>
        <v>3.470678728193919E-2</v>
      </c>
    </row>
    <row r="162" spans="1:2" ht="16" x14ac:dyDescent="0.2">
      <c r="A162" s="3" t="s">
        <v>1827</v>
      </c>
      <c r="B162" s="11">
        <f>SUMIF(Calculation!C:C,Data!A162,Calculation!H:H)</f>
        <v>0</v>
      </c>
    </row>
    <row r="163" spans="1:2" ht="16" x14ac:dyDescent="0.2">
      <c r="A163" s="3" t="s">
        <v>1830</v>
      </c>
      <c r="B163" s="11">
        <f>SUMIF(Calculation!C:C,Data!A163,Calculation!H:H)</f>
        <v>5.3615587326288862E-4</v>
      </c>
    </row>
    <row r="164" spans="1:2" ht="16" x14ac:dyDescent="0.2">
      <c r="A164" s="3" t="s">
        <v>1833</v>
      </c>
      <c r="B164" s="11">
        <f>SUMIF(Calculation!C:C,Data!A164,Calculation!H:H)</f>
        <v>4.9861704254994784E-3</v>
      </c>
    </row>
    <row r="165" spans="1:2" ht="16" x14ac:dyDescent="0.2">
      <c r="A165" s="3" t="s">
        <v>1835</v>
      </c>
      <c r="B165" s="11">
        <f>SUMIF(Calculation!C:C,Data!A165,Calculation!H:H)</f>
        <v>0</v>
      </c>
    </row>
    <row r="166" spans="1:2" ht="16" x14ac:dyDescent="0.2">
      <c r="A166" s="3" t="s">
        <v>1838</v>
      </c>
      <c r="B166" s="11">
        <f>SUMIF(Calculation!C:C,Data!A166,Calculation!H:H)</f>
        <v>0</v>
      </c>
    </row>
    <row r="167" spans="1:2" ht="16" x14ac:dyDescent="0.2">
      <c r="A167" s="3" t="s">
        <v>1841</v>
      </c>
      <c r="B167" s="11">
        <f>SUMIF(Calculation!C:C,Data!A167,Calculation!H:H)</f>
        <v>0</v>
      </c>
    </row>
    <row r="168" spans="1:2" ht="16" x14ac:dyDescent="0.2">
      <c r="A168" s="3" t="s">
        <v>1844</v>
      </c>
      <c r="B168" s="11">
        <f>SUMIF(Calculation!C:C,Data!A168,Calculation!H:H)</f>
        <v>0</v>
      </c>
    </row>
    <row r="169" spans="1:2" ht="16" x14ac:dyDescent="0.2">
      <c r="A169" s="3" t="s">
        <v>1847</v>
      </c>
      <c r="B169" s="11">
        <f>SUMIF(Calculation!C:C,Data!A169,Calculation!H:H)</f>
        <v>0</v>
      </c>
    </row>
    <row r="170" spans="1:2" ht="16" x14ac:dyDescent="0.2">
      <c r="A170" s="3" t="s">
        <v>1849</v>
      </c>
      <c r="B170" s="11">
        <f>SUMIF(Calculation!C:C,Data!A170,Calculation!H:H)</f>
        <v>0</v>
      </c>
    </row>
    <row r="171" spans="1:2" ht="16" x14ac:dyDescent="0.2">
      <c r="A171" s="3" t="s">
        <v>1852</v>
      </c>
      <c r="B171" s="11">
        <f>SUMIF(Calculation!C:C,Data!A171,Calculation!H:H)</f>
        <v>0</v>
      </c>
    </row>
    <row r="172" spans="1:2" ht="16" x14ac:dyDescent="0.2">
      <c r="A172" s="3" t="s">
        <v>1855</v>
      </c>
      <c r="B172" s="11">
        <f>SUMIF(Calculation!C:C,Data!A172,Calculation!H:H)</f>
        <v>0</v>
      </c>
    </row>
    <row r="173" spans="1:2" ht="16" x14ac:dyDescent="0.2">
      <c r="A173" s="3" t="s">
        <v>1858</v>
      </c>
      <c r="B173" s="11">
        <f>SUMIF(Calculation!C:C,Data!A173,Calculation!H:H)</f>
        <v>0</v>
      </c>
    </row>
    <row r="174" spans="1:2" ht="16" x14ac:dyDescent="0.2">
      <c r="A174" s="3" t="s">
        <v>1861</v>
      </c>
      <c r="B174" s="11">
        <f>SUMIF(Calculation!C:C,Data!A174,Calculation!H:H)</f>
        <v>0</v>
      </c>
    </row>
    <row r="175" spans="1:2" ht="16" x14ac:dyDescent="0.2">
      <c r="A175" s="3" t="s">
        <v>1864</v>
      </c>
      <c r="B175" s="11">
        <f>SUMIF(Calculation!C:C,Data!A175,Calculation!H:H)</f>
        <v>0</v>
      </c>
    </row>
    <row r="176" spans="1:2" ht="16" x14ac:dyDescent="0.2">
      <c r="A176" s="3" t="s">
        <v>1867</v>
      </c>
      <c r="B176" s="11">
        <f>SUMIF(Calculation!C:C,Data!A176,Calculation!H:H)</f>
        <v>0</v>
      </c>
    </row>
    <row r="177" spans="1:2" ht="16" x14ac:dyDescent="0.2">
      <c r="A177" s="3" t="s">
        <v>1870</v>
      </c>
      <c r="B177" s="11">
        <f>SUMIF(Calculation!C:C,Data!A177,Calculation!H:H)</f>
        <v>3.9332616610932595E-3</v>
      </c>
    </row>
    <row r="178" spans="1:2" ht="16" x14ac:dyDescent="0.2">
      <c r="A178" s="3" t="s">
        <v>1872</v>
      </c>
      <c r="B178" s="11">
        <f>SUMIF(Calculation!C:C,Data!A178,Calculation!H:H)</f>
        <v>0</v>
      </c>
    </row>
    <row r="179" spans="1:2" ht="16" x14ac:dyDescent="0.2">
      <c r="A179" s="3" t="s">
        <v>1875</v>
      </c>
      <c r="B179" s="11">
        <f>SUMIF(Calculation!C:C,Data!A179,Calculation!H:H)</f>
        <v>3.3183059216713491E-4</v>
      </c>
    </row>
    <row r="180" spans="1:2" ht="16" x14ac:dyDescent="0.2">
      <c r="A180" s="3" t="s">
        <v>1877</v>
      </c>
      <c r="B180" s="11">
        <f>SUMIF(Calculation!C:C,Data!A180,Calculation!H:H)</f>
        <v>0</v>
      </c>
    </row>
    <row r="181" spans="1:2" ht="16" x14ac:dyDescent="0.2">
      <c r="A181" s="3" t="s">
        <v>1880</v>
      </c>
      <c r="B181" s="11">
        <f>SUMIF(Calculation!C:C,Data!A181,Calculation!H:H)</f>
        <v>2.5287233431734173E-3</v>
      </c>
    </row>
    <row r="182" spans="1:2" ht="16" x14ac:dyDescent="0.2">
      <c r="A182" s="3" t="s">
        <v>1882</v>
      </c>
      <c r="B182" s="11">
        <f>SUMIF(Calculation!C:C,Data!A182,Calculation!H:H)</f>
        <v>1.7225096371444354E-3</v>
      </c>
    </row>
    <row r="183" spans="1:2" ht="16" x14ac:dyDescent="0.2">
      <c r="A183" s="3" t="s">
        <v>1884</v>
      </c>
      <c r="B183" s="11">
        <f>SUMIF(Calculation!C:C,Data!A183,Calculation!H:H)</f>
        <v>0</v>
      </c>
    </row>
    <row r="184" spans="1:2" ht="16" x14ac:dyDescent="0.2">
      <c r="A184" s="3" t="s">
        <v>1887</v>
      </c>
      <c r="B184" s="11">
        <f>SUMIF(Calculation!C:C,Data!A184,Calculation!H:H)</f>
        <v>6.2841903313752166E-4</v>
      </c>
    </row>
    <row r="185" spans="1:2" ht="16" x14ac:dyDescent="0.2">
      <c r="A185" s="3" t="s">
        <v>1890</v>
      </c>
      <c r="B185" s="11">
        <f>SUMIF(Calculation!C:C,Data!A185,Calculation!H:H)</f>
        <v>1.5736214478188474E-3</v>
      </c>
    </row>
    <row r="186" spans="1:2" ht="16" x14ac:dyDescent="0.2">
      <c r="A186" s="3" t="s">
        <v>1893</v>
      </c>
      <c r="B186" s="11">
        <f>SUMIF(Calculation!C:C,Data!A186,Calculation!H:H)</f>
        <v>3.718244940870402E-4</v>
      </c>
    </row>
    <row r="187" spans="1:2" ht="16" x14ac:dyDescent="0.2">
      <c r="A187" s="3" t="s">
        <v>1896</v>
      </c>
      <c r="B187" s="11">
        <f>SUMIF(Calculation!C:C,Data!A187,Calculation!H:H)</f>
        <v>6.3356676308760847E-5</v>
      </c>
    </row>
    <row r="188" spans="1:2" ht="16" x14ac:dyDescent="0.2">
      <c r="A188" s="3" t="s">
        <v>1899</v>
      </c>
      <c r="B188" s="11">
        <f>SUMIF(Calculation!C:C,Data!A188,Calculation!H:H)</f>
        <v>7.4919269735109699E-4</v>
      </c>
    </row>
    <row r="189" spans="1:2" ht="16" x14ac:dyDescent="0.2">
      <c r="A189" s="3" t="s">
        <v>1902</v>
      </c>
      <c r="B189" s="11">
        <f>SUMIF(Calculation!C:C,Data!A189,Calculation!H:H)</f>
        <v>0</v>
      </c>
    </row>
    <row r="190" spans="1:2" ht="16" x14ac:dyDescent="0.2">
      <c r="A190" s="3" t="s">
        <v>1905</v>
      </c>
      <c r="B190" s="11">
        <f>SUMIF(Calculation!C:C,Data!A190,Calculation!H:H)</f>
        <v>4.9497403366219404E-4</v>
      </c>
    </row>
    <row r="191" spans="1:2" ht="16" x14ac:dyDescent="0.2">
      <c r="A191" s="3" t="s">
        <v>1908</v>
      </c>
      <c r="B191" s="11">
        <f>SUMIF(Calculation!C:C,Data!A191,Calculation!H:H)</f>
        <v>0</v>
      </c>
    </row>
    <row r="192" spans="1:2" ht="16" x14ac:dyDescent="0.2">
      <c r="A192" s="3" t="s">
        <v>1911</v>
      </c>
      <c r="B192" s="11">
        <f>SUMIF(Calculation!C:C,Data!A192,Calculation!H:H)</f>
        <v>0</v>
      </c>
    </row>
    <row r="193" spans="1:2" ht="16" x14ac:dyDescent="0.2">
      <c r="A193" s="3" t="s">
        <v>1914</v>
      </c>
      <c r="B193" s="11">
        <f>SUMIF(Calculation!C:C,Data!A193,Calculation!H:H)</f>
        <v>0</v>
      </c>
    </row>
    <row r="194" spans="1:2" ht="16" x14ac:dyDescent="0.2">
      <c r="A194" s="3" t="s">
        <v>1917</v>
      </c>
      <c r="B194" s="11">
        <f>SUMIF(Calculation!C:C,Data!A194,Calculation!H:H)</f>
        <v>0</v>
      </c>
    </row>
    <row r="195" spans="1:2" ht="16" x14ac:dyDescent="0.2">
      <c r="A195" s="3" t="s">
        <v>1920</v>
      </c>
      <c r="B195" s="11">
        <f>SUMIF(Calculation!C:C,Data!A195,Calculation!H:H)</f>
        <v>1.5094728130562269E-3</v>
      </c>
    </row>
    <row r="196" spans="1:2" ht="16" x14ac:dyDescent="0.2">
      <c r="A196" s="3" t="s">
        <v>1922</v>
      </c>
      <c r="B196" s="11">
        <f>SUMIF(Calculation!C:C,Data!A196,Calculation!H:H)</f>
        <v>1.9191529212377517E-2</v>
      </c>
    </row>
    <row r="197" spans="1:2" ht="16" x14ac:dyDescent="0.2">
      <c r="A197" s="3" t="s">
        <v>1924</v>
      </c>
      <c r="B197" s="11">
        <f>SUMIF(Calculation!C:C,Data!A197,Calculation!H:H)</f>
        <v>0</v>
      </c>
    </row>
    <row r="198" spans="1:2" ht="16" x14ac:dyDescent="0.2">
      <c r="A198" s="3" t="s">
        <v>1927</v>
      </c>
      <c r="B198" s="11">
        <f>SUMIF(Calculation!C:C,Data!A198,Calculation!H:H)</f>
        <v>0</v>
      </c>
    </row>
    <row r="199" spans="1:2" ht="16" x14ac:dyDescent="0.2">
      <c r="A199" s="3" t="s">
        <v>1930</v>
      </c>
      <c r="B199" s="11">
        <f>SUMIF(Calculation!C:C,Data!A199,Calculation!H:H)</f>
        <v>0</v>
      </c>
    </row>
    <row r="200" spans="1:2" ht="16" x14ac:dyDescent="0.2">
      <c r="A200" s="3" t="s">
        <v>1933</v>
      </c>
      <c r="B200" s="11">
        <f>SUMIF(Calculation!C:C,Data!A200,Calculation!H:H)</f>
        <v>0</v>
      </c>
    </row>
    <row r="201" spans="1:2" ht="16" x14ac:dyDescent="0.2">
      <c r="A201" s="3" t="s">
        <v>1936</v>
      </c>
      <c r="B201" s="11">
        <f>SUMIF(Calculation!C:C,Data!A201,Calculation!H:H)</f>
        <v>0</v>
      </c>
    </row>
    <row r="202" spans="1:2" ht="16" x14ac:dyDescent="0.2">
      <c r="A202" s="3" t="s">
        <v>1939</v>
      </c>
      <c r="B202" s="11">
        <f>SUMIF(Calculation!C:C,Data!A202,Calculation!H:H)</f>
        <v>0</v>
      </c>
    </row>
    <row r="203" spans="1:2" ht="16" x14ac:dyDescent="0.2">
      <c r="A203" s="3" t="s">
        <v>1942</v>
      </c>
      <c r="B203" s="11">
        <f>SUMIF(Calculation!C:C,Data!A203,Calculation!H:H)</f>
        <v>0</v>
      </c>
    </row>
    <row r="204" spans="1:2" ht="16" x14ac:dyDescent="0.2">
      <c r="A204" s="3" t="s">
        <v>1945</v>
      </c>
      <c r="B204" s="11">
        <f>SUMIF(Calculation!C:C,Data!A204,Calculation!H:H)</f>
        <v>9.0916830503071804E-4</v>
      </c>
    </row>
    <row r="205" spans="1:2" ht="16" x14ac:dyDescent="0.2">
      <c r="A205" s="3" t="s">
        <v>1947</v>
      </c>
      <c r="B205" s="11">
        <f>SUMIF(Calculation!C:C,Data!A205,Calculation!H:H)</f>
        <v>0</v>
      </c>
    </row>
    <row r="206" spans="1:2" ht="16" x14ac:dyDescent="0.2">
      <c r="A206" s="3" t="s">
        <v>1950</v>
      </c>
      <c r="B206" s="11">
        <f>SUMIF(Calculation!C:C,Data!A206,Calculation!H:H)</f>
        <v>0</v>
      </c>
    </row>
    <row r="207" spans="1:2" ht="16" x14ac:dyDescent="0.2">
      <c r="A207" s="3" t="s">
        <v>1953</v>
      </c>
      <c r="B207" s="11">
        <f>SUMIF(Calculation!C:C,Data!A207,Calculation!H:H)</f>
        <v>9.1629593111545364E-4</v>
      </c>
    </row>
    <row r="208" spans="1:2" ht="16" x14ac:dyDescent="0.2">
      <c r="A208" s="3" t="s">
        <v>1955</v>
      </c>
      <c r="B208" s="11">
        <f>SUMIF(Calculation!C:C,Data!A208,Calculation!H:H)</f>
        <v>1.5082848753754379E-3</v>
      </c>
    </row>
    <row r="209" spans="1:2" ht="16" x14ac:dyDescent="0.2">
      <c r="A209" s="3" t="s">
        <v>1958</v>
      </c>
      <c r="B209" s="11">
        <f>SUMIF(Calculation!C:C,Data!A209,Calculation!H:H)</f>
        <v>3.6707274336388312E-4</v>
      </c>
    </row>
    <row r="210" spans="1:2" ht="16" x14ac:dyDescent="0.2">
      <c r="A210" s="3" t="s">
        <v>1961</v>
      </c>
      <c r="B210" s="11">
        <f>SUMIF(Calculation!C:C,Data!A210,Calculation!H:H)</f>
        <v>0</v>
      </c>
    </row>
    <row r="211" spans="1:2" ht="16" x14ac:dyDescent="0.2">
      <c r="A211" s="3" t="s">
        <v>1963</v>
      </c>
      <c r="B211" s="11">
        <f>SUMIF(Calculation!C:C,Data!A211,Calculation!H:H)</f>
        <v>8.2799256351011818E-4</v>
      </c>
    </row>
    <row r="212" spans="1:2" ht="16" x14ac:dyDescent="0.2">
      <c r="A212" s="3" t="s">
        <v>1966</v>
      </c>
      <c r="B212" s="11">
        <f>SUMIF(Calculation!C:C,Data!A212,Calculation!H:H)</f>
        <v>6.806882910922493E-4</v>
      </c>
    </row>
    <row r="213" spans="1:2" ht="16" x14ac:dyDescent="0.2">
      <c r="A213" s="3" t="s">
        <v>1968</v>
      </c>
      <c r="B213" s="11">
        <f>SUMIF(Calculation!C:C,Data!A213,Calculation!H:H)</f>
        <v>0</v>
      </c>
    </row>
    <row r="214" spans="1:2" ht="16" x14ac:dyDescent="0.2">
      <c r="A214" s="3" t="s">
        <v>1971</v>
      </c>
      <c r="B214" s="11">
        <f>SUMIF(Calculation!C:C,Data!A214,Calculation!H:H)</f>
        <v>0</v>
      </c>
    </row>
    <row r="215" spans="1:2" ht="16" x14ac:dyDescent="0.2">
      <c r="A215" s="3" t="s">
        <v>1974</v>
      </c>
      <c r="B215" s="11">
        <f>SUMIF(Calculation!C:C,Data!A215,Calculation!H:H)</f>
        <v>0</v>
      </c>
    </row>
    <row r="216" spans="1:2" ht="16" x14ac:dyDescent="0.2">
      <c r="A216" s="3" t="s">
        <v>1977</v>
      </c>
      <c r="B216" s="11">
        <f>SUMIF(Calculation!C:C,Data!A216,Calculation!H:H)</f>
        <v>0</v>
      </c>
    </row>
    <row r="217" spans="1:2" ht="16" x14ac:dyDescent="0.2">
      <c r="A217" s="3" t="s">
        <v>1980</v>
      </c>
      <c r="B217" s="11">
        <f>SUMIF(Calculation!C:C,Data!A217,Calculation!H:H)</f>
        <v>0</v>
      </c>
    </row>
    <row r="218" spans="1:2" ht="16" x14ac:dyDescent="0.2">
      <c r="A218" s="3" t="s">
        <v>1983</v>
      </c>
      <c r="B218" s="11">
        <f>SUMIF(Calculation!C:C,Data!A218,Calculation!H:H)</f>
        <v>0</v>
      </c>
    </row>
    <row r="219" spans="1:2" ht="16" x14ac:dyDescent="0.2">
      <c r="A219" s="3" t="s">
        <v>1986</v>
      </c>
      <c r="B219" s="11">
        <f>SUMIF(Calculation!C:C,Data!A219,Calculation!H:H)</f>
        <v>3.8512939611187996E-3</v>
      </c>
    </row>
    <row r="220" spans="1:2" ht="16" x14ac:dyDescent="0.2">
      <c r="A220" s="3" t="s">
        <v>1988</v>
      </c>
      <c r="B220" s="11">
        <f>SUMIF(Calculation!C:C,Data!A220,Calculation!H:H)</f>
        <v>5.7060606600577732E-4</v>
      </c>
    </row>
    <row r="221" spans="1:2" ht="16" x14ac:dyDescent="0.2">
      <c r="A221" s="3" t="s">
        <v>1991</v>
      </c>
      <c r="B221" s="11">
        <f>SUMIF(Calculation!C:C,Data!A221,Calculation!H:H)</f>
        <v>3.7455675075285552E-3</v>
      </c>
    </row>
    <row r="222" spans="1:2" ht="16" x14ac:dyDescent="0.2">
      <c r="A222" s="3" t="s">
        <v>1994</v>
      </c>
      <c r="B222" s="11">
        <f>SUMIF(Calculation!C:C,Data!A222,Calculation!H:H)</f>
        <v>0</v>
      </c>
    </row>
    <row r="223" spans="1:2" ht="16" x14ac:dyDescent="0.2">
      <c r="A223" s="3" t="s">
        <v>1997</v>
      </c>
      <c r="B223" s="11">
        <f>SUMIF(Calculation!C:C,Data!A223,Calculation!H:H)</f>
        <v>1.4477000536551852E-3</v>
      </c>
    </row>
    <row r="224" spans="1:2" ht="16" x14ac:dyDescent="0.2">
      <c r="A224" s="3" t="s">
        <v>2000</v>
      </c>
      <c r="B224" s="11">
        <f>SUMIF(Calculation!C:C,Data!A224,Calculation!H:H)</f>
        <v>0</v>
      </c>
    </row>
    <row r="225" spans="1:2" ht="16" x14ac:dyDescent="0.2">
      <c r="A225" s="3" t="s">
        <v>2003</v>
      </c>
      <c r="B225" s="11">
        <f>SUMIF(Calculation!C:C,Data!A225,Calculation!H:H)</f>
        <v>0</v>
      </c>
    </row>
    <row r="226" spans="1:2" ht="16" x14ac:dyDescent="0.2">
      <c r="A226" s="3" t="s">
        <v>2006</v>
      </c>
      <c r="B226" s="11">
        <f>SUMIF(Calculation!C:C,Data!A226,Calculation!H:H)</f>
        <v>0</v>
      </c>
    </row>
    <row r="227" spans="1:2" ht="16" x14ac:dyDescent="0.2">
      <c r="A227" s="3" t="s">
        <v>2009</v>
      </c>
      <c r="B227" s="11">
        <f>SUMIF(Calculation!C:C,Data!A227,Calculation!H:H)</f>
        <v>0</v>
      </c>
    </row>
    <row r="228" spans="1:2" ht="16" x14ac:dyDescent="0.2">
      <c r="A228" s="3" t="s">
        <v>2012</v>
      </c>
      <c r="B228" s="11">
        <f>SUMIF(Calculation!C:C,Data!A228,Calculation!H:H)</f>
        <v>2.0190980781148223E-3</v>
      </c>
    </row>
    <row r="229" spans="1:2" ht="16" x14ac:dyDescent="0.2">
      <c r="A229" s="3" t="s">
        <v>2014</v>
      </c>
      <c r="B229" s="11">
        <f>SUMIF(Calculation!C:C,Data!A229,Calculation!H:H)</f>
        <v>6.3950645149155473E-4</v>
      </c>
    </row>
    <row r="230" spans="1:2" ht="16" x14ac:dyDescent="0.2">
      <c r="A230" s="3" t="s">
        <v>2016</v>
      </c>
      <c r="B230" s="11">
        <f>SUMIF(Calculation!C:C,Data!A230,Calculation!H:H)</f>
        <v>3.4034414554612465E-3</v>
      </c>
    </row>
    <row r="231" spans="1:2" ht="16" x14ac:dyDescent="0.2">
      <c r="A231" s="3" t="s">
        <v>2018</v>
      </c>
      <c r="B231" s="11">
        <f>SUMIF(Calculation!C:C,Data!A231,Calculation!H:H)</f>
        <v>6.8939983408470402E-4</v>
      </c>
    </row>
    <row r="232" spans="1:2" ht="16" x14ac:dyDescent="0.2">
      <c r="A232" s="3" t="s">
        <v>2021</v>
      </c>
      <c r="B232" s="11">
        <f>SUMIF(Calculation!C:C,Data!A232,Calculation!H:H)</f>
        <v>4.3478519116887124E-4</v>
      </c>
    </row>
    <row r="233" spans="1:2" ht="16" x14ac:dyDescent="0.2">
      <c r="A233" s="3" t="s">
        <v>2024</v>
      </c>
      <c r="B233" s="11">
        <f>SUMIF(Calculation!C:C,Data!A233,Calculation!H:H)</f>
        <v>0</v>
      </c>
    </row>
    <row r="234" spans="1:2" ht="16" x14ac:dyDescent="0.2">
      <c r="A234" s="3" t="s">
        <v>2027</v>
      </c>
      <c r="B234" s="11">
        <f>SUMIF(Calculation!C:C,Data!A234,Calculation!H:H)</f>
        <v>0</v>
      </c>
    </row>
    <row r="235" spans="1:2" ht="16" x14ac:dyDescent="0.2">
      <c r="A235" s="3" t="s">
        <v>2030</v>
      </c>
      <c r="B235" s="11">
        <f>SUMIF(Calculation!C:C,Data!A235,Calculation!H:H)</f>
        <v>2.2281751099337329E-3</v>
      </c>
    </row>
    <row r="236" spans="1:2" ht="16" x14ac:dyDescent="0.2">
      <c r="A236" s="3" t="s">
        <v>2032</v>
      </c>
      <c r="B236" s="11">
        <f>SUMIF(Calculation!C:C,Data!A236,Calculation!H:H)</f>
        <v>6.0862007179103388E-4</v>
      </c>
    </row>
    <row r="237" spans="1:2" ht="16" x14ac:dyDescent="0.2">
      <c r="A237" s="3" t="s">
        <v>2034</v>
      </c>
      <c r="B237" s="11">
        <f>SUMIF(Calculation!C:C,Data!A237,Calculation!H:H)</f>
        <v>0</v>
      </c>
    </row>
    <row r="238" spans="1:2" ht="16" x14ac:dyDescent="0.2">
      <c r="A238" s="3" t="s">
        <v>2037</v>
      </c>
      <c r="B238" s="11">
        <f>SUMIF(Calculation!C:C,Data!A238,Calculation!H:H)</f>
        <v>5.6038980195098967E-3</v>
      </c>
    </row>
    <row r="239" spans="1:2" ht="16" x14ac:dyDescent="0.2">
      <c r="A239" s="3" t="s">
        <v>2040</v>
      </c>
      <c r="B239" s="11">
        <f>SUMIF(Calculation!C:C,Data!A239,Calculation!H:H)</f>
        <v>2.0717633152964794E-3</v>
      </c>
    </row>
    <row r="240" spans="1:2" ht="16" x14ac:dyDescent="0.2">
      <c r="A240" s="3" t="s">
        <v>2042</v>
      </c>
      <c r="B240" s="11">
        <f>SUMIF(Calculation!C:C,Data!A240,Calculation!H:H)</f>
        <v>0</v>
      </c>
    </row>
    <row r="241" spans="1:2" ht="16" x14ac:dyDescent="0.2">
      <c r="A241" s="3" t="s">
        <v>2045</v>
      </c>
      <c r="B241" s="11">
        <f>SUMIF(Calculation!C:C,Data!A241,Calculation!H:H)</f>
        <v>3.5507457278791156E-3</v>
      </c>
    </row>
    <row r="242" spans="1:2" ht="16" x14ac:dyDescent="0.2">
      <c r="A242" s="3" t="s">
        <v>2047</v>
      </c>
      <c r="B242" s="11">
        <f>SUMIF(Calculation!C:C,Data!A242,Calculation!H:H)</f>
        <v>6.3317078386067869E-4</v>
      </c>
    </row>
    <row r="243" spans="1:2" ht="16" x14ac:dyDescent="0.2">
      <c r="A243" s="3" t="s">
        <v>2050</v>
      </c>
      <c r="B243" s="11">
        <f>SUMIF(Calculation!C:C,Data!A243,Calculation!H:H)</f>
        <v>4.4979280386950897E-3</v>
      </c>
    </row>
    <row r="244" spans="1:2" ht="16" x14ac:dyDescent="0.2">
      <c r="A244" s="3" t="s">
        <v>2052</v>
      </c>
      <c r="B244" s="11">
        <f>SUMIF(Calculation!C:C,Data!A244,Calculation!H:H)</f>
        <v>6.1514184965856693E-2</v>
      </c>
    </row>
    <row r="245" spans="1:2" ht="16" x14ac:dyDescent="0.2">
      <c r="A245" s="3" t="s">
        <v>2054</v>
      </c>
      <c r="B245" s="11">
        <f>SUMIF(Calculation!C:C,Data!A245,Calculation!H:H)</f>
        <v>0</v>
      </c>
    </row>
    <row r="246" spans="1:2" ht="16" x14ac:dyDescent="0.2">
      <c r="A246" s="3" t="s">
        <v>2057</v>
      </c>
      <c r="B246" s="11">
        <f>SUMIF(Calculation!C:C,Data!A246,Calculation!H:H)</f>
        <v>0</v>
      </c>
    </row>
    <row r="247" spans="1:2" ht="16" x14ac:dyDescent="0.2">
      <c r="A247" s="3" t="s">
        <v>2060</v>
      </c>
      <c r="B247" s="11">
        <f>SUMIF(Calculation!C:C,Data!A247,Calculation!H:H)</f>
        <v>1.6021319521577898E-3</v>
      </c>
    </row>
    <row r="248" spans="1:2" ht="16" x14ac:dyDescent="0.2">
      <c r="A248" s="3" t="s">
        <v>2062</v>
      </c>
      <c r="B248" s="11">
        <f>SUMIF(Calculation!C:C,Data!A248,Calculation!H:H)</f>
        <v>0</v>
      </c>
    </row>
    <row r="249" spans="1:2" ht="16" x14ac:dyDescent="0.2">
      <c r="A249" s="3" t="s">
        <v>2065</v>
      </c>
      <c r="B249" s="11">
        <f>SUMIF(Calculation!C:C,Data!A249,Calculation!H:H)</f>
        <v>7.6447749551058555E-3</v>
      </c>
    </row>
    <row r="250" spans="1:2" ht="16" x14ac:dyDescent="0.2">
      <c r="A250" s="3" t="s">
        <v>2067</v>
      </c>
      <c r="B250" s="11">
        <f>SUMIF(Calculation!C:C,Data!A250,Calculation!H:H)</f>
        <v>0</v>
      </c>
    </row>
    <row r="251" spans="1:2" ht="16" x14ac:dyDescent="0.2">
      <c r="A251" s="3" t="s">
        <v>2070</v>
      </c>
      <c r="B251" s="11">
        <f>SUMIF(Calculation!C:C,Data!A251,Calculation!H:H)</f>
        <v>0</v>
      </c>
    </row>
    <row r="252" spans="1:2" ht="16" x14ac:dyDescent="0.2">
      <c r="A252" s="3" t="s">
        <v>2073</v>
      </c>
      <c r="B252" s="11">
        <f>SUMIF(Calculation!C:C,Data!A252,Calculation!H:H)</f>
        <v>0</v>
      </c>
    </row>
    <row r="253" spans="1:2" ht="16" x14ac:dyDescent="0.2">
      <c r="A253" s="3" t="s">
        <v>2076</v>
      </c>
      <c r="B253" s="11">
        <f>SUMIF(Calculation!C:C,Data!A253,Calculation!H:H)</f>
        <v>0</v>
      </c>
    </row>
    <row r="254" spans="1:2" ht="16" x14ac:dyDescent="0.2">
      <c r="A254" s="3" t="s">
        <v>2079</v>
      </c>
      <c r="B254" s="11">
        <f>SUMIF(Calculation!C:C,Data!A254,Calculation!H:H)</f>
        <v>3.9673158746092183E-3</v>
      </c>
    </row>
    <row r="255" spans="1:2" ht="16" x14ac:dyDescent="0.2">
      <c r="A255" s="3" t="s">
        <v>2082</v>
      </c>
      <c r="B255" s="11">
        <f>SUMIF(Calculation!C:C,Data!A255,Calculation!H:H)</f>
        <v>5.6189452301332271E-4</v>
      </c>
    </row>
    <row r="256" spans="1:2" ht="16" x14ac:dyDescent="0.2">
      <c r="A256" s="3" t="s">
        <v>2084</v>
      </c>
      <c r="B256" s="11">
        <f>SUMIF(Calculation!C:C,Data!A256,Calculation!H:H)</f>
        <v>0</v>
      </c>
    </row>
    <row r="257" spans="1:2" ht="16" x14ac:dyDescent="0.2">
      <c r="A257" s="3" t="s">
        <v>2087</v>
      </c>
      <c r="B257" s="11">
        <f>SUMIF(Calculation!C:C,Data!A257,Calculation!H:H)</f>
        <v>0</v>
      </c>
    </row>
    <row r="258" spans="1:2" ht="16" x14ac:dyDescent="0.2">
      <c r="A258" s="3" t="s">
        <v>2090</v>
      </c>
      <c r="B258" s="11">
        <f>SUMIF(Calculation!C:C,Data!A258,Calculation!H:H)</f>
        <v>9.9351188036675593E-4</v>
      </c>
    </row>
    <row r="259" spans="1:2" ht="16" x14ac:dyDescent="0.2">
      <c r="A259" s="3" t="s">
        <v>2092</v>
      </c>
      <c r="B259" s="11">
        <f>SUMIF(Calculation!C:C,Data!A259,Calculation!H:H)</f>
        <v>0</v>
      </c>
    </row>
    <row r="260" spans="1:2" ht="16" x14ac:dyDescent="0.2">
      <c r="A260" s="3" t="s">
        <v>2095</v>
      </c>
      <c r="B260" s="11">
        <f>SUMIF(Calculation!C:C,Data!A260,Calculation!H:H)</f>
        <v>0</v>
      </c>
    </row>
    <row r="261" spans="1:2" ht="16" x14ac:dyDescent="0.2">
      <c r="A261" s="3" t="s">
        <v>2098</v>
      </c>
      <c r="B261" s="11">
        <f>SUMIF(Calculation!C:C,Data!A261,Calculation!H:H)</f>
        <v>0</v>
      </c>
    </row>
    <row r="262" spans="1:2" ht="16" x14ac:dyDescent="0.2">
      <c r="A262" s="3" t="s">
        <v>2101</v>
      </c>
      <c r="B262" s="11">
        <f>SUMIF(Calculation!C:C,Data!A262,Calculation!H:H)</f>
        <v>0</v>
      </c>
    </row>
    <row r="263" spans="1:2" ht="16" x14ac:dyDescent="0.2">
      <c r="A263" s="3" t="s">
        <v>2104</v>
      </c>
      <c r="B263" s="11">
        <f>SUMIF(Calculation!C:C,Data!A263,Calculation!H:H)</f>
        <v>8.5967090166449869E-4</v>
      </c>
    </row>
    <row r="264" spans="1:2" ht="16" x14ac:dyDescent="0.2">
      <c r="A264" s="3" t="s">
        <v>2107</v>
      </c>
      <c r="B264" s="11">
        <f>SUMIF(Calculation!C:C,Data!A264,Calculation!H:H)</f>
        <v>0</v>
      </c>
    </row>
    <row r="265" spans="1:2" ht="16" x14ac:dyDescent="0.2">
      <c r="A265" s="3" t="s">
        <v>2110</v>
      </c>
      <c r="B265" s="11">
        <f>SUMIF(Calculation!C:C,Data!A265,Calculation!H:H)</f>
        <v>1.2433747725594316E-3</v>
      </c>
    </row>
    <row r="266" spans="1:2" ht="16" x14ac:dyDescent="0.2">
      <c r="A266" s="3" t="s">
        <v>2113</v>
      </c>
      <c r="B266" s="11">
        <f>SUMIF(Calculation!C:C,Data!A266,Calculation!H:H)</f>
        <v>0</v>
      </c>
    </row>
    <row r="267" spans="1:2" ht="16" x14ac:dyDescent="0.2">
      <c r="A267" s="3" t="s">
        <v>2116</v>
      </c>
      <c r="B267" s="11">
        <f>SUMIF(Calculation!C:C,Data!A267,Calculation!H:H)</f>
        <v>3.9593962900706225E-3</v>
      </c>
    </row>
    <row r="268" spans="1:2" ht="16" x14ac:dyDescent="0.2">
      <c r="A268" s="3" t="s">
        <v>2119</v>
      </c>
      <c r="B268" s="11">
        <f>SUMIF(Calculation!C:C,Data!A268,Calculation!H:H)</f>
        <v>1.9102037907091393E-3</v>
      </c>
    </row>
    <row r="269" spans="1:2" ht="16" x14ac:dyDescent="0.2">
      <c r="A269" s="3" t="s">
        <v>2122</v>
      </c>
      <c r="B269" s="11">
        <f>SUMIF(Calculation!C:C,Data!A269,Calculation!H:H)</f>
        <v>0</v>
      </c>
    </row>
    <row r="270" spans="1:2" ht="16" x14ac:dyDescent="0.2">
      <c r="A270" s="3" t="s">
        <v>2125</v>
      </c>
      <c r="B270" s="11">
        <f>SUMIF(Calculation!C:C,Data!A270,Calculation!H:H)</f>
        <v>0</v>
      </c>
    </row>
    <row r="271" spans="1:2" ht="16" x14ac:dyDescent="0.2">
      <c r="A271" s="3" t="s">
        <v>2128</v>
      </c>
      <c r="B271" s="11">
        <f>SUMIF(Calculation!C:C,Data!A271,Calculation!H:H)</f>
        <v>0</v>
      </c>
    </row>
    <row r="272" spans="1:2" ht="16" x14ac:dyDescent="0.2">
      <c r="A272" s="3" t="s">
        <v>2131</v>
      </c>
      <c r="B272" s="11">
        <f>SUMIF(Calculation!C:C,Data!A272,Calculation!H:H)</f>
        <v>2.5738649750434092E-3</v>
      </c>
    </row>
    <row r="273" spans="1:2" ht="16" x14ac:dyDescent="0.2">
      <c r="A273" s="3" t="s">
        <v>2134</v>
      </c>
      <c r="B273" s="11">
        <f>SUMIF(Calculation!C:C,Data!A273,Calculation!H:H)</f>
        <v>0</v>
      </c>
    </row>
    <row r="274" spans="1:2" ht="16" x14ac:dyDescent="0.2">
      <c r="A274" s="3" t="s">
        <v>2137</v>
      </c>
      <c r="B274" s="11">
        <f>SUMIF(Calculation!C:C,Data!A274,Calculation!H:H)</f>
        <v>1.6124274120579633E-3</v>
      </c>
    </row>
    <row r="275" spans="1:2" ht="16" x14ac:dyDescent="0.2">
      <c r="A275" s="3" t="s">
        <v>2139</v>
      </c>
      <c r="B275" s="11">
        <f>SUMIF(Calculation!C:C,Data!A275,Calculation!H:H)</f>
        <v>1.5815410323574426E-2</v>
      </c>
    </row>
    <row r="276" spans="1:2" ht="16" x14ac:dyDescent="0.2">
      <c r="A276" s="3" t="s">
        <v>2141</v>
      </c>
      <c r="B276" s="11">
        <f>SUMIF(Calculation!C:C,Data!A276,Calculation!H:H)</f>
        <v>0</v>
      </c>
    </row>
    <row r="277" spans="1:2" ht="16" x14ac:dyDescent="0.2">
      <c r="A277" s="3" t="s">
        <v>2144</v>
      </c>
      <c r="B277" s="11">
        <f>SUMIF(Calculation!C:C,Data!A277,Calculation!H:H)</f>
        <v>0</v>
      </c>
    </row>
    <row r="278" spans="1:2" ht="16" x14ac:dyDescent="0.2">
      <c r="A278" s="3" t="s">
        <v>2147</v>
      </c>
      <c r="B278" s="11">
        <f>SUMIF(Calculation!C:C,Data!A278,Calculation!H:H)</f>
        <v>0</v>
      </c>
    </row>
    <row r="279" spans="1:2" ht="16" x14ac:dyDescent="0.2">
      <c r="A279" s="3" t="s">
        <v>2150</v>
      </c>
      <c r="B279" s="11">
        <f>SUMIF(Calculation!C:C,Data!A279,Calculation!H:H)</f>
        <v>0</v>
      </c>
    </row>
    <row r="280" spans="1:2" ht="16" x14ac:dyDescent="0.2">
      <c r="A280" s="3" t="s">
        <v>2153</v>
      </c>
      <c r="B280" s="11">
        <f>SUMIF(Calculation!C:C,Data!A280,Calculation!H:H)</f>
        <v>1.7767587912338118E-3</v>
      </c>
    </row>
    <row r="281" spans="1:2" ht="16" x14ac:dyDescent="0.2">
      <c r="A281" s="3" t="s">
        <v>2155</v>
      </c>
      <c r="B281" s="11">
        <f>SUMIF(Calculation!C:C,Data!A281,Calculation!H:H)</f>
        <v>0</v>
      </c>
    </row>
    <row r="282" spans="1:2" ht="16" x14ac:dyDescent="0.2">
      <c r="A282" s="3" t="s">
        <v>2158</v>
      </c>
      <c r="B282" s="11">
        <f>SUMIF(Calculation!C:C,Data!A282,Calculation!H:H)</f>
        <v>0</v>
      </c>
    </row>
    <row r="283" spans="1:2" ht="16" x14ac:dyDescent="0.2">
      <c r="A283" s="3" t="s">
        <v>2161</v>
      </c>
      <c r="B283" s="11">
        <f>SUMIF(Calculation!C:C,Data!A283,Calculation!H:H)</f>
        <v>0.10434013031676359</v>
      </c>
    </row>
    <row r="284" spans="1:2" ht="16" x14ac:dyDescent="0.2">
      <c r="A284" s="3" t="s">
        <v>2163</v>
      </c>
      <c r="B284" s="11">
        <f>SUMIF(Calculation!C:C,Data!A284,Calculation!H:H)</f>
        <v>4.1938159924130381E-3</v>
      </c>
    </row>
    <row r="285" spans="1:2" ht="16" x14ac:dyDescent="0.2">
      <c r="A285" s="3" t="s">
        <v>2166</v>
      </c>
      <c r="B285" s="11">
        <f>SUMIF(Calculation!C:C,Data!A285,Calculation!H:H)</f>
        <v>0</v>
      </c>
    </row>
    <row r="286" spans="1:2" ht="16" x14ac:dyDescent="0.2">
      <c r="A286" s="3" t="s">
        <v>2169</v>
      </c>
      <c r="B286" s="11">
        <f>SUMIF(Calculation!C:C,Data!A286,Calculation!H:H)</f>
        <v>0</v>
      </c>
    </row>
    <row r="287" spans="1:2" ht="16" x14ac:dyDescent="0.2">
      <c r="A287" s="3" t="s">
        <v>2172</v>
      </c>
      <c r="B287" s="11">
        <f>SUMIF(Calculation!C:C,Data!A287,Calculation!H:H)</f>
        <v>0</v>
      </c>
    </row>
    <row r="288" spans="1:2" ht="16" x14ac:dyDescent="0.2">
      <c r="A288" s="3" t="s">
        <v>2175</v>
      </c>
      <c r="B288" s="11">
        <f>SUMIF(Calculation!C:C,Data!A288,Calculation!H:H)</f>
        <v>0</v>
      </c>
    </row>
    <row r="289" spans="1:2" ht="16" x14ac:dyDescent="0.2">
      <c r="A289" s="3" t="s">
        <v>2177</v>
      </c>
      <c r="B289" s="11">
        <f>SUMIF(Calculation!C:C,Data!A289,Calculation!H:H)</f>
        <v>2.8051168435703861E-3</v>
      </c>
    </row>
    <row r="290" spans="1:2" ht="16" x14ac:dyDescent="0.2">
      <c r="A290" s="3" t="s">
        <v>2179</v>
      </c>
      <c r="B290" s="11">
        <f>SUMIF(Calculation!C:C,Data!A290,Calculation!H:H)</f>
        <v>0</v>
      </c>
    </row>
    <row r="291" spans="1:2" ht="16" x14ac:dyDescent="0.2">
      <c r="A291" s="3" t="s">
        <v>2182</v>
      </c>
      <c r="B291" s="11">
        <f>SUMIF(Calculation!C:C,Data!A291,Calculation!H:H)</f>
        <v>0</v>
      </c>
    </row>
    <row r="292" spans="1:2" ht="16" x14ac:dyDescent="0.2">
      <c r="A292" s="3" t="s">
        <v>2185</v>
      </c>
      <c r="B292" s="11">
        <f>SUMIF(Calculation!C:C,Data!A292,Calculation!H:H)</f>
        <v>9.7331693979333842E-4</v>
      </c>
    </row>
    <row r="293" spans="1:2" ht="16" x14ac:dyDescent="0.2">
      <c r="A293" s="3" t="s">
        <v>2188</v>
      </c>
      <c r="B293" s="11">
        <f>SUMIF(Calculation!C:C,Data!A293,Calculation!H:H)</f>
        <v>1.7755708535530225E-3</v>
      </c>
    </row>
    <row r="294" spans="1:2" ht="16" x14ac:dyDescent="0.2">
      <c r="A294" s="3" t="s">
        <v>2190</v>
      </c>
      <c r="B294" s="11">
        <f>SUMIF(Calculation!C:C,Data!A294,Calculation!H:H)</f>
        <v>0</v>
      </c>
    </row>
    <row r="295" spans="1:2" ht="16" x14ac:dyDescent="0.2">
      <c r="A295" s="3" t="s">
        <v>2192</v>
      </c>
      <c r="B295" s="11">
        <f>SUMIF(Calculation!C:C,Data!A295,Calculation!H:H)</f>
        <v>2.8193720957398572E-4</v>
      </c>
    </row>
    <row r="296" spans="1:2" ht="16" x14ac:dyDescent="0.2">
      <c r="A296" s="3" t="s">
        <v>2195</v>
      </c>
      <c r="B296" s="11">
        <f>SUMIF(Calculation!C:C,Data!A296,Calculation!H:H)</f>
        <v>0</v>
      </c>
    </row>
    <row r="297" spans="1:2" ht="16" x14ac:dyDescent="0.2">
      <c r="A297" s="3" t="s">
        <v>2198</v>
      </c>
      <c r="B297" s="11">
        <f>SUMIF(Calculation!C:C,Data!A297,Calculation!H:H)</f>
        <v>0</v>
      </c>
    </row>
    <row r="298" spans="1:2" ht="16" x14ac:dyDescent="0.2">
      <c r="A298" s="3" t="s">
        <v>2201</v>
      </c>
      <c r="B298" s="11">
        <f>SUMIF(Calculation!C:C,Data!A298,Calculation!H:H)</f>
        <v>1.0925066870991948E-3</v>
      </c>
    </row>
    <row r="299" spans="1:2" ht="16" x14ac:dyDescent="0.2">
      <c r="A299" s="3" t="s">
        <v>2203</v>
      </c>
      <c r="B299" s="11">
        <f>SUMIF(Calculation!C:C,Data!A299,Calculation!H:H)</f>
        <v>0</v>
      </c>
    </row>
    <row r="300" spans="1:2" ht="16" x14ac:dyDescent="0.2">
      <c r="A300" s="3" t="s">
        <v>2205</v>
      </c>
      <c r="B300" s="11">
        <f>SUMIF(Calculation!C:C,Data!A300,Calculation!H:H)</f>
        <v>0</v>
      </c>
    </row>
    <row r="301" spans="1:2" ht="16" x14ac:dyDescent="0.2">
      <c r="A301" s="3" t="s">
        <v>2208</v>
      </c>
      <c r="B301" s="11">
        <f>SUMIF(Calculation!C:C,Data!A301,Calculation!H:H)</f>
        <v>1.1241850252535753E-3</v>
      </c>
    </row>
    <row r="302" spans="1:2" ht="16" x14ac:dyDescent="0.2">
      <c r="A302" s="3" t="s">
        <v>2210</v>
      </c>
      <c r="B302" s="11">
        <f>SUMIF(Calculation!C:C,Data!A302,Calculation!H:H)</f>
        <v>4.541881732884293E-4</v>
      </c>
    </row>
    <row r="303" spans="1:2" ht="16" x14ac:dyDescent="0.2">
      <c r="A303" s="3" t="s">
        <v>2213</v>
      </c>
      <c r="B303" s="11">
        <f>SUMIF(Calculation!C:C,Data!A303,Calculation!H:H)</f>
        <v>6.5296974520716647E-4</v>
      </c>
    </row>
    <row r="304" spans="1:2" ht="16" x14ac:dyDescent="0.2">
      <c r="A304" s="3" t="s">
        <v>2215</v>
      </c>
      <c r="B304" s="11">
        <f>SUMIF(Calculation!C:C,Data!A304,Calculation!H:H)</f>
        <v>4.5022838101913177E-4</v>
      </c>
    </row>
    <row r="305" spans="1:2" ht="16" x14ac:dyDescent="0.2">
      <c r="A305" s="3" t="s">
        <v>2218</v>
      </c>
      <c r="B305" s="11">
        <f>SUMIF(Calculation!C:C,Data!A305,Calculation!H:H)</f>
        <v>0</v>
      </c>
    </row>
    <row r="306" spans="1:2" ht="16" x14ac:dyDescent="0.2">
      <c r="A306" s="3" t="s">
        <v>2221</v>
      </c>
      <c r="B306" s="11">
        <f>SUMIF(Calculation!C:C,Data!A306,Calculation!H:H)</f>
        <v>0</v>
      </c>
    </row>
    <row r="307" spans="1:2" ht="16" x14ac:dyDescent="0.2">
      <c r="A307" s="3" t="s">
        <v>2224</v>
      </c>
      <c r="B307" s="11">
        <f>SUMIF(Calculation!C:C,Data!A307,Calculation!H:H)</f>
        <v>1.3233625763992422E-3</v>
      </c>
    </row>
    <row r="308" spans="1:2" ht="16" x14ac:dyDescent="0.2">
      <c r="A308" s="3" t="s">
        <v>2226</v>
      </c>
      <c r="B308" s="11">
        <f>SUMIF(Calculation!C:C,Data!A308,Calculation!H:H)</f>
        <v>0</v>
      </c>
    </row>
    <row r="309" spans="1:2" ht="16" x14ac:dyDescent="0.2">
      <c r="A309" s="3" t="s">
        <v>2229</v>
      </c>
      <c r="B309" s="11">
        <f>SUMIF(Calculation!C:C,Data!A309,Calculation!H:H)</f>
        <v>0</v>
      </c>
    </row>
    <row r="310" spans="1:2" ht="16" x14ac:dyDescent="0.2">
      <c r="A310" s="3" t="s">
        <v>2232</v>
      </c>
      <c r="B310" s="11">
        <f>SUMIF(Calculation!C:C,Data!A310,Calculation!H:H)</f>
        <v>0</v>
      </c>
    </row>
    <row r="311" spans="1:2" ht="16" x14ac:dyDescent="0.2">
      <c r="A311" s="3" t="s">
        <v>2235</v>
      </c>
      <c r="B311" s="11">
        <f>SUMIF(Calculation!C:C,Data!A311,Calculation!H:H)</f>
        <v>2.668108031052691E-3</v>
      </c>
    </row>
    <row r="312" spans="1:2" ht="16" x14ac:dyDescent="0.2">
      <c r="A312" s="3" t="s">
        <v>2237</v>
      </c>
      <c r="B312" s="11">
        <f>SUMIF(Calculation!C:C,Data!A312,Calculation!H:H)</f>
        <v>2.538622823846661E-3</v>
      </c>
    </row>
    <row r="313" spans="1:2" ht="16" x14ac:dyDescent="0.2">
      <c r="A313" s="3" t="s">
        <v>2240</v>
      </c>
      <c r="B313" s="11">
        <f>SUMIF(Calculation!C:C,Data!A313,Calculation!H:H)</f>
        <v>0</v>
      </c>
    </row>
    <row r="314" spans="1:2" ht="16" x14ac:dyDescent="0.2">
      <c r="A314" s="3" t="s">
        <v>2243</v>
      </c>
      <c r="B314" s="11">
        <f>SUMIF(Calculation!C:C,Data!A314,Calculation!H:H)</f>
        <v>0</v>
      </c>
    </row>
    <row r="315" spans="1:2" ht="16" x14ac:dyDescent="0.2">
      <c r="A315" s="3" t="s">
        <v>2246</v>
      </c>
      <c r="B315" s="11">
        <f>SUMIF(Calculation!C:C,Data!A315,Calculation!H:H)</f>
        <v>0</v>
      </c>
    </row>
    <row r="316" spans="1:2" ht="16" x14ac:dyDescent="0.2">
      <c r="A316" s="3" t="s">
        <v>2249</v>
      </c>
      <c r="B316" s="11">
        <f>SUMIF(Calculation!C:C,Data!A316,Calculation!H:H)</f>
        <v>0</v>
      </c>
    </row>
    <row r="317" spans="1:2" ht="16" x14ac:dyDescent="0.2">
      <c r="A317" s="3" t="s">
        <v>2251</v>
      </c>
      <c r="B317" s="11">
        <f>SUMIF(Calculation!C:C,Data!A317,Calculation!H:H)</f>
        <v>0</v>
      </c>
    </row>
    <row r="318" spans="1:2" ht="16" x14ac:dyDescent="0.2">
      <c r="A318" s="3" t="s">
        <v>2254</v>
      </c>
      <c r="B318" s="11">
        <f>SUMIF(Calculation!C:C,Data!A318,Calculation!H:H)</f>
        <v>0</v>
      </c>
    </row>
    <row r="319" spans="1:2" ht="16" x14ac:dyDescent="0.2">
      <c r="A319" s="3" t="s">
        <v>2257</v>
      </c>
      <c r="B319" s="11">
        <f>SUMIF(Calculation!C:C,Data!A319,Calculation!H:H)</f>
        <v>5.3655185248981834E-4</v>
      </c>
    </row>
    <row r="320" spans="1:2" ht="16" x14ac:dyDescent="0.2">
      <c r="A320" s="3" t="s">
        <v>2260</v>
      </c>
      <c r="B320" s="11">
        <f>SUMIF(Calculation!C:C,Data!A320,Calculation!H:H)</f>
        <v>4.2607364817641669E-4</v>
      </c>
    </row>
    <row r="321" spans="1:2" ht="16" x14ac:dyDescent="0.2">
      <c r="A321" s="3" t="s">
        <v>2262</v>
      </c>
      <c r="B321" s="11">
        <f>SUMIF(Calculation!C:C,Data!A321,Calculation!H:H)</f>
        <v>1.5403591927567479E-3</v>
      </c>
    </row>
    <row r="322" spans="1:2" ht="16" x14ac:dyDescent="0.2">
      <c r="A322" s="3" t="s">
        <v>2264</v>
      </c>
      <c r="B322" s="11">
        <f>SUMIF(Calculation!C:C,Data!A322,Calculation!H:H)</f>
        <v>0</v>
      </c>
    </row>
    <row r="323" spans="1:2" ht="16" x14ac:dyDescent="0.2">
      <c r="A323" s="3" t="s">
        <v>2267</v>
      </c>
      <c r="B323" s="11">
        <f>SUMIF(Calculation!C:C,Data!A323,Calculation!H:H)</f>
        <v>0</v>
      </c>
    </row>
    <row r="324" spans="1:2" ht="16" x14ac:dyDescent="0.2">
      <c r="A324" s="3" t="s">
        <v>2270</v>
      </c>
      <c r="B324" s="11">
        <f>SUMIF(Calculation!C:C,Data!A324,Calculation!H:H)</f>
        <v>1.5221441483179792E-3</v>
      </c>
    </row>
    <row r="325" spans="1:2" ht="16" x14ac:dyDescent="0.2">
      <c r="A325" s="3" t="s">
        <v>2272</v>
      </c>
      <c r="B325" s="11">
        <f>SUMIF(Calculation!C:C,Data!A325,Calculation!H:H)</f>
        <v>0</v>
      </c>
    </row>
    <row r="326" spans="1:2" ht="16" x14ac:dyDescent="0.2">
      <c r="A326" s="3" t="s">
        <v>2275</v>
      </c>
      <c r="B326" s="11">
        <f>SUMIF(Calculation!C:C,Data!A326,Calculation!H:H)</f>
        <v>5.2098986887147902E-3</v>
      </c>
    </row>
    <row r="327" spans="1:2" ht="16" x14ac:dyDescent="0.2">
      <c r="A327" s="3" t="s">
        <v>2277</v>
      </c>
      <c r="B327" s="11">
        <f>SUMIF(Calculation!C:C,Data!A327,Calculation!H:H)</f>
        <v>0</v>
      </c>
    </row>
    <row r="328" spans="1:2" ht="16" x14ac:dyDescent="0.2">
      <c r="A328" s="3" t="s">
        <v>2280</v>
      </c>
      <c r="B328" s="11">
        <f>SUMIF(Calculation!C:C,Data!A328,Calculation!H:H)</f>
        <v>0</v>
      </c>
    </row>
    <row r="329" spans="1:2" ht="16" x14ac:dyDescent="0.2">
      <c r="A329" s="3" t="s">
        <v>2283</v>
      </c>
      <c r="B329" s="11">
        <f>SUMIF(Calculation!C:C,Data!A329,Calculation!H:H)</f>
        <v>0</v>
      </c>
    </row>
    <row r="330" spans="1:2" ht="16" x14ac:dyDescent="0.2">
      <c r="A330" s="3" t="s">
        <v>2286</v>
      </c>
      <c r="B330" s="11">
        <f>SUMIF(Calculation!C:C,Data!A330,Calculation!H:H)</f>
        <v>1.533983927203179E-2</v>
      </c>
    </row>
    <row r="331" spans="1:2" ht="16" x14ac:dyDescent="0.2">
      <c r="A331" s="3" t="s">
        <v>2289</v>
      </c>
      <c r="B331" s="11">
        <f>SUMIF(Calculation!C:C,Data!A331,Calculation!H:H)</f>
        <v>1.2956440305141592E-3</v>
      </c>
    </row>
    <row r="332" spans="1:2" ht="16" x14ac:dyDescent="0.2">
      <c r="A332" s="3" t="s">
        <v>2291</v>
      </c>
      <c r="B332" s="11">
        <f>SUMIF(Calculation!C:C,Data!A332,Calculation!H:H)</f>
        <v>2.1683822466673397E-3</v>
      </c>
    </row>
    <row r="333" spans="1:2" ht="16" x14ac:dyDescent="0.2">
      <c r="A333" s="3" t="s">
        <v>2293</v>
      </c>
      <c r="B333" s="11">
        <f>SUMIF(Calculation!C:C,Data!A333,Calculation!H:H)</f>
        <v>0</v>
      </c>
    </row>
    <row r="334" spans="1:2" ht="16" x14ac:dyDescent="0.2">
      <c r="A334" s="3" t="s">
        <v>2296</v>
      </c>
      <c r="B334" s="11">
        <f>SUMIF(Calculation!C:C,Data!A334,Calculation!H:H)</f>
        <v>7.0603096161575367E-4</v>
      </c>
    </row>
    <row r="335" spans="1:2" ht="16" x14ac:dyDescent="0.2">
      <c r="A335" s="3" t="s">
        <v>2299</v>
      </c>
      <c r="B335" s="11">
        <f>SUMIF(Calculation!C:C,Data!A335,Calculation!H:H)</f>
        <v>1.441760365251239E-3</v>
      </c>
    </row>
    <row r="336" spans="1:2" ht="16" x14ac:dyDescent="0.2">
      <c r="A336" s="3" t="s">
        <v>2301</v>
      </c>
      <c r="B336" s="11">
        <f>SUMIF(Calculation!C:C,Data!A336,Calculation!H:H)</f>
        <v>2.5413946784351694E-3</v>
      </c>
    </row>
    <row r="337" spans="1:2" ht="16" x14ac:dyDescent="0.2">
      <c r="A337" s="3" t="s">
        <v>2303</v>
      </c>
      <c r="B337" s="11">
        <f>SUMIF(Calculation!C:C,Data!A337,Calculation!H:H)</f>
        <v>0</v>
      </c>
    </row>
    <row r="338" spans="1:2" ht="16" x14ac:dyDescent="0.2">
      <c r="A338" s="3" t="s">
        <v>2306</v>
      </c>
      <c r="B338" s="11">
        <f>SUMIF(Calculation!C:C,Data!A338,Calculation!H:H)</f>
        <v>1.1348764643806786E-3</v>
      </c>
    </row>
    <row r="339" spans="1:2" ht="16" x14ac:dyDescent="0.2">
      <c r="A339" s="3" t="s">
        <v>2309</v>
      </c>
      <c r="B339" s="11">
        <f>SUMIF(Calculation!C:C,Data!A339,Calculation!H:H)</f>
        <v>0</v>
      </c>
    </row>
    <row r="340" spans="1:2" ht="16" x14ac:dyDescent="0.2">
      <c r="A340" s="3" t="s">
        <v>2312</v>
      </c>
      <c r="B340" s="11">
        <f>SUMIF(Calculation!C:C,Data!A340,Calculation!H:H)</f>
        <v>4.2619244194449556E-3</v>
      </c>
    </row>
    <row r="341" spans="1:2" ht="16" x14ac:dyDescent="0.2">
      <c r="A341" s="3" t="s">
        <v>2314</v>
      </c>
      <c r="B341" s="11">
        <f>SUMIF(Calculation!C:C,Data!A341,Calculation!H:H)</f>
        <v>0</v>
      </c>
    </row>
    <row r="342" spans="1:2" ht="16" x14ac:dyDescent="0.2">
      <c r="A342" s="3" t="s">
        <v>2317</v>
      </c>
      <c r="B342" s="11">
        <f>SUMIF(Calculation!C:C,Data!A342,Calculation!H:H)</f>
        <v>1.7137980941519808E-3</v>
      </c>
    </row>
    <row r="343" spans="1:2" ht="16" x14ac:dyDescent="0.2">
      <c r="A343" s="3" t="s">
        <v>2319</v>
      </c>
      <c r="B343" s="11">
        <f>SUMIF(Calculation!C:C,Data!A343,Calculation!H:H)</f>
        <v>1.7017603256533162E-2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D0BC6-F949-5944-A5C6-0DDFAEADBE34}">
  <sheetPr>
    <tabColor theme="9" tint="0.39997558519241921"/>
  </sheetPr>
  <dimension ref="A1:J399"/>
  <sheetViews>
    <sheetView topLeftCell="A312" workbookViewId="0">
      <selection activeCell="D353" sqref="D353"/>
    </sheetView>
  </sheetViews>
  <sheetFormatPr baseColWidth="10" defaultRowHeight="15" x14ac:dyDescent="0.2"/>
  <cols>
    <col min="1" max="1" width="21.1640625" bestFit="1" customWidth="1"/>
    <col min="2" max="2" width="20" bestFit="1" customWidth="1"/>
    <col min="3" max="3" width="16.33203125" bestFit="1" customWidth="1"/>
    <col min="4" max="4" width="16.5" bestFit="1" customWidth="1"/>
    <col min="5" max="5" width="18.1640625" customWidth="1"/>
    <col min="8" max="8" width="14.5" bestFit="1" customWidth="1"/>
  </cols>
  <sheetData>
    <row r="1" spans="1:10" x14ac:dyDescent="0.2">
      <c r="A1" s="4" t="str">
        <f>Source_NS_Dashboard!B1</f>
        <v>Plaats</v>
      </c>
      <c r="B1" s="4" t="s">
        <v>2322</v>
      </c>
      <c r="C1" s="8" t="s">
        <v>1376</v>
      </c>
      <c r="D1" s="4" t="str">
        <f>Source_NS_Dashboard!I1</f>
        <v>Reizigers per dag</v>
      </c>
      <c r="E1" s="12" t="s">
        <v>2324</v>
      </c>
      <c r="F1" s="12"/>
      <c r="G1" s="12"/>
      <c r="H1" s="4" t="s">
        <v>2323</v>
      </c>
    </row>
    <row r="2" spans="1:10" x14ac:dyDescent="0.2">
      <c r="A2" t="str">
        <f>Source_NS_Dashboard!B2</f>
        <v>Aalten</v>
      </c>
      <c r="B2" t="s">
        <v>9</v>
      </c>
      <c r="C2" t="str">
        <f>INDEX(Source_GM_code_CBS!B:B,MATCH(Calculation!B2,Source_GM_code_CBS!C:C,0))</f>
        <v>GM0197</v>
      </c>
      <c r="D2" t="str">
        <f>Source_NS_Dashboard!I2</f>
        <v>1.531 (2008)</v>
      </c>
      <c r="E2" t="str">
        <f>IFERROR(LEFT(D2,FIND(" ",D2,1)-1),"0")</f>
        <v>1.531</v>
      </c>
      <c r="F2" s="9" t="str">
        <f>SUBSTITUTE(E2,".","")</f>
        <v>1531</v>
      </c>
      <c r="G2">
        <f>VALUE(F2)</f>
        <v>1531</v>
      </c>
      <c r="H2">
        <f>G2/(SUM($G$2:$G$399))</f>
        <v>6.0624419642945531E-4</v>
      </c>
      <c r="J2">
        <f>SUM(H2:H399)</f>
        <v>1.0000000000000002</v>
      </c>
    </row>
    <row r="3" spans="1:10" x14ac:dyDescent="0.2">
      <c r="A3" t="str">
        <f>Source_NS_Dashboard!B3</f>
        <v>Abcoude</v>
      </c>
      <c r="B3" t="s">
        <v>2048</v>
      </c>
      <c r="C3" t="str">
        <f>INDEX(Source_GM_code_CBS!B:B,MATCH(Calculation!B3,Source_GM_code_CBS!C:C,0))</f>
        <v>GM0736</v>
      </c>
      <c r="D3" t="str">
        <f>Source_NS_Dashboard!I3</f>
        <v>1.599 (2022)</v>
      </c>
      <c r="E3" t="str">
        <f t="shared" ref="E3:E66" si="0">IFERROR(LEFT(D3,FIND(" ",D3,1)-1),"0")</f>
        <v>1.599</v>
      </c>
      <c r="F3" s="9" t="str">
        <f t="shared" ref="F3:F66" si="1">SUBSTITUTE(E3,".","")</f>
        <v>1599</v>
      </c>
      <c r="G3">
        <f t="shared" ref="G3:G66" si="2">VALUE(F3)</f>
        <v>1599</v>
      </c>
      <c r="H3">
        <f>G3/(SUM($G$2:$G$399))</f>
        <v>6.3317078386067869E-4</v>
      </c>
    </row>
    <row r="4" spans="1:10" x14ac:dyDescent="0.2">
      <c r="A4" t="str">
        <f>Source_NS_Dashboard!B4</f>
        <v>Akkrum</v>
      </c>
      <c r="B4" t="s">
        <v>629</v>
      </c>
      <c r="C4" t="str">
        <f>INDEX(Source_GM_code_CBS!B:B,MATCH(Calculation!B4,Source_GM_code_CBS!C:C,0))</f>
        <v>GM0074</v>
      </c>
      <c r="D4" t="str">
        <f>Source_NS_Dashboard!I4</f>
        <v>725 (2023)</v>
      </c>
      <c r="E4" t="str">
        <f t="shared" si="0"/>
        <v>725</v>
      </c>
      <c r="F4" s="9" t="str">
        <f t="shared" si="1"/>
        <v>725</v>
      </c>
      <c r="G4">
        <f t="shared" si="2"/>
        <v>725</v>
      </c>
      <c r="H4">
        <f>G4/(SUM($G$2:$G$399))</f>
        <v>2.8708493952407259E-4</v>
      </c>
    </row>
    <row r="5" spans="1:10" x14ac:dyDescent="0.2">
      <c r="A5" t="str">
        <f>Source_NS_Dashboard!B5</f>
        <v>Alkmaar</v>
      </c>
      <c r="B5" t="s">
        <v>23</v>
      </c>
      <c r="C5" t="str">
        <f>INDEX(Source_GM_code_CBS!B:B,MATCH(Calculation!B5,Source_GM_code_CBS!C:C,0))</f>
        <v>GM0361</v>
      </c>
      <c r="D5" t="str">
        <f>Source_NS_Dashboard!I5</f>
        <v>15.272 (2024)</v>
      </c>
      <c r="E5" t="str">
        <f t="shared" si="0"/>
        <v>15.272</v>
      </c>
      <c r="F5" s="9" t="str">
        <f t="shared" si="1"/>
        <v>15272</v>
      </c>
      <c r="G5">
        <f t="shared" si="2"/>
        <v>15272</v>
      </c>
      <c r="H5">
        <f t="shared" ref="H5:H66" si="3">G5/(SUM($G$2:$G$399))</f>
        <v>6.047394753671222E-3</v>
      </c>
    </row>
    <row r="6" spans="1:10" x14ac:dyDescent="0.2">
      <c r="A6" t="str">
        <f>Source_NS_Dashboard!B6</f>
        <v>Alkmaar</v>
      </c>
      <c r="B6" t="s">
        <v>23</v>
      </c>
      <c r="C6" t="str">
        <f>INDEX(Source_GM_code_CBS!B:B,MATCH(Calculation!B6,Source_GM_code_CBS!C:C,0))</f>
        <v>GM0361</v>
      </c>
      <c r="D6" t="str">
        <f>Source_NS_Dashboard!I6</f>
        <v>3.526 (2023)</v>
      </c>
      <c r="E6" t="str">
        <f t="shared" si="0"/>
        <v>3.526</v>
      </c>
      <c r="F6" s="9" t="str">
        <f t="shared" si="1"/>
        <v>3526</v>
      </c>
      <c r="G6">
        <f t="shared" si="2"/>
        <v>3526</v>
      </c>
      <c r="H6">
        <f t="shared" si="3"/>
        <v>1.396222754154317E-3</v>
      </c>
    </row>
    <row r="7" spans="1:10" x14ac:dyDescent="0.2">
      <c r="A7" t="str">
        <f>Source_NS_Dashboard!B7</f>
        <v>Almelo</v>
      </c>
      <c r="B7" t="s">
        <v>30</v>
      </c>
      <c r="C7" t="str">
        <f>INDEX(Source_GM_code_CBS!B:B,MATCH(Calculation!B7,Source_GM_code_CBS!C:C,0))</f>
        <v>GM0141</v>
      </c>
      <c r="D7" t="str">
        <f>Source_NS_Dashboard!I7</f>
        <v>6.544 (2024) (NS)</v>
      </c>
      <c r="E7" t="str">
        <f t="shared" si="0"/>
        <v>6.544</v>
      </c>
      <c r="F7" s="9" t="str">
        <f t="shared" si="1"/>
        <v>6544</v>
      </c>
      <c r="G7">
        <f t="shared" si="2"/>
        <v>6544</v>
      </c>
      <c r="H7">
        <f t="shared" si="3"/>
        <v>2.5912880610283184E-3</v>
      </c>
    </row>
    <row r="8" spans="1:10" x14ac:dyDescent="0.2">
      <c r="A8" t="str">
        <f>Source_NS_Dashboard!B8</f>
        <v>Almelo</v>
      </c>
      <c r="B8" t="s">
        <v>30</v>
      </c>
      <c r="C8" t="str">
        <f>INDEX(Source_GM_code_CBS!B:B,MATCH(Calculation!B8,Source_GM_code_CBS!C:C,0))</f>
        <v>GM0141</v>
      </c>
      <c r="D8" t="str">
        <f>Source_NS_Dashboard!I8</f>
        <v>182 (2023) (NS)</v>
      </c>
      <c r="E8" t="str">
        <f t="shared" si="0"/>
        <v>182</v>
      </c>
      <c r="F8" s="9" t="str">
        <f t="shared" si="1"/>
        <v>182</v>
      </c>
      <c r="G8">
        <f t="shared" si="2"/>
        <v>182</v>
      </c>
      <c r="H8">
        <f t="shared" si="3"/>
        <v>7.2068219301215454E-5</v>
      </c>
    </row>
    <row r="9" spans="1:10" x14ac:dyDescent="0.2">
      <c r="A9" t="str">
        <f>Source_NS_Dashboard!B9</f>
        <v>Almere Buiten</v>
      </c>
      <c r="B9" t="s">
        <v>1422</v>
      </c>
      <c r="C9" t="str">
        <f>INDEX(Source_GM_code_CBS!B:B,MATCH(Calculation!B9,Source_GM_code_CBS!C:C,0))</f>
        <v>GM0034</v>
      </c>
      <c r="D9" t="str">
        <f>Source_NS_Dashboard!I9</f>
        <v>4.679 (2024)</v>
      </c>
      <c r="E9" t="str">
        <f t="shared" si="0"/>
        <v>4.679</v>
      </c>
      <c r="F9" s="9" t="str">
        <f t="shared" si="1"/>
        <v>4679</v>
      </c>
      <c r="G9">
        <f t="shared" si="2"/>
        <v>4679</v>
      </c>
      <c r="H9">
        <f t="shared" si="3"/>
        <v>1.8527868028043249E-3</v>
      </c>
    </row>
    <row r="10" spans="1:10" x14ac:dyDescent="0.2">
      <c r="A10" t="str">
        <f>Source_NS_Dashboard!B10</f>
        <v>Almere Stad</v>
      </c>
      <c r="B10" t="s">
        <v>1422</v>
      </c>
      <c r="C10" t="str">
        <f>INDEX(Source_GM_code_CBS!B:B,MATCH(Calculation!B10,Source_GM_code_CBS!C:C,0))</f>
        <v>GM0034</v>
      </c>
      <c r="D10" t="str">
        <f>Source_NS_Dashboard!I10</f>
        <v>26.979 (2024) (NS)</v>
      </c>
      <c r="E10" t="str">
        <f t="shared" si="0"/>
        <v>26.979</v>
      </c>
      <c r="F10" s="9" t="str">
        <f t="shared" si="1"/>
        <v>26979</v>
      </c>
      <c r="G10">
        <f t="shared" si="2"/>
        <v>26979</v>
      </c>
      <c r="H10">
        <f t="shared" si="3"/>
        <v>1.0683123563337867E-2</v>
      </c>
    </row>
    <row r="11" spans="1:10" x14ac:dyDescent="0.2">
      <c r="A11" t="str">
        <f>Source_NS_Dashboard!B11</f>
        <v>Almere Stad</v>
      </c>
      <c r="B11" t="s">
        <v>1422</v>
      </c>
      <c r="C11" t="str">
        <f>INDEX(Source_GM_code_CBS!B:B,MATCH(Calculation!B11,Source_GM_code_CBS!C:C,0))</f>
        <v>GM0034</v>
      </c>
      <c r="D11" t="str">
        <f>Source_NS_Dashboard!I11</f>
        <v>4.585 (2023)</v>
      </c>
      <c r="E11" t="str">
        <f t="shared" si="0"/>
        <v>4.585</v>
      </c>
      <c r="F11" s="9" t="str">
        <f t="shared" si="1"/>
        <v>4585</v>
      </c>
      <c r="G11">
        <f t="shared" si="2"/>
        <v>4585</v>
      </c>
      <c r="H11">
        <f t="shared" si="3"/>
        <v>1.8155647554729279E-3</v>
      </c>
    </row>
    <row r="12" spans="1:10" x14ac:dyDescent="0.2">
      <c r="A12" t="str">
        <f>Source_NS_Dashboard!B12</f>
        <v>Almere Buiten</v>
      </c>
      <c r="B12" t="s">
        <v>1422</v>
      </c>
      <c r="C12" t="str">
        <f>INDEX(Source_GM_code_CBS!B:B,MATCH(Calculation!B12,Source_GM_code_CBS!C:C,0))</f>
        <v>GM0034</v>
      </c>
      <c r="D12" t="str">
        <f>Source_NS_Dashboard!I12</f>
        <v>3.849 (2023)</v>
      </c>
      <c r="E12" t="str">
        <f t="shared" si="0"/>
        <v>3.849</v>
      </c>
      <c r="F12" s="9" t="str">
        <f t="shared" si="1"/>
        <v>3849</v>
      </c>
      <c r="G12">
        <f t="shared" si="2"/>
        <v>3849</v>
      </c>
      <c r="H12">
        <f t="shared" si="3"/>
        <v>1.524124044452628E-3</v>
      </c>
    </row>
    <row r="13" spans="1:10" x14ac:dyDescent="0.2">
      <c r="A13" t="str">
        <f>Source_NS_Dashboard!B13</f>
        <v>Almere Stad</v>
      </c>
      <c r="B13" t="s">
        <v>1422</v>
      </c>
      <c r="C13" t="str">
        <f>INDEX(Source_GM_code_CBS!B:B,MATCH(Calculation!B13,Source_GM_code_CBS!C:C,0))</f>
        <v>GM0034</v>
      </c>
      <c r="D13" t="str">
        <f>Source_NS_Dashboard!I13</f>
        <v>2.208 (2023)</v>
      </c>
      <c r="E13" t="str">
        <f t="shared" si="0"/>
        <v>2.208</v>
      </c>
      <c r="F13" s="9" t="str">
        <f t="shared" si="1"/>
        <v>2208</v>
      </c>
      <c r="G13">
        <f t="shared" si="2"/>
        <v>2208</v>
      </c>
      <c r="H13">
        <f t="shared" si="3"/>
        <v>8.7432213306089961E-4</v>
      </c>
    </row>
    <row r="14" spans="1:10" x14ac:dyDescent="0.2">
      <c r="A14" t="str">
        <f>Source_NS_Dashboard!B14</f>
        <v>Almere Poort</v>
      </c>
      <c r="B14" t="s">
        <v>1422</v>
      </c>
      <c r="C14" t="str">
        <f>INDEX(Source_GM_code_CBS!B:B,MATCH(Calculation!B14,Source_GM_code_CBS!C:C,0))</f>
        <v>GM0034</v>
      </c>
      <c r="D14" t="str">
        <f>Source_NS_Dashboard!I14</f>
        <v>5.818 (2023)</v>
      </c>
      <c r="E14" t="str">
        <f t="shared" si="0"/>
        <v>5.818</v>
      </c>
      <c r="F14" s="9" t="str">
        <f t="shared" si="1"/>
        <v>5818</v>
      </c>
      <c r="G14">
        <f t="shared" si="2"/>
        <v>5818</v>
      </c>
      <c r="H14">
        <f t="shared" si="3"/>
        <v>2.303807142277316E-3</v>
      </c>
    </row>
    <row r="15" spans="1:10" x14ac:dyDescent="0.2">
      <c r="A15" t="str">
        <f>Source_NS_Dashboard!B15</f>
        <v>Alphen aan den Rijn</v>
      </c>
      <c r="B15" t="s">
        <v>62</v>
      </c>
      <c r="C15" t="str">
        <f>INDEX(Source_GM_code_CBS!B:B,MATCH(Calculation!B15,Source_GM_code_CBS!C:C,0))</f>
        <v>GM0484</v>
      </c>
      <c r="D15" t="str">
        <f>Source_NS_Dashboard!I15</f>
        <v>10.606 (2022)</v>
      </c>
      <c r="E15" t="str">
        <f t="shared" si="0"/>
        <v>10.606</v>
      </c>
      <c r="F15" s="9" t="str">
        <f t="shared" si="1"/>
        <v>10606</v>
      </c>
      <c r="G15">
        <f t="shared" si="2"/>
        <v>10606</v>
      </c>
      <c r="H15">
        <f t="shared" si="3"/>
        <v>4.1997556808169847E-3</v>
      </c>
    </row>
    <row r="16" spans="1:10" x14ac:dyDescent="0.2">
      <c r="A16" t="str">
        <f>Source_NS_Dashboard!B16</f>
        <v>Amersfoort</v>
      </c>
      <c r="B16" t="s">
        <v>67</v>
      </c>
      <c r="C16" t="str">
        <f>INDEX(Source_GM_code_CBS!B:B,MATCH(Calculation!B16,Source_GM_code_CBS!C:C,0))</f>
        <v>GM0307</v>
      </c>
      <c r="D16" t="str">
        <f>Source_NS_Dashboard!I16</f>
        <v>43.123 (2024) (NS)</v>
      </c>
      <c r="E16" t="str">
        <f t="shared" si="0"/>
        <v>43.123</v>
      </c>
      <c r="F16" s="9" t="str">
        <f t="shared" si="1"/>
        <v>43123</v>
      </c>
      <c r="G16">
        <f t="shared" si="2"/>
        <v>43123</v>
      </c>
      <c r="H16">
        <f t="shared" si="3"/>
        <v>1.7075812202891838E-2</v>
      </c>
    </row>
    <row r="17" spans="1:8" x14ac:dyDescent="0.2">
      <c r="A17" t="str">
        <f>Source_NS_Dashboard!B17</f>
        <v>Amersfoort</v>
      </c>
      <c r="B17" t="s">
        <v>67</v>
      </c>
      <c r="C17" t="str">
        <f>INDEX(Source_GM_code_CBS!B:B,MATCH(Calculation!B17,Source_GM_code_CBS!C:C,0))</f>
        <v>GM0307</v>
      </c>
      <c r="D17" t="str">
        <f>Source_NS_Dashboard!I17</f>
        <v>5.527 (2023)</v>
      </c>
      <c r="E17" t="str">
        <f t="shared" si="0"/>
        <v>5.527</v>
      </c>
      <c r="F17" s="9" t="str">
        <f t="shared" si="1"/>
        <v>5527</v>
      </c>
      <c r="G17">
        <f t="shared" si="2"/>
        <v>5527</v>
      </c>
      <c r="H17">
        <f t="shared" si="3"/>
        <v>2.1885771872407573E-3</v>
      </c>
    </row>
    <row r="18" spans="1:8" x14ac:dyDescent="0.2">
      <c r="A18" t="str">
        <f>Source_NS_Dashboard!B18</f>
        <v>Hooglanderveen</v>
      </c>
      <c r="B18" t="s">
        <v>67</v>
      </c>
      <c r="C18" t="str">
        <f>INDEX(Source_GM_code_CBS!B:B,MATCH(Calculation!B18,Source_GM_code_CBS!C:C,0))</f>
        <v>GM0307</v>
      </c>
      <c r="D18" t="str">
        <f>Source_NS_Dashboard!I18</f>
        <v>3.286 (2023)</v>
      </c>
      <c r="E18" t="str">
        <f t="shared" si="0"/>
        <v>3.286</v>
      </c>
      <c r="F18" s="9" t="str">
        <f t="shared" si="1"/>
        <v>3286</v>
      </c>
      <c r="G18">
        <f t="shared" si="2"/>
        <v>3286</v>
      </c>
      <c r="H18">
        <f t="shared" si="3"/>
        <v>1.3011877396911758E-3</v>
      </c>
    </row>
    <row r="19" spans="1:8" x14ac:dyDescent="0.2">
      <c r="A19" t="str">
        <f>Source_NS_Dashboard!B19</f>
        <v>Amsterdam</v>
      </c>
      <c r="B19" t="s">
        <v>81</v>
      </c>
      <c r="C19" t="str">
        <f>INDEX(Source_GM_code_CBS!B:B,MATCH(Calculation!B19,Source_GM_code_CBS!C:C,0))</f>
        <v>GM0363</v>
      </c>
      <c r="D19" t="str">
        <f>Source_NS_Dashboard!I19</f>
        <v>26.593 (2024)</v>
      </c>
      <c r="E19" t="str">
        <f t="shared" si="0"/>
        <v>26.593</v>
      </c>
      <c r="F19" s="9" t="str">
        <f t="shared" si="1"/>
        <v>26593</v>
      </c>
      <c r="G19">
        <f t="shared" si="2"/>
        <v>26593</v>
      </c>
      <c r="H19">
        <f t="shared" si="3"/>
        <v>1.0530275581742982E-2</v>
      </c>
    </row>
    <row r="20" spans="1:8" x14ac:dyDescent="0.2">
      <c r="A20" t="str">
        <f>Source_NS_Dashboard!B20</f>
        <v>Amsterdam</v>
      </c>
      <c r="B20" t="s">
        <v>81</v>
      </c>
      <c r="C20" t="str">
        <f>INDEX(Source_GM_code_CBS!B:B,MATCH(Calculation!B20,Source_GM_code_CBS!C:C,0))</f>
        <v>GM0363</v>
      </c>
      <c r="D20" t="str">
        <f>Source_NS_Dashboard!I20</f>
        <v>-</v>
      </c>
      <c r="E20" t="str">
        <f t="shared" si="0"/>
        <v>0</v>
      </c>
      <c r="F20" s="9" t="str">
        <f t="shared" si="1"/>
        <v>0</v>
      </c>
      <c r="G20">
        <f t="shared" si="2"/>
        <v>0</v>
      </c>
      <c r="H20">
        <f t="shared" si="3"/>
        <v>0</v>
      </c>
    </row>
    <row r="21" spans="1:8" x14ac:dyDescent="0.2">
      <c r="A21" t="str">
        <f>Source_NS_Dashboard!B21</f>
        <v>Amsterdam</v>
      </c>
      <c r="B21" t="s">
        <v>81</v>
      </c>
      <c r="C21" t="str">
        <f>INDEX(Source_GM_code_CBS!B:B,MATCH(Calculation!B21,Source_GM_code_CBS!C:C,0))</f>
        <v>GM0363</v>
      </c>
      <c r="D21" t="str">
        <f>Source_NS_Dashboard!I21</f>
        <v>25.873 (2024)</v>
      </c>
      <c r="E21" t="str">
        <f t="shared" si="0"/>
        <v>25.873</v>
      </c>
      <c r="F21" s="9" t="str">
        <f t="shared" si="1"/>
        <v>25873</v>
      </c>
      <c r="G21">
        <f t="shared" si="2"/>
        <v>25873</v>
      </c>
      <c r="H21">
        <f t="shared" si="3"/>
        <v>1.0245170538353558E-2</v>
      </c>
    </row>
    <row r="22" spans="1:8" x14ac:dyDescent="0.2">
      <c r="A22" t="str">
        <f>Source_NS_Dashboard!B22</f>
        <v>Amsterdam</v>
      </c>
      <c r="B22" t="s">
        <v>81</v>
      </c>
      <c r="C22" t="str">
        <f>INDEX(Source_GM_code_CBS!B:B,MATCH(Calculation!B22,Source_GM_code_CBS!C:C,0))</f>
        <v>GM0363</v>
      </c>
      <c r="D22" t="str">
        <f>Source_NS_Dashboard!I22</f>
        <v>171.272 (2024)</v>
      </c>
      <c r="E22" t="str">
        <f t="shared" si="0"/>
        <v>171.272</v>
      </c>
      <c r="F22" s="9" t="str">
        <f t="shared" si="1"/>
        <v>171272</v>
      </c>
      <c r="G22">
        <f t="shared" si="2"/>
        <v>171272</v>
      </c>
      <c r="H22">
        <f t="shared" si="3"/>
        <v>6.7820154154713042E-2</v>
      </c>
    </row>
    <row r="23" spans="1:8" x14ac:dyDescent="0.2">
      <c r="A23" t="str">
        <f>Source_NS_Dashboard!B23</f>
        <v>Amsterdam</v>
      </c>
      <c r="B23" t="s">
        <v>81</v>
      </c>
      <c r="C23" t="str">
        <f>INDEX(Source_GM_code_CBS!B:B,MATCH(Calculation!B23,Source_GM_code_CBS!C:C,0))</f>
        <v>GM0363</v>
      </c>
      <c r="D23" t="str">
        <f>Source_NS_Dashboard!I23</f>
        <v>4.496 (2023)</v>
      </c>
      <c r="E23" t="str">
        <f t="shared" si="0"/>
        <v>4.496</v>
      </c>
      <c r="F23" s="9" t="str">
        <f t="shared" si="1"/>
        <v>4496</v>
      </c>
      <c r="G23">
        <f t="shared" si="2"/>
        <v>4496</v>
      </c>
      <c r="H23">
        <f t="shared" si="3"/>
        <v>1.7803226042761796E-3</v>
      </c>
    </row>
    <row r="24" spans="1:8" x14ac:dyDescent="0.2">
      <c r="A24" t="str">
        <f>Source_NS_Dashboard!B24</f>
        <v>Amsterdam</v>
      </c>
      <c r="B24" t="s">
        <v>81</v>
      </c>
      <c r="C24" t="str">
        <f>INDEX(Source_GM_code_CBS!B:B,MATCH(Calculation!B24,Source_GM_code_CBS!C:C,0))</f>
        <v>GM0363</v>
      </c>
      <c r="D24" t="str">
        <f>Source_NS_Dashboard!I24</f>
        <v>11.290 (2024)</v>
      </c>
      <c r="E24" t="str">
        <f t="shared" si="0"/>
        <v>11.290</v>
      </c>
      <c r="F24" s="9" t="str">
        <f t="shared" si="1"/>
        <v>11290</v>
      </c>
      <c r="G24">
        <f t="shared" si="2"/>
        <v>11290</v>
      </c>
      <c r="H24">
        <f t="shared" si="3"/>
        <v>4.4706054720369372E-3</v>
      </c>
    </row>
    <row r="25" spans="1:8" x14ac:dyDescent="0.2">
      <c r="A25" t="str">
        <f>Source_NS_Dashboard!B25</f>
        <v>Amsterdam</v>
      </c>
      <c r="B25" t="s">
        <v>81</v>
      </c>
      <c r="C25" t="str">
        <f>INDEX(Source_GM_code_CBS!B:B,MATCH(Calculation!B25,Source_GM_code_CBS!C:C,0))</f>
        <v>GM0363</v>
      </c>
      <c r="D25" t="str">
        <f>Source_NS_Dashboard!I25</f>
        <v>12.515 (2024)</v>
      </c>
      <c r="E25" t="str">
        <f t="shared" si="0"/>
        <v>12.515</v>
      </c>
      <c r="F25" s="9" t="str">
        <f t="shared" si="1"/>
        <v>12515</v>
      </c>
      <c r="G25">
        <f t="shared" si="2"/>
        <v>12515</v>
      </c>
      <c r="H25">
        <f t="shared" si="3"/>
        <v>4.9556800250258872E-3</v>
      </c>
    </row>
    <row r="26" spans="1:8" x14ac:dyDescent="0.2">
      <c r="A26" t="str">
        <f>Source_NS_Dashboard!B26</f>
        <v>Amsterdam</v>
      </c>
      <c r="B26" t="s">
        <v>81</v>
      </c>
      <c r="C26" t="str">
        <f>INDEX(Source_GM_code_CBS!B:B,MATCH(Calculation!B26,Source_GM_code_CBS!C:C,0))</f>
        <v>GM0363</v>
      </c>
      <c r="D26" t="str">
        <f>Source_NS_Dashboard!I26</f>
        <v>4.307 (2023)</v>
      </c>
      <c r="E26" t="str">
        <f t="shared" si="0"/>
        <v>4.307</v>
      </c>
      <c r="F26" s="9" t="str">
        <f t="shared" si="1"/>
        <v>4307</v>
      </c>
      <c r="G26">
        <f t="shared" si="2"/>
        <v>4307</v>
      </c>
      <c r="H26">
        <f t="shared" si="3"/>
        <v>1.705482530386456E-3</v>
      </c>
    </row>
    <row r="27" spans="1:8" x14ac:dyDescent="0.2">
      <c r="A27" t="str">
        <f>Source_NS_Dashboard!B27</f>
        <v>Amsterdam</v>
      </c>
      <c r="B27" t="s">
        <v>81</v>
      </c>
      <c r="C27" t="str">
        <f>INDEX(Source_GM_code_CBS!B:B,MATCH(Calculation!B27,Source_GM_code_CBS!C:C,0))</f>
        <v>GM0363</v>
      </c>
      <c r="D27" t="str">
        <f>Source_NS_Dashboard!I27</f>
        <v>4.525 (2023)</v>
      </c>
      <c r="E27" t="str">
        <f t="shared" si="0"/>
        <v>4.525</v>
      </c>
      <c r="F27" s="9" t="str">
        <f t="shared" si="1"/>
        <v>4525</v>
      </c>
      <c r="G27">
        <f t="shared" si="2"/>
        <v>4525</v>
      </c>
      <c r="H27">
        <f t="shared" si="3"/>
        <v>1.7918060018571426E-3</v>
      </c>
    </row>
    <row r="28" spans="1:8" x14ac:dyDescent="0.2">
      <c r="A28" t="str">
        <f>Source_NS_Dashboard!B28</f>
        <v>Amsterdam</v>
      </c>
      <c r="B28" t="s">
        <v>81</v>
      </c>
      <c r="C28" t="str">
        <f>INDEX(Source_GM_code_CBS!B:B,MATCH(Calculation!B28,Source_GM_code_CBS!C:C,0))</f>
        <v>GM0363</v>
      </c>
      <c r="D28" t="str">
        <f>Source_NS_Dashboard!I28</f>
        <v>57.576 (2024)</v>
      </c>
      <c r="E28" t="str">
        <f t="shared" si="0"/>
        <v>57.576</v>
      </c>
      <c r="F28" s="9" t="str">
        <f t="shared" si="1"/>
        <v>57576</v>
      </c>
      <c r="G28">
        <f t="shared" si="2"/>
        <v>57576</v>
      </c>
      <c r="H28">
        <f t="shared" si="3"/>
        <v>2.2798899969707589E-2</v>
      </c>
    </row>
    <row r="29" spans="1:8" x14ac:dyDescent="0.2">
      <c r="A29" t="str">
        <f>Source_NS_Dashboard!B29</f>
        <v>Amsterdam</v>
      </c>
      <c r="B29" t="s">
        <v>81</v>
      </c>
      <c r="C29" t="str">
        <f>INDEX(Source_GM_code_CBS!B:B,MATCH(Calculation!B29,Source_GM_code_CBS!C:C,0))</f>
        <v>GM0363</v>
      </c>
      <c r="D29" t="str">
        <f>Source_NS_Dashboard!I29</f>
        <v>63.365 (2024)</v>
      </c>
      <c r="E29" t="str">
        <f t="shared" si="0"/>
        <v>63.365</v>
      </c>
      <c r="F29" s="9" t="str">
        <f t="shared" si="1"/>
        <v>63365</v>
      </c>
      <c r="G29">
        <f t="shared" si="2"/>
        <v>63365</v>
      </c>
      <c r="H29">
        <f t="shared" si="3"/>
        <v>2.5091223714403942E-2</v>
      </c>
    </row>
    <row r="30" spans="1:8" x14ac:dyDescent="0.2">
      <c r="A30" t="str">
        <f>Source_NS_Dashboard!B30</f>
        <v>Anna Paulowna</v>
      </c>
      <c r="B30" t="s">
        <v>1764</v>
      </c>
      <c r="C30" t="str">
        <f>INDEX(Source_GM_code_CBS!B:B,MATCH(Calculation!B30,Source_GM_code_CBS!C:C,0))</f>
        <v>GM1911</v>
      </c>
      <c r="D30" t="str">
        <f>Source_NS_Dashboard!I30</f>
        <v>1.592 (2023)</v>
      </c>
      <c r="E30" t="str">
        <f t="shared" si="0"/>
        <v>1.592</v>
      </c>
      <c r="F30" s="9" t="str">
        <f t="shared" si="1"/>
        <v>1592</v>
      </c>
      <c r="G30">
        <f t="shared" si="2"/>
        <v>1592</v>
      </c>
      <c r="H30">
        <f t="shared" si="3"/>
        <v>6.3039892927217039E-4</v>
      </c>
    </row>
    <row r="31" spans="1:8" x14ac:dyDescent="0.2">
      <c r="A31" t="str">
        <f>Source_NS_Dashboard!B31</f>
        <v>Apeldoorn</v>
      </c>
      <c r="B31" t="s">
        <v>126</v>
      </c>
      <c r="C31" t="str">
        <f>INDEX(Source_GM_code_CBS!B:B,MATCH(Calculation!B31,Source_GM_code_CBS!C:C,0))</f>
        <v>GM0200</v>
      </c>
      <c r="D31" t="str">
        <f>Source_NS_Dashboard!I31</f>
        <v>12.590 (2024) (NS)</v>
      </c>
      <c r="E31" t="str">
        <f t="shared" si="0"/>
        <v>12.590</v>
      </c>
      <c r="F31" s="9" t="str">
        <f t="shared" si="1"/>
        <v>12590</v>
      </c>
      <c r="G31">
        <f t="shared" si="2"/>
        <v>12590</v>
      </c>
      <c r="H31">
        <f t="shared" si="3"/>
        <v>4.9853784670456187E-3</v>
      </c>
    </row>
    <row r="32" spans="1:8" x14ac:dyDescent="0.2">
      <c r="A32" t="str">
        <f>Source_NS_Dashboard!B32</f>
        <v>Apeldoorn</v>
      </c>
      <c r="B32" t="s">
        <v>126</v>
      </c>
      <c r="C32" t="str">
        <f>INDEX(Source_GM_code_CBS!B:B,MATCH(Calculation!B32,Source_GM_code_CBS!C:C,0))</f>
        <v>GM0200</v>
      </c>
      <c r="D32" t="str">
        <f>Source_NS_Dashboard!I32</f>
        <v>612 (2009)</v>
      </c>
      <c r="E32" t="str">
        <f t="shared" si="0"/>
        <v>612</v>
      </c>
      <c r="F32" s="9" t="str">
        <f t="shared" si="1"/>
        <v>612</v>
      </c>
      <c r="G32">
        <f t="shared" si="2"/>
        <v>612</v>
      </c>
      <c r="H32">
        <f t="shared" si="3"/>
        <v>2.4233928688101021E-4</v>
      </c>
    </row>
    <row r="33" spans="1:8" x14ac:dyDescent="0.2">
      <c r="A33" t="str">
        <f>Source_NS_Dashboard!B33</f>
        <v>Apeldoorn</v>
      </c>
      <c r="B33" t="s">
        <v>126</v>
      </c>
      <c r="C33" t="str">
        <f>INDEX(Source_GM_code_CBS!B:B,MATCH(Calculation!B33,Source_GM_code_CBS!C:C,0))</f>
        <v>GM0200</v>
      </c>
      <c r="D33" t="str">
        <f>Source_NS_Dashboard!I33</f>
        <v>1.092 (2023)</v>
      </c>
      <c r="E33" t="str">
        <f t="shared" si="0"/>
        <v>1.092</v>
      </c>
      <c r="F33" s="9" t="str">
        <f t="shared" si="1"/>
        <v>1092</v>
      </c>
      <c r="G33">
        <f t="shared" si="2"/>
        <v>1092</v>
      </c>
      <c r="H33">
        <f t="shared" si="3"/>
        <v>4.3240931580729272E-4</v>
      </c>
    </row>
    <row r="34" spans="1:8" x14ac:dyDescent="0.2">
      <c r="A34" t="str">
        <f>Source_NS_Dashboard!B34</f>
        <v>Appingedam</v>
      </c>
      <c r="B34" t="s">
        <v>1620</v>
      </c>
      <c r="C34" t="str">
        <f>INDEX(Source_GM_code_CBS!B:B,MATCH(Calculation!B34,Source_GM_code_CBS!C:C,0))</f>
        <v>GM1979</v>
      </c>
      <c r="D34" t="str">
        <f>Source_NS_Dashboard!I34</f>
        <v>1.082 (2009)</v>
      </c>
      <c r="E34" t="str">
        <f t="shared" si="0"/>
        <v>1.082</v>
      </c>
      <c r="F34" s="9" t="str">
        <f t="shared" si="1"/>
        <v>1082</v>
      </c>
      <c r="G34">
        <f t="shared" si="2"/>
        <v>1082</v>
      </c>
      <c r="H34">
        <f t="shared" si="3"/>
        <v>4.284495235379952E-4</v>
      </c>
    </row>
    <row r="35" spans="1:8" x14ac:dyDescent="0.2">
      <c r="A35" t="str">
        <f>Source_NS_Dashboard!B35</f>
        <v>Arkel</v>
      </c>
      <c r="B35" t="s">
        <v>1897</v>
      </c>
      <c r="C35" t="str">
        <f>INDEX(Source_GM_code_CBS!B:B,MATCH(Calculation!B35,Source_GM_code_CBS!C:C,0))</f>
        <v>GM1978</v>
      </c>
      <c r="D35" t="str">
        <f>Source_NS_Dashboard!I35</f>
        <v>160 (2014)</v>
      </c>
      <c r="E35" t="str">
        <f t="shared" si="0"/>
        <v>160</v>
      </c>
      <c r="F35" s="9" t="str">
        <f t="shared" si="1"/>
        <v>160</v>
      </c>
      <c r="G35">
        <f t="shared" si="2"/>
        <v>160</v>
      </c>
      <c r="H35">
        <f t="shared" si="3"/>
        <v>6.3356676308760847E-5</v>
      </c>
    </row>
    <row r="36" spans="1:8" x14ac:dyDescent="0.2">
      <c r="A36" t="str">
        <f>Source_NS_Dashboard!B36</f>
        <v>Arnemuiden</v>
      </c>
      <c r="B36" t="s">
        <v>880</v>
      </c>
      <c r="C36" t="str">
        <f>INDEX(Source_GM_code_CBS!B:B,MATCH(Calculation!B36,Source_GM_code_CBS!C:C,0))</f>
        <v>GM0687</v>
      </c>
      <c r="D36" t="str">
        <f>Source_NS_Dashboard!I36</f>
        <v>410 (2022)</v>
      </c>
      <c r="E36" t="str">
        <f t="shared" si="0"/>
        <v>410</v>
      </c>
      <c r="F36" s="9" t="str">
        <f t="shared" si="1"/>
        <v>410</v>
      </c>
      <c r="G36">
        <f t="shared" si="2"/>
        <v>410</v>
      </c>
      <c r="H36">
        <f t="shared" si="3"/>
        <v>1.6235148304119965E-4</v>
      </c>
    </row>
    <row r="37" spans="1:8" x14ac:dyDescent="0.2">
      <c r="A37" t="str">
        <f>Source_NS_Dashboard!B37</f>
        <v>Arnhem</v>
      </c>
      <c r="B37" t="s">
        <v>152</v>
      </c>
      <c r="C37" t="str">
        <f>INDEX(Source_GM_code_CBS!B:B,MATCH(Calculation!B37,Source_GM_code_CBS!C:C,0))</f>
        <v>GM0202</v>
      </c>
      <c r="D37" t="str">
        <f>Source_NS_Dashboard!I37</f>
        <v>43.362 (2024) (NS)</v>
      </c>
      <c r="E37" t="str">
        <f t="shared" si="0"/>
        <v>43.362</v>
      </c>
      <c r="F37" s="9" t="str">
        <f t="shared" si="1"/>
        <v>43362</v>
      </c>
      <c r="G37">
        <f t="shared" si="2"/>
        <v>43362</v>
      </c>
      <c r="H37">
        <f t="shared" si="3"/>
        <v>1.7170451238128048E-2</v>
      </c>
    </row>
    <row r="38" spans="1:8" x14ac:dyDescent="0.2">
      <c r="A38" t="str">
        <f>Source_NS_Dashboard!B38</f>
        <v>Arnhem</v>
      </c>
      <c r="B38" t="s">
        <v>152</v>
      </c>
      <c r="C38" t="str">
        <f>INDEX(Source_GM_code_CBS!B:B,MATCH(Calculation!B38,Source_GM_code_CBS!C:C,0))</f>
        <v>GM0202</v>
      </c>
      <c r="D38" t="str">
        <f>Source_NS_Dashboard!I38</f>
        <v>2.248 (2023)</v>
      </c>
      <c r="E38" t="str">
        <f t="shared" si="0"/>
        <v>2.248</v>
      </c>
      <c r="F38" s="9" t="str">
        <f t="shared" si="1"/>
        <v>2248</v>
      </c>
      <c r="G38">
        <f t="shared" si="2"/>
        <v>2248</v>
      </c>
      <c r="H38">
        <f t="shared" si="3"/>
        <v>8.9016130213808982E-4</v>
      </c>
    </row>
    <row r="39" spans="1:8" x14ac:dyDescent="0.2">
      <c r="A39" t="str">
        <f>Source_NS_Dashboard!B39</f>
        <v>Arnhem</v>
      </c>
      <c r="B39" t="s">
        <v>152</v>
      </c>
      <c r="C39" t="str">
        <f>INDEX(Source_GM_code_CBS!B:B,MATCH(Calculation!B39,Source_GM_code_CBS!C:C,0))</f>
        <v>GM0202</v>
      </c>
      <c r="D39" t="str">
        <f>Source_NS_Dashboard!I39</f>
        <v>1.852 (2022) (NS)</v>
      </c>
      <c r="E39" t="str">
        <f t="shared" si="0"/>
        <v>1.852</v>
      </c>
      <c r="F39" s="9" t="str">
        <f t="shared" si="1"/>
        <v>1852</v>
      </c>
      <c r="G39">
        <f t="shared" si="2"/>
        <v>1852</v>
      </c>
      <c r="H39">
        <f t="shared" si="3"/>
        <v>7.3335352827390678E-4</v>
      </c>
    </row>
    <row r="40" spans="1:8" x14ac:dyDescent="0.2">
      <c r="A40" t="str">
        <f>Source_NS_Dashboard!B40</f>
        <v>Arnhem</v>
      </c>
      <c r="B40" t="s">
        <v>152</v>
      </c>
      <c r="C40" t="str">
        <f>INDEX(Source_GM_code_CBS!B:B,MATCH(Calculation!B40,Source_GM_code_CBS!C:C,0))</f>
        <v>GM0202</v>
      </c>
      <c r="D40" t="str">
        <f>Source_NS_Dashboard!I40</f>
        <v>3.189 (2023)</v>
      </c>
      <c r="E40" t="str">
        <f t="shared" si="0"/>
        <v>3.189</v>
      </c>
      <c r="F40" s="9" t="str">
        <f t="shared" si="1"/>
        <v>3189</v>
      </c>
      <c r="G40">
        <f t="shared" si="2"/>
        <v>3189</v>
      </c>
      <c r="H40">
        <f t="shared" si="3"/>
        <v>1.2627777546789895E-3</v>
      </c>
    </row>
    <row r="41" spans="1:8" x14ac:dyDescent="0.2">
      <c r="A41" t="str">
        <f>Source_NS_Dashboard!B41</f>
        <v>Assen</v>
      </c>
      <c r="B41" t="s">
        <v>169</v>
      </c>
      <c r="C41" t="str">
        <f>INDEX(Source_GM_code_CBS!B:B,MATCH(Calculation!B41,Source_GM_code_CBS!C:C,0))</f>
        <v>GM0106</v>
      </c>
      <c r="D41" t="str">
        <f>Source_NS_Dashboard!I41</f>
        <v>7.548 (2024)</v>
      </c>
      <c r="E41" t="str">
        <f t="shared" si="0"/>
        <v>7.548</v>
      </c>
      <c r="F41" s="9" t="str">
        <f t="shared" si="1"/>
        <v>7548</v>
      </c>
      <c r="G41">
        <f t="shared" si="2"/>
        <v>7548</v>
      </c>
      <c r="H41">
        <f t="shared" si="3"/>
        <v>2.9888512048657926E-3</v>
      </c>
    </row>
    <row r="42" spans="1:8" x14ac:dyDescent="0.2">
      <c r="A42" t="str">
        <f>Source_NS_Dashboard!B42</f>
        <v>Baarn</v>
      </c>
      <c r="B42" t="s">
        <v>173</v>
      </c>
      <c r="C42" t="str">
        <f>INDEX(Source_GM_code_CBS!B:B,MATCH(Calculation!B42,Source_GM_code_CBS!C:C,0))</f>
        <v>GM0308</v>
      </c>
      <c r="D42" t="str">
        <f>Source_NS_Dashboard!I42</f>
        <v>4.085 (2023)</v>
      </c>
      <c r="E42" t="str">
        <f t="shared" si="0"/>
        <v>4.085</v>
      </c>
      <c r="F42" s="9" t="str">
        <f t="shared" si="1"/>
        <v>4085</v>
      </c>
      <c r="G42">
        <f t="shared" si="2"/>
        <v>4085</v>
      </c>
      <c r="H42">
        <f t="shared" si="3"/>
        <v>1.6175751420080503E-3</v>
      </c>
    </row>
    <row r="43" spans="1:8" x14ac:dyDescent="0.2">
      <c r="A43" t="str">
        <f>Source_NS_Dashboard!B43</f>
        <v>Bad Nieuweschans</v>
      </c>
      <c r="B43" t="s">
        <v>1956</v>
      </c>
      <c r="C43" t="str">
        <f>INDEX(Source_GM_code_CBS!B:B,MATCH(Calculation!B43,Source_GM_code_CBS!C:C,0))</f>
        <v>GM1895</v>
      </c>
      <c r="D43" t="str">
        <f>Source_NS_Dashboard!I43</f>
        <v>476 (2009)</v>
      </c>
      <c r="E43" t="str">
        <f t="shared" si="0"/>
        <v>476</v>
      </c>
      <c r="F43" s="9" t="str">
        <f t="shared" si="1"/>
        <v>476</v>
      </c>
      <c r="G43">
        <f t="shared" si="2"/>
        <v>476</v>
      </c>
      <c r="H43">
        <f t="shared" si="3"/>
        <v>1.884861120185635E-4</v>
      </c>
    </row>
    <row r="44" spans="1:8" x14ac:dyDescent="0.2">
      <c r="A44" t="str">
        <f>Source_NS_Dashboard!B44</f>
        <v>Baflo</v>
      </c>
      <c r="B44" t="s">
        <v>1761</v>
      </c>
      <c r="C44" t="str">
        <f>INDEX(Source_GM_code_CBS!B:B,MATCH(Calculation!B44,Source_GM_code_CBS!C:C,0))</f>
        <v>GM1966</v>
      </c>
      <c r="D44" t="str">
        <f>Source_NS_Dashboard!I44</f>
        <v>754 (2009)</v>
      </c>
      <c r="E44" t="str">
        <f t="shared" si="0"/>
        <v>754</v>
      </c>
      <c r="F44" s="9" t="str">
        <f t="shared" si="1"/>
        <v>754</v>
      </c>
      <c r="G44">
        <f t="shared" si="2"/>
        <v>754</v>
      </c>
      <c r="H44">
        <f t="shared" si="3"/>
        <v>2.9856833710503549E-4</v>
      </c>
    </row>
    <row r="45" spans="1:8" x14ac:dyDescent="0.2">
      <c r="A45" t="str">
        <f>Source_NS_Dashboard!B45</f>
        <v>Barendrecht</v>
      </c>
      <c r="B45" t="s">
        <v>185</v>
      </c>
      <c r="C45" t="str">
        <f>INDEX(Source_GM_code_CBS!B:B,MATCH(Calculation!B45,Source_GM_code_CBS!C:C,0))</f>
        <v>GM0489</v>
      </c>
      <c r="D45" t="str">
        <f>Source_NS_Dashboard!I45</f>
        <v>5.238 (2023)</v>
      </c>
      <c r="E45" t="str">
        <f t="shared" si="0"/>
        <v>5.238</v>
      </c>
      <c r="F45" s="9" t="str">
        <f t="shared" si="1"/>
        <v>5238</v>
      </c>
      <c r="G45">
        <f t="shared" si="2"/>
        <v>5238</v>
      </c>
      <c r="H45">
        <f t="shared" si="3"/>
        <v>2.0741391906580579E-3</v>
      </c>
    </row>
    <row r="46" spans="1:8" x14ac:dyDescent="0.2">
      <c r="A46" t="str">
        <f>Source_NS_Dashboard!B46</f>
        <v>Barneveld</v>
      </c>
      <c r="B46" t="s">
        <v>190</v>
      </c>
      <c r="C46" t="str">
        <f>INDEX(Source_GM_code_CBS!B:B,MATCH(Calculation!B46,Source_GM_code_CBS!C:C,0))</f>
        <v>GM0203</v>
      </c>
      <c r="D46" t="str">
        <f>Source_NS_Dashboard!I46</f>
        <v>2.863 (2009)</v>
      </c>
      <c r="E46" t="str">
        <f t="shared" si="0"/>
        <v>2.863</v>
      </c>
      <c r="F46" s="9" t="str">
        <f t="shared" si="1"/>
        <v>2863</v>
      </c>
      <c r="G46">
        <f t="shared" si="2"/>
        <v>2863</v>
      </c>
      <c r="H46">
        <f t="shared" si="3"/>
        <v>1.1336885266998893E-3</v>
      </c>
    </row>
    <row r="47" spans="1:8" x14ac:dyDescent="0.2">
      <c r="A47" t="str">
        <f>Source_NS_Dashboard!B47</f>
        <v>Barneveld</v>
      </c>
      <c r="B47" t="s">
        <v>190</v>
      </c>
      <c r="C47" t="str">
        <f>INDEX(Source_GM_code_CBS!B:B,MATCH(Calculation!B47,Source_GM_code_CBS!C:C,0))</f>
        <v>GM0203</v>
      </c>
      <c r="D47" t="str">
        <f>Source_NS_Dashboard!I47</f>
        <v>1.177 (2008)</v>
      </c>
      <c r="E47" t="str">
        <f t="shared" si="0"/>
        <v>1.177</v>
      </c>
      <c r="F47" s="9" t="str">
        <f t="shared" si="1"/>
        <v>1177</v>
      </c>
      <c r="G47">
        <f t="shared" si="2"/>
        <v>1177</v>
      </c>
      <c r="H47">
        <f t="shared" si="3"/>
        <v>4.6606755009632192E-4</v>
      </c>
    </row>
    <row r="48" spans="1:8" x14ac:dyDescent="0.2">
      <c r="A48" t="str">
        <f>Source_NS_Dashboard!B48</f>
        <v>Barneveld</v>
      </c>
      <c r="B48" t="s">
        <v>190</v>
      </c>
      <c r="C48" t="str">
        <f>INDEX(Source_GM_code_CBS!B:B,MATCH(Calculation!B48,Source_GM_code_CBS!C:C,0))</f>
        <v>GM0203</v>
      </c>
      <c r="D48" t="str">
        <f>Source_NS_Dashboard!I48</f>
        <v>612 (2016)</v>
      </c>
      <c r="E48" t="str">
        <f t="shared" si="0"/>
        <v>612</v>
      </c>
      <c r="F48" s="9" t="str">
        <f t="shared" si="1"/>
        <v>612</v>
      </c>
      <c r="G48">
        <f t="shared" si="2"/>
        <v>612</v>
      </c>
      <c r="H48">
        <f t="shared" si="3"/>
        <v>2.4233928688101021E-4</v>
      </c>
    </row>
    <row r="49" spans="1:8" x14ac:dyDescent="0.2">
      <c r="A49" t="str">
        <f>Source_NS_Dashboard!B49</f>
        <v>Bedum</v>
      </c>
      <c r="B49" t="s">
        <v>1761</v>
      </c>
      <c r="C49" t="str">
        <f>INDEX(Source_GM_code_CBS!B:B,MATCH(Calculation!B49,Source_GM_code_CBS!C:C,0))</f>
        <v>GM1966</v>
      </c>
      <c r="D49" t="str">
        <f>Source_NS_Dashboard!I49</f>
        <v>464 (2009)</v>
      </c>
      <c r="E49" t="str">
        <f t="shared" si="0"/>
        <v>464</v>
      </c>
      <c r="F49" s="9" t="str">
        <f t="shared" si="1"/>
        <v>464</v>
      </c>
      <c r="G49">
        <f t="shared" si="2"/>
        <v>464</v>
      </c>
      <c r="H49">
        <f t="shared" si="3"/>
        <v>1.8373436129540645E-4</v>
      </c>
    </row>
    <row r="50" spans="1:8" x14ac:dyDescent="0.2">
      <c r="A50" t="str">
        <f>Source_NS_Dashboard!B50</f>
        <v>Beek Elsloo</v>
      </c>
      <c r="B50" t="s">
        <v>1469</v>
      </c>
      <c r="C50" t="str">
        <f>INDEX(Source_GM_code_CBS!B:B,MATCH(Calculation!B50,Source_GM_code_CBS!C:C,0))</f>
        <v>GM0888</v>
      </c>
      <c r="D50" t="str">
        <f>Source_NS_Dashboard!I50</f>
        <v>1.968 (2016)</v>
      </c>
      <c r="E50" t="str">
        <f t="shared" si="0"/>
        <v>1.968</v>
      </c>
      <c r="F50" s="9" t="str">
        <f t="shared" si="1"/>
        <v>1968</v>
      </c>
      <c r="G50">
        <f t="shared" si="2"/>
        <v>1968</v>
      </c>
      <c r="H50">
        <f t="shared" si="3"/>
        <v>7.7928711859775839E-4</v>
      </c>
    </row>
    <row r="51" spans="1:8" x14ac:dyDescent="0.2">
      <c r="A51" t="str">
        <f>Source_NS_Dashboard!B51</f>
        <v>Beesd</v>
      </c>
      <c r="B51" t="s">
        <v>2238</v>
      </c>
      <c r="C51" t="str">
        <f>INDEX(Source_GM_code_CBS!B:B,MATCH(Calculation!B51,Source_GM_code_CBS!C:C,0))</f>
        <v>GM1960</v>
      </c>
      <c r="D51" t="str">
        <f>Source_NS_Dashboard!I51</f>
        <v>183 (2014)</v>
      </c>
      <c r="E51" t="str">
        <f t="shared" si="0"/>
        <v>183</v>
      </c>
      <c r="F51" s="9" t="str">
        <f t="shared" si="1"/>
        <v>183</v>
      </c>
      <c r="G51">
        <f t="shared" si="2"/>
        <v>183</v>
      </c>
      <c r="H51">
        <f t="shared" si="3"/>
        <v>7.246419852814522E-5</v>
      </c>
    </row>
    <row r="52" spans="1:8" x14ac:dyDescent="0.2">
      <c r="A52" t="str">
        <f>Source_NS_Dashboard!B52</f>
        <v>Beilen</v>
      </c>
      <c r="B52" t="s">
        <v>1888</v>
      </c>
      <c r="C52" t="str">
        <f>INDEX(Source_GM_code_CBS!B:B,MATCH(Calculation!B52,Source_GM_code_CBS!C:C,0))</f>
        <v>GM1731</v>
      </c>
      <c r="D52" t="str">
        <f>Source_NS_Dashboard!I52</f>
        <v>1.587 (2022)</v>
      </c>
      <c r="E52" t="str">
        <f t="shared" si="0"/>
        <v>1.587</v>
      </c>
      <c r="F52" s="9" t="str">
        <f t="shared" si="1"/>
        <v>1587</v>
      </c>
      <c r="G52">
        <f t="shared" si="2"/>
        <v>1587</v>
      </c>
      <c r="H52">
        <f t="shared" si="3"/>
        <v>6.2841903313752166E-4</v>
      </c>
    </row>
    <row r="53" spans="1:8" x14ac:dyDescent="0.2">
      <c r="A53" t="str">
        <f>Source_NS_Dashboard!B53</f>
        <v>Bergen op Zoom</v>
      </c>
      <c r="B53" t="s">
        <v>215</v>
      </c>
      <c r="C53" t="str">
        <f>INDEX(Source_GM_code_CBS!B:B,MATCH(Calculation!B53,Source_GM_code_CBS!C:C,0))</f>
        <v>GM0748</v>
      </c>
      <c r="D53" t="str">
        <f>Source_NS_Dashboard!I53</f>
        <v>5.311 (2023)</v>
      </c>
      <c r="E53" t="str">
        <f t="shared" si="0"/>
        <v>5.311</v>
      </c>
      <c r="F53" s="9" t="str">
        <f t="shared" si="1"/>
        <v>5311</v>
      </c>
      <c r="G53">
        <f t="shared" si="2"/>
        <v>5311</v>
      </c>
      <c r="H53">
        <f t="shared" si="3"/>
        <v>2.1030456742239302E-3</v>
      </c>
    </row>
    <row r="54" spans="1:8" x14ac:dyDescent="0.2">
      <c r="A54" t="str">
        <f>Source_NS_Dashboard!B54</f>
        <v>Best</v>
      </c>
      <c r="B54" t="s">
        <v>218</v>
      </c>
      <c r="C54" t="str">
        <f>INDEX(Source_GM_code_CBS!B:B,MATCH(Calculation!B54,Source_GM_code_CBS!C:C,0))</f>
        <v>GM0753</v>
      </c>
      <c r="D54" t="str">
        <f>Source_NS_Dashboard!I54</f>
        <v>5.090 (2023)</v>
      </c>
      <c r="E54" t="str">
        <f t="shared" si="0"/>
        <v>5.090</v>
      </c>
      <c r="F54" s="9" t="str">
        <f t="shared" si="1"/>
        <v>5090</v>
      </c>
      <c r="G54">
        <f t="shared" si="2"/>
        <v>5090</v>
      </c>
      <c r="H54">
        <f t="shared" si="3"/>
        <v>2.0155342650724543E-3</v>
      </c>
    </row>
    <row r="55" spans="1:8" x14ac:dyDescent="0.2">
      <c r="A55" t="str">
        <f>Source_NS_Dashboard!B55</f>
        <v>Beverwijk</v>
      </c>
      <c r="B55" t="s">
        <v>221</v>
      </c>
      <c r="C55" t="str">
        <f>INDEX(Source_GM_code_CBS!B:B,MATCH(Calculation!B55,Source_GM_code_CBS!C:C,0))</f>
        <v>GM0375</v>
      </c>
      <c r="D55" t="str">
        <f>Source_NS_Dashboard!I55</f>
        <v>4.228 (2023)</v>
      </c>
      <c r="E55" t="str">
        <f t="shared" si="0"/>
        <v>4.228</v>
      </c>
      <c r="F55" s="9" t="str">
        <f t="shared" si="1"/>
        <v>4228</v>
      </c>
      <c r="G55">
        <f t="shared" si="2"/>
        <v>4228</v>
      </c>
      <c r="H55">
        <f t="shared" si="3"/>
        <v>1.6742001714590052E-3</v>
      </c>
    </row>
    <row r="56" spans="1:8" x14ac:dyDescent="0.2">
      <c r="A56" t="str">
        <f>Source_NS_Dashboard!B56</f>
        <v>Bilthoven</v>
      </c>
      <c r="B56" t="s">
        <v>1508</v>
      </c>
      <c r="C56" t="str">
        <f>INDEX(Source_GM_code_CBS!B:B,MATCH(Calculation!B56,Source_GM_code_CBS!C:C,0))</f>
        <v>GM0310</v>
      </c>
      <c r="D56" t="str">
        <f>Source_NS_Dashboard!I56</f>
        <v>4.329 (2023)</v>
      </c>
      <c r="E56" t="str">
        <f t="shared" si="0"/>
        <v>4.329</v>
      </c>
      <c r="F56" s="9" t="str">
        <f t="shared" si="1"/>
        <v>4329</v>
      </c>
      <c r="G56">
        <f t="shared" si="2"/>
        <v>4329</v>
      </c>
      <c r="H56">
        <f t="shared" si="3"/>
        <v>1.7141940733789106E-3</v>
      </c>
    </row>
    <row r="57" spans="1:8" x14ac:dyDescent="0.2">
      <c r="A57" t="str">
        <f>Source_NS_Dashboard!B57</f>
        <v>Blerick</v>
      </c>
      <c r="B57" t="s">
        <v>1212</v>
      </c>
      <c r="C57" t="str">
        <f>INDEX(Source_GM_code_CBS!B:B,MATCH(Calculation!B57,Source_GM_code_CBS!C:C,0))</f>
        <v>GM0983</v>
      </c>
      <c r="D57" t="str">
        <f>Source_NS_Dashboard!I57</f>
        <v>1.257 (2023) (NS)</v>
      </c>
      <c r="E57" t="str">
        <f t="shared" si="0"/>
        <v>1.257</v>
      </c>
      <c r="F57" s="9" t="str">
        <f t="shared" si="1"/>
        <v>1257</v>
      </c>
      <c r="G57">
        <f t="shared" si="2"/>
        <v>1257</v>
      </c>
      <c r="H57">
        <f t="shared" si="3"/>
        <v>4.9774588825070233E-4</v>
      </c>
    </row>
    <row r="58" spans="1:8" x14ac:dyDescent="0.2">
      <c r="A58" t="str">
        <f>Source_NS_Dashboard!B58</f>
        <v>Bloemendaal</v>
      </c>
      <c r="B58" t="s">
        <v>232</v>
      </c>
      <c r="C58" t="str">
        <f>INDEX(Source_GM_code_CBS!B:B,MATCH(Calculation!B58,Source_GM_code_CBS!C:C,0))</f>
        <v>GM0377</v>
      </c>
      <c r="D58" t="str">
        <f>Source_NS_Dashboard!I58</f>
        <v>1.179 (2022)</v>
      </c>
      <c r="E58" t="str">
        <f t="shared" si="0"/>
        <v>1.179</v>
      </c>
      <c r="F58" s="9" t="str">
        <f t="shared" si="1"/>
        <v>1179</v>
      </c>
      <c r="G58">
        <f t="shared" si="2"/>
        <v>1179</v>
      </c>
      <c r="H58">
        <f t="shared" si="3"/>
        <v>4.6685950855018148E-4</v>
      </c>
    </row>
    <row r="59" spans="1:8" x14ac:dyDescent="0.2">
      <c r="A59" t="str">
        <f>Source_NS_Dashboard!B59</f>
        <v>Bodegraven</v>
      </c>
      <c r="B59" t="s">
        <v>1519</v>
      </c>
      <c r="C59" t="str">
        <f>INDEX(Source_GM_code_CBS!B:B,MATCH(Calculation!B59,Source_GM_code_CBS!C:C,0))</f>
        <v>GM1901</v>
      </c>
      <c r="D59" t="str">
        <f>Source_NS_Dashboard!I59</f>
        <v>3.005 (2023)</v>
      </c>
      <c r="E59" t="str">
        <f t="shared" si="0"/>
        <v>3.005</v>
      </c>
      <c r="F59" s="9" t="str">
        <f t="shared" si="1"/>
        <v>3005</v>
      </c>
      <c r="G59">
        <f t="shared" si="2"/>
        <v>3005</v>
      </c>
      <c r="H59">
        <f t="shared" si="3"/>
        <v>1.1899175769239146E-3</v>
      </c>
    </row>
    <row r="60" spans="1:8" x14ac:dyDescent="0.2">
      <c r="A60" t="str">
        <f>Source_NS_Dashboard!B60</f>
        <v>Borne</v>
      </c>
      <c r="B60" t="s">
        <v>239</v>
      </c>
      <c r="C60" t="str">
        <f>INDEX(Source_GM_code_CBS!B:B,MATCH(Calculation!B60,Source_GM_code_CBS!C:C,0))</f>
        <v>GM0147</v>
      </c>
      <c r="D60" t="str">
        <f>Source_NS_Dashboard!I60</f>
        <v>286 (2023) (NS)</v>
      </c>
      <c r="E60" t="str">
        <f t="shared" si="0"/>
        <v>286</v>
      </c>
      <c r="F60" s="9" t="str">
        <f t="shared" si="1"/>
        <v>286</v>
      </c>
      <c r="G60">
        <f t="shared" si="2"/>
        <v>286</v>
      </c>
      <c r="H60">
        <f t="shared" si="3"/>
        <v>1.1325005890191E-4</v>
      </c>
    </row>
    <row r="61" spans="1:8" x14ac:dyDescent="0.2">
      <c r="A61" t="str">
        <f>Source_NS_Dashboard!B61</f>
        <v>Boskoop</v>
      </c>
      <c r="B61" t="s">
        <v>62</v>
      </c>
      <c r="C61" t="str">
        <f>INDEX(Source_GM_code_CBS!B:B,MATCH(Calculation!B61,Source_GM_code_CBS!C:C,0))</f>
        <v>GM0484</v>
      </c>
      <c r="D61" t="str">
        <f>Source_NS_Dashboard!I61</f>
        <v>1.197 (2023)</v>
      </c>
      <c r="E61" t="str">
        <f t="shared" si="0"/>
        <v>1.197</v>
      </c>
      <c r="F61" s="9" t="str">
        <f t="shared" si="1"/>
        <v>1197</v>
      </c>
      <c r="G61">
        <f t="shared" si="2"/>
        <v>1197</v>
      </c>
      <c r="H61">
        <f t="shared" si="3"/>
        <v>4.7398713463491703E-4</v>
      </c>
    </row>
    <row r="62" spans="1:8" x14ac:dyDescent="0.2">
      <c r="A62" t="str">
        <f>Source_NS_Dashboard!B62</f>
        <v>Boskoop</v>
      </c>
      <c r="B62" t="s">
        <v>62</v>
      </c>
      <c r="C62" t="str">
        <f>INDEX(Source_GM_code_CBS!B:B,MATCH(Calculation!B62,Source_GM_code_CBS!C:C,0))</f>
        <v>GM0484</v>
      </c>
      <c r="D62" t="str">
        <f>Source_NS_Dashboard!I62</f>
        <v>649 (2022)</v>
      </c>
      <c r="E62" t="str">
        <f t="shared" si="0"/>
        <v>649</v>
      </c>
      <c r="F62" s="9" t="str">
        <f t="shared" si="1"/>
        <v>649</v>
      </c>
      <c r="G62">
        <f t="shared" si="2"/>
        <v>649</v>
      </c>
      <c r="H62">
        <f t="shared" si="3"/>
        <v>2.5699051827741119E-4</v>
      </c>
    </row>
    <row r="63" spans="1:8" x14ac:dyDescent="0.2">
      <c r="A63" t="str">
        <f>Source_NS_Dashboard!B63</f>
        <v>Boven-Hardinxveld</v>
      </c>
      <c r="B63" t="s">
        <v>608</v>
      </c>
      <c r="C63" t="str">
        <f>INDEX(Source_GM_code_CBS!B:B,MATCH(Calculation!B63,Source_GM_code_CBS!C:C,0))</f>
        <v>GM0523</v>
      </c>
      <c r="D63" t="str">
        <f>Source_NS_Dashboard!I63</f>
        <v>343 (2014)</v>
      </c>
      <c r="E63" t="str">
        <f t="shared" si="0"/>
        <v>343</v>
      </c>
      <c r="F63" s="9" t="str">
        <f t="shared" si="1"/>
        <v>343</v>
      </c>
      <c r="G63">
        <f t="shared" si="2"/>
        <v>343</v>
      </c>
      <c r="H63">
        <f t="shared" si="3"/>
        <v>1.3582087483690605E-4</v>
      </c>
    </row>
    <row r="64" spans="1:8" x14ac:dyDescent="0.2">
      <c r="A64" t="str">
        <f>Source_NS_Dashboard!B64</f>
        <v>Bovenkarspel</v>
      </c>
      <c r="B64" t="s">
        <v>2105</v>
      </c>
      <c r="C64" t="str">
        <f>INDEX(Source_GM_code_CBS!B:B,MATCH(Calculation!B64,Source_GM_code_CBS!C:C,0))</f>
        <v>GM0532</v>
      </c>
      <c r="D64" t="str">
        <f>Source_NS_Dashboard!I64</f>
        <v>550 (2023)</v>
      </c>
      <c r="E64" t="str">
        <f t="shared" si="0"/>
        <v>550</v>
      </c>
      <c r="F64" s="9" t="str">
        <f t="shared" si="1"/>
        <v>550</v>
      </c>
      <c r="G64">
        <f t="shared" si="2"/>
        <v>550</v>
      </c>
      <c r="H64">
        <f t="shared" si="3"/>
        <v>2.177885748113654E-4</v>
      </c>
    </row>
    <row r="65" spans="1:8" x14ac:dyDescent="0.2">
      <c r="A65" t="str">
        <f>Source_NS_Dashboard!B65</f>
        <v>Bovenkarspel</v>
      </c>
      <c r="B65" t="s">
        <v>2105</v>
      </c>
      <c r="C65" t="str">
        <f>INDEX(Source_GM_code_CBS!B:B,MATCH(Calculation!B65,Source_GM_code_CBS!C:C,0))</f>
        <v>GM0532</v>
      </c>
      <c r="D65" t="str">
        <f>Source_NS_Dashboard!I65</f>
        <v>1.621 (2023)</v>
      </c>
      <c r="E65" t="str">
        <f t="shared" si="0"/>
        <v>1.621</v>
      </c>
      <c r="F65" s="9" t="str">
        <f t="shared" si="1"/>
        <v>1621</v>
      </c>
      <c r="G65">
        <f t="shared" si="2"/>
        <v>1621</v>
      </c>
      <c r="H65">
        <f t="shared" si="3"/>
        <v>6.418823268531333E-4</v>
      </c>
    </row>
    <row r="66" spans="1:8" x14ac:dyDescent="0.2">
      <c r="A66" t="str">
        <f>Source_NS_Dashboard!B66</f>
        <v>Boxmeer</v>
      </c>
      <c r="B66" t="s">
        <v>1810</v>
      </c>
      <c r="C66" t="str">
        <f>INDEX(Source_GM_code_CBS!B:B,MATCH(Calculation!B66,Source_GM_code_CBS!C:C,0))</f>
        <v>GM1982</v>
      </c>
      <c r="D66" t="str">
        <f>Source_NS_Dashboard!I66</f>
        <v>3.738 (2006)</v>
      </c>
      <c r="E66" t="str">
        <f t="shared" si="0"/>
        <v>3.738</v>
      </c>
      <c r="F66" s="9" t="str">
        <f t="shared" si="1"/>
        <v>3738</v>
      </c>
      <c r="G66">
        <f t="shared" si="2"/>
        <v>3738</v>
      </c>
      <c r="H66">
        <f t="shared" si="3"/>
        <v>1.4801703502634251E-3</v>
      </c>
    </row>
    <row r="67" spans="1:8" x14ac:dyDescent="0.2">
      <c r="A67" t="str">
        <f>Source_NS_Dashboard!B67</f>
        <v>Boxtel</v>
      </c>
      <c r="B67" t="s">
        <v>265</v>
      </c>
      <c r="C67" t="str">
        <f>INDEX(Source_GM_code_CBS!B:B,MATCH(Calculation!B67,Source_GM_code_CBS!C:C,0))</f>
        <v>GM0757</v>
      </c>
      <c r="D67" t="str">
        <f>Source_NS_Dashboard!I67</f>
        <v>5.222 (2024)</v>
      </c>
      <c r="E67" t="str">
        <f t="shared" ref="E67:E130" si="4">IFERROR(LEFT(D67,FIND(" ",D67,1)-1),"0")</f>
        <v>5.222</v>
      </c>
      <c r="F67" s="9" t="str">
        <f t="shared" ref="F67:F130" si="5">SUBSTITUTE(E67,".","")</f>
        <v>5222</v>
      </c>
      <c r="G67">
        <f t="shared" ref="G67:G130" si="6">VALUE(F67)</f>
        <v>5222</v>
      </c>
      <c r="H67">
        <f t="shared" ref="H67:H130" si="7">G67/(SUM($G$2:$G$399))</f>
        <v>2.0678035230271819E-3</v>
      </c>
    </row>
    <row r="68" spans="1:8" x14ac:dyDescent="0.2">
      <c r="A68" t="str">
        <f>Source_NS_Dashboard!B68</f>
        <v>Breda</v>
      </c>
      <c r="B68" t="s">
        <v>269</v>
      </c>
      <c r="C68" t="str">
        <f>INDEX(Source_GM_code_CBS!B:B,MATCH(Calculation!B68,Source_GM_code_CBS!C:C,0))</f>
        <v>GM0758</v>
      </c>
      <c r="D68" t="str">
        <f>Source_NS_Dashboard!I68</f>
        <v>36.131 (2024)</v>
      </c>
      <c r="E68" t="str">
        <f t="shared" si="4"/>
        <v>36.131</v>
      </c>
      <c r="F68" s="9" t="str">
        <f t="shared" si="5"/>
        <v>36131</v>
      </c>
      <c r="G68">
        <f t="shared" si="6"/>
        <v>36131</v>
      </c>
      <c r="H68">
        <f t="shared" si="7"/>
        <v>1.4307125448198987E-2</v>
      </c>
    </row>
    <row r="69" spans="1:8" x14ac:dyDescent="0.2">
      <c r="A69" t="str">
        <f>Source_NS_Dashboard!B69</f>
        <v>Prinsenbeek</v>
      </c>
      <c r="B69" t="s">
        <v>269</v>
      </c>
      <c r="C69" t="str">
        <f>INDEX(Source_GM_code_CBS!B:B,MATCH(Calculation!B69,Source_GM_code_CBS!C:C,0))</f>
        <v>GM0758</v>
      </c>
      <c r="D69" t="str">
        <f>Source_NS_Dashboard!I69</f>
        <v>1.413 (2023)</v>
      </c>
      <c r="E69" t="str">
        <f t="shared" si="4"/>
        <v>1.413</v>
      </c>
      <c r="F69" s="9" t="str">
        <f t="shared" si="5"/>
        <v>1413</v>
      </c>
      <c r="G69">
        <f t="shared" si="6"/>
        <v>1413</v>
      </c>
      <c r="H69">
        <f t="shared" si="7"/>
        <v>5.5951864765174414E-4</v>
      </c>
    </row>
    <row r="70" spans="1:8" x14ac:dyDescent="0.2">
      <c r="A70" t="str">
        <f>Source_NS_Dashboard!B70</f>
        <v>Breukelen</v>
      </c>
      <c r="B70" t="s">
        <v>2117</v>
      </c>
      <c r="C70" t="str">
        <f>INDEX(Source_GM_code_CBS!B:B,MATCH(Calculation!B70,Source_GM_code_CBS!C:C,0))</f>
        <v>GM1904</v>
      </c>
      <c r="D70" t="str">
        <f>Source_NS_Dashboard!I70</f>
        <v>6.092 (2023)</v>
      </c>
      <c r="E70" t="str">
        <f t="shared" si="4"/>
        <v>6.092</v>
      </c>
      <c r="F70" s="9" t="str">
        <f t="shared" si="5"/>
        <v>6092</v>
      </c>
      <c r="G70">
        <f t="shared" si="6"/>
        <v>6092</v>
      </c>
      <c r="H70">
        <f t="shared" si="7"/>
        <v>2.4123054504560692E-3</v>
      </c>
    </row>
    <row r="71" spans="1:8" x14ac:dyDescent="0.2">
      <c r="A71" t="str">
        <f>Source_NS_Dashboard!B71</f>
        <v>Brummen</v>
      </c>
      <c r="B71" t="s">
        <v>282</v>
      </c>
      <c r="C71" t="str">
        <f>INDEX(Source_GM_code_CBS!B:B,MATCH(Calculation!B71,Source_GM_code_CBS!C:C,0))</f>
        <v>GM0213</v>
      </c>
      <c r="D71" t="str">
        <f>Source_NS_Dashboard!I71</f>
        <v>821 (2023)</v>
      </c>
      <c r="E71" t="str">
        <f t="shared" si="4"/>
        <v>821</v>
      </c>
      <c r="F71" s="9" t="str">
        <f t="shared" si="5"/>
        <v>821</v>
      </c>
      <c r="G71">
        <f t="shared" si="6"/>
        <v>821</v>
      </c>
      <c r="H71">
        <f t="shared" si="7"/>
        <v>3.2509894530932909E-4</v>
      </c>
    </row>
    <row r="72" spans="1:8" x14ac:dyDescent="0.2">
      <c r="A72" t="str">
        <f>Source_NS_Dashboard!B72</f>
        <v>Buitenpost</v>
      </c>
      <c r="B72" s="5"/>
      <c r="C72" t="e">
        <f>INDEX(Source_GM_code_CBS!B:B,MATCH(Calculation!B72,Source_GM_code_CBS!C:C,0))</f>
        <v>#N/A</v>
      </c>
      <c r="D72" t="str">
        <f>Source_NS_Dashboard!I72</f>
        <v>-</v>
      </c>
      <c r="E72" t="str">
        <f t="shared" si="4"/>
        <v>0</v>
      </c>
      <c r="F72" s="9" t="str">
        <f t="shared" si="5"/>
        <v>0</v>
      </c>
      <c r="G72">
        <f t="shared" si="6"/>
        <v>0</v>
      </c>
      <c r="H72">
        <f t="shared" si="7"/>
        <v>0</v>
      </c>
    </row>
    <row r="73" spans="1:8" x14ac:dyDescent="0.2">
      <c r="A73" t="str">
        <f>Source_NS_Dashboard!B73</f>
        <v>Bunde</v>
      </c>
      <c r="B73" t="s">
        <v>874</v>
      </c>
      <c r="C73" t="str">
        <f>INDEX(Source_GM_code_CBS!B:B,MATCH(Calculation!B73,Source_GM_code_CBS!C:C,0))</f>
        <v>GM0938</v>
      </c>
      <c r="D73" t="str">
        <f>Source_NS_Dashboard!I73</f>
        <v>838 (2016)</v>
      </c>
      <c r="E73" t="str">
        <f t="shared" si="4"/>
        <v>838</v>
      </c>
      <c r="F73" s="9" t="str">
        <f t="shared" si="5"/>
        <v>838</v>
      </c>
      <c r="G73">
        <f t="shared" si="6"/>
        <v>838</v>
      </c>
      <c r="H73">
        <f t="shared" si="7"/>
        <v>3.3183059216713491E-4</v>
      </c>
    </row>
    <row r="74" spans="1:8" x14ac:dyDescent="0.2">
      <c r="A74" t="str">
        <f>Source_NS_Dashboard!B74</f>
        <v>Bunnik</v>
      </c>
      <c r="B74" t="s">
        <v>291</v>
      </c>
      <c r="C74" t="str">
        <f>INDEX(Source_GM_code_CBS!B:B,MATCH(Calculation!B74,Source_GM_code_CBS!C:C,0))</f>
        <v>GM0312</v>
      </c>
      <c r="D74" t="str">
        <f>Source_NS_Dashboard!I74</f>
        <v>2.007 (2023)</v>
      </c>
      <c r="E74" t="str">
        <f t="shared" si="4"/>
        <v>2.007</v>
      </c>
      <c r="F74" s="9" t="str">
        <f t="shared" si="5"/>
        <v>2007</v>
      </c>
      <c r="G74">
        <f t="shared" si="6"/>
        <v>2007</v>
      </c>
      <c r="H74">
        <f t="shared" si="7"/>
        <v>7.9473030844801886E-4</v>
      </c>
    </row>
    <row r="75" spans="1:8" x14ac:dyDescent="0.2">
      <c r="A75" t="str">
        <f>Source_NS_Dashboard!B75</f>
        <v>Bussum</v>
      </c>
      <c r="B75" t="s">
        <v>1675</v>
      </c>
      <c r="C75" t="str">
        <f>INDEX(Source_GM_code_CBS!B:B,MATCH(Calculation!B75,Source_GM_code_CBS!C:C,0))</f>
        <v>GM1942</v>
      </c>
      <c r="D75" t="str">
        <f>Source_NS_Dashboard!I75</f>
        <v>3.700 (2023)</v>
      </c>
      <c r="E75" t="str">
        <f t="shared" si="4"/>
        <v>3.700</v>
      </c>
      <c r="F75" s="9" t="str">
        <f t="shared" si="5"/>
        <v>3700</v>
      </c>
      <c r="G75">
        <f t="shared" si="6"/>
        <v>3700</v>
      </c>
      <c r="H75">
        <f t="shared" si="7"/>
        <v>1.4651231396400944E-3</v>
      </c>
    </row>
    <row r="76" spans="1:8" x14ac:dyDescent="0.2">
      <c r="A76" t="str">
        <f>Source_NS_Dashboard!B76</f>
        <v>Capelle aan den IJssel</v>
      </c>
      <c r="B76" t="s">
        <v>299</v>
      </c>
      <c r="C76" t="str">
        <f>INDEX(Source_GM_code_CBS!B:B,MATCH(Calculation!B76,Source_GM_code_CBS!C:C,0))</f>
        <v>GM0502</v>
      </c>
      <c r="D76" t="str">
        <f>Source_NS_Dashboard!I76</f>
        <v>1.930 (2023)</v>
      </c>
      <c r="E76" t="str">
        <f t="shared" si="4"/>
        <v>1.930</v>
      </c>
      <c r="F76" s="9" t="str">
        <f t="shared" si="5"/>
        <v>1930</v>
      </c>
      <c r="G76">
        <f t="shared" si="6"/>
        <v>1930</v>
      </c>
      <c r="H76">
        <f t="shared" si="7"/>
        <v>7.6423990797442763E-4</v>
      </c>
    </row>
    <row r="77" spans="1:8" x14ac:dyDescent="0.2">
      <c r="A77" t="str">
        <f>Source_NS_Dashboard!B77</f>
        <v>Castricum</v>
      </c>
      <c r="B77" t="s">
        <v>303</v>
      </c>
      <c r="C77" t="str">
        <f>INDEX(Source_GM_code_CBS!B:B,MATCH(Calculation!B77,Source_GM_code_CBS!C:C,0))</f>
        <v>GM0383</v>
      </c>
      <c r="D77" t="str">
        <f>Source_NS_Dashboard!I77</f>
        <v>6.458 (2024)</v>
      </c>
      <c r="E77" t="str">
        <f t="shared" si="4"/>
        <v>6.458</v>
      </c>
      <c r="F77" s="9" t="str">
        <f t="shared" si="5"/>
        <v>6458</v>
      </c>
      <c r="G77">
        <f t="shared" si="6"/>
        <v>6458</v>
      </c>
      <c r="H77">
        <f t="shared" si="7"/>
        <v>2.5572338475123597E-3</v>
      </c>
    </row>
    <row r="78" spans="1:8" x14ac:dyDescent="0.2">
      <c r="A78" t="str">
        <f>Source_NS_Dashboard!B78</f>
        <v>Kerkrade</v>
      </c>
      <c r="B78" s="5"/>
      <c r="C78" t="e">
        <f>INDEX(Source_GM_code_CBS!B:B,MATCH(Calculation!B78,Source_GM_code_CBS!C:C,0))</f>
        <v>#N/A</v>
      </c>
      <c r="D78" t="str">
        <f>Source_NS_Dashboard!I78</f>
        <v>-</v>
      </c>
      <c r="E78" t="str">
        <f t="shared" si="4"/>
        <v>0</v>
      </c>
      <c r="F78" s="9" t="str">
        <f t="shared" si="5"/>
        <v>0</v>
      </c>
      <c r="G78">
        <f t="shared" si="6"/>
        <v>0</v>
      </c>
      <c r="H78">
        <f t="shared" si="7"/>
        <v>0</v>
      </c>
    </row>
    <row r="79" spans="1:8" x14ac:dyDescent="0.2">
      <c r="A79" t="str">
        <f>Source_NS_Dashboard!B79</f>
        <v>Coevorden</v>
      </c>
      <c r="B79" t="s">
        <v>310</v>
      </c>
      <c r="C79" t="str">
        <f>INDEX(Source_GM_code_CBS!B:B,MATCH(Calculation!B79,Source_GM_code_CBS!C:C,0))</f>
        <v>GM0109</v>
      </c>
      <c r="D79" t="str">
        <f>Source_NS_Dashboard!I79</f>
        <v>1.399 (2009)</v>
      </c>
      <c r="E79" t="str">
        <f t="shared" si="4"/>
        <v>1.399</v>
      </c>
      <c r="F79" s="9" t="str">
        <f t="shared" si="5"/>
        <v>1399</v>
      </c>
      <c r="G79">
        <f t="shared" si="6"/>
        <v>1399</v>
      </c>
      <c r="H79">
        <f t="shared" si="7"/>
        <v>5.5397493847472766E-4</v>
      </c>
    </row>
    <row r="80" spans="1:8" x14ac:dyDescent="0.2">
      <c r="A80" t="str">
        <f>Source_NS_Dashboard!B80</f>
        <v>Cuijk</v>
      </c>
      <c r="B80" t="s">
        <v>1810</v>
      </c>
      <c r="C80" t="str">
        <f>INDEX(Source_GM_code_CBS!B:B,MATCH(Calculation!B80,Source_GM_code_CBS!C:C,0))</f>
        <v>GM1982</v>
      </c>
      <c r="D80" t="str">
        <f>Source_NS_Dashboard!I80</f>
        <v>2.948 (2006)</v>
      </c>
      <c r="E80" t="str">
        <f t="shared" si="4"/>
        <v>2.948</v>
      </c>
      <c r="F80" s="9" t="str">
        <f t="shared" si="5"/>
        <v>2948</v>
      </c>
      <c r="G80">
        <f t="shared" si="6"/>
        <v>2948</v>
      </c>
      <c r="H80">
        <f t="shared" si="7"/>
        <v>1.1673467609889185E-3</v>
      </c>
    </row>
    <row r="81" spans="1:8" x14ac:dyDescent="0.2">
      <c r="A81" t="str">
        <f>Source_NS_Dashboard!B81</f>
        <v>Culemborg</v>
      </c>
      <c r="B81" t="s">
        <v>317</v>
      </c>
      <c r="C81" t="str">
        <f>INDEX(Source_GM_code_CBS!B:B,MATCH(Calculation!B81,Source_GM_code_CBS!C:C,0))</f>
        <v>GM0216</v>
      </c>
      <c r="D81" t="str">
        <f>Source_NS_Dashboard!I81</f>
        <v>7.842 (2024)</v>
      </c>
      <c r="E81" t="str">
        <f t="shared" si="4"/>
        <v>7.842</v>
      </c>
      <c r="F81" s="9" t="str">
        <f t="shared" si="5"/>
        <v>7842</v>
      </c>
      <c r="G81">
        <f t="shared" si="6"/>
        <v>7842</v>
      </c>
      <c r="H81">
        <f t="shared" si="7"/>
        <v>3.1052690975831407E-3</v>
      </c>
    </row>
    <row r="82" spans="1:8" x14ac:dyDescent="0.2">
      <c r="A82" t="str">
        <f>Source_NS_Dashboard!B82</f>
        <v>Daarlerveen</v>
      </c>
      <c r="B82" t="s">
        <v>1730</v>
      </c>
      <c r="C82" t="str">
        <f>INDEX(Source_GM_code_CBS!B:B,MATCH(Calculation!B82,Source_GM_code_CBS!C:C,0))</f>
        <v>GM0163</v>
      </c>
      <c r="D82" t="str">
        <f>Source_NS_Dashboard!I82</f>
        <v>&lt;100 (2005)</v>
      </c>
      <c r="E82" s="10">
        <v>100</v>
      </c>
      <c r="F82" s="9" t="str">
        <f t="shared" si="5"/>
        <v>100</v>
      </c>
      <c r="G82">
        <f t="shared" si="6"/>
        <v>100</v>
      </c>
      <c r="H82">
        <f t="shared" si="7"/>
        <v>3.9597922692975526E-5</v>
      </c>
    </row>
    <row r="83" spans="1:8" x14ac:dyDescent="0.2">
      <c r="A83" t="str">
        <f>Source_NS_Dashboard!B83</f>
        <v>Dalen</v>
      </c>
      <c r="B83" t="s">
        <v>310</v>
      </c>
      <c r="C83" t="str">
        <f>INDEX(Source_GM_code_CBS!B:B,MATCH(Calculation!B83,Source_GM_code_CBS!C:C,0))</f>
        <v>GM0109</v>
      </c>
      <c r="D83" t="str">
        <f>Source_NS_Dashboard!I83</f>
        <v>253 (2008)</v>
      </c>
      <c r="E83" t="str">
        <f t="shared" si="4"/>
        <v>253</v>
      </c>
      <c r="F83" s="9" t="str">
        <f t="shared" si="5"/>
        <v>253</v>
      </c>
      <c r="G83">
        <f t="shared" si="6"/>
        <v>253</v>
      </c>
      <c r="H83">
        <f t="shared" si="7"/>
        <v>1.0018274441322808E-4</v>
      </c>
    </row>
    <row r="84" spans="1:8" x14ac:dyDescent="0.2">
      <c r="A84" t="str">
        <f>Source_NS_Dashboard!B84</f>
        <v>Dalfsen</v>
      </c>
      <c r="B84" t="s">
        <v>328</v>
      </c>
      <c r="C84" t="str">
        <f>INDEX(Source_GM_code_CBS!B:B,MATCH(Calculation!B84,Source_GM_code_CBS!C:C,0))</f>
        <v>GM0148</v>
      </c>
      <c r="D84" t="str">
        <f>Source_NS_Dashboard!I84</f>
        <v>1.147 (2008)</v>
      </c>
      <c r="E84" t="str">
        <f t="shared" si="4"/>
        <v>1.147</v>
      </c>
      <c r="F84" s="9" t="str">
        <f t="shared" si="5"/>
        <v>1147</v>
      </c>
      <c r="G84">
        <f t="shared" si="6"/>
        <v>1147</v>
      </c>
      <c r="H84">
        <f t="shared" si="7"/>
        <v>4.541881732884293E-4</v>
      </c>
    </row>
    <row r="85" spans="1:8" x14ac:dyDescent="0.2">
      <c r="A85" t="str">
        <f>Source_NS_Dashboard!B85</f>
        <v>Leiden Voorschoten</v>
      </c>
      <c r="B85" t="s">
        <v>821</v>
      </c>
      <c r="C85" t="str">
        <f>INDEX(Source_GM_code_CBS!B:B,MATCH(Calculation!B85,Source_GM_code_CBS!C:C,0))</f>
        <v>GM0546</v>
      </c>
      <c r="D85" t="str">
        <f>Source_NS_Dashboard!I85</f>
        <v>2.603 (2023)</v>
      </c>
      <c r="E85" t="str">
        <f t="shared" si="4"/>
        <v>2.603</v>
      </c>
      <c r="F85" s="9" t="str">
        <f t="shared" si="5"/>
        <v>2603</v>
      </c>
      <c r="G85">
        <f t="shared" si="6"/>
        <v>2603</v>
      </c>
      <c r="H85">
        <f t="shared" si="7"/>
        <v>1.0307339276981529E-3</v>
      </c>
    </row>
    <row r="86" spans="1:8" x14ac:dyDescent="0.2">
      <c r="A86" t="str">
        <f>Source_NS_Dashboard!B86</f>
        <v>Zwaagwesteinde</v>
      </c>
      <c r="B86" s="5"/>
      <c r="C86" t="e">
        <f>INDEX(Source_GM_code_CBS!B:B,MATCH(Calculation!B86,Source_GM_code_CBS!C:C,0))</f>
        <v>#N/A</v>
      </c>
      <c r="D86" t="str">
        <f>Source_NS_Dashboard!I86</f>
        <v>-</v>
      </c>
      <c r="E86" t="str">
        <f t="shared" si="4"/>
        <v>0</v>
      </c>
      <c r="F86" s="9" t="str">
        <f t="shared" si="5"/>
        <v>0</v>
      </c>
      <c r="G86">
        <f t="shared" si="6"/>
        <v>0</v>
      </c>
      <c r="H86">
        <f t="shared" si="7"/>
        <v>0</v>
      </c>
    </row>
    <row r="87" spans="1:8" x14ac:dyDescent="0.2">
      <c r="A87" t="str">
        <f>Source_NS_Dashboard!B87</f>
        <v>Deinum</v>
      </c>
      <c r="B87" t="s">
        <v>2216</v>
      </c>
      <c r="C87" t="str">
        <f>INDEX(Source_GM_code_CBS!B:B,MATCH(Calculation!B87,Source_GM_code_CBS!C:C,0))</f>
        <v>GM1949</v>
      </c>
      <c r="D87" t="str">
        <f>Source_NS_Dashboard!I87</f>
        <v>154 (2009)</v>
      </c>
      <c r="E87" t="str">
        <f t="shared" si="4"/>
        <v>154</v>
      </c>
      <c r="F87" s="9" t="str">
        <f t="shared" si="5"/>
        <v>154</v>
      </c>
      <c r="G87">
        <f t="shared" si="6"/>
        <v>154</v>
      </c>
      <c r="H87">
        <f t="shared" si="7"/>
        <v>6.0980800947182312E-5</v>
      </c>
    </row>
    <row r="88" spans="1:8" x14ac:dyDescent="0.2">
      <c r="A88" t="str">
        <f>Source_NS_Dashboard!B88</f>
        <v>Delden</v>
      </c>
      <c r="B88" s="5"/>
      <c r="C88" t="e">
        <f>INDEX(Source_GM_code_CBS!B:B,MATCH(Calculation!B88,Source_GM_code_CBS!C:C,0))</f>
        <v>#N/A</v>
      </c>
      <c r="D88" t="str">
        <f>Source_NS_Dashboard!I88</f>
        <v>-</v>
      </c>
      <c r="E88" t="str">
        <f t="shared" si="4"/>
        <v>0</v>
      </c>
      <c r="F88" s="9" t="str">
        <f t="shared" si="5"/>
        <v>0</v>
      </c>
      <c r="G88">
        <f t="shared" si="6"/>
        <v>0</v>
      </c>
      <c r="H88">
        <f t="shared" si="7"/>
        <v>0</v>
      </c>
    </row>
    <row r="89" spans="1:8" x14ac:dyDescent="0.2">
      <c r="A89" t="str">
        <f>Source_NS_Dashboard!B89</f>
        <v>Delft</v>
      </c>
      <c r="B89" t="s">
        <v>345</v>
      </c>
      <c r="C89" t="str">
        <f>INDEX(Source_GM_code_CBS!B:B,MATCH(Calculation!B89,Source_GM_code_CBS!C:C,0))</f>
        <v>GM0503</v>
      </c>
      <c r="D89" t="str">
        <f>Source_NS_Dashboard!I89</f>
        <v>34.989 (2024)</v>
      </c>
      <c r="E89" t="str">
        <f t="shared" si="4"/>
        <v>34.989</v>
      </c>
      <c r="F89" s="9" t="str">
        <f t="shared" si="5"/>
        <v>34989</v>
      </c>
      <c r="G89">
        <f t="shared" si="6"/>
        <v>34989</v>
      </c>
      <c r="H89">
        <f t="shared" si="7"/>
        <v>1.3854917171045207E-2</v>
      </c>
    </row>
    <row r="90" spans="1:8" x14ac:dyDescent="0.2">
      <c r="A90" t="str">
        <f>Source_NS_Dashboard!B90</f>
        <v>Delft</v>
      </c>
      <c r="B90" t="s">
        <v>345</v>
      </c>
      <c r="C90" t="str">
        <f>INDEX(Source_GM_code_CBS!B:B,MATCH(Calculation!B90,Source_GM_code_CBS!C:C,0))</f>
        <v>GM0503</v>
      </c>
      <c r="D90" t="str">
        <f>Source_NS_Dashboard!I90</f>
        <v>4.232 (2023)</v>
      </c>
      <c r="E90" t="str">
        <f t="shared" si="4"/>
        <v>4.232</v>
      </c>
      <c r="F90" s="9" t="str">
        <f t="shared" si="5"/>
        <v>4232</v>
      </c>
      <c r="G90">
        <f t="shared" si="6"/>
        <v>4232</v>
      </c>
      <c r="H90">
        <f t="shared" si="7"/>
        <v>1.6757840883667244E-3</v>
      </c>
    </row>
    <row r="91" spans="1:8" x14ac:dyDescent="0.2">
      <c r="A91" t="str">
        <f>Source_NS_Dashboard!B91</f>
        <v>Delfzijl</v>
      </c>
      <c r="B91" t="s">
        <v>1620</v>
      </c>
      <c r="C91" t="str">
        <f>INDEX(Source_GM_code_CBS!B:B,MATCH(Calculation!B91,Source_GM_code_CBS!C:C,0))</f>
        <v>GM1979</v>
      </c>
      <c r="D91" t="str">
        <f>Source_NS_Dashboard!I91</f>
        <v>1.290 (2009)</v>
      </c>
      <c r="E91" t="str">
        <f t="shared" si="4"/>
        <v>1.290</v>
      </c>
      <c r="F91" s="9" t="str">
        <f t="shared" si="5"/>
        <v>1290</v>
      </c>
      <c r="G91">
        <f t="shared" si="6"/>
        <v>1290</v>
      </c>
      <c r="H91">
        <f t="shared" si="7"/>
        <v>5.1081320273938424E-4</v>
      </c>
    </row>
    <row r="92" spans="1:8" x14ac:dyDescent="0.2">
      <c r="A92" t="str">
        <f>Source_NS_Dashboard!B92</f>
        <v>Delfzijl</v>
      </c>
      <c r="B92" t="s">
        <v>1620</v>
      </c>
      <c r="C92" t="str">
        <f>INDEX(Source_GM_code_CBS!B:B,MATCH(Calculation!B92,Source_GM_code_CBS!C:C,0))</f>
        <v>GM1979</v>
      </c>
      <c r="D92" t="str">
        <f>Source_NS_Dashboard!I92</f>
        <v>465 (2009)</v>
      </c>
      <c r="E92" t="str">
        <f t="shared" si="4"/>
        <v>465</v>
      </c>
      <c r="F92" s="9" t="str">
        <f t="shared" si="5"/>
        <v>465</v>
      </c>
      <c r="G92">
        <f t="shared" si="6"/>
        <v>465</v>
      </c>
      <c r="H92">
        <f t="shared" si="7"/>
        <v>1.841303405223362E-4</v>
      </c>
    </row>
    <row r="93" spans="1:8" x14ac:dyDescent="0.2">
      <c r="A93" t="str">
        <f>Source_NS_Dashboard!B93</f>
        <v>Den Dolder</v>
      </c>
      <c r="B93" t="s">
        <v>2297</v>
      </c>
      <c r="C93" t="str">
        <f>INDEX(Source_GM_code_CBS!B:B,MATCH(Calculation!B93,Source_GM_code_CBS!C:C,0))</f>
        <v>GM0355</v>
      </c>
      <c r="D93" t="str">
        <f>Source_NS_Dashboard!I93</f>
        <v>1.783 (2023)</v>
      </c>
      <c r="E93" t="str">
        <f t="shared" si="4"/>
        <v>1.783</v>
      </c>
      <c r="F93" s="9" t="str">
        <f t="shared" si="5"/>
        <v>1783</v>
      </c>
      <c r="G93">
        <f t="shared" si="6"/>
        <v>1783</v>
      </c>
      <c r="H93">
        <f t="shared" si="7"/>
        <v>7.0603096161575367E-4</v>
      </c>
    </row>
    <row r="94" spans="1:8" x14ac:dyDescent="0.2">
      <c r="A94" t="str">
        <f>Source_NS_Dashboard!B94</f>
        <v>Den Haag</v>
      </c>
      <c r="B94" t="s">
        <v>1682</v>
      </c>
      <c r="C94" t="str">
        <f>INDEX(Source_GM_code_CBS!B:B,MATCH(Calculation!B94,Source_GM_code_CBS!C:C,0))</f>
        <v>GM0518</v>
      </c>
      <c r="D94" t="str">
        <f>Source_NS_Dashboard!I94</f>
        <v>80.091 (2024)</v>
      </c>
      <c r="E94" t="str">
        <f t="shared" si="4"/>
        <v>80.091</v>
      </c>
      <c r="F94" s="9" t="str">
        <f t="shared" si="5"/>
        <v>80091</v>
      </c>
      <c r="G94">
        <f t="shared" si="6"/>
        <v>80091</v>
      </c>
      <c r="H94">
        <f t="shared" si="7"/>
        <v>3.1714372264031031E-2</v>
      </c>
    </row>
    <row r="95" spans="1:8" x14ac:dyDescent="0.2">
      <c r="A95" t="str">
        <f>Source_NS_Dashboard!B95</f>
        <v>Den Haag</v>
      </c>
      <c r="B95" t="s">
        <v>1682</v>
      </c>
      <c r="C95" t="str">
        <f>INDEX(Source_GM_code_CBS!B:B,MATCH(Calculation!B95,Source_GM_code_CBS!C:C,0))</f>
        <v>GM0518</v>
      </c>
      <c r="D95" t="str">
        <f>Source_NS_Dashboard!I95</f>
        <v>31.212 (2024) (NS)</v>
      </c>
      <c r="E95" t="str">
        <f t="shared" si="4"/>
        <v>31.212</v>
      </c>
      <c r="F95" s="9" t="str">
        <f t="shared" si="5"/>
        <v>31212</v>
      </c>
      <c r="G95">
        <f t="shared" si="6"/>
        <v>31212</v>
      </c>
      <c r="H95">
        <f t="shared" si="7"/>
        <v>1.2359303630931521E-2</v>
      </c>
    </row>
    <row r="96" spans="1:8" x14ac:dyDescent="0.2">
      <c r="A96" t="str">
        <f>Source_NS_Dashboard!B96</f>
        <v>Den Haag</v>
      </c>
      <c r="B96" t="s">
        <v>1682</v>
      </c>
      <c r="C96" t="str">
        <f>INDEX(Source_GM_code_CBS!B:B,MATCH(Calculation!B96,Source_GM_code_CBS!C:C,0))</f>
        <v>GM0518</v>
      </c>
      <c r="D96" t="str">
        <f>Source_NS_Dashboard!I96</f>
        <v>16.862 (2024)</v>
      </c>
      <c r="E96" t="str">
        <f t="shared" si="4"/>
        <v>16.862</v>
      </c>
      <c r="F96" s="9" t="str">
        <f t="shared" si="5"/>
        <v>16862</v>
      </c>
      <c r="G96">
        <f t="shared" si="6"/>
        <v>16862</v>
      </c>
      <c r="H96">
        <f t="shared" si="7"/>
        <v>6.6770017244895336E-3</v>
      </c>
    </row>
    <row r="97" spans="1:8" x14ac:dyDescent="0.2">
      <c r="A97" t="str">
        <f>Source_NS_Dashboard!B97</f>
        <v>Den Haag</v>
      </c>
      <c r="B97" t="s">
        <v>1682</v>
      </c>
      <c r="C97" t="str">
        <f>INDEX(Source_GM_code_CBS!B:B,MATCH(Calculation!B97,Source_GM_code_CBS!C:C,0))</f>
        <v>GM0518</v>
      </c>
      <c r="D97" t="str">
        <f>Source_NS_Dashboard!I97</f>
        <v>2.451 (2023)</v>
      </c>
      <c r="E97" t="str">
        <f t="shared" si="4"/>
        <v>2.451</v>
      </c>
      <c r="F97" s="9" t="str">
        <f t="shared" si="5"/>
        <v>2451</v>
      </c>
      <c r="G97">
        <f t="shared" si="6"/>
        <v>2451</v>
      </c>
      <c r="H97">
        <f t="shared" si="7"/>
        <v>9.7054508520483013E-4</v>
      </c>
    </row>
    <row r="98" spans="1:8" x14ac:dyDescent="0.2">
      <c r="A98" t="str">
        <f>Source_NS_Dashboard!B98</f>
        <v>Den Haag</v>
      </c>
      <c r="B98" t="s">
        <v>1682</v>
      </c>
      <c r="C98" t="str">
        <f>INDEX(Source_GM_code_CBS!B:B,MATCH(Calculation!B98,Source_GM_code_CBS!C:C,0))</f>
        <v>GM0518</v>
      </c>
      <c r="D98" t="str">
        <f>Source_NS_Dashboard!I98</f>
        <v>2.434 (2022)</v>
      </c>
      <c r="E98" t="str">
        <f t="shared" si="4"/>
        <v>2.434</v>
      </c>
      <c r="F98" s="9" t="str">
        <f t="shared" si="5"/>
        <v>2434</v>
      </c>
      <c r="G98">
        <f t="shared" si="6"/>
        <v>2434</v>
      </c>
      <c r="H98">
        <f t="shared" si="7"/>
        <v>9.6381343834702436E-4</v>
      </c>
    </row>
    <row r="99" spans="1:8" x14ac:dyDescent="0.2">
      <c r="A99" t="str">
        <f>Source_NS_Dashboard!B99</f>
        <v>Den Haag</v>
      </c>
      <c r="B99" t="s">
        <v>1682</v>
      </c>
      <c r="C99" t="str">
        <f>INDEX(Source_GM_code_CBS!B:B,MATCH(Calculation!B99,Source_GM_code_CBS!C:C,0))</f>
        <v>GM0518</v>
      </c>
      <c r="D99" t="str">
        <f>Source_NS_Dashboard!I99</f>
        <v>1.945 (2023)</v>
      </c>
      <c r="E99" t="str">
        <f t="shared" si="4"/>
        <v>1.945</v>
      </c>
      <c r="F99" s="9" t="str">
        <f t="shared" si="5"/>
        <v>1945</v>
      </c>
      <c r="G99">
        <f t="shared" si="6"/>
        <v>1945</v>
      </c>
      <c r="H99">
        <f t="shared" si="7"/>
        <v>7.7017959637837394E-4</v>
      </c>
    </row>
    <row r="100" spans="1:8" x14ac:dyDescent="0.2">
      <c r="A100" t="str">
        <f>Source_NS_Dashboard!B100</f>
        <v>Den Helder</v>
      </c>
      <c r="B100" t="s">
        <v>382</v>
      </c>
      <c r="C100" t="str">
        <f>INDEX(Source_GM_code_CBS!B:B,MATCH(Calculation!B100,Source_GM_code_CBS!C:C,0))</f>
        <v>GM0400</v>
      </c>
      <c r="D100" t="str">
        <f>Source_NS_Dashboard!I100</f>
        <v>3.187 (2023)</v>
      </c>
      <c r="E100" t="str">
        <f t="shared" si="4"/>
        <v>3.187</v>
      </c>
      <c r="F100" s="9" t="str">
        <f t="shared" si="5"/>
        <v>3187</v>
      </c>
      <c r="G100">
        <f t="shared" si="6"/>
        <v>3187</v>
      </c>
      <c r="H100">
        <f t="shared" si="7"/>
        <v>1.2619857962251301E-3</v>
      </c>
    </row>
    <row r="101" spans="1:8" x14ac:dyDescent="0.2">
      <c r="A101" t="str">
        <f>Source_NS_Dashboard!B101</f>
        <v>Den Helder</v>
      </c>
      <c r="B101" t="s">
        <v>382</v>
      </c>
      <c r="C101" t="str">
        <f>INDEX(Source_GM_code_CBS!B:B,MATCH(Calculation!B101,Source_GM_code_CBS!C:C,0))</f>
        <v>GM0400</v>
      </c>
      <c r="D101" t="str">
        <f>Source_NS_Dashboard!I101</f>
        <v>1.657 (2023)</v>
      </c>
      <c r="E101" t="str">
        <f t="shared" si="4"/>
        <v>1.657</v>
      </c>
      <c r="F101" s="9" t="str">
        <f t="shared" si="5"/>
        <v>1657</v>
      </c>
      <c r="G101">
        <f t="shared" si="6"/>
        <v>1657</v>
      </c>
      <c r="H101">
        <f t="shared" si="7"/>
        <v>6.5613757902260449E-4</v>
      </c>
    </row>
    <row r="102" spans="1:8" x14ac:dyDescent="0.2">
      <c r="A102" t="str">
        <f>Source_NS_Dashboard!B102</f>
        <v>Deurne</v>
      </c>
      <c r="B102" t="s">
        <v>388</v>
      </c>
      <c r="C102" t="str">
        <f>INDEX(Source_GM_code_CBS!B:B,MATCH(Calculation!B102,Source_GM_code_CBS!C:C,0))</f>
        <v>GM0762</v>
      </c>
      <c r="D102" t="str">
        <f>Source_NS_Dashboard!I102</f>
        <v>3.868 (2023)</v>
      </c>
      <c r="E102" t="str">
        <f t="shared" si="4"/>
        <v>3.868</v>
      </c>
      <c r="F102" s="9" t="str">
        <f t="shared" si="5"/>
        <v>3868</v>
      </c>
      <c r="G102">
        <f t="shared" si="6"/>
        <v>3868</v>
      </c>
      <c r="H102">
        <f t="shared" si="7"/>
        <v>1.5316476497642933E-3</v>
      </c>
    </row>
    <row r="103" spans="1:8" x14ac:dyDescent="0.2">
      <c r="A103" t="str">
        <f>Source_NS_Dashboard!B103</f>
        <v>Deventer</v>
      </c>
      <c r="B103" t="s">
        <v>392</v>
      </c>
      <c r="C103" t="str">
        <f>INDEX(Source_GM_code_CBS!B:B,MATCH(Calculation!B103,Source_GM_code_CBS!C:C,0))</f>
        <v>GM0150</v>
      </c>
      <c r="D103" t="str">
        <f>Source_NS_Dashboard!I103</f>
        <v>20.355 (2024) (NS)</v>
      </c>
      <c r="E103" t="str">
        <f t="shared" si="4"/>
        <v>20.355</v>
      </c>
      <c r="F103" s="9" t="str">
        <f t="shared" si="5"/>
        <v>20355</v>
      </c>
      <c r="G103">
        <f t="shared" si="6"/>
        <v>20355</v>
      </c>
      <c r="H103">
        <f t="shared" si="7"/>
        <v>8.0601571641551687E-3</v>
      </c>
    </row>
    <row r="104" spans="1:8" x14ac:dyDescent="0.2">
      <c r="A104" t="str">
        <f>Source_NS_Dashboard!B104</f>
        <v>Deventer</v>
      </c>
      <c r="B104" t="s">
        <v>392</v>
      </c>
      <c r="C104" t="str">
        <f>INDEX(Source_GM_code_CBS!B:B,MATCH(Calculation!B104,Source_GM_code_CBS!C:C,0))</f>
        <v>GM0150</v>
      </c>
      <c r="D104" t="str">
        <f>Source_NS_Dashboard!I104</f>
        <v>1.138 (2023)</v>
      </c>
      <c r="E104" t="str">
        <f t="shared" si="4"/>
        <v>1.138</v>
      </c>
      <c r="F104" s="9" t="str">
        <f t="shared" si="5"/>
        <v>1138</v>
      </c>
      <c r="G104">
        <f t="shared" si="6"/>
        <v>1138</v>
      </c>
      <c r="H104">
        <f t="shared" si="7"/>
        <v>4.506243602460615E-4</v>
      </c>
    </row>
    <row r="105" spans="1:8" x14ac:dyDescent="0.2">
      <c r="A105" t="str">
        <f>Source_NS_Dashboard!B105</f>
        <v>Didam</v>
      </c>
      <c r="B105" t="s">
        <v>1900</v>
      </c>
      <c r="C105" t="str">
        <f>INDEX(Source_GM_code_CBS!B:B,MATCH(Calculation!B105,Source_GM_code_CBS!C:C,0))</f>
        <v>GM1955</v>
      </c>
      <c r="D105" t="str">
        <f>Source_NS_Dashboard!I105</f>
        <v>1.892 (2005)</v>
      </c>
      <c r="E105" t="str">
        <f t="shared" si="4"/>
        <v>1.892</v>
      </c>
      <c r="F105" s="9" t="str">
        <f t="shared" si="5"/>
        <v>1892</v>
      </c>
      <c r="G105">
        <f t="shared" si="6"/>
        <v>1892</v>
      </c>
      <c r="H105">
        <f t="shared" si="7"/>
        <v>7.4919269735109699E-4</v>
      </c>
    </row>
    <row r="106" spans="1:8" x14ac:dyDescent="0.2">
      <c r="A106" t="str">
        <f>Source_NS_Dashboard!B106</f>
        <v>Diemen</v>
      </c>
      <c r="B106" t="s">
        <v>405</v>
      </c>
      <c r="C106" t="str">
        <f>INDEX(Source_GM_code_CBS!B:B,MATCH(Calculation!B106,Source_GM_code_CBS!C:C,0))</f>
        <v>GM0384</v>
      </c>
      <c r="D106" t="str">
        <f>Source_NS_Dashboard!I106</f>
        <v>2.718 (2023)</v>
      </c>
      <c r="E106" t="str">
        <f t="shared" si="4"/>
        <v>2.718</v>
      </c>
      <c r="F106" s="9" t="str">
        <f t="shared" si="5"/>
        <v>2718</v>
      </c>
      <c r="G106">
        <f t="shared" si="6"/>
        <v>2718</v>
      </c>
      <c r="H106">
        <f t="shared" si="7"/>
        <v>1.0762715387950749E-3</v>
      </c>
    </row>
    <row r="107" spans="1:8" x14ac:dyDescent="0.2">
      <c r="A107" t="str">
        <f>Source_NS_Dashboard!B107</f>
        <v>Diemen</v>
      </c>
      <c r="B107" t="s">
        <v>405</v>
      </c>
      <c r="C107" t="str">
        <f>INDEX(Source_GM_code_CBS!B:B,MATCH(Calculation!B107,Source_GM_code_CBS!C:C,0))</f>
        <v>GM0384</v>
      </c>
      <c r="D107" t="str">
        <f>Source_NS_Dashboard!I107</f>
        <v>3.258 (2023)</v>
      </c>
      <c r="E107" t="str">
        <f t="shared" si="4"/>
        <v>3.258</v>
      </c>
      <c r="F107" s="9" t="str">
        <f t="shared" si="5"/>
        <v>3258</v>
      </c>
      <c r="G107">
        <f t="shared" si="6"/>
        <v>3258</v>
      </c>
      <c r="H107">
        <f t="shared" si="7"/>
        <v>1.2901003213371426E-3</v>
      </c>
    </row>
    <row r="108" spans="1:8" x14ac:dyDescent="0.2">
      <c r="A108" t="str">
        <f>Source_NS_Dashboard!B108</f>
        <v>Dieren</v>
      </c>
      <c r="B108" t="s">
        <v>985</v>
      </c>
      <c r="C108" t="str">
        <f>INDEX(Source_GM_code_CBS!B:B,MATCH(Calculation!B108,Source_GM_code_CBS!C:C,0))</f>
        <v>GM0275</v>
      </c>
      <c r="D108" t="str">
        <f>Source_NS_Dashboard!I108</f>
        <v>3.470 (2023) (NS)</v>
      </c>
      <c r="E108" t="str">
        <f t="shared" si="4"/>
        <v>3.470</v>
      </c>
      <c r="F108" s="9" t="str">
        <f t="shared" si="5"/>
        <v>3470</v>
      </c>
      <c r="G108">
        <f t="shared" si="6"/>
        <v>3470</v>
      </c>
      <c r="H108">
        <f t="shared" si="7"/>
        <v>1.3740479174462507E-3</v>
      </c>
    </row>
    <row r="109" spans="1:8" x14ac:dyDescent="0.2">
      <c r="A109" t="str">
        <f>Source_NS_Dashboard!B109</f>
        <v>Doetinchem</v>
      </c>
      <c r="B109" t="s">
        <v>416</v>
      </c>
      <c r="C109" t="str">
        <f>INDEX(Source_GM_code_CBS!B:B,MATCH(Calculation!B109,Source_GM_code_CBS!C:C,0))</f>
        <v>GM0222</v>
      </c>
      <c r="D109" t="str">
        <f>Source_NS_Dashboard!I109</f>
        <v>7.283 (2013)</v>
      </c>
      <c r="E109" t="str">
        <f t="shared" si="4"/>
        <v>7.283</v>
      </c>
      <c r="F109" s="9" t="str">
        <f t="shared" si="5"/>
        <v>7283</v>
      </c>
      <c r="G109">
        <f t="shared" si="6"/>
        <v>7283</v>
      </c>
      <c r="H109">
        <f t="shared" si="7"/>
        <v>2.8839167097294074E-3</v>
      </c>
    </row>
    <row r="110" spans="1:8" x14ac:dyDescent="0.2">
      <c r="A110" t="str">
        <f>Source_NS_Dashboard!B110</f>
        <v>Doetinchem</v>
      </c>
      <c r="B110" t="s">
        <v>416</v>
      </c>
      <c r="C110" t="str">
        <f>INDEX(Source_GM_code_CBS!B:B,MATCH(Calculation!B110,Source_GM_code_CBS!C:C,0))</f>
        <v>GM0222</v>
      </c>
      <c r="D110" t="str">
        <f>Source_NS_Dashboard!I110</f>
        <v>1.232 (2005)</v>
      </c>
      <c r="E110" t="str">
        <f t="shared" si="4"/>
        <v>1.232</v>
      </c>
      <c r="F110" s="9" t="str">
        <f t="shared" si="5"/>
        <v>1232</v>
      </c>
      <c r="G110">
        <f t="shared" si="6"/>
        <v>1232</v>
      </c>
      <c r="H110">
        <f t="shared" si="7"/>
        <v>4.878464075774585E-4</v>
      </c>
    </row>
    <row r="111" spans="1:8" x14ac:dyDescent="0.2">
      <c r="A111" t="str">
        <f>Source_NS_Dashboard!B111</f>
        <v>Dordrecht</v>
      </c>
      <c r="B111" t="s">
        <v>422</v>
      </c>
      <c r="C111" t="str">
        <f>INDEX(Source_GM_code_CBS!B:B,MATCH(Calculation!B111,Source_GM_code_CBS!C:C,0))</f>
        <v>GM0505</v>
      </c>
      <c r="D111" t="str">
        <f>Source_NS_Dashboard!I111</f>
        <v>20.360 (2024) (NS)</v>
      </c>
      <c r="E111" t="str">
        <f t="shared" si="4"/>
        <v>20.360</v>
      </c>
      <c r="F111" s="9" t="str">
        <f t="shared" si="5"/>
        <v>20360</v>
      </c>
      <c r="G111">
        <f t="shared" si="6"/>
        <v>20360</v>
      </c>
      <c r="H111">
        <f t="shared" si="7"/>
        <v>8.062137060289817E-3</v>
      </c>
    </row>
    <row r="112" spans="1:8" x14ac:dyDescent="0.2">
      <c r="A112" t="str">
        <f>Source_NS_Dashboard!B112</f>
        <v>Dordrecht</v>
      </c>
      <c r="B112" t="s">
        <v>422</v>
      </c>
      <c r="C112" t="str">
        <f>INDEX(Source_GM_code_CBS!B:B,MATCH(Calculation!B112,Source_GM_code_CBS!C:C,0))</f>
        <v>GM0505</v>
      </c>
      <c r="D112" t="str">
        <f>Source_NS_Dashboard!I112</f>
        <v>709 (2014)</v>
      </c>
      <c r="E112" t="str">
        <f t="shared" si="4"/>
        <v>709</v>
      </c>
      <c r="F112" s="9" t="str">
        <f t="shared" si="5"/>
        <v>709</v>
      </c>
      <c r="G112">
        <f t="shared" si="6"/>
        <v>709</v>
      </c>
      <c r="H112">
        <f t="shared" si="7"/>
        <v>2.8074927189319649E-4</v>
      </c>
    </row>
    <row r="113" spans="1:8" x14ac:dyDescent="0.2">
      <c r="A113" t="str">
        <f>Source_NS_Dashboard!B113</f>
        <v>Dordrecht</v>
      </c>
      <c r="B113" t="s">
        <v>422</v>
      </c>
      <c r="C113" t="str">
        <f>INDEX(Source_GM_code_CBS!B:B,MATCH(Calculation!B113,Source_GM_code_CBS!C:C,0))</f>
        <v>GM0505</v>
      </c>
      <c r="D113" t="str">
        <f>Source_NS_Dashboard!I113</f>
        <v>924 (2023)</v>
      </c>
      <c r="E113" t="str">
        <f t="shared" si="4"/>
        <v>924</v>
      </c>
      <c r="F113" s="9" t="str">
        <f t="shared" si="5"/>
        <v>924</v>
      </c>
      <c r="G113">
        <f t="shared" si="6"/>
        <v>924</v>
      </c>
      <c r="H113">
        <f t="shared" si="7"/>
        <v>3.6588480568309389E-4</v>
      </c>
    </row>
    <row r="114" spans="1:8" x14ac:dyDescent="0.2">
      <c r="A114" t="str">
        <f>Source_NS_Dashboard!B114</f>
        <v>Driebergen-Rijsenburg</v>
      </c>
      <c r="B114" t="s">
        <v>2164</v>
      </c>
      <c r="C114" t="str">
        <f>INDEX(Source_GM_code_CBS!B:B,MATCH(Calculation!B114,Source_GM_code_CBS!C:C,0))</f>
        <v>GM1581</v>
      </c>
      <c r="D114" t="str">
        <f>Source_NS_Dashboard!I114</f>
        <v>9.139 (2024)</v>
      </c>
      <c r="E114" t="str">
        <f t="shared" si="4"/>
        <v>9.139</v>
      </c>
      <c r="F114" s="9" t="str">
        <f t="shared" si="5"/>
        <v>9139</v>
      </c>
      <c r="G114">
        <f t="shared" si="6"/>
        <v>9139</v>
      </c>
      <c r="H114">
        <f t="shared" si="7"/>
        <v>3.6188541549110336E-3</v>
      </c>
    </row>
    <row r="115" spans="1:8" x14ac:dyDescent="0.2">
      <c r="A115" t="str">
        <f>Source_NS_Dashboard!B115</f>
        <v>Driehuis</v>
      </c>
      <c r="B115" t="s">
        <v>2186</v>
      </c>
      <c r="C115" t="str">
        <f>INDEX(Source_GM_code_CBS!B:B,MATCH(Calculation!B115,Source_GM_code_CBS!C:C,0))</f>
        <v>GM0453</v>
      </c>
      <c r="D115" t="str">
        <f>Source_NS_Dashboard!I115</f>
        <v>943 (2023)</v>
      </c>
      <c r="E115" t="str">
        <f t="shared" si="4"/>
        <v>943</v>
      </c>
      <c r="F115" s="9" t="str">
        <f t="shared" si="5"/>
        <v>943</v>
      </c>
      <c r="G115">
        <f t="shared" si="6"/>
        <v>943</v>
      </c>
      <c r="H115">
        <f t="shared" si="7"/>
        <v>3.7340841099475921E-4</v>
      </c>
    </row>
    <row r="116" spans="1:8" x14ac:dyDescent="0.2">
      <c r="A116" t="str">
        <f>Source_NS_Dashboard!B116</f>
        <v>Dronrijp</v>
      </c>
      <c r="B116" t="s">
        <v>2216</v>
      </c>
      <c r="C116" t="str">
        <f>INDEX(Source_GM_code_CBS!B:B,MATCH(Calculation!B116,Source_GM_code_CBS!C:C,0))</f>
        <v>GM1949</v>
      </c>
      <c r="D116" t="str">
        <f>Source_NS_Dashboard!I116</f>
        <v>144 (2009)</v>
      </c>
      <c r="E116" t="str">
        <f t="shared" si="4"/>
        <v>144</v>
      </c>
      <c r="F116" s="9" t="str">
        <f t="shared" si="5"/>
        <v>144</v>
      </c>
      <c r="G116">
        <f t="shared" si="6"/>
        <v>144</v>
      </c>
      <c r="H116">
        <f t="shared" si="7"/>
        <v>5.7021008677884761E-5</v>
      </c>
    </row>
    <row r="117" spans="1:8" x14ac:dyDescent="0.2">
      <c r="A117" t="str">
        <f>Source_NS_Dashboard!B117</f>
        <v>Dronten</v>
      </c>
      <c r="B117" t="s">
        <v>444</v>
      </c>
      <c r="C117" t="str">
        <f>INDEX(Source_GM_code_CBS!B:B,MATCH(Calculation!B117,Source_GM_code_CBS!C:C,0))</f>
        <v>GM0303</v>
      </c>
      <c r="D117" t="str">
        <f>Source_NS_Dashboard!I117</f>
        <v>2.810 (2023)</v>
      </c>
      <c r="E117" t="str">
        <f t="shared" si="4"/>
        <v>2.810</v>
      </c>
      <c r="F117" s="9" t="str">
        <f t="shared" si="5"/>
        <v>2810</v>
      </c>
      <c r="G117">
        <f t="shared" si="6"/>
        <v>2810</v>
      </c>
      <c r="H117">
        <f t="shared" si="7"/>
        <v>1.1127016276726122E-3</v>
      </c>
    </row>
    <row r="118" spans="1:8" x14ac:dyDescent="0.2">
      <c r="A118" t="str">
        <f>Source_NS_Dashboard!B118</f>
        <v>Duiven</v>
      </c>
      <c r="B118" t="s">
        <v>448</v>
      </c>
      <c r="C118" t="str">
        <f>INDEX(Source_GM_code_CBS!B:B,MATCH(Calculation!B118,Source_GM_code_CBS!C:C,0))</f>
        <v>GM0226</v>
      </c>
      <c r="D118" t="str">
        <f>Source_NS_Dashboard!I118</f>
        <v>3.264 (2005)</v>
      </c>
      <c r="E118" t="str">
        <f t="shared" si="4"/>
        <v>3.264</v>
      </c>
      <c r="F118" s="9" t="str">
        <f t="shared" si="5"/>
        <v>3264</v>
      </c>
      <c r="G118">
        <f t="shared" si="6"/>
        <v>3264</v>
      </c>
      <c r="H118">
        <f t="shared" si="7"/>
        <v>1.2924761966987212E-3</v>
      </c>
    </row>
    <row r="119" spans="1:8" x14ac:dyDescent="0.2">
      <c r="A119" t="str">
        <f>Source_NS_Dashboard!B119</f>
        <v>Duivendrecht</v>
      </c>
      <c r="B119" t="s">
        <v>1992</v>
      </c>
      <c r="C119" t="str">
        <f>INDEX(Source_GM_code_CBS!B:B,MATCH(Calculation!B119,Source_GM_code_CBS!C:C,0))</f>
        <v>GM0437</v>
      </c>
      <c r="D119" t="str">
        <f>Source_NS_Dashboard!I119</f>
        <v>9.459 (2024) (NS)</v>
      </c>
      <c r="E119" t="str">
        <f t="shared" si="4"/>
        <v>9.459</v>
      </c>
      <c r="F119" s="9" t="str">
        <f t="shared" si="5"/>
        <v>9459</v>
      </c>
      <c r="G119">
        <f t="shared" si="6"/>
        <v>9459</v>
      </c>
      <c r="H119">
        <f t="shared" si="7"/>
        <v>3.7455675075285552E-3</v>
      </c>
    </row>
    <row r="120" spans="1:8" x14ac:dyDescent="0.2">
      <c r="A120" t="str">
        <f>Source_NS_Dashboard!B120</f>
        <v>Echt</v>
      </c>
      <c r="B120" t="s">
        <v>1609</v>
      </c>
      <c r="C120" t="str">
        <f>INDEX(Source_GM_code_CBS!B:B,MATCH(Calculation!B120,Source_GM_code_CBS!C:C,0))</f>
        <v>GM1711</v>
      </c>
      <c r="D120" t="str">
        <f>Source_NS_Dashboard!I120</f>
        <v>2.097 (2016)</v>
      </c>
      <c r="E120" t="str">
        <f t="shared" si="4"/>
        <v>2.097</v>
      </c>
      <c r="F120" s="9" t="str">
        <f t="shared" si="5"/>
        <v>2097</v>
      </c>
      <c r="G120">
        <f t="shared" si="6"/>
        <v>2097</v>
      </c>
      <c r="H120">
        <f t="shared" si="7"/>
        <v>8.3036843887169674E-4</v>
      </c>
    </row>
    <row r="121" spans="1:8" x14ac:dyDescent="0.2">
      <c r="A121" t="str">
        <f>Source_NS_Dashboard!B121</f>
        <v>Ede</v>
      </c>
      <c r="B121" t="s">
        <v>459</v>
      </c>
      <c r="C121" t="str">
        <f>INDEX(Source_GM_code_CBS!B:B,MATCH(Calculation!B121,Source_GM_code_CBS!C:C,0))</f>
        <v>GM0228</v>
      </c>
      <c r="D121" t="str">
        <f>Source_NS_Dashboard!I121</f>
        <v>-</v>
      </c>
      <c r="E121" t="str">
        <f t="shared" si="4"/>
        <v>0</v>
      </c>
      <c r="F121" s="9" t="str">
        <f t="shared" si="5"/>
        <v>0</v>
      </c>
      <c r="G121">
        <f t="shared" si="6"/>
        <v>0</v>
      </c>
      <c r="H121">
        <f t="shared" si="7"/>
        <v>0</v>
      </c>
    </row>
    <row r="122" spans="1:8" x14ac:dyDescent="0.2">
      <c r="A122" t="str">
        <f>Source_NS_Dashboard!B122</f>
        <v>Ede</v>
      </c>
      <c r="B122" t="s">
        <v>459</v>
      </c>
      <c r="C122" t="str">
        <f>INDEX(Source_GM_code_CBS!B:B,MATCH(Calculation!B122,Source_GM_code_CBS!C:C,0))</f>
        <v>GM0228</v>
      </c>
      <c r="D122" t="str">
        <f>Source_NS_Dashboard!I122</f>
        <v>15.346 (2024) (NS)</v>
      </c>
      <c r="E122" t="str">
        <f t="shared" si="4"/>
        <v>15.346</v>
      </c>
      <c r="F122" s="9" t="str">
        <f t="shared" si="5"/>
        <v>15346</v>
      </c>
      <c r="G122">
        <f t="shared" si="6"/>
        <v>15346</v>
      </c>
      <c r="H122">
        <f t="shared" si="7"/>
        <v>6.0766972164640245E-3</v>
      </c>
    </row>
    <row r="123" spans="1:8" x14ac:dyDescent="0.2">
      <c r="A123" t="str">
        <f>Source_NS_Dashboard!B123</f>
        <v>Eemshaven</v>
      </c>
      <c r="B123" t="s">
        <v>1761</v>
      </c>
      <c r="C123" t="str">
        <f>INDEX(Source_GM_code_CBS!B:B,MATCH(Calculation!B123,Source_GM_code_CBS!C:C,0))</f>
        <v>GM1966</v>
      </c>
      <c r="D123" t="str">
        <f>Source_NS_Dashboard!I123</f>
        <v>-</v>
      </c>
      <c r="E123" t="str">
        <f t="shared" si="4"/>
        <v>0</v>
      </c>
      <c r="F123" s="9" t="str">
        <f t="shared" si="5"/>
        <v>0</v>
      </c>
      <c r="G123">
        <f t="shared" si="6"/>
        <v>0</v>
      </c>
      <c r="H123">
        <f t="shared" si="7"/>
        <v>0</v>
      </c>
    </row>
    <row r="124" spans="1:8" x14ac:dyDescent="0.2">
      <c r="A124" t="str">
        <f>Source_NS_Dashboard!B124</f>
        <v>Eijsden</v>
      </c>
      <c r="B124" t="s">
        <v>1628</v>
      </c>
      <c r="C124" t="str">
        <f>INDEX(Source_GM_code_CBS!B:B,MATCH(Calculation!B124,Source_GM_code_CBS!C:C,0))</f>
        <v>GM1903</v>
      </c>
      <c r="D124" t="str">
        <f>Source_NS_Dashboard!I124</f>
        <v>160 (2018)</v>
      </c>
      <c r="E124" t="str">
        <f t="shared" si="4"/>
        <v>160</v>
      </c>
      <c r="F124" s="9" t="str">
        <f t="shared" si="5"/>
        <v>160</v>
      </c>
      <c r="G124">
        <f t="shared" si="6"/>
        <v>160</v>
      </c>
      <c r="H124">
        <f t="shared" si="7"/>
        <v>6.3356676308760847E-5</v>
      </c>
    </row>
    <row r="125" spans="1:8" x14ac:dyDescent="0.2">
      <c r="A125" t="str">
        <f>Source_NS_Dashboard!B125</f>
        <v>Eindhoven</v>
      </c>
      <c r="B125" t="s">
        <v>474</v>
      </c>
      <c r="C125" t="str">
        <f>INDEX(Source_GM_code_CBS!B:B,MATCH(Calculation!B125,Source_GM_code_CBS!C:C,0))</f>
        <v>GM0772</v>
      </c>
      <c r="D125" t="str">
        <f>Source_NS_Dashboard!I125</f>
        <v>63.532 (2023) (NS)</v>
      </c>
      <c r="E125" t="str">
        <f t="shared" si="4"/>
        <v>63.532</v>
      </c>
      <c r="F125" s="9" t="str">
        <f t="shared" si="5"/>
        <v>63532</v>
      </c>
      <c r="G125">
        <f t="shared" si="6"/>
        <v>63532</v>
      </c>
      <c r="H125">
        <f t="shared" si="7"/>
        <v>2.5157352245301211E-2</v>
      </c>
    </row>
    <row r="126" spans="1:8" x14ac:dyDescent="0.2">
      <c r="A126" t="str">
        <f>Source_NS_Dashboard!B126</f>
        <v>Eindhoven</v>
      </c>
      <c r="B126" t="s">
        <v>474</v>
      </c>
      <c r="C126" t="str">
        <f>INDEX(Source_GM_code_CBS!B:B,MATCH(Calculation!B126,Source_GM_code_CBS!C:C,0))</f>
        <v>GM0772</v>
      </c>
      <c r="D126" t="str">
        <f>Source_NS_Dashboard!I126</f>
        <v>-</v>
      </c>
      <c r="E126" t="str">
        <f t="shared" si="4"/>
        <v>0</v>
      </c>
      <c r="F126" s="9" t="str">
        <f t="shared" si="5"/>
        <v>0</v>
      </c>
      <c r="G126">
        <f t="shared" si="6"/>
        <v>0</v>
      </c>
      <c r="H126">
        <f t="shared" si="7"/>
        <v>0</v>
      </c>
    </row>
    <row r="127" spans="1:8" x14ac:dyDescent="0.2">
      <c r="A127" t="str">
        <f>Source_NS_Dashboard!B127</f>
        <v>Eindhoven</v>
      </c>
      <c r="B127" t="s">
        <v>474</v>
      </c>
      <c r="C127" t="str">
        <f>INDEX(Source_GM_code_CBS!B:B,MATCH(Calculation!B127,Source_GM_code_CBS!C:C,0))</f>
        <v>GM0772</v>
      </c>
      <c r="D127" t="str">
        <f>Source_NS_Dashboard!I127</f>
        <v>3.887 (2023)</v>
      </c>
      <c r="E127" t="str">
        <f t="shared" si="4"/>
        <v>3.887</v>
      </c>
      <c r="F127" s="9" t="str">
        <f t="shared" si="5"/>
        <v>3887</v>
      </c>
      <c r="G127">
        <f t="shared" si="6"/>
        <v>3887</v>
      </c>
      <c r="H127">
        <f t="shared" si="7"/>
        <v>1.5391712550759588E-3</v>
      </c>
    </row>
    <row r="128" spans="1:8" x14ac:dyDescent="0.2">
      <c r="A128" t="str">
        <f>Source_NS_Dashboard!B128</f>
        <v>Elst</v>
      </c>
      <c r="B128" t="s">
        <v>1998</v>
      </c>
      <c r="C128" t="str">
        <f>INDEX(Source_GM_code_CBS!B:B,MATCH(Calculation!B128,Source_GM_code_CBS!C:C,0))</f>
        <v>GM1734</v>
      </c>
      <c r="D128" t="str">
        <f>Source_NS_Dashboard!I128</f>
        <v>3.656 (2023) (NS)</v>
      </c>
      <c r="E128" t="str">
        <f t="shared" si="4"/>
        <v>3.656</v>
      </c>
      <c r="F128" s="9" t="str">
        <f t="shared" si="5"/>
        <v>3656</v>
      </c>
      <c r="G128">
        <f t="shared" si="6"/>
        <v>3656</v>
      </c>
      <c r="H128">
        <f t="shared" si="7"/>
        <v>1.4477000536551852E-3</v>
      </c>
    </row>
    <row r="129" spans="1:8" x14ac:dyDescent="0.2">
      <c r="A129" t="str">
        <f>Source_NS_Dashboard!B129</f>
        <v>Emmen</v>
      </c>
      <c r="B129" t="s">
        <v>487</v>
      </c>
      <c r="C129" t="str">
        <f>INDEX(Source_GM_code_CBS!B:B,MATCH(Calculation!B129,Source_GM_code_CBS!C:C,0))</f>
        <v>GM0114</v>
      </c>
      <c r="D129" t="str">
        <f>Source_NS_Dashboard!I129</f>
        <v>2.613 (2009)</v>
      </c>
      <c r="E129" t="str">
        <f t="shared" si="4"/>
        <v>2.613</v>
      </c>
      <c r="F129" s="9" t="str">
        <f t="shared" si="5"/>
        <v>2613</v>
      </c>
      <c r="G129">
        <f t="shared" si="6"/>
        <v>2613</v>
      </c>
      <c r="H129">
        <f t="shared" si="7"/>
        <v>1.0346937199674506E-3</v>
      </c>
    </row>
    <row r="130" spans="1:8" x14ac:dyDescent="0.2">
      <c r="A130" t="str">
        <f>Source_NS_Dashboard!B130</f>
        <v>Emmen</v>
      </c>
      <c r="B130" t="s">
        <v>487</v>
      </c>
      <c r="C130" t="str">
        <f>INDEX(Source_GM_code_CBS!B:B,MATCH(Calculation!B130,Source_GM_code_CBS!C:C,0))</f>
        <v>GM0114</v>
      </c>
      <c r="D130" t="str">
        <f>Source_NS_Dashboard!I130</f>
        <v>-</v>
      </c>
      <c r="E130" t="str">
        <f t="shared" si="4"/>
        <v>0</v>
      </c>
      <c r="F130" s="9" t="str">
        <f t="shared" si="5"/>
        <v>0</v>
      </c>
      <c r="G130">
        <f t="shared" si="6"/>
        <v>0</v>
      </c>
      <c r="H130">
        <f t="shared" si="7"/>
        <v>0</v>
      </c>
    </row>
    <row r="131" spans="1:8" x14ac:dyDescent="0.2">
      <c r="A131" t="str">
        <f>Source_NS_Dashboard!B131</f>
        <v>Enkhuizen</v>
      </c>
      <c r="B131" t="s">
        <v>492</v>
      </c>
      <c r="C131" t="str">
        <f>INDEX(Source_GM_code_CBS!B:B,MATCH(Calculation!B131,Source_GM_code_CBS!C:C,0))</f>
        <v>GM0388</v>
      </c>
      <c r="D131" t="str">
        <f>Source_NS_Dashboard!I131</f>
        <v>1.607 (2022)</v>
      </c>
      <c r="E131" t="str">
        <f t="shared" ref="E131:E194" si="8">IFERROR(LEFT(D131,FIND(" ",D131,1)-1),"0")</f>
        <v>1.607</v>
      </c>
      <c r="F131" s="9" t="str">
        <f t="shared" ref="F131:F194" si="9">SUBSTITUTE(E131,".","")</f>
        <v>1607</v>
      </c>
      <c r="G131">
        <f t="shared" ref="G131:G194" si="10">VALUE(F131)</f>
        <v>1607</v>
      </c>
      <c r="H131">
        <f t="shared" ref="H131:H194" si="11">G131/(SUM($G$2:$G$399))</f>
        <v>6.3633861767611671E-4</v>
      </c>
    </row>
    <row r="132" spans="1:8" x14ac:dyDescent="0.2">
      <c r="A132" t="str">
        <f>Source_NS_Dashboard!B132</f>
        <v>Enschede</v>
      </c>
      <c r="B132" t="s">
        <v>495</v>
      </c>
      <c r="C132" t="str">
        <f>INDEX(Source_GM_code_CBS!B:B,MATCH(Calculation!B132,Source_GM_code_CBS!C:C,0))</f>
        <v>GM0153</v>
      </c>
      <c r="D132" t="str">
        <f>Source_NS_Dashboard!I132</f>
        <v>8.334 (2024) (NS)</v>
      </c>
      <c r="E132" t="str">
        <f t="shared" si="8"/>
        <v>8.334</v>
      </c>
      <c r="F132" s="9" t="str">
        <f t="shared" si="9"/>
        <v>8334</v>
      </c>
      <c r="G132">
        <f t="shared" si="10"/>
        <v>8334</v>
      </c>
      <c r="H132">
        <f t="shared" si="11"/>
        <v>3.3000908772325803E-3</v>
      </c>
    </row>
    <row r="133" spans="1:8" x14ac:dyDescent="0.2">
      <c r="A133" t="str">
        <f>Source_NS_Dashboard!B133</f>
        <v>Enschede</v>
      </c>
      <c r="B133" t="s">
        <v>495</v>
      </c>
      <c r="C133" t="str">
        <f>INDEX(Source_GM_code_CBS!B:B,MATCH(Calculation!B133,Source_GM_code_CBS!C:C,0))</f>
        <v>GM0153</v>
      </c>
      <c r="D133" t="str">
        <f>Source_NS_Dashboard!I133</f>
        <v>54 (2006)</v>
      </c>
      <c r="E133" t="str">
        <f t="shared" si="8"/>
        <v>54</v>
      </c>
      <c r="F133" s="9" t="str">
        <f t="shared" si="9"/>
        <v>54</v>
      </c>
      <c r="G133">
        <f t="shared" si="10"/>
        <v>54</v>
      </c>
      <c r="H133">
        <f t="shared" si="11"/>
        <v>2.1382878254206783E-5</v>
      </c>
    </row>
    <row r="134" spans="1:8" x14ac:dyDescent="0.2">
      <c r="A134" t="str">
        <f>Source_NS_Dashboard!B134</f>
        <v>Enschede</v>
      </c>
      <c r="B134" t="s">
        <v>495</v>
      </c>
      <c r="C134" t="str">
        <f>INDEX(Source_GM_code_CBS!B:B,MATCH(Calculation!B134,Source_GM_code_CBS!C:C,0))</f>
        <v>GM0153</v>
      </c>
      <c r="D134" t="str">
        <f>Source_NS_Dashboard!I134</f>
        <v>344 (2023) (NS)</v>
      </c>
      <c r="E134" t="str">
        <f t="shared" si="8"/>
        <v>344</v>
      </c>
      <c r="F134" s="9" t="str">
        <f t="shared" si="9"/>
        <v>344</v>
      </c>
      <c r="G134">
        <f t="shared" si="10"/>
        <v>344</v>
      </c>
      <c r="H134">
        <f t="shared" si="11"/>
        <v>1.3621685406383581E-4</v>
      </c>
    </row>
    <row r="135" spans="1:8" x14ac:dyDescent="0.2">
      <c r="A135" t="str">
        <f>Source_NS_Dashboard!B135</f>
        <v>Ermelo</v>
      </c>
      <c r="B135" t="s">
        <v>506</v>
      </c>
      <c r="C135" t="str">
        <f>INDEX(Source_GM_code_CBS!B:B,MATCH(Calculation!B135,Source_GM_code_CBS!C:C,0))</f>
        <v>GM0233</v>
      </c>
      <c r="D135" t="str">
        <f>Source_NS_Dashboard!I135</f>
        <v>2.229 (2023)</v>
      </c>
      <c r="E135" t="str">
        <f t="shared" si="8"/>
        <v>2.229</v>
      </c>
      <c r="F135" s="9" t="str">
        <f t="shared" si="9"/>
        <v>2229</v>
      </c>
      <c r="G135">
        <f t="shared" si="10"/>
        <v>2229</v>
      </c>
      <c r="H135">
        <f t="shared" si="11"/>
        <v>8.826376968264245E-4</v>
      </c>
    </row>
    <row r="136" spans="1:8" x14ac:dyDescent="0.2">
      <c r="A136" t="str">
        <f>Source_NS_Dashboard!B136</f>
        <v>Etten-Leur</v>
      </c>
      <c r="B136" t="s">
        <v>509</v>
      </c>
      <c r="C136" t="str">
        <f>INDEX(Source_GM_code_CBS!B:B,MATCH(Calculation!B136,Source_GM_code_CBS!C:C,0))</f>
        <v>GM0777</v>
      </c>
      <c r="D136" t="str">
        <f>Source_NS_Dashboard!I136</f>
        <v>2.934 (2023)</v>
      </c>
      <c r="E136" t="str">
        <f t="shared" si="8"/>
        <v>2.934</v>
      </c>
      <c r="F136" s="9" t="str">
        <f t="shared" si="9"/>
        <v>2934</v>
      </c>
      <c r="G136">
        <f t="shared" si="10"/>
        <v>2934</v>
      </c>
      <c r="H136">
        <f t="shared" si="11"/>
        <v>1.1618030518119019E-3</v>
      </c>
    </row>
    <row r="137" spans="1:8" x14ac:dyDescent="0.2">
      <c r="A137" t="str">
        <f>Source_NS_Dashboard!B137</f>
        <v>Eygelshoven</v>
      </c>
      <c r="B137" s="5"/>
      <c r="C137" t="e">
        <f>INDEX(Source_GM_code_CBS!B:B,MATCH(Calculation!B137,Source_GM_code_CBS!C:C,0))</f>
        <v>#N/A</v>
      </c>
      <c r="D137" t="str">
        <f>Source_NS_Dashboard!I137</f>
        <v>-</v>
      </c>
      <c r="E137" t="str">
        <f t="shared" si="8"/>
        <v>0</v>
      </c>
      <c r="F137" s="9" t="str">
        <f t="shared" si="9"/>
        <v>0</v>
      </c>
      <c r="G137">
        <f t="shared" si="10"/>
        <v>0</v>
      </c>
      <c r="H137">
        <f t="shared" si="11"/>
        <v>0</v>
      </c>
    </row>
    <row r="138" spans="1:8" x14ac:dyDescent="0.2">
      <c r="A138" t="str">
        <f>Source_NS_Dashboard!B138</f>
        <v>Eygelshoven</v>
      </c>
      <c r="B138" s="5"/>
      <c r="C138" t="e">
        <f>INDEX(Source_GM_code_CBS!B:B,MATCH(Calculation!B138,Source_GM_code_CBS!C:C,0))</f>
        <v>#N/A</v>
      </c>
      <c r="D138" t="str">
        <f>Source_NS_Dashboard!I138</f>
        <v>-</v>
      </c>
      <c r="E138" t="str">
        <f t="shared" si="8"/>
        <v>0</v>
      </c>
      <c r="F138" s="9" t="str">
        <f t="shared" si="9"/>
        <v>0</v>
      </c>
      <c r="G138">
        <f t="shared" si="10"/>
        <v>0</v>
      </c>
      <c r="H138">
        <f t="shared" si="11"/>
        <v>0</v>
      </c>
    </row>
    <row r="139" spans="1:8" x14ac:dyDescent="0.2">
      <c r="A139" t="str">
        <f>Source_NS_Dashboard!B139</f>
        <v>Veenwouden</v>
      </c>
      <c r="B139" s="5"/>
      <c r="C139" t="e">
        <f>INDEX(Source_GM_code_CBS!B:B,MATCH(Calculation!B139,Source_GM_code_CBS!C:C,0))</f>
        <v>#N/A</v>
      </c>
      <c r="D139" t="str">
        <f>Source_NS_Dashboard!I139</f>
        <v>-</v>
      </c>
      <c r="E139" t="str">
        <f t="shared" si="8"/>
        <v>0</v>
      </c>
      <c r="F139" s="9" t="str">
        <f t="shared" si="9"/>
        <v>0</v>
      </c>
      <c r="G139">
        <f t="shared" si="10"/>
        <v>0</v>
      </c>
      <c r="H139">
        <f t="shared" si="11"/>
        <v>0</v>
      </c>
    </row>
    <row r="140" spans="1:8" x14ac:dyDescent="0.2">
      <c r="A140" t="str">
        <f>Source_NS_Dashboard!B140</f>
        <v>Franeker</v>
      </c>
      <c r="B140" t="s">
        <v>2216</v>
      </c>
      <c r="C140" t="str">
        <f>INDEX(Source_GM_code_CBS!B:B,MATCH(Calculation!B140,Source_GM_code_CBS!C:C,0))</f>
        <v>GM1949</v>
      </c>
      <c r="D140" t="str">
        <f>Source_NS_Dashboard!I140</f>
        <v>839 (2009)</v>
      </c>
      <c r="E140" t="str">
        <f t="shared" si="8"/>
        <v>839</v>
      </c>
      <c r="F140" s="9" t="str">
        <f t="shared" si="9"/>
        <v>839</v>
      </c>
      <c r="G140">
        <f t="shared" si="10"/>
        <v>839</v>
      </c>
      <c r="H140">
        <f t="shared" si="11"/>
        <v>3.3222657139406469E-4</v>
      </c>
    </row>
    <row r="141" spans="1:8" x14ac:dyDescent="0.2">
      <c r="A141" t="str">
        <f>Source_NS_Dashboard!B141</f>
        <v>Gaanderen</v>
      </c>
      <c r="B141" s="5"/>
      <c r="C141" t="e">
        <f>INDEX(Source_GM_code_CBS!B:B,MATCH(Calculation!B141,Source_GM_code_CBS!C:C,0))</f>
        <v>#N/A</v>
      </c>
      <c r="D141" t="str">
        <f>Source_NS_Dashboard!I141</f>
        <v>-</v>
      </c>
      <c r="E141" t="str">
        <f t="shared" si="8"/>
        <v>0</v>
      </c>
      <c r="F141" s="9" t="str">
        <f t="shared" si="9"/>
        <v>0</v>
      </c>
      <c r="G141">
        <f t="shared" si="10"/>
        <v>0</v>
      </c>
      <c r="H141">
        <f t="shared" si="11"/>
        <v>0</v>
      </c>
    </row>
    <row r="142" spans="1:8" x14ac:dyDescent="0.2">
      <c r="A142" t="str">
        <f>Source_NS_Dashboard!B142</f>
        <v>Geldermalsen</v>
      </c>
      <c r="B142" t="s">
        <v>2238</v>
      </c>
      <c r="C142" t="str">
        <f>INDEX(Source_GM_code_CBS!B:B,MATCH(Calculation!B142,Source_GM_code_CBS!C:C,0))</f>
        <v>GM1960</v>
      </c>
      <c r="D142" t="str">
        <f>Source_NS_Dashboard!I142</f>
        <v>6.228 (2024) (NS)</v>
      </c>
      <c r="E142" t="str">
        <f t="shared" si="8"/>
        <v>6.228</v>
      </c>
      <c r="F142" s="9" t="str">
        <f t="shared" si="9"/>
        <v>6228</v>
      </c>
      <c r="G142">
        <f t="shared" si="10"/>
        <v>6228</v>
      </c>
      <c r="H142">
        <f t="shared" si="11"/>
        <v>2.4661586253185157E-3</v>
      </c>
    </row>
    <row r="143" spans="1:8" x14ac:dyDescent="0.2">
      <c r="A143" t="str">
        <f>Source_NS_Dashboard!B143</f>
        <v>Geldrop</v>
      </c>
      <c r="B143" t="s">
        <v>1655</v>
      </c>
      <c r="C143" t="str">
        <f>INDEX(Source_GM_code_CBS!B:B,MATCH(Calculation!B143,Source_GM_code_CBS!C:C,0))</f>
        <v>GM1771</v>
      </c>
      <c r="D143" t="str">
        <f>Source_NS_Dashboard!I143</f>
        <v>1.505 (2023)</v>
      </c>
      <c r="E143" t="str">
        <f t="shared" si="8"/>
        <v>1.505</v>
      </c>
      <c r="F143" s="9" t="str">
        <f t="shared" si="9"/>
        <v>1505</v>
      </c>
      <c r="G143">
        <f t="shared" si="10"/>
        <v>1505</v>
      </c>
      <c r="H143">
        <f t="shared" si="11"/>
        <v>5.9594873652928169E-4</v>
      </c>
    </row>
    <row r="144" spans="1:8" x14ac:dyDescent="0.2">
      <c r="A144" t="str">
        <f>Source_NS_Dashboard!B144</f>
        <v>Geleen</v>
      </c>
      <c r="B144" t="s">
        <v>2080</v>
      </c>
      <c r="C144" t="str">
        <f>INDEX(Source_GM_code_CBS!B:B,MATCH(Calculation!B144,Source_GM_code_CBS!C:C,0))</f>
        <v>GM1883</v>
      </c>
      <c r="D144" t="str">
        <f>Source_NS_Dashboard!I144</f>
        <v>1.312 (2016)</v>
      </c>
      <c r="E144" t="str">
        <f t="shared" si="8"/>
        <v>1.312</v>
      </c>
      <c r="F144" s="9" t="str">
        <f t="shared" si="9"/>
        <v>1312</v>
      </c>
      <c r="G144">
        <f t="shared" si="10"/>
        <v>1312</v>
      </c>
      <c r="H144">
        <f t="shared" si="11"/>
        <v>5.1952474573183896E-4</v>
      </c>
    </row>
    <row r="145" spans="1:8" x14ac:dyDescent="0.2">
      <c r="A145" t="str">
        <f>Source_NS_Dashboard!B145</f>
        <v>Geleen</v>
      </c>
      <c r="B145" t="s">
        <v>2080</v>
      </c>
      <c r="C145" t="str">
        <f>INDEX(Source_GM_code_CBS!B:B,MATCH(Calculation!B145,Source_GM_code_CBS!C:C,0))</f>
        <v>GM1883</v>
      </c>
      <c r="D145" t="str">
        <f>Source_NS_Dashboard!I145</f>
        <v>629 (2016)</v>
      </c>
      <c r="E145" t="str">
        <f t="shared" si="8"/>
        <v>629</v>
      </c>
      <c r="F145" s="9" t="str">
        <f t="shared" si="9"/>
        <v>629</v>
      </c>
      <c r="G145">
        <f t="shared" si="10"/>
        <v>629</v>
      </c>
      <c r="H145">
        <f t="shared" si="11"/>
        <v>2.4907093373881608E-4</v>
      </c>
    </row>
    <row r="146" spans="1:8" x14ac:dyDescent="0.2">
      <c r="A146" t="str">
        <f>Source_NS_Dashboard!B146</f>
        <v>Rijen</v>
      </c>
      <c r="B146" t="s">
        <v>1664</v>
      </c>
      <c r="C146" t="str">
        <f>INDEX(Source_GM_code_CBS!B:B,MATCH(Calculation!B146,Source_GM_code_CBS!C:C,0))</f>
        <v>GM0784</v>
      </c>
      <c r="D146" t="str">
        <f>Source_NS_Dashboard!I146</f>
        <v>2.386 (2023)</v>
      </c>
      <c r="E146" t="str">
        <f t="shared" si="8"/>
        <v>2.386</v>
      </c>
      <c r="F146" s="9" t="str">
        <f t="shared" si="9"/>
        <v>2386</v>
      </c>
      <c r="G146">
        <f t="shared" si="10"/>
        <v>2386</v>
      </c>
      <c r="H146">
        <f t="shared" si="11"/>
        <v>9.4480643545439603E-4</v>
      </c>
    </row>
    <row r="147" spans="1:8" x14ac:dyDescent="0.2">
      <c r="A147" t="str">
        <f>Source_NS_Dashboard!B147</f>
        <v>Glanerbrug</v>
      </c>
      <c r="B147" s="5"/>
      <c r="C147" t="e">
        <f>INDEX(Source_GM_code_CBS!B:B,MATCH(Calculation!B147,Source_GM_code_CBS!C:C,0))</f>
        <v>#N/A</v>
      </c>
      <c r="D147" t="str">
        <f>Source_NS_Dashboard!I147</f>
        <v>-</v>
      </c>
      <c r="E147" t="str">
        <f t="shared" si="8"/>
        <v>0</v>
      </c>
      <c r="F147" s="9" t="str">
        <f t="shared" si="9"/>
        <v>0</v>
      </c>
      <c r="G147">
        <f t="shared" si="10"/>
        <v>0</v>
      </c>
      <c r="H147">
        <f t="shared" si="11"/>
        <v>0</v>
      </c>
    </row>
    <row r="148" spans="1:8" x14ac:dyDescent="0.2">
      <c r="A148" t="str">
        <f>Source_NS_Dashboard!B148</f>
        <v>Goes</v>
      </c>
      <c r="B148" t="s">
        <v>549</v>
      </c>
      <c r="C148" t="str">
        <f>INDEX(Source_GM_code_CBS!B:B,MATCH(Calculation!B148,Source_GM_code_CBS!C:C,0))</f>
        <v>GM0664</v>
      </c>
      <c r="D148" t="str">
        <f>Source_NS_Dashboard!I148</f>
        <v>5.786 (2024)</v>
      </c>
      <c r="E148" t="str">
        <f t="shared" si="8"/>
        <v>5.786</v>
      </c>
      <c r="F148" s="9" t="str">
        <f t="shared" si="9"/>
        <v>5786</v>
      </c>
      <c r="G148">
        <f t="shared" si="10"/>
        <v>5786</v>
      </c>
      <c r="H148">
        <f t="shared" si="11"/>
        <v>2.2911358070155639E-3</v>
      </c>
    </row>
    <row r="149" spans="1:8" x14ac:dyDescent="0.2">
      <c r="A149" t="str">
        <f>Source_NS_Dashboard!B149</f>
        <v>Goor</v>
      </c>
      <c r="B149" t="s">
        <v>1758</v>
      </c>
      <c r="C149" t="str">
        <f>INDEX(Source_GM_code_CBS!B:B,MATCH(Calculation!B149,Source_GM_code_CBS!C:C,0))</f>
        <v>GM1735</v>
      </c>
      <c r="D149" t="str">
        <f>Source_NS_Dashboard!I149</f>
        <v>1.688</v>
      </c>
      <c r="E149" t="str">
        <f t="shared" si="8"/>
        <v>0</v>
      </c>
      <c r="F149" s="9" t="str">
        <f t="shared" si="9"/>
        <v>0</v>
      </c>
      <c r="G149">
        <f t="shared" si="10"/>
        <v>0</v>
      </c>
      <c r="H149">
        <f t="shared" si="11"/>
        <v>0</v>
      </c>
    </row>
    <row r="150" spans="1:8" x14ac:dyDescent="0.2">
      <c r="A150" t="str">
        <f>Source_NS_Dashboard!B150</f>
        <v>Gorinchem</v>
      </c>
      <c r="B150" t="s">
        <v>555</v>
      </c>
      <c r="C150" t="str">
        <f>INDEX(Source_GM_code_CBS!B:B,MATCH(Calculation!B150,Source_GM_code_CBS!C:C,0))</f>
        <v>GM0512</v>
      </c>
      <c r="D150" t="str">
        <f>Source_NS_Dashboard!I150</f>
        <v>1.660 (2014)</v>
      </c>
      <c r="E150" t="str">
        <f t="shared" si="8"/>
        <v>1.660</v>
      </c>
      <c r="F150" s="9" t="str">
        <f t="shared" si="9"/>
        <v>1660</v>
      </c>
      <c r="G150">
        <f t="shared" si="10"/>
        <v>1660</v>
      </c>
      <c r="H150">
        <f t="shared" si="11"/>
        <v>6.5732551670339377E-4</v>
      </c>
    </row>
    <row r="151" spans="1:8" x14ac:dyDescent="0.2">
      <c r="A151" t="str">
        <f>Source_NS_Dashboard!B151</f>
        <v>Gouda</v>
      </c>
      <c r="B151" t="s">
        <v>558</v>
      </c>
      <c r="C151" t="str">
        <f>INDEX(Source_GM_code_CBS!B:B,MATCH(Calculation!B151,Source_GM_code_CBS!C:C,0))</f>
        <v>GM0513</v>
      </c>
      <c r="D151" t="str">
        <f>Source_NS_Dashboard!I151</f>
        <v>28.246 (2024)</v>
      </c>
      <c r="E151" t="str">
        <f t="shared" si="8"/>
        <v>28.246</v>
      </c>
      <c r="F151" s="9" t="str">
        <f t="shared" si="9"/>
        <v>28246</v>
      </c>
      <c r="G151">
        <f t="shared" si="10"/>
        <v>28246</v>
      </c>
      <c r="H151">
        <f t="shared" si="11"/>
        <v>1.1184829243857866E-2</v>
      </c>
    </row>
    <row r="152" spans="1:8" x14ac:dyDescent="0.2">
      <c r="A152" t="str">
        <f>Source_NS_Dashboard!B152</f>
        <v>Gouda</v>
      </c>
      <c r="B152" t="s">
        <v>558</v>
      </c>
      <c r="C152" t="str">
        <f>INDEX(Source_GM_code_CBS!B:B,MATCH(Calculation!B152,Source_GM_code_CBS!C:C,0))</f>
        <v>GM0513</v>
      </c>
      <c r="D152" t="str">
        <f>Source_NS_Dashboard!I152</f>
        <v>2.486 (2023)</v>
      </c>
      <c r="E152" t="str">
        <f t="shared" si="8"/>
        <v>2.486</v>
      </c>
      <c r="F152" s="9" t="str">
        <f t="shared" si="9"/>
        <v>2486</v>
      </c>
      <c r="G152">
        <f t="shared" si="10"/>
        <v>2486</v>
      </c>
      <c r="H152">
        <f t="shared" si="11"/>
        <v>9.8440435814737149E-4</v>
      </c>
    </row>
    <row r="153" spans="1:8" x14ac:dyDescent="0.2">
      <c r="A153" t="str">
        <f>Source_NS_Dashboard!B153</f>
        <v>Gramsbergen</v>
      </c>
      <c r="B153" t="s">
        <v>601</v>
      </c>
      <c r="C153" t="str">
        <f>INDEX(Source_GM_code_CBS!B:B,MATCH(Calculation!B153,Source_GM_code_CBS!C:C,0))</f>
        <v>GM0160</v>
      </c>
      <c r="D153" t="str">
        <f>Source_NS_Dashboard!I153</f>
        <v>244 (2008)</v>
      </c>
      <c r="E153" t="str">
        <f t="shared" si="8"/>
        <v>244</v>
      </c>
      <c r="F153" s="9" t="str">
        <f t="shared" si="9"/>
        <v>244</v>
      </c>
      <c r="G153">
        <f t="shared" si="10"/>
        <v>244</v>
      </c>
      <c r="H153">
        <f t="shared" si="11"/>
        <v>9.661893137086028E-5</v>
      </c>
    </row>
    <row r="154" spans="1:8" x14ac:dyDescent="0.2">
      <c r="A154" t="str">
        <f>Source_NS_Dashboard!B154</f>
        <v>Grijpskerk</v>
      </c>
      <c r="B154" s="6"/>
      <c r="C154" t="e">
        <f>INDEX(Source_GM_code_CBS!B:B,MATCH(Calculation!B154,Source_GM_code_CBS!C:C,0))</f>
        <v>#N/A</v>
      </c>
      <c r="D154" t="str">
        <f>Source_NS_Dashboard!I154</f>
        <v>-</v>
      </c>
      <c r="E154" t="str">
        <f t="shared" si="8"/>
        <v>0</v>
      </c>
      <c r="F154" s="9" t="str">
        <f t="shared" si="9"/>
        <v>0</v>
      </c>
      <c r="G154">
        <f t="shared" si="10"/>
        <v>0</v>
      </c>
      <c r="H154">
        <f t="shared" si="11"/>
        <v>0</v>
      </c>
    </row>
    <row r="155" spans="1:8" x14ac:dyDescent="0.2">
      <c r="A155" t="str">
        <f>Source_NS_Dashboard!B155</f>
        <v>Groningen</v>
      </c>
      <c r="B155" t="s">
        <v>571</v>
      </c>
      <c r="C155" t="str">
        <f>INDEX(Source_GM_code_CBS!B:B,MATCH(Calculation!B155,Source_GM_code_CBS!C:C,0))</f>
        <v>GM0014</v>
      </c>
      <c r="D155" t="str">
        <f>Source_NS_Dashboard!I155</f>
        <v>16.064 (2024) (NS)</v>
      </c>
      <c r="E155" t="str">
        <f t="shared" si="8"/>
        <v>16.064</v>
      </c>
      <c r="F155" s="9" t="str">
        <f t="shared" si="9"/>
        <v>16064</v>
      </c>
      <c r="G155">
        <f t="shared" si="10"/>
        <v>16064</v>
      </c>
      <c r="H155">
        <f t="shared" si="11"/>
        <v>6.3610103013995887E-3</v>
      </c>
    </row>
    <row r="156" spans="1:8" x14ac:dyDescent="0.2">
      <c r="A156" t="str">
        <f>Source_NS_Dashboard!B156</f>
        <v>Groningen</v>
      </c>
      <c r="B156" t="s">
        <v>571</v>
      </c>
      <c r="C156" t="str">
        <f>INDEX(Source_GM_code_CBS!B:B,MATCH(Calculation!B156,Source_GM_code_CBS!C:C,0))</f>
        <v>GM0014</v>
      </c>
      <c r="D156" t="str">
        <f>Source_NS_Dashboard!I156</f>
        <v>1.287 (2023) (NS)</v>
      </c>
      <c r="E156" t="str">
        <f t="shared" si="8"/>
        <v>1.287</v>
      </c>
      <c r="F156" s="9" t="str">
        <f t="shared" si="9"/>
        <v>1287</v>
      </c>
      <c r="G156">
        <f t="shared" si="10"/>
        <v>1287</v>
      </c>
      <c r="H156">
        <f t="shared" si="11"/>
        <v>5.0962526505859507E-4</v>
      </c>
    </row>
    <row r="157" spans="1:8" x14ac:dyDescent="0.2">
      <c r="A157" t="str">
        <f>Source_NS_Dashboard!B157</f>
        <v>Groningen</v>
      </c>
      <c r="B157" t="s">
        <v>571</v>
      </c>
      <c r="C157" t="str">
        <f>INDEX(Source_GM_code_CBS!B:B,MATCH(Calculation!B157,Source_GM_code_CBS!C:C,0))</f>
        <v>GM0014</v>
      </c>
      <c r="D157" t="str">
        <f>Source_NS_Dashboard!I157</f>
        <v>3.260 (2014)</v>
      </c>
      <c r="E157" t="str">
        <f t="shared" si="8"/>
        <v>3.260</v>
      </c>
      <c r="F157" s="9" t="str">
        <f t="shared" si="9"/>
        <v>3260</v>
      </c>
      <c r="G157">
        <f t="shared" si="10"/>
        <v>3260</v>
      </c>
      <c r="H157">
        <f t="shared" si="11"/>
        <v>1.2908922797910021E-3</v>
      </c>
    </row>
    <row r="158" spans="1:8" x14ac:dyDescent="0.2">
      <c r="A158" t="str">
        <f>Source_NS_Dashboard!B158</f>
        <v>Grouw</v>
      </c>
      <c r="B158" t="s">
        <v>813</v>
      </c>
      <c r="C158" t="str">
        <f>INDEX(Source_GM_code_CBS!B:B,MATCH(Calculation!B158,Source_GM_code_CBS!C:C,0))</f>
        <v>GM0080</v>
      </c>
      <c r="D158" t="str">
        <f>Source_NS_Dashboard!I158</f>
        <v>764 (2023)</v>
      </c>
      <c r="E158" t="str">
        <f t="shared" si="8"/>
        <v>764</v>
      </c>
      <c r="F158" s="9" t="str">
        <f t="shared" si="9"/>
        <v>764</v>
      </c>
      <c r="G158">
        <f t="shared" si="10"/>
        <v>764</v>
      </c>
      <c r="H158">
        <f t="shared" si="11"/>
        <v>3.0252812937433301E-4</v>
      </c>
    </row>
    <row r="159" spans="1:8" x14ac:dyDescent="0.2">
      <c r="A159" t="str">
        <f>Source_NS_Dashboard!B159</f>
        <v>Haarlem</v>
      </c>
      <c r="B159" t="s">
        <v>587</v>
      </c>
      <c r="C159" t="str">
        <f>INDEX(Source_GM_code_CBS!B:B,MATCH(Calculation!B159,Source_GM_code_CBS!C:C,0))</f>
        <v>GM0392</v>
      </c>
      <c r="D159" t="str">
        <f>Source_NS_Dashboard!I159</f>
        <v>36.507 (2024)</v>
      </c>
      <c r="E159" t="str">
        <f t="shared" si="8"/>
        <v>36.507</v>
      </c>
      <c r="F159" s="9" t="str">
        <f t="shared" si="9"/>
        <v>36507</v>
      </c>
      <c r="G159">
        <f t="shared" si="10"/>
        <v>36507</v>
      </c>
      <c r="H159">
        <f t="shared" si="11"/>
        <v>1.4456013637524575E-2</v>
      </c>
    </row>
    <row r="160" spans="1:8" x14ac:dyDescent="0.2">
      <c r="A160" t="str">
        <f>Source_NS_Dashboard!B160</f>
        <v>Haarlem</v>
      </c>
      <c r="B160" t="s">
        <v>587</v>
      </c>
      <c r="C160" t="str">
        <f>INDEX(Source_GM_code_CBS!B:B,MATCH(Calculation!B160,Source_GM_code_CBS!C:C,0))</f>
        <v>GM0392</v>
      </c>
      <c r="D160" t="str">
        <f>Source_NS_Dashboard!I160</f>
        <v>3.654 (2023)</v>
      </c>
      <c r="E160" t="str">
        <f t="shared" si="8"/>
        <v>3.654</v>
      </c>
      <c r="F160" s="9" t="str">
        <f t="shared" si="9"/>
        <v>3654</v>
      </c>
      <c r="G160">
        <f t="shared" si="10"/>
        <v>3654</v>
      </c>
      <c r="H160">
        <f t="shared" si="11"/>
        <v>1.4469080952013258E-3</v>
      </c>
    </row>
    <row r="161" spans="1:8" x14ac:dyDescent="0.2">
      <c r="A161" t="str">
        <f>Source_NS_Dashboard!B161</f>
        <v>Halfweg</v>
      </c>
      <c r="B161" t="s">
        <v>1695</v>
      </c>
      <c r="C161" t="str">
        <f>INDEX(Source_GM_code_CBS!B:B,MATCH(Calculation!B161,Source_GM_code_CBS!C:C,0))</f>
        <v>GM0394</v>
      </c>
      <c r="D161" t="str">
        <f>Source_NS_Dashboard!I161</f>
        <v>2.776 (2023)</v>
      </c>
      <c r="E161" t="str">
        <f t="shared" si="8"/>
        <v>2.776</v>
      </c>
      <c r="F161" s="9" t="str">
        <f t="shared" si="9"/>
        <v>2776</v>
      </c>
      <c r="G161">
        <f t="shared" si="10"/>
        <v>2776</v>
      </c>
      <c r="H161">
        <f t="shared" si="11"/>
        <v>1.0992383339570007E-3</v>
      </c>
    </row>
    <row r="162" spans="1:8" x14ac:dyDescent="0.2">
      <c r="A162" t="str">
        <f>Source_NS_Dashboard!B162</f>
        <v>'t Harde</v>
      </c>
      <c r="B162" t="s">
        <v>1633</v>
      </c>
      <c r="C162" t="str">
        <f>INDEX(Source_GM_code_CBS!B:B,MATCH(Calculation!B162,Source_GM_code_CBS!C:C,0))</f>
        <v>GM0230</v>
      </c>
      <c r="D162" t="str">
        <f>Source_NS_Dashboard!I162</f>
        <v>1.203 (2023)</v>
      </c>
      <c r="E162" t="str">
        <f t="shared" si="8"/>
        <v>1.203</v>
      </c>
      <c r="F162" s="9" t="str">
        <f t="shared" si="9"/>
        <v>1203</v>
      </c>
      <c r="G162">
        <f t="shared" si="10"/>
        <v>1203</v>
      </c>
      <c r="H162">
        <f t="shared" si="11"/>
        <v>4.7636300999649559E-4</v>
      </c>
    </row>
    <row r="163" spans="1:8" x14ac:dyDescent="0.2">
      <c r="A163" t="str">
        <f>Source_NS_Dashboard!B163</f>
        <v>Hardenberg</v>
      </c>
      <c r="B163" t="s">
        <v>601</v>
      </c>
      <c r="C163" t="str">
        <f>INDEX(Source_GM_code_CBS!B:B,MATCH(Calculation!B163,Source_GM_code_CBS!C:C,0))</f>
        <v>GM0160</v>
      </c>
      <c r="D163" t="str">
        <f>Source_NS_Dashboard!I163</f>
        <v>2.382 (2009)</v>
      </c>
      <c r="E163" t="str">
        <f t="shared" si="8"/>
        <v>2.382</v>
      </c>
      <c r="F163" s="9" t="str">
        <f t="shared" si="9"/>
        <v>2382</v>
      </c>
      <c r="G163">
        <f t="shared" si="10"/>
        <v>2382</v>
      </c>
      <c r="H163">
        <f t="shared" si="11"/>
        <v>9.4322251854667702E-4</v>
      </c>
    </row>
    <row r="164" spans="1:8" x14ac:dyDescent="0.2">
      <c r="A164" t="str">
        <f>Source_NS_Dashboard!B164</f>
        <v>Harderwijk</v>
      </c>
      <c r="B164" t="s">
        <v>604</v>
      </c>
      <c r="C164" t="str">
        <f>INDEX(Source_GM_code_CBS!B:B,MATCH(Calculation!B164,Source_GM_code_CBS!C:C,0))</f>
        <v>GM0243</v>
      </c>
      <c r="D164" t="str">
        <f>Source_NS_Dashboard!I164</f>
        <v>4.993 (2023)</v>
      </c>
      <c r="E164" t="str">
        <f t="shared" si="8"/>
        <v>4.993</v>
      </c>
      <c r="F164" s="9" t="str">
        <f t="shared" si="9"/>
        <v>4993</v>
      </c>
      <c r="G164">
        <f t="shared" si="10"/>
        <v>4993</v>
      </c>
      <c r="H164">
        <f t="shared" si="11"/>
        <v>1.9771242800602682E-3</v>
      </c>
    </row>
    <row r="165" spans="1:8" x14ac:dyDescent="0.2">
      <c r="A165" t="str">
        <f>Source_NS_Dashboard!B165</f>
        <v>Hardinxveld-Giessendam</v>
      </c>
      <c r="B165" t="s">
        <v>608</v>
      </c>
      <c r="C165" t="str">
        <f>INDEX(Source_GM_code_CBS!B:B,MATCH(Calculation!B165,Source_GM_code_CBS!C:C,0))</f>
        <v>GM0523</v>
      </c>
      <c r="D165" t="str">
        <f>Source_NS_Dashboard!I165</f>
        <v>246 (2014)</v>
      </c>
      <c r="E165" t="str">
        <f t="shared" si="8"/>
        <v>246</v>
      </c>
      <c r="F165" s="9" t="str">
        <f t="shared" si="9"/>
        <v>246</v>
      </c>
      <c r="G165">
        <f t="shared" si="10"/>
        <v>246</v>
      </c>
      <c r="H165">
        <f t="shared" si="11"/>
        <v>9.7410889824719798E-5</v>
      </c>
    </row>
    <row r="166" spans="1:8" x14ac:dyDescent="0.2">
      <c r="A166" t="str">
        <f>Source_NS_Dashboard!B166</f>
        <v>Hardinxveld-Giessendam</v>
      </c>
      <c r="B166" t="s">
        <v>608</v>
      </c>
      <c r="C166" t="str">
        <f>INDEX(Source_GM_code_CBS!B:B,MATCH(Calculation!B166,Source_GM_code_CBS!C:C,0))</f>
        <v>GM0523</v>
      </c>
      <c r="D166" t="str">
        <f>Source_NS_Dashboard!I166</f>
        <v>660 (2014)</v>
      </c>
      <c r="E166" t="str">
        <f t="shared" si="8"/>
        <v>660</v>
      </c>
      <c r="F166" s="9" t="str">
        <f t="shared" si="9"/>
        <v>660</v>
      </c>
      <c r="G166">
        <f t="shared" si="10"/>
        <v>660</v>
      </c>
      <c r="H166">
        <f t="shared" si="11"/>
        <v>2.6134628977363849E-4</v>
      </c>
    </row>
    <row r="167" spans="1:8" x14ac:dyDescent="0.2">
      <c r="A167" t="str">
        <f>Source_NS_Dashboard!B167</f>
        <v>Haren</v>
      </c>
      <c r="B167" t="s">
        <v>571</v>
      </c>
      <c r="C167" t="str">
        <f>INDEX(Source_GM_code_CBS!B:B,MATCH(Calculation!B167,Source_GM_code_CBS!C:C,0))</f>
        <v>GM0014</v>
      </c>
      <c r="D167" t="str">
        <f>Source_NS_Dashboard!I167</f>
        <v>1.040 (2022)</v>
      </c>
      <c r="E167" t="str">
        <f t="shared" si="8"/>
        <v>1.040</v>
      </c>
      <c r="F167" s="9" t="str">
        <f t="shared" si="9"/>
        <v>1040</v>
      </c>
      <c r="G167">
        <f t="shared" si="10"/>
        <v>1040</v>
      </c>
      <c r="H167">
        <f t="shared" si="11"/>
        <v>4.1181839600694549E-4</v>
      </c>
    </row>
    <row r="168" spans="1:8" x14ac:dyDescent="0.2">
      <c r="A168" t="str">
        <f>Source_NS_Dashboard!B168</f>
        <v>Harlingen</v>
      </c>
      <c r="B168" t="s">
        <v>616</v>
      </c>
      <c r="C168" t="str">
        <f>INDEX(Source_GM_code_CBS!B:B,MATCH(Calculation!B168,Source_GM_code_CBS!C:C,0))</f>
        <v>GM0072</v>
      </c>
      <c r="D168" t="str">
        <f>Source_NS_Dashboard!I168</f>
        <v>1.613 (2009)</v>
      </c>
      <c r="E168" t="str">
        <f t="shared" si="8"/>
        <v>1.613</v>
      </c>
      <c r="F168" s="9" t="str">
        <f t="shared" si="9"/>
        <v>1613</v>
      </c>
      <c r="G168">
        <f t="shared" si="10"/>
        <v>1613</v>
      </c>
      <c r="H168">
        <f t="shared" si="11"/>
        <v>6.3871449303769528E-4</v>
      </c>
    </row>
    <row r="169" spans="1:8" x14ac:dyDescent="0.2">
      <c r="A169" t="str">
        <f>Source_NS_Dashboard!B169</f>
        <v>Harlingen</v>
      </c>
      <c r="B169" t="s">
        <v>616</v>
      </c>
      <c r="C169" t="str">
        <f>INDEX(Source_GM_code_CBS!B:B,MATCH(Calculation!B169,Source_GM_code_CBS!C:C,0))</f>
        <v>GM0072</v>
      </c>
      <c r="D169" t="str">
        <f>Source_NS_Dashboard!I169</f>
        <v>496 (2009)</v>
      </c>
      <c r="E169" t="str">
        <f t="shared" si="8"/>
        <v>496</v>
      </c>
      <c r="F169" s="9" t="str">
        <f t="shared" si="9"/>
        <v>496</v>
      </c>
      <c r="G169">
        <f t="shared" si="10"/>
        <v>496</v>
      </c>
      <c r="H169">
        <f t="shared" si="11"/>
        <v>1.9640569655715861E-4</v>
      </c>
    </row>
    <row r="170" spans="1:8" x14ac:dyDescent="0.2">
      <c r="A170" t="str">
        <f>Source_NS_Dashboard!B170</f>
        <v>Heemskerk</v>
      </c>
      <c r="B170" t="s">
        <v>622</v>
      </c>
      <c r="C170" t="str">
        <f>INDEX(Source_GM_code_CBS!B:B,MATCH(Calculation!B170,Source_GM_code_CBS!C:C,0))</f>
        <v>GM0396</v>
      </c>
      <c r="D170" t="str">
        <f>Source_NS_Dashboard!I170</f>
        <v>2.298 (2023)</v>
      </c>
      <c r="E170" t="str">
        <f t="shared" si="8"/>
        <v>2.298</v>
      </c>
      <c r="F170" s="9" t="str">
        <f t="shared" si="9"/>
        <v>2298</v>
      </c>
      <c r="G170">
        <f t="shared" si="10"/>
        <v>2298</v>
      </c>
      <c r="H170">
        <f t="shared" si="11"/>
        <v>9.099602634845776E-4</v>
      </c>
    </row>
    <row r="171" spans="1:8" x14ac:dyDescent="0.2">
      <c r="A171" t="str">
        <f>Source_NS_Dashboard!B171</f>
        <v>Heemstede</v>
      </c>
      <c r="B171" t="s">
        <v>626</v>
      </c>
      <c r="C171" t="str">
        <f>INDEX(Source_GM_code_CBS!B:B,MATCH(Calculation!B171,Source_GM_code_CBS!C:C,0))</f>
        <v>GM0397</v>
      </c>
      <c r="D171" t="str">
        <f>Source_NS_Dashboard!I171</f>
        <v>6.257 (2024)</v>
      </c>
      <c r="E171" t="str">
        <f t="shared" si="8"/>
        <v>6.257</v>
      </c>
      <c r="F171" s="9" t="str">
        <f t="shared" si="9"/>
        <v>6257</v>
      </c>
      <c r="G171">
        <f t="shared" si="10"/>
        <v>6257</v>
      </c>
      <c r="H171">
        <f t="shared" si="11"/>
        <v>2.4776420228994787E-3</v>
      </c>
    </row>
    <row r="172" spans="1:8" x14ac:dyDescent="0.2">
      <c r="A172" t="str">
        <f>Source_NS_Dashboard!B172</f>
        <v>Heerenveen</v>
      </c>
      <c r="B172" t="s">
        <v>629</v>
      </c>
      <c r="C172" t="str">
        <f>INDEX(Source_GM_code_CBS!B:B,MATCH(Calculation!B172,Source_GM_code_CBS!C:C,0))</f>
        <v>GM0074</v>
      </c>
      <c r="D172" t="str">
        <f>Source_NS_Dashboard!I172</f>
        <v>5.234 (2023)</v>
      </c>
      <c r="E172" t="str">
        <f t="shared" si="8"/>
        <v>5.234</v>
      </c>
      <c r="F172" s="9" t="str">
        <f t="shared" si="9"/>
        <v>5234</v>
      </c>
      <c r="G172">
        <f t="shared" si="10"/>
        <v>5234</v>
      </c>
      <c r="H172">
        <f t="shared" si="11"/>
        <v>2.072555273750339E-3</v>
      </c>
    </row>
    <row r="173" spans="1:8" x14ac:dyDescent="0.2">
      <c r="A173" t="str">
        <f>Source_NS_Dashboard!B173</f>
        <v>Heerhugowaard</v>
      </c>
      <c r="B173" t="s">
        <v>629</v>
      </c>
      <c r="C173" t="str">
        <f>INDEX(Source_GM_code_CBS!B:B,MATCH(Calculation!B173,Source_GM_code_CBS!C:C,0))</f>
        <v>GM0074</v>
      </c>
      <c r="D173" t="str">
        <f>Source_NS_Dashboard!I173</f>
        <v>6.198 (2024)</v>
      </c>
      <c r="E173" t="str">
        <f t="shared" si="8"/>
        <v>6.198</v>
      </c>
      <c r="F173" s="9" t="str">
        <f t="shared" si="9"/>
        <v>6198</v>
      </c>
      <c r="G173">
        <f t="shared" si="10"/>
        <v>6198</v>
      </c>
      <c r="H173">
        <f t="shared" si="11"/>
        <v>2.4542792485106233E-3</v>
      </c>
    </row>
    <row r="174" spans="1:8" x14ac:dyDescent="0.2">
      <c r="A174" t="str">
        <f>Source_NS_Dashboard!B174</f>
        <v>Heerlen</v>
      </c>
      <c r="B174" t="s">
        <v>1580</v>
      </c>
      <c r="C174" t="str">
        <f>INDEX(Source_GM_code_CBS!B:B,MATCH(Calculation!B174,Source_GM_code_CBS!C:C,0))</f>
        <v>GM1980</v>
      </c>
      <c r="D174" t="str">
        <f>Source_NS_Dashboard!I174</f>
        <v>3.871 (2023) (NS)</v>
      </c>
      <c r="E174" t="str">
        <f t="shared" si="8"/>
        <v>3.871</v>
      </c>
      <c r="F174" s="9" t="str">
        <f t="shared" si="9"/>
        <v>3871</v>
      </c>
      <c r="G174">
        <f t="shared" si="10"/>
        <v>3871</v>
      </c>
      <c r="H174">
        <f t="shared" si="11"/>
        <v>1.5328355874450826E-3</v>
      </c>
    </row>
    <row r="175" spans="1:8" x14ac:dyDescent="0.2">
      <c r="A175" t="str">
        <f>Source_NS_Dashboard!B175</f>
        <v>Heerlen</v>
      </c>
      <c r="B175" t="s">
        <v>636</v>
      </c>
      <c r="C175" t="str">
        <f>INDEX(Source_GM_code_CBS!B:B,MATCH(Calculation!B175,Source_GM_code_CBS!C:C,0))</f>
        <v>GM0917</v>
      </c>
      <c r="D175" t="str">
        <f>Source_NS_Dashboard!I175</f>
        <v>-</v>
      </c>
      <c r="E175" t="str">
        <f t="shared" si="8"/>
        <v>0</v>
      </c>
      <c r="F175" s="9" t="str">
        <f t="shared" si="9"/>
        <v>0</v>
      </c>
      <c r="G175">
        <f t="shared" si="10"/>
        <v>0</v>
      </c>
      <c r="H175">
        <f t="shared" si="11"/>
        <v>0</v>
      </c>
    </row>
    <row r="176" spans="1:8" x14ac:dyDescent="0.2">
      <c r="A176" t="str">
        <f>Source_NS_Dashboard!B176</f>
        <v>Heeze</v>
      </c>
      <c r="B176" t="s">
        <v>636</v>
      </c>
      <c r="C176" t="str">
        <f>INDEX(Source_GM_code_CBS!B:B,MATCH(Calculation!B176,Source_GM_code_CBS!C:C,0))</f>
        <v>GM0917</v>
      </c>
      <c r="D176" t="str">
        <f>Source_NS_Dashboard!I176</f>
        <v>1.362 (2023)</v>
      </c>
      <c r="E176" t="str">
        <f t="shared" si="8"/>
        <v>1.362</v>
      </c>
      <c r="F176" s="9" t="str">
        <f t="shared" si="9"/>
        <v>1362</v>
      </c>
      <c r="G176">
        <f t="shared" si="10"/>
        <v>1362</v>
      </c>
      <c r="H176">
        <f t="shared" si="11"/>
        <v>5.3932370707832663E-4</v>
      </c>
    </row>
    <row r="177" spans="1:8" x14ac:dyDescent="0.2">
      <c r="A177" t="str">
        <f>Source_NS_Dashboard!B177</f>
        <v>Heiloo</v>
      </c>
      <c r="B177" t="s">
        <v>1723</v>
      </c>
      <c r="C177" t="str">
        <f>INDEX(Source_GM_code_CBS!B:B,MATCH(Calculation!B177,Source_GM_code_CBS!C:C,0))</f>
        <v>GM1658</v>
      </c>
      <c r="D177" t="str">
        <f>Source_NS_Dashboard!I177</f>
        <v>4.087 (2023)</v>
      </c>
      <c r="E177" t="str">
        <f t="shared" si="8"/>
        <v>4.087</v>
      </c>
      <c r="F177" s="9" t="str">
        <f t="shared" si="9"/>
        <v>4087</v>
      </c>
      <c r="G177">
        <f t="shared" si="10"/>
        <v>4087</v>
      </c>
      <c r="H177">
        <f t="shared" si="11"/>
        <v>1.6183671004619097E-3</v>
      </c>
    </row>
    <row r="178" spans="1:8" x14ac:dyDescent="0.2">
      <c r="A178" t="str">
        <f>Source_NS_Dashboard!B178</f>
        <v>Heino</v>
      </c>
      <c r="B178" t="s">
        <v>645</v>
      </c>
      <c r="C178" t="str">
        <f>INDEX(Source_GM_code_CBS!B:B,MATCH(Calculation!B178,Source_GM_code_CBS!C:C,0))</f>
        <v>GM0399</v>
      </c>
      <c r="D178" t="str">
        <f>Source_NS_Dashboard!I178</f>
        <v>709 (2016)</v>
      </c>
      <c r="E178" t="str">
        <f t="shared" si="8"/>
        <v>709</v>
      </c>
      <c r="F178" s="9" t="str">
        <f t="shared" si="9"/>
        <v>709</v>
      </c>
      <c r="G178">
        <f t="shared" si="10"/>
        <v>709</v>
      </c>
      <c r="H178">
        <f t="shared" si="11"/>
        <v>2.8074927189319649E-4</v>
      </c>
    </row>
    <row r="179" spans="1:8" x14ac:dyDescent="0.2">
      <c r="A179" t="str">
        <f>Source_NS_Dashboard!B179</f>
        <v>Helmond</v>
      </c>
      <c r="B179" t="s">
        <v>976</v>
      </c>
      <c r="C179" t="str">
        <f>INDEX(Source_GM_code_CBS!B:B,MATCH(Calculation!B179,Source_GM_code_CBS!C:C,0))</f>
        <v>GM0177</v>
      </c>
      <c r="D179" t="str">
        <f>Source_NS_Dashboard!I179</f>
        <v>6.474 (2024)</v>
      </c>
      <c r="E179" t="str">
        <f t="shared" si="8"/>
        <v>6.474</v>
      </c>
      <c r="F179" s="9" t="str">
        <f t="shared" si="9"/>
        <v>6474</v>
      </c>
      <c r="G179">
        <f t="shared" si="10"/>
        <v>6474</v>
      </c>
      <c r="H179">
        <f t="shared" si="11"/>
        <v>2.5635695151432357E-3</v>
      </c>
    </row>
    <row r="180" spans="1:8" x14ac:dyDescent="0.2">
      <c r="A180" t="str">
        <f>Source_NS_Dashboard!B180</f>
        <v>Helmond</v>
      </c>
      <c r="B180" t="s">
        <v>652</v>
      </c>
      <c r="C180" t="str">
        <f>INDEX(Source_GM_code_CBS!B:B,MATCH(Calculation!B180,Source_GM_code_CBS!C:C,0))</f>
        <v>GM0794</v>
      </c>
      <c r="D180" t="str">
        <f>Source_NS_Dashboard!I180</f>
        <v>1.632 (2023)</v>
      </c>
      <c r="E180" t="str">
        <f t="shared" si="8"/>
        <v>1.632</v>
      </c>
      <c r="F180" s="9" t="str">
        <f t="shared" si="9"/>
        <v>1632</v>
      </c>
      <c r="G180">
        <f t="shared" si="10"/>
        <v>1632</v>
      </c>
      <c r="H180">
        <f t="shared" si="11"/>
        <v>6.462380983493606E-4</v>
      </c>
    </row>
    <row r="181" spans="1:8" x14ac:dyDescent="0.2">
      <c r="A181" t="str">
        <f>Source_NS_Dashboard!B181</f>
        <v>Helmond</v>
      </c>
      <c r="B181" t="s">
        <v>652</v>
      </c>
      <c r="C181" t="str">
        <f>INDEX(Source_GM_code_CBS!B:B,MATCH(Calculation!B181,Source_GM_code_CBS!C:C,0))</f>
        <v>GM0794</v>
      </c>
      <c r="D181" t="str">
        <f>Source_NS_Dashboard!I181</f>
        <v>1.483 (2023)</v>
      </c>
      <c r="E181" t="str">
        <f t="shared" si="8"/>
        <v>1.483</v>
      </c>
      <c r="F181" s="9" t="str">
        <f t="shared" si="9"/>
        <v>1483</v>
      </c>
      <c r="G181">
        <f t="shared" si="10"/>
        <v>1483</v>
      </c>
      <c r="H181">
        <f t="shared" si="11"/>
        <v>5.8723719353682708E-4</v>
      </c>
    </row>
    <row r="182" spans="1:8" x14ac:dyDescent="0.2">
      <c r="A182" t="str">
        <f>Source_NS_Dashboard!B182</f>
        <v>Helmond</v>
      </c>
      <c r="B182" t="s">
        <v>652</v>
      </c>
      <c r="C182" t="str">
        <f>INDEX(Source_GM_code_CBS!B:B,MATCH(Calculation!B182,Source_GM_code_CBS!C:C,0))</f>
        <v>GM0794</v>
      </c>
      <c r="D182" t="str">
        <f>Source_NS_Dashboard!I182</f>
        <v>1.178 (2023)</v>
      </c>
      <c r="E182" t="str">
        <f t="shared" si="8"/>
        <v>1.178</v>
      </c>
      <c r="F182" s="9" t="str">
        <f t="shared" si="9"/>
        <v>1178</v>
      </c>
      <c r="G182">
        <f t="shared" si="10"/>
        <v>1178</v>
      </c>
      <c r="H182">
        <f t="shared" si="11"/>
        <v>4.664635293232517E-4</v>
      </c>
    </row>
    <row r="183" spans="1:8" x14ac:dyDescent="0.2">
      <c r="A183" t="str">
        <f>Source_NS_Dashboard!B183</f>
        <v>Dodewaard</v>
      </c>
      <c r="B183" t="s">
        <v>652</v>
      </c>
      <c r="C183" t="str">
        <f>INDEX(Source_GM_code_CBS!B:B,MATCH(Calculation!B183,Source_GM_code_CBS!C:C,0))</f>
        <v>GM0794</v>
      </c>
      <c r="D183" t="str">
        <f>Source_NS_Dashboard!I183</f>
        <v>-</v>
      </c>
      <c r="E183" t="str">
        <f t="shared" si="8"/>
        <v>0</v>
      </c>
      <c r="F183" s="9" t="str">
        <f t="shared" si="9"/>
        <v>0</v>
      </c>
      <c r="G183">
        <f t="shared" si="10"/>
        <v>0</v>
      </c>
      <c r="H183">
        <f t="shared" si="11"/>
        <v>0</v>
      </c>
    </row>
    <row r="184" spans="1:8" x14ac:dyDescent="0.2">
      <c r="A184" t="str">
        <f>Source_NS_Dashboard!B184</f>
        <v>Hengelo</v>
      </c>
      <c r="B184" t="s">
        <v>668</v>
      </c>
      <c r="C184" t="str">
        <f>INDEX(Source_GM_code_CBS!B:B,MATCH(Calculation!B184,Source_GM_code_CBS!C:C,0))</f>
        <v>GM0164</v>
      </c>
      <c r="D184" t="str">
        <f>Source_NS_Dashboard!I184</f>
        <v>6.088 (2023) (NS)</v>
      </c>
      <c r="E184" t="str">
        <f t="shared" si="8"/>
        <v>6.088</v>
      </c>
      <c r="F184" s="9" t="str">
        <f t="shared" si="9"/>
        <v>6088</v>
      </c>
      <c r="G184">
        <f t="shared" si="10"/>
        <v>6088</v>
      </c>
      <c r="H184">
        <f t="shared" si="11"/>
        <v>2.4107215335483503E-3</v>
      </c>
    </row>
    <row r="185" spans="1:8" x14ac:dyDescent="0.2">
      <c r="A185" t="str">
        <f>Source_NS_Dashboard!B185</f>
        <v>Hengelo</v>
      </c>
      <c r="B185" t="s">
        <v>668</v>
      </c>
      <c r="C185" t="str">
        <f>INDEX(Source_GM_code_CBS!B:B,MATCH(Calculation!B185,Source_GM_code_CBS!C:C,0))</f>
        <v>GM0164</v>
      </c>
      <c r="D185" t="str">
        <f>Source_NS_Dashboard!I185</f>
        <v>-</v>
      </c>
      <c r="E185" t="str">
        <f t="shared" si="8"/>
        <v>0</v>
      </c>
      <c r="F185" s="9" t="str">
        <f t="shared" si="9"/>
        <v>0</v>
      </c>
      <c r="G185">
        <f t="shared" si="10"/>
        <v>0</v>
      </c>
      <c r="H185">
        <f t="shared" si="11"/>
        <v>0</v>
      </c>
    </row>
    <row r="186" spans="1:8" x14ac:dyDescent="0.2">
      <c r="A186" t="str">
        <f>Source_NS_Dashboard!B186</f>
        <v>Hengelo</v>
      </c>
      <c r="B186" t="s">
        <v>668</v>
      </c>
      <c r="C186" t="str">
        <f>INDEX(Source_GM_code_CBS!B:B,MATCH(Calculation!B186,Source_GM_code_CBS!C:C,0))</f>
        <v>GM0164</v>
      </c>
      <c r="D186" t="str">
        <f>Source_NS_Dashboard!I186</f>
        <v>-</v>
      </c>
      <c r="E186" t="str">
        <f t="shared" si="8"/>
        <v>0</v>
      </c>
      <c r="F186" s="9" t="str">
        <f t="shared" si="9"/>
        <v>0</v>
      </c>
      <c r="G186">
        <f t="shared" si="10"/>
        <v>0</v>
      </c>
      <c r="H186">
        <f t="shared" si="11"/>
        <v>0</v>
      </c>
    </row>
    <row r="187" spans="1:8" x14ac:dyDescent="0.2">
      <c r="A187" t="str">
        <f>Source_NS_Dashboard!B187</f>
        <v>'s-Hertogenbosch</v>
      </c>
      <c r="B187" t="s">
        <v>668</v>
      </c>
      <c r="C187" t="str">
        <f>INDEX(Source_GM_code_CBS!B:B,MATCH(Calculation!B187,Source_GM_code_CBS!C:C,0))</f>
        <v>GM0164</v>
      </c>
      <c r="D187" t="str">
        <f>Source_NS_Dashboard!I187</f>
        <v>56.752 (2024) (NS)</v>
      </c>
      <c r="E187" t="str">
        <f t="shared" si="8"/>
        <v>56.752</v>
      </c>
      <c r="F187" s="9" t="str">
        <f t="shared" si="9"/>
        <v>56752</v>
      </c>
      <c r="G187">
        <f t="shared" si="10"/>
        <v>56752</v>
      </c>
      <c r="H187">
        <f t="shared" si="11"/>
        <v>2.2472613086717472E-2</v>
      </c>
    </row>
    <row r="188" spans="1:8" x14ac:dyDescent="0.2">
      <c r="A188" t="str">
        <f>Source_NS_Dashboard!B188</f>
        <v>'s-Hertogenbosch</v>
      </c>
      <c r="B188" s="7" t="str">
        <f>"'s-Hertogenbosch"</f>
        <v>'s-Hertogenbosch</v>
      </c>
      <c r="C188" t="str">
        <f>INDEX(Source_GM_code_CBS!B:B,MATCH(Calculation!B188,Source_GM_code_CBS!C:C,0))</f>
        <v>GM0796</v>
      </c>
      <c r="D188" t="str">
        <f>Source_NS_Dashboard!I188</f>
        <v>1.200 (2023)</v>
      </c>
      <c r="E188" t="str">
        <f t="shared" si="8"/>
        <v>1.200</v>
      </c>
      <c r="F188" s="9" t="str">
        <f t="shared" si="9"/>
        <v>1200</v>
      </c>
      <c r="G188">
        <f t="shared" si="10"/>
        <v>1200</v>
      </c>
      <c r="H188">
        <f t="shared" si="11"/>
        <v>4.7517507231570631E-4</v>
      </c>
    </row>
    <row r="189" spans="1:8" x14ac:dyDescent="0.2">
      <c r="A189" t="str">
        <f>Source_NS_Dashboard!B189</f>
        <v>Hillegom</v>
      </c>
      <c r="B189" s="7" t="str">
        <f>"'s-Hertogenbosch"</f>
        <v>'s-Hertogenbosch</v>
      </c>
      <c r="C189" t="str">
        <f>INDEX(Source_GM_code_CBS!B:B,MATCH(Calculation!B189,Source_GM_code_CBS!C:C,0))</f>
        <v>GM0796</v>
      </c>
      <c r="D189" t="str">
        <f>Source_NS_Dashboard!I189</f>
        <v>2.059 (2023)</v>
      </c>
      <c r="E189" t="str">
        <f t="shared" si="8"/>
        <v>2.059</v>
      </c>
      <c r="F189" s="9" t="str">
        <f t="shared" si="9"/>
        <v>2059</v>
      </c>
      <c r="G189">
        <f t="shared" si="10"/>
        <v>2059</v>
      </c>
      <c r="H189">
        <f t="shared" si="11"/>
        <v>8.153212282483661E-4</v>
      </c>
    </row>
    <row r="190" spans="1:8" x14ac:dyDescent="0.2">
      <c r="A190" t="str">
        <f>Source_NS_Dashboard!B190</f>
        <v>Hilversum</v>
      </c>
      <c r="B190" t="s">
        <v>685</v>
      </c>
      <c r="C190" t="str">
        <f>INDEX(Source_GM_code_CBS!B:B,MATCH(Calculation!B190,Source_GM_code_CBS!C:C,0))</f>
        <v>GM0534</v>
      </c>
      <c r="D190" t="str">
        <f>Source_NS_Dashboard!I190</f>
        <v>24.941 (2024) (NS)</v>
      </c>
      <c r="E190" t="str">
        <f t="shared" si="8"/>
        <v>24.941</v>
      </c>
      <c r="F190" s="9" t="str">
        <f t="shared" si="9"/>
        <v>24941</v>
      </c>
      <c r="G190">
        <f t="shared" si="10"/>
        <v>24941</v>
      </c>
      <c r="H190">
        <f t="shared" si="11"/>
        <v>9.8761178988550254E-3</v>
      </c>
    </row>
    <row r="191" spans="1:8" x14ac:dyDescent="0.2">
      <c r="A191" t="str">
        <f>Source_NS_Dashboard!B191</f>
        <v>Hilversum</v>
      </c>
      <c r="B191" t="s">
        <v>688</v>
      </c>
      <c r="C191" t="str">
        <f>INDEX(Source_GM_code_CBS!B:B,MATCH(Calculation!B191,Source_GM_code_CBS!C:C,0))</f>
        <v>GM0402</v>
      </c>
      <c r="D191" t="str">
        <f>Source_NS_Dashboard!I191</f>
        <v>3.968 (2023)</v>
      </c>
      <c r="E191" t="str">
        <f t="shared" si="8"/>
        <v>3.968</v>
      </c>
      <c r="F191" s="9" t="str">
        <f t="shared" si="9"/>
        <v>3968</v>
      </c>
      <c r="G191">
        <f t="shared" si="10"/>
        <v>3968</v>
      </c>
      <c r="H191">
        <f t="shared" si="11"/>
        <v>1.5712455724572688E-3</v>
      </c>
    </row>
    <row r="192" spans="1:8" x14ac:dyDescent="0.2">
      <c r="A192" t="str">
        <f>Source_NS_Dashboard!B192</f>
        <v>Hilversum</v>
      </c>
      <c r="B192" t="s">
        <v>688</v>
      </c>
      <c r="C192" t="str">
        <f>INDEX(Source_GM_code_CBS!B:B,MATCH(Calculation!B192,Source_GM_code_CBS!C:C,0))</f>
        <v>GM0402</v>
      </c>
      <c r="D192" t="str">
        <f>Source_NS_Dashboard!I192</f>
        <v>5.797 (2024)</v>
      </c>
      <c r="E192" t="str">
        <f t="shared" si="8"/>
        <v>5.797</v>
      </c>
      <c r="F192" s="9" t="str">
        <f t="shared" si="9"/>
        <v>5797</v>
      </c>
      <c r="G192">
        <f t="shared" si="10"/>
        <v>5797</v>
      </c>
      <c r="H192">
        <f t="shared" si="11"/>
        <v>2.2954915785117912E-3</v>
      </c>
    </row>
    <row r="193" spans="1:8" x14ac:dyDescent="0.2">
      <c r="A193" t="str">
        <f>Source_NS_Dashboard!B193</f>
        <v>Hindeloopen</v>
      </c>
      <c r="B193" t="s">
        <v>688</v>
      </c>
      <c r="C193" t="str">
        <f>INDEX(Source_GM_code_CBS!B:B,MATCH(Calculation!B193,Source_GM_code_CBS!C:C,0))</f>
        <v>GM0402</v>
      </c>
      <c r="D193" t="str">
        <f>Source_NS_Dashboard!I193</f>
        <v>41 (2018)</v>
      </c>
      <c r="E193" t="str">
        <f t="shared" si="8"/>
        <v>41</v>
      </c>
      <c r="F193" s="9" t="str">
        <f t="shared" si="9"/>
        <v>41</v>
      </c>
      <c r="G193">
        <f t="shared" si="10"/>
        <v>41</v>
      </c>
      <c r="H193">
        <f t="shared" si="11"/>
        <v>1.6235148304119967E-5</v>
      </c>
    </row>
    <row r="194" spans="1:8" x14ac:dyDescent="0.2">
      <c r="A194" t="str">
        <f>Source_NS_Dashboard!B194</f>
        <v>Hoensbroek</v>
      </c>
      <c r="B194" t="s">
        <v>2120</v>
      </c>
      <c r="C194" t="str">
        <f>INDEX(Source_GM_code_CBS!B:B,MATCH(Calculation!B194,Source_GM_code_CBS!C:C,0))</f>
        <v>GM1900</v>
      </c>
      <c r="D194" t="str">
        <f>Source_NS_Dashboard!I194</f>
        <v>205 (2016)</v>
      </c>
      <c r="E194" t="str">
        <f t="shared" si="8"/>
        <v>205</v>
      </c>
      <c r="F194" s="9" t="str">
        <f t="shared" si="9"/>
        <v>205</v>
      </c>
      <c r="G194">
        <f t="shared" si="10"/>
        <v>205</v>
      </c>
      <c r="H194">
        <f t="shared" si="11"/>
        <v>8.1175741520599827E-5</v>
      </c>
    </row>
    <row r="195" spans="1:8" x14ac:dyDescent="0.2">
      <c r="A195" t="str">
        <f>Source_NS_Dashboard!B195</f>
        <v>Stoutenburg Noord</v>
      </c>
      <c r="B195" t="s">
        <v>636</v>
      </c>
      <c r="C195" t="str">
        <f>INDEX(Source_GM_code_CBS!B:B,MATCH(Calculation!B195,Source_GM_code_CBS!C:C,0))</f>
        <v>GM0917</v>
      </c>
      <c r="D195" t="str">
        <f>Source_NS_Dashboard!I195</f>
        <v>1.359 (2016)</v>
      </c>
      <c r="E195" t="str">
        <f t="shared" ref="E195:E258" si="12">IFERROR(LEFT(D195,FIND(" ",D195,1)-1),"0")</f>
        <v>1.359</v>
      </c>
      <c r="F195" s="9" t="str">
        <f t="shared" ref="F195:F258" si="13">SUBSTITUTE(E195,".","")</f>
        <v>1359</v>
      </c>
      <c r="G195">
        <f t="shared" ref="G195:G258" si="14">VALUE(F195)</f>
        <v>1359</v>
      </c>
      <c r="H195">
        <f t="shared" ref="H195:H258" si="15">G195/(SUM($G$2:$G$399))</f>
        <v>5.3813576939753746E-4</v>
      </c>
    </row>
    <row r="196" spans="1:8" x14ac:dyDescent="0.2">
      <c r="A196" t="str">
        <f>Source_NS_Dashboard!B196</f>
        <v>Hollandsche Rading</v>
      </c>
      <c r="B196" t="s">
        <v>903</v>
      </c>
      <c r="C196" t="str">
        <f>INDEX(Source_GM_code_CBS!B:B,MATCH(Calculation!B196,Source_GM_code_CBS!C:C,0))</f>
        <v>GM0267</v>
      </c>
      <c r="D196" t="str">
        <f>Source_NS_Dashboard!I196</f>
        <v>906 (2023)</v>
      </c>
      <c r="E196" t="str">
        <f t="shared" si="12"/>
        <v>906</v>
      </c>
      <c r="F196" s="9" t="str">
        <f t="shared" si="13"/>
        <v>906</v>
      </c>
      <c r="G196">
        <f t="shared" si="14"/>
        <v>906</v>
      </c>
      <c r="H196">
        <f t="shared" si="15"/>
        <v>3.5875717959835829E-4</v>
      </c>
    </row>
    <row r="197" spans="1:8" x14ac:dyDescent="0.2">
      <c r="A197" t="str">
        <f>Source_NS_Dashboard!B197</f>
        <v>Holten</v>
      </c>
      <c r="B197" t="s">
        <v>1508</v>
      </c>
      <c r="C197" t="str">
        <f>INDEX(Source_GM_code_CBS!B:B,MATCH(Calculation!B197,Source_GM_code_CBS!C:C,0))</f>
        <v>GM0310</v>
      </c>
      <c r="D197" t="str">
        <f>Source_NS_Dashboard!I197</f>
        <v>1.156 (2023)</v>
      </c>
      <c r="E197" t="str">
        <f t="shared" si="12"/>
        <v>1.156</v>
      </c>
      <c r="F197" s="9" t="str">
        <f t="shared" si="13"/>
        <v>1156</v>
      </c>
      <c r="G197">
        <f t="shared" si="14"/>
        <v>1156</v>
      </c>
      <c r="H197">
        <f t="shared" si="15"/>
        <v>4.577519863307971E-4</v>
      </c>
    </row>
    <row r="198" spans="1:8" x14ac:dyDescent="0.2">
      <c r="A198" t="str">
        <f>Source_NS_Dashboard!B198</f>
        <v>Hoofddorp</v>
      </c>
      <c r="B198" t="s">
        <v>2038</v>
      </c>
      <c r="C198" t="str">
        <f>INDEX(Source_GM_code_CBS!B:B,MATCH(Calculation!B198,Source_GM_code_CBS!C:C,0))</f>
        <v>GM1742</v>
      </c>
      <c r="D198" t="str">
        <f>Source_NS_Dashboard!I198</f>
        <v>14.152 (2024)</v>
      </c>
      <c r="E198" t="str">
        <f t="shared" si="12"/>
        <v>14.152</v>
      </c>
      <c r="F198" s="9" t="str">
        <f t="shared" si="13"/>
        <v>14152</v>
      </c>
      <c r="G198">
        <f t="shared" si="14"/>
        <v>14152</v>
      </c>
      <c r="H198">
        <f t="shared" si="15"/>
        <v>5.6038980195098967E-3</v>
      </c>
    </row>
    <row r="199" spans="1:8" x14ac:dyDescent="0.2">
      <c r="A199" t="str">
        <f>Source_NS_Dashboard!B199</f>
        <v>Hoogeveen</v>
      </c>
      <c r="B199" t="s">
        <v>1695</v>
      </c>
      <c r="C199" t="str">
        <f>INDEX(Source_GM_code_CBS!B:B,MATCH(Calculation!B199,Source_GM_code_CBS!C:C,0))</f>
        <v>GM0394</v>
      </c>
      <c r="D199" t="str">
        <f>Source_NS_Dashboard!I199</f>
        <v>3.694 (2023)</v>
      </c>
      <c r="E199" t="str">
        <f t="shared" si="12"/>
        <v>3.694</v>
      </c>
      <c r="F199" s="9" t="str">
        <f t="shared" si="13"/>
        <v>3694</v>
      </c>
      <c r="G199">
        <f t="shared" si="14"/>
        <v>3694</v>
      </c>
      <c r="H199">
        <f t="shared" si="15"/>
        <v>1.4627472642785159E-3</v>
      </c>
    </row>
    <row r="200" spans="1:8" x14ac:dyDescent="0.2">
      <c r="A200" t="str">
        <f>Source_NS_Dashboard!B200</f>
        <v>Hoogezand</v>
      </c>
      <c r="B200" t="s">
        <v>721</v>
      </c>
      <c r="C200" t="str">
        <f>INDEX(Source_GM_code_CBS!B:B,MATCH(Calculation!B200,Source_GM_code_CBS!C:C,0))</f>
        <v>GM0118</v>
      </c>
      <c r="D200" t="str">
        <f>Source_NS_Dashboard!I200</f>
        <v>968 (2009)</v>
      </c>
      <c r="E200" t="str">
        <f t="shared" si="12"/>
        <v>968</v>
      </c>
      <c r="F200" s="9" t="str">
        <f t="shared" si="13"/>
        <v>968</v>
      </c>
      <c r="G200">
        <f t="shared" si="14"/>
        <v>968</v>
      </c>
      <c r="H200">
        <f t="shared" si="15"/>
        <v>3.833078916680031E-4</v>
      </c>
    </row>
    <row r="201" spans="1:8" x14ac:dyDescent="0.2">
      <c r="A201" t="str">
        <f>Source_NS_Dashboard!B201</f>
        <v>Hoogkarspel</v>
      </c>
      <c r="B201" t="s">
        <v>1891</v>
      </c>
      <c r="C201" t="str">
        <f>INDEX(Source_GM_code_CBS!B:B,MATCH(Calculation!B201,Source_GM_code_CBS!C:C,0))</f>
        <v>GM1952</v>
      </c>
      <c r="D201" t="str">
        <f>Source_NS_Dashboard!I201</f>
        <v>1.577 (2023)</v>
      </c>
      <c r="E201" t="str">
        <f t="shared" si="12"/>
        <v>1.577</v>
      </c>
      <c r="F201" s="9" t="str">
        <f t="shared" si="13"/>
        <v>1577</v>
      </c>
      <c r="G201">
        <f t="shared" si="14"/>
        <v>1577</v>
      </c>
      <c r="H201">
        <f t="shared" si="15"/>
        <v>6.2445924086822408E-4</v>
      </c>
    </row>
    <row r="202" spans="1:8" x14ac:dyDescent="0.2">
      <c r="A202" t="str">
        <f>Source_NS_Dashboard!B202</f>
        <v>Hoorn</v>
      </c>
      <c r="B202" t="s">
        <v>1596</v>
      </c>
      <c r="C202" t="str">
        <f>INDEX(Source_GM_code_CBS!B:B,MATCH(Calculation!B202,Source_GM_code_CBS!C:C,0))</f>
        <v>GM0498</v>
      </c>
      <c r="D202" t="str">
        <f>Source_NS_Dashboard!I202</f>
        <v>12.896 (2024)</v>
      </c>
      <c r="E202" t="str">
        <f t="shared" si="12"/>
        <v>12.896</v>
      </c>
      <c r="F202" s="9" t="str">
        <f t="shared" si="13"/>
        <v>12896</v>
      </c>
      <c r="G202">
        <f t="shared" si="14"/>
        <v>12896</v>
      </c>
      <c r="H202">
        <f t="shared" si="15"/>
        <v>5.1065481104861235E-3</v>
      </c>
    </row>
    <row r="203" spans="1:8" x14ac:dyDescent="0.2">
      <c r="A203" t="str">
        <f>Source_NS_Dashboard!B203</f>
        <v>Hoorn</v>
      </c>
      <c r="B203" t="s">
        <v>731</v>
      </c>
      <c r="C203" t="str">
        <f>INDEX(Source_GM_code_CBS!B:B,MATCH(Calculation!B203,Source_GM_code_CBS!C:C,0))</f>
        <v>GM0405</v>
      </c>
      <c r="D203" t="str">
        <f>Source_NS_Dashboard!I203</f>
        <v>3.888 (2023)</v>
      </c>
      <c r="E203" t="str">
        <f t="shared" si="12"/>
        <v>3.888</v>
      </c>
      <c r="F203" s="9" t="str">
        <f t="shared" si="13"/>
        <v>3888</v>
      </c>
      <c r="G203">
        <f t="shared" si="14"/>
        <v>3888</v>
      </c>
      <c r="H203">
        <f t="shared" si="15"/>
        <v>1.5395672343028884E-3</v>
      </c>
    </row>
    <row r="204" spans="1:8" x14ac:dyDescent="0.2">
      <c r="A204" t="str">
        <f>Source_NS_Dashboard!B204</f>
        <v>Hegelsom</v>
      </c>
      <c r="B204" t="s">
        <v>731</v>
      </c>
      <c r="C204" t="str">
        <f>INDEX(Source_GM_code_CBS!B:B,MATCH(Calculation!B204,Source_GM_code_CBS!C:C,0))</f>
        <v>GM0405</v>
      </c>
      <c r="D204" t="str">
        <f>Source_NS_Dashboard!I204</f>
        <v>2.402 (2023)</v>
      </c>
      <c r="E204" t="str">
        <f t="shared" si="12"/>
        <v>2.402</v>
      </c>
      <c r="F204" s="9" t="str">
        <f t="shared" si="13"/>
        <v>2402</v>
      </c>
      <c r="G204">
        <f t="shared" si="14"/>
        <v>2402</v>
      </c>
      <c r="H204">
        <f t="shared" si="15"/>
        <v>9.5114210308527218E-4</v>
      </c>
    </row>
    <row r="205" spans="1:8" x14ac:dyDescent="0.2">
      <c r="A205" t="str">
        <f>Source_NS_Dashboard!B205</f>
        <v>Houten</v>
      </c>
      <c r="B205" t="s">
        <v>1771</v>
      </c>
      <c r="C205" t="str">
        <f>INDEX(Source_GM_code_CBS!B:B,MATCH(Calculation!B205,Source_GM_code_CBS!C:C,0))</f>
        <v>GM1507</v>
      </c>
      <c r="D205" t="str">
        <f>Source_NS_Dashboard!I205</f>
        <v>6.095 (2024)</v>
      </c>
      <c r="E205" t="str">
        <f t="shared" si="12"/>
        <v>6.095</v>
      </c>
      <c r="F205" s="9" t="str">
        <f t="shared" si="13"/>
        <v>6095</v>
      </c>
      <c r="G205">
        <f t="shared" si="14"/>
        <v>6095</v>
      </c>
      <c r="H205">
        <f t="shared" si="15"/>
        <v>2.4134933881368582E-3</v>
      </c>
    </row>
    <row r="206" spans="1:8" x14ac:dyDescent="0.2">
      <c r="A206" t="str">
        <f>Source_NS_Dashboard!B206</f>
        <v>Houten</v>
      </c>
      <c r="B206" t="s">
        <v>743</v>
      </c>
      <c r="C206" t="str">
        <f>INDEX(Source_GM_code_CBS!B:B,MATCH(Calculation!B206,Source_GM_code_CBS!C:C,0))</f>
        <v>GM0321</v>
      </c>
      <c r="D206" t="str">
        <f>Source_NS_Dashboard!I206</f>
        <v>5.008 (2023)</v>
      </c>
      <c r="E206" t="str">
        <f t="shared" si="12"/>
        <v>5.008</v>
      </c>
      <c r="F206" s="9" t="str">
        <f t="shared" si="13"/>
        <v>5008</v>
      </c>
      <c r="G206">
        <f t="shared" si="14"/>
        <v>5008</v>
      </c>
      <c r="H206">
        <f t="shared" si="15"/>
        <v>1.9830639684642144E-3</v>
      </c>
    </row>
    <row r="207" spans="1:8" x14ac:dyDescent="0.2">
      <c r="A207" t="str">
        <f>Source_NS_Dashboard!B207</f>
        <v>Houthem</v>
      </c>
      <c r="B207" t="s">
        <v>743</v>
      </c>
      <c r="C207" t="str">
        <f>INDEX(Source_GM_code_CBS!B:B,MATCH(Calculation!B207,Source_GM_code_CBS!C:C,0))</f>
        <v>GM0321</v>
      </c>
      <c r="D207" t="str">
        <f>Source_NS_Dashboard!I207</f>
        <v>-</v>
      </c>
      <c r="E207" t="str">
        <f t="shared" si="12"/>
        <v>0</v>
      </c>
      <c r="F207" s="9" t="str">
        <f t="shared" si="13"/>
        <v>0</v>
      </c>
      <c r="G207">
        <f t="shared" si="14"/>
        <v>0</v>
      </c>
      <c r="H207">
        <f t="shared" si="15"/>
        <v>0</v>
      </c>
    </row>
    <row r="208" spans="1:8" x14ac:dyDescent="0.2">
      <c r="A208" t="str">
        <f>Source_NS_Dashboard!B208</f>
        <v>Hardegarijp</v>
      </c>
      <c r="B208" s="6"/>
      <c r="C208" t="e">
        <f>INDEX(Source_GM_code_CBS!B:B,MATCH(Calculation!B208,Source_GM_code_CBS!C:C,0))</f>
        <v>#N/A</v>
      </c>
      <c r="D208" t="str">
        <f>Source_NS_Dashboard!I208</f>
        <v>-</v>
      </c>
      <c r="E208" t="str">
        <f t="shared" si="12"/>
        <v>0</v>
      </c>
      <c r="F208" s="9" t="str">
        <f t="shared" si="13"/>
        <v>0</v>
      </c>
      <c r="G208">
        <f t="shared" si="14"/>
        <v>0</v>
      </c>
      <c r="H208">
        <f t="shared" si="15"/>
        <v>0</v>
      </c>
    </row>
    <row r="209" spans="1:8" x14ac:dyDescent="0.2">
      <c r="A209" t="str">
        <f>Source_NS_Dashboard!B209</f>
        <v>IJlst</v>
      </c>
      <c r="B209" s="6"/>
      <c r="C209" t="e">
        <f>INDEX(Source_GM_code_CBS!B:B,MATCH(Calculation!B209,Source_GM_code_CBS!C:C,0))</f>
        <v>#N/A</v>
      </c>
      <c r="D209">
        <f>Source_NS_Dashboard!I209</f>
        <v>0</v>
      </c>
      <c r="E209" t="str">
        <f t="shared" si="12"/>
        <v>0</v>
      </c>
      <c r="F209" s="9" t="str">
        <f t="shared" si="13"/>
        <v>0</v>
      </c>
      <c r="G209">
        <f t="shared" si="14"/>
        <v>0</v>
      </c>
      <c r="H209">
        <f t="shared" si="15"/>
        <v>0</v>
      </c>
    </row>
    <row r="210" spans="1:8" x14ac:dyDescent="0.2">
      <c r="A210" t="str">
        <f>Source_NS_Dashboard!B210</f>
        <v>Kampen</v>
      </c>
      <c r="B210" t="s">
        <v>757</v>
      </c>
      <c r="C210" t="str">
        <f>INDEX(Source_GM_code_CBS!B:B,MATCH(Calculation!B210,Source_GM_code_CBS!C:C,0))</f>
        <v>GM0166</v>
      </c>
      <c r="D210" t="str">
        <f>Source_NS_Dashboard!I210</f>
        <v>-</v>
      </c>
      <c r="E210" t="str">
        <f t="shared" si="12"/>
        <v>0</v>
      </c>
      <c r="F210" s="9" t="str">
        <f t="shared" si="13"/>
        <v>0</v>
      </c>
      <c r="G210">
        <f t="shared" si="14"/>
        <v>0</v>
      </c>
      <c r="H210">
        <f t="shared" si="15"/>
        <v>0</v>
      </c>
    </row>
    <row r="211" spans="1:8" x14ac:dyDescent="0.2">
      <c r="A211" t="str">
        <f>Source_NS_Dashboard!B211</f>
        <v>Kampen</v>
      </c>
      <c r="B211" t="s">
        <v>757</v>
      </c>
      <c r="C211" t="str">
        <f>INDEX(Source_GM_code_CBS!B:B,MATCH(Calculation!B211,Source_GM_code_CBS!C:C,0))</f>
        <v>GM0166</v>
      </c>
      <c r="D211" t="str">
        <f>Source_NS_Dashboard!I211</f>
        <v>1.612 (2023)</v>
      </c>
      <c r="E211" t="str">
        <f t="shared" si="12"/>
        <v>1.612</v>
      </c>
      <c r="F211" s="9" t="str">
        <f t="shared" si="13"/>
        <v>1612</v>
      </c>
      <c r="G211">
        <f t="shared" si="14"/>
        <v>1612</v>
      </c>
      <c r="H211">
        <f t="shared" si="15"/>
        <v>6.3831851381076544E-4</v>
      </c>
    </row>
    <row r="212" spans="1:8" x14ac:dyDescent="0.2">
      <c r="A212" t="str">
        <f>Source_NS_Dashboard!B212</f>
        <v>Biezelinge Kapelle</v>
      </c>
      <c r="B212" t="s">
        <v>1790</v>
      </c>
      <c r="C212" t="str">
        <f>INDEX(Source_GM_code_CBS!B:B,MATCH(Calculation!B212,Source_GM_code_CBS!C:C,0))</f>
        <v>GM0678</v>
      </c>
      <c r="D212" t="str">
        <f>Source_NS_Dashboard!I212</f>
        <v>962 (2023)</v>
      </c>
      <c r="E212" t="str">
        <f t="shared" si="12"/>
        <v>962</v>
      </c>
      <c r="F212" s="9" t="str">
        <f t="shared" si="13"/>
        <v>962</v>
      </c>
      <c r="G212">
        <f t="shared" si="14"/>
        <v>962</v>
      </c>
      <c r="H212">
        <f t="shared" si="15"/>
        <v>3.8093201630642459E-4</v>
      </c>
    </row>
    <row r="213" spans="1:8" x14ac:dyDescent="0.2">
      <c r="A213" t="str">
        <f>Source_NS_Dashboard!B213</f>
        <v>Kerkrade</v>
      </c>
      <c r="B213" t="s">
        <v>307</v>
      </c>
      <c r="C213" t="str">
        <f>INDEX(Source_GM_code_CBS!B:B,MATCH(Calculation!B213,Source_GM_code_CBS!C:C,0))</f>
        <v>GM0928</v>
      </c>
      <c r="D213" t="str">
        <f>Source_NS_Dashboard!I213</f>
        <v>-</v>
      </c>
      <c r="E213" t="str">
        <f t="shared" si="12"/>
        <v>0</v>
      </c>
      <c r="F213" s="9" t="str">
        <f t="shared" si="13"/>
        <v>0</v>
      </c>
      <c r="G213">
        <f t="shared" si="14"/>
        <v>0</v>
      </c>
      <c r="H213">
        <f t="shared" si="15"/>
        <v>0</v>
      </c>
    </row>
    <row r="214" spans="1:8" x14ac:dyDescent="0.2">
      <c r="A214" t="str">
        <f>Source_NS_Dashboard!B214</f>
        <v>Kesteren</v>
      </c>
      <c r="B214" s="6"/>
      <c r="C214" t="e">
        <f>INDEX(Source_GM_code_CBS!B:B,MATCH(Calculation!B214,Source_GM_code_CBS!C:C,0))</f>
        <v>#N/A</v>
      </c>
      <c r="D214" t="str">
        <f>Source_NS_Dashboard!I214</f>
        <v>-</v>
      </c>
      <c r="E214" t="str">
        <f t="shared" si="12"/>
        <v>0</v>
      </c>
      <c r="F214" s="9" t="str">
        <f t="shared" si="13"/>
        <v>0</v>
      </c>
      <c r="G214">
        <f t="shared" si="14"/>
        <v>0</v>
      </c>
      <c r="H214">
        <f t="shared" si="15"/>
        <v>0</v>
      </c>
    </row>
    <row r="215" spans="1:8" x14ac:dyDescent="0.2">
      <c r="A215" t="str">
        <f>Source_NS_Dashboard!B215</f>
        <v>Klarenbeek</v>
      </c>
      <c r="B215" s="6"/>
      <c r="C215" t="e">
        <f>INDEX(Source_GM_code_CBS!B:B,MATCH(Calculation!B215,Source_GM_code_CBS!C:C,0))</f>
        <v>#N/A</v>
      </c>
      <c r="D215" t="str">
        <f>Source_NS_Dashboard!I215</f>
        <v>-</v>
      </c>
      <c r="E215" t="str">
        <f t="shared" si="12"/>
        <v>0</v>
      </c>
      <c r="F215" s="9" t="str">
        <f t="shared" si="13"/>
        <v>0</v>
      </c>
      <c r="G215">
        <f t="shared" si="14"/>
        <v>0</v>
      </c>
      <c r="H215">
        <f t="shared" si="15"/>
        <v>0</v>
      </c>
    </row>
    <row r="216" spans="1:8" x14ac:dyDescent="0.2">
      <c r="A216" t="str">
        <f>Source_NS_Dashboard!B216</f>
        <v>Klimmen Ransdaal</v>
      </c>
      <c r="B216" s="6"/>
      <c r="C216" t="e">
        <f>INDEX(Source_GM_code_CBS!B:B,MATCH(Calculation!B216,Source_GM_code_CBS!C:C,0))</f>
        <v>#N/A</v>
      </c>
      <c r="D216" t="str">
        <f>Source_NS_Dashboard!I216</f>
        <v>-</v>
      </c>
      <c r="E216" t="str">
        <f t="shared" si="12"/>
        <v>0</v>
      </c>
      <c r="F216" s="9" t="str">
        <f t="shared" si="13"/>
        <v>0</v>
      </c>
      <c r="G216">
        <f t="shared" si="14"/>
        <v>0</v>
      </c>
      <c r="H216">
        <f t="shared" si="15"/>
        <v>0</v>
      </c>
    </row>
    <row r="217" spans="1:8" x14ac:dyDescent="0.2">
      <c r="A217" t="str">
        <f>Source_NS_Dashboard!B217</f>
        <v>Koog aan de Zaan</v>
      </c>
      <c r="B217" t="s">
        <v>2287</v>
      </c>
      <c r="C217" t="str">
        <f>INDEX(Source_GM_code_CBS!B:B,MATCH(Calculation!B217,Source_GM_code_CBS!C:C,0))</f>
        <v>GM0479</v>
      </c>
      <c r="D217" t="str">
        <f>Source_NS_Dashboard!I217</f>
        <v>2.551 (2023)</v>
      </c>
      <c r="E217" t="str">
        <f t="shared" si="12"/>
        <v>2.551</v>
      </c>
      <c r="F217" s="9" t="str">
        <f t="shared" si="13"/>
        <v>2551</v>
      </c>
      <c r="G217">
        <f t="shared" si="14"/>
        <v>2551</v>
      </c>
      <c r="H217">
        <f t="shared" si="15"/>
        <v>1.0101430078978057E-3</v>
      </c>
    </row>
    <row r="218" spans="1:8" x14ac:dyDescent="0.2">
      <c r="A218" t="str">
        <f>Source_NS_Dashboard!B218</f>
        <v>Molkwerum</v>
      </c>
      <c r="B218" t="s">
        <v>2120</v>
      </c>
      <c r="C218" t="str">
        <f>INDEX(Source_GM_code_CBS!B:B,MATCH(Calculation!B218,Source_GM_code_CBS!C:C,0))</f>
        <v>GM1900</v>
      </c>
      <c r="D218" t="str">
        <f>Source_NS_Dashboard!I218</f>
        <v>49 (2018)</v>
      </c>
      <c r="E218" t="str">
        <f t="shared" si="12"/>
        <v>49</v>
      </c>
      <c r="F218" s="9" t="str">
        <f t="shared" si="13"/>
        <v>49</v>
      </c>
      <c r="G218">
        <f t="shared" si="14"/>
        <v>49</v>
      </c>
      <c r="H218">
        <f t="shared" si="15"/>
        <v>1.9402982119558007E-5</v>
      </c>
    </row>
    <row r="219" spans="1:8" x14ac:dyDescent="0.2">
      <c r="A219" t="str">
        <f>Source_NS_Dashboard!B219</f>
        <v>Krabbendijke</v>
      </c>
      <c r="B219" t="s">
        <v>2019</v>
      </c>
      <c r="C219" t="str">
        <f>INDEX(Source_GM_code_CBS!B:B,MATCH(Calculation!B219,Source_GM_code_CBS!C:C,0))</f>
        <v>GM0703</v>
      </c>
      <c r="D219" t="str">
        <f>Source_NS_Dashboard!I219</f>
        <v>696 (2023)</v>
      </c>
      <c r="E219" t="str">
        <f t="shared" si="12"/>
        <v>696</v>
      </c>
      <c r="F219" s="9" t="str">
        <f t="shared" si="13"/>
        <v>696</v>
      </c>
      <c r="G219">
        <f t="shared" si="14"/>
        <v>696</v>
      </c>
      <c r="H219">
        <f t="shared" si="15"/>
        <v>2.7560154194310968E-4</v>
      </c>
    </row>
    <row r="220" spans="1:8" x14ac:dyDescent="0.2">
      <c r="A220" t="str">
        <f>Source_NS_Dashboard!B220</f>
        <v>Assendelft Krommenie</v>
      </c>
      <c r="B220" t="s">
        <v>2287</v>
      </c>
      <c r="C220" t="str">
        <f>INDEX(Source_GM_code_CBS!B:B,MATCH(Calculation!B220,Source_GM_code_CBS!C:C,0))</f>
        <v>GM0479</v>
      </c>
      <c r="D220" t="str">
        <f>Source_NS_Dashboard!I220</f>
        <v>4.579 (2023)</v>
      </c>
      <c r="E220" t="str">
        <f t="shared" si="12"/>
        <v>4.579</v>
      </c>
      <c r="F220" s="9" t="str">
        <f t="shared" si="13"/>
        <v>4579</v>
      </c>
      <c r="G220">
        <f t="shared" si="14"/>
        <v>4579</v>
      </c>
      <c r="H220">
        <f t="shared" si="15"/>
        <v>1.8131888801113493E-3</v>
      </c>
    </row>
    <row r="221" spans="1:8" x14ac:dyDescent="0.2">
      <c r="A221" t="str">
        <f>Source_NS_Dashboard!B221</f>
        <v>Kropswolde</v>
      </c>
      <c r="B221" t="s">
        <v>1891</v>
      </c>
      <c r="C221" t="str">
        <f>INDEX(Source_GM_code_CBS!B:B,MATCH(Calculation!B221,Source_GM_code_CBS!C:C,0))</f>
        <v>GM1952</v>
      </c>
      <c r="D221" t="str">
        <f>Source_NS_Dashboard!I221</f>
        <v>511 (2009)</v>
      </c>
      <c r="E221" t="str">
        <f t="shared" si="12"/>
        <v>511</v>
      </c>
      <c r="F221" s="9" t="str">
        <f t="shared" si="13"/>
        <v>511</v>
      </c>
      <c r="G221">
        <f t="shared" si="14"/>
        <v>511</v>
      </c>
      <c r="H221">
        <f t="shared" si="15"/>
        <v>2.0234538496110495E-4</v>
      </c>
    </row>
    <row r="222" spans="1:8" x14ac:dyDescent="0.2">
      <c r="A222" t="str">
        <f>Source_NS_Dashboard!B222</f>
        <v>Kruiningen</v>
      </c>
      <c r="B222" t="s">
        <v>2019</v>
      </c>
      <c r="C222" t="str">
        <f>INDEX(Source_GM_code_CBS!B:B,MATCH(Calculation!B222,Source_GM_code_CBS!C:C,0))</f>
        <v>GM0703</v>
      </c>
      <c r="D222" t="str">
        <f>Source_NS_Dashboard!I222</f>
        <v>659 (2022)</v>
      </c>
      <c r="E222" t="str">
        <f t="shared" si="12"/>
        <v>659</v>
      </c>
      <c r="F222" s="9" t="str">
        <f t="shared" si="13"/>
        <v>659</v>
      </c>
      <c r="G222">
        <f t="shared" si="14"/>
        <v>659</v>
      </c>
      <c r="H222">
        <f t="shared" si="15"/>
        <v>2.6095031054670871E-4</v>
      </c>
    </row>
    <row r="223" spans="1:8" x14ac:dyDescent="0.2">
      <c r="A223" t="str">
        <f>Source_NS_Dashboard!B223</f>
        <v>Zevenbergschen Hoek</v>
      </c>
      <c r="B223" t="s">
        <v>1599</v>
      </c>
      <c r="C223" t="str">
        <f>INDEX(Source_GM_code_CBS!B:B,MATCH(Calculation!B223,Source_GM_code_CBS!C:C,0))</f>
        <v>GM1719</v>
      </c>
      <c r="D223" t="str">
        <f>Source_NS_Dashboard!I223</f>
        <v>865 (2023)</v>
      </c>
      <c r="E223" t="str">
        <f t="shared" si="12"/>
        <v>865</v>
      </c>
      <c r="F223" s="9" t="str">
        <f t="shared" si="13"/>
        <v>865</v>
      </c>
      <c r="G223">
        <f t="shared" si="14"/>
        <v>865</v>
      </c>
      <c r="H223">
        <f t="shared" si="15"/>
        <v>3.425220312942383E-4</v>
      </c>
    </row>
    <row r="224" spans="1:8" x14ac:dyDescent="0.2">
      <c r="A224" t="str">
        <f>Source_NS_Dashboard!B224</f>
        <v>Landgraaf</v>
      </c>
      <c r="B224" t="s">
        <v>804</v>
      </c>
      <c r="C224" t="str">
        <f>INDEX(Source_GM_code_CBS!B:B,MATCH(Calculation!B224,Source_GM_code_CBS!C:C,0))</f>
        <v>GM0882</v>
      </c>
      <c r="D224" t="str">
        <f>Source_NS_Dashboard!I224</f>
        <v>-</v>
      </c>
      <c r="E224" t="str">
        <f t="shared" si="12"/>
        <v>0</v>
      </c>
      <c r="F224" s="9" t="str">
        <f t="shared" si="13"/>
        <v>0</v>
      </c>
      <c r="G224">
        <f t="shared" si="14"/>
        <v>0</v>
      </c>
      <c r="H224">
        <f t="shared" si="15"/>
        <v>0</v>
      </c>
    </row>
    <row r="225" spans="1:8" x14ac:dyDescent="0.2">
      <c r="A225" t="str">
        <f>Source_NS_Dashboard!B225</f>
        <v>Bleiswijk Zoetermeer</v>
      </c>
      <c r="B225" t="s">
        <v>1349</v>
      </c>
      <c r="C225" t="str">
        <f>INDEX(Source_GM_code_CBS!B:B,MATCH(Calculation!B225,Source_GM_code_CBS!C:C,0))</f>
        <v>GM0637</v>
      </c>
      <c r="D225" t="str">
        <f>Source_NS_Dashboard!I225</f>
        <v>2.425 (2023)</v>
      </c>
      <c r="E225" t="str">
        <f t="shared" si="12"/>
        <v>2.425</v>
      </c>
      <c r="F225" s="9" t="str">
        <f t="shared" si="13"/>
        <v>2425</v>
      </c>
      <c r="G225">
        <f t="shared" si="14"/>
        <v>2425</v>
      </c>
      <c r="H225">
        <f t="shared" si="15"/>
        <v>9.6024962530465651E-4</v>
      </c>
    </row>
    <row r="226" spans="1:8" x14ac:dyDescent="0.2">
      <c r="A226" t="str">
        <f>Source_NS_Dashboard!B226</f>
        <v>Leerdam</v>
      </c>
      <c r="B226" t="s">
        <v>2193</v>
      </c>
      <c r="C226" t="str">
        <f>INDEX(Source_GM_code_CBS!B:B,MATCH(Calculation!B226,Source_GM_code_CBS!C:C,0))</f>
        <v>GM1961</v>
      </c>
      <c r="D226" t="str">
        <f>Source_NS_Dashboard!I226</f>
        <v>712 (2014)</v>
      </c>
      <c r="E226" t="str">
        <f t="shared" si="12"/>
        <v>712</v>
      </c>
      <c r="F226" s="9" t="str">
        <f t="shared" si="13"/>
        <v>712</v>
      </c>
      <c r="G226">
        <f t="shared" si="14"/>
        <v>712</v>
      </c>
      <c r="H226">
        <f t="shared" si="15"/>
        <v>2.8193720957398572E-4</v>
      </c>
    </row>
    <row r="227" spans="1:8" x14ac:dyDescent="0.2">
      <c r="A227" t="str">
        <f>Source_NS_Dashboard!B227</f>
        <v>Leeuwarden</v>
      </c>
      <c r="B227" t="s">
        <v>813</v>
      </c>
      <c r="C227" t="str">
        <f>INDEX(Source_GM_code_CBS!B:B,MATCH(Calculation!B227,Source_GM_code_CBS!C:C,0))</f>
        <v>GM0080</v>
      </c>
      <c r="D227" t="str">
        <f>Source_NS_Dashboard!I227</f>
        <v>7.705 (2024) (NS)</v>
      </c>
      <c r="E227" t="str">
        <f t="shared" si="12"/>
        <v>7.705</v>
      </c>
      <c r="F227" s="9" t="str">
        <f t="shared" si="13"/>
        <v>7705</v>
      </c>
      <c r="G227">
        <f t="shared" si="14"/>
        <v>7705</v>
      </c>
      <c r="H227">
        <f t="shared" si="15"/>
        <v>3.0510199434937643E-3</v>
      </c>
    </row>
    <row r="228" spans="1:8" x14ac:dyDescent="0.2">
      <c r="A228" t="str">
        <f>Source_NS_Dashboard!B228</f>
        <v>Leeuwarden</v>
      </c>
      <c r="B228" t="s">
        <v>813</v>
      </c>
      <c r="C228" t="str">
        <f>INDEX(Source_GM_code_CBS!B:B,MATCH(Calculation!B228,Source_GM_code_CBS!C:C,0))</f>
        <v>GM0080</v>
      </c>
      <c r="D228" t="str">
        <f>Source_NS_Dashboard!I228</f>
        <v>784 (2009)</v>
      </c>
      <c r="E228" t="str">
        <f t="shared" si="12"/>
        <v>784</v>
      </c>
      <c r="F228" s="9" t="str">
        <f t="shared" si="13"/>
        <v>784</v>
      </c>
      <c r="G228">
        <f t="shared" si="14"/>
        <v>784</v>
      </c>
      <c r="H228">
        <f t="shared" si="15"/>
        <v>3.1044771391292811E-4</v>
      </c>
    </row>
    <row r="229" spans="1:8" x14ac:dyDescent="0.2">
      <c r="A229" t="str">
        <f>Source_NS_Dashboard!B229</f>
        <v>Leiden</v>
      </c>
      <c r="B229" t="s">
        <v>821</v>
      </c>
      <c r="C229" t="str">
        <f>INDEX(Source_GM_code_CBS!B:B,MATCH(Calculation!B229,Source_GM_code_CBS!C:C,0))</f>
        <v>GM0546</v>
      </c>
      <c r="D229" t="str">
        <f>Source_NS_Dashboard!I229</f>
        <v>80.409 (2022)</v>
      </c>
      <c r="E229" t="str">
        <f t="shared" si="12"/>
        <v>80.409</v>
      </c>
      <c r="F229" s="9" t="str">
        <f t="shared" si="13"/>
        <v>80409</v>
      </c>
      <c r="G229">
        <f t="shared" si="14"/>
        <v>80409</v>
      </c>
      <c r="H229">
        <f t="shared" si="15"/>
        <v>3.1840293658194692E-2</v>
      </c>
    </row>
    <row r="230" spans="1:8" x14ac:dyDescent="0.2">
      <c r="A230" t="str">
        <f>Source_NS_Dashboard!B230</f>
        <v>Leiden</v>
      </c>
      <c r="B230" t="s">
        <v>821</v>
      </c>
      <c r="C230" t="str">
        <f>INDEX(Source_GM_code_CBS!B:B,MATCH(Calculation!B230,Source_GM_code_CBS!C:C,0))</f>
        <v>GM0546</v>
      </c>
      <c r="D230" t="str">
        <f>Source_NS_Dashboard!I230</f>
        <v>4.636 (2023)</v>
      </c>
      <c r="E230" t="str">
        <f t="shared" si="12"/>
        <v>4.636</v>
      </c>
      <c r="F230" s="9" t="str">
        <f t="shared" si="13"/>
        <v>4636</v>
      </c>
      <c r="G230">
        <f t="shared" si="14"/>
        <v>4636</v>
      </c>
      <c r="H230">
        <f t="shared" si="15"/>
        <v>1.8357596960463453E-3</v>
      </c>
    </row>
    <row r="231" spans="1:8" x14ac:dyDescent="0.2">
      <c r="A231" t="str">
        <f>Source_NS_Dashboard!B231</f>
        <v>Lelystad</v>
      </c>
      <c r="B231" t="s">
        <v>829</v>
      </c>
      <c r="C231" t="str">
        <f>INDEX(Source_GM_code_CBS!B:B,MATCH(Calculation!B231,Source_GM_code_CBS!C:C,0))</f>
        <v>GM0995</v>
      </c>
      <c r="D231" t="str">
        <f>Source_NS_Dashboard!I231</f>
        <v>12.592 (2024) (NS)</v>
      </c>
      <c r="E231" t="str">
        <f t="shared" si="12"/>
        <v>12.592</v>
      </c>
      <c r="F231" s="9" t="str">
        <f t="shared" si="13"/>
        <v>12592</v>
      </c>
      <c r="G231">
        <f t="shared" si="14"/>
        <v>12592</v>
      </c>
      <c r="H231">
        <f t="shared" si="15"/>
        <v>4.9861704254994784E-3</v>
      </c>
    </row>
    <row r="232" spans="1:8" x14ac:dyDescent="0.2">
      <c r="A232" t="str">
        <f>Source_NS_Dashboard!B232</f>
        <v>Lievelde</v>
      </c>
      <c r="B232" s="6"/>
      <c r="C232" t="e">
        <f>INDEX(Source_GM_code_CBS!B:B,MATCH(Calculation!B232,Source_GM_code_CBS!C:C,0))</f>
        <v>#N/A</v>
      </c>
      <c r="D232" t="str">
        <f>Source_NS_Dashboard!I232</f>
        <v>-</v>
      </c>
      <c r="E232" t="str">
        <f t="shared" si="12"/>
        <v>0</v>
      </c>
      <c r="F232" s="9" t="str">
        <f t="shared" si="13"/>
        <v>0</v>
      </c>
      <c r="G232">
        <f t="shared" si="14"/>
        <v>0</v>
      </c>
      <c r="H232">
        <f t="shared" si="15"/>
        <v>0</v>
      </c>
    </row>
    <row r="233" spans="1:8" x14ac:dyDescent="0.2">
      <c r="A233" t="str">
        <f>Source_NS_Dashboard!B233</f>
        <v>Lochem</v>
      </c>
      <c r="B233" t="s">
        <v>837</v>
      </c>
      <c r="C233" t="str">
        <f>INDEX(Source_GM_code_CBS!B:B,MATCH(Calculation!B233,Source_GM_code_CBS!C:C,0))</f>
        <v>GM0262</v>
      </c>
      <c r="D233" t="str">
        <f>Source_NS_Dashboard!I233</f>
        <v>-</v>
      </c>
      <c r="E233" t="str">
        <f t="shared" si="12"/>
        <v>0</v>
      </c>
      <c r="F233" s="9" t="str">
        <f t="shared" si="13"/>
        <v>0</v>
      </c>
      <c r="G233">
        <f t="shared" si="14"/>
        <v>0</v>
      </c>
      <c r="H233">
        <f t="shared" si="15"/>
        <v>0</v>
      </c>
    </row>
    <row r="234" spans="1:8" x14ac:dyDescent="0.2">
      <c r="A234" t="str">
        <f>Source_NS_Dashboard!B234</f>
        <v>Loppersum</v>
      </c>
      <c r="B234" t="s">
        <v>1620</v>
      </c>
      <c r="C234" t="str">
        <f>INDEX(Source_GM_code_CBS!B:B,MATCH(Calculation!B234,Source_GM_code_CBS!C:C,0))</f>
        <v>GM1979</v>
      </c>
      <c r="D234" t="str">
        <f>Source_NS_Dashboard!I234</f>
        <v>572 (2009)</v>
      </c>
      <c r="E234" t="str">
        <f t="shared" si="12"/>
        <v>572</v>
      </c>
      <c r="F234" s="9" t="str">
        <f t="shared" si="13"/>
        <v>572</v>
      </c>
      <c r="G234">
        <f t="shared" si="14"/>
        <v>572</v>
      </c>
      <c r="H234">
        <f t="shared" si="15"/>
        <v>2.2650011780382001E-4</v>
      </c>
    </row>
    <row r="235" spans="1:8" x14ac:dyDescent="0.2">
      <c r="A235" t="str">
        <f>Source_NS_Dashboard!B235</f>
        <v>Lunteren</v>
      </c>
      <c r="B235" s="6"/>
      <c r="C235" t="e">
        <f>INDEX(Source_GM_code_CBS!B:B,MATCH(Calculation!B235,Source_GM_code_CBS!C:C,0))</f>
        <v>#N/A</v>
      </c>
      <c r="D235" t="str">
        <f>Source_NS_Dashboard!I235</f>
        <v>-</v>
      </c>
      <c r="E235" t="str">
        <f t="shared" si="12"/>
        <v>0</v>
      </c>
      <c r="F235" s="9" t="str">
        <f t="shared" si="13"/>
        <v>0</v>
      </c>
      <c r="G235">
        <f t="shared" si="14"/>
        <v>0</v>
      </c>
      <c r="H235">
        <f t="shared" si="15"/>
        <v>0</v>
      </c>
    </row>
    <row r="236" spans="1:8" x14ac:dyDescent="0.2">
      <c r="A236" t="str">
        <f>Source_NS_Dashboard!B236</f>
        <v>Maarheeze</v>
      </c>
      <c r="B236" t="s">
        <v>1562</v>
      </c>
      <c r="C236" t="str">
        <f>INDEX(Source_GM_code_CBS!B:B,MATCH(Calculation!B236,Source_GM_code_CBS!C:C,0))</f>
        <v>GM1706</v>
      </c>
      <c r="D236" t="str">
        <f>Source_NS_Dashboard!I236</f>
        <v>1.251 (2023)</v>
      </c>
      <c r="E236" t="str">
        <f t="shared" si="12"/>
        <v>1.251</v>
      </c>
      <c r="F236" s="9" t="str">
        <f t="shared" si="13"/>
        <v>1251</v>
      </c>
      <c r="G236">
        <f t="shared" si="14"/>
        <v>1251</v>
      </c>
      <c r="H236">
        <f t="shared" si="15"/>
        <v>4.9537001288912387E-4</v>
      </c>
    </row>
    <row r="237" spans="1:8" x14ac:dyDescent="0.2">
      <c r="A237" t="str">
        <f>Source_NS_Dashboard!B237</f>
        <v>Maarn</v>
      </c>
      <c r="B237" t="s">
        <v>2164</v>
      </c>
      <c r="C237" t="str">
        <f>INDEX(Source_GM_code_CBS!B:B,MATCH(Calculation!B237,Source_GM_code_CBS!C:C,0))</f>
        <v>GM1581</v>
      </c>
      <c r="D237" t="str">
        <f>Source_NS_Dashboard!I237</f>
        <v>1.452 (2023)</v>
      </c>
      <c r="E237" t="str">
        <f t="shared" si="12"/>
        <v>1.452</v>
      </c>
      <c r="F237" s="9" t="str">
        <f t="shared" si="13"/>
        <v>1452</v>
      </c>
      <c r="G237">
        <f t="shared" si="14"/>
        <v>1452</v>
      </c>
      <c r="H237">
        <f t="shared" si="15"/>
        <v>5.7496183750200462E-4</v>
      </c>
    </row>
    <row r="238" spans="1:8" x14ac:dyDescent="0.2">
      <c r="A238" t="str">
        <f>Source_NS_Dashboard!B238</f>
        <v>Maarssen</v>
      </c>
      <c r="B238" t="s">
        <v>2117</v>
      </c>
      <c r="C238" t="str">
        <f>INDEX(Source_GM_code_CBS!B:B,MATCH(Calculation!B238,Source_GM_code_CBS!C:C,0))</f>
        <v>GM1904</v>
      </c>
      <c r="D238" t="str">
        <f>Source_NS_Dashboard!I238</f>
        <v>3.907 (2023)</v>
      </c>
      <c r="E238" t="str">
        <f t="shared" si="12"/>
        <v>3.907</v>
      </c>
      <c r="F238" s="9" t="str">
        <f t="shared" si="13"/>
        <v>3907</v>
      </c>
      <c r="G238">
        <f t="shared" si="14"/>
        <v>3907</v>
      </c>
      <c r="H238">
        <f t="shared" si="15"/>
        <v>1.5470908396145538E-3</v>
      </c>
    </row>
    <row r="239" spans="1:8" x14ac:dyDescent="0.2">
      <c r="A239" t="str">
        <f>Source_NS_Dashboard!B239</f>
        <v>Maastricht</v>
      </c>
      <c r="B239" t="s">
        <v>853</v>
      </c>
      <c r="C239" t="str">
        <f>INDEX(Source_GM_code_CBS!B:B,MATCH(Calculation!B239,Source_GM_code_CBS!C:C,0))</f>
        <v>GM0935</v>
      </c>
      <c r="D239" t="str">
        <f>Source_NS_Dashboard!I239</f>
        <v>9.791 (2024) (NS)</v>
      </c>
      <c r="E239" t="str">
        <f t="shared" si="12"/>
        <v>9.791</v>
      </c>
      <c r="F239" s="9" t="str">
        <f t="shared" si="13"/>
        <v>9791</v>
      </c>
      <c r="G239">
        <f t="shared" si="14"/>
        <v>9791</v>
      </c>
      <c r="H239">
        <f t="shared" si="15"/>
        <v>3.877032610869234E-3</v>
      </c>
    </row>
    <row r="240" spans="1:8" x14ac:dyDescent="0.2">
      <c r="A240" t="str">
        <f>Source_NS_Dashboard!B240</f>
        <v>Maastricht</v>
      </c>
      <c r="B240" t="s">
        <v>853</v>
      </c>
      <c r="C240" t="str">
        <f>INDEX(Source_GM_code_CBS!B:B,MATCH(Calculation!B240,Source_GM_code_CBS!C:C,0))</f>
        <v>GM0935</v>
      </c>
      <c r="D240" t="str">
        <f>Source_NS_Dashboard!I240</f>
        <v>-</v>
      </c>
      <c r="E240" t="str">
        <f t="shared" si="12"/>
        <v>0</v>
      </c>
      <c r="F240" s="9" t="str">
        <f t="shared" si="13"/>
        <v>0</v>
      </c>
      <c r="G240">
        <f t="shared" si="14"/>
        <v>0</v>
      </c>
      <c r="H240">
        <f t="shared" si="15"/>
        <v>0</v>
      </c>
    </row>
    <row r="241" spans="1:8" x14ac:dyDescent="0.2">
      <c r="A241" t="str">
        <f>Source_NS_Dashboard!B241</f>
        <v>Maastricht</v>
      </c>
      <c r="B241" t="s">
        <v>853</v>
      </c>
      <c r="C241" t="str">
        <f>INDEX(Source_GM_code_CBS!B:B,MATCH(Calculation!B241,Source_GM_code_CBS!C:C,0))</f>
        <v>GM0935</v>
      </c>
      <c r="D241" t="str">
        <f>Source_NS_Dashboard!I241</f>
        <v>142 (2018) (NMBS)</v>
      </c>
      <c r="E241" t="str">
        <f t="shared" si="12"/>
        <v>142</v>
      </c>
      <c r="F241" s="9" t="str">
        <f t="shared" si="13"/>
        <v>142</v>
      </c>
      <c r="G241">
        <f t="shared" si="14"/>
        <v>142</v>
      </c>
      <c r="H241">
        <f t="shared" si="15"/>
        <v>5.6229050224025249E-5</v>
      </c>
    </row>
    <row r="242" spans="1:8" x14ac:dyDescent="0.2">
      <c r="A242" t="str">
        <f>Source_NS_Dashboard!B242</f>
        <v>Mantgum</v>
      </c>
      <c r="B242" t="s">
        <v>813</v>
      </c>
      <c r="C242" t="str">
        <f>INDEX(Source_GM_code_CBS!B:B,MATCH(Calculation!B242,Source_GM_code_CBS!C:C,0))</f>
        <v>GM0080</v>
      </c>
      <c r="D242" t="str">
        <f>Source_NS_Dashboard!I242</f>
        <v>513 (2009)</v>
      </c>
      <c r="E242" t="str">
        <f t="shared" si="12"/>
        <v>513</v>
      </c>
      <c r="F242" s="9" t="str">
        <f t="shared" si="13"/>
        <v>513</v>
      </c>
      <c r="G242">
        <f t="shared" si="14"/>
        <v>513</v>
      </c>
      <c r="H242">
        <f t="shared" si="15"/>
        <v>2.0313734341496445E-4</v>
      </c>
    </row>
    <row r="243" spans="1:8" x14ac:dyDescent="0.2">
      <c r="A243" t="str">
        <f>Source_NS_Dashboard!B243</f>
        <v>Mariënberg</v>
      </c>
      <c r="B243" t="s">
        <v>601</v>
      </c>
      <c r="C243" t="str">
        <f>INDEX(Source_GM_code_CBS!B:B,MATCH(Calculation!B243,Source_GM_code_CBS!C:C,0))</f>
        <v>GM0160</v>
      </c>
      <c r="D243" t="str">
        <f>Source_NS_Dashboard!I243</f>
        <v>766 (2009)</v>
      </c>
      <c r="E243" t="str">
        <f t="shared" si="12"/>
        <v>766</v>
      </c>
      <c r="F243" s="9" t="str">
        <f t="shared" si="13"/>
        <v>766</v>
      </c>
      <c r="G243">
        <f t="shared" si="14"/>
        <v>766</v>
      </c>
      <c r="H243">
        <f t="shared" si="15"/>
        <v>3.0332008782819252E-4</v>
      </c>
    </row>
    <row r="244" spans="1:8" x14ac:dyDescent="0.2">
      <c r="A244" t="str">
        <f>Source_NS_Dashboard!B244</f>
        <v>Hoogezand</v>
      </c>
      <c r="B244" t="s">
        <v>1891</v>
      </c>
      <c r="C244" t="str">
        <f>INDEX(Source_GM_code_CBS!B:B,MATCH(Calculation!B244,Source_GM_code_CBS!C:C,0))</f>
        <v>GM1952</v>
      </c>
      <c r="D244" t="str">
        <f>Source_NS_Dashboard!I244</f>
        <v>1.048 (2009)</v>
      </c>
      <c r="E244" t="str">
        <f t="shared" si="12"/>
        <v>1.048</v>
      </c>
      <c r="F244" s="9" t="str">
        <f t="shared" si="13"/>
        <v>1048</v>
      </c>
      <c r="G244">
        <f t="shared" si="14"/>
        <v>1048</v>
      </c>
      <c r="H244">
        <f t="shared" si="15"/>
        <v>4.1498622982238351E-4</v>
      </c>
    </row>
    <row r="245" spans="1:8" x14ac:dyDescent="0.2">
      <c r="A245" t="str">
        <f>Source_NS_Dashboard!B245</f>
        <v>Meerssen</v>
      </c>
      <c r="B245" t="s">
        <v>874</v>
      </c>
      <c r="C245" t="str">
        <f>INDEX(Source_GM_code_CBS!B:B,MATCH(Calculation!B245,Source_GM_code_CBS!C:C,0))</f>
        <v>GM0938</v>
      </c>
      <c r="D245" t="str">
        <f>Source_NS_Dashboard!I245</f>
        <v>-</v>
      </c>
      <c r="E245" t="str">
        <f t="shared" si="12"/>
        <v>0</v>
      </c>
      <c r="F245" s="9" t="str">
        <f t="shared" si="13"/>
        <v>0</v>
      </c>
      <c r="G245">
        <f t="shared" si="14"/>
        <v>0</v>
      </c>
      <c r="H245">
        <f t="shared" si="15"/>
        <v>0</v>
      </c>
    </row>
    <row r="246" spans="1:8" x14ac:dyDescent="0.2">
      <c r="A246" t="str">
        <f>Source_NS_Dashboard!B246</f>
        <v>Meppel</v>
      </c>
      <c r="B246" t="s">
        <v>876</v>
      </c>
      <c r="C246" t="str">
        <f>INDEX(Source_GM_code_CBS!B:B,MATCH(Calculation!B246,Source_GM_code_CBS!C:C,0))</f>
        <v>GM0119</v>
      </c>
      <c r="D246" t="str">
        <f>Source_NS_Dashboard!I246</f>
        <v>6.386 (2024)</v>
      </c>
      <c r="E246" t="str">
        <f t="shared" si="12"/>
        <v>6.386</v>
      </c>
      <c r="F246" s="9" t="str">
        <f t="shared" si="13"/>
        <v>6386</v>
      </c>
      <c r="G246">
        <f t="shared" si="14"/>
        <v>6386</v>
      </c>
      <c r="H246">
        <f t="shared" si="15"/>
        <v>2.5287233431734173E-3</v>
      </c>
    </row>
    <row r="247" spans="1:8" x14ac:dyDescent="0.2">
      <c r="A247" t="str">
        <f>Source_NS_Dashboard!B247</f>
        <v>Middelburg</v>
      </c>
      <c r="B247" t="s">
        <v>880</v>
      </c>
      <c r="C247" t="str">
        <f>INDEX(Source_GM_code_CBS!B:B,MATCH(Calculation!B247,Source_GM_code_CBS!C:C,0))</f>
        <v>GM0687</v>
      </c>
      <c r="D247" t="str">
        <f>Source_NS_Dashboard!I247</f>
        <v>3.940 (2023)</v>
      </c>
      <c r="E247" t="str">
        <f t="shared" si="12"/>
        <v>3.940</v>
      </c>
      <c r="F247" s="9" t="str">
        <f t="shared" si="13"/>
        <v>3940</v>
      </c>
      <c r="G247">
        <f t="shared" si="14"/>
        <v>3940</v>
      </c>
      <c r="H247">
        <f t="shared" si="15"/>
        <v>1.5601581541032357E-3</v>
      </c>
    </row>
    <row r="248" spans="1:8" x14ac:dyDescent="0.2">
      <c r="A248" t="str">
        <f>Source_NS_Dashboard!B248</f>
        <v>Molenhoek</v>
      </c>
      <c r="B248" t="s">
        <v>1906</v>
      </c>
      <c r="C248" t="str">
        <f>INDEX(Source_GM_code_CBS!B:B,MATCH(Calculation!B248,Source_GM_code_CBS!C:C,0))</f>
        <v>GM0944</v>
      </c>
      <c r="D248" t="str">
        <f>Source_NS_Dashboard!I248</f>
        <v>1.250 (2011)</v>
      </c>
      <c r="E248" t="str">
        <f t="shared" si="12"/>
        <v>1.250</v>
      </c>
      <c r="F248" s="9" t="str">
        <f t="shared" si="13"/>
        <v>1250</v>
      </c>
      <c r="G248">
        <f t="shared" si="14"/>
        <v>1250</v>
      </c>
      <c r="H248">
        <f t="shared" si="15"/>
        <v>4.9497403366219404E-4</v>
      </c>
    </row>
    <row r="249" spans="1:8" x14ac:dyDescent="0.2">
      <c r="A249" t="str">
        <f>Source_NS_Dashboard!B249</f>
        <v>Bussum</v>
      </c>
      <c r="B249" t="s">
        <v>1675</v>
      </c>
      <c r="C249" t="str">
        <f>INDEX(Source_GM_code_CBS!B:B,MATCH(Calculation!B249,Source_GM_code_CBS!C:C,0))</f>
        <v>GM1942</v>
      </c>
      <c r="D249" t="str">
        <f>Source_NS_Dashboard!I249</f>
        <v>8.815 (2024)</v>
      </c>
      <c r="E249" t="str">
        <f t="shared" si="12"/>
        <v>8.815</v>
      </c>
      <c r="F249" s="9" t="str">
        <f t="shared" si="13"/>
        <v>8815</v>
      </c>
      <c r="G249">
        <f t="shared" si="14"/>
        <v>8815</v>
      </c>
      <c r="H249">
        <f t="shared" si="15"/>
        <v>3.4905568853857926E-3</v>
      </c>
    </row>
    <row r="250" spans="1:8" x14ac:dyDescent="0.2">
      <c r="A250" t="str">
        <f>Source_NS_Dashboard!B250</f>
        <v>Veenoord</v>
      </c>
      <c r="B250" t="s">
        <v>487</v>
      </c>
      <c r="C250" t="str">
        <f>INDEX(Source_GM_code_CBS!B:B,MATCH(Calculation!B250,Source_GM_code_CBS!C:C,0))</f>
        <v>GM0114</v>
      </c>
      <c r="D250" t="str">
        <f>Source_NS_Dashboard!I250</f>
        <v>475 (2008)</v>
      </c>
      <c r="E250" t="str">
        <f t="shared" si="12"/>
        <v>475</v>
      </c>
      <c r="F250" s="9" t="str">
        <f t="shared" si="13"/>
        <v>475</v>
      </c>
      <c r="G250">
        <f t="shared" si="14"/>
        <v>475</v>
      </c>
      <c r="H250">
        <f t="shared" si="15"/>
        <v>1.8809013279163375E-4</v>
      </c>
    </row>
    <row r="251" spans="1:8" x14ac:dyDescent="0.2">
      <c r="A251" t="str">
        <f>Source_NS_Dashboard!B251</f>
        <v>Nieuw-Vennep</v>
      </c>
      <c r="B251" t="s">
        <v>1695</v>
      </c>
      <c r="C251" t="str">
        <f>INDEX(Source_GM_code_CBS!B:B,MATCH(Calculation!B251,Source_GM_code_CBS!C:C,0))</f>
        <v>GM0394</v>
      </c>
      <c r="D251" t="str">
        <f>Source_NS_Dashboard!I251</f>
        <v>2.988 (2023)</v>
      </c>
      <c r="E251" t="str">
        <f t="shared" si="12"/>
        <v>2.988</v>
      </c>
      <c r="F251" s="9" t="str">
        <f t="shared" si="13"/>
        <v>2988</v>
      </c>
      <c r="G251">
        <f t="shared" si="14"/>
        <v>2988</v>
      </c>
      <c r="H251">
        <f t="shared" si="15"/>
        <v>1.1831859300661088E-3</v>
      </c>
    </row>
    <row r="252" spans="1:8" x14ac:dyDescent="0.2">
      <c r="A252" t="str">
        <f>Source_NS_Dashboard!B252</f>
        <v>Nieuwerkerk aan den IJssel</v>
      </c>
      <c r="B252" t="s">
        <v>2307</v>
      </c>
      <c r="C252" t="str">
        <f>INDEX(Source_GM_code_CBS!B:B,MATCH(Calculation!B252,Source_GM_code_CBS!C:C,0))</f>
        <v>GM1892</v>
      </c>
      <c r="D252" t="str">
        <f>Source_NS_Dashboard!I252</f>
        <v>2.866 (2023)</v>
      </c>
      <c r="E252" t="str">
        <f t="shared" si="12"/>
        <v>2.866</v>
      </c>
      <c r="F252" s="9" t="str">
        <f t="shared" si="13"/>
        <v>2866</v>
      </c>
      <c r="G252">
        <f t="shared" si="14"/>
        <v>2866</v>
      </c>
      <c r="H252">
        <f t="shared" si="15"/>
        <v>1.1348764643806786E-3</v>
      </c>
    </row>
    <row r="253" spans="1:8" x14ac:dyDescent="0.2">
      <c r="A253" t="str">
        <f>Source_NS_Dashboard!B253</f>
        <v>Nijkerk</v>
      </c>
      <c r="B253" t="s">
        <v>903</v>
      </c>
      <c r="C253" t="str">
        <f>INDEX(Source_GM_code_CBS!B:B,MATCH(Calculation!B253,Source_GM_code_CBS!C:C,0))</f>
        <v>GM0267</v>
      </c>
      <c r="D253" t="str">
        <f>Source_NS_Dashboard!I253</f>
        <v>2.906 (2023)</v>
      </c>
      <c r="E253" t="str">
        <f t="shared" si="12"/>
        <v>2.906</v>
      </c>
      <c r="F253" s="9" t="str">
        <f t="shared" si="13"/>
        <v>2906</v>
      </c>
      <c r="G253">
        <f t="shared" si="14"/>
        <v>2906</v>
      </c>
      <c r="H253">
        <f t="shared" si="15"/>
        <v>1.1507156334578687E-3</v>
      </c>
    </row>
    <row r="254" spans="1:8" x14ac:dyDescent="0.2">
      <c r="A254" t="str">
        <f>Source_NS_Dashboard!B254</f>
        <v>Nijmegen</v>
      </c>
      <c r="B254" t="s">
        <v>906</v>
      </c>
      <c r="C254" t="str">
        <f>INDEX(Source_GM_code_CBS!B:B,MATCH(Calculation!B254,Source_GM_code_CBS!C:C,0))</f>
        <v>GM0268</v>
      </c>
      <c r="D254" t="str">
        <f>Source_NS_Dashboard!I254</f>
        <v>39.943 (2024) (NS)</v>
      </c>
      <c r="E254" t="str">
        <f t="shared" si="12"/>
        <v>39.943</v>
      </c>
      <c r="F254" s="9" t="str">
        <f t="shared" si="13"/>
        <v>39943</v>
      </c>
      <c r="G254">
        <f t="shared" si="14"/>
        <v>39943</v>
      </c>
      <c r="H254">
        <f t="shared" si="15"/>
        <v>1.5816598261255213E-2</v>
      </c>
    </row>
    <row r="255" spans="1:8" x14ac:dyDescent="0.2">
      <c r="A255" t="str">
        <f>Source_NS_Dashboard!B255</f>
        <v>Nijmegen</v>
      </c>
      <c r="B255" t="s">
        <v>906</v>
      </c>
      <c r="C255" t="str">
        <f>INDEX(Source_GM_code_CBS!B:B,MATCH(Calculation!B255,Source_GM_code_CBS!C:C,0))</f>
        <v>GM0268</v>
      </c>
      <c r="D255" t="str">
        <f>Source_NS_Dashboard!I255</f>
        <v>2.296 (2023)</v>
      </c>
      <c r="E255" t="str">
        <f t="shared" si="12"/>
        <v>2.296</v>
      </c>
      <c r="F255" s="9" t="str">
        <f t="shared" si="13"/>
        <v>2296</v>
      </c>
      <c r="G255">
        <f t="shared" si="14"/>
        <v>2296</v>
      </c>
      <c r="H255">
        <f t="shared" si="15"/>
        <v>9.0916830503071804E-4</v>
      </c>
    </row>
    <row r="256" spans="1:8" x14ac:dyDescent="0.2">
      <c r="A256" t="str">
        <f>Source_NS_Dashboard!B256</f>
        <v>Nijmegen</v>
      </c>
      <c r="B256" t="s">
        <v>906</v>
      </c>
      <c r="C256" t="str">
        <f>INDEX(Source_GM_code_CBS!B:B,MATCH(Calculation!B256,Source_GM_code_CBS!C:C,0))</f>
        <v>GM0268</v>
      </c>
      <c r="D256" t="str">
        <f>Source_NS_Dashboard!I256</f>
        <v>1.635 (2023)</v>
      </c>
      <c r="E256" t="str">
        <f t="shared" si="12"/>
        <v>1.635</v>
      </c>
      <c r="F256" s="9" t="str">
        <f t="shared" si="13"/>
        <v>1635</v>
      </c>
      <c r="G256">
        <f t="shared" si="14"/>
        <v>1635</v>
      </c>
      <c r="H256">
        <f t="shared" si="15"/>
        <v>6.4742603603014988E-4</v>
      </c>
    </row>
    <row r="257" spans="1:8" x14ac:dyDescent="0.2">
      <c r="A257" t="str">
        <f>Source_NS_Dashboard!B257</f>
        <v>Nijmegen</v>
      </c>
      <c r="B257" t="s">
        <v>906</v>
      </c>
      <c r="C257" t="str">
        <f>INDEX(Source_GM_code_CBS!B:B,MATCH(Calculation!B257,Source_GM_code_CBS!C:C,0))</f>
        <v>GM0268</v>
      </c>
      <c r="D257" t="str">
        <f>Source_NS_Dashboard!I257</f>
        <v>3.246 (2009)</v>
      </c>
      <c r="E257" t="str">
        <f t="shared" si="12"/>
        <v>3.246</v>
      </c>
      <c r="F257" s="9" t="str">
        <f t="shared" si="13"/>
        <v>3246</v>
      </c>
      <c r="G257">
        <f t="shared" si="14"/>
        <v>3246</v>
      </c>
      <c r="H257">
        <f t="shared" si="15"/>
        <v>1.2853485706139855E-3</v>
      </c>
    </row>
    <row r="258" spans="1:8" x14ac:dyDescent="0.2">
      <c r="A258" t="str">
        <f>Source_NS_Dashboard!B258</f>
        <v>Nijmegen</v>
      </c>
      <c r="B258" t="s">
        <v>906</v>
      </c>
      <c r="C258" t="str">
        <f>INDEX(Source_GM_code_CBS!B:B,MATCH(Calculation!B258,Source_GM_code_CBS!C:C,0))</f>
        <v>GM0268</v>
      </c>
      <c r="D258" t="str">
        <f>Source_NS_Dashboard!I258</f>
        <v>1.346 (2023)</v>
      </c>
      <c r="E258" t="str">
        <f t="shared" si="12"/>
        <v>1.346</v>
      </c>
      <c r="F258" s="9" t="str">
        <f t="shared" si="13"/>
        <v>1346</v>
      </c>
      <c r="G258">
        <f t="shared" si="14"/>
        <v>1346</v>
      </c>
      <c r="H258">
        <f t="shared" si="15"/>
        <v>5.329880394474506E-4</v>
      </c>
    </row>
    <row r="259" spans="1:8" x14ac:dyDescent="0.2">
      <c r="A259" t="str">
        <f>Source_NS_Dashboard!B259</f>
        <v>Nijverdal</v>
      </c>
      <c r="B259" t="s">
        <v>1730</v>
      </c>
      <c r="C259" t="str">
        <f>INDEX(Source_GM_code_CBS!B:B,MATCH(Calculation!B259,Source_GM_code_CBS!C:C,0))</f>
        <v>GM0163</v>
      </c>
      <c r="D259" t="str">
        <f>Source_NS_Dashboard!I259</f>
        <v>3.015 (2016)</v>
      </c>
      <c r="E259" t="str">
        <f t="shared" ref="E259:E322" si="16">IFERROR(LEFT(D259,FIND(" ",D259,1)-1),"0")</f>
        <v>3.015</v>
      </c>
      <c r="F259" s="9" t="str">
        <f t="shared" ref="F259:F322" si="17">SUBSTITUTE(E259,".","")</f>
        <v>3015</v>
      </c>
      <c r="G259">
        <f t="shared" ref="G259:G322" si="18">VALUE(F259)</f>
        <v>3015</v>
      </c>
      <c r="H259">
        <f t="shared" ref="H259:H322" si="19">G259/(SUM($G$2:$G$399))</f>
        <v>1.1938773691932121E-3</v>
      </c>
    </row>
    <row r="260" spans="1:8" x14ac:dyDescent="0.2">
      <c r="A260" t="str">
        <f>Source_NS_Dashboard!B260</f>
        <v>Nunspeet</v>
      </c>
      <c r="B260" t="s">
        <v>925</v>
      </c>
      <c r="C260" t="str">
        <f>INDEX(Source_GM_code_CBS!B:B,MATCH(Calculation!B260,Source_GM_code_CBS!C:C,0))</f>
        <v>GM0302</v>
      </c>
      <c r="D260" t="str">
        <f>Source_NS_Dashboard!I260</f>
        <v>2.296 (2023)</v>
      </c>
      <c r="E260" t="str">
        <f t="shared" si="16"/>
        <v>2.296</v>
      </c>
      <c r="F260" s="9" t="str">
        <f t="shared" si="17"/>
        <v>2296</v>
      </c>
      <c r="G260">
        <f t="shared" si="18"/>
        <v>2296</v>
      </c>
      <c r="H260">
        <f t="shared" si="19"/>
        <v>9.0916830503071804E-4</v>
      </c>
    </row>
    <row r="261" spans="1:8" x14ac:dyDescent="0.2">
      <c r="A261" t="str">
        <f>Source_NS_Dashboard!B261</f>
        <v>Nuth</v>
      </c>
      <c r="B261" t="s">
        <v>1475</v>
      </c>
      <c r="C261" t="str">
        <f>INDEX(Source_GM_code_CBS!B:B,MATCH(Calculation!B261,Source_GM_code_CBS!C:C,0))</f>
        <v>GM1954</v>
      </c>
      <c r="D261" t="str">
        <f>Source_NS_Dashboard!I261</f>
        <v>486 (2016)</v>
      </c>
      <c r="E261" t="str">
        <f t="shared" si="16"/>
        <v>486</v>
      </c>
      <c r="F261" s="9" t="str">
        <f t="shared" si="17"/>
        <v>486</v>
      </c>
      <c r="G261">
        <f t="shared" si="18"/>
        <v>486</v>
      </c>
      <c r="H261">
        <f t="shared" si="19"/>
        <v>1.9244590428786105E-4</v>
      </c>
    </row>
    <row r="262" spans="1:8" x14ac:dyDescent="0.2">
      <c r="A262" t="str">
        <f>Source_NS_Dashboard!B262</f>
        <v>Obdam</v>
      </c>
      <c r="B262" t="s">
        <v>1798</v>
      </c>
      <c r="C262" t="str">
        <f>INDEX(Source_GM_code_CBS!B:B,MATCH(Calculation!B262,Source_GM_code_CBS!C:C,0))</f>
        <v>GM1598</v>
      </c>
      <c r="D262" t="str">
        <f>Source_NS_Dashboard!I262</f>
        <v>1.067 (2023)</v>
      </c>
      <c r="E262" t="str">
        <f t="shared" si="16"/>
        <v>1.067</v>
      </c>
      <c r="F262" s="9" t="str">
        <f t="shared" si="17"/>
        <v>1067</v>
      </c>
      <c r="G262">
        <f t="shared" si="18"/>
        <v>1067</v>
      </c>
      <c r="H262">
        <f t="shared" si="19"/>
        <v>4.2250983513404889E-4</v>
      </c>
    </row>
    <row r="263" spans="1:8" x14ac:dyDescent="0.2">
      <c r="A263" t="str">
        <f>Source_NS_Dashboard!B263</f>
        <v>Oisterwijk</v>
      </c>
      <c r="B263" t="s">
        <v>934</v>
      </c>
      <c r="C263" t="str">
        <f>INDEX(Source_GM_code_CBS!B:B,MATCH(Calculation!B263,Source_GM_code_CBS!C:C,0))</f>
        <v>GM0824</v>
      </c>
      <c r="D263" t="str">
        <f>Source_NS_Dashboard!I263</f>
        <v>2.314 (2023)</v>
      </c>
      <c r="E263" t="str">
        <f t="shared" si="16"/>
        <v>2.314</v>
      </c>
      <c r="F263" s="9" t="str">
        <f t="shared" si="17"/>
        <v>2314</v>
      </c>
      <c r="G263">
        <f t="shared" si="18"/>
        <v>2314</v>
      </c>
      <c r="H263">
        <f t="shared" si="19"/>
        <v>9.1629593111545364E-4</v>
      </c>
    </row>
    <row r="264" spans="1:8" x14ac:dyDescent="0.2">
      <c r="A264" t="str">
        <f>Source_NS_Dashboard!B264</f>
        <v>Oldenzaal</v>
      </c>
      <c r="B264" t="s">
        <v>937</v>
      </c>
      <c r="C264" t="str">
        <f>INDEX(Source_GM_code_CBS!B:B,MATCH(Calculation!B264,Source_GM_code_CBS!C:C,0))</f>
        <v>GM0173</v>
      </c>
      <c r="D264" t="str">
        <f>Source_NS_Dashboard!I264</f>
        <v>-</v>
      </c>
      <c r="E264" t="str">
        <f t="shared" si="16"/>
        <v>0</v>
      </c>
      <c r="F264" s="9" t="str">
        <f t="shared" si="17"/>
        <v>0</v>
      </c>
      <c r="G264">
        <f t="shared" si="18"/>
        <v>0</v>
      </c>
      <c r="H264">
        <f t="shared" si="19"/>
        <v>0</v>
      </c>
    </row>
    <row r="265" spans="1:8" x14ac:dyDescent="0.2">
      <c r="A265" t="str">
        <f>Source_NS_Dashboard!B265</f>
        <v>Olst</v>
      </c>
      <c r="B265" t="s">
        <v>1964</v>
      </c>
      <c r="C265" t="str">
        <f>INDEX(Source_GM_code_CBS!B:B,MATCH(Calculation!B265,Source_GM_code_CBS!C:C,0))</f>
        <v>GM1773</v>
      </c>
      <c r="D265" t="str">
        <f>Source_NS_Dashboard!I265</f>
        <v>1.108 (2023)</v>
      </c>
      <c r="E265" t="str">
        <f t="shared" si="16"/>
        <v>1.108</v>
      </c>
      <c r="F265" s="9" t="str">
        <f t="shared" si="17"/>
        <v>1108</v>
      </c>
      <c r="G265">
        <f t="shared" si="18"/>
        <v>1108</v>
      </c>
      <c r="H265">
        <f t="shared" si="19"/>
        <v>4.3874498343816882E-4</v>
      </c>
    </row>
    <row r="266" spans="1:8" x14ac:dyDescent="0.2">
      <c r="A266" t="str">
        <f>Source_NS_Dashboard!B266</f>
        <v>Ommen</v>
      </c>
      <c r="B266" t="s">
        <v>943</v>
      </c>
      <c r="C266" t="str">
        <f>INDEX(Source_GM_code_CBS!B:B,MATCH(Calculation!B266,Source_GM_code_CBS!C:C,0))</f>
        <v>GM0175</v>
      </c>
      <c r="D266" t="str">
        <f>Source_NS_Dashboard!I266</f>
        <v>1.719 (2009)</v>
      </c>
      <c r="E266" t="str">
        <f t="shared" si="16"/>
        <v>1.719</v>
      </c>
      <c r="F266" s="9" t="str">
        <f t="shared" si="17"/>
        <v>1719</v>
      </c>
      <c r="G266">
        <f t="shared" si="18"/>
        <v>1719</v>
      </c>
      <c r="H266">
        <f t="shared" si="19"/>
        <v>6.806882910922493E-4</v>
      </c>
    </row>
    <row r="267" spans="1:8" x14ac:dyDescent="0.2">
      <c r="A267" t="str">
        <f>Source_NS_Dashboard!B267</f>
        <v>Oosterbeek</v>
      </c>
      <c r="B267" t="s">
        <v>2022</v>
      </c>
      <c r="C267" t="str">
        <f>INDEX(Source_GM_code_CBS!B:B,MATCH(Calculation!B267,Source_GM_code_CBS!C:C,0))</f>
        <v>GM0274</v>
      </c>
      <c r="D267" t="str">
        <f>Source_NS_Dashboard!I267</f>
        <v>526 (2023)</v>
      </c>
      <c r="E267" t="str">
        <f t="shared" si="16"/>
        <v>526</v>
      </c>
      <c r="F267" s="9" t="str">
        <f t="shared" si="17"/>
        <v>526</v>
      </c>
      <c r="G267">
        <f t="shared" si="18"/>
        <v>526</v>
      </c>
      <c r="H267">
        <f t="shared" si="19"/>
        <v>2.0828507336505126E-4</v>
      </c>
    </row>
    <row r="268" spans="1:8" x14ac:dyDescent="0.2">
      <c r="A268" t="str">
        <f>Source_NS_Dashboard!B268</f>
        <v>Opheusden</v>
      </c>
      <c r="B268" s="6"/>
      <c r="C268" t="e">
        <f>INDEX(Source_GM_code_CBS!B:B,MATCH(Calculation!B268,Source_GM_code_CBS!C:C,0))</f>
        <v>#N/A</v>
      </c>
      <c r="D268" t="str">
        <f>Source_NS_Dashboard!I268</f>
        <v>-</v>
      </c>
      <c r="E268" t="str">
        <f t="shared" si="16"/>
        <v>0</v>
      </c>
      <c r="F268" s="9" t="str">
        <f t="shared" si="17"/>
        <v>0</v>
      </c>
      <c r="G268">
        <f t="shared" si="18"/>
        <v>0</v>
      </c>
      <c r="H268">
        <f t="shared" si="19"/>
        <v>0</v>
      </c>
    </row>
    <row r="269" spans="1:8" x14ac:dyDescent="0.2">
      <c r="A269" t="str">
        <f>Source_NS_Dashboard!B269</f>
        <v>Oss</v>
      </c>
      <c r="B269" t="s">
        <v>951</v>
      </c>
      <c r="C269" t="str">
        <f>INDEX(Source_GM_code_CBS!B:B,MATCH(Calculation!B269,Source_GM_code_CBS!C:C,0))</f>
        <v>GM0828</v>
      </c>
      <c r="D269" t="str">
        <f>Source_NS_Dashboard!I269</f>
        <v>7.012 (2024)</v>
      </c>
      <c r="E269" t="str">
        <f t="shared" si="16"/>
        <v>7.012</v>
      </c>
      <c r="F269" s="9" t="str">
        <f t="shared" si="17"/>
        <v>7012</v>
      </c>
      <c r="G269">
        <f t="shared" si="18"/>
        <v>7012</v>
      </c>
      <c r="H269">
        <f t="shared" si="19"/>
        <v>2.7766063392314438E-3</v>
      </c>
    </row>
    <row r="270" spans="1:8" x14ac:dyDescent="0.2">
      <c r="A270" t="str">
        <f>Source_NS_Dashboard!B270</f>
        <v>Oss</v>
      </c>
      <c r="B270" t="s">
        <v>951</v>
      </c>
      <c r="C270" t="str">
        <f>INDEX(Source_GM_code_CBS!B:B,MATCH(Calculation!B270,Source_GM_code_CBS!C:C,0))</f>
        <v>GM0828</v>
      </c>
      <c r="D270" t="str">
        <f>Source_NS_Dashboard!I270</f>
        <v>1.577 (2023)</v>
      </c>
      <c r="E270" t="str">
        <f t="shared" si="16"/>
        <v>1.577</v>
      </c>
      <c r="F270" s="9" t="str">
        <f t="shared" si="17"/>
        <v>1577</v>
      </c>
      <c r="G270">
        <f t="shared" si="18"/>
        <v>1577</v>
      </c>
      <c r="H270">
        <f t="shared" si="19"/>
        <v>6.2445924086822408E-4</v>
      </c>
    </row>
    <row r="271" spans="1:8" x14ac:dyDescent="0.2">
      <c r="A271" t="str">
        <f>Source_NS_Dashboard!B271</f>
        <v>Oudenbosch</v>
      </c>
      <c r="B271" t="s">
        <v>1698</v>
      </c>
      <c r="C271" t="str">
        <f>INDEX(Source_GM_code_CBS!B:B,MATCH(Calculation!B271,Source_GM_code_CBS!C:C,0))</f>
        <v>GM1655</v>
      </c>
      <c r="D271" t="str">
        <f>Source_NS_Dashboard!I271</f>
        <v>1.041 (2023)</v>
      </c>
      <c r="E271" t="str">
        <f t="shared" si="16"/>
        <v>1.041</v>
      </c>
      <c r="F271" s="9" t="str">
        <f t="shared" si="17"/>
        <v>1041</v>
      </c>
      <c r="G271">
        <f t="shared" si="18"/>
        <v>1041</v>
      </c>
      <c r="H271">
        <f t="shared" si="19"/>
        <v>4.1221437523387522E-4</v>
      </c>
    </row>
    <row r="272" spans="1:8" x14ac:dyDescent="0.2">
      <c r="A272" t="str">
        <f>Source_NS_Dashboard!B272</f>
        <v>Overveen</v>
      </c>
      <c r="B272" t="s">
        <v>232</v>
      </c>
      <c r="C272" t="str">
        <f>INDEX(Source_GM_code_CBS!B:B,MATCH(Calculation!B272,Source_GM_code_CBS!C:C,0))</f>
        <v>GM0377</v>
      </c>
      <c r="D272" t="str">
        <f>Source_NS_Dashboard!I272</f>
        <v>1.786 (2023)</v>
      </c>
      <c r="E272" t="str">
        <f t="shared" si="16"/>
        <v>1.786</v>
      </c>
      <c r="F272" s="9" t="str">
        <f t="shared" si="17"/>
        <v>1786</v>
      </c>
      <c r="G272">
        <f t="shared" si="18"/>
        <v>1786</v>
      </c>
      <c r="H272">
        <f t="shared" si="19"/>
        <v>7.0721889929654285E-4</v>
      </c>
    </row>
    <row r="273" spans="1:8" x14ac:dyDescent="0.2">
      <c r="A273" t="str">
        <f>Source_NS_Dashboard!B273</f>
        <v>Purmerend</v>
      </c>
      <c r="B273" t="s">
        <v>964</v>
      </c>
      <c r="C273" t="str">
        <f>INDEX(Source_GM_code_CBS!B:B,MATCH(Calculation!B273,Source_GM_code_CBS!C:C,0))</f>
        <v>GM0439</v>
      </c>
      <c r="D273" t="str">
        <f>Source_NS_Dashboard!I273</f>
        <v>2.014 (2023)</v>
      </c>
      <c r="E273" t="str">
        <f t="shared" si="16"/>
        <v>2.014</v>
      </c>
      <c r="F273" s="9" t="str">
        <f t="shared" si="17"/>
        <v>2014</v>
      </c>
      <c r="G273">
        <f t="shared" si="18"/>
        <v>2014</v>
      </c>
      <c r="H273">
        <f t="shared" si="19"/>
        <v>7.9750216303652705E-4</v>
      </c>
    </row>
    <row r="274" spans="1:8" x14ac:dyDescent="0.2">
      <c r="A274" t="str">
        <f>Source_NS_Dashboard!B274</f>
        <v>Purmerend</v>
      </c>
      <c r="B274" t="s">
        <v>964</v>
      </c>
      <c r="C274" t="str">
        <f>INDEX(Source_GM_code_CBS!B:B,MATCH(Calculation!B274,Source_GM_code_CBS!C:C,0))</f>
        <v>GM0439</v>
      </c>
      <c r="D274" t="str">
        <f>Source_NS_Dashboard!I274</f>
        <v>1.773 (2023)</v>
      </c>
      <c r="E274" t="str">
        <f t="shared" si="16"/>
        <v>1.773</v>
      </c>
      <c r="F274" s="9" t="str">
        <f t="shared" si="17"/>
        <v>1773</v>
      </c>
      <c r="G274">
        <f t="shared" si="18"/>
        <v>1773</v>
      </c>
      <c r="H274">
        <f t="shared" si="19"/>
        <v>7.020711693464561E-4</v>
      </c>
    </row>
    <row r="275" spans="1:8" x14ac:dyDescent="0.2">
      <c r="A275" t="str">
        <f>Source_NS_Dashboard!B275</f>
        <v>Purmerend</v>
      </c>
      <c r="B275" t="s">
        <v>964</v>
      </c>
      <c r="C275" t="str">
        <f>INDEX(Source_GM_code_CBS!B:B,MATCH(Calculation!B275,Source_GM_code_CBS!C:C,0))</f>
        <v>GM0439</v>
      </c>
      <c r="D275" t="str">
        <f>Source_NS_Dashboard!I275</f>
        <v>1.312 (2023)</v>
      </c>
      <c r="E275" t="str">
        <f t="shared" si="16"/>
        <v>1.312</v>
      </c>
      <c r="F275" s="9" t="str">
        <f t="shared" si="17"/>
        <v>1312</v>
      </c>
      <c r="G275">
        <f t="shared" si="18"/>
        <v>1312</v>
      </c>
      <c r="H275">
        <f t="shared" si="19"/>
        <v>5.1952474573183896E-4</v>
      </c>
    </row>
    <row r="276" spans="1:8" x14ac:dyDescent="0.2">
      <c r="A276" t="str">
        <f>Source_NS_Dashboard!B276</f>
        <v>Putten</v>
      </c>
      <c r="B276" t="s">
        <v>973</v>
      </c>
      <c r="C276" t="str">
        <f>INDEX(Source_GM_code_CBS!B:B,MATCH(Calculation!B276,Source_GM_code_CBS!C:C,0))</f>
        <v>GM0273</v>
      </c>
      <c r="D276" t="str">
        <f>Source_NS_Dashboard!I276</f>
        <v>1.615 (2023)</v>
      </c>
      <c r="E276" t="str">
        <f t="shared" si="16"/>
        <v>1.615</v>
      </c>
      <c r="F276" s="9" t="str">
        <f t="shared" si="17"/>
        <v>1615</v>
      </c>
      <c r="G276">
        <f t="shared" si="18"/>
        <v>1615</v>
      </c>
      <c r="H276">
        <f t="shared" si="19"/>
        <v>6.3950645149155473E-4</v>
      </c>
    </row>
    <row r="277" spans="1:8" x14ac:dyDescent="0.2">
      <c r="A277" t="str">
        <f>Source_NS_Dashboard!B277</f>
        <v>Raalte</v>
      </c>
      <c r="B277" t="s">
        <v>976</v>
      </c>
      <c r="C277" t="str">
        <f>INDEX(Source_GM_code_CBS!B:B,MATCH(Calculation!B277,Source_GM_code_CBS!C:C,0))</f>
        <v>GM0177</v>
      </c>
      <c r="D277" t="str">
        <f>Source_NS_Dashboard!I277</f>
        <v>2.121 (2017)</v>
      </c>
      <c r="E277" t="str">
        <f t="shared" si="16"/>
        <v>2.121</v>
      </c>
      <c r="F277" s="9" t="str">
        <f t="shared" si="17"/>
        <v>2121</v>
      </c>
      <c r="G277">
        <f t="shared" si="18"/>
        <v>2121</v>
      </c>
      <c r="H277">
        <f t="shared" si="19"/>
        <v>8.3987194031801091E-4</v>
      </c>
    </row>
    <row r="278" spans="1:8" x14ac:dyDescent="0.2">
      <c r="A278" t="str">
        <f>Source_NS_Dashboard!B278</f>
        <v>Ravenstein</v>
      </c>
      <c r="B278" t="s">
        <v>951</v>
      </c>
      <c r="C278" t="str">
        <f>INDEX(Source_GM_code_CBS!B:B,MATCH(Calculation!B278,Source_GM_code_CBS!C:C,0))</f>
        <v>GM0828</v>
      </c>
      <c r="D278" t="str">
        <f>Source_NS_Dashboard!I278</f>
        <v>1.137 (2023)</v>
      </c>
      <c r="E278" t="str">
        <f t="shared" si="16"/>
        <v>1.137</v>
      </c>
      <c r="F278" s="9" t="str">
        <f t="shared" si="17"/>
        <v>1137</v>
      </c>
      <c r="G278">
        <f t="shared" si="18"/>
        <v>1137</v>
      </c>
      <c r="H278">
        <f t="shared" si="19"/>
        <v>4.5022838101913172E-4</v>
      </c>
    </row>
    <row r="279" spans="1:8" x14ac:dyDescent="0.2">
      <c r="A279" t="str">
        <f>Source_NS_Dashboard!B279</f>
        <v>Reuver</v>
      </c>
      <c r="B279" t="s">
        <v>1478</v>
      </c>
      <c r="C279" t="str">
        <f>INDEX(Source_GM_code_CBS!B:B,MATCH(Calculation!B279,Source_GM_code_CBS!C:C,0))</f>
        <v>GM0889</v>
      </c>
      <c r="D279" t="str">
        <f>Source_NS_Dashboard!I279</f>
        <v>2.761 (2014)</v>
      </c>
      <c r="E279" t="str">
        <f t="shared" si="16"/>
        <v>2.761</v>
      </c>
      <c r="F279" s="9" t="str">
        <f t="shared" si="17"/>
        <v>2761</v>
      </c>
      <c r="G279">
        <f t="shared" si="18"/>
        <v>2761</v>
      </c>
      <c r="H279">
        <f t="shared" si="19"/>
        <v>1.0932986455530543E-3</v>
      </c>
    </row>
    <row r="280" spans="1:8" x14ac:dyDescent="0.2">
      <c r="A280" t="str">
        <f>Source_NS_Dashboard!B280</f>
        <v>Rheden</v>
      </c>
      <c r="B280" t="s">
        <v>985</v>
      </c>
      <c r="C280" t="str">
        <f>INDEX(Source_GM_code_CBS!B:B,MATCH(Calculation!B280,Source_GM_code_CBS!C:C,0))</f>
        <v>GM0275</v>
      </c>
      <c r="D280" t="str">
        <f>Source_NS_Dashboard!I280</f>
        <v>803 (2023)</v>
      </c>
      <c r="E280" t="str">
        <f t="shared" si="16"/>
        <v>803</v>
      </c>
      <c r="F280" s="9" t="str">
        <f t="shared" si="17"/>
        <v>803</v>
      </c>
      <c r="G280">
        <f t="shared" si="18"/>
        <v>803</v>
      </c>
      <c r="H280">
        <f t="shared" si="19"/>
        <v>3.1797131922459349E-4</v>
      </c>
    </row>
    <row r="281" spans="1:8" x14ac:dyDescent="0.2">
      <c r="A281" t="str">
        <f>Source_NS_Dashboard!B281</f>
        <v>Rhenen</v>
      </c>
      <c r="B281" t="s">
        <v>988</v>
      </c>
      <c r="C281" t="str">
        <f>INDEX(Source_GM_code_CBS!B:B,MATCH(Calculation!B281,Source_GM_code_CBS!C:C,0))</f>
        <v>GM0340</v>
      </c>
      <c r="D281" t="str">
        <f>Source_NS_Dashboard!I281</f>
        <v>1.537 (2023)</v>
      </c>
      <c r="E281" t="str">
        <f t="shared" si="16"/>
        <v>1.537</v>
      </c>
      <c r="F281" s="9" t="str">
        <f t="shared" si="17"/>
        <v>1537</v>
      </c>
      <c r="G281">
        <f t="shared" si="18"/>
        <v>1537</v>
      </c>
      <c r="H281">
        <f t="shared" si="19"/>
        <v>6.0862007179103388E-4</v>
      </c>
    </row>
    <row r="282" spans="1:8" x14ac:dyDescent="0.2">
      <c r="A282" t="str">
        <f>Source_NS_Dashboard!B282</f>
        <v>Rijssen</v>
      </c>
      <c r="B282" t="s">
        <v>1664</v>
      </c>
      <c r="C282" t="str">
        <f>INDEX(Source_GM_code_CBS!B:B,MATCH(Calculation!B282,Source_GM_code_CBS!C:C,0))</f>
        <v>GM0784</v>
      </c>
      <c r="D282" t="str">
        <f>Source_NS_Dashboard!I282</f>
        <v>2.101 (2023)</v>
      </c>
      <c r="E282" t="str">
        <f t="shared" si="16"/>
        <v>2.101</v>
      </c>
      <c r="F282" s="9" t="str">
        <f t="shared" si="17"/>
        <v>2101</v>
      </c>
      <c r="G282">
        <f t="shared" si="18"/>
        <v>2101</v>
      </c>
      <c r="H282">
        <f t="shared" si="19"/>
        <v>8.3195235577941586E-4</v>
      </c>
    </row>
    <row r="283" spans="1:8" x14ac:dyDescent="0.2">
      <c r="A283" t="str">
        <f>Source_NS_Dashboard!B283</f>
        <v>Rijswijk</v>
      </c>
      <c r="B283" t="s">
        <v>995</v>
      </c>
      <c r="C283" t="str">
        <f>INDEX(Source_GM_code_CBS!B:B,MATCH(Calculation!B283,Source_GM_code_CBS!C:C,0))</f>
        <v>GM0603</v>
      </c>
      <c r="D283" t="str">
        <f>Source_NS_Dashboard!I283</f>
        <v>5.232 (2023)</v>
      </c>
      <c r="E283" t="str">
        <f t="shared" si="16"/>
        <v>5.232</v>
      </c>
      <c r="F283" s="9" t="str">
        <f t="shared" si="17"/>
        <v>5232</v>
      </c>
      <c r="G283">
        <f t="shared" si="18"/>
        <v>5232</v>
      </c>
      <c r="H283">
        <f t="shared" si="19"/>
        <v>2.0717633152964794E-3</v>
      </c>
    </row>
    <row r="284" spans="1:8" x14ac:dyDescent="0.2">
      <c r="A284" t="str">
        <f>Source_NS_Dashboard!B284</f>
        <v>Stationsbuurt</v>
      </c>
      <c r="B284" t="s">
        <v>2019</v>
      </c>
      <c r="C284" t="str">
        <f>INDEX(Source_GM_code_CBS!B:B,MATCH(Calculation!B284,Source_GM_code_CBS!C:C,0))</f>
        <v>GM0703</v>
      </c>
      <c r="D284" t="str">
        <f>Source_NS_Dashboard!I284</f>
        <v>386 (2023)</v>
      </c>
      <c r="E284" t="str">
        <f t="shared" si="16"/>
        <v>386</v>
      </c>
      <c r="F284" s="9" t="str">
        <f t="shared" si="17"/>
        <v>386</v>
      </c>
      <c r="G284">
        <f t="shared" si="18"/>
        <v>386</v>
      </c>
      <c r="H284">
        <f t="shared" si="19"/>
        <v>1.5284798159488554E-4</v>
      </c>
    </row>
    <row r="285" spans="1:8" x14ac:dyDescent="0.2">
      <c r="A285" t="str">
        <f>Source_NS_Dashboard!B285</f>
        <v>Roermond</v>
      </c>
      <c r="B285" t="s">
        <v>1002</v>
      </c>
      <c r="C285" t="str">
        <f>INDEX(Source_GM_code_CBS!B:B,MATCH(Calculation!B285,Source_GM_code_CBS!C:C,0))</f>
        <v>GM0957</v>
      </c>
      <c r="D285" t="str">
        <f>Source_NS_Dashboard!I285</f>
        <v>8.967 (2024) (NS)</v>
      </c>
      <c r="E285" t="str">
        <f t="shared" si="16"/>
        <v>8.967</v>
      </c>
      <c r="F285" s="9" t="str">
        <f t="shared" si="17"/>
        <v>8967</v>
      </c>
      <c r="G285">
        <f t="shared" si="18"/>
        <v>8967</v>
      </c>
      <c r="H285">
        <f t="shared" si="19"/>
        <v>3.5507457278791156E-3</v>
      </c>
    </row>
    <row r="286" spans="1:8" x14ac:dyDescent="0.2">
      <c r="A286" t="str">
        <f>Source_NS_Dashboard!B286</f>
        <v>Roodeschool</v>
      </c>
      <c r="B286" s="6"/>
      <c r="C286" t="e">
        <f>INDEX(Source_GM_code_CBS!B:B,MATCH(Calculation!B286,Source_GM_code_CBS!C:C,0))</f>
        <v>#N/A</v>
      </c>
      <c r="D286" t="str">
        <f>Source_NS_Dashboard!I286</f>
        <v>-</v>
      </c>
      <c r="E286" t="str">
        <f t="shared" si="16"/>
        <v>0</v>
      </c>
      <c r="F286" s="9" t="str">
        <f t="shared" si="17"/>
        <v>0</v>
      </c>
      <c r="G286">
        <f t="shared" si="18"/>
        <v>0</v>
      </c>
      <c r="H286">
        <f t="shared" si="19"/>
        <v>0</v>
      </c>
    </row>
    <row r="287" spans="1:8" x14ac:dyDescent="0.2">
      <c r="A287" t="str">
        <f>Source_NS_Dashboard!B287</f>
        <v>Roosendaal</v>
      </c>
      <c r="B287" t="s">
        <v>1007</v>
      </c>
      <c r="C287" t="str">
        <f>INDEX(Source_GM_code_CBS!B:B,MATCH(Calculation!B287,Source_GM_code_CBS!C:C,0))</f>
        <v>GM1674</v>
      </c>
      <c r="D287" t="str">
        <f>Source_NS_Dashboard!I287</f>
        <v>11.359 (2024) (NS)</v>
      </c>
      <c r="E287" t="str">
        <f t="shared" si="16"/>
        <v>11.359</v>
      </c>
      <c r="F287" s="9" t="str">
        <f t="shared" si="17"/>
        <v>11359</v>
      </c>
      <c r="G287">
        <f t="shared" si="18"/>
        <v>11359</v>
      </c>
      <c r="H287">
        <f t="shared" si="19"/>
        <v>4.4979280386950897E-3</v>
      </c>
    </row>
    <row r="288" spans="1:8" x14ac:dyDescent="0.2">
      <c r="A288" t="str">
        <f>Source_NS_Dashboard!B288</f>
        <v>Rosmalen</v>
      </c>
      <c r="B288" t="str">
        <f>"'s-Hertogenbosch"</f>
        <v>'s-Hertogenbosch</v>
      </c>
      <c r="C288" t="str">
        <f>INDEX(Source_GM_code_CBS!B:B,MATCH(Calculation!B288,Source_GM_code_CBS!C:C,0))</f>
        <v>GM0796</v>
      </c>
      <c r="D288" t="str">
        <f>Source_NS_Dashboard!I288</f>
        <v>1.874 (2022)</v>
      </c>
      <c r="E288" t="str">
        <f t="shared" si="16"/>
        <v>1.874</v>
      </c>
      <c r="F288" s="9" t="str">
        <f t="shared" si="17"/>
        <v>1874</v>
      </c>
      <c r="G288">
        <f t="shared" si="18"/>
        <v>1874</v>
      </c>
      <c r="H288">
        <f t="shared" si="19"/>
        <v>7.4206507126636139E-4</v>
      </c>
    </row>
    <row r="289" spans="1:8" x14ac:dyDescent="0.2">
      <c r="A289" t="str">
        <f>Source_NS_Dashboard!B289</f>
        <v>Rotterdam</v>
      </c>
      <c r="B289" t="s">
        <v>1016</v>
      </c>
      <c r="C289" t="str">
        <f>INDEX(Source_GM_code_CBS!B:B,MATCH(Calculation!B289,Source_GM_code_CBS!C:C,0))</f>
        <v>GM0599</v>
      </c>
      <c r="D289" t="str">
        <f>Source_NS_Dashboard!I289</f>
        <v>14.858 (2024)</v>
      </c>
      <c r="E289" t="str">
        <f t="shared" si="16"/>
        <v>14.858</v>
      </c>
      <c r="F289" s="9" t="str">
        <f t="shared" si="17"/>
        <v>14858</v>
      </c>
      <c r="G289">
        <f t="shared" si="18"/>
        <v>14858</v>
      </c>
      <c r="H289">
        <f t="shared" si="19"/>
        <v>5.8834593537223038E-3</v>
      </c>
    </row>
    <row r="290" spans="1:8" x14ac:dyDescent="0.2">
      <c r="A290" t="str">
        <f>Source_NS_Dashboard!B290</f>
        <v>Rotterdam</v>
      </c>
      <c r="B290" t="s">
        <v>1016</v>
      </c>
      <c r="C290" t="str">
        <f>INDEX(Source_GM_code_CBS!B:B,MATCH(Calculation!B290,Source_GM_code_CBS!C:C,0))</f>
        <v>GM0599</v>
      </c>
      <c r="D290" t="str">
        <f>Source_NS_Dashboard!I290</f>
        <v>21.572 (2024)</v>
      </c>
      <c r="E290" t="str">
        <f t="shared" si="16"/>
        <v>21.572</v>
      </c>
      <c r="F290" s="9" t="str">
        <f t="shared" si="17"/>
        <v>21572</v>
      </c>
      <c r="G290">
        <f t="shared" si="18"/>
        <v>21572</v>
      </c>
      <c r="H290">
        <f t="shared" si="19"/>
        <v>8.5420638833286801E-3</v>
      </c>
    </row>
    <row r="291" spans="1:8" x14ac:dyDescent="0.2">
      <c r="A291" t="str">
        <f>Source_NS_Dashboard!B291</f>
        <v>Rotterdam</v>
      </c>
      <c r="B291" t="s">
        <v>1016</v>
      </c>
      <c r="C291" t="str">
        <f>INDEX(Source_GM_code_CBS!B:B,MATCH(Calculation!B291,Source_GM_code_CBS!C:C,0))</f>
        <v>GM0599</v>
      </c>
      <c r="D291" t="str">
        <f>Source_NS_Dashboard!I291</f>
        <v>104.840 (2023) (NS)</v>
      </c>
      <c r="E291" t="str">
        <f t="shared" si="16"/>
        <v>104.840</v>
      </c>
      <c r="F291" s="9" t="str">
        <f t="shared" si="17"/>
        <v>104840</v>
      </c>
      <c r="G291">
        <f t="shared" si="18"/>
        <v>104840</v>
      </c>
      <c r="H291">
        <f t="shared" si="19"/>
        <v>4.1514462151315545E-2</v>
      </c>
    </row>
    <row r="292" spans="1:8" x14ac:dyDescent="0.2">
      <c r="A292" t="str">
        <f>Source_NS_Dashboard!B292</f>
        <v>Rotterdam</v>
      </c>
      <c r="B292" t="s">
        <v>1016</v>
      </c>
      <c r="C292" t="str">
        <f>INDEX(Source_GM_code_CBS!B:B,MATCH(Calculation!B292,Source_GM_code_CBS!C:C,0))</f>
        <v>GM0599</v>
      </c>
      <c r="D292" t="str">
        <f>Source_NS_Dashboard!I292</f>
        <v>6.071 (2023)</v>
      </c>
      <c r="E292" t="str">
        <f t="shared" si="16"/>
        <v>6.071</v>
      </c>
      <c r="F292" s="9" t="str">
        <f t="shared" si="17"/>
        <v>6071</v>
      </c>
      <c r="G292">
        <f t="shared" si="18"/>
        <v>6071</v>
      </c>
      <c r="H292">
        <f t="shared" si="19"/>
        <v>2.4039898866905444E-3</v>
      </c>
    </row>
    <row r="293" spans="1:8" x14ac:dyDescent="0.2">
      <c r="A293" t="str">
        <f>Source_NS_Dashboard!B293</f>
        <v>Rotterdam</v>
      </c>
      <c r="B293" t="s">
        <v>1016</v>
      </c>
      <c r="C293" t="str">
        <f>INDEX(Source_GM_code_CBS!B:B,MATCH(Calculation!B293,Source_GM_code_CBS!C:C,0))</f>
        <v>GM0599</v>
      </c>
      <c r="D293" t="str">
        <f>Source_NS_Dashboard!I293</f>
        <v>1.989 (2023)</v>
      </c>
      <c r="E293" t="str">
        <f t="shared" si="16"/>
        <v>1.989</v>
      </c>
      <c r="F293" s="9" t="str">
        <f t="shared" si="17"/>
        <v>1989</v>
      </c>
      <c r="G293">
        <f t="shared" si="18"/>
        <v>1989</v>
      </c>
      <c r="H293">
        <f t="shared" si="19"/>
        <v>7.8760268236328327E-4</v>
      </c>
    </row>
    <row r="294" spans="1:8" x14ac:dyDescent="0.2">
      <c r="A294" t="str">
        <f>Source_NS_Dashboard!B294</f>
        <v>Rotterdam</v>
      </c>
      <c r="B294" t="s">
        <v>1016</v>
      </c>
      <c r="C294" t="str">
        <f>INDEX(Source_GM_code_CBS!B:B,MATCH(Calculation!B294,Source_GM_code_CBS!C:C,0))</f>
        <v>GM0599</v>
      </c>
      <c r="D294" t="str">
        <f>Source_NS_Dashboard!I294</f>
        <v>2.790 (2014)</v>
      </c>
      <c r="E294" t="str">
        <f t="shared" si="16"/>
        <v>2.790</v>
      </c>
      <c r="F294" s="9" t="str">
        <f t="shared" si="17"/>
        <v>2790</v>
      </c>
      <c r="G294">
        <f t="shared" si="18"/>
        <v>2790</v>
      </c>
      <c r="H294">
        <f t="shared" si="19"/>
        <v>1.1047820431340171E-3</v>
      </c>
    </row>
    <row r="295" spans="1:8" x14ac:dyDescent="0.2">
      <c r="A295" t="str">
        <f>Source_NS_Dashboard!B295</f>
        <v>Rotterdam</v>
      </c>
      <c r="B295" t="s">
        <v>1016</v>
      </c>
      <c r="C295" t="str">
        <f>INDEX(Source_GM_code_CBS!B:B,MATCH(Calculation!B295,Source_GM_code_CBS!C:C,0))</f>
        <v>GM0599</v>
      </c>
      <c r="D295" t="str">
        <f>Source_NS_Dashboard!I295</f>
        <v>3.227 (2023)</v>
      </c>
      <c r="E295" t="str">
        <f t="shared" si="16"/>
        <v>3.227</v>
      </c>
      <c r="F295" s="9" t="str">
        <f t="shared" si="17"/>
        <v>3227</v>
      </c>
      <c r="G295">
        <f t="shared" si="18"/>
        <v>3227</v>
      </c>
      <c r="H295">
        <f t="shared" si="19"/>
        <v>1.2778249653023202E-3</v>
      </c>
    </row>
    <row r="296" spans="1:8" x14ac:dyDescent="0.2">
      <c r="A296" t="str">
        <f>Source_NS_Dashboard!B296</f>
        <v>Ruurlo</v>
      </c>
      <c r="B296" s="6"/>
      <c r="C296" t="e">
        <f>INDEX(Source_GM_code_CBS!B:B,MATCH(Calculation!B296,Source_GM_code_CBS!C:C,0))</f>
        <v>#N/A</v>
      </c>
      <c r="D296" t="str">
        <f>Source_NS_Dashboard!I296</f>
        <v>-</v>
      </c>
      <c r="E296" t="str">
        <f t="shared" si="16"/>
        <v>0</v>
      </c>
      <c r="F296" s="9" t="str">
        <f t="shared" si="17"/>
        <v>0</v>
      </c>
      <c r="G296">
        <f t="shared" si="18"/>
        <v>0</v>
      </c>
      <c r="H296">
        <f t="shared" si="19"/>
        <v>0</v>
      </c>
    </row>
    <row r="297" spans="1:8" x14ac:dyDescent="0.2">
      <c r="A297" t="str">
        <f>Source_NS_Dashboard!B297</f>
        <v>Santpoort-Noord</v>
      </c>
      <c r="B297" t="s">
        <v>2186</v>
      </c>
      <c r="C297" t="str">
        <f>INDEX(Source_GM_code_CBS!B:B,MATCH(Calculation!B297,Source_GM_code_CBS!C:C,0))</f>
        <v>GM0453</v>
      </c>
      <c r="D297" t="str">
        <f>Source_NS_Dashboard!I297</f>
        <v>697 (2023)</v>
      </c>
      <c r="E297" t="str">
        <f t="shared" si="16"/>
        <v>697</v>
      </c>
      <c r="F297" s="9" t="str">
        <f t="shared" si="17"/>
        <v>697</v>
      </c>
      <c r="G297">
        <f t="shared" si="18"/>
        <v>697</v>
      </c>
      <c r="H297">
        <f t="shared" si="19"/>
        <v>2.7599752117003941E-4</v>
      </c>
    </row>
    <row r="298" spans="1:8" x14ac:dyDescent="0.2">
      <c r="A298" t="str">
        <f>Source_NS_Dashboard!B298</f>
        <v>Santpoort-Zuid</v>
      </c>
      <c r="B298" t="s">
        <v>2186</v>
      </c>
      <c r="C298" t="str">
        <f>INDEX(Source_GM_code_CBS!B:B,MATCH(Calculation!B298,Source_GM_code_CBS!C:C,0))</f>
        <v>GM0453</v>
      </c>
      <c r="D298" t="str">
        <f>Source_NS_Dashboard!I298</f>
        <v>818 (2023)</v>
      </c>
      <c r="E298" t="str">
        <f t="shared" si="16"/>
        <v>818</v>
      </c>
      <c r="F298" s="9" t="str">
        <f t="shared" si="17"/>
        <v>818</v>
      </c>
      <c r="G298">
        <f t="shared" si="18"/>
        <v>818</v>
      </c>
      <c r="H298">
        <f t="shared" si="19"/>
        <v>3.239110076285398E-4</v>
      </c>
    </row>
    <row r="299" spans="1:8" x14ac:dyDescent="0.2">
      <c r="A299" t="str">
        <f>Source_NS_Dashboard!B299</f>
        <v>Warmond</v>
      </c>
      <c r="B299" t="s">
        <v>2132</v>
      </c>
      <c r="C299" t="str">
        <f>INDEX(Source_GM_code_CBS!B:B,MATCH(Calculation!B299,Source_GM_code_CBS!C:C,0))</f>
        <v>GM1525</v>
      </c>
      <c r="D299" t="str">
        <f>Source_NS_Dashboard!I299</f>
        <v>3.685 (2023)</v>
      </c>
      <c r="E299" t="str">
        <f t="shared" si="16"/>
        <v>3.685</v>
      </c>
      <c r="F299" s="9" t="str">
        <f t="shared" si="17"/>
        <v>3685</v>
      </c>
      <c r="G299">
        <f t="shared" si="18"/>
        <v>3685</v>
      </c>
      <c r="H299">
        <f t="shared" si="19"/>
        <v>1.4591834512361482E-3</v>
      </c>
    </row>
    <row r="300" spans="1:8" x14ac:dyDescent="0.2">
      <c r="A300" t="str">
        <f>Source_NS_Dashboard!B300</f>
        <v>Sauwerd</v>
      </c>
      <c r="B300" t="s">
        <v>1761</v>
      </c>
      <c r="C300" t="str">
        <f>INDEX(Source_GM_code_CBS!B:B,MATCH(Calculation!B300,Source_GM_code_CBS!C:C,0))</f>
        <v>GM1966</v>
      </c>
      <c r="D300" t="str">
        <f>Source_NS_Dashboard!I300</f>
        <v>269 (2009)</v>
      </c>
      <c r="E300" t="str">
        <f t="shared" si="16"/>
        <v>269</v>
      </c>
      <c r="F300" s="9" t="str">
        <f t="shared" si="17"/>
        <v>269</v>
      </c>
      <c r="G300">
        <f t="shared" si="18"/>
        <v>269</v>
      </c>
      <c r="H300">
        <f t="shared" si="19"/>
        <v>1.0651841204410417E-4</v>
      </c>
    </row>
    <row r="301" spans="1:8" x14ac:dyDescent="0.2">
      <c r="A301" t="str">
        <f>Source_NS_Dashboard!B301</f>
        <v>Schagen</v>
      </c>
      <c r="B301" t="s">
        <v>1058</v>
      </c>
      <c r="C301" t="str">
        <f>INDEX(Source_GM_code_CBS!B:B,MATCH(Calculation!B301,Source_GM_code_CBS!C:C,0))</f>
        <v>GM0441</v>
      </c>
      <c r="D301" t="str">
        <f>Source_NS_Dashboard!I301</f>
        <v>4.046 (2023)</v>
      </c>
      <c r="E301" t="str">
        <f t="shared" si="16"/>
        <v>4.046</v>
      </c>
      <c r="F301" s="9" t="str">
        <f t="shared" si="17"/>
        <v>4046</v>
      </c>
      <c r="G301">
        <f t="shared" si="18"/>
        <v>4046</v>
      </c>
      <c r="H301">
        <f t="shared" si="19"/>
        <v>1.6021319521577898E-3</v>
      </c>
    </row>
    <row r="302" spans="1:8" x14ac:dyDescent="0.2">
      <c r="A302" t="str">
        <f>Source_NS_Dashboard!B302</f>
        <v>Scheemda</v>
      </c>
      <c r="B302" t="s">
        <v>1956</v>
      </c>
      <c r="C302" t="str">
        <f>INDEX(Source_GM_code_CBS!B:B,MATCH(Calculation!B302,Source_GM_code_CBS!C:C,0))</f>
        <v>GM1895</v>
      </c>
      <c r="D302" t="str">
        <f>Source_NS_Dashboard!I302</f>
        <v>714 (2009)</v>
      </c>
      <c r="E302" t="str">
        <f t="shared" si="16"/>
        <v>714</v>
      </c>
      <c r="F302" s="9" t="str">
        <f t="shared" si="17"/>
        <v>714</v>
      </c>
      <c r="G302">
        <f t="shared" si="18"/>
        <v>714</v>
      </c>
      <c r="H302">
        <f t="shared" si="19"/>
        <v>2.8272916802784528E-4</v>
      </c>
    </row>
    <row r="303" spans="1:8" x14ac:dyDescent="0.2">
      <c r="A303" t="str">
        <f>Source_NS_Dashboard!B303</f>
        <v>Schiedam</v>
      </c>
      <c r="B303" t="s">
        <v>1065</v>
      </c>
      <c r="C303" t="str">
        <f>INDEX(Source_GM_code_CBS!B:B,MATCH(Calculation!B303,Source_GM_code_CBS!C:C,0))</f>
        <v>GM0606</v>
      </c>
      <c r="D303" t="str">
        <f>Source_NS_Dashboard!I303</f>
        <v>19.306 (2023)</v>
      </c>
      <c r="E303" t="str">
        <f t="shared" si="16"/>
        <v>19.306</v>
      </c>
      <c r="F303" s="9" t="str">
        <f t="shared" si="17"/>
        <v>19306</v>
      </c>
      <c r="G303">
        <f t="shared" si="18"/>
        <v>19306</v>
      </c>
      <c r="H303">
        <f t="shared" si="19"/>
        <v>7.6447749551058555E-3</v>
      </c>
    </row>
    <row r="304" spans="1:8" x14ac:dyDescent="0.2">
      <c r="A304" t="str">
        <f>Source_NS_Dashboard!B304</f>
        <v>Schin op Geul</v>
      </c>
      <c r="B304" s="6"/>
      <c r="C304" t="e">
        <f>INDEX(Source_GM_code_CBS!B:B,MATCH(Calculation!B304,Source_GM_code_CBS!C:C,0))</f>
        <v>#N/A</v>
      </c>
      <c r="D304" t="str">
        <f>Source_NS_Dashboard!I304</f>
        <v>-</v>
      </c>
      <c r="E304" t="str">
        <f t="shared" si="16"/>
        <v>0</v>
      </c>
      <c r="F304" s="9" t="str">
        <f t="shared" si="17"/>
        <v>0</v>
      </c>
      <c r="G304">
        <f t="shared" si="18"/>
        <v>0</v>
      </c>
      <c r="H304">
        <f t="shared" si="19"/>
        <v>0</v>
      </c>
    </row>
    <row r="305" spans="1:8" x14ac:dyDescent="0.2">
      <c r="A305" t="str">
        <f>Source_NS_Dashboard!B305</f>
        <v>Schinnen</v>
      </c>
      <c r="B305" t="s">
        <v>1475</v>
      </c>
      <c r="C305" t="str">
        <f>INDEX(Source_GM_code_CBS!B:B,MATCH(Calculation!B305,Source_GM_code_CBS!C:C,0))</f>
        <v>GM1954</v>
      </c>
      <c r="D305" t="str">
        <f>Source_NS_Dashboard!I305</f>
        <v>259 (2016)</v>
      </c>
      <c r="E305" t="str">
        <f t="shared" si="16"/>
        <v>259</v>
      </c>
      <c r="F305" s="9" t="str">
        <f t="shared" si="17"/>
        <v>259</v>
      </c>
      <c r="G305">
        <f t="shared" si="18"/>
        <v>259</v>
      </c>
      <c r="H305">
        <f t="shared" si="19"/>
        <v>1.0255861977480662E-4</v>
      </c>
    </row>
    <row r="306" spans="1:8" x14ac:dyDescent="0.2">
      <c r="A306" t="str">
        <f>Source_NS_Dashboard!B306</f>
        <v>Luchthaven Schiphol</v>
      </c>
      <c r="B306" t="s">
        <v>1695</v>
      </c>
      <c r="C306" t="str">
        <f>INDEX(Source_GM_code_CBS!B:B,MATCH(Calculation!B306,Source_GM_code_CBS!C:C,0))</f>
        <v>GM0394</v>
      </c>
      <c r="D306" t="str">
        <f>Source_NS_Dashboard!I306</f>
        <v>90.108 (2024) (NS)</v>
      </c>
      <c r="E306" t="str">
        <f t="shared" si="16"/>
        <v>90.108</v>
      </c>
      <c r="F306" s="9" t="str">
        <f t="shared" si="17"/>
        <v>90108</v>
      </c>
      <c r="G306">
        <f t="shared" si="18"/>
        <v>90108</v>
      </c>
      <c r="H306">
        <f t="shared" si="19"/>
        <v>3.568089618018639E-2</v>
      </c>
    </row>
    <row r="307" spans="1:8" x14ac:dyDescent="0.2">
      <c r="A307" t="str">
        <f>Source_NS_Dashboard!B307</f>
        <v>Sittard</v>
      </c>
      <c r="B307" t="s">
        <v>2080</v>
      </c>
      <c r="C307" t="str">
        <f>INDEX(Source_GM_code_CBS!B:B,MATCH(Calculation!B307,Source_GM_code_CBS!C:C,0))</f>
        <v>GM1883</v>
      </c>
      <c r="D307" t="str">
        <f>Source_NS_Dashboard!I307</f>
        <v>8.078 (2024) (NS)</v>
      </c>
      <c r="E307" t="str">
        <f t="shared" si="16"/>
        <v>8.078</v>
      </c>
      <c r="F307" s="9" t="str">
        <f t="shared" si="17"/>
        <v>8078</v>
      </c>
      <c r="G307">
        <f t="shared" si="18"/>
        <v>8078</v>
      </c>
      <c r="H307">
        <f t="shared" si="19"/>
        <v>3.1987201951385632E-3</v>
      </c>
    </row>
    <row r="308" spans="1:8" x14ac:dyDescent="0.2">
      <c r="A308" t="str">
        <f>Source_NS_Dashboard!B308</f>
        <v>Sliedrecht</v>
      </c>
      <c r="B308" t="s">
        <v>1084</v>
      </c>
      <c r="C308" t="str">
        <f>INDEX(Source_GM_code_CBS!B:B,MATCH(Calculation!B308,Source_GM_code_CBS!C:C,0))</f>
        <v>GM0610</v>
      </c>
      <c r="D308" t="str">
        <f>Source_NS_Dashboard!I308</f>
        <v>866 (2014)</v>
      </c>
      <c r="E308" t="str">
        <f t="shared" si="16"/>
        <v>866</v>
      </c>
      <c r="F308" s="9" t="str">
        <f t="shared" si="17"/>
        <v>866</v>
      </c>
      <c r="G308">
        <f t="shared" si="18"/>
        <v>866</v>
      </c>
      <c r="H308">
        <f t="shared" si="19"/>
        <v>3.4291801052116808E-4</v>
      </c>
    </row>
    <row r="309" spans="1:8" x14ac:dyDescent="0.2">
      <c r="A309" t="str">
        <f>Source_NS_Dashboard!B309</f>
        <v>Sliedrecht</v>
      </c>
      <c r="B309" t="s">
        <v>1084</v>
      </c>
      <c r="C309" t="str">
        <f>INDEX(Source_GM_code_CBS!B:B,MATCH(Calculation!B309,Source_GM_code_CBS!C:C,0))</f>
        <v>GM0610</v>
      </c>
      <c r="D309" t="str">
        <f>Source_NS_Dashboard!I309</f>
        <v>553 (2014)</v>
      </c>
      <c r="E309" t="str">
        <f t="shared" si="16"/>
        <v>553</v>
      </c>
      <c r="F309" s="9" t="str">
        <f t="shared" si="17"/>
        <v>553</v>
      </c>
      <c r="G309">
        <f t="shared" si="18"/>
        <v>553</v>
      </c>
      <c r="H309">
        <f t="shared" si="19"/>
        <v>2.1897651249215466E-4</v>
      </c>
    </row>
    <row r="310" spans="1:8" x14ac:dyDescent="0.2">
      <c r="A310" t="str">
        <f>Source_NS_Dashboard!B310</f>
        <v>Sneek</v>
      </c>
      <c r="B310" t="s">
        <v>2120</v>
      </c>
      <c r="C310" t="str">
        <f>INDEX(Source_GM_code_CBS!B:B,MATCH(Calculation!B310,Source_GM_code_CBS!C:C,0))</f>
        <v>GM1900</v>
      </c>
      <c r="D310" t="str">
        <f>Source_NS_Dashboard!I310</f>
        <v>2.891 (2009)</v>
      </c>
      <c r="E310" t="str">
        <f t="shared" si="16"/>
        <v>2.891</v>
      </c>
      <c r="F310" s="9" t="str">
        <f t="shared" si="17"/>
        <v>2891</v>
      </c>
      <c r="G310">
        <f t="shared" si="18"/>
        <v>2891</v>
      </c>
      <c r="H310">
        <f t="shared" si="19"/>
        <v>1.1447759450539225E-3</v>
      </c>
    </row>
    <row r="311" spans="1:8" x14ac:dyDescent="0.2">
      <c r="A311" t="str">
        <f>Source_NS_Dashboard!B311</f>
        <v>Sneek</v>
      </c>
      <c r="B311" t="s">
        <v>2120</v>
      </c>
      <c r="C311" t="str">
        <f>INDEX(Source_GM_code_CBS!B:B,MATCH(Calculation!B311,Source_GM_code_CBS!C:C,0))</f>
        <v>GM1900</v>
      </c>
      <c r="D311" t="str">
        <f>Source_NS_Dashboard!I311</f>
        <v>922 (2009)</v>
      </c>
      <c r="E311" t="str">
        <f t="shared" si="16"/>
        <v>922</v>
      </c>
      <c r="F311" s="9" t="str">
        <f t="shared" si="17"/>
        <v>922</v>
      </c>
      <c r="G311">
        <f t="shared" si="18"/>
        <v>922</v>
      </c>
      <c r="H311">
        <f t="shared" si="19"/>
        <v>3.6509284722923438E-4</v>
      </c>
    </row>
    <row r="312" spans="1:8" x14ac:dyDescent="0.2">
      <c r="A312" t="str">
        <f>Source_NS_Dashboard!B312</f>
        <v>Soest</v>
      </c>
      <c r="B312" t="s">
        <v>1096</v>
      </c>
      <c r="C312" t="str">
        <f>INDEX(Source_GM_code_CBS!B:B,MATCH(Calculation!B312,Source_GM_code_CBS!C:C,0))</f>
        <v>GM0342</v>
      </c>
      <c r="D312" t="str">
        <f>Source_NS_Dashboard!I312</f>
        <v>207 (2023)</v>
      </c>
      <c r="E312" t="str">
        <f t="shared" si="16"/>
        <v>207</v>
      </c>
      <c r="F312" s="9" t="str">
        <f t="shared" si="17"/>
        <v>207</v>
      </c>
      <c r="G312">
        <f t="shared" si="18"/>
        <v>207</v>
      </c>
      <c r="H312">
        <f t="shared" si="19"/>
        <v>8.1967699974459346E-5</v>
      </c>
    </row>
    <row r="313" spans="1:8" x14ac:dyDescent="0.2">
      <c r="A313" t="str">
        <f>Source_NS_Dashboard!B313</f>
        <v>Soest</v>
      </c>
      <c r="B313" t="s">
        <v>1096</v>
      </c>
      <c r="C313" t="str">
        <f>INDEX(Source_GM_code_CBS!B:B,MATCH(Calculation!B313,Source_GM_code_CBS!C:C,0))</f>
        <v>GM0342</v>
      </c>
      <c r="D313" t="str">
        <f>Source_NS_Dashboard!I313</f>
        <v>1.616 (2023)</v>
      </c>
      <c r="E313" t="str">
        <f t="shared" si="16"/>
        <v>1.616</v>
      </c>
      <c r="F313" s="9" t="str">
        <f t="shared" si="17"/>
        <v>1616</v>
      </c>
      <c r="G313">
        <f t="shared" si="18"/>
        <v>1616</v>
      </c>
      <c r="H313">
        <f t="shared" si="19"/>
        <v>6.3990243071848456E-4</v>
      </c>
    </row>
    <row r="314" spans="1:8" x14ac:dyDescent="0.2">
      <c r="A314" t="str">
        <f>Source_NS_Dashboard!B314</f>
        <v>Soest</v>
      </c>
      <c r="B314" t="s">
        <v>1096</v>
      </c>
      <c r="C314" t="str">
        <f>INDEX(Source_GM_code_CBS!B:B,MATCH(Calculation!B314,Source_GM_code_CBS!C:C,0))</f>
        <v>GM0342</v>
      </c>
      <c r="D314" t="str">
        <f>Source_NS_Dashboard!I314</f>
        <v>686 (2023)</v>
      </c>
      <c r="E314" t="str">
        <f t="shared" si="16"/>
        <v>686</v>
      </c>
      <c r="F314" s="9" t="str">
        <f t="shared" si="17"/>
        <v>686</v>
      </c>
      <c r="G314">
        <f t="shared" si="18"/>
        <v>686</v>
      </c>
      <c r="H314">
        <f t="shared" si="19"/>
        <v>2.7164174967381211E-4</v>
      </c>
    </row>
    <row r="315" spans="1:8" x14ac:dyDescent="0.2">
      <c r="A315" t="str">
        <f>Source_NS_Dashboard!B315</f>
        <v>Spaubeek</v>
      </c>
      <c r="B315" t="s">
        <v>1469</v>
      </c>
      <c r="C315" t="str">
        <f>INDEX(Source_GM_code_CBS!B:B,MATCH(Calculation!B315,Source_GM_code_CBS!C:C,0))</f>
        <v>GM0888</v>
      </c>
      <c r="D315" t="str">
        <f>Source_NS_Dashboard!I315</f>
        <v>240 (2016)</v>
      </c>
      <c r="E315" t="str">
        <f t="shared" si="16"/>
        <v>240</v>
      </c>
      <c r="F315" s="9" t="str">
        <f t="shared" si="17"/>
        <v>240</v>
      </c>
      <c r="G315">
        <f t="shared" si="18"/>
        <v>240</v>
      </c>
      <c r="H315">
        <f t="shared" si="19"/>
        <v>9.503501446314127E-5</v>
      </c>
    </row>
    <row r="316" spans="1:8" x14ac:dyDescent="0.2">
      <c r="A316" t="str">
        <f>Source_NS_Dashboard!B316</f>
        <v>Stavoren</v>
      </c>
      <c r="B316" t="s">
        <v>2120</v>
      </c>
      <c r="C316" t="str">
        <f>INDEX(Source_GM_code_CBS!B:B,MATCH(Calculation!B316,Source_GM_code_CBS!C:C,0))</f>
        <v>GM1900</v>
      </c>
      <c r="D316" t="str">
        <f>Source_NS_Dashboard!I316</f>
        <v>334 (2018)</v>
      </c>
      <c r="E316" t="str">
        <f t="shared" si="16"/>
        <v>334</v>
      </c>
      <c r="F316" s="9" t="str">
        <f t="shared" si="17"/>
        <v>334</v>
      </c>
      <c r="G316">
        <f t="shared" si="18"/>
        <v>334</v>
      </c>
      <c r="H316">
        <f t="shared" si="19"/>
        <v>1.3225706179453825E-4</v>
      </c>
    </row>
    <row r="317" spans="1:8" x14ac:dyDescent="0.2">
      <c r="A317" t="str">
        <f>Source_NS_Dashboard!B317</f>
        <v>Stedum</v>
      </c>
      <c r="B317" t="s">
        <v>1620</v>
      </c>
      <c r="C317" t="str">
        <f>INDEX(Source_GM_code_CBS!B:B,MATCH(Calculation!B317,Source_GM_code_CBS!C:C,0))</f>
        <v>GM1979</v>
      </c>
      <c r="D317" t="str">
        <f>Source_NS_Dashboard!I317</f>
        <v>377 (2009)</v>
      </c>
      <c r="E317" t="str">
        <f t="shared" si="16"/>
        <v>377</v>
      </c>
      <c r="F317" s="9" t="str">
        <f t="shared" si="17"/>
        <v>377</v>
      </c>
      <c r="G317">
        <f t="shared" si="18"/>
        <v>377</v>
      </c>
      <c r="H317">
        <f t="shared" si="19"/>
        <v>1.4928416855251774E-4</v>
      </c>
    </row>
    <row r="318" spans="1:8" x14ac:dyDescent="0.2">
      <c r="A318" t="str">
        <f>Source_NS_Dashboard!B318</f>
        <v>Steenwijk</v>
      </c>
      <c r="B318" t="s">
        <v>2111</v>
      </c>
      <c r="C318" t="str">
        <f>INDEX(Source_GM_code_CBS!B:B,MATCH(Calculation!B318,Source_GM_code_CBS!C:C,0))</f>
        <v>GM1708</v>
      </c>
      <c r="D318" t="str">
        <f>Source_NS_Dashboard!I318</f>
        <v>3.140 (2023)</v>
      </c>
      <c r="E318" t="str">
        <f t="shared" si="16"/>
        <v>3.140</v>
      </c>
      <c r="F318" s="9" t="str">
        <f t="shared" si="17"/>
        <v>3140</v>
      </c>
      <c r="G318">
        <f t="shared" si="18"/>
        <v>3140</v>
      </c>
      <c r="H318">
        <f t="shared" si="19"/>
        <v>1.2433747725594316E-3</v>
      </c>
    </row>
    <row r="319" spans="1:8" x14ac:dyDescent="0.2">
      <c r="A319" t="str">
        <f>Source_NS_Dashboard!B319</f>
        <v>Susteren</v>
      </c>
      <c r="B319" t="s">
        <v>1609</v>
      </c>
      <c r="C319" t="str">
        <f>INDEX(Source_GM_code_CBS!B:B,MATCH(Calculation!B319,Source_GM_code_CBS!C:C,0))</f>
        <v>GM1711</v>
      </c>
      <c r="D319" t="str">
        <f>Source_NS_Dashboard!I319</f>
        <v>840 (2016)</v>
      </c>
      <c r="E319" t="str">
        <f t="shared" si="16"/>
        <v>840</v>
      </c>
      <c r="F319" s="9" t="str">
        <f t="shared" si="17"/>
        <v>840</v>
      </c>
      <c r="G319">
        <f t="shared" si="18"/>
        <v>840</v>
      </c>
      <c r="H319">
        <f t="shared" si="19"/>
        <v>3.3262255062099441E-4</v>
      </c>
    </row>
    <row r="320" spans="1:8" x14ac:dyDescent="0.2">
      <c r="A320" t="str">
        <f>Source_NS_Dashboard!B320</f>
        <v>Swalmen</v>
      </c>
      <c r="B320" s="6"/>
      <c r="C320" t="e">
        <f>INDEX(Source_GM_code_CBS!B:B,MATCH(Calculation!B320,Source_GM_code_CBS!C:C,0))</f>
        <v>#N/A</v>
      </c>
      <c r="D320" t="str">
        <f>Source_NS_Dashboard!I320</f>
        <v>-</v>
      </c>
      <c r="E320" t="str">
        <f t="shared" si="16"/>
        <v>0</v>
      </c>
      <c r="F320" s="9" t="str">
        <f t="shared" si="17"/>
        <v>0</v>
      </c>
      <c r="G320">
        <f t="shared" si="18"/>
        <v>0</v>
      </c>
      <c r="H320">
        <f t="shared" si="19"/>
        <v>0</v>
      </c>
    </row>
    <row r="321" spans="1:8" x14ac:dyDescent="0.2">
      <c r="A321" t="str">
        <f>Source_NS_Dashboard!B321</f>
        <v>Tegelen</v>
      </c>
      <c r="B321" s="6"/>
      <c r="C321" t="e">
        <f>INDEX(Source_GM_code_CBS!B:B,MATCH(Calculation!B321,Source_GM_code_CBS!C:C,0))</f>
        <v>#N/A</v>
      </c>
      <c r="D321" t="str">
        <f>Source_NS_Dashboard!I321</f>
        <v>-</v>
      </c>
      <c r="E321" t="str">
        <f t="shared" si="16"/>
        <v>0</v>
      </c>
      <c r="F321" s="9" t="str">
        <f t="shared" si="17"/>
        <v>0</v>
      </c>
      <c r="G321">
        <f t="shared" si="18"/>
        <v>0</v>
      </c>
      <c r="H321">
        <f t="shared" si="19"/>
        <v>0</v>
      </c>
    </row>
    <row r="322" spans="1:8" x14ac:dyDescent="0.2">
      <c r="A322" t="str">
        <f>Source_NS_Dashboard!B322</f>
        <v>Terborg</v>
      </c>
      <c r="B322" t="s">
        <v>2321</v>
      </c>
      <c r="C322" t="str">
        <f>INDEX(Source_GM_code_CBS!B:B,MATCH(Calculation!B322,Source_GM_code_CBS!C:C,0))</f>
        <v>GM1509</v>
      </c>
      <c r="D322" t="str">
        <f>Source_NS_Dashboard!I322</f>
        <v>885 (2005)</v>
      </c>
      <c r="E322" t="str">
        <f t="shared" si="16"/>
        <v>885</v>
      </c>
      <c r="F322" s="9" t="str">
        <f t="shared" si="17"/>
        <v>885</v>
      </c>
      <c r="G322">
        <f t="shared" si="18"/>
        <v>885</v>
      </c>
      <c r="H322">
        <f t="shared" si="19"/>
        <v>3.5044161583283341E-4</v>
      </c>
    </row>
    <row r="323" spans="1:8" x14ac:dyDescent="0.2">
      <c r="A323" t="str">
        <f>Source_NS_Dashboard!B323</f>
        <v>Tiel</v>
      </c>
      <c r="B323" t="s">
        <v>1128</v>
      </c>
      <c r="C323" t="str">
        <f>INDEX(Source_GM_code_CBS!B:B,MATCH(Calculation!B323,Source_GM_code_CBS!C:C,0))</f>
        <v>GM0281</v>
      </c>
      <c r="D323" t="str">
        <f>Source_NS_Dashboard!I323</f>
        <v>2.863 (2023) (NS)</v>
      </c>
      <c r="E323" t="str">
        <f t="shared" ref="E323:E386" si="20">IFERROR(LEFT(D323,FIND(" ",D323,1)-1),"0")</f>
        <v>2.863</v>
      </c>
      <c r="F323" s="9" t="str">
        <f t="shared" ref="F323:F386" si="21">SUBSTITUTE(E323,".","")</f>
        <v>2863</v>
      </c>
      <c r="G323">
        <f t="shared" ref="G323:G386" si="22">VALUE(F323)</f>
        <v>2863</v>
      </c>
      <c r="H323">
        <f t="shared" ref="H323:H386" si="23">G323/(SUM($G$2:$G$399))</f>
        <v>1.1336885266998893E-3</v>
      </c>
    </row>
    <row r="324" spans="1:8" x14ac:dyDescent="0.2">
      <c r="A324" t="str">
        <f>Source_NS_Dashboard!B324</f>
        <v>Tiel</v>
      </c>
      <c r="B324" t="s">
        <v>1128</v>
      </c>
      <c r="C324" t="str">
        <f>INDEX(Source_GM_code_CBS!B:B,MATCH(Calculation!B324,Source_GM_code_CBS!C:C,0))</f>
        <v>GM0281</v>
      </c>
      <c r="D324" t="str">
        <f>Source_NS_Dashboard!I324</f>
        <v>1.209 (2023)</v>
      </c>
      <c r="E324" t="str">
        <f t="shared" si="20"/>
        <v>1.209</v>
      </c>
      <c r="F324" s="9" t="str">
        <f t="shared" si="21"/>
        <v>1209</v>
      </c>
      <c r="G324">
        <f t="shared" si="22"/>
        <v>1209</v>
      </c>
      <c r="H324">
        <f t="shared" si="23"/>
        <v>4.7873888535807411E-4</v>
      </c>
    </row>
    <row r="325" spans="1:8" x14ac:dyDescent="0.2">
      <c r="A325" t="str">
        <f>Source_NS_Dashboard!B325</f>
        <v>Tilburg</v>
      </c>
      <c r="B325" t="s">
        <v>1134</v>
      </c>
      <c r="C325" t="str">
        <f>INDEX(Source_GM_code_CBS!B:B,MATCH(Calculation!B325,Source_GM_code_CBS!C:C,0))</f>
        <v>GM0855</v>
      </c>
      <c r="D325" t="str">
        <f>Source_NS_Dashboard!I325</f>
        <v>31.144 (2024)</v>
      </c>
      <c r="E325" t="str">
        <f t="shared" si="20"/>
        <v>31.144</v>
      </c>
      <c r="F325" s="9" t="str">
        <f t="shared" si="21"/>
        <v>31144</v>
      </c>
      <c r="G325">
        <f t="shared" si="22"/>
        <v>31144</v>
      </c>
      <c r="H325">
        <f t="shared" si="23"/>
        <v>1.2332377043500297E-2</v>
      </c>
    </row>
    <row r="326" spans="1:8" x14ac:dyDescent="0.2">
      <c r="A326" t="str">
        <f>Source_NS_Dashboard!B326</f>
        <v>Tilburg</v>
      </c>
      <c r="B326" t="s">
        <v>1134</v>
      </c>
      <c r="C326" t="str">
        <f>INDEX(Source_GM_code_CBS!B:B,MATCH(Calculation!B326,Source_GM_code_CBS!C:C,0))</f>
        <v>GM0855</v>
      </c>
      <c r="D326" t="str">
        <f>Source_NS_Dashboard!I326</f>
        <v>2.766 (2023)</v>
      </c>
      <c r="E326" t="str">
        <f t="shared" si="20"/>
        <v>2.766</v>
      </c>
      <c r="F326" s="9" t="str">
        <f t="shared" si="21"/>
        <v>2766</v>
      </c>
      <c r="G326">
        <f t="shared" si="22"/>
        <v>2766</v>
      </c>
      <c r="H326">
        <f t="shared" si="23"/>
        <v>1.095278541687703E-3</v>
      </c>
    </row>
    <row r="327" spans="1:8" x14ac:dyDescent="0.2">
      <c r="A327" t="str">
        <f>Source_NS_Dashboard!B327</f>
        <v>Tilburg</v>
      </c>
      <c r="B327" t="s">
        <v>1134</v>
      </c>
      <c r="C327" t="str">
        <f>INDEX(Source_GM_code_CBS!B:B,MATCH(Calculation!B327,Source_GM_code_CBS!C:C,0))</f>
        <v>GM0855</v>
      </c>
      <c r="D327" t="str">
        <f>Source_NS_Dashboard!I327</f>
        <v>6.030 (2024)</v>
      </c>
      <c r="E327" t="str">
        <f t="shared" si="20"/>
        <v>6.030</v>
      </c>
      <c r="F327" s="9" t="str">
        <f t="shared" si="21"/>
        <v>6030</v>
      </c>
      <c r="G327">
        <f t="shared" si="22"/>
        <v>6030</v>
      </c>
      <c r="H327">
        <f t="shared" si="23"/>
        <v>2.3877547383864242E-3</v>
      </c>
    </row>
    <row r="328" spans="1:8" x14ac:dyDescent="0.2">
      <c r="A328" t="str">
        <f>Source_NS_Dashboard!B328</f>
        <v>Twello</v>
      </c>
      <c r="B328" t="s">
        <v>2211</v>
      </c>
      <c r="C328" t="str">
        <f>INDEX(Source_GM_code_CBS!B:B,MATCH(Calculation!B328,Source_GM_code_CBS!C:C,0))</f>
        <v>GM0285</v>
      </c>
      <c r="D328" t="str">
        <f>Source_NS_Dashboard!I328</f>
        <v>1.147 (2023)</v>
      </c>
      <c r="E328" t="str">
        <f t="shared" si="20"/>
        <v>1.147</v>
      </c>
      <c r="F328" s="9" t="str">
        <f t="shared" si="21"/>
        <v>1147</v>
      </c>
      <c r="G328">
        <f t="shared" si="22"/>
        <v>1147</v>
      </c>
      <c r="H328">
        <f t="shared" si="23"/>
        <v>4.541881732884293E-4</v>
      </c>
    </row>
    <row r="329" spans="1:8" x14ac:dyDescent="0.2">
      <c r="A329" t="str">
        <f>Source_NS_Dashboard!B329</f>
        <v>Uitgeest</v>
      </c>
      <c r="B329" t="s">
        <v>1147</v>
      </c>
      <c r="C329" t="str">
        <f>INDEX(Source_GM_code_CBS!B:B,MATCH(Calculation!B329,Source_GM_code_CBS!C:C,0))</f>
        <v>GM0450</v>
      </c>
      <c r="D329" t="str">
        <f>Source_NS_Dashboard!I329</f>
        <v>4.487 (2023)</v>
      </c>
      <c r="E329" t="str">
        <f t="shared" si="20"/>
        <v>4.487</v>
      </c>
      <c r="F329" s="9" t="str">
        <f t="shared" si="21"/>
        <v>4487</v>
      </c>
      <c r="G329">
        <f t="shared" si="22"/>
        <v>4487</v>
      </c>
      <c r="H329">
        <f t="shared" si="23"/>
        <v>1.7767587912338118E-3</v>
      </c>
    </row>
    <row r="330" spans="1:8" x14ac:dyDescent="0.2">
      <c r="A330" t="str">
        <f>Source_NS_Dashboard!B330</f>
        <v>Uithuizen</v>
      </c>
      <c r="B330" t="s">
        <v>1761</v>
      </c>
      <c r="C330" t="str">
        <f>INDEX(Source_GM_code_CBS!B:B,MATCH(Calculation!B330,Source_GM_code_CBS!C:C,0))</f>
        <v>GM1966</v>
      </c>
      <c r="D330" t="str">
        <f>Source_NS_Dashboard!I330</f>
        <v>821 (2009)</v>
      </c>
      <c r="E330" t="str">
        <f t="shared" si="20"/>
        <v>821</v>
      </c>
      <c r="F330" s="9" t="str">
        <f t="shared" si="21"/>
        <v>821</v>
      </c>
      <c r="G330">
        <f t="shared" si="22"/>
        <v>821</v>
      </c>
      <c r="H330">
        <f t="shared" si="23"/>
        <v>3.2509894530932909E-4</v>
      </c>
    </row>
    <row r="331" spans="1:8" x14ac:dyDescent="0.2">
      <c r="A331" t="str">
        <f>Source_NS_Dashboard!B331</f>
        <v>Uithuizermeeden</v>
      </c>
      <c r="B331" t="s">
        <v>1761</v>
      </c>
      <c r="C331" t="str">
        <f>INDEX(Source_GM_code_CBS!B:B,MATCH(Calculation!B331,Source_GM_code_CBS!C:C,0))</f>
        <v>GM1966</v>
      </c>
      <c r="D331" t="str">
        <f>Source_NS_Dashboard!I331</f>
        <v>299 (2006)</v>
      </c>
      <c r="E331" t="str">
        <f t="shared" si="20"/>
        <v>299</v>
      </c>
      <c r="F331" s="9" t="str">
        <f t="shared" si="21"/>
        <v>299</v>
      </c>
      <c r="G331">
        <f t="shared" si="22"/>
        <v>299</v>
      </c>
      <c r="H331">
        <f t="shared" si="23"/>
        <v>1.1839778885199683E-4</v>
      </c>
    </row>
    <row r="332" spans="1:8" x14ac:dyDescent="0.2">
      <c r="A332" t="str">
        <f>Source_NS_Dashboard!B332</f>
        <v>Usquert</v>
      </c>
      <c r="B332" t="s">
        <v>1761</v>
      </c>
      <c r="C332" t="str">
        <f>INDEX(Source_GM_code_CBS!B:B,MATCH(Calculation!B332,Source_GM_code_CBS!C:C,0))</f>
        <v>GM1966</v>
      </c>
      <c r="D332" t="str">
        <f>Source_NS_Dashboard!I332</f>
        <v>250 (2008)</v>
      </c>
      <c r="E332" t="str">
        <f t="shared" si="20"/>
        <v>250</v>
      </c>
      <c r="F332" s="9" t="str">
        <f t="shared" si="21"/>
        <v>250</v>
      </c>
      <c r="G332">
        <f t="shared" si="22"/>
        <v>250</v>
      </c>
      <c r="H332">
        <f t="shared" si="23"/>
        <v>9.8994806732438821E-5</v>
      </c>
    </row>
    <row r="333" spans="1:8" x14ac:dyDescent="0.2">
      <c r="A333" t="str">
        <f>Source_NS_Dashboard!B333</f>
        <v>Utrecht</v>
      </c>
      <c r="B333" t="s">
        <v>1161</v>
      </c>
      <c r="C333" t="str">
        <f>INDEX(Source_GM_code_CBS!B:B,MATCH(Calculation!B333,Source_GM_code_CBS!C:C,0))</f>
        <v>GM0344</v>
      </c>
      <c r="D333" t="str">
        <f>Source_NS_Dashboard!I333</f>
        <v>229.788 (2024) (NS)</v>
      </c>
      <c r="E333" t="str">
        <f t="shared" si="20"/>
        <v>229.788</v>
      </c>
      <c r="F333" s="9" t="str">
        <f t="shared" si="21"/>
        <v>229788</v>
      </c>
      <c r="G333">
        <f t="shared" si="22"/>
        <v>229788</v>
      </c>
      <c r="H333">
        <f t="shared" si="23"/>
        <v>9.0991274597734609E-2</v>
      </c>
    </row>
    <row r="334" spans="1:8" x14ac:dyDescent="0.2">
      <c r="A334" t="str">
        <f>Source_NS_Dashboard!B334</f>
        <v>Utrecht</v>
      </c>
      <c r="B334" t="s">
        <v>1161</v>
      </c>
      <c r="C334" t="str">
        <f>INDEX(Source_GM_code_CBS!B:B,MATCH(Calculation!B334,Source_GM_code_CBS!C:C,0))</f>
        <v>GM0344</v>
      </c>
      <c r="D334" t="str">
        <f>Source_NS_Dashboard!I334</f>
        <v>4.014 (2023)</v>
      </c>
      <c r="E334" t="str">
        <f t="shared" si="20"/>
        <v>4.014</v>
      </c>
      <c r="F334" s="9" t="str">
        <f t="shared" si="21"/>
        <v>4014</v>
      </c>
      <c r="G334">
        <f t="shared" si="22"/>
        <v>4014</v>
      </c>
      <c r="H334">
        <f t="shared" si="23"/>
        <v>1.5894606168960377E-3</v>
      </c>
    </row>
    <row r="335" spans="1:8" x14ac:dyDescent="0.2">
      <c r="A335" t="str">
        <f>Source_NS_Dashboard!B335</f>
        <v>Utrecht</v>
      </c>
      <c r="B335" t="s">
        <v>1161</v>
      </c>
      <c r="C335" t="str">
        <f>INDEX(Source_GM_code_CBS!B:B,MATCH(Calculation!B335,Source_GM_code_CBS!C:C,0))</f>
        <v>GM0344</v>
      </c>
      <c r="D335" t="str">
        <f>Source_NS_Dashboard!I335</f>
        <v>3.260 (2023)</v>
      </c>
      <c r="E335" t="str">
        <f t="shared" si="20"/>
        <v>3.260</v>
      </c>
      <c r="F335" s="9" t="str">
        <f t="shared" si="21"/>
        <v>3260</v>
      </c>
      <c r="G335">
        <f t="shared" si="22"/>
        <v>3260</v>
      </c>
      <c r="H335">
        <f t="shared" si="23"/>
        <v>1.2908922797910021E-3</v>
      </c>
    </row>
    <row r="336" spans="1:8" x14ac:dyDescent="0.2">
      <c r="A336" t="str">
        <f>Source_NS_Dashboard!B336</f>
        <v>Utrecht</v>
      </c>
      <c r="B336" t="s">
        <v>1161</v>
      </c>
      <c r="C336" t="str">
        <f>INDEX(Source_GM_code_CBS!B:B,MATCH(Calculation!B336,Source_GM_code_CBS!C:C,0))</f>
        <v>GM0344</v>
      </c>
      <c r="D336" t="str">
        <f>Source_NS_Dashboard!I336</f>
        <v>-</v>
      </c>
      <c r="E336" t="str">
        <f t="shared" si="20"/>
        <v>0</v>
      </c>
      <c r="F336" s="9" t="str">
        <f t="shared" si="21"/>
        <v>0</v>
      </c>
      <c r="G336">
        <f t="shared" si="22"/>
        <v>0</v>
      </c>
      <c r="H336">
        <f t="shared" si="23"/>
        <v>0</v>
      </c>
    </row>
    <row r="337" spans="1:8" x14ac:dyDescent="0.2">
      <c r="A337" t="str">
        <f>Source_NS_Dashboard!B337</f>
        <v>Utrecht</v>
      </c>
      <c r="B337" t="s">
        <v>1161</v>
      </c>
      <c r="C337" t="str">
        <f>INDEX(Source_GM_code_CBS!B:B,MATCH(Calculation!B337,Source_GM_code_CBS!C:C,0))</f>
        <v>GM0344</v>
      </c>
      <c r="D337" t="str">
        <f>Source_NS_Dashboard!I337</f>
        <v>7.306 (2024)</v>
      </c>
      <c r="E337" t="str">
        <f t="shared" si="20"/>
        <v>7.306</v>
      </c>
      <c r="F337" s="9" t="str">
        <f t="shared" si="21"/>
        <v>7306</v>
      </c>
      <c r="G337">
        <f t="shared" si="22"/>
        <v>7306</v>
      </c>
      <c r="H337">
        <f t="shared" si="23"/>
        <v>2.8930242319487919E-3</v>
      </c>
    </row>
    <row r="338" spans="1:8" x14ac:dyDescent="0.2">
      <c r="A338" t="str">
        <f>Source_NS_Dashboard!B338</f>
        <v>Utrecht</v>
      </c>
      <c r="B338" t="s">
        <v>1161</v>
      </c>
      <c r="C338" t="str">
        <f>INDEX(Source_GM_code_CBS!B:B,MATCH(Calculation!B338,Source_GM_code_CBS!C:C,0))</f>
        <v>GM0344</v>
      </c>
      <c r="D338" t="str">
        <f>Source_NS_Dashboard!I338</f>
        <v>3.776 (2023)</v>
      </c>
      <c r="E338" t="str">
        <f t="shared" si="20"/>
        <v>3.776</v>
      </c>
      <c r="F338" s="9" t="str">
        <f t="shared" si="21"/>
        <v>3776</v>
      </c>
      <c r="G338">
        <f t="shared" si="22"/>
        <v>3776</v>
      </c>
      <c r="H338">
        <f t="shared" si="23"/>
        <v>1.495217560886756E-3</v>
      </c>
    </row>
    <row r="339" spans="1:8" x14ac:dyDescent="0.2">
      <c r="A339" t="str">
        <f>Source_NS_Dashboard!B339</f>
        <v>Utrecht</v>
      </c>
      <c r="B339" t="s">
        <v>1161</v>
      </c>
      <c r="C339" t="str">
        <f>INDEX(Source_GM_code_CBS!B:B,MATCH(Calculation!B339,Source_GM_code_CBS!C:C,0))</f>
        <v>GM0344</v>
      </c>
      <c r="D339" t="str">
        <f>Source_NS_Dashboard!I339</f>
        <v>8.931 (2024)</v>
      </c>
      <c r="E339" t="str">
        <f t="shared" si="20"/>
        <v>8.931</v>
      </c>
      <c r="F339" s="9" t="str">
        <f t="shared" si="21"/>
        <v>8931</v>
      </c>
      <c r="G339">
        <f t="shared" si="22"/>
        <v>8931</v>
      </c>
      <c r="H339">
        <f t="shared" si="23"/>
        <v>3.5364904757096442E-3</v>
      </c>
    </row>
    <row r="340" spans="1:8" x14ac:dyDescent="0.2">
      <c r="A340" t="str">
        <f>Source_NS_Dashboard!B340</f>
        <v>Utrecht</v>
      </c>
      <c r="B340" t="s">
        <v>1161</v>
      </c>
      <c r="C340" t="str">
        <f>INDEX(Source_GM_code_CBS!B:B,MATCH(Calculation!B340,Source_GM_code_CBS!C:C,0))</f>
        <v>GM0344</v>
      </c>
      <c r="D340" t="str">
        <f>Source_NS_Dashboard!I340</f>
        <v>2.366 (2023)</v>
      </c>
      <c r="E340" t="str">
        <f t="shared" si="20"/>
        <v>2.366</v>
      </c>
      <c r="F340" s="9" t="str">
        <f t="shared" si="21"/>
        <v>2366</v>
      </c>
      <c r="G340">
        <f t="shared" si="22"/>
        <v>2366</v>
      </c>
      <c r="H340">
        <f t="shared" si="23"/>
        <v>9.3688685091580098E-4</v>
      </c>
    </row>
    <row r="341" spans="1:8" x14ac:dyDescent="0.2">
      <c r="A341" t="str">
        <f>Source_NS_Dashboard!B341</f>
        <v>Valkenburg</v>
      </c>
      <c r="B341" s="6"/>
      <c r="C341" t="e">
        <f>INDEX(Source_GM_code_CBS!B:B,MATCH(Calculation!B341,Source_GM_code_CBS!C:C,0))</f>
        <v>#N/A</v>
      </c>
      <c r="D341" t="str">
        <f>Source_NS_Dashboard!I341</f>
        <v>-</v>
      </c>
      <c r="E341" t="str">
        <f t="shared" si="20"/>
        <v>0</v>
      </c>
      <c r="F341" s="9" t="str">
        <f t="shared" si="21"/>
        <v>0</v>
      </c>
      <c r="G341">
        <f t="shared" si="22"/>
        <v>0</v>
      </c>
      <c r="H341">
        <f t="shared" si="23"/>
        <v>0</v>
      </c>
    </row>
    <row r="342" spans="1:8" x14ac:dyDescent="0.2">
      <c r="A342" t="str">
        <f>Source_NS_Dashboard!B342</f>
        <v>Varsseveld</v>
      </c>
      <c r="B342" t="s">
        <v>2321</v>
      </c>
      <c r="C342" t="str">
        <f>INDEX(Source_GM_code_CBS!B:B,MATCH(Calculation!B342,Source_GM_code_CBS!C:C,0))</f>
        <v>GM1509</v>
      </c>
      <c r="D342" t="str">
        <f>Source_NS_Dashboard!I342</f>
        <v>556 (2005)</v>
      </c>
      <c r="E342" t="str">
        <f t="shared" si="20"/>
        <v>556</v>
      </c>
      <c r="F342" s="9" t="str">
        <f t="shared" si="21"/>
        <v>556</v>
      </c>
      <c r="G342">
        <f t="shared" si="22"/>
        <v>556</v>
      </c>
      <c r="H342">
        <f t="shared" si="23"/>
        <v>2.2016445017294394E-4</v>
      </c>
    </row>
    <row r="343" spans="1:8" x14ac:dyDescent="0.2">
      <c r="A343" t="str">
        <f>Source_NS_Dashboard!B343</f>
        <v>Veendam</v>
      </c>
      <c r="B343" t="s">
        <v>1199</v>
      </c>
      <c r="C343" t="str">
        <f>INDEX(Source_GM_code_CBS!B:B,MATCH(Calculation!B343,Source_GM_code_CBS!C:C,0))</f>
        <v>GM0345</v>
      </c>
      <c r="D343" t="str">
        <f>Source_NS_Dashboard!I343</f>
        <v>-</v>
      </c>
      <c r="E343" t="str">
        <f t="shared" si="20"/>
        <v>0</v>
      </c>
      <c r="F343" s="9" t="str">
        <f t="shared" si="21"/>
        <v>0</v>
      </c>
      <c r="G343">
        <f t="shared" si="22"/>
        <v>0</v>
      </c>
      <c r="H343">
        <f t="shared" si="23"/>
        <v>0</v>
      </c>
    </row>
    <row r="344" spans="1:8" x14ac:dyDescent="0.2">
      <c r="A344" t="str">
        <f>Source_NS_Dashboard!B344</f>
        <v>Veenendaal</v>
      </c>
      <c r="B344" t="s">
        <v>1199</v>
      </c>
      <c r="C344" t="str">
        <f>INDEX(Source_GM_code_CBS!B:B,MATCH(Calculation!B344,Source_GM_code_CBS!C:C,0))</f>
        <v>GM0345</v>
      </c>
      <c r="D344" t="str">
        <f>Source_NS_Dashboard!I344</f>
        <v>2.002 (2023)</v>
      </c>
      <c r="E344" t="str">
        <f t="shared" si="20"/>
        <v>2.002</v>
      </c>
      <c r="F344" s="9" t="str">
        <f t="shared" si="21"/>
        <v>2002</v>
      </c>
      <c r="G344">
        <f t="shared" si="22"/>
        <v>2002</v>
      </c>
      <c r="H344">
        <f t="shared" si="23"/>
        <v>7.9275041231337002E-4</v>
      </c>
    </row>
    <row r="345" spans="1:8" x14ac:dyDescent="0.2">
      <c r="A345" t="str">
        <f>Source_NS_Dashboard!B345</f>
        <v>De Klomp</v>
      </c>
      <c r="B345" t="s">
        <v>1199</v>
      </c>
      <c r="C345" t="str">
        <f>INDEX(Source_GM_code_CBS!B:B,MATCH(Calculation!B345,Source_GM_code_CBS!C:C,0))</f>
        <v>GM0345</v>
      </c>
      <c r="D345" t="str">
        <f>Source_NS_Dashboard!I345</f>
        <v>3.832 (2023)</v>
      </c>
      <c r="E345" t="str">
        <f t="shared" si="20"/>
        <v>3.832</v>
      </c>
      <c r="F345" s="9" t="str">
        <f t="shared" si="21"/>
        <v>3832</v>
      </c>
      <c r="G345">
        <f t="shared" si="22"/>
        <v>3832</v>
      </c>
      <c r="H345">
        <f t="shared" si="23"/>
        <v>1.5173923975948221E-3</v>
      </c>
    </row>
    <row r="346" spans="1:8" x14ac:dyDescent="0.2">
      <c r="A346" t="str">
        <f>Source_NS_Dashboard!B346</f>
        <v>Veenendaal</v>
      </c>
      <c r="B346" t="s">
        <v>1199</v>
      </c>
      <c r="C346" t="str">
        <f>INDEX(Source_GM_code_CBS!B:B,MATCH(Calculation!B346,Source_GM_code_CBS!C:C,0))</f>
        <v>GM0345</v>
      </c>
      <c r="D346" t="str">
        <f>Source_NS_Dashboard!I346</f>
        <v>1.250 (2023)</v>
      </c>
      <c r="E346" t="str">
        <f t="shared" si="20"/>
        <v>1.250</v>
      </c>
      <c r="F346" s="9" t="str">
        <f t="shared" si="21"/>
        <v>1250</v>
      </c>
      <c r="G346">
        <f t="shared" si="22"/>
        <v>1250</v>
      </c>
      <c r="H346">
        <f t="shared" si="23"/>
        <v>4.9497403366219404E-4</v>
      </c>
    </row>
    <row r="347" spans="1:8" x14ac:dyDescent="0.2">
      <c r="A347" t="str">
        <f>Source_NS_Dashboard!B347</f>
        <v>Velp</v>
      </c>
      <c r="B347" t="s">
        <v>985</v>
      </c>
      <c r="C347" t="str">
        <f>INDEX(Source_GM_code_CBS!B:B,MATCH(Calculation!B347,Source_GM_code_CBS!C:C,0))</f>
        <v>GM0275</v>
      </c>
      <c r="D347" t="str">
        <f>Source_NS_Dashboard!I347</f>
        <v>1.354 (2023)</v>
      </c>
      <c r="E347" t="str">
        <f t="shared" si="20"/>
        <v>1.354</v>
      </c>
      <c r="F347" s="9" t="str">
        <f t="shared" si="21"/>
        <v>1354</v>
      </c>
      <c r="G347">
        <f t="shared" si="22"/>
        <v>1354</v>
      </c>
      <c r="H347">
        <f t="shared" si="23"/>
        <v>5.3615587326288862E-4</v>
      </c>
    </row>
    <row r="348" spans="1:8" x14ac:dyDescent="0.2">
      <c r="A348" t="str">
        <f>Source_NS_Dashboard!B348</f>
        <v>Venlo</v>
      </c>
      <c r="B348" t="s">
        <v>1212</v>
      </c>
      <c r="C348" t="str">
        <f>INDEX(Source_GM_code_CBS!B:B,MATCH(Calculation!B348,Source_GM_code_CBS!C:C,0))</f>
        <v>GM0983</v>
      </c>
      <c r="D348" t="str">
        <f>Source_NS_Dashboard!I348</f>
        <v>3.227 (2023) (NS)</v>
      </c>
      <c r="E348" t="str">
        <f t="shared" si="20"/>
        <v>3.227</v>
      </c>
      <c r="F348" s="9" t="str">
        <f t="shared" si="21"/>
        <v>3227</v>
      </c>
      <c r="G348">
        <f t="shared" si="22"/>
        <v>3227</v>
      </c>
      <c r="H348">
        <f t="shared" si="23"/>
        <v>1.2778249653023202E-3</v>
      </c>
    </row>
    <row r="349" spans="1:8" x14ac:dyDescent="0.2">
      <c r="A349" t="str">
        <f>Source_NS_Dashboard!B349</f>
        <v>Oostrum</v>
      </c>
      <c r="B349" t="s">
        <v>1217</v>
      </c>
      <c r="C349" t="str">
        <f>INDEX(Source_GM_code_CBS!B:B,MATCH(Calculation!B349,Source_GM_code_CBS!C:C,0))</f>
        <v>GM0984</v>
      </c>
      <c r="D349" t="str">
        <f>Source_NS_Dashboard!I349</f>
        <v>-</v>
      </c>
      <c r="E349" t="str">
        <f t="shared" si="20"/>
        <v>0</v>
      </c>
      <c r="F349" s="9" t="str">
        <f t="shared" si="21"/>
        <v>0</v>
      </c>
      <c r="G349">
        <f t="shared" si="22"/>
        <v>0</v>
      </c>
      <c r="H349">
        <f t="shared" si="23"/>
        <v>0</v>
      </c>
    </row>
    <row r="350" spans="1:8" x14ac:dyDescent="0.2">
      <c r="A350" t="str">
        <f>Source_NS_Dashboard!B350</f>
        <v>Vierlingsbeek</v>
      </c>
      <c r="B350" t="s">
        <v>1810</v>
      </c>
      <c r="C350" t="str">
        <f>INDEX(Source_GM_code_CBS!B:B,MATCH(Calculation!B350,Source_GM_code_CBS!C:C,0))</f>
        <v>GM1982</v>
      </c>
      <c r="D350" t="str">
        <f>Source_NS_Dashboard!I350</f>
        <v>367 (2006)</v>
      </c>
      <c r="E350" t="str">
        <f t="shared" si="20"/>
        <v>367</v>
      </c>
      <c r="F350" s="9" t="str">
        <f t="shared" si="21"/>
        <v>367</v>
      </c>
      <c r="G350">
        <f t="shared" si="22"/>
        <v>367</v>
      </c>
      <c r="H350">
        <f t="shared" si="23"/>
        <v>1.4532437628322019E-4</v>
      </c>
    </row>
    <row r="351" spans="1:8" x14ac:dyDescent="0.2">
      <c r="A351" t="str">
        <f>Source_NS_Dashboard!B351</f>
        <v>Vleuten</v>
      </c>
      <c r="B351" t="s">
        <v>1161</v>
      </c>
      <c r="C351" t="str">
        <f>INDEX(Source_GM_code_CBS!B:B,MATCH(Calculation!B351,Source_GM_code_CBS!C:C,0))</f>
        <v>GM0344</v>
      </c>
      <c r="D351" t="str">
        <f>Source_NS_Dashboard!I351</f>
        <v>4.058 (2023)</v>
      </c>
      <c r="E351" t="str">
        <f t="shared" si="20"/>
        <v>4.058</v>
      </c>
      <c r="F351" s="9" t="str">
        <f t="shared" si="21"/>
        <v>4058</v>
      </c>
      <c r="G351">
        <f t="shared" si="22"/>
        <v>4058</v>
      </c>
      <c r="H351">
        <f t="shared" si="23"/>
        <v>1.6068837028809469E-3</v>
      </c>
    </row>
    <row r="352" spans="1:8" x14ac:dyDescent="0.2">
      <c r="A352" t="str">
        <f>Source_NS_Dashboard!B352</f>
        <v>Vlissingen</v>
      </c>
      <c r="B352" t="s">
        <v>1226</v>
      </c>
      <c r="C352" t="str">
        <f>INDEX(Source_GM_code_CBS!B:B,MATCH(Calculation!B352,Source_GM_code_CBS!C:C,0))</f>
        <v>GM0718</v>
      </c>
      <c r="D352" t="str">
        <f>Source_NS_Dashboard!I352</f>
        <v>2.005 (2023)</v>
      </c>
      <c r="E352" t="str">
        <f t="shared" si="20"/>
        <v>2.005</v>
      </c>
      <c r="F352" s="9" t="str">
        <f t="shared" si="21"/>
        <v>2005</v>
      </c>
      <c r="G352">
        <f t="shared" si="22"/>
        <v>2005</v>
      </c>
      <c r="H352">
        <f t="shared" si="23"/>
        <v>7.9393834999415931E-4</v>
      </c>
    </row>
    <row r="353" spans="1:8" x14ac:dyDescent="0.2">
      <c r="A353" t="str">
        <f>Source_NS_Dashboard!B353</f>
        <v>Vlissingen</v>
      </c>
      <c r="B353" t="s">
        <v>1226</v>
      </c>
      <c r="C353" t="str">
        <f>INDEX(Source_GM_code_CBS!B:B,MATCH(Calculation!B353,Source_GM_code_CBS!C:C,0))</f>
        <v>GM0718</v>
      </c>
      <c r="D353" t="str">
        <f>Source_NS_Dashboard!I353</f>
        <v>754 (2023)</v>
      </c>
      <c r="E353" t="str">
        <f t="shared" si="20"/>
        <v>754</v>
      </c>
      <c r="F353" s="9" t="str">
        <f t="shared" si="21"/>
        <v>754</v>
      </c>
      <c r="G353">
        <f t="shared" si="22"/>
        <v>754</v>
      </c>
      <c r="H353">
        <f t="shared" si="23"/>
        <v>2.9856833710503549E-4</v>
      </c>
    </row>
    <row r="354" spans="1:8" x14ac:dyDescent="0.2">
      <c r="A354" t="str">
        <f>Source_NS_Dashboard!B354</f>
        <v>Voerendaal</v>
      </c>
      <c r="B354" t="s">
        <v>1232</v>
      </c>
      <c r="C354" t="str">
        <f>INDEX(Source_GM_code_CBS!B:B,MATCH(Calculation!B354,Source_GM_code_CBS!C:C,0))</f>
        <v>GM0986</v>
      </c>
      <c r="D354" t="str">
        <f>Source_NS_Dashboard!I354</f>
        <v>-</v>
      </c>
      <c r="E354" t="str">
        <f t="shared" si="20"/>
        <v>0</v>
      </c>
      <c r="F354" s="9" t="str">
        <f t="shared" si="21"/>
        <v>0</v>
      </c>
      <c r="G354">
        <f t="shared" si="22"/>
        <v>0</v>
      </c>
      <c r="H354">
        <f t="shared" si="23"/>
        <v>0</v>
      </c>
    </row>
    <row r="355" spans="1:8" x14ac:dyDescent="0.2">
      <c r="A355" t="str">
        <f>Source_NS_Dashboard!B355</f>
        <v>Voorburg</v>
      </c>
      <c r="B355" t="s">
        <v>1831</v>
      </c>
      <c r="C355" t="str">
        <f>INDEX(Source_GM_code_CBS!B:B,MATCH(Calculation!B355,Source_GM_code_CBS!C:C,0))</f>
        <v>GM1916</v>
      </c>
      <c r="D355" t="str">
        <f>Source_NS_Dashboard!I355</f>
        <v>1.354 (2023)</v>
      </c>
      <c r="E355" t="str">
        <f t="shared" si="20"/>
        <v>1.354</v>
      </c>
      <c r="F355" s="9" t="str">
        <f t="shared" si="21"/>
        <v>1354</v>
      </c>
      <c r="G355">
        <f t="shared" si="22"/>
        <v>1354</v>
      </c>
      <c r="H355">
        <f t="shared" si="23"/>
        <v>5.3615587326288862E-4</v>
      </c>
    </row>
    <row r="356" spans="1:8" x14ac:dyDescent="0.2">
      <c r="A356" t="str">
        <f>Source_NS_Dashboard!B356</f>
        <v>Voorhout</v>
      </c>
      <c r="B356" t="s">
        <v>2132</v>
      </c>
      <c r="C356" t="str">
        <f>INDEX(Source_GM_code_CBS!B:B,MATCH(Calculation!B356,Source_GM_code_CBS!C:C,0))</f>
        <v>GM1525</v>
      </c>
      <c r="D356" t="str">
        <f>Source_NS_Dashboard!I356</f>
        <v>2.815 (2023)</v>
      </c>
      <c r="E356" t="str">
        <f t="shared" si="20"/>
        <v>2.815</v>
      </c>
      <c r="F356" s="9" t="str">
        <f t="shared" si="21"/>
        <v>2815</v>
      </c>
      <c r="G356">
        <f t="shared" si="22"/>
        <v>2815</v>
      </c>
      <c r="H356">
        <f t="shared" si="23"/>
        <v>1.114681523807261E-3</v>
      </c>
    </row>
    <row r="357" spans="1:8" x14ac:dyDescent="0.2">
      <c r="A357" t="str">
        <f>Source_NS_Dashboard!B357</f>
        <v>Voorschoten</v>
      </c>
      <c r="B357" t="s">
        <v>1240</v>
      </c>
      <c r="C357" t="str">
        <f>INDEX(Source_GM_code_CBS!B:B,MATCH(Calculation!B357,Source_GM_code_CBS!C:C,0))</f>
        <v>GM0626</v>
      </c>
      <c r="D357" t="str">
        <f>Source_NS_Dashboard!I357</f>
        <v>2.839 (2023)</v>
      </c>
      <c r="E357" t="str">
        <f t="shared" si="20"/>
        <v>2.839</v>
      </c>
      <c r="F357" s="9" t="str">
        <f t="shared" si="21"/>
        <v>2839</v>
      </c>
      <c r="G357">
        <f t="shared" si="22"/>
        <v>2839</v>
      </c>
      <c r="H357">
        <f t="shared" si="23"/>
        <v>1.1241850252535753E-3</v>
      </c>
    </row>
    <row r="358" spans="1:8" x14ac:dyDescent="0.2">
      <c r="A358" t="str">
        <f>Source_NS_Dashboard!B358</f>
        <v>Empe</v>
      </c>
      <c r="B358" s="6"/>
      <c r="C358" t="e">
        <f>INDEX(Source_GM_code_CBS!B:B,MATCH(Calculation!B358,Source_GM_code_CBS!C:C,0))</f>
        <v>#N/A</v>
      </c>
      <c r="D358" t="str">
        <f>Source_NS_Dashboard!I358</f>
        <v>-</v>
      </c>
      <c r="E358" t="str">
        <f t="shared" si="20"/>
        <v>0</v>
      </c>
      <c r="F358" s="9" t="str">
        <f t="shared" si="21"/>
        <v>0</v>
      </c>
      <c r="G358">
        <f t="shared" si="22"/>
        <v>0</v>
      </c>
      <c r="H358">
        <f t="shared" si="23"/>
        <v>0</v>
      </c>
    </row>
    <row r="359" spans="1:8" x14ac:dyDescent="0.2">
      <c r="A359" t="str">
        <f>Source_NS_Dashboard!B359</f>
        <v>Vorden</v>
      </c>
      <c r="B359" s="6"/>
      <c r="C359" t="e">
        <f>INDEX(Source_GM_code_CBS!B:B,MATCH(Calculation!B359,Source_GM_code_CBS!C:C,0))</f>
        <v>#N/A</v>
      </c>
      <c r="D359" t="str">
        <f>Source_NS_Dashboard!I359</f>
        <v>-</v>
      </c>
      <c r="E359" t="str">
        <f t="shared" si="20"/>
        <v>0</v>
      </c>
      <c r="F359" s="9" t="str">
        <f t="shared" si="21"/>
        <v>0</v>
      </c>
      <c r="G359">
        <f t="shared" si="22"/>
        <v>0</v>
      </c>
      <c r="H359">
        <f t="shared" si="23"/>
        <v>0</v>
      </c>
    </row>
    <row r="360" spans="1:8" x14ac:dyDescent="0.2">
      <c r="A360" t="str">
        <f>Source_NS_Dashboard!B360</f>
        <v>Vriezenveen</v>
      </c>
      <c r="B360" s="6"/>
      <c r="C360" t="e">
        <f>INDEX(Source_GM_code_CBS!B:B,MATCH(Calculation!B360,Source_GM_code_CBS!C:C,0))</f>
        <v>#N/A</v>
      </c>
      <c r="D360" t="str">
        <f>Source_NS_Dashboard!I360</f>
        <v>-</v>
      </c>
      <c r="E360" t="str">
        <f t="shared" si="20"/>
        <v>0</v>
      </c>
      <c r="F360" s="9" t="str">
        <f t="shared" si="21"/>
        <v>0</v>
      </c>
      <c r="G360">
        <f t="shared" si="22"/>
        <v>0</v>
      </c>
      <c r="H360">
        <f t="shared" si="23"/>
        <v>0</v>
      </c>
    </row>
    <row r="361" spans="1:8" x14ac:dyDescent="0.2">
      <c r="A361" t="str">
        <f>Source_NS_Dashboard!B361</f>
        <v>Vroomshoop</v>
      </c>
      <c r="B361" s="6"/>
      <c r="C361" t="e">
        <f>INDEX(Source_GM_code_CBS!B:B,MATCH(Calculation!B361,Source_GM_code_CBS!C:C,0))</f>
        <v>#N/A</v>
      </c>
      <c r="D361" t="str">
        <f>Source_NS_Dashboard!I361</f>
        <v>-</v>
      </c>
      <c r="E361" t="str">
        <f t="shared" si="20"/>
        <v>0</v>
      </c>
      <c r="F361" s="9" t="str">
        <f t="shared" si="21"/>
        <v>0</v>
      </c>
      <c r="G361">
        <f t="shared" si="22"/>
        <v>0</v>
      </c>
      <c r="H361">
        <f t="shared" si="23"/>
        <v>0</v>
      </c>
    </row>
    <row r="362" spans="1:8" x14ac:dyDescent="0.2">
      <c r="A362" t="str">
        <f>Source_NS_Dashboard!B362</f>
        <v>Vught</v>
      </c>
      <c r="B362" t="s">
        <v>1252</v>
      </c>
      <c r="C362" t="str">
        <f>INDEX(Source_GM_code_CBS!B:B,MATCH(Calculation!B362,Source_GM_code_CBS!C:C,0))</f>
        <v>GM0865</v>
      </c>
      <c r="D362" t="str">
        <f>Source_NS_Dashboard!I362</f>
        <v>1.649 (2023)</v>
      </c>
      <c r="E362" t="str">
        <f t="shared" si="20"/>
        <v>1.649</v>
      </c>
      <c r="F362" s="9" t="str">
        <f t="shared" si="21"/>
        <v>1649</v>
      </c>
      <c r="G362">
        <f t="shared" si="22"/>
        <v>1649</v>
      </c>
      <c r="H362">
        <f t="shared" si="23"/>
        <v>6.5296974520716647E-4</v>
      </c>
    </row>
    <row r="363" spans="1:8" x14ac:dyDescent="0.2">
      <c r="A363" t="str">
        <f>Source_NS_Dashboard!B363</f>
        <v>Waddinxveen</v>
      </c>
      <c r="B363" t="s">
        <v>1255</v>
      </c>
      <c r="C363" t="str">
        <f>INDEX(Source_GM_code_CBS!B:B,MATCH(Calculation!B363,Source_GM_code_CBS!C:C,0))</f>
        <v>GM0627</v>
      </c>
      <c r="D363" t="str">
        <f>Source_NS_Dashboard!I363</f>
        <v>1.596 (2023)</v>
      </c>
      <c r="E363" t="str">
        <f t="shared" si="20"/>
        <v>1.596</v>
      </c>
      <c r="F363" s="9" t="str">
        <f t="shared" si="21"/>
        <v>1596</v>
      </c>
      <c r="G363">
        <f t="shared" si="22"/>
        <v>1596</v>
      </c>
      <c r="H363">
        <f t="shared" si="23"/>
        <v>6.319828461798894E-4</v>
      </c>
    </row>
    <row r="364" spans="1:8" x14ac:dyDescent="0.2">
      <c r="A364" t="str">
        <f>Source_NS_Dashboard!B364</f>
        <v>Waddinxveen</v>
      </c>
      <c r="B364" t="s">
        <v>1255</v>
      </c>
      <c r="C364" t="str">
        <f>INDEX(Source_GM_code_CBS!B:B,MATCH(Calculation!B364,Source_GM_code_CBS!C:C,0))</f>
        <v>GM0627</v>
      </c>
      <c r="D364" t="str">
        <f>Source_NS_Dashboard!I364</f>
        <v>804 (2023)</v>
      </c>
      <c r="E364" t="str">
        <f t="shared" si="20"/>
        <v>804</v>
      </c>
      <c r="F364" s="9" t="str">
        <f t="shared" si="21"/>
        <v>804</v>
      </c>
      <c r="G364">
        <f t="shared" si="22"/>
        <v>804</v>
      </c>
      <c r="H364">
        <f t="shared" si="23"/>
        <v>3.1836729845152322E-4</v>
      </c>
    </row>
    <row r="365" spans="1:8" x14ac:dyDescent="0.2">
      <c r="A365" t="str">
        <f>Source_NS_Dashboard!B365</f>
        <v>Waddinxveen</v>
      </c>
      <c r="B365" t="s">
        <v>1255</v>
      </c>
      <c r="C365" t="str">
        <f>INDEX(Source_GM_code_CBS!B:B,MATCH(Calculation!B365,Source_GM_code_CBS!C:C,0))</f>
        <v>GM0627</v>
      </c>
      <c r="D365" t="str">
        <f>Source_NS_Dashboard!I365</f>
        <v>942 (2023)</v>
      </c>
      <c r="E365" t="str">
        <f t="shared" si="20"/>
        <v>942</v>
      </c>
      <c r="F365" s="9" t="str">
        <f t="shared" si="21"/>
        <v>942</v>
      </c>
      <c r="G365">
        <f t="shared" si="22"/>
        <v>942</v>
      </c>
      <c r="H365">
        <f t="shared" si="23"/>
        <v>3.7301243176782948E-4</v>
      </c>
    </row>
    <row r="366" spans="1:8" x14ac:dyDescent="0.2">
      <c r="A366" t="str">
        <f>Source_NS_Dashboard!B366</f>
        <v>Warffum</v>
      </c>
      <c r="B366" t="s">
        <v>1761</v>
      </c>
      <c r="C366" t="str">
        <f>INDEX(Source_GM_code_CBS!B:B,MATCH(Calculation!B366,Source_GM_code_CBS!C:C,0))</f>
        <v>GM1966</v>
      </c>
      <c r="D366" t="str">
        <f>Source_NS_Dashboard!I366</f>
        <v>843 (2009)</v>
      </c>
      <c r="E366" t="str">
        <f t="shared" si="20"/>
        <v>843</v>
      </c>
      <c r="F366" s="9" t="str">
        <f t="shared" si="21"/>
        <v>843</v>
      </c>
      <c r="G366">
        <f t="shared" si="22"/>
        <v>843</v>
      </c>
      <c r="H366">
        <f t="shared" si="23"/>
        <v>3.338104883017837E-4</v>
      </c>
    </row>
    <row r="367" spans="1:8" x14ac:dyDescent="0.2">
      <c r="A367" t="str">
        <f>Source_NS_Dashboard!B367</f>
        <v>Weert</v>
      </c>
      <c r="B367" t="s">
        <v>1267</v>
      </c>
      <c r="C367" t="str">
        <f>INDEX(Source_GM_code_CBS!B:B,MATCH(Calculation!B367,Source_GM_code_CBS!C:C,0))</f>
        <v>GM0988</v>
      </c>
      <c r="D367" t="str">
        <f>Source_NS_Dashboard!I367</f>
        <v>6.738 (2024) (NS)</v>
      </c>
      <c r="E367" t="str">
        <f t="shared" si="20"/>
        <v>6.738</v>
      </c>
      <c r="F367" s="9" t="str">
        <f t="shared" si="21"/>
        <v>6738</v>
      </c>
      <c r="G367">
        <f t="shared" si="22"/>
        <v>6738</v>
      </c>
      <c r="H367">
        <f t="shared" si="23"/>
        <v>2.668108031052691E-3</v>
      </c>
    </row>
    <row r="368" spans="1:8" x14ac:dyDescent="0.2">
      <c r="A368" t="str">
        <f>Source_NS_Dashboard!B368</f>
        <v>Weesp</v>
      </c>
      <c r="B368" t="s">
        <v>81</v>
      </c>
      <c r="C368" t="str">
        <f>INDEX(Source_GM_code_CBS!B:B,MATCH(Calculation!B368,Source_GM_code_CBS!C:C,0))</f>
        <v>GM0363</v>
      </c>
      <c r="D368" t="str">
        <f>Source_NS_Dashboard!I368</f>
        <v>13.907 (2024)</v>
      </c>
      <c r="E368" t="str">
        <f t="shared" si="20"/>
        <v>13.907</v>
      </c>
      <c r="F368" s="9" t="str">
        <f t="shared" si="21"/>
        <v>13907</v>
      </c>
      <c r="G368">
        <f t="shared" si="22"/>
        <v>13907</v>
      </c>
      <c r="H368">
        <f t="shared" si="23"/>
        <v>5.5068831089121065E-3</v>
      </c>
    </row>
    <row r="369" spans="1:8" x14ac:dyDescent="0.2">
      <c r="A369" t="str">
        <f>Source_NS_Dashboard!B369</f>
        <v>Wehl</v>
      </c>
      <c r="B369" t="s">
        <v>416</v>
      </c>
      <c r="C369" t="str">
        <f>INDEX(Source_GM_code_CBS!B:B,MATCH(Calculation!B369,Source_GM_code_CBS!C:C,0))</f>
        <v>GM0222</v>
      </c>
      <c r="D369" t="str">
        <f>Source_NS_Dashboard!I369</f>
        <v>592 (2005)</v>
      </c>
      <c r="E369" t="str">
        <f t="shared" si="20"/>
        <v>592</v>
      </c>
      <c r="F369" s="9" t="str">
        <f t="shared" si="21"/>
        <v>592</v>
      </c>
      <c r="G369">
        <f t="shared" si="22"/>
        <v>592</v>
      </c>
      <c r="H369">
        <f t="shared" si="23"/>
        <v>2.3441970234241511E-4</v>
      </c>
    </row>
    <row r="370" spans="1:8" x14ac:dyDescent="0.2">
      <c r="A370" t="str">
        <f>Source_NS_Dashboard!B370</f>
        <v>Westervoort</v>
      </c>
      <c r="B370" t="s">
        <v>1278</v>
      </c>
      <c r="C370" t="str">
        <f>INDEX(Source_GM_code_CBS!B:B,MATCH(Calculation!B370,Source_GM_code_CBS!C:C,0))</f>
        <v>GM0293</v>
      </c>
      <c r="D370" t="str">
        <f>Source_NS_Dashboard!I370</f>
        <v>-</v>
      </c>
      <c r="E370" t="str">
        <f t="shared" si="20"/>
        <v>0</v>
      </c>
      <c r="F370" s="9" t="str">
        <f t="shared" si="21"/>
        <v>0</v>
      </c>
      <c r="G370">
        <f t="shared" si="22"/>
        <v>0</v>
      </c>
      <c r="H370">
        <f t="shared" si="23"/>
        <v>0</v>
      </c>
    </row>
    <row r="371" spans="1:8" x14ac:dyDescent="0.2">
      <c r="A371" t="str">
        <f>Source_NS_Dashboard!B371</f>
        <v>Wezep</v>
      </c>
      <c r="B371" t="s">
        <v>1959</v>
      </c>
      <c r="C371" t="str">
        <f>INDEX(Source_GM_code_CBS!B:B,MATCH(Calculation!B371,Source_GM_code_CBS!C:C,0))</f>
        <v>GM0269</v>
      </c>
      <c r="D371" t="str">
        <f>Source_NS_Dashboard!I371</f>
        <v>927 (2023)</v>
      </c>
      <c r="E371" t="str">
        <f t="shared" si="20"/>
        <v>927</v>
      </c>
      <c r="F371" s="9" t="str">
        <f t="shared" si="21"/>
        <v>927</v>
      </c>
      <c r="G371">
        <f t="shared" si="22"/>
        <v>927</v>
      </c>
      <c r="H371">
        <f t="shared" si="23"/>
        <v>3.6707274336388312E-4</v>
      </c>
    </row>
    <row r="372" spans="1:8" x14ac:dyDescent="0.2">
      <c r="A372" t="str">
        <f>Source_NS_Dashboard!B372</f>
        <v>Wierden</v>
      </c>
      <c r="B372" t="s">
        <v>1283</v>
      </c>
      <c r="C372" t="str">
        <f>INDEX(Source_GM_code_CBS!B:B,MATCH(Calculation!B372,Source_GM_code_CBS!C:C,0))</f>
        <v>GM0189</v>
      </c>
      <c r="D372" t="str">
        <f>Source_NS_Dashboard!I372</f>
        <v>1.076 (2023) (NS)</v>
      </c>
      <c r="E372" t="str">
        <f t="shared" si="20"/>
        <v>1.076</v>
      </c>
      <c r="F372" s="9" t="str">
        <f t="shared" si="21"/>
        <v>1076</v>
      </c>
      <c r="G372">
        <f t="shared" si="22"/>
        <v>1076</v>
      </c>
      <c r="H372">
        <f t="shared" si="23"/>
        <v>4.2607364817641669E-4</v>
      </c>
    </row>
    <row r="373" spans="1:8" x14ac:dyDescent="0.2">
      <c r="A373" t="str">
        <f>Source_NS_Dashboard!B373</f>
        <v>Wijchen</v>
      </c>
      <c r="B373" t="s">
        <v>1287</v>
      </c>
      <c r="C373" t="str">
        <f>INDEX(Source_GM_code_CBS!B:B,MATCH(Calculation!B373,Source_GM_code_CBS!C:C,0))</f>
        <v>GM0296</v>
      </c>
      <c r="D373" t="str">
        <f>Source_NS_Dashboard!I373</f>
        <v>3.890 (2023)</v>
      </c>
      <c r="E373" t="str">
        <f t="shared" si="20"/>
        <v>3.890</v>
      </c>
      <c r="F373" s="9" t="str">
        <f t="shared" si="21"/>
        <v>3890</v>
      </c>
      <c r="G373">
        <f t="shared" si="22"/>
        <v>3890</v>
      </c>
      <c r="H373">
        <f t="shared" si="23"/>
        <v>1.5403591927567479E-3</v>
      </c>
    </row>
    <row r="374" spans="1:8" x14ac:dyDescent="0.2">
      <c r="A374" t="str">
        <f>Source_NS_Dashboard!B374</f>
        <v>Wijhe</v>
      </c>
      <c r="B374" t="s">
        <v>1964</v>
      </c>
      <c r="C374" t="str">
        <f>INDEX(Source_GM_code_CBS!B:B,MATCH(Calculation!B374,Source_GM_code_CBS!C:C,0))</f>
        <v>GM1773</v>
      </c>
      <c r="D374" t="str">
        <f>Source_NS_Dashboard!I374</f>
        <v>983 (2023)</v>
      </c>
      <c r="E374" t="str">
        <f t="shared" si="20"/>
        <v>983</v>
      </c>
      <c r="F374" s="9" t="str">
        <f t="shared" si="21"/>
        <v>983</v>
      </c>
      <c r="G374">
        <f t="shared" si="22"/>
        <v>983</v>
      </c>
      <c r="H374">
        <f t="shared" si="23"/>
        <v>3.8924758007194941E-4</v>
      </c>
    </row>
    <row r="375" spans="1:8" x14ac:dyDescent="0.2">
      <c r="A375" t="str">
        <f>Source_NS_Dashboard!B375</f>
        <v>Winschoten</v>
      </c>
      <c r="B375" t="s">
        <v>1956</v>
      </c>
      <c r="C375" t="str">
        <f>INDEX(Source_GM_code_CBS!B:B,MATCH(Calculation!B375,Source_GM_code_CBS!C:C,0))</f>
        <v>GM1895</v>
      </c>
      <c r="D375" t="str">
        <f>Source_NS_Dashboard!I375</f>
        <v>2.619 (2009)</v>
      </c>
      <c r="E375" t="str">
        <f t="shared" si="20"/>
        <v>2.619</v>
      </c>
      <c r="F375" s="9" t="str">
        <f t="shared" si="21"/>
        <v>2619</v>
      </c>
      <c r="G375">
        <f t="shared" si="22"/>
        <v>2619</v>
      </c>
      <c r="H375">
        <f t="shared" si="23"/>
        <v>1.037069595329029E-3</v>
      </c>
    </row>
    <row r="376" spans="1:8" x14ac:dyDescent="0.2">
      <c r="A376" t="str">
        <f>Source_NS_Dashboard!B376</f>
        <v>Winsum</v>
      </c>
      <c r="B376" t="s">
        <v>1761</v>
      </c>
      <c r="C376" t="str">
        <f>INDEX(Source_GM_code_CBS!B:B,MATCH(Calculation!B376,Source_GM_code_CBS!C:C,0))</f>
        <v>GM1966</v>
      </c>
      <c r="D376" t="str">
        <f>Source_NS_Dashboard!I376</f>
        <v>2.265 (2009)</v>
      </c>
      <c r="E376" t="str">
        <f t="shared" si="20"/>
        <v>2.265</v>
      </c>
      <c r="F376" s="9" t="str">
        <f t="shared" si="21"/>
        <v>2265</v>
      </c>
      <c r="G376">
        <f t="shared" si="22"/>
        <v>2265</v>
      </c>
      <c r="H376">
        <f t="shared" si="23"/>
        <v>8.9689294899589569E-4</v>
      </c>
    </row>
    <row r="377" spans="1:8" x14ac:dyDescent="0.2">
      <c r="A377" t="str">
        <f>Source_NS_Dashboard!B377</f>
        <v>Winterswijk</v>
      </c>
      <c r="B377" t="s">
        <v>1299</v>
      </c>
      <c r="C377" t="str">
        <f>INDEX(Source_GM_code_CBS!B:B,MATCH(Calculation!B377,Source_GM_code_CBS!C:C,0))</f>
        <v>GM0294</v>
      </c>
      <c r="D377" t="str">
        <f>Source_NS_Dashboard!I377</f>
        <v>3.844 (2015)</v>
      </c>
      <c r="E377" t="str">
        <f t="shared" si="20"/>
        <v>3.844</v>
      </c>
      <c r="F377" s="9" t="str">
        <f t="shared" si="21"/>
        <v>3844</v>
      </c>
      <c r="G377">
        <f t="shared" si="22"/>
        <v>3844</v>
      </c>
      <c r="H377">
        <f t="shared" si="23"/>
        <v>1.5221441483179792E-3</v>
      </c>
    </row>
    <row r="378" spans="1:8" x14ac:dyDescent="0.2">
      <c r="A378" t="str">
        <f>Source_NS_Dashboard!B378</f>
        <v>Winterswijk</v>
      </c>
      <c r="B378" t="s">
        <v>1299</v>
      </c>
      <c r="C378" t="str">
        <f>INDEX(Source_GM_code_CBS!B:B,MATCH(Calculation!B378,Source_GM_code_CBS!C:C,0))</f>
        <v>GM0294</v>
      </c>
      <c r="D378" t="str">
        <f>Source_NS_Dashboard!I378</f>
        <v>-</v>
      </c>
      <c r="E378" t="str">
        <f t="shared" si="20"/>
        <v>0</v>
      </c>
      <c r="F378" s="9" t="str">
        <f t="shared" si="21"/>
        <v>0</v>
      </c>
      <c r="G378">
        <f t="shared" si="22"/>
        <v>0</v>
      </c>
      <c r="H378">
        <f t="shared" si="23"/>
        <v>0</v>
      </c>
    </row>
    <row r="379" spans="1:8" x14ac:dyDescent="0.2">
      <c r="A379" t="str">
        <f>Source_NS_Dashboard!B379</f>
        <v>Woerden</v>
      </c>
      <c r="B379" t="s">
        <v>1305</v>
      </c>
      <c r="C379" t="str">
        <f>INDEX(Source_GM_code_CBS!B:B,MATCH(Calculation!B379,Source_GM_code_CBS!C:C,0))</f>
        <v>GM0632</v>
      </c>
      <c r="D379" t="str">
        <f>Source_NS_Dashboard!I379</f>
        <v>13.157 (2024)</v>
      </c>
      <c r="E379" t="str">
        <f t="shared" si="20"/>
        <v>13.157</v>
      </c>
      <c r="F379" s="9" t="str">
        <f t="shared" si="21"/>
        <v>13157</v>
      </c>
      <c r="G379">
        <f t="shared" si="22"/>
        <v>13157</v>
      </c>
      <c r="H379">
        <f t="shared" si="23"/>
        <v>5.2098986887147902E-3</v>
      </c>
    </row>
    <row r="380" spans="1:8" x14ac:dyDescent="0.2">
      <c r="A380" t="str">
        <f>Source_NS_Dashboard!B380</f>
        <v>Wolfheze</v>
      </c>
      <c r="B380" t="s">
        <v>2022</v>
      </c>
      <c r="C380" t="str">
        <f>INDEX(Source_GM_code_CBS!B:B,MATCH(Calculation!B380,Source_GM_code_CBS!C:C,0))</f>
        <v>GM0274</v>
      </c>
      <c r="D380" t="str">
        <f>Source_NS_Dashboard!I380</f>
        <v>572 (2023)</v>
      </c>
      <c r="E380" t="str">
        <f t="shared" si="20"/>
        <v>572</v>
      </c>
      <c r="F380" s="9" t="str">
        <f t="shared" si="21"/>
        <v>572</v>
      </c>
      <c r="G380">
        <f t="shared" si="22"/>
        <v>572</v>
      </c>
      <c r="H380">
        <f t="shared" si="23"/>
        <v>2.2650011780382001E-4</v>
      </c>
    </row>
    <row r="381" spans="1:8" x14ac:dyDescent="0.2">
      <c r="A381" t="str">
        <f>Source_NS_Dashboard!B381</f>
        <v>Wolvega</v>
      </c>
      <c r="B381" t="s">
        <v>2258</v>
      </c>
      <c r="C381" t="str">
        <f>INDEX(Source_GM_code_CBS!B:B,MATCH(Calculation!B381,Source_GM_code_CBS!C:C,0))</f>
        <v>GM0098</v>
      </c>
      <c r="D381" t="str">
        <f>Source_NS_Dashboard!I381</f>
        <v>1.355 (2023)</v>
      </c>
      <c r="E381" t="str">
        <f t="shared" si="20"/>
        <v>1.355</v>
      </c>
      <c r="F381" s="9" t="str">
        <f t="shared" si="21"/>
        <v>1355</v>
      </c>
      <c r="G381">
        <f t="shared" si="22"/>
        <v>1355</v>
      </c>
      <c r="H381">
        <f t="shared" si="23"/>
        <v>5.3655185248981834E-4</v>
      </c>
    </row>
    <row r="382" spans="1:8" x14ac:dyDescent="0.2">
      <c r="A382" t="str">
        <f>Source_NS_Dashboard!B382</f>
        <v>Workum</v>
      </c>
      <c r="B382" t="s">
        <v>2120</v>
      </c>
      <c r="C382" t="str">
        <f>INDEX(Source_GM_code_CBS!B:B,MATCH(Calculation!B382,Source_GM_code_CBS!C:C,0))</f>
        <v>GM1900</v>
      </c>
      <c r="D382" t="str">
        <f>Source_NS_Dashboard!I382</f>
        <v>423 (2009)</v>
      </c>
      <c r="E382" t="str">
        <f t="shared" si="20"/>
        <v>423</v>
      </c>
      <c r="F382" s="9" t="str">
        <f t="shared" si="21"/>
        <v>423</v>
      </c>
      <c r="G382">
        <f t="shared" si="22"/>
        <v>423</v>
      </c>
      <c r="H382">
        <f t="shared" si="23"/>
        <v>1.6749921299128649E-4</v>
      </c>
    </row>
    <row r="383" spans="1:8" x14ac:dyDescent="0.2">
      <c r="A383" t="str">
        <f>Source_NS_Dashboard!B383</f>
        <v>Wormerveer</v>
      </c>
      <c r="B383" t="s">
        <v>2287</v>
      </c>
      <c r="C383" t="str">
        <f>INDEX(Source_GM_code_CBS!B:B,MATCH(Calculation!B383,Source_GM_code_CBS!C:C,0))</f>
        <v>GM0479</v>
      </c>
      <c r="D383" t="str">
        <f>Source_NS_Dashboard!I383</f>
        <v>3.490 (2023)</v>
      </c>
      <c r="E383" t="str">
        <f t="shared" si="20"/>
        <v>3.490</v>
      </c>
      <c r="F383" s="9" t="str">
        <f t="shared" si="21"/>
        <v>3490</v>
      </c>
      <c r="G383">
        <f t="shared" si="22"/>
        <v>3490</v>
      </c>
      <c r="H383">
        <f t="shared" si="23"/>
        <v>1.3819675019848458E-3</v>
      </c>
    </row>
    <row r="384" spans="1:8" x14ac:dyDescent="0.2">
      <c r="A384" t="str">
        <f>Source_NS_Dashboard!B384</f>
        <v>Zaandam</v>
      </c>
      <c r="B384" t="s">
        <v>2287</v>
      </c>
      <c r="C384" t="str">
        <f>INDEX(Source_GM_code_CBS!B:B,MATCH(Calculation!B384,Source_GM_code_CBS!C:C,0))</f>
        <v>GM0479</v>
      </c>
      <c r="D384" t="str">
        <f>Source_NS_Dashboard!I384</f>
        <v>23.093 (2023)</v>
      </c>
      <c r="E384" t="str">
        <f t="shared" si="20"/>
        <v>23.093</v>
      </c>
      <c r="F384" s="9" t="str">
        <f t="shared" si="21"/>
        <v>23093</v>
      </c>
      <c r="G384">
        <f t="shared" si="22"/>
        <v>23093</v>
      </c>
      <c r="H384">
        <f t="shared" si="23"/>
        <v>9.1443482874888384E-3</v>
      </c>
    </row>
    <row r="385" spans="1:8" x14ac:dyDescent="0.2">
      <c r="A385" t="str">
        <f>Source_NS_Dashboard!B385</f>
        <v>Zaandam</v>
      </c>
      <c r="B385" t="s">
        <v>2287</v>
      </c>
      <c r="C385" t="str">
        <f>INDEX(Source_GM_code_CBS!B:B,MATCH(Calculation!B385,Source_GM_code_CBS!C:C,0))</f>
        <v>GM0479</v>
      </c>
      <c r="D385" t="str">
        <f>Source_NS_Dashboard!I385</f>
        <v>1.349 (2023)</v>
      </c>
      <c r="E385" t="str">
        <f t="shared" si="20"/>
        <v>1.349</v>
      </c>
      <c r="F385" s="9" t="str">
        <f t="shared" si="21"/>
        <v>1349</v>
      </c>
      <c r="G385">
        <f t="shared" si="22"/>
        <v>1349</v>
      </c>
      <c r="H385">
        <f t="shared" si="23"/>
        <v>5.3417597712823988E-4</v>
      </c>
    </row>
    <row r="386" spans="1:8" x14ac:dyDescent="0.2">
      <c r="A386" t="str">
        <f>Source_NS_Dashboard!B386</f>
        <v>Zaandijk</v>
      </c>
      <c r="B386" t="s">
        <v>2287</v>
      </c>
      <c r="C386" t="str">
        <f>INDEX(Source_GM_code_CBS!B:B,MATCH(Calculation!B386,Source_GM_code_CBS!C:C,0))</f>
        <v>GM0479</v>
      </c>
      <c r="D386" t="str">
        <f>Source_NS_Dashboard!I386</f>
        <v>3.677 (2023)</v>
      </c>
      <c r="E386" t="str">
        <f t="shared" si="20"/>
        <v>3.677</v>
      </c>
      <c r="F386" s="9" t="str">
        <f t="shared" si="21"/>
        <v>3677</v>
      </c>
      <c r="G386">
        <f t="shared" si="22"/>
        <v>3677</v>
      </c>
      <c r="H386">
        <f t="shared" si="23"/>
        <v>1.45601561742071E-3</v>
      </c>
    </row>
    <row r="387" spans="1:8" x14ac:dyDescent="0.2">
      <c r="A387" t="str">
        <f>Source_NS_Dashboard!B387</f>
        <v>Zaltbommel</v>
      </c>
      <c r="B387" t="s">
        <v>1331</v>
      </c>
      <c r="C387" t="str">
        <f>INDEX(Source_GM_code_CBS!B:B,MATCH(Calculation!B387,Source_GM_code_CBS!C:C,0))</f>
        <v>GM0297</v>
      </c>
      <c r="D387" t="str">
        <f>Source_NS_Dashboard!I387</f>
        <v>3.272 (2023)</v>
      </c>
      <c r="E387" t="str">
        <f t="shared" ref="E387:E399" si="24">IFERROR(LEFT(D387,FIND(" ",D387,1)-1),"0")</f>
        <v>3.272</v>
      </c>
      <c r="F387" s="9" t="str">
        <f t="shared" ref="F387:F399" si="25">SUBSTITUTE(E387,".","")</f>
        <v>3272</v>
      </c>
      <c r="G387">
        <f t="shared" ref="G387:G399" si="26">VALUE(F387)</f>
        <v>3272</v>
      </c>
      <c r="H387">
        <f t="shared" ref="H387:H399" si="27">G387/(SUM($G$2:$G$399))</f>
        <v>1.2956440305141592E-3</v>
      </c>
    </row>
    <row r="388" spans="1:8" x14ac:dyDescent="0.2">
      <c r="A388" t="str">
        <f>Source_NS_Dashboard!B388</f>
        <v>Zandvoort</v>
      </c>
      <c r="B388" t="s">
        <v>1335</v>
      </c>
      <c r="C388" t="str">
        <f>INDEX(Source_GM_code_CBS!B:B,MATCH(Calculation!B388,Source_GM_code_CBS!C:C,0))</f>
        <v>GM0473</v>
      </c>
      <c r="D388" t="str">
        <f>Source_NS_Dashboard!I388</f>
        <v>5.476 (2023)</v>
      </c>
      <c r="E388" t="str">
        <f t="shared" si="24"/>
        <v>5.476</v>
      </c>
      <c r="F388" s="9" t="str">
        <f t="shared" si="25"/>
        <v>5476</v>
      </c>
      <c r="G388">
        <f t="shared" si="26"/>
        <v>5476</v>
      </c>
      <c r="H388">
        <f t="shared" si="27"/>
        <v>2.1683822466673397E-3</v>
      </c>
    </row>
    <row r="389" spans="1:8" x14ac:dyDescent="0.2">
      <c r="A389" t="str">
        <f>Source_NS_Dashboard!B389</f>
        <v>Zetten</v>
      </c>
      <c r="B389" s="6"/>
      <c r="C389" t="e">
        <f>INDEX(Source_GM_code_CBS!B:B,MATCH(Calculation!B389,Source_GM_code_CBS!C:C,0))</f>
        <v>#N/A</v>
      </c>
      <c r="D389" t="str">
        <f>Source_NS_Dashboard!I389</f>
        <v>-</v>
      </c>
      <c r="E389" t="str">
        <f t="shared" si="24"/>
        <v>0</v>
      </c>
      <c r="F389" s="9" t="str">
        <f t="shared" si="25"/>
        <v>0</v>
      </c>
      <c r="G389">
        <f t="shared" si="26"/>
        <v>0</v>
      </c>
      <c r="H389">
        <f t="shared" si="27"/>
        <v>0</v>
      </c>
    </row>
    <row r="390" spans="1:8" x14ac:dyDescent="0.2">
      <c r="A390" t="str">
        <f>Source_NS_Dashboard!B390</f>
        <v>Zevenaar</v>
      </c>
      <c r="B390" t="s">
        <v>1341</v>
      </c>
      <c r="C390" t="str">
        <f>INDEX(Source_GM_code_CBS!B:B,MATCH(Calculation!B390,Source_GM_code_CBS!C:C,0))</f>
        <v>GM0299</v>
      </c>
      <c r="D390" t="str">
        <f>Source_NS_Dashboard!I390</f>
        <v>3.641 (2005)</v>
      </c>
      <c r="E390" t="str">
        <f t="shared" si="24"/>
        <v>3.641</v>
      </c>
      <c r="F390" s="9" t="str">
        <f t="shared" si="25"/>
        <v>3641</v>
      </c>
      <c r="G390">
        <f t="shared" si="26"/>
        <v>3641</v>
      </c>
      <c r="H390">
        <f t="shared" si="27"/>
        <v>1.441760365251239E-3</v>
      </c>
    </row>
    <row r="391" spans="1:8" x14ac:dyDescent="0.2">
      <c r="A391" t="str">
        <f>Source_NS_Dashboard!B391</f>
        <v>Zevenbergen</v>
      </c>
      <c r="B391" t="s">
        <v>1894</v>
      </c>
      <c r="C391" t="str">
        <f>INDEX(Source_GM_code_CBS!B:B,MATCH(Calculation!B391,Source_GM_code_CBS!C:C,0))</f>
        <v>GM1709</v>
      </c>
      <c r="D391" t="str">
        <f>Source_NS_Dashboard!I391</f>
        <v>939 (2023)</v>
      </c>
      <c r="E391" t="str">
        <f t="shared" si="24"/>
        <v>939</v>
      </c>
      <c r="F391" s="9" t="str">
        <f t="shared" si="25"/>
        <v>939</v>
      </c>
      <c r="G391">
        <f t="shared" si="26"/>
        <v>939</v>
      </c>
      <c r="H391">
        <f t="shared" si="27"/>
        <v>3.718244940870402E-4</v>
      </c>
    </row>
    <row r="392" spans="1:8" x14ac:dyDescent="0.2">
      <c r="A392" t="str">
        <f>Source_NS_Dashboard!B392</f>
        <v>Zoetermeer</v>
      </c>
      <c r="B392" t="s">
        <v>1349</v>
      </c>
      <c r="C392" t="str">
        <f>INDEX(Source_GM_code_CBS!B:B,MATCH(Calculation!B392,Source_GM_code_CBS!C:C,0))</f>
        <v>GM0637</v>
      </c>
      <c r="D392" t="str">
        <f>Source_NS_Dashboard!I392</f>
        <v>2.302 (2023)</v>
      </c>
      <c r="E392" t="str">
        <f t="shared" si="24"/>
        <v>2.302</v>
      </c>
      <c r="F392" s="9" t="str">
        <f t="shared" si="25"/>
        <v>2302</v>
      </c>
      <c r="G392">
        <f t="shared" si="26"/>
        <v>2302</v>
      </c>
      <c r="H392">
        <f t="shared" si="27"/>
        <v>9.1154418039229661E-4</v>
      </c>
    </row>
    <row r="393" spans="1:8" x14ac:dyDescent="0.2">
      <c r="A393" t="str">
        <f>Source_NS_Dashboard!B393</f>
        <v>Zoetermeer</v>
      </c>
      <c r="B393" t="s">
        <v>1349</v>
      </c>
      <c r="C393" t="str">
        <f>INDEX(Source_GM_code_CBS!B:B,MATCH(Calculation!B393,Source_GM_code_CBS!C:C,0))</f>
        <v>GM0637</v>
      </c>
      <c r="D393" t="str">
        <f>Source_NS_Dashboard!I393</f>
        <v>1.691 (2023)</v>
      </c>
      <c r="E393" t="str">
        <f t="shared" si="24"/>
        <v>1.691</v>
      </c>
      <c r="F393" s="9" t="str">
        <f t="shared" si="25"/>
        <v>1691</v>
      </c>
      <c r="G393">
        <f t="shared" si="26"/>
        <v>1691</v>
      </c>
      <c r="H393">
        <f t="shared" si="27"/>
        <v>6.6960087273821613E-4</v>
      </c>
    </row>
    <row r="394" spans="1:8" x14ac:dyDescent="0.2">
      <c r="A394" t="str">
        <f>Source_NS_Dashboard!B394</f>
        <v>Zuidbroek</v>
      </c>
      <c r="B394" t="s">
        <v>1891</v>
      </c>
      <c r="C394" t="str">
        <f>INDEX(Source_GM_code_CBS!B:B,MATCH(Calculation!B394,Source_GM_code_CBS!C:C,0))</f>
        <v>GM1952</v>
      </c>
      <c r="D394" t="str">
        <f>Source_NS_Dashboard!I394</f>
        <v>838 (2009)</v>
      </c>
      <c r="E394" t="str">
        <f t="shared" si="24"/>
        <v>838</v>
      </c>
      <c r="F394" s="9" t="str">
        <f t="shared" si="25"/>
        <v>838</v>
      </c>
      <c r="G394">
        <f t="shared" si="26"/>
        <v>838</v>
      </c>
      <c r="H394">
        <f t="shared" si="27"/>
        <v>3.3183059216713491E-4</v>
      </c>
    </row>
    <row r="395" spans="1:8" x14ac:dyDescent="0.2">
      <c r="A395" t="str">
        <f>Source_NS_Dashboard!B395</f>
        <v>Zuidhorn</v>
      </c>
      <c r="B395" t="s">
        <v>2244</v>
      </c>
      <c r="C395" t="str">
        <f>INDEX(Source_GM_code_CBS!B:B,MATCH(Calculation!B395,Source_GM_code_CBS!C:C,0))</f>
        <v>GM1969</v>
      </c>
      <c r="D395" t="str">
        <f>Source_NS_Dashboard!I395</f>
        <v>-</v>
      </c>
      <c r="E395" t="str">
        <f t="shared" si="24"/>
        <v>0</v>
      </c>
      <c r="F395" s="9" t="str">
        <f t="shared" si="25"/>
        <v>0</v>
      </c>
      <c r="G395">
        <f t="shared" si="26"/>
        <v>0</v>
      </c>
      <c r="H395">
        <f t="shared" si="27"/>
        <v>0</v>
      </c>
    </row>
    <row r="396" spans="1:8" x14ac:dyDescent="0.2">
      <c r="A396" t="str">
        <f>Source_NS_Dashboard!B396</f>
        <v>Zutphen</v>
      </c>
      <c r="B396" t="s">
        <v>1361</v>
      </c>
      <c r="C396" t="str">
        <f>INDEX(Source_GM_code_CBS!B:B,MATCH(Calculation!B396,Source_GM_code_CBS!C:C,0))</f>
        <v>GM0301</v>
      </c>
      <c r="D396" t="str">
        <f>Source_NS_Dashboard!I396</f>
        <v>10.763 (2023) (NS)</v>
      </c>
      <c r="E396" t="str">
        <f t="shared" si="24"/>
        <v>10.763</v>
      </c>
      <c r="F396" s="9" t="str">
        <f t="shared" si="25"/>
        <v>10763</v>
      </c>
      <c r="G396">
        <f t="shared" si="26"/>
        <v>10763</v>
      </c>
      <c r="H396">
        <f t="shared" si="27"/>
        <v>4.2619244194449556E-3</v>
      </c>
    </row>
    <row r="397" spans="1:8" x14ac:dyDescent="0.2">
      <c r="A397" t="str">
        <f>Source_NS_Dashboard!B397</f>
        <v>Zwijndrecht</v>
      </c>
      <c r="B397" t="s">
        <v>1365</v>
      </c>
      <c r="C397" t="str">
        <f>INDEX(Source_GM_code_CBS!B:B,MATCH(Calculation!B397,Source_GM_code_CBS!C:C,0))</f>
        <v>GM0642</v>
      </c>
      <c r="D397" t="str">
        <f>Source_NS_Dashboard!I397</f>
        <v>4.328 (2023)</v>
      </c>
      <c r="E397" t="str">
        <f t="shared" si="24"/>
        <v>4.328</v>
      </c>
      <c r="F397" s="9" t="str">
        <f t="shared" si="25"/>
        <v>4328</v>
      </c>
      <c r="G397">
        <f t="shared" si="26"/>
        <v>4328</v>
      </c>
      <c r="H397">
        <f t="shared" si="27"/>
        <v>1.7137980941519808E-3</v>
      </c>
    </row>
    <row r="398" spans="1:8" x14ac:dyDescent="0.2">
      <c r="A398" t="str">
        <f>Source_NS_Dashboard!B398</f>
        <v>Zwolle</v>
      </c>
      <c r="B398" t="s">
        <v>1368</v>
      </c>
      <c r="C398" t="str">
        <f>INDEX(Source_GM_code_CBS!B:B,MATCH(Calculation!B398,Source_GM_code_CBS!C:C,0))</f>
        <v>GM0193</v>
      </c>
      <c r="D398" t="str">
        <f>Source_NS_Dashboard!I398</f>
        <v>42.976 (2024) (NS)</v>
      </c>
      <c r="E398" t="str">
        <f t="shared" si="24"/>
        <v>42.976</v>
      </c>
      <c r="F398" s="9" t="str">
        <f t="shared" si="25"/>
        <v>42976</v>
      </c>
      <c r="G398">
        <f t="shared" si="26"/>
        <v>42976</v>
      </c>
      <c r="H398">
        <f t="shared" si="27"/>
        <v>1.7017603256533162E-2</v>
      </c>
    </row>
    <row r="399" spans="1:8" x14ac:dyDescent="0.2">
      <c r="A399" t="str">
        <f>Source_NS_Dashboard!B399</f>
        <v>Zwolle</v>
      </c>
      <c r="B399" t="s">
        <v>1368</v>
      </c>
      <c r="C399" t="str">
        <f>INDEX(Source_GM_code_CBS!B:B,MATCH(Calculation!B399,Source_GM_code_CBS!C:C,0))</f>
        <v>GM0193</v>
      </c>
      <c r="D399" t="str">
        <f>Source_NS_Dashboard!I399</f>
        <v>-</v>
      </c>
      <c r="E399" t="str">
        <f t="shared" si="24"/>
        <v>0</v>
      </c>
      <c r="F399" s="9" t="str">
        <f t="shared" si="25"/>
        <v>0</v>
      </c>
      <c r="G399">
        <f t="shared" si="26"/>
        <v>0</v>
      </c>
      <c r="H399">
        <f t="shared" si="27"/>
        <v>0</v>
      </c>
    </row>
  </sheetData>
  <mergeCells count="1">
    <mergeCell ref="E1: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K399"/>
  <sheetViews>
    <sheetView workbookViewId="0">
      <selection activeCell="K13" sqref="K13"/>
    </sheetView>
  </sheetViews>
  <sheetFormatPr baseColWidth="10" defaultColWidth="8.83203125" defaultRowHeight="15" x14ac:dyDescent="0.2"/>
  <cols>
    <col min="1" max="1" width="47.33203125" bestFit="1" customWidth="1"/>
    <col min="2" max="2" width="21.1640625" bestFit="1" customWidth="1"/>
    <col min="3" max="3" width="6" bestFit="1" customWidth="1"/>
    <col min="4" max="4" width="7.6640625" bestFit="1" customWidth="1"/>
    <col min="5" max="6" width="3.83203125" bestFit="1" customWidth="1"/>
    <col min="7" max="7" width="59" bestFit="1" customWidth="1"/>
    <col min="8" max="8" width="41.5" bestFit="1" customWidth="1"/>
    <col min="9" max="9" width="16.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</row>
    <row r="2" spans="1:11" x14ac:dyDescent="0.2">
      <c r="A2" t="s">
        <v>9</v>
      </c>
      <c r="B2" t="s">
        <v>9</v>
      </c>
      <c r="C2" t="s">
        <v>10</v>
      </c>
      <c r="D2">
        <v>1885</v>
      </c>
      <c r="E2">
        <v>1</v>
      </c>
      <c r="F2">
        <v>2</v>
      </c>
      <c r="G2" t="s">
        <v>11</v>
      </c>
      <c r="H2" t="s">
        <v>12</v>
      </c>
      <c r="I2" t="s">
        <v>13</v>
      </c>
    </row>
    <row r="3" spans="1:11" x14ac:dyDescent="0.2">
      <c r="A3" t="s">
        <v>14</v>
      </c>
      <c r="B3" t="s">
        <v>14</v>
      </c>
      <c r="C3" t="s">
        <v>15</v>
      </c>
      <c r="D3">
        <v>1843</v>
      </c>
      <c r="E3">
        <v>1</v>
      </c>
      <c r="F3">
        <v>2</v>
      </c>
      <c r="G3" t="s">
        <v>16</v>
      </c>
      <c r="H3" t="s">
        <v>17</v>
      </c>
      <c r="I3" t="s">
        <v>18</v>
      </c>
    </row>
    <row r="4" spans="1:11" x14ac:dyDescent="0.2">
      <c r="A4" t="s">
        <v>19</v>
      </c>
      <c r="B4" t="s">
        <v>19</v>
      </c>
      <c r="C4" t="s">
        <v>20</v>
      </c>
      <c r="D4">
        <v>1868</v>
      </c>
      <c r="E4">
        <v>1</v>
      </c>
      <c r="F4">
        <v>2</v>
      </c>
      <c r="G4" t="s">
        <v>21</v>
      </c>
      <c r="H4" t="s">
        <v>17</v>
      </c>
      <c r="I4" t="s">
        <v>22</v>
      </c>
    </row>
    <row r="5" spans="1:11" x14ac:dyDescent="0.2">
      <c r="A5" t="s">
        <v>23</v>
      </c>
      <c r="B5" t="s">
        <v>23</v>
      </c>
      <c r="C5" t="s">
        <v>24</v>
      </c>
      <c r="D5">
        <v>1865</v>
      </c>
      <c r="E5">
        <v>3</v>
      </c>
      <c r="F5">
        <v>5</v>
      </c>
      <c r="G5" t="s">
        <v>25</v>
      </c>
      <c r="H5" t="s">
        <v>17</v>
      </c>
      <c r="I5" t="s">
        <v>26</v>
      </c>
    </row>
    <row r="6" spans="1:11" x14ac:dyDescent="0.2">
      <c r="A6" t="s">
        <v>27</v>
      </c>
      <c r="B6" t="s">
        <v>23</v>
      </c>
      <c r="C6" t="s">
        <v>28</v>
      </c>
      <c r="D6">
        <v>1980</v>
      </c>
      <c r="E6">
        <v>2</v>
      </c>
      <c r="F6">
        <v>2</v>
      </c>
      <c r="G6" t="s">
        <v>25</v>
      </c>
      <c r="H6" t="s">
        <v>17</v>
      </c>
      <c r="I6" t="s">
        <v>29</v>
      </c>
    </row>
    <row r="7" spans="1:11" x14ac:dyDescent="0.2">
      <c r="A7" t="s">
        <v>30</v>
      </c>
      <c r="B7" t="s">
        <v>30</v>
      </c>
      <c r="C7" t="s">
        <v>31</v>
      </c>
      <c r="D7">
        <v>1865</v>
      </c>
      <c r="E7">
        <v>1</v>
      </c>
      <c r="F7">
        <v>3</v>
      </c>
      <c r="G7" t="s">
        <v>32</v>
      </c>
      <c r="H7" t="s">
        <v>33</v>
      </c>
      <c r="I7" t="s">
        <v>34</v>
      </c>
    </row>
    <row r="8" spans="1:11" x14ac:dyDescent="0.2">
      <c r="A8" t="s">
        <v>35</v>
      </c>
      <c r="B8" t="s">
        <v>30</v>
      </c>
      <c r="C8" t="s">
        <v>36</v>
      </c>
      <c r="D8">
        <v>1926</v>
      </c>
      <c r="E8">
        <v>2</v>
      </c>
      <c r="F8">
        <v>2</v>
      </c>
      <c r="G8" t="s">
        <v>37</v>
      </c>
      <c r="H8" t="s">
        <v>38</v>
      </c>
      <c r="I8" t="s">
        <v>39</v>
      </c>
    </row>
    <row r="9" spans="1:11" x14ac:dyDescent="0.2">
      <c r="A9" t="s">
        <v>40</v>
      </c>
      <c r="B9" t="s">
        <v>40</v>
      </c>
      <c r="C9" t="s">
        <v>41</v>
      </c>
      <c r="D9">
        <v>1987</v>
      </c>
      <c r="E9">
        <v>2</v>
      </c>
      <c r="F9">
        <v>2</v>
      </c>
      <c r="G9" t="s">
        <v>42</v>
      </c>
      <c r="H9" t="s">
        <v>17</v>
      </c>
      <c r="I9" t="s">
        <v>43</v>
      </c>
    </row>
    <row r="10" spans="1:11" x14ac:dyDescent="0.2">
      <c r="A10" t="s">
        <v>44</v>
      </c>
      <c r="B10" t="s">
        <v>45</v>
      </c>
      <c r="C10" t="s">
        <v>46</v>
      </c>
      <c r="D10">
        <v>1987</v>
      </c>
      <c r="E10">
        <v>2</v>
      </c>
      <c r="F10">
        <v>4</v>
      </c>
      <c r="G10" t="s">
        <v>42</v>
      </c>
      <c r="H10" t="s">
        <v>47</v>
      </c>
      <c r="I10" t="s">
        <v>48</v>
      </c>
    </row>
    <row r="11" spans="1:11" x14ac:dyDescent="0.2">
      <c r="A11" t="s">
        <v>49</v>
      </c>
      <c r="B11" t="s">
        <v>45</v>
      </c>
      <c r="C11" t="s">
        <v>50</v>
      </c>
      <c r="D11">
        <v>1987</v>
      </c>
      <c r="E11">
        <v>2</v>
      </c>
      <c r="F11">
        <v>2</v>
      </c>
      <c r="G11" t="s">
        <v>42</v>
      </c>
      <c r="H11" t="s">
        <v>17</v>
      </c>
      <c r="I11" t="s">
        <v>51</v>
      </c>
    </row>
    <row r="12" spans="1:11" x14ac:dyDescent="0.2">
      <c r="A12" t="s">
        <v>52</v>
      </c>
      <c r="B12" t="s">
        <v>40</v>
      </c>
      <c r="C12" t="s">
        <v>53</v>
      </c>
      <c r="D12">
        <v>2004</v>
      </c>
      <c r="E12">
        <v>2</v>
      </c>
      <c r="F12">
        <v>4</v>
      </c>
      <c r="G12" t="s">
        <v>42</v>
      </c>
      <c r="H12" t="s">
        <v>17</v>
      </c>
      <c r="I12" t="s">
        <v>54</v>
      </c>
    </row>
    <row r="13" spans="1:11" x14ac:dyDescent="0.2">
      <c r="A13" t="s">
        <v>55</v>
      </c>
      <c r="B13" t="s">
        <v>45</v>
      </c>
      <c r="C13" t="s">
        <v>56</v>
      </c>
      <c r="D13">
        <v>1996</v>
      </c>
      <c r="E13">
        <v>2</v>
      </c>
      <c r="F13">
        <v>2</v>
      </c>
      <c r="G13" t="s">
        <v>42</v>
      </c>
      <c r="H13" t="s">
        <v>17</v>
      </c>
      <c r="I13" t="s">
        <v>57</v>
      </c>
    </row>
    <row r="14" spans="1:11" x14ac:dyDescent="0.2">
      <c r="A14" t="s">
        <v>58</v>
      </c>
      <c r="B14" t="s">
        <v>58</v>
      </c>
      <c r="C14" t="s">
        <v>59</v>
      </c>
      <c r="D14">
        <v>2012</v>
      </c>
      <c r="E14">
        <v>2</v>
      </c>
      <c r="F14">
        <v>2</v>
      </c>
      <c r="G14" t="s">
        <v>42</v>
      </c>
      <c r="H14" t="s">
        <v>17</v>
      </c>
      <c r="I14" t="s">
        <v>60</v>
      </c>
    </row>
    <row r="15" spans="1:11" x14ac:dyDescent="0.2">
      <c r="A15" t="s">
        <v>61</v>
      </c>
      <c r="B15" t="s">
        <v>62</v>
      </c>
      <c r="C15" t="s">
        <v>63</v>
      </c>
      <c r="D15">
        <v>1878</v>
      </c>
      <c r="E15">
        <v>3</v>
      </c>
      <c r="F15">
        <v>4</v>
      </c>
      <c r="G15" t="s">
        <v>64</v>
      </c>
      <c r="H15" t="s">
        <v>17</v>
      </c>
      <c r="I15" t="s">
        <v>65</v>
      </c>
    </row>
    <row r="16" spans="1:11" x14ac:dyDescent="0.2">
      <c r="A16" t="s">
        <v>66</v>
      </c>
      <c r="B16" t="s">
        <v>67</v>
      </c>
      <c r="C16" t="s">
        <v>68</v>
      </c>
      <c r="D16">
        <v>1902</v>
      </c>
      <c r="E16">
        <v>3</v>
      </c>
      <c r="F16">
        <v>6</v>
      </c>
      <c r="G16" t="s">
        <v>69</v>
      </c>
      <c r="H16" t="s">
        <v>70</v>
      </c>
      <c r="I16" t="s">
        <v>71</v>
      </c>
    </row>
    <row r="17" spans="1:9" x14ac:dyDescent="0.2">
      <c r="A17" t="s">
        <v>72</v>
      </c>
      <c r="B17" t="s">
        <v>67</v>
      </c>
      <c r="C17" t="s">
        <v>73</v>
      </c>
      <c r="D17">
        <v>1987</v>
      </c>
      <c r="E17">
        <v>2</v>
      </c>
      <c r="F17">
        <v>3</v>
      </c>
      <c r="G17" t="s">
        <v>74</v>
      </c>
      <c r="H17" t="s">
        <v>17</v>
      </c>
      <c r="I17" t="s">
        <v>75</v>
      </c>
    </row>
    <row r="18" spans="1:9" x14ac:dyDescent="0.2">
      <c r="A18" t="s">
        <v>76</v>
      </c>
      <c r="B18" t="s">
        <v>77</v>
      </c>
      <c r="C18" t="s">
        <v>78</v>
      </c>
      <c r="D18">
        <v>2006</v>
      </c>
      <c r="E18">
        <v>3</v>
      </c>
      <c r="F18">
        <v>3</v>
      </c>
      <c r="G18" t="s">
        <v>74</v>
      </c>
      <c r="H18" t="s">
        <v>17</v>
      </c>
      <c r="I18" t="s">
        <v>79</v>
      </c>
    </row>
    <row r="19" spans="1:9" x14ac:dyDescent="0.2">
      <c r="A19" t="s">
        <v>80</v>
      </c>
      <c r="B19" t="s">
        <v>81</v>
      </c>
      <c r="C19" t="s">
        <v>82</v>
      </c>
      <c r="D19">
        <v>1939</v>
      </c>
      <c r="E19">
        <v>2</v>
      </c>
      <c r="F19">
        <v>2</v>
      </c>
      <c r="G19" t="s">
        <v>16</v>
      </c>
      <c r="H19" t="s">
        <v>17</v>
      </c>
      <c r="I19" t="s">
        <v>83</v>
      </c>
    </row>
    <row r="20" spans="1:9" x14ac:dyDescent="0.2">
      <c r="A20" t="s">
        <v>84</v>
      </c>
      <c r="B20" t="s">
        <v>81</v>
      </c>
      <c r="C20" t="s">
        <v>85</v>
      </c>
      <c r="D20">
        <v>1996</v>
      </c>
      <c r="E20">
        <v>1</v>
      </c>
      <c r="F20">
        <v>1</v>
      </c>
      <c r="G20" t="s">
        <v>86</v>
      </c>
      <c r="H20" t="s">
        <v>17</v>
      </c>
      <c r="I20" t="s">
        <v>87</v>
      </c>
    </row>
    <row r="21" spans="1:9" x14ac:dyDescent="0.2">
      <c r="A21" t="s">
        <v>88</v>
      </c>
      <c r="B21" t="s">
        <v>81</v>
      </c>
      <c r="C21" t="s">
        <v>89</v>
      </c>
      <c r="D21">
        <v>1971</v>
      </c>
      <c r="E21">
        <v>4</v>
      </c>
      <c r="F21">
        <v>6</v>
      </c>
      <c r="G21" t="s">
        <v>86</v>
      </c>
      <c r="H21" t="s">
        <v>47</v>
      </c>
      <c r="I21" t="s">
        <v>90</v>
      </c>
    </row>
    <row r="22" spans="1:9" x14ac:dyDescent="0.2">
      <c r="A22" t="s">
        <v>91</v>
      </c>
      <c r="B22" t="s">
        <v>81</v>
      </c>
      <c r="C22" t="s">
        <v>92</v>
      </c>
      <c r="D22">
        <v>1889</v>
      </c>
      <c r="E22">
        <v>6</v>
      </c>
      <c r="F22">
        <v>11</v>
      </c>
      <c r="G22" t="s">
        <v>93</v>
      </c>
      <c r="H22" t="s">
        <v>94</v>
      </c>
      <c r="I22" t="s">
        <v>95</v>
      </c>
    </row>
    <row r="23" spans="1:9" x14ac:dyDescent="0.2">
      <c r="A23" t="s">
        <v>96</v>
      </c>
      <c r="B23" t="s">
        <v>81</v>
      </c>
      <c r="C23" t="s">
        <v>97</v>
      </c>
      <c r="D23">
        <v>2008</v>
      </c>
      <c r="E23">
        <v>2</v>
      </c>
      <c r="F23">
        <v>2</v>
      </c>
      <c r="G23" t="s">
        <v>16</v>
      </c>
      <c r="H23" t="s">
        <v>17</v>
      </c>
      <c r="I23" t="s">
        <v>98</v>
      </c>
    </row>
    <row r="24" spans="1:9" x14ac:dyDescent="0.2">
      <c r="A24" t="s">
        <v>99</v>
      </c>
      <c r="B24" t="s">
        <v>81</v>
      </c>
      <c r="C24" t="s">
        <v>100</v>
      </c>
      <c r="D24">
        <v>1986</v>
      </c>
      <c r="E24">
        <v>1</v>
      </c>
      <c r="F24">
        <v>2</v>
      </c>
      <c r="G24" t="s">
        <v>101</v>
      </c>
      <c r="H24" t="s">
        <v>17</v>
      </c>
      <c r="I24" t="s">
        <v>102</v>
      </c>
    </row>
    <row r="25" spans="1:9" x14ac:dyDescent="0.2">
      <c r="A25" t="s">
        <v>103</v>
      </c>
      <c r="B25" t="s">
        <v>81</v>
      </c>
      <c r="C25" t="s">
        <v>104</v>
      </c>
      <c r="D25">
        <v>1896</v>
      </c>
      <c r="E25">
        <v>2</v>
      </c>
      <c r="F25">
        <v>4</v>
      </c>
      <c r="G25" t="s">
        <v>105</v>
      </c>
      <c r="H25" t="s">
        <v>17</v>
      </c>
      <c r="I25" t="s">
        <v>106</v>
      </c>
    </row>
    <row r="26" spans="1:9" x14ac:dyDescent="0.2">
      <c r="A26" t="s">
        <v>107</v>
      </c>
      <c r="B26" t="s">
        <v>81</v>
      </c>
      <c r="C26" t="s">
        <v>108</v>
      </c>
      <c r="D26">
        <v>1981</v>
      </c>
      <c r="E26">
        <v>2</v>
      </c>
      <c r="F26">
        <v>4</v>
      </c>
      <c r="G26" t="s">
        <v>109</v>
      </c>
      <c r="H26" t="s">
        <v>17</v>
      </c>
      <c r="I26" t="s">
        <v>110</v>
      </c>
    </row>
    <row r="27" spans="1:9" x14ac:dyDescent="0.2">
      <c r="A27" t="s">
        <v>111</v>
      </c>
      <c r="B27" t="s">
        <v>81</v>
      </c>
      <c r="C27" t="s">
        <v>112</v>
      </c>
      <c r="D27">
        <v>2009</v>
      </c>
      <c r="E27">
        <v>2</v>
      </c>
      <c r="F27">
        <v>2</v>
      </c>
      <c r="G27" t="s">
        <v>113</v>
      </c>
      <c r="H27" t="s">
        <v>17</v>
      </c>
      <c r="I27" t="s">
        <v>114</v>
      </c>
    </row>
    <row r="28" spans="1:9" x14ac:dyDescent="0.2">
      <c r="A28" t="s">
        <v>115</v>
      </c>
      <c r="B28" t="s">
        <v>81</v>
      </c>
      <c r="C28" t="s">
        <v>116</v>
      </c>
      <c r="D28">
        <v>1983</v>
      </c>
      <c r="E28">
        <v>5</v>
      </c>
      <c r="F28">
        <v>10</v>
      </c>
      <c r="G28" t="s">
        <v>117</v>
      </c>
      <c r="H28" t="s">
        <v>17</v>
      </c>
      <c r="I28" t="s">
        <v>118</v>
      </c>
    </row>
    <row r="29" spans="1:9" x14ac:dyDescent="0.2">
      <c r="A29" t="s">
        <v>119</v>
      </c>
      <c r="B29" t="s">
        <v>81</v>
      </c>
      <c r="C29" t="s">
        <v>120</v>
      </c>
      <c r="D29">
        <v>1978</v>
      </c>
      <c r="E29">
        <v>2</v>
      </c>
      <c r="F29">
        <v>4</v>
      </c>
      <c r="G29" t="s">
        <v>109</v>
      </c>
      <c r="H29" t="s">
        <v>47</v>
      </c>
      <c r="I29" t="s">
        <v>121</v>
      </c>
    </row>
    <row r="30" spans="1:9" x14ac:dyDescent="0.2">
      <c r="A30" t="s">
        <v>122</v>
      </c>
      <c r="B30" t="s">
        <v>122</v>
      </c>
      <c r="C30" t="s">
        <v>123</v>
      </c>
      <c r="D30">
        <v>1865</v>
      </c>
      <c r="E30">
        <v>2</v>
      </c>
      <c r="F30">
        <v>2</v>
      </c>
      <c r="G30" t="s">
        <v>124</v>
      </c>
      <c r="H30" t="s">
        <v>17</v>
      </c>
      <c r="I30" t="s">
        <v>125</v>
      </c>
    </row>
    <row r="31" spans="1:9" x14ac:dyDescent="0.2">
      <c r="A31" t="s">
        <v>126</v>
      </c>
      <c r="B31" t="s">
        <v>126</v>
      </c>
      <c r="C31" t="s">
        <v>127</v>
      </c>
      <c r="D31">
        <v>1876</v>
      </c>
      <c r="E31">
        <v>3</v>
      </c>
      <c r="F31">
        <v>4</v>
      </c>
      <c r="G31" t="s">
        <v>128</v>
      </c>
      <c r="H31" t="s">
        <v>129</v>
      </c>
      <c r="I31" t="s">
        <v>130</v>
      </c>
    </row>
    <row r="32" spans="1:9" x14ac:dyDescent="0.2">
      <c r="A32" t="s">
        <v>131</v>
      </c>
      <c r="B32" t="s">
        <v>126</v>
      </c>
      <c r="C32" t="s">
        <v>132</v>
      </c>
      <c r="D32">
        <v>2006</v>
      </c>
      <c r="E32">
        <v>1</v>
      </c>
      <c r="F32">
        <v>1</v>
      </c>
      <c r="G32" t="s">
        <v>113</v>
      </c>
      <c r="H32" t="s">
        <v>12</v>
      </c>
      <c r="I32" t="s">
        <v>133</v>
      </c>
    </row>
    <row r="33" spans="1:9" x14ac:dyDescent="0.2">
      <c r="A33" t="s">
        <v>134</v>
      </c>
      <c r="B33" t="s">
        <v>126</v>
      </c>
      <c r="C33" t="s">
        <v>135</v>
      </c>
      <c r="D33">
        <v>2006</v>
      </c>
      <c r="E33">
        <v>2</v>
      </c>
      <c r="F33">
        <v>2</v>
      </c>
      <c r="G33" t="s">
        <v>136</v>
      </c>
      <c r="H33" t="s">
        <v>17</v>
      </c>
      <c r="I33" t="s">
        <v>137</v>
      </c>
    </row>
    <row r="34" spans="1:9" x14ac:dyDescent="0.2">
      <c r="A34" t="s">
        <v>138</v>
      </c>
      <c r="B34" t="s">
        <v>138</v>
      </c>
      <c r="C34" t="s">
        <v>139</v>
      </c>
      <c r="D34">
        <v>1884</v>
      </c>
      <c r="E34">
        <v>2</v>
      </c>
      <c r="F34">
        <v>2</v>
      </c>
      <c r="G34" t="s">
        <v>140</v>
      </c>
      <c r="H34" t="s">
        <v>12</v>
      </c>
      <c r="I34" t="s">
        <v>141</v>
      </c>
    </row>
    <row r="35" spans="1:9" x14ac:dyDescent="0.2">
      <c r="A35" t="s">
        <v>142</v>
      </c>
      <c r="B35" t="s">
        <v>142</v>
      </c>
      <c r="C35" t="s">
        <v>143</v>
      </c>
      <c r="D35">
        <v>1883</v>
      </c>
      <c r="E35">
        <v>1</v>
      </c>
      <c r="F35">
        <v>1</v>
      </c>
      <c r="G35" t="s">
        <v>144</v>
      </c>
      <c r="H35" t="s">
        <v>145</v>
      </c>
      <c r="I35" t="s">
        <v>146</v>
      </c>
    </row>
    <row r="36" spans="1:9" x14ac:dyDescent="0.2">
      <c r="A36" t="s">
        <v>147</v>
      </c>
      <c r="B36" t="s">
        <v>147</v>
      </c>
      <c r="C36" t="s">
        <v>148</v>
      </c>
      <c r="D36">
        <v>1872</v>
      </c>
      <c r="E36">
        <v>2</v>
      </c>
      <c r="F36">
        <v>2</v>
      </c>
      <c r="G36" t="s">
        <v>149</v>
      </c>
      <c r="H36" t="s">
        <v>17</v>
      </c>
      <c r="I36" t="s">
        <v>150</v>
      </c>
    </row>
    <row r="37" spans="1:9" x14ac:dyDescent="0.2">
      <c r="A37" t="s">
        <v>151</v>
      </c>
      <c r="B37" t="s">
        <v>152</v>
      </c>
      <c r="C37" t="s">
        <v>153</v>
      </c>
      <c r="D37">
        <v>1845</v>
      </c>
      <c r="E37">
        <v>4</v>
      </c>
      <c r="F37">
        <v>8</v>
      </c>
      <c r="G37" t="s">
        <v>154</v>
      </c>
      <c r="H37" t="s">
        <v>155</v>
      </c>
      <c r="I37" t="s">
        <v>156</v>
      </c>
    </row>
    <row r="38" spans="1:9" x14ac:dyDescent="0.2">
      <c r="A38" t="s">
        <v>157</v>
      </c>
      <c r="B38" t="s">
        <v>152</v>
      </c>
      <c r="C38" t="s">
        <v>158</v>
      </c>
      <c r="D38">
        <v>1969</v>
      </c>
      <c r="E38">
        <v>2</v>
      </c>
      <c r="F38">
        <v>2</v>
      </c>
      <c r="G38" t="s">
        <v>21</v>
      </c>
      <c r="H38" t="s">
        <v>17</v>
      </c>
      <c r="I38" t="s">
        <v>159</v>
      </c>
    </row>
    <row r="39" spans="1:9" x14ac:dyDescent="0.2">
      <c r="A39" t="s">
        <v>160</v>
      </c>
      <c r="B39" t="s">
        <v>152</v>
      </c>
      <c r="C39" t="s">
        <v>161</v>
      </c>
      <c r="D39">
        <v>1953</v>
      </c>
      <c r="E39">
        <v>2</v>
      </c>
      <c r="F39">
        <v>2</v>
      </c>
      <c r="G39" t="s">
        <v>162</v>
      </c>
      <c r="H39" t="s">
        <v>163</v>
      </c>
      <c r="I39" t="s">
        <v>164</v>
      </c>
    </row>
    <row r="40" spans="1:9" x14ac:dyDescent="0.2">
      <c r="A40" t="s">
        <v>165</v>
      </c>
      <c r="B40" t="s">
        <v>152</v>
      </c>
      <c r="C40" t="s">
        <v>166</v>
      </c>
      <c r="D40">
        <v>2004</v>
      </c>
      <c r="E40">
        <v>2</v>
      </c>
      <c r="F40">
        <v>2</v>
      </c>
      <c r="G40" t="s">
        <v>167</v>
      </c>
      <c r="H40" t="s">
        <v>17</v>
      </c>
      <c r="I40" t="s">
        <v>168</v>
      </c>
    </row>
    <row r="41" spans="1:9" x14ac:dyDescent="0.2">
      <c r="A41" t="s">
        <v>169</v>
      </c>
      <c r="B41" t="s">
        <v>169</v>
      </c>
      <c r="C41" t="s">
        <v>170</v>
      </c>
      <c r="D41">
        <v>1870</v>
      </c>
      <c r="E41">
        <v>2</v>
      </c>
      <c r="F41">
        <v>3</v>
      </c>
      <c r="G41" t="s">
        <v>171</v>
      </c>
      <c r="H41" t="s">
        <v>47</v>
      </c>
      <c r="I41" t="s">
        <v>172</v>
      </c>
    </row>
    <row r="42" spans="1:9" x14ac:dyDescent="0.2">
      <c r="A42" t="s">
        <v>173</v>
      </c>
      <c r="B42" t="s">
        <v>173</v>
      </c>
      <c r="C42" t="s">
        <v>174</v>
      </c>
      <c r="D42">
        <v>1874</v>
      </c>
      <c r="E42">
        <v>3</v>
      </c>
      <c r="F42">
        <v>4</v>
      </c>
      <c r="G42" t="s">
        <v>175</v>
      </c>
      <c r="H42" t="s">
        <v>17</v>
      </c>
      <c r="I42" t="s">
        <v>176</v>
      </c>
    </row>
    <row r="43" spans="1:9" x14ac:dyDescent="0.2">
      <c r="A43" t="s">
        <v>177</v>
      </c>
      <c r="B43" t="s">
        <v>177</v>
      </c>
      <c r="C43" t="s">
        <v>178</v>
      </c>
      <c r="D43">
        <v>1868</v>
      </c>
      <c r="E43">
        <v>2</v>
      </c>
      <c r="F43">
        <v>2</v>
      </c>
      <c r="G43" t="s">
        <v>179</v>
      </c>
      <c r="H43" t="s">
        <v>12</v>
      </c>
      <c r="I43" t="s">
        <v>180</v>
      </c>
    </row>
    <row r="44" spans="1:9" x14ac:dyDescent="0.2">
      <c r="A44" t="s">
        <v>181</v>
      </c>
      <c r="B44" t="s">
        <v>181</v>
      </c>
      <c r="C44" t="s">
        <v>182</v>
      </c>
      <c r="D44">
        <v>1893</v>
      </c>
      <c r="E44">
        <v>1</v>
      </c>
      <c r="F44">
        <v>2</v>
      </c>
      <c r="G44" t="s">
        <v>183</v>
      </c>
      <c r="H44" t="s">
        <v>12</v>
      </c>
      <c r="I44" t="s">
        <v>184</v>
      </c>
    </row>
    <row r="45" spans="1:9" x14ac:dyDescent="0.2">
      <c r="A45" t="s">
        <v>185</v>
      </c>
      <c r="B45" t="s">
        <v>185</v>
      </c>
      <c r="C45" t="s">
        <v>186</v>
      </c>
      <c r="D45">
        <v>1872</v>
      </c>
      <c r="E45">
        <v>3</v>
      </c>
      <c r="F45">
        <v>4</v>
      </c>
      <c r="G45" t="s">
        <v>187</v>
      </c>
      <c r="H45" t="s">
        <v>17</v>
      </c>
      <c r="I45" t="s">
        <v>188</v>
      </c>
    </row>
    <row r="46" spans="1:9" x14ac:dyDescent="0.2">
      <c r="A46" t="s">
        <v>189</v>
      </c>
      <c r="B46" t="s">
        <v>190</v>
      </c>
      <c r="C46" t="s">
        <v>191</v>
      </c>
      <c r="D46">
        <v>1951</v>
      </c>
      <c r="E46">
        <v>2</v>
      </c>
      <c r="F46">
        <v>2</v>
      </c>
      <c r="G46" t="s">
        <v>192</v>
      </c>
      <c r="H46" t="s">
        <v>193</v>
      </c>
      <c r="I46" t="s">
        <v>194</v>
      </c>
    </row>
    <row r="47" spans="1:9" x14ac:dyDescent="0.2">
      <c r="A47" t="s">
        <v>195</v>
      </c>
      <c r="B47" t="s">
        <v>190</v>
      </c>
      <c r="C47" t="s">
        <v>196</v>
      </c>
      <c r="D47">
        <v>1951</v>
      </c>
      <c r="E47">
        <v>1</v>
      </c>
      <c r="F47">
        <v>1</v>
      </c>
      <c r="G47" t="s">
        <v>192</v>
      </c>
      <c r="H47" t="s">
        <v>193</v>
      </c>
      <c r="I47" t="s">
        <v>197</v>
      </c>
    </row>
    <row r="48" spans="1:9" x14ac:dyDescent="0.2">
      <c r="A48" t="s">
        <v>198</v>
      </c>
      <c r="B48" t="s">
        <v>190</v>
      </c>
      <c r="C48" t="s">
        <v>199</v>
      </c>
      <c r="D48">
        <v>2015</v>
      </c>
      <c r="E48">
        <v>1</v>
      </c>
      <c r="F48">
        <v>1</v>
      </c>
      <c r="G48" t="s">
        <v>192</v>
      </c>
      <c r="H48" t="s">
        <v>193</v>
      </c>
      <c r="I48" t="s">
        <v>200</v>
      </c>
    </row>
    <row r="49" spans="1:9" x14ac:dyDescent="0.2">
      <c r="A49" t="s">
        <v>201</v>
      </c>
      <c r="B49" t="s">
        <v>201</v>
      </c>
      <c r="C49" t="s">
        <v>202</v>
      </c>
      <c r="D49">
        <v>1884</v>
      </c>
      <c r="E49">
        <v>1</v>
      </c>
      <c r="F49">
        <v>2</v>
      </c>
      <c r="G49" t="s">
        <v>140</v>
      </c>
      <c r="H49" t="s">
        <v>12</v>
      </c>
      <c r="I49" t="s">
        <v>203</v>
      </c>
    </row>
    <row r="50" spans="1:9" x14ac:dyDescent="0.2">
      <c r="A50" t="s">
        <v>204</v>
      </c>
      <c r="B50" t="s">
        <v>205</v>
      </c>
      <c r="C50" t="s">
        <v>206</v>
      </c>
      <c r="D50">
        <v>1862</v>
      </c>
      <c r="E50">
        <v>2</v>
      </c>
      <c r="F50">
        <v>2</v>
      </c>
      <c r="G50" t="s">
        <v>207</v>
      </c>
      <c r="H50" t="s">
        <v>12</v>
      </c>
      <c r="I50" t="s">
        <v>208</v>
      </c>
    </row>
    <row r="51" spans="1:9" x14ac:dyDescent="0.2">
      <c r="A51" t="s">
        <v>209</v>
      </c>
      <c r="B51" t="s">
        <v>209</v>
      </c>
      <c r="C51" t="s">
        <v>210</v>
      </c>
      <c r="D51">
        <v>1883</v>
      </c>
      <c r="E51">
        <v>1</v>
      </c>
      <c r="F51">
        <v>2</v>
      </c>
      <c r="G51" t="s">
        <v>144</v>
      </c>
      <c r="H51" t="s">
        <v>145</v>
      </c>
      <c r="I51" t="s">
        <v>211</v>
      </c>
    </row>
    <row r="52" spans="1:9" x14ac:dyDescent="0.2">
      <c r="A52" t="s">
        <v>212</v>
      </c>
      <c r="B52" t="s">
        <v>212</v>
      </c>
      <c r="C52" t="s">
        <v>213</v>
      </c>
      <c r="D52">
        <v>1870</v>
      </c>
      <c r="E52">
        <v>2</v>
      </c>
      <c r="F52">
        <v>2</v>
      </c>
      <c r="G52" t="s">
        <v>171</v>
      </c>
      <c r="H52" t="s">
        <v>17</v>
      </c>
      <c r="I52" t="s">
        <v>214</v>
      </c>
    </row>
    <row r="53" spans="1:9" x14ac:dyDescent="0.2">
      <c r="A53" t="s">
        <v>215</v>
      </c>
      <c r="B53" t="s">
        <v>215</v>
      </c>
      <c r="C53" t="s">
        <v>216</v>
      </c>
      <c r="D53">
        <v>1863</v>
      </c>
      <c r="E53">
        <v>1</v>
      </c>
      <c r="F53">
        <v>2</v>
      </c>
      <c r="G53" t="s">
        <v>149</v>
      </c>
      <c r="H53" t="s">
        <v>17</v>
      </c>
      <c r="I53" t="s">
        <v>217</v>
      </c>
    </row>
    <row r="54" spans="1:9" x14ac:dyDescent="0.2">
      <c r="A54" t="s">
        <v>218</v>
      </c>
      <c r="B54" t="s">
        <v>218</v>
      </c>
      <c r="C54" t="s">
        <v>219</v>
      </c>
      <c r="D54">
        <v>1866</v>
      </c>
      <c r="E54">
        <v>3</v>
      </c>
      <c r="F54">
        <v>4</v>
      </c>
      <c r="G54" t="s">
        <v>207</v>
      </c>
      <c r="H54" t="s">
        <v>17</v>
      </c>
      <c r="I54" t="s">
        <v>220</v>
      </c>
    </row>
    <row r="55" spans="1:9" x14ac:dyDescent="0.2">
      <c r="A55" t="s">
        <v>221</v>
      </c>
      <c r="B55" t="s">
        <v>221</v>
      </c>
      <c r="C55" t="s">
        <v>222</v>
      </c>
      <c r="D55">
        <v>1867</v>
      </c>
      <c r="E55">
        <v>2</v>
      </c>
      <c r="F55">
        <v>4</v>
      </c>
      <c r="G55" t="s">
        <v>223</v>
      </c>
      <c r="H55" t="s">
        <v>17</v>
      </c>
      <c r="I55" t="s">
        <v>224</v>
      </c>
    </row>
    <row r="56" spans="1:9" x14ac:dyDescent="0.2">
      <c r="A56" t="s">
        <v>225</v>
      </c>
      <c r="B56" t="s">
        <v>225</v>
      </c>
      <c r="C56" t="s">
        <v>226</v>
      </c>
      <c r="D56">
        <v>1863</v>
      </c>
      <c r="E56">
        <v>1</v>
      </c>
      <c r="F56">
        <v>2</v>
      </c>
      <c r="G56" t="s">
        <v>74</v>
      </c>
      <c r="H56" t="s">
        <v>17</v>
      </c>
      <c r="I56" t="s">
        <v>227</v>
      </c>
    </row>
    <row r="57" spans="1:9" x14ac:dyDescent="0.2">
      <c r="A57" t="s">
        <v>228</v>
      </c>
      <c r="B57" t="s">
        <v>228</v>
      </c>
      <c r="C57" t="s">
        <v>229</v>
      </c>
      <c r="D57">
        <v>1868</v>
      </c>
      <c r="E57">
        <v>3</v>
      </c>
      <c r="F57">
        <v>4</v>
      </c>
      <c r="G57" t="s">
        <v>230</v>
      </c>
      <c r="H57" t="s">
        <v>47</v>
      </c>
      <c r="I57" t="s">
        <v>231</v>
      </c>
    </row>
    <row r="58" spans="1:9" x14ac:dyDescent="0.2">
      <c r="A58" t="s">
        <v>232</v>
      </c>
      <c r="B58" t="s">
        <v>232</v>
      </c>
      <c r="C58" t="s">
        <v>233</v>
      </c>
      <c r="D58">
        <v>1900</v>
      </c>
      <c r="E58">
        <v>1</v>
      </c>
      <c r="F58">
        <v>2</v>
      </c>
      <c r="G58" t="s">
        <v>223</v>
      </c>
      <c r="H58" t="s">
        <v>17</v>
      </c>
      <c r="I58" t="s">
        <v>234</v>
      </c>
    </row>
    <row r="59" spans="1:9" x14ac:dyDescent="0.2">
      <c r="A59" t="s">
        <v>235</v>
      </c>
      <c r="B59" t="s">
        <v>235</v>
      </c>
      <c r="C59" t="s">
        <v>236</v>
      </c>
      <c r="D59">
        <v>1878</v>
      </c>
      <c r="E59">
        <v>2</v>
      </c>
      <c r="F59">
        <v>2</v>
      </c>
      <c r="G59" t="s">
        <v>237</v>
      </c>
      <c r="H59" t="s">
        <v>17</v>
      </c>
      <c r="I59" t="s">
        <v>238</v>
      </c>
    </row>
    <row r="60" spans="1:9" x14ac:dyDescent="0.2">
      <c r="A60" t="s">
        <v>239</v>
      </c>
      <c r="B60" t="s">
        <v>239</v>
      </c>
      <c r="C60" t="s">
        <v>240</v>
      </c>
      <c r="D60">
        <v>1865</v>
      </c>
      <c r="E60">
        <v>1</v>
      </c>
      <c r="F60">
        <v>2</v>
      </c>
      <c r="G60" t="s">
        <v>37</v>
      </c>
      <c r="H60" t="s">
        <v>38</v>
      </c>
      <c r="I60" t="s">
        <v>241</v>
      </c>
    </row>
    <row r="61" spans="1:9" x14ac:dyDescent="0.2">
      <c r="A61" t="s">
        <v>242</v>
      </c>
      <c r="B61" t="s">
        <v>242</v>
      </c>
      <c r="C61" t="s">
        <v>243</v>
      </c>
      <c r="D61">
        <v>1934</v>
      </c>
      <c r="E61">
        <v>1</v>
      </c>
      <c r="F61">
        <v>2</v>
      </c>
      <c r="G61" t="s">
        <v>244</v>
      </c>
      <c r="H61" t="s">
        <v>17</v>
      </c>
      <c r="I61" t="s">
        <v>245</v>
      </c>
    </row>
    <row r="62" spans="1:9" x14ac:dyDescent="0.2">
      <c r="A62" t="s">
        <v>246</v>
      </c>
      <c r="B62" t="s">
        <v>242</v>
      </c>
      <c r="C62" t="s">
        <v>247</v>
      </c>
      <c r="D62">
        <v>2017</v>
      </c>
      <c r="E62">
        <v>1</v>
      </c>
      <c r="F62">
        <v>1</v>
      </c>
      <c r="G62" t="s">
        <v>244</v>
      </c>
      <c r="H62" t="s">
        <v>17</v>
      </c>
      <c r="I62" t="s">
        <v>248</v>
      </c>
    </row>
    <row r="63" spans="1:9" x14ac:dyDescent="0.2">
      <c r="A63" t="s">
        <v>249</v>
      </c>
      <c r="B63" t="s">
        <v>250</v>
      </c>
      <c r="C63" t="s">
        <v>251</v>
      </c>
      <c r="D63">
        <v>2012</v>
      </c>
      <c r="E63">
        <v>2</v>
      </c>
      <c r="F63">
        <v>2</v>
      </c>
      <c r="G63" t="s">
        <v>144</v>
      </c>
      <c r="H63" t="s">
        <v>145</v>
      </c>
      <c r="I63" t="s">
        <v>252</v>
      </c>
    </row>
    <row r="64" spans="1:9" x14ac:dyDescent="0.2">
      <c r="A64" t="s">
        <v>253</v>
      </c>
      <c r="B64" t="s">
        <v>254</v>
      </c>
      <c r="C64" t="s">
        <v>255</v>
      </c>
      <c r="D64">
        <v>1977</v>
      </c>
      <c r="E64">
        <v>1</v>
      </c>
      <c r="F64">
        <v>1</v>
      </c>
      <c r="G64" t="s">
        <v>256</v>
      </c>
      <c r="H64" t="s">
        <v>17</v>
      </c>
      <c r="I64" t="s">
        <v>257</v>
      </c>
    </row>
    <row r="65" spans="1:9" x14ac:dyDescent="0.2">
      <c r="A65" t="s">
        <v>258</v>
      </c>
      <c r="B65" t="s">
        <v>254</v>
      </c>
      <c r="C65" t="s">
        <v>259</v>
      </c>
      <c r="D65">
        <v>1885</v>
      </c>
      <c r="E65">
        <v>1</v>
      </c>
      <c r="F65">
        <v>2</v>
      </c>
      <c r="G65" t="s">
        <v>256</v>
      </c>
      <c r="H65" t="s">
        <v>17</v>
      </c>
      <c r="I65" t="s">
        <v>260</v>
      </c>
    </row>
    <row r="66" spans="1:9" x14ac:dyDescent="0.2">
      <c r="A66" t="s">
        <v>261</v>
      </c>
      <c r="B66" t="s">
        <v>261</v>
      </c>
      <c r="C66" t="s">
        <v>262</v>
      </c>
      <c r="D66">
        <v>1883</v>
      </c>
      <c r="E66">
        <v>2</v>
      </c>
      <c r="F66">
        <v>3</v>
      </c>
      <c r="G66" t="s">
        <v>263</v>
      </c>
      <c r="H66" t="s">
        <v>12</v>
      </c>
      <c r="I66" t="s">
        <v>264</v>
      </c>
    </row>
    <row r="67" spans="1:9" x14ac:dyDescent="0.2">
      <c r="A67" t="s">
        <v>265</v>
      </c>
      <c r="B67" t="s">
        <v>265</v>
      </c>
      <c r="C67" t="s">
        <v>266</v>
      </c>
      <c r="D67">
        <v>1865</v>
      </c>
      <c r="E67">
        <v>2</v>
      </c>
      <c r="F67">
        <v>4</v>
      </c>
      <c r="G67" t="s">
        <v>267</v>
      </c>
      <c r="H67" t="s">
        <v>17</v>
      </c>
      <c r="I67" t="s">
        <v>268</v>
      </c>
    </row>
    <row r="68" spans="1:9" x14ac:dyDescent="0.2">
      <c r="A68" t="s">
        <v>269</v>
      </c>
      <c r="B68" t="s">
        <v>269</v>
      </c>
      <c r="C68" t="s">
        <v>270</v>
      </c>
      <c r="D68">
        <v>1855</v>
      </c>
      <c r="E68">
        <v>3</v>
      </c>
      <c r="F68">
        <v>6</v>
      </c>
      <c r="G68" t="s">
        <v>271</v>
      </c>
      <c r="H68" t="s">
        <v>272</v>
      </c>
      <c r="I68" t="s">
        <v>273</v>
      </c>
    </row>
    <row r="69" spans="1:9" x14ac:dyDescent="0.2">
      <c r="A69" t="s">
        <v>274</v>
      </c>
      <c r="B69" t="s">
        <v>275</v>
      </c>
      <c r="C69" t="s">
        <v>276</v>
      </c>
      <c r="D69">
        <v>1988</v>
      </c>
      <c r="E69">
        <v>2</v>
      </c>
      <c r="F69">
        <v>2</v>
      </c>
      <c r="G69" t="s">
        <v>187</v>
      </c>
      <c r="H69" t="s">
        <v>17</v>
      </c>
      <c r="I69" t="s">
        <v>277</v>
      </c>
    </row>
    <row r="70" spans="1:9" x14ac:dyDescent="0.2">
      <c r="A70" t="s">
        <v>278</v>
      </c>
      <c r="B70" t="s">
        <v>278</v>
      </c>
      <c r="C70" t="s">
        <v>279</v>
      </c>
      <c r="D70">
        <v>1843</v>
      </c>
      <c r="E70">
        <v>1</v>
      </c>
      <c r="F70">
        <v>2</v>
      </c>
      <c r="G70" t="s">
        <v>280</v>
      </c>
      <c r="H70" t="s">
        <v>17</v>
      </c>
      <c r="I70" t="s">
        <v>281</v>
      </c>
    </row>
    <row r="71" spans="1:9" x14ac:dyDescent="0.2">
      <c r="A71" t="s">
        <v>282</v>
      </c>
      <c r="B71" t="s">
        <v>282</v>
      </c>
      <c r="C71" t="s">
        <v>283</v>
      </c>
      <c r="D71">
        <v>1865</v>
      </c>
      <c r="E71">
        <v>2</v>
      </c>
      <c r="F71">
        <v>2</v>
      </c>
      <c r="G71" t="s">
        <v>21</v>
      </c>
      <c r="H71" t="s">
        <v>17</v>
      </c>
      <c r="I71" t="s">
        <v>284</v>
      </c>
    </row>
    <row r="72" spans="1:9" x14ac:dyDescent="0.2">
      <c r="A72" t="s">
        <v>285</v>
      </c>
      <c r="B72" t="s">
        <v>285</v>
      </c>
      <c r="C72" t="s">
        <v>286</v>
      </c>
      <c r="D72">
        <v>1866</v>
      </c>
      <c r="E72">
        <v>2</v>
      </c>
      <c r="F72">
        <v>2</v>
      </c>
      <c r="G72" t="s">
        <v>287</v>
      </c>
      <c r="H72" t="s">
        <v>12</v>
      </c>
      <c r="I72" t="s">
        <v>87</v>
      </c>
    </row>
    <row r="73" spans="1:9" x14ac:dyDescent="0.2">
      <c r="A73" t="s">
        <v>288</v>
      </c>
      <c r="B73" t="s">
        <v>288</v>
      </c>
      <c r="C73" t="s">
        <v>289</v>
      </c>
      <c r="D73">
        <v>1862</v>
      </c>
      <c r="E73">
        <v>2</v>
      </c>
      <c r="F73">
        <v>2</v>
      </c>
      <c r="G73" t="s">
        <v>207</v>
      </c>
      <c r="H73" t="s">
        <v>12</v>
      </c>
      <c r="I73" t="s">
        <v>290</v>
      </c>
    </row>
    <row r="74" spans="1:9" x14ac:dyDescent="0.2">
      <c r="A74" t="s">
        <v>291</v>
      </c>
      <c r="B74" t="s">
        <v>291</v>
      </c>
      <c r="C74" t="s">
        <v>292</v>
      </c>
      <c r="D74">
        <v>1972</v>
      </c>
      <c r="E74">
        <v>2</v>
      </c>
      <c r="F74">
        <v>2</v>
      </c>
      <c r="G74" t="s">
        <v>16</v>
      </c>
      <c r="H74" t="s">
        <v>17</v>
      </c>
      <c r="I74" t="s">
        <v>293</v>
      </c>
    </row>
    <row r="75" spans="1:9" x14ac:dyDescent="0.2">
      <c r="A75" t="s">
        <v>294</v>
      </c>
      <c r="B75" t="s">
        <v>295</v>
      </c>
      <c r="C75" t="s">
        <v>296</v>
      </c>
      <c r="D75">
        <v>1966</v>
      </c>
      <c r="E75">
        <v>2</v>
      </c>
      <c r="F75">
        <v>2</v>
      </c>
      <c r="G75" t="s">
        <v>113</v>
      </c>
      <c r="H75" t="s">
        <v>17</v>
      </c>
      <c r="I75" t="s">
        <v>297</v>
      </c>
    </row>
    <row r="76" spans="1:9" x14ac:dyDescent="0.2">
      <c r="A76" t="s">
        <v>298</v>
      </c>
      <c r="B76" t="s">
        <v>299</v>
      </c>
      <c r="C76" t="s">
        <v>300</v>
      </c>
      <c r="D76">
        <v>1981</v>
      </c>
      <c r="E76">
        <v>2</v>
      </c>
      <c r="F76">
        <v>2</v>
      </c>
      <c r="G76" t="s">
        <v>301</v>
      </c>
      <c r="H76" t="s">
        <v>17</v>
      </c>
      <c r="I76" t="s">
        <v>302</v>
      </c>
    </row>
    <row r="77" spans="1:9" x14ac:dyDescent="0.2">
      <c r="A77" t="s">
        <v>303</v>
      </c>
      <c r="B77" t="s">
        <v>303</v>
      </c>
      <c r="C77" t="s">
        <v>304</v>
      </c>
      <c r="D77">
        <v>1867</v>
      </c>
      <c r="E77">
        <v>1</v>
      </c>
      <c r="F77">
        <v>2</v>
      </c>
      <c r="G77" t="s">
        <v>124</v>
      </c>
      <c r="H77" t="s">
        <v>17</v>
      </c>
      <c r="I77" t="s">
        <v>305</v>
      </c>
    </row>
    <row r="78" spans="1:9" x14ac:dyDescent="0.2">
      <c r="A78" t="s">
        <v>306</v>
      </c>
      <c r="B78" t="s">
        <v>307</v>
      </c>
      <c r="C78" t="s">
        <v>308</v>
      </c>
      <c r="D78">
        <v>1949</v>
      </c>
      <c r="E78">
        <v>1</v>
      </c>
      <c r="F78">
        <v>1</v>
      </c>
      <c r="G78" t="s">
        <v>309</v>
      </c>
      <c r="H78" t="s">
        <v>12</v>
      </c>
      <c r="I78" t="s">
        <v>87</v>
      </c>
    </row>
    <row r="79" spans="1:9" x14ac:dyDescent="0.2">
      <c r="A79" t="s">
        <v>310</v>
      </c>
      <c r="B79" t="s">
        <v>310</v>
      </c>
      <c r="C79" t="s">
        <v>311</v>
      </c>
      <c r="D79">
        <v>1905</v>
      </c>
      <c r="E79">
        <v>1</v>
      </c>
      <c r="F79">
        <v>2</v>
      </c>
      <c r="G79" t="s">
        <v>312</v>
      </c>
      <c r="H79" t="s">
        <v>12</v>
      </c>
      <c r="I79" t="s">
        <v>313</v>
      </c>
    </row>
    <row r="80" spans="1:9" x14ac:dyDescent="0.2">
      <c r="A80" t="s">
        <v>314</v>
      </c>
      <c r="B80" t="s">
        <v>314</v>
      </c>
      <c r="C80" t="s">
        <v>315</v>
      </c>
      <c r="D80">
        <v>1883</v>
      </c>
      <c r="E80">
        <v>2</v>
      </c>
      <c r="F80">
        <v>3</v>
      </c>
      <c r="G80" t="s">
        <v>263</v>
      </c>
      <c r="H80" t="s">
        <v>12</v>
      </c>
      <c r="I80" t="s">
        <v>316</v>
      </c>
    </row>
    <row r="81" spans="1:9" x14ac:dyDescent="0.2">
      <c r="A81" t="s">
        <v>317</v>
      </c>
      <c r="B81" t="s">
        <v>317</v>
      </c>
      <c r="C81" t="s">
        <v>318</v>
      </c>
      <c r="D81">
        <v>1868</v>
      </c>
      <c r="E81">
        <v>2</v>
      </c>
      <c r="F81">
        <v>2</v>
      </c>
      <c r="G81" t="s">
        <v>319</v>
      </c>
      <c r="H81" t="s">
        <v>17</v>
      </c>
      <c r="I81" t="s">
        <v>320</v>
      </c>
    </row>
    <row r="82" spans="1:9" x14ac:dyDescent="0.2">
      <c r="A82" t="s">
        <v>321</v>
      </c>
      <c r="B82" t="s">
        <v>321</v>
      </c>
      <c r="C82" t="s">
        <v>322</v>
      </c>
      <c r="D82">
        <v>1906</v>
      </c>
      <c r="E82">
        <v>2</v>
      </c>
      <c r="F82">
        <v>1</v>
      </c>
      <c r="G82" t="s">
        <v>323</v>
      </c>
      <c r="H82" t="s">
        <v>12</v>
      </c>
      <c r="I82" t="s">
        <v>324</v>
      </c>
    </row>
    <row r="83" spans="1:9" x14ac:dyDescent="0.2">
      <c r="A83" t="s">
        <v>325</v>
      </c>
      <c r="B83" t="s">
        <v>325</v>
      </c>
      <c r="C83" t="s">
        <v>326</v>
      </c>
      <c r="D83">
        <v>1987</v>
      </c>
      <c r="E83">
        <v>1</v>
      </c>
      <c r="F83">
        <v>1</v>
      </c>
      <c r="G83" t="s">
        <v>312</v>
      </c>
      <c r="H83" t="s">
        <v>12</v>
      </c>
      <c r="I83" t="s">
        <v>327</v>
      </c>
    </row>
    <row r="84" spans="1:9" x14ac:dyDescent="0.2">
      <c r="A84" t="s">
        <v>328</v>
      </c>
      <c r="B84" t="s">
        <v>328</v>
      </c>
      <c r="C84" t="s">
        <v>329</v>
      </c>
      <c r="D84">
        <v>1903</v>
      </c>
      <c r="E84">
        <v>2</v>
      </c>
      <c r="F84">
        <v>2</v>
      </c>
      <c r="G84" t="s">
        <v>312</v>
      </c>
      <c r="H84" t="s">
        <v>12</v>
      </c>
      <c r="I84" t="s">
        <v>330</v>
      </c>
    </row>
    <row r="85" spans="1:9" x14ac:dyDescent="0.2">
      <c r="A85" t="s">
        <v>331</v>
      </c>
      <c r="B85" t="s">
        <v>332</v>
      </c>
      <c r="C85" t="s">
        <v>333</v>
      </c>
      <c r="D85">
        <v>1906</v>
      </c>
      <c r="E85">
        <v>2</v>
      </c>
      <c r="F85">
        <v>4</v>
      </c>
      <c r="G85" t="s">
        <v>334</v>
      </c>
      <c r="H85" t="s">
        <v>17</v>
      </c>
      <c r="I85" t="s">
        <v>335</v>
      </c>
    </row>
    <row r="86" spans="1:9" x14ac:dyDescent="0.2">
      <c r="A86" t="s">
        <v>336</v>
      </c>
      <c r="B86" t="s">
        <v>337</v>
      </c>
      <c r="C86" t="s">
        <v>338</v>
      </c>
      <c r="D86">
        <v>1885</v>
      </c>
      <c r="E86">
        <v>2</v>
      </c>
      <c r="F86">
        <v>2</v>
      </c>
      <c r="G86" t="s">
        <v>287</v>
      </c>
      <c r="H86" t="s">
        <v>12</v>
      </c>
      <c r="I86" t="s">
        <v>87</v>
      </c>
    </row>
    <row r="87" spans="1:9" x14ac:dyDescent="0.2">
      <c r="A87" t="s">
        <v>339</v>
      </c>
      <c r="B87" t="s">
        <v>339</v>
      </c>
      <c r="C87" t="s">
        <v>340</v>
      </c>
      <c r="D87">
        <v>1863</v>
      </c>
      <c r="E87">
        <v>1</v>
      </c>
      <c r="F87">
        <v>1</v>
      </c>
      <c r="G87" t="s">
        <v>287</v>
      </c>
      <c r="H87" t="s">
        <v>12</v>
      </c>
      <c r="I87" t="s">
        <v>341</v>
      </c>
    </row>
    <row r="88" spans="1:9" x14ac:dyDescent="0.2">
      <c r="A88" t="s">
        <v>342</v>
      </c>
      <c r="B88" t="s">
        <v>342</v>
      </c>
      <c r="C88" t="s">
        <v>343</v>
      </c>
      <c r="D88">
        <v>1865</v>
      </c>
      <c r="E88">
        <v>1</v>
      </c>
      <c r="F88">
        <v>2</v>
      </c>
      <c r="G88" t="s">
        <v>344</v>
      </c>
      <c r="H88" t="s">
        <v>12</v>
      </c>
      <c r="I88" t="s">
        <v>87</v>
      </c>
    </row>
    <row r="89" spans="1:9" x14ac:dyDescent="0.2">
      <c r="A89" t="s">
        <v>345</v>
      </c>
      <c r="B89" t="s">
        <v>345</v>
      </c>
      <c r="C89" t="s">
        <v>346</v>
      </c>
      <c r="D89">
        <v>1847</v>
      </c>
      <c r="E89">
        <v>1</v>
      </c>
      <c r="F89">
        <v>2</v>
      </c>
      <c r="G89" t="s">
        <v>334</v>
      </c>
      <c r="H89" t="s">
        <v>17</v>
      </c>
      <c r="I89" t="s">
        <v>347</v>
      </c>
    </row>
    <row r="90" spans="1:9" x14ac:dyDescent="0.2">
      <c r="A90" t="s">
        <v>348</v>
      </c>
      <c r="B90" t="s">
        <v>345</v>
      </c>
      <c r="C90" t="s">
        <v>349</v>
      </c>
      <c r="D90">
        <v>1970</v>
      </c>
      <c r="E90">
        <v>2</v>
      </c>
      <c r="F90">
        <v>2</v>
      </c>
      <c r="G90" t="s">
        <v>334</v>
      </c>
      <c r="H90" t="s">
        <v>17</v>
      </c>
      <c r="I90" t="s">
        <v>350</v>
      </c>
    </row>
    <row r="91" spans="1:9" x14ac:dyDescent="0.2">
      <c r="A91" t="s">
        <v>351</v>
      </c>
      <c r="B91" t="s">
        <v>351</v>
      </c>
      <c r="C91" t="s">
        <v>352</v>
      </c>
      <c r="D91">
        <v>1884</v>
      </c>
      <c r="E91">
        <v>2</v>
      </c>
      <c r="F91">
        <v>2</v>
      </c>
      <c r="G91" t="s">
        <v>140</v>
      </c>
      <c r="H91" t="s">
        <v>12</v>
      </c>
      <c r="I91" t="s">
        <v>353</v>
      </c>
    </row>
    <row r="92" spans="1:9" x14ac:dyDescent="0.2">
      <c r="A92" t="s">
        <v>354</v>
      </c>
      <c r="B92" t="s">
        <v>351</v>
      </c>
      <c r="C92" t="s">
        <v>355</v>
      </c>
      <c r="D92">
        <v>1884</v>
      </c>
      <c r="E92">
        <v>1</v>
      </c>
      <c r="F92">
        <v>1</v>
      </c>
      <c r="G92" t="s">
        <v>140</v>
      </c>
      <c r="H92" t="s">
        <v>12</v>
      </c>
      <c r="I92" t="s">
        <v>356</v>
      </c>
    </row>
    <row r="93" spans="1:9" x14ac:dyDescent="0.2">
      <c r="A93" t="s">
        <v>357</v>
      </c>
      <c r="B93" t="s">
        <v>357</v>
      </c>
      <c r="C93" t="s">
        <v>358</v>
      </c>
      <c r="D93">
        <v>1895</v>
      </c>
      <c r="E93">
        <v>1</v>
      </c>
      <c r="F93">
        <v>2</v>
      </c>
      <c r="G93" t="s">
        <v>359</v>
      </c>
      <c r="H93" t="s">
        <v>17</v>
      </c>
      <c r="I93" t="s">
        <v>360</v>
      </c>
    </row>
    <row r="94" spans="1:9" x14ac:dyDescent="0.2">
      <c r="A94" t="s">
        <v>361</v>
      </c>
      <c r="B94" t="s">
        <v>362</v>
      </c>
      <c r="C94" t="s">
        <v>363</v>
      </c>
      <c r="D94">
        <v>1973</v>
      </c>
      <c r="E94">
        <v>7</v>
      </c>
      <c r="F94">
        <v>12</v>
      </c>
      <c r="G94" t="s">
        <v>364</v>
      </c>
      <c r="H94" t="s">
        <v>17</v>
      </c>
      <c r="I94" t="s">
        <v>365</v>
      </c>
    </row>
    <row r="95" spans="1:9" x14ac:dyDescent="0.2">
      <c r="A95" t="s">
        <v>366</v>
      </c>
      <c r="B95" t="s">
        <v>362</v>
      </c>
      <c r="C95" t="s">
        <v>367</v>
      </c>
      <c r="D95">
        <v>1843</v>
      </c>
      <c r="E95">
        <v>3</v>
      </c>
      <c r="F95">
        <v>5</v>
      </c>
      <c r="G95" t="s">
        <v>334</v>
      </c>
      <c r="H95" t="s">
        <v>368</v>
      </c>
      <c r="I95" t="s">
        <v>369</v>
      </c>
    </row>
    <row r="96" spans="1:9" x14ac:dyDescent="0.2">
      <c r="A96" t="s">
        <v>370</v>
      </c>
      <c r="B96" t="s">
        <v>362</v>
      </c>
      <c r="C96" t="s">
        <v>371</v>
      </c>
      <c r="D96">
        <v>1907</v>
      </c>
      <c r="E96">
        <v>3</v>
      </c>
      <c r="F96">
        <v>4</v>
      </c>
      <c r="G96" t="s">
        <v>334</v>
      </c>
      <c r="H96" t="s">
        <v>17</v>
      </c>
      <c r="I96" t="s">
        <v>372</v>
      </c>
    </row>
    <row r="97" spans="1:9" x14ac:dyDescent="0.2">
      <c r="A97" t="s">
        <v>373</v>
      </c>
      <c r="B97" t="s">
        <v>362</v>
      </c>
      <c r="C97" t="s">
        <v>374</v>
      </c>
      <c r="D97">
        <v>1966</v>
      </c>
      <c r="E97">
        <v>3</v>
      </c>
      <c r="F97">
        <v>4</v>
      </c>
      <c r="G97" t="s">
        <v>334</v>
      </c>
      <c r="H97" t="s">
        <v>17</v>
      </c>
      <c r="I97" t="s">
        <v>375</v>
      </c>
    </row>
    <row r="98" spans="1:9" x14ac:dyDescent="0.2">
      <c r="A98" t="s">
        <v>376</v>
      </c>
      <c r="B98" t="s">
        <v>362</v>
      </c>
      <c r="C98" t="s">
        <v>377</v>
      </c>
      <c r="D98">
        <v>1996</v>
      </c>
      <c r="E98">
        <v>2</v>
      </c>
      <c r="F98">
        <v>4</v>
      </c>
      <c r="G98" t="s">
        <v>334</v>
      </c>
      <c r="H98" t="s">
        <v>17</v>
      </c>
      <c r="I98" t="s">
        <v>378</v>
      </c>
    </row>
    <row r="99" spans="1:9" x14ac:dyDescent="0.2">
      <c r="A99" t="s">
        <v>379</v>
      </c>
      <c r="B99" t="s">
        <v>362</v>
      </c>
      <c r="C99" t="s">
        <v>380</v>
      </c>
      <c r="D99">
        <v>2005</v>
      </c>
      <c r="E99">
        <v>2</v>
      </c>
      <c r="F99">
        <v>2</v>
      </c>
      <c r="G99" t="s">
        <v>364</v>
      </c>
      <c r="H99" t="s">
        <v>17</v>
      </c>
      <c r="I99" t="s">
        <v>381</v>
      </c>
    </row>
    <row r="100" spans="1:9" x14ac:dyDescent="0.2">
      <c r="A100" t="s">
        <v>382</v>
      </c>
      <c r="B100" t="s">
        <v>382</v>
      </c>
      <c r="C100" t="s">
        <v>383</v>
      </c>
      <c r="D100">
        <v>1865</v>
      </c>
      <c r="E100">
        <v>2</v>
      </c>
      <c r="F100">
        <v>3</v>
      </c>
      <c r="G100" t="s">
        <v>124</v>
      </c>
      <c r="H100" t="s">
        <v>17</v>
      </c>
      <c r="I100" t="s">
        <v>384</v>
      </c>
    </row>
    <row r="101" spans="1:9" x14ac:dyDescent="0.2">
      <c r="A101" t="s">
        <v>385</v>
      </c>
      <c r="B101" t="s">
        <v>382</v>
      </c>
      <c r="C101" t="s">
        <v>386</v>
      </c>
      <c r="D101">
        <v>1980</v>
      </c>
      <c r="E101">
        <v>2</v>
      </c>
      <c r="F101">
        <v>2</v>
      </c>
      <c r="G101" t="s">
        <v>124</v>
      </c>
      <c r="H101" t="s">
        <v>17</v>
      </c>
      <c r="I101" t="s">
        <v>387</v>
      </c>
    </row>
    <row r="102" spans="1:9" x14ac:dyDescent="0.2">
      <c r="A102" t="s">
        <v>388</v>
      </c>
      <c r="B102" t="s">
        <v>388</v>
      </c>
      <c r="C102" t="s">
        <v>389</v>
      </c>
      <c r="D102">
        <v>1864</v>
      </c>
      <c r="E102">
        <v>2</v>
      </c>
      <c r="F102">
        <v>3</v>
      </c>
      <c r="G102" t="s">
        <v>390</v>
      </c>
      <c r="H102" t="s">
        <v>17</v>
      </c>
      <c r="I102" t="s">
        <v>391</v>
      </c>
    </row>
    <row r="103" spans="1:9" x14ac:dyDescent="0.2">
      <c r="A103" t="s">
        <v>392</v>
      </c>
      <c r="B103" t="s">
        <v>392</v>
      </c>
      <c r="C103" t="s">
        <v>393</v>
      </c>
      <c r="D103">
        <v>1865</v>
      </c>
      <c r="E103">
        <v>2</v>
      </c>
      <c r="F103">
        <v>3</v>
      </c>
      <c r="G103" t="s">
        <v>394</v>
      </c>
      <c r="H103" t="s">
        <v>395</v>
      </c>
      <c r="I103" t="s">
        <v>396</v>
      </c>
    </row>
    <row r="104" spans="1:9" x14ac:dyDescent="0.2">
      <c r="A104" t="s">
        <v>397</v>
      </c>
      <c r="B104" t="s">
        <v>392</v>
      </c>
      <c r="C104" t="s">
        <v>398</v>
      </c>
      <c r="D104">
        <v>1989</v>
      </c>
      <c r="E104">
        <v>2</v>
      </c>
      <c r="F104">
        <v>2</v>
      </c>
      <c r="G104" t="s">
        <v>399</v>
      </c>
      <c r="H104" t="s">
        <v>17</v>
      </c>
      <c r="I104" t="s">
        <v>400</v>
      </c>
    </row>
    <row r="105" spans="1:9" x14ac:dyDescent="0.2">
      <c r="A105" t="s">
        <v>401</v>
      </c>
      <c r="B105" t="s">
        <v>401</v>
      </c>
      <c r="C105" t="s">
        <v>402</v>
      </c>
      <c r="D105">
        <v>1885</v>
      </c>
      <c r="E105">
        <v>2</v>
      </c>
      <c r="F105">
        <v>2</v>
      </c>
      <c r="G105" t="s">
        <v>11</v>
      </c>
      <c r="H105" t="s">
        <v>403</v>
      </c>
      <c r="I105" t="s">
        <v>404</v>
      </c>
    </row>
    <row r="106" spans="1:9" x14ac:dyDescent="0.2">
      <c r="A106" t="s">
        <v>405</v>
      </c>
      <c r="B106" t="s">
        <v>405</v>
      </c>
      <c r="C106" t="s">
        <v>406</v>
      </c>
      <c r="D106">
        <v>1974</v>
      </c>
      <c r="E106">
        <v>2</v>
      </c>
      <c r="F106">
        <v>2</v>
      </c>
      <c r="G106" t="s">
        <v>113</v>
      </c>
      <c r="H106" t="s">
        <v>17</v>
      </c>
      <c r="I106" t="s">
        <v>407</v>
      </c>
    </row>
    <row r="107" spans="1:9" x14ac:dyDescent="0.2">
      <c r="A107" t="s">
        <v>408</v>
      </c>
      <c r="B107" t="s">
        <v>405</v>
      </c>
      <c r="C107" t="s">
        <v>409</v>
      </c>
      <c r="D107">
        <v>1993</v>
      </c>
      <c r="E107">
        <v>1</v>
      </c>
      <c r="F107">
        <v>2</v>
      </c>
      <c r="G107" t="s">
        <v>109</v>
      </c>
      <c r="H107" t="s">
        <v>17</v>
      </c>
      <c r="I107" t="s">
        <v>410</v>
      </c>
    </row>
    <row r="108" spans="1:9" x14ac:dyDescent="0.2">
      <c r="A108" t="s">
        <v>411</v>
      </c>
      <c r="B108" t="s">
        <v>411</v>
      </c>
      <c r="C108" t="s">
        <v>412</v>
      </c>
      <c r="D108">
        <v>1865</v>
      </c>
      <c r="E108">
        <v>2</v>
      </c>
      <c r="F108">
        <v>3</v>
      </c>
      <c r="G108" t="s">
        <v>413</v>
      </c>
      <c r="H108" t="s">
        <v>414</v>
      </c>
      <c r="I108" t="s">
        <v>415</v>
      </c>
    </row>
    <row r="109" spans="1:9" x14ac:dyDescent="0.2">
      <c r="A109" t="s">
        <v>416</v>
      </c>
      <c r="B109" t="s">
        <v>416</v>
      </c>
      <c r="C109" t="s">
        <v>417</v>
      </c>
      <c r="D109">
        <v>1885</v>
      </c>
      <c r="E109">
        <v>1</v>
      </c>
      <c r="F109">
        <v>2</v>
      </c>
      <c r="G109" t="s">
        <v>11</v>
      </c>
      <c r="H109" t="s">
        <v>403</v>
      </c>
      <c r="I109" t="s">
        <v>418</v>
      </c>
    </row>
    <row r="110" spans="1:9" x14ac:dyDescent="0.2">
      <c r="A110" t="s">
        <v>419</v>
      </c>
      <c r="B110" t="s">
        <v>416</v>
      </c>
      <c r="C110" t="s">
        <v>420</v>
      </c>
      <c r="D110">
        <v>1985</v>
      </c>
      <c r="E110">
        <v>1</v>
      </c>
      <c r="F110">
        <v>1</v>
      </c>
      <c r="G110" t="s">
        <v>11</v>
      </c>
      <c r="H110" t="s">
        <v>403</v>
      </c>
      <c r="I110" t="s">
        <v>421</v>
      </c>
    </row>
    <row r="111" spans="1:9" x14ac:dyDescent="0.2">
      <c r="A111" t="s">
        <v>422</v>
      </c>
      <c r="B111" t="s">
        <v>422</v>
      </c>
      <c r="C111" t="s">
        <v>423</v>
      </c>
      <c r="D111">
        <v>1872</v>
      </c>
      <c r="E111">
        <v>3</v>
      </c>
      <c r="F111">
        <v>7</v>
      </c>
      <c r="G111" t="s">
        <v>424</v>
      </c>
      <c r="H111" t="s">
        <v>425</v>
      </c>
      <c r="I111" t="s">
        <v>426</v>
      </c>
    </row>
    <row r="112" spans="1:9" x14ac:dyDescent="0.2">
      <c r="A112" t="s">
        <v>427</v>
      </c>
      <c r="B112" t="s">
        <v>422</v>
      </c>
      <c r="C112" t="s">
        <v>428</v>
      </c>
      <c r="D112">
        <v>1990</v>
      </c>
      <c r="E112">
        <v>2</v>
      </c>
      <c r="F112">
        <v>2</v>
      </c>
      <c r="G112" t="s">
        <v>144</v>
      </c>
      <c r="H112" t="s">
        <v>145</v>
      </c>
      <c r="I112" t="s">
        <v>429</v>
      </c>
    </row>
    <row r="113" spans="1:9" x14ac:dyDescent="0.2">
      <c r="A113" t="s">
        <v>430</v>
      </c>
      <c r="B113" t="s">
        <v>422</v>
      </c>
      <c r="C113" t="s">
        <v>431</v>
      </c>
      <c r="D113">
        <v>1973</v>
      </c>
      <c r="E113">
        <v>2</v>
      </c>
      <c r="F113">
        <v>2</v>
      </c>
      <c r="G113" t="s">
        <v>187</v>
      </c>
      <c r="H113" t="s">
        <v>17</v>
      </c>
      <c r="I113" t="s">
        <v>432</v>
      </c>
    </row>
    <row r="114" spans="1:9" x14ac:dyDescent="0.2">
      <c r="A114" t="s">
        <v>433</v>
      </c>
      <c r="B114" t="s">
        <v>434</v>
      </c>
      <c r="C114" t="s">
        <v>435</v>
      </c>
      <c r="D114">
        <v>1844</v>
      </c>
      <c r="E114">
        <v>1</v>
      </c>
      <c r="F114">
        <v>2</v>
      </c>
      <c r="G114" t="s">
        <v>16</v>
      </c>
      <c r="H114" t="s">
        <v>17</v>
      </c>
      <c r="I114" t="s">
        <v>436</v>
      </c>
    </row>
    <row r="115" spans="1:9" x14ac:dyDescent="0.2">
      <c r="A115" t="s">
        <v>437</v>
      </c>
      <c r="B115" t="s">
        <v>437</v>
      </c>
      <c r="C115" t="s">
        <v>438</v>
      </c>
      <c r="D115">
        <v>1957</v>
      </c>
      <c r="E115">
        <v>1</v>
      </c>
      <c r="F115">
        <v>2</v>
      </c>
      <c r="G115" t="s">
        <v>223</v>
      </c>
      <c r="H115" t="s">
        <v>17</v>
      </c>
      <c r="I115" t="s">
        <v>439</v>
      </c>
    </row>
    <row r="116" spans="1:9" x14ac:dyDescent="0.2">
      <c r="A116" t="s">
        <v>440</v>
      </c>
      <c r="B116" t="s">
        <v>441</v>
      </c>
      <c r="C116" t="s">
        <v>442</v>
      </c>
      <c r="D116">
        <v>1863</v>
      </c>
      <c r="E116">
        <v>1</v>
      </c>
      <c r="F116">
        <v>2</v>
      </c>
      <c r="G116" t="s">
        <v>287</v>
      </c>
      <c r="H116" t="s">
        <v>12</v>
      </c>
      <c r="I116" t="s">
        <v>443</v>
      </c>
    </row>
    <row r="117" spans="1:9" x14ac:dyDescent="0.2">
      <c r="A117" t="s">
        <v>444</v>
      </c>
      <c r="B117" t="s">
        <v>444</v>
      </c>
      <c r="C117" t="s">
        <v>445</v>
      </c>
      <c r="D117">
        <v>2012</v>
      </c>
      <c r="E117">
        <v>2</v>
      </c>
      <c r="F117">
        <v>2</v>
      </c>
      <c r="G117" t="s">
        <v>446</v>
      </c>
      <c r="H117" t="s">
        <v>17</v>
      </c>
      <c r="I117" t="s">
        <v>447</v>
      </c>
    </row>
    <row r="118" spans="1:9" x14ac:dyDescent="0.2">
      <c r="A118" t="s">
        <v>448</v>
      </c>
      <c r="B118" t="s">
        <v>448</v>
      </c>
      <c r="C118" t="s">
        <v>449</v>
      </c>
      <c r="D118">
        <v>1980</v>
      </c>
      <c r="E118">
        <v>2</v>
      </c>
      <c r="F118">
        <v>2</v>
      </c>
      <c r="G118" t="s">
        <v>16</v>
      </c>
      <c r="H118" t="s">
        <v>403</v>
      </c>
      <c r="I118" t="s">
        <v>450</v>
      </c>
    </row>
    <row r="119" spans="1:9" x14ac:dyDescent="0.2">
      <c r="A119" t="s">
        <v>451</v>
      </c>
      <c r="B119" t="s">
        <v>451</v>
      </c>
      <c r="C119" t="s">
        <v>452</v>
      </c>
      <c r="D119">
        <v>1993</v>
      </c>
      <c r="E119">
        <v>3</v>
      </c>
      <c r="F119">
        <v>4</v>
      </c>
      <c r="G119" t="s">
        <v>453</v>
      </c>
      <c r="H119" t="s">
        <v>47</v>
      </c>
      <c r="I119" t="s">
        <v>454</v>
      </c>
    </row>
    <row r="120" spans="1:9" x14ac:dyDescent="0.2">
      <c r="A120" t="s">
        <v>455</v>
      </c>
      <c r="B120" t="s">
        <v>455</v>
      </c>
      <c r="C120" t="s">
        <v>456</v>
      </c>
      <c r="D120">
        <v>1862</v>
      </c>
      <c r="E120">
        <v>1</v>
      </c>
      <c r="F120">
        <v>2</v>
      </c>
      <c r="G120" t="s">
        <v>207</v>
      </c>
      <c r="H120" t="s">
        <v>12</v>
      </c>
      <c r="I120" t="s">
        <v>457</v>
      </c>
    </row>
    <row r="121" spans="1:9" x14ac:dyDescent="0.2">
      <c r="A121" t="s">
        <v>458</v>
      </c>
      <c r="B121" t="s">
        <v>459</v>
      </c>
      <c r="C121" t="s">
        <v>460</v>
      </c>
      <c r="D121">
        <v>1902</v>
      </c>
      <c r="E121">
        <v>1</v>
      </c>
      <c r="F121">
        <v>1</v>
      </c>
      <c r="G121" t="s">
        <v>192</v>
      </c>
      <c r="H121" t="s">
        <v>193</v>
      </c>
      <c r="I121" t="s">
        <v>87</v>
      </c>
    </row>
    <row r="122" spans="1:9" x14ac:dyDescent="0.2">
      <c r="A122" t="s">
        <v>461</v>
      </c>
      <c r="B122" t="s">
        <v>459</v>
      </c>
      <c r="C122" t="s">
        <v>462</v>
      </c>
      <c r="D122">
        <v>1845</v>
      </c>
      <c r="E122">
        <v>2</v>
      </c>
      <c r="F122">
        <v>3</v>
      </c>
      <c r="G122" t="s">
        <v>463</v>
      </c>
      <c r="H122" t="s">
        <v>38</v>
      </c>
      <c r="I122" t="s">
        <v>464</v>
      </c>
    </row>
    <row r="123" spans="1:9" x14ac:dyDescent="0.2">
      <c r="A123" t="s">
        <v>465</v>
      </c>
      <c r="B123" t="s">
        <v>466</v>
      </c>
      <c r="C123" t="s">
        <v>467</v>
      </c>
      <c r="D123">
        <v>2018</v>
      </c>
      <c r="E123">
        <v>1</v>
      </c>
      <c r="F123">
        <v>1</v>
      </c>
      <c r="G123" t="s">
        <v>468</v>
      </c>
      <c r="H123" t="s">
        <v>12</v>
      </c>
      <c r="I123" t="s">
        <v>87</v>
      </c>
    </row>
    <row r="124" spans="1:9" x14ac:dyDescent="0.2">
      <c r="A124" t="s">
        <v>469</v>
      </c>
      <c r="B124" t="s">
        <v>469</v>
      </c>
      <c r="C124" t="s">
        <v>470</v>
      </c>
      <c r="D124">
        <v>1861</v>
      </c>
      <c r="E124">
        <v>1</v>
      </c>
      <c r="F124">
        <v>2</v>
      </c>
      <c r="G124" t="s">
        <v>471</v>
      </c>
      <c r="H124" t="s">
        <v>12</v>
      </c>
      <c r="I124" t="s">
        <v>472</v>
      </c>
    </row>
    <row r="125" spans="1:9" x14ac:dyDescent="0.2">
      <c r="A125" t="s">
        <v>473</v>
      </c>
      <c r="B125" t="s">
        <v>474</v>
      </c>
      <c r="C125" t="s">
        <v>475</v>
      </c>
      <c r="D125">
        <v>1866</v>
      </c>
      <c r="E125">
        <v>3</v>
      </c>
      <c r="F125">
        <v>6</v>
      </c>
      <c r="G125" t="s">
        <v>476</v>
      </c>
      <c r="H125" t="s">
        <v>47</v>
      </c>
      <c r="I125" t="s">
        <v>477</v>
      </c>
    </row>
    <row r="126" spans="1:9" x14ac:dyDescent="0.2">
      <c r="A126" t="s">
        <v>478</v>
      </c>
      <c r="B126" t="s">
        <v>474</v>
      </c>
      <c r="C126" t="s">
        <v>479</v>
      </c>
      <c r="D126">
        <v>1990</v>
      </c>
      <c r="E126">
        <v>1</v>
      </c>
      <c r="F126">
        <v>1</v>
      </c>
      <c r="G126" t="s">
        <v>207</v>
      </c>
      <c r="H126" t="s">
        <v>17</v>
      </c>
      <c r="I126" t="s">
        <v>87</v>
      </c>
    </row>
    <row r="127" spans="1:9" x14ac:dyDescent="0.2">
      <c r="A127" t="s">
        <v>480</v>
      </c>
      <c r="B127" t="s">
        <v>474</v>
      </c>
      <c r="C127" t="s">
        <v>481</v>
      </c>
      <c r="D127">
        <v>1971</v>
      </c>
      <c r="E127">
        <v>3</v>
      </c>
      <c r="F127">
        <v>4</v>
      </c>
      <c r="G127" t="s">
        <v>207</v>
      </c>
      <c r="H127" t="s">
        <v>17</v>
      </c>
      <c r="I127" t="s">
        <v>482</v>
      </c>
    </row>
    <row r="128" spans="1:9" x14ac:dyDescent="0.2">
      <c r="A128" t="s">
        <v>483</v>
      </c>
      <c r="B128" t="s">
        <v>483</v>
      </c>
      <c r="C128" t="s">
        <v>484</v>
      </c>
      <c r="D128">
        <v>1879</v>
      </c>
      <c r="E128">
        <v>2</v>
      </c>
      <c r="F128">
        <v>3</v>
      </c>
      <c r="G128" t="s">
        <v>485</v>
      </c>
      <c r="H128" t="s">
        <v>47</v>
      </c>
      <c r="I128" t="s">
        <v>486</v>
      </c>
    </row>
    <row r="129" spans="1:9" x14ac:dyDescent="0.2">
      <c r="A129" t="s">
        <v>487</v>
      </c>
      <c r="B129" t="s">
        <v>487</v>
      </c>
      <c r="C129" t="s">
        <v>488</v>
      </c>
      <c r="D129">
        <v>1905</v>
      </c>
      <c r="E129">
        <v>2</v>
      </c>
      <c r="F129">
        <v>2</v>
      </c>
      <c r="G129" t="s">
        <v>312</v>
      </c>
      <c r="H129" t="s">
        <v>12</v>
      </c>
      <c r="I129" t="s">
        <v>489</v>
      </c>
    </row>
    <row r="130" spans="1:9" x14ac:dyDescent="0.2">
      <c r="A130" t="s">
        <v>490</v>
      </c>
      <c r="B130" t="s">
        <v>487</v>
      </c>
      <c r="C130" t="s">
        <v>491</v>
      </c>
      <c r="D130">
        <v>2011</v>
      </c>
      <c r="E130">
        <v>2</v>
      </c>
      <c r="F130">
        <v>2</v>
      </c>
      <c r="G130" t="s">
        <v>312</v>
      </c>
      <c r="H130" t="s">
        <v>12</v>
      </c>
      <c r="I130" t="s">
        <v>87</v>
      </c>
    </row>
    <row r="131" spans="1:9" x14ac:dyDescent="0.2">
      <c r="A131" t="s">
        <v>492</v>
      </c>
      <c r="B131" t="s">
        <v>492</v>
      </c>
      <c r="C131" t="s">
        <v>493</v>
      </c>
      <c r="D131">
        <v>1885</v>
      </c>
      <c r="E131">
        <v>1</v>
      </c>
      <c r="F131">
        <v>2</v>
      </c>
      <c r="G131" t="s">
        <v>256</v>
      </c>
      <c r="H131" t="s">
        <v>17</v>
      </c>
      <c r="I131" t="s">
        <v>494</v>
      </c>
    </row>
    <row r="132" spans="1:9" x14ac:dyDescent="0.2">
      <c r="A132" t="s">
        <v>495</v>
      </c>
      <c r="B132" t="s">
        <v>495</v>
      </c>
      <c r="C132" t="s">
        <v>496</v>
      </c>
      <c r="D132">
        <v>1866</v>
      </c>
      <c r="E132">
        <v>2</v>
      </c>
      <c r="F132">
        <v>5</v>
      </c>
      <c r="G132" t="s">
        <v>344</v>
      </c>
      <c r="H132" t="s">
        <v>497</v>
      </c>
      <c r="I132" t="s">
        <v>498</v>
      </c>
    </row>
    <row r="133" spans="1:9" x14ac:dyDescent="0.2">
      <c r="A133" t="s">
        <v>499</v>
      </c>
      <c r="B133" t="s">
        <v>495</v>
      </c>
      <c r="C133" t="s">
        <v>500</v>
      </c>
      <c r="D133">
        <v>2001</v>
      </c>
      <c r="E133">
        <v>1</v>
      </c>
      <c r="F133">
        <v>1</v>
      </c>
      <c r="G133" t="s">
        <v>344</v>
      </c>
      <c r="H133" t="s">
        <v>501</v>
      </c>
      <c r="I133" t="s">
        <v>502</v>
      </c>
    </row>
    <row r="134" spans="1:9" x14ac:dyDescent="0.2">
      <c r="A134" t="s">
        <v>503</v>
      </c>
      <c r="B134" t="s">
        <v>495</v>
      </c>
      <c r="C134" t="s">
        <v>504</v>
      </c>
      <c r="D134">
        <v>1996</v>
      </c>
      <c r="E134">
        <v>2</v>
      </c>
      <c r="F134">
        <v>2</v>
      </c>
      <c r="G134" t="s">
        <v>344</v>
      </c>
      <c r="H134" t="s">
        <v>38</v>
      </c>
      <c r="I134" t="s">
        <v>505</v>
      </c>
    </row>
    <row r="135" spans="1:9" x14ac:dyDescent="0.2">
      <c r="A135" t="s">
        <v>506</v>
      </c>
      <c r="B135" t="s">
        <v>506</v>
      </c>
      <c r="C135" t="s">
        <v>507</v>
      </c>
      <c r="D135">
        <v>1882</v>
      </c>
      <c r="E135">
        <v>1</v>
      </c>
      <c r="F135">
        <v>2</v>
      </c>
      <c r="G135" t="s">
        <v>74</v>
      </c>
      <c r="H135" t="s">
        <v>17</v>
      </c>
      <c r="I135" t="s">
        <v>508</v>
      </c>
    </row>
    <row r="136" spans="1:9" x14ac:dyDescent="0.2">
      <c r="A136" t="s">
        <v>509</v>
      </c>
      <c r="B136" t="s">
        <v>509</v>
      </c>
      <c r="C136" t="s">
        <v>510</v>
      </c>
      <c r="D136">
        <v>1965</v>
      </c>
      <c r="E136">
        <v>2</v>
      </c>
      <c r="F136">
        <v>2</v>
      </c>
      <c r="G136" t="s">
        <v>511</v>
      </c>
      <c r="H136" t="s">
        <v>17</v>
      </c>
      <c r="I136" t="s">
        <v>512</v>
      </c>
    </row>
    <row r="137" spans="1:9" x14ac:dyDescent="0.2">
      <c r="A137" t="s">
        <v>513</v>
      </c>
      <c r="B137" t="s">
        <v>513</v>
      </c>
      <c r="C137" t="s">
        <v>514</v>
      </c>
      <c r="D137">
        <v>1949</v>
      </c>
      <c r="E137">
        <v>1</v>
      </c>
      <c r="F137">
        <v>1</v>
      </c>
      <c r="G137" t="s">
        <v>515</v>
      </c>
      <c r="H137" t="s">
        <v>12</v>
      </c>
      <c r="I137" t="s">
        <v>87</v>
      </c>
    </row>
    <row r="138" spans="1:9" x14ac:dyDescent="0.2">
      <c r="A138" t="s">
        <v>516</v>
      </c>
      <c r="B138" t="s">
        <v>513</v>
      </c>
      <c r="C138" t="s">
        <v>517</v>
      </c>
      <c r="D138">
        <v>2007</v>
      </c>
      <c r="E138">
        <v>1</v>
      </c>
      <c r="F138">
        <v>1</v>
      </c>
      <c r="G138" t="s">
        <v>518</v>
      </c>
      <c r="H138" t="s">
        <v>12</v>
      </c>
      <c r="I138" t="s">
        <v>87</v>
      </c>
    </row>
    <row r="139" spans="1:9" x14ac:dyDescent="0.2">
      <c r="A139" t="s">
        <v>519</v>
      </c>
      <c r="B139" t="s">
        <v>520</v>
      </c>
      <c r="C139" t="s">
        <v>521</v>
      </c>
      <c r="D139">
        <v>1866</v>
      </c>
      <c r="E139">
        <v>1</v>
      </c>
      <c r="F139">
        <v>2</v>
      </c>
      <c r="G139" t="s">
        <v>287</v>
      </c>
      <c r="H139" t="s">
        <v>12</v>
      </c>
      <c r="I139" t="s">
        <v>87</v>
      </c>
    </row>
    <row r="140" spans="1:9" x14ac:dyDescent="0.2">
      <c r="A140" t="s">
        <v>522</v>
      </c>
      <c r="B140" t="s">
        <v>522</v>
      </c>
      <c r="C140" t="s">
        <v>523</v>
      </c>
      <c r="D140">
        <v>1863</v>
      </c>
      <c r="E140">
        <v>1</v>
      </c>
      <c r="F140">
        <v>2</v>
      </c>
      <c r="G140" t="s">
        <v>287</v>
      </c>
      <c r="H140" t="s">
        <v>12</v>
      </c>
      <c r="I140" t="s">
        <v>524</v>
      </c>
    </row>
    <row r="141" spans="1:9" x14ac:dyDescent="0.2">
      <c r="A141" t="s">
        <v>525</v>
      </c>
      <c r="B141" t="s">
        <v>525</v>
      </c>
      <c r="C141" t="s">
        <v>526</v>
      </c>
      <c r="D141">
        <v>2006</v>
      </c>
      <c r="E141">
        <v>1</v>
      </c>
      <c r="F141">
        <v>1</v>
      </c>
      <c r="G141" t="s">
        <v>11</v>
      </c>
      <c r="H141" t="s">
        <v>12</v>
      </c>
      <c r="I141" t="s">
        <v>87</v>
      </c>
    </row>
    <row r="142" spans="1:9" x14ac:dyDescent="0.2">
      <c r="A142" t="s">
        <v>527</v>
      </c>
      <c r="B142" t="s">
        <v>527</v>
      </c>
      <c r="C142" t="s">
        <v>528</v>
      </c>
      <c r="D142">
        <v>1868</v>
      </c>
      <c r="E142">
        <v>3</v>
      </c>
      <c r="F142">
        <v>5</v>
      </c>
      <c r="G142" t="s">
        <v>529</v>
      </c>
      <c r="H142" t="s">
        <v>425</v>
      </c>
      <c r="I142" t="s">
        <v>530</v>
      </c>
    </row>
    <row r="143" spans="1:9" x14ac:dyDescent="0.2">
      <c r="A143" t="s">
        <v>531</v>
      </c>
      <c r="B143" t="s">
        <v>531</v>
      </c>
      <c r="C143" t="s">
        <v>532</v>
      </c>
      <c r="D143">
        <v>1913</v>
      </c>
      <c r="E143">
        <v>1</v>
      </c>
      <c r="F143">
        <v>2</v>
      </c>
      <c r="G143" t="s">
        <v>533</v>
      </c>
      <c r="H143" t="s">
        <v>17</v>
      </c>
      <c r="I143" t="s">
        <v>534</v>
      </c>
    </row>
    <row r="144" spans="1:9" x14ac:dyDescent="0.2">
      <c r="A144" t="s">
        <v>535</v>
      </c>
      <c r="B144" t="s">
        <v>536</v>
      </c>
      <c r="C144" t="s">
        <v>537</v>
      </c>
      <c r="D144">
        <v>1862</v>
      </c>
      <c r="E144">
        <v>1</v>
      </c>
      <c r="F144">
        <v>2</v>
      </c>
      <c r="G144" t="s">
        <v>207</v>
      </c>
      <c r="H144" t="s">
        <v>12</v>
      </c>
      <c r="I144" t="s">
        <v>538</v>
      </c>
    </row>
    <row r="145" spans="1:9" x14ac:dyDescent="0.2">
      <c r="A145" t="s">
        <v>539</v>
      </c>
      <c r="B145" t="s">
        <v>536</v>
      </c>
      <c r="C145" t="s">
        <v>540</v>
      </c>
      <c r="D145">
        <v>1893</v>
      </c>
      <c r="E145">
        <v>1</v>
      </c>
      <c r="F145">
        <v>2</v>
      </c>
      <c r="G145" t="s">
        <v>518</v>
      </c>
      <c r="H145" t="s">
        <v>12</v>
      </c>
      <c r="I145" t="s">
        <v>541</v>
      </c>
    </row>
    <row r="146" spans="1:9" x14ac:dyDescent="0.2">
      <c r="A146" t="s">
        <v>542</v>
      </c>
      <c r="B146" t="s">
        <v>543</v>
      </c>
      <c r="C146" t="s">
        <v>544</v>
      </c>
      <c r="D146">
        <v>1863</v>
      </c>
      <c r="E146">
        <v>1</v>
      </c>
      <c r="F146">
        <v>2</v>
      </c>
      <c r="G146" t="s">
        <v>545</v>
      </c>
      <c r="H146" t="s">
        <v>17</v>
      </c>
      <c r="I146" t="s">
        <v>546</v>
      </c>
    </row>
    <row r="147" spans="1:9" x14ac:dyDescent="0.2">
      <c r="A147" t="s">
        <v>547</v>
      </c>
      <c r="B147" t="s">
        <v>547</v>
      </c>
      <c r="C147" t="s">
        <v>548</v>
      </c>
      <c r="D147">
        <v>2001</v>
      </c>
      <c r="E147">
        <v>1</v>
      </c>
      <c r="F147">
        <v>1</v>
      </c>
      <c r="G147" t="s">
        <v>344</v>
      </c>
      <c r="H147" t="s">
        <v>501</v>
      </c>
      <c r="I147" t="s">
        <v>87</v>
      </c>
    </row>
    <row r="148" spans="1:9" x14ac:dyDescent="0.2">
      <c r="A148" t="s">
        <v>549</v>
      </c>
      <c r="B148" t="s">
        <v>549</v>
      </c>
      <c r="C148" t="s">
        <v>550</v>
      </c>
      <c r="D148">
        <v>1868</v>
      </c>
      <c r="E148">
        <v>1</v>
      </c>
      <c r="F148">
        <v>2</v>
      </c>
      <c r="G148" t="s">
        <v>149</v>
      </c>
      <c r="H148" t="s">
        <v>17</v>
      </c>
      <c r="I148" t="s">
        <v>551</v>
      </c>
    </row>
    <row r="149" spans="1:9" x14ac:dyDescent="0.2">
      <c r="A149" t="s">
        <v>552</v>
      </c>
      <c r="B149" t="s">
        <v>552</v>
      </c>
      <c r="C149" t="s">
        <v>553</v>
      </c>
      <c r="D149">
        <v>1865</v>
      </c>
      <c r="E149">
        <v>2</v>
      </c>
      <c r="F149">
        <v>2</v>
      </c>
      <c r="G149" t="s">
        <v>344</v>
      </c>
      <c r="H149" t="s">
        <v>12</v>
      </c>
      <c r="I149" t="s">
        <v>554</v>
      </c>
    </row>
    <row r="150" spans="1:9" x14ac:dyDescent="0.2">
      <c r="A150" t="s">
        <v>555</v>
      </c>
      <c r="B150" t="s">
        <v>555</v>
      </c>
      <c r="C150" t="s">
        <v>556</v>
      </c>
      <c r="D150">
        <v>1883</v>
      </c>
      <c r="E150">
        <v>2</v>
      </c>
      <c r="F150">
        <v>2</v>
      </c>
      <c r="G150" t="s">
        <v>144</v>
      </c>
      <c r="H150" t="s">
        <v>145</v>
      </c>
      <c r="I150" t="s">
        <v>557</v>
      </c>
    </row>
    <row r="151" spans="1:9" x14ac:dyDescent="0.2">
      <c r="A151" t="s">
        <v>558</v>
      </c>
      <c r="B151" t="s">
        <v>558</v>
      </c>
      <c r="C151" t="s">
        <v>559</v>
      </c>
      <c r="D151">
        <v>1855</v>
      </c>
      <c r="E151">
        <v>3</v>
      </c>
      <c r="F151">
        <v>5</v>
      </c>
      <c r="G151" t="s">
        <v>560</v>
      </c>
      <c r="H151" t="s">
        <v>17</v>
      </c>
      <c r="I151" t="s">
        <v>561</v>
      </c>
    </row>
    <row r="152" spans="1:9" x14ac:dyDescent="0.2">
      <c r="A152" t="s">
        <v>562</v>
      </c>
      <c r="B152" t="s">
        <v>558</v>
      </c>
      <c r="C152" t="s">
        <v>563</v>
      </c>
      <c r="D152">
        <v>1993</v>
      </c>
      <c r="E152">
        <v>2</v>
      </c>
      <c r="F152">
        <v>4</v>
      </c>
      <c r="G152" t="s">
        <v>301</v>
      </c>
      <c r="H152" t="s">
        <v>17</v>
      </c>
      <c r="I152" t="s">
        <v>564</v>
      </c>
    </row>
    <row r="153" spans="1:9" x14ac:dyDescent="0.2">
      <c r="A153" t="s">
        <v>565</v>
      </c>
      <c r="B153" t="s">
        <v>565</v>
      </c>
      <c r="C153" t="s">
        <v>566</v>
      </c>
      <c r="D153">
        <v>1905</v>
      </c>
      <c r="E153">
        <v>2</v>
      </c>
      <c r="F153">
        <v>2</v>
      </c>
      <c r="G153" t="s">
        <v>567</v>
      </c>
      <c r="H153" t="s">
        <v>12</v>
      </c>
      <c r="I153" t="s">
        <v>568</v>
      </c>
    </row>
    <row r="154" spans="1:9" x14ac:dyDescent="0.2">
      <c r="A154" t="s">
        <v>569</v>
      </c>
      <c r="B154" t="s">
        <v>569</v>
      </c>
      <c r="C154" t="s">
        <v>570</v>
      </c>
      <c r="D154">
        <v>1866</v>
      </c>
      <c r="E154">
        <v>2</v>
      </c>
      <c r="F154">
        <v>2</v>
      </c>
      <c r="G154" t="s">
        <v>287</v>
      </c>
      <c r="H154" t="s">
        <v>12</v>
      </c>
      <c r="I154" t="s">
        <v>87</v>
      </c>
    </row>
    <row r="155" spans="1:9" x14ac:dyDescent="0.2">
      <c r="A155" t="s">
        <v>571</v>
      </c>
      <c r="B155" t="s">
        <v>571</v>
      </c>
      <c r="C155" t="s">
        <v>572</v>
      </c>
      <c r="D155">
        <v>1866</v>
      </c>
      <c r="E155">
        <v>3</v>
      </c>
      <c r="F155">
        <v>11</v>
      </c>
      <c r="G155" t="s">
        <v>573</v>
      </c>
      <c r="H155" t="s">
        <v>47</v>
      </c>
      <c r="I155" t="s">
        <v>574</v>
      </c>
    </row>
    <row r="156" spans="1:9" x14ac:dyDescent="0.2">
      <c r="A156" t="s">
        <v>575</v>
      </c>
      <c r="B156" t="s">
        <v>571</v>
      </c>
      <c r="C156" t="s">
        <v>576</v>
      </c>
      <c r="D156">
        <v>2007</v>
      </c>
      <c r="E156">
        <v>3</v>
      </c>
      <c r="F156">
        <v>4</v>
      </c>
      <c r="G156" t="s">
        <v>577</v>
      </c>
      <c r="H156" t="s">
        <v>47</v>
      </c>
      <c r="I156" t="s">
        <v>578</v>
      </c>
    </row>
    <row r="157" spans="1:9" x14ac:dyDescent="0.2">
      <c r="A157" t="s">
        <v>579</v>
      </c>
      <c r="B157" t="s">
        <v>571</v>
      </c>
      <c r="C157" t="s">
        <v>580</v>
      </c>
      <c r="D157">
        <v>1884</v>
      </c>
      <c r="E157">
        <v>2</v>
      </c>
      <c r="F157">
        <v>2</v>
      </c>
      <c r="G157" t="s">
        <v>581</v>
      </c>
      <c r="H157" t="s">
        <v>12</v>
      </c>
      <c r="I157" t="s">
        <v>582</v>
      </c>
    </row>
    <row r="158" spans="1:9" x14ac:dyDescent="0.2">
      <c r="A158" t="s">
        <v>583</v>
      </c>
      <c r="B158" t="s">
        <v>584</v>
      </c>
      <c r="C158" t="s">
        <v>585</v>
      </c>
      <c r="D158">
        <v>1868</v>
      </c>
      <c r="E158">
        <v>2</v>
      </c>
      <c r="F158">
        <v>2</v>
      </c>
      <c r="G158" t="s">
        <v>21</v>
      </c>
      <c r="H158" t="s">
        <v>17</v>
      </c>
      <c r="I158" t="s">
        <v>586</v>
      </c>
    </row>
    <row r="159" spans="1:9" x14ac:dyDescent="0.2">
      <c r="A159" t="s">
        <v>587</v>
      </c>
      <c r="B159" t="s">
        <v>587</v>
      </c>
      <c r="C159" t="s">
        <v>588</v>
      </c>
      <c r="D159">
        <v>1839</v>
      </c>
      <c r="E159">
        <v>3</v>
      </c>
      <c r="F159">
        <v>6</v>
      </c>
      <c r="G159" t="s">
        <v>589</v>
      </c>
      <c r="H159" t="s">
        <v>17</v>
      </c>
      <c r="I159" t="s">
        <v>590</v>
      </c>
    </row>
    <row r="160" spans="1:9" x14ac:dyDescent="0.2">
      <c r="A160" t="s">
        <v>591</v>
      </c>
      <c r="B160" t="s">
        <v>587</v>
      </c>
      <c r="C160" t="s">
        <v>592</v>
      </c>
      <c r="D160">
        <v>1998</v>
      </c>
      <c r="E160">
        <v>2</v>
      </c>
      <c r="F160">
        <v>2</v>
      </c>
      <c r="G160" t="s">
        <v>334</v>
      </c>
      <c r="H160" t="s">
        <v>17</v>
      </c>
      <c r="I160" t="s">
        <v>593</v>
      </c>
    </row>
    <row r="161" spans="1:9" x14ac:dyDescent="0.2">
      <c r="A161" t="s">
        <v>594</v>
      </c>
      <c r="B161" t="s">
        <v>595</v>
      </c>
      <c r="C161" t="s">
        <v>596</v>
      </c>
      <c r="D161">
        <v>2012</v>
      </c>
      <c r="E161">
        <v>2</v>
      </c>
      <c r="F161">
        <v>2</v>
      </c>
      <c r="G161" t="s">
        <v>334</v>
      </c>
      <c r="H161" t="s">
        <v>17</v>
      </c>
      <c r="I161" t="s">
        <v>597</v>
      </c>
    </row>
    <row r="162" spans="1:9" x14ac:dyDescent="0.2">
      <c r="A162" t="s">
        <v>598</v>
      </c>
      <c r="B162" t="s">
        <v>598</v>
      </c>
      <c r="C162" t="s">
        <v>599</v>
      </c>
      <c r="D162">
        <v>1863</v>
      </c>
      <c r="E162">
        <v>2</v>
      </c>
      <c r="F162">
        <v>3</v>
      </c>
      <c r="G162" t="s">
        <v>74</v>
      </c>
      <c r="H162" t="s">
        <v>17</v>
      </c>
      <c r="I162" t="s">
        <v>600</v>
      </c>
    </row>
    <row r="163" spans="1:9" x14ac:dyDescent="0.2">
      <c r="A163" t="s">
        <v>601</v>
      </c>
      <c r="B163" t="s">
        <v>601</v>
      </c>
      <c r="C163" t="s">
        <v>602</v>
      </c>
      <c r="D163">
        <v>1905</v>
      </c>
      <c r="E163">
        <v>1</v>
      </c>
      <c r="F163">
        <v>2</v>
      </c>
      <c r="G163" t="s">
        <v>312</v>
      </c>
      <c r="H163" t="s">
        <v>12</v>
      </c>
      <c r="I163" t="s">
        <v>603</v>
      </c>
    </row>
    <row r="164" spans="1:9" x14ac:dyDescent="0.2">
      <c r="A164" t="s">
        <v>604</v>
      </c>
      <c r="B164" t="s">
        <v>604</v>
      </c>
      <c r="C164" t="s">
        <v>605</v>
      </c>
      <c r="D164">
        <v>1863</v>
      </c>
      <c r="E164">
        <v>1</v>
      </c>
      <c r="F164">
        <v>2</v>
      </c>
      <c r="G164" t="s">
        <v>74</v>
      </c>
      <c r="H164" t="s">
        <v>17</v>
      </c>
      <c r="I164" t="s">
        <v>606</v>
      </c>
    </row>
    <row r="165" spans="1:9" x14ac:dyDescent="0.2">
      <c r="A165" t="s">
        <v>607</v>
      </c>
      <c r="B165" t="s">
        <v>608</v>
      </c>
      <c r="C165" t="s">
        <v>609</v>
      </c>
      <c r="D165">
        <v>2011</v>
      </c>
      <c r="E165">
        <v>1</v>
      </c>
      <c r="F165">
        <v>1</v>
      </c>
      <c r="G165" t="s">
        <v>144</v>
      </c>
      <c r="H165" t="s">
        <v>145</v>
      </c>
      <c r="I165" t="s">
        <v>610</v>
      </c>
    </row>
    <row r="166" spans="1:9" x14ac:dyDescent="0.2">
      <c r="A166" t="s">
        <v>608</v>
      </c>
      <c r="B166" t="s">
        <v>608</v>
      </c>
      <c r="C166" t="s">
        <v>611</v>
      </c>
      <c r="D166">
        <v>1957</v>
      </c>
      <c r="E166">
        <v>2</v>
      </c>
      <c r="F166">
        <v>2</v>
      </c>
      <c r="G166" t="s">
        <v>144</v>
      </c>
      <c r="H166" t="s">
        <v>145</v>
      </c>
      <c r="I166" t="s">
        <v>612</v>
      </c>
    </row>
    <row r="167" spans="1:9" x14ac:dyDescent="0.2">
      <c r="A167" t="s">
        <v>613</v>
      </c>
      <c r="B167" t="s">
        <v>613</v>
      </c>
      <c r="C167" t="s">
        <v>614</v>
      </c>
      <c r="D167">
        <v>1870</v>
      </c>
      <c r="E167">
        <v>2</v>
      </c>
      <c r="F167">
        <v>2</v>
      </c>
      <c r="G167" t="s">
        <v>171</v>
      </c>
      <c r="H167" t="s">
        <v>17</v>
      </c>
      <c r="I167" t="s">
        <v>615</v>
      </c>
    </row>
    <row r="168" spans="1:9" x14ac:dyDescent="0.2">
      <c r="A168" t="s">
        <v>616</v>
      </c>
      <c r="B168" t="s">
        <v>616</v>
      </c>
      <c r="C168" t="s">
        <v>617</v>
      </c>
      <c r="D168">
        <v>1863</v>
      </c>
      <c r="E168">
        <v>2</v>
      </c>
      <c r="F168">
        <v>2</v>
      </c>
      <c r="G168" t="s">
        <v>287</v>
      </c>
      <c r="H168" t="s">
        <v>12</v>
      </c>
      <c r="I168" t="s">
        <v>618</v>
      </c>
    </row>
    <row r="169" spans="1:9" x14ac:dyDescent="0.2">
      <c r="A169" t="s">
        <v>619</v>
      </c>
      <c r="B169" t="s">
        <v>616</v>
      </c>
      <c r="C169" t="s">
        <v>620</v>
      </c>
      <c r="D169">
        <v>1863</v>
      </c>
      <c r="E169">
        <v>1</v>
      </c>
      <c r="F169">
        <v>1</v>
      </c>
      <c r="G169" t="s">
        <v>287</v>
      </c>
      <c r="H169" t="s">
        <v>12</v>
      </c>
      <c r="I169" t="s">
        <v>621</v>
      </c>
    </row>
    <row r="170" spans="1:9" x14ac:dyDescent="0.2">
      <c r="A170" t="s">
        <v>622</v>
      </c>
      <c r="B170" t="s">
        <v>622</v>
      </c>
      <c r="C170" t="s">
        <v>623</v>
      </c>
      <c r="D170">
        <v>1969</v>
      </c>
      <c r="E170">
        <v>2</v>
      </c>
      <c r="F170">
        <v>2</v>
      </c>
      <c r="G170" t="s">
        <v>223</v>
      </c>
      <c r="H170" t="s">
        <v>17</v>
      </c>
      <c r="I170" t="s">
        <v>624</v>
      </c>
    </row>
    <row r="171" spans="1:9" x14ac:dyDescent="0.2">
      <c r="A171" t="s">
        <v>625</v>
      </c>
      <c r="B171" t="s">
        <v>626</v>
      </c>
      <c r="C171" t="s">
        <v>627</v>
      </c>
      <c r="D171">
        <v>1891</v>
      </c>
      <c r="E171">
        <v>2</v>
      </c>
      <c r="F171">
        <v>2</v>
      </c>
      <c r="G171" t="s">
        <v>334</v>
      </c>
      <c r="H171" t="s">
        <v>17</v>
      </c>
      <c r="I171" t="s">
        <v>628</v>
      </c>
    </row>
    <row r="172" spans="1:9" x14ac:dyDescent="0.2">
      <c r="A172" t="s">
        <v>629</v>
      </c>
      <c r="B172" t="s">
        <v>629</v>
      </c>
      <c r="C172" t="s">
        <v>630</v>
      </c>
      <c r="D172">
        <v>1868</v>
      </c>
      <c r="E172">
        <v>1</v>
      </c>
      <c r="F172">
        <v>2</v>
      </c>
      <c r="G172" t="s">
        <v>21</v>
      </c>
      <c r="H172" t="s">
        <v>17</v>
      </c>
      <c r="I172" t="s">
        <v>631</v>
      </c>
    </row>
    <row r="173" spans="1:9" x14ac:dyDescent="0.2">
      <c r="A173" t="s">
        <v>632</v>
      </c>
      <c r="B173" t="s">
        <v>632</v>
      </c>
      <c r="C173" t="s">
        <v>633</v>
      </c>
      <c r="D173">
        <v>1865</v>
      </c>
      <c r="E173">
        <v>2</v>
      </c>
      <c r="F173">
        <v>3</v>
      </c>
      <c r="G173" t="s">
        <v>634</v>
      </c>
      <c r="H173" t="s">
        <v>17</v>
      </c>
      <c r="I173" t="s">
        <v>635</v>
      </c>
    </row>
    <row r="174" spans="1:9" x14ac:dyDescent="0.2">
      <c r="A174" t="s">
        <v>636</v>
      </c>
      <c r="B174" t="s">
        <v>636</v>
      </c>
      <c r="C174" t="s">
        <v>637</v>
      </c>
      <c r="D174">
        <v>1896</v>
      </c>
      <c r="E174">
        <v>2</v>
      </c>
      <c r="F174">
        <v>4</v>
      </c>
      <c r="G174" t="s">
        <v>638</v>
      </c>
      <c r="H174" t="s">
        <v>47</v>
      </c>
      <c r="I174" t="s">
        <v>639</v>
      </c>
    </row>
    <row r="175" spans="1:9" x14ac:dyDescent="0.2">
      <c r="A175" t="s">
        <v>640</v>
      </c>
      <c r="B175" t="s">
        <v>636</v>
      </c>
      <c r="C175" t="s">
        <v>641</v>
      </c>
      <c r="D175">
        <v>2010</v>
      </c>
      <c r="E175">
        <v>2</v>
      </c>
      <c r="F175">
        <v>2</v>
      </c>
      <c r="G175" t="s">
        <v>309</v>
      </c>
      <c r="H175" t="s">
        <v>12</v>
      </c>
      <c r="I175" t="s">
        <v>87</v>
      </c>
    </row>
    <row r="176" spans="1:9" x14ac:dyDescent="0.2">
      <c r="A176" t="s">
        <v>642</v>
      </c>
      <c r="B176" t="s">
        <v>642</v>
      </c>
      <c r="C176" t="s">
        <v>643</v>
      </c>
      <c r="D176">
        <v>1977</v>
      </c>
      <c r="E176">
        <v>2</v>
      </c>
      <c r="F176">
        <v>2</v>
      </c>
      <c r="G176" t="s">
        <v>533</v>
      </c>
      <c r="H176" t="s">
        <v>17</v>
      </c>
      <c r="I176" t="s">
        <v>644</v>
      </c>
    </row>
    <row r="177" spans="1:9" x14ac:dyDescent="0.2">
      <c r="A177" t="s">
        <v>645</v>
      </c>
      <c r="B177" t="s">
        <v>645</v>
      </c>
      <c r="C177" t="s">
        <v>646</v>
      </c>
      <c r="D177">
        <v>1867</v>
      </c>
      <c r="E177">
        <v>1</v>
      </c>
      <c r="F177">
        <v>2</v>
      </c>
      <c r="G177" t="s">
        <v>124</v>
      </c>
      <c r="H177" t="s">
        <v>17</v>
      </c>
      <c r="I177" t="s">
        <v>647</v>
      </c>
    </row>
    <row r="178" spans="1:9" x14ac:dyDescent="0.2">
      <c r="A178" t="s">
        <v>648</v>
      </c>
      <c r="B178" t="s">
        <v>648</v>
      </c>
      <c r="C178" t="s">
        <v>649</v>
      </c>
      <c r="D178">
        <v>1881</v>
      </c>
      <c r="E178">
        <v>2</v>
      </c>
      <c r="F178">
        <v>2</v>
      </c>
      <c r="G178" t="s">
        <v>650</v>
      </c>
      <c r="H178" t="s">
        <v>193</v>
      </c>
      <c r="I178" t="s">
        <v>651</v>
      </c>
    </row>
    <row r="179" spans="1:9" x14ac:dyDescent="0.2">
      <c r="A179" t="s">
        <v>652</v>
      </c>
      <c r="B179" t="s">
        <v>652</v>
      </c>
      <c r="C179" t="s">
        <v>653</v>
      </c>
      <c r="D179">
        <v>1866</v>
      </c>
      <c r="E179">
        <v>2</v>
      </c>
      <c r="F179">
        <v>2</v>
      </c>
      <c r="G179" t="s">
        <v>390</v>
      </c>
      <c r="H179" t="s">
        <v>17</v>
      </c>
      <c r="I179" t="s">
        <v>654</v>
      </c>
    </row>
    <row r="180" spans="1:9" x14ac:dyDescent="0.2">
      <c r="A180" t="s">
        <v>655</v>
      </c>
      <c r="B180" t="s">
        <v>652</v>
      </c>
      <c r="C180" t="s">
        <v>656</v>
      </c>
      <c r="D180">
        <v>2006</v>
      </c>
      <c r="E180">
        <v>2</v>
      </c>
      <c r="F180">
        <v>2</v>
      </c>
      <c r="G180" t="s">
        <v>390</v>
      </c>
      <c r="H180" t="s">
        <v>17</v>
      </c>
      <c r="I180" t="s">
        <v>657</v>
      </c>
    </row>
    <row r="181" spans="1:9" x14ac:dyDescent="0.2">
      <c r="A181" t="s">
        <v>658</v>
      </c>
      <c r="B181" t="s">
        <v>652</v>
      </c>
      <c r="C181" t="s">
        <v>659</v>
      </c>
      <c r="D181">
        <v>1987</v>
      </c>
      <c r="E181">
        <v>2</v>
      </c>
      <c r="F181">
        <v>2</v>
      </c>
      <c r="G181" t="s">
        <v>390</v>
      </c>
      <c r="H181" t="s">
        <v>17</v>
      </c>
      <c r="I181" t="s">
        <v>660</v>
      </c>
    </row>
    <row r="182" spans="1:9" x14ac:dyDescent="0.2">
      <c r="A182" t="s">
        <v>661</v>
      </c>
      <c r="B182" t="s">
        <v>652</v>
      </c>
      <c r="C182" t="s">
        <v>662</v>
      </c>
      <c r="D182">
        <v>1992</v>
      </c>
      <c r="E182">
        <v>2</v>
      </c>
      <c r="F182">
        <v>2</v>
      </c>
      <c r="G182" t="s">
        <v>390</v>
      </c>
      <c r="H182" t="s">
        <v>17</v>
      </c>
      <c r="I182" t="s">
        <v>663</v>
      </c>
    </row>
    <row r="183" spans="1:9" x14ac:dyDescent="0.2">
      <c r="A183" t="s">
        <v>664</v>
      </c>
      <c r="B183" t="s">
        <v>665</v>
      </c>
      <c r="C183" t="s">
        <v>666</v>
      </c>
      <c r="D183">
        <v>1882</v>
      </c>
      <c r="E183">
        <v>2</v>
      </c>
      <c r="F183">
        <v>2</v>
      </c>
      <c r="G183" t="s">
        <v>667</v>
      </c>
      <c r="H183" t="s">
        <v>12</v>
      </c>
      <c r="I183" t="s">
        <v>87</v>
      </c>
    </row>
    <row r="184" spans="1:9" x14ac:dyDescent="0.2">
      <c r="A184" t="s">
        <v>668</v>
      </c>
      <c r="B184" t="s">
        <v>668</v>
      </c>
      <c r="C184" t="s">
        <v>669</v>
      </c>
      <c r="D184">
        <v>1865</v>
      </c>
      <c r="E184">
        <v>1</v>
      </c>
      <c r="F184">
        <v>3</v>
      </c>
      <c r="G184" t="s">
        <v>670</v>
      </c>
      <c r="H184" t="s">
        <v>671</v>
      </c>
      <c r="I184" t="s">
        <v>672</v>
      </c>
    </row>
    <row r="185" spans="1:9" x14ac:dyDescent="0.2">
      <c r="A185" t="s">
        <v>673</v>
      </c>
      <c r="B185" t="s">
        <v>668</v>
      </c>
      <c r="C185" t="s">
        <v>674</v>
      </c>
      <c r="D185">
        <v>2012</v>
      </c>
      <c r="E185">
        <v>1</v>
      </c>
      <c r="F185">
        <v>1</v>
      </c>
      <c r="G185" t="s">
        <v>344</v>
      </c>
      <c r="H185" t="s">
        <v>12</v>
      </c>
      <c r="I185" t="s">
        <v>87</v>
      </c>
    </row>
    <row r="186" spans="1:9" x14ac:dyDescent="0.2">
      <c r="A186" t="s">
        <v>675</v>
      </c>
      <c r="B186" t="s">
        <v>668</v>
      </c>
      <c r="C186" t="s">
        <v>676</v>
      </c>
      <c r="D186">
        <v>1975</v>
      </c>
      <c r="E186">
        <v>2</v>
      </c>
      <c r="F186">
        <v>2</v>
      </c>
      <c r="G186" t="s">
        <v>37</v>
      </c>
      <c r="H186" t="s">
        <v>12</v>
      </c>
      <c r="I186" t="s">
        <v>87</v>
      </c>
    </row>
    <row r="187" spans="1:9" x14ac:dyDescent="0.2">
      <c r="A187" t="s">
        <v>677</v>
      </c>
      <c r="B187" t="s">
        <v>677</v>
      </c>
      <c r="C187" t="s">
        <v>678</v>
      </c>
      <c r="D187">
        <v>1868</v>
      </c>
      <c r="E187">
        <v>3</v>
      </c>
      <c r="F187">
        <v>5</v>
      </c>
      <c r="G187" t="s">
        <v>679</v>
      </c>
      <c r="H187" t="s">
        <v>47</v>
      </c>
      <c r="I187" t="s">
        <v>680</v>
      </c>
    </row>
    <row r="188" spans="1:9" x14ac:dyDescent="0.2">
      <c r="A188" t="s">
        <v>681</v>
      </c>
      <c r="B188" t="s">
        <v>677</v>
      </c>
      <c r="C188" t="s">
        <v>682</v>
      </c>
      <c r="D188">
        <v>1987</v>
      </c>
      <c r="E188">
        <v>2</v>
      </c>
      <c r="F188">
        <v>2</v>
      </c>
      <c r="G188" t="s">
        <v>683</v>
      </c>
      <c r="H188" t="s">
        <v>17</v>
      </c>
      <c r="I188" t="s">
        <v>684</v>
      </c>
    </row>
    <row r="189" spans="1:9" x14ac:dyDescent="0.2">
      <c r="A189" t="s">
        <v>685</v>
      </c>
      <c r="B189" t="s">
        <v>685</v>
      </c>
      <c r="C189" t="s">
        <v>686</v>
      </c>
      <c r="D189">
        <v>2000</v>
      </c>
      <c r="E189">
        <v>1</v>
      </c>
      <c r="F189">
        <v>2</v>
      </c>
      <c r="G189" t="s">
        <v>334</v>
      </c>
      <c r="H189" t="s">
        <v>17</v>
      </c>
      <c r="I189" t="s">
        <v>687</v>
      </c>
    </row>
    <row r="190" spans="1:9" x14ac:dyDescent="0.2">
      <c r="A190" t="s">
        <v>688</v>
      </c>
      <c r="B190" t="s">
        <v>688</v>
      </c>
      <c r="C190" t="s">
        <v>689</v>
      </c>
      <c r="D190">
        <v>1874</v>
      </c>
      <c r="E190">
        <v>3</v>
      </c>
      <c r="F190">
        <v>5</v>
      </c>
      <c r="G190" t="s">
        <v>690</v>
      </c>
      <c r="H190" t="s">
        <v>272</v>
      </c>
      <c r="I190" t="s">
        <v>691</v>
      </c>
    </row>
    <row r="191" spans="1:9" x14ac:dyDescent="0.2">
      <c r="A191" t="s">
        <v>692</v>
      </c>
      <c r="B191" t="s">
        <v>688</v>
      </c>
      <c r="C191" t="s">
        <v>693</v>
      </c>
      <c r="D191">
        <v>1974</v>
      </c>
      <c r="E191">
        <v>2</v>
      </c>
      <c r="F191">
        <v>2</v>
      </c>
      <c r="G191" t="s">
        <v>113</v>
      </c>
      <c r="H191" t="s">
        <v>17</v>
      </c>
      <c r="I191" t="s">
        <v>694</v>
      </c>
    </row>
    <row r="192" spans="1:9" x14ac:dyDescent="0.2">
      <c r="A192" t="s">
        <v>695</v>
      </c>
      <c r="B192" t="s">
        <v>688</v>
      </c>
      <c r="C192" t="s">
        <v>696</v>
      </c>
      <c r="D192">
        <v>1874</v>
      </c>
      <c r="E192">
        <v>2</v>
      </c>
      <c r="F192">
        <v>2</v>
      </c>
      <c r="G192" t="s">
        <v>697</v>
      </c>
      <c r="H192" t="s">
        <v>17</v>
      </c>
      <c r="I192" t="s">
        <v>698</v>
      </c>
    </row>
    <row r="193" spans="1:9" x14ac:dyDescent="0.2">
      <c r="A193" t="s">
        <v>699</v>
      </c>
      <c r="B193" t="s">
        <v>699</v>
      </c>
      <c r="C193" t="s">
        <v>700</v>
      </c>
      <c r="D193">
        <v>1885</v>
      </c>
      <c r="E193">
        <v>1</v>
      </c>
      <c r="F193">
        <v>1</v>
      </c>
      <c r="G193" t="s">
        <v>701</v>
      </c>
      <c r="H193" t="s">
        <v>12</v>
      </c>
      <c r="I193" t="s">
        <v>702</v>
      </c>
    </row>
    <row r="194" spans="1:9" x14ac:dyDescent="0.2">
      <c r="A194" t="s">
        <v>703</v>
      </c>
      <c r="B194" t="s">
        <v>703</v>
      </c>
      <c r="C194" t="s">
        <v>704</v>
      </c>
      <c r="D194">
        <v>1893</v>
      </c>
      <c r="E194">
        <v>2</v>
      </c>
      <c r="F194">
        <v>2</v>
      </c>
      <c r="G194" t="s">
        <v>518</v>
      </c>
      <c r="H194" t="s">
        <v>12</v>
      </c>
      <c r="I194" t="s">
        <v>705</v>
      </c>
    </row>
    <row r="195" spans="1:9" x14ac:dyDescent="0.2">
      <c r="A195" t="s">
        <v>706</v>
      </c>
      <c r="B195" t="s">
        <v>707</v>
      </c>
      <c r="C195" t="s">
        <v>708</v>
      </c>
      <c r="D195">
        <v>2012</v>
      </c>
      <c r="E195">
        <v>2</v>
      </c>
      <c r="F195">
        <v>2</v>
      </c>
      <c r="G195" t="s">
        <v>709</v>
      </c>
      <c r="H195" t="s">
        <v>193</v>
      </c>
      <c r="I195" t="s">
        <v>710</v>
      </c>
    </row>
    <row r="196" spans="1:9" x14ac:dyDescent="0.2">
      <c r="A196" t="s">
        <v>711</v>
      </c>
      <c r="B196" t="s">
        <v>711</v>
      </c>
      <c r="C196" t="s">
        <v>712</v>
      </c>
      <c r="D196">
        <v>1874</v>
      </c>
      <c r="E196">
        <v>2</v>
      </c>
      <c r="F196">
        <v>2</v>
      </c>
      <c r="G196" t="s">
        <v>713</v>
      </c>
      <c r="H196" t="s">
        <v>17</v>
      </c>
      <c r="I196" t="s">
        <v>714</v>
      </c>
    </row>
    <row r="197" spans="1:9" x14ac:dyDescent="0.2">
      <c r="A197" t="s">
        <v>715</v>
      </c>
      <c r="B197" t="s">
        <v>715</v>
      </c>
      <c r="C197" t="s">
        <v>716</v>
      </c>
      <c r="D197">
        <v>1888</v>
      </c>
      <c r="E197">
        <v>2</v>
      </c>
      <c r="F197">
        <v>2</v>
      </c>
      <c r="G197" t="s">
        <v>399</v>
      </c>
      <c r="H197" t="s">
        <v>17</v>
      </c>
      <c r="I197" t="s">
        <v>717</v>
      </c>
    </row>
    <row r="198" spans="1:9" x14ac:dyDescent="0.2">
      <c r="A198" t="s">
        <v>718</v>
      </c>
      <c r="B198" t="s">
        <v>718</v>
      </c>
      <c r="C198" t="s">
        <v>719</v>
      </c>
      <c r="D198">
        <v>1981</v>
      </c>
      <c r="E198">
        <v>2</v>
      </c>
      <c r="F198">
        <v>4</v>
      </c>
      <c r="G198" t="s">
        <v>109</v>
      </c>
      <c r="H198" t="s">
        <v>17</v>
      </c>
      <c r="I198" t="s">
        <v>720</v>
      </c>
    </row>
    <row r="199" spans="1:9" x14ac:dyDescent="0.2">
      <c r="A199" t="s">
        <v>721</v>
      </c>
      <c r="B199" t="s">
        <v>721</v>
      </c>
      <c r="C199" t="s">
        <v>722</v>
      </c>
      <c r="D199">
        <v>1870</v>
      </c>
      <c r="E199">
        <v>2</v>
      </c>
      <c r="F199">
        <v>3</v>
      </c>
      <c r="G199" t="s">
        <v>171</v>
      </c>
      <c r="H199" t="s">
        <v>17</v>
      </c>
      <c r="I199" t="s">
        <v>723</v>
      </c>
    </row>
    <row r="200" spans="1:9" x14ac:dyDescent="0.2">
      <c r="A200" t="s">
        <v>724</v>
      </c>
      <c r="B200" t="s">
        <v>725</v>
      </c>
      <c r="C200" t="s">
        <v>726</v>
      </c>
      <c r="D200">
        <v>1868</v>
      </c>
      <c r="E200">
        <v>2</v>
      </c>
      <c r="F200">
        <v>2</v>
      </c>
      <c r="G200" t="s">
        <v>287</v>
      </c>
      <c r="H200" t="s">
        <v>12</v>
      </c>
      <c r="I200" t="s">
        <v>727</v>
      </c>
    </row>
    <row r="201" spans="1:9" x14ac:dyDescent="0.2">
      <c r="A201" t="s">
        <v>728</v>
      </c>
      <c r="B201" t="s">
        <v>728</v>
      </c>
      <c r="C201" t="s">
        <v>729</v>
      </c>
      <c r="D201">
        <v>1885</v>
      </c>
      <c r="E201">
        <v>1</v>
      </c>
      <c r="F201">
        <v>2</v>
      </c>
      <c r="G201" t="s">
        <v>256</v>
      </c>
      <c r="H201" t="s">
        <v>17</v>
      </c>
      <c r="I201" t="s">
        <v>730</v>
      </c>
    </row>
    <row r="202" spans="1:9" x14ac:dyDescent="0.2">
      <c r="A202" t="s">
        <v>731</v>
      </c>
      <c r="B202" t="s">
        <v>731</v>
      </c>
      <c r="C202" t="s">
        <v>732</v>
      </c>
      <c r="D202">
        <v>1883</v>
      </c>
      <c r="E202">
        <v>2</v>
      </c>
      <c r="F202">
        <v>3</v>
      </c>
      <c r="G202" t="s">
        <v>733</v>
      </c>
      <c r="H202" t="s">
        <v>734</v>
      </c>
      <c r="I202" t="s">
        <v>735</v>
      </c>
    </row>
    <row r="203" spans="1:9" x14ac:dyDescent="0.2">
      <c r="A203" t="s">
        <v>736</v>
      </c>
      <c r="B203" t="s">
        <v>731</v>
      </c>
      <c r="C203" t="s">
        <v>737</v>
      </c>
      <c r="D203">
        <v>1986</v>
      </c>
      <c r="E203">
        <v>2</v>
      </c>
      <c r="F203">
        <v>2</v>
      </c>
      <c r="G203" t="s">
        <v>256</v>
      </c>
      <c r="H203" t="s">
        <v>17</v>
      </c>
      <c r="I203" t="s">
        <v>738</v>
      </c>
    </row>
    <row r="204" spans="1:9" x14ac:dyDescent="0.2">
      <c r="A204" t="s">
        <v>739</v>
      </c>
      <c r="B204" t="s">
        <v>740</v>
      </c>
      <c r="C204" t="s">
        <v>741</v>
      </c>
      <c r="D204">
        <v>1866</v>
      </c>
      <c r="E204">
        <v>2</v>
      </c>
      <c r="F204">
        <v>3</v>
      </c>
      <c r="G204" t="s">
        <v>390</v>
      </c>
      <c r="H204" t="s">
        <v>17</v>
      </c>
      <c r="I204" t="s">
        <v>742</v>
      </c>
    </row>
    <row r="205" spans="1:9" x14ac:dyDescent="0.2">
      <c r="A205" t="s">
        <v>743</v>
      </c>
      <c r="B205" t="s">
        <v>743</v>
      </c>
      <c r="C205" t="s">
        <v>744</v>
      </c>
      <c r="D205">
        <v>1982</v>
      </c>
      <c r="E205">
        <v>1</v>
      </c>
      <c r="F205">
        <v>2</v>
      </c>
      <c r="G205" t="s">
        <v>319</v>
      </c>
      <c r="H205" t="s">
        <v>17</v>
      </c>
      <c r="I205" t="s">
        <v>745</v>
      </c>
    </row>
    <row r="206" spans="1:9" x14ac:dyDescent="0.2">
      <c r="A206" t="s">
        <v>746</v>
      </c>
      <c r="B206" t="s">
        <v>743</v>
      </c>
      <c r="C206" t="s">
        <v>747</v>
      </c>
      <c r="D206">
        <v>2001</v>
      </c>
      <c r="E206">
        <v>1</v>
      </c>
      <c r="F206">
        <v>2</v>
      </c>
      <c r="G206" t="s">
        <v>319</v>
      </c>
      <c r="H206" t="s">
        <v>17</v>
      </c>
      <c r="I206" t="s">
        <v>748</v>
      </c>
    </row>
    <row r="207" spans="1:9" x14ac:dyDescent="0.2">
      <c r="A207" t="s">
        <v>749</v>
      </c>
      <c r="B207" t="s">
        <v>750</v>
      </c>
      <c r="C207" t="s">
        <v>751</v>
      </c>
      <c r="D207">
        <v>1890</v>
      </c>
      <c r="E207">
        <v>2</v>
      </c>
      <c r="F207">
        <v>2</v>
      </c>
      <c r="G207" t="s">
        <v>309</v>
      </c>
      <c r="H207" t="s">
        <v>12</v>
      </c>
      <c r="I207" t="s">
        <v>87</v>
      </c>
    </row>
    <row r="208" spans="1:9" x14ac:dyDescent="0.2">
      <c r="A208" t="s">
        <v>752</v>
      </c>
      <c r="B208" t="s">
        <v>753</v>
      </c>
      <c r="C208" t="s">
        <v>754</v>
      </c>
      <c r="D208">
        <v>1866</v>
      </c>
      <c r="E208">
        <v>2</v>
      </c>
      <c r="F208">
        <v>2</v>
      </c>
      <c r="G208" t="s">
        <v>287</v>
      </c>
      <c r="H208" t="s">
        <v>12</v>
      </c>
      <c r="I208" t="s">
        <v>87</v>
      </c>
    </row>
    <row r="209" spans="1:9" x14ac:dyDescent="0.2">
      <c r="A209" t="s">
        <v>755</v>
      </c>
      <c r="B209" t="s">
        <v>755</v>
      </c>
      <c r="C209" t="s">
        <v>756</v>
      </c>
      <c r="D209">
        <v>1985</v>
      </c>
      <c r="E209">
        <v>1</v>
      </c>
      <c r="F209">
        <v>1</v>
      </c>
      <c r="G209" t="s">
        <v>701</v>
      </c>
      <c r="H209" t="s">
        <v>12</v>
      </c>
    </row>
    <row r="210" spans="1:9" x14ac:dyDescent="0.2">
      <c r="A210" t="s">
        <v>757</v>
      </c>
      <c r="B210" t="s">
        <v>757</v>
      </c>
      <c r="C210" t="s">
        <v>758</v>
      </c>
      <c r="D210">
        <v>1865</v>
      </c>
      <c r="E210">
        <v>1</v>
      </c>
      <c r="F210">
        <v>1</v>
      </c>
      <c r="G210" t="s">
        <v>759</v>
      </c>
      <c r="H210" t="s">
        <v>193</v>
      </c>
      <c r="I210" t="s">
        <v>87</v>
      </c>
    </row>
    <row r="211" spans="1:9" x14ac:dyDescent="0.2">
      <c r="A211" t="s">
        <v>760</v>
      </c>
      <c r="B211" t="s">
        <v>757</v>
      </c>
      <c r="C211" t="s">
        <v>761</v>
      </c>
      <c r="D211">
        <v>2012</v>
      </c>
      <c r="E211">
        <v>2</v>
      </c>
      <c r="F211">
        <v>2</v>
      </c>
      <c r="G211" t="s">
        <v>446</v>
      </c>
      <c r="H211" t="s">
        <v>17</v>
      </c>
      <c r="I211" t="s">
        <v>762</v>
      </c>
    </row>
    <row r="212" spans="1:9" x14ac:dyDescent="0.2">
      <c r="A212" t="s">
        <v>763</v>
      </c>
      <c r="B212" t="s">
        <v>764</v>
      </c>
      <c r="C212" t="s">
        <v>765</v>
      </c>
      <c r="D212">
        <v>1868</v>
      </c>
      <c r="E212">
        <v>2</v>
      </c>
      <c r="F212">
        <v>2</v>
      </c>
      <c r="G212" t="s">
        <v>149</v>
      </c>
      <c r="H212" t="s">
        <v>17</v>
      </c>
      <c r="I212" t="s">
        <v>766</v>
      </c>
    </row>
    <row r="213" spans="1:9" x14ac:dyDescent="0.2">
      <c r="A213" t="s">
        <v>767</v>
      </c>
      <c r="B213" t="s">
        <v>307</v>
      </c>
      <c r="C213" t="s">
        <v>768</v>
      </c>
      <c r="D213">
        <v>1949</v>
      </c>
      <c r="E213">
        <v>1</v>
      </c>
      <c r="F213">
        <v>2</v>
      </c>
      <c r="G213" t="s">
        <v>769</v>
      </c>
      <c r="H213" t="s">
        <v>770</v>
      </c>
      <c r="I213" t="s">
        <v>87</v>
      </c>
    </row>
    <row r="214" spans="1:9" x14ac:dyDescent="0.2">
      <c r="A214" t="s">
        <v>771</v>
      </c>
      <c r="B214" t="s">
        <v>771</v>
      </c>
      <c r="C214" t="s">
        <v>772</v>
      </c>
      <c r="D214">
        <v>1882</v>
      </c>
      <c r="E214">
        <v>2</v>
      </c>
      <c r="F214">
        <v>2</v>
      </c>
      <c r="G214" t="s">
        <v>667</v>
      </c>
      <c r="H214" t="s">
        <v>12</v>
      </c>
      <c r="I214" t="s">
        <v>87</v>
      </c>
    </row>
    <row r="215" spans="1:9" x14ac:dyDescent="0.2">
      <c r="A215" t="s">
        <v>773</v>
      </c>
      <c r="B215" t="s">
        <v>773</v>
      </c>
      <c r="C215" t="s">
        <v>774</v>
      </c>
      <c r="D215">
        <v>1882</v>
      </c>
      <c r="E215">
        <v>2</v>
      </c>
      <c r="F215">
        <v>2</v>
      </c>
      <c r="G215" t="s">
        <v>113</v>
      </c>
      <c r="H215" t="s">
        <v>12</v>
      </c>
      <c r="I215" t="s">
        <v>87</v>
      </c>
    </row>
    <row r="216" spans="1:9" x14ac:dyDescent="0.2">
      <c r="A216" t="s">
        <v>775</v>
      </c>
      <c r="B216" t="s">
        <v>776</v>
      </c>
      <c r="C216" t="s">
        <v>777</v>
      </c>
      <c r="D216">
        <v>1915</v>
      </c>
      <c r="E216">
        <v>2</v>
      </c>
      <c r="F216">
        <v>2</v>
      </c>
      <c r="G216" t="s">
        <v>309</v>
      </c>
      <c r="H216" t="s">
        <v>12</v>
      </c>
      <c r="I216" t="s">
        <v>87</v>
      </c>
    </row>
    <row r="217" spans="1:9" x14ac:dyDescent="0.2">
      <c r="A217" t="s">
        <v>778</v>
      </c>
      <c r="B217" t="s">
        <v>778</v>
      </c>
      <c r="C217" t="s">
        <v>779</v>
      </c>
      <c r="D217">
        <v>1869</v>
      </c>
      <c r="E217">
        <v>2</v>
      </c>
      <c r="F217">
        <v>2</v>
      </c>
      <c r="G217" t="s">
        <v>124</v>
      </c>
      <c r="H217" t="s">
        <v>17</v>
      </c>
      <c r="I217" t="s">
        <v>780</v>
      </c>
    </row>
    <row r="218" spans="1:9" x14ac:dyDescent="0.2">
      <c r="A218" t="s">
        <v>781</v>
      </c>
      <c r="B218" t="s">
        <v>782</v>
      </c>
      <c r="C218" t="s">
        <v>783</v>
      </c>
      <c r="D218">
        <v>1885</v>
      </c>
      <c r="E218">
        <v>1</v>
      </c>
      <c r="F218">
        <v>1</v>
      </c>
      <c r="G218" t="s">
        <v>701</v>
      </c>
      <c r="H218" t="s">
        <v>12</v>
      </c>
      <c r="I218" t="s">
        <v>784</v>
      </c>
    </row>
    <row r="219" spans="1:9" x14ac:dyDescent="0.2">
      <c r="A219" t="s">
        <v>785</v>
      </c>
      <c r="B219" t="s">
        <v>785</v>
      </c>
      <c r="C219" t="s">
        <v>786</v>
      </c>
      <c r="D219">
        <v>1868</v>
      </c>
      <c r="E219">
        <v>2</v>
      </c>
      <c r="F219">
        <v>2</v>
      </c>
      <c r="G219" t="s">
        <v>149</v>
      </c>
      <c r="H219" t="s">
        <v>17</v>
      </c>
      <c r="I219" t="s">
        <v>787</v>
      </c>
    </row>
    <row r="220" spans="1:9" x14ac:dyDescent="0.2">
      <c r="A220" t="s">
        <v>788</v>
      </c>
      <c r="B220" t="s">
        <v>789</v>
      </c>
      <c r="C220" t="s">
        <v>790</v>
      </c>
      <c r="D220">
        <v>2008</v>
      </c>
      <c r="E220">
        <v>2</v>
      </c>
      <c r="F220">
        <v>2</v>
      </c>
      <c r="G220" t="s">
        <v>124</v>
      </c>
      <c r="H220" t="s">
        <v>17</v>
      </c>
      <c r="I220" t="s">
        <v>791</v>
      </c>
    </row>
    <row r="221" spans="1:9" x14ac:dyDescent="0.2">
      <c r="A221" t="s">
        <v>792</v>
      </c>
      <c r="B221" t="s">
        <v>792</v>
      </c>
      <c r="C221" t="s">
        <v>793</v>
      </c>
      <c r="D221">
        <v>1868</v>
      </c>
      <c r="E221">
        <v>2</v>
      </c>
      <c r="F221">
        <v>2</v>
      </c>
      <c r="G221" t="s">
        <v>287</v>
      </c>
      <c r="H221" t="s">
        <v>12</v>
      </c>
      <c r="I221" t="s">
        <v>794</v>
      </c>
    </row>
    <row r="222" spans="1:9" x14ac:dyDescent="0.2">
      <c r="A222" t="s">
        <v>795</v>
      </c>
      <c r="B222" t="s">
        <v>796</v>
      </c>
      <c r="C222" t="s">
        <v>797</v>
      </c>
      <c r="D222">
        <v>1868</v>
      </c>
      <c r="E222">
        <v>1</v>
      </c>
      <c r="F222">
        <v>2</v>
      </c>
      <c r="G222" t="s">
        <v>149</v>
      </c>
      <c r="H222" t="s">
        <v>17</v>
      </c>
      <c r="I222" t="s">
        <v>798</v>
      </c>
    </row>
    <row r="223" spans="1:9" x14ac:dyDescent="0.2">
      <c r="A223" t="s">
        <v>799</v>
      </c>
      <c r="B223" t="s">
        <v>800</v>
      </c>
      <c r="C223" t="s">
        <v>801</v>
      </c>
      <c r="D223">
        <v>1883</v>
      </c>
      <c r="E223">
        <v>3</v>
      </c>
      <c r="F223">
        <v>4</v>
      </c>
      <c r="G223" t="s">
        <v>802</v>
      </c>
      <c r="H223" t="s">
        <v>17</v>
      </c>
      <c r="I223" t="s">
        <v>803</v>
      </c>
    </row>
    <row r="224" spans="1:9" x14ac:dyDescent="0.2">
      <c r="A224" t="s">
        <v>804</v>
      </c>
      <c r="B224" t="s">
        <v>804</v>
      </c>
      <c r="C224" t="s">
        <v>805</v>
      </c>
      <c r="D224">
        <v>1896</v>
      </c>
      <c r="E224">
        <v>3</v>
      </c>
      <c r="F224">
        <v>3</v>
      </c>
      <c r="G224" t="s">
        <v>638</v>
      </c>
      <c r="H224" t="s">
        <v>12</v>
      </c>
      <c r="I224" t="s">
        <v>87</v>
      </c>
    </row>
    <row r="225" spans="1:9" x14ac:dyDescent="0.2">
      <c r="A225" t="s">
        <v>806</v>
      </c>
      <c r="B225" t="s">
        <v>807</v>
      </c>
      <c r="C225" t="s">
        <v>808</v>
      </c>
      <c r="D225">
        <v>2018</v>
      </c>
      <c r="E225">
        <v>2</v>
      </c>
      <c r="F225">
        <v>2</v>
      </c>
      <c r="G225" t="s">
        <v>364</v>
      </c>
      <c r="H225" t="s">
        <v>17</v>
      </c>
      <c r="I225" t="s">
        <v>809</v>
      </c>
    </row>
    <row r="226" spans="1:9" x14ac:dyDescent="0.2">
      <c r="A226" t="s">
        <v>810</v>
      </c>
      <c r="B226" t="s">
        <v>810</v>
      </c>
      <c r="C226" t="s">
        <v>811</v>
      </c>
      <c r="D226">
        <v>1883</v>
      </c>
      <c r="E226">
        <v>2</v>
      </c>
      <c r="F226">
        <v>2</v>
      </c>
      <c r="G226" t="s">
        <v>144</v>
      </c>
      <c r="H226" t="s">
        <v>145</v>
      </c>
      <c r="I226" t="s">
        <v>812</v>
      </c>
    </row>
    <row r="227" spans="1:9" x14ac:dyDescent="0.2">
      <c r="A227" t="s">
        <v>813</v>
      </c>
      <c r="B227" t="s">
        <v>813</v>
      </c>
      <c r="C227" t="s">
        <v>814</v>
      </c>
      <c r="D227">
        <v>1863</v>
      </c>
      <c r="E227">
        <v>4</v>
      </c>
      <c r="F227">
        <v>7</v>
      </c>
      <c r="G227" t="s">
        <v>815</v>
      </c>
      <c r="H227" t="s">
        <v>47</v>
      </c>
      <c r="I227" t="s">
        <v>816</v>
      </c>
    </row>
    <row r="228" spans="1:9" x14ac:dyDescent="0.2">
      <c r="A228" t="s">
        <v>817</v>
      </c>
      <c r="B228" t="s">
        <v>813</v>
      </c>
      <c r="C228" t="s">
        <v>818</v>
      </c>
      <c r="D228">
        <v>1991</v>
      </c>
      <c r="E228">
        <v>1</v>
      </c>
      <c r="F228">
        <v>1</v>
      </c>
      <c r="G228" t="s">
        <v>287</v>
      </c>
      <c r="H228" t="s">
        <v>12</v>
      </c>
      <c r="I228" t="s">
        <v>819</v>
      </c>
    </row>
    <row r="229" spans="1:9" x14ac:dyDescent="0.2">
      <c r="A229" t="s">
        <v>820</v>
      </c>
      <c r="B229" t="s">
        <v>821</v>
      </c>
      <c r="C229" t="s">
        <v>822</v>
      </c>
      <c r="D229">
        <v>1843</v>
      </c>
      <c r="E229">
        <v>3</v>
      </c>
      <c r="F229">
        <v>6</v>
      </c>
      <c r="G229" t="s">
        <v>823</v>
      </c>
      <c r="H229" t="s">
        <v>17</v>
      </c>
      <c r="I229" t="s">
        <v>824</v>
      </c>
    </row>
    <row r="230" spans="1:9" x14ac:dyDescent="0.2">
      <c r="A230" t="s">
        <v>825</v>
      </c>
      <c r="B230" t="s">
        <v>821</v>
      </c>
      <c r="C230" t="s">
        <v>826</v>
      </c>
      <c r="D230">
        <v>1961</v>
      </c>
      <c r="E230">
        <v>1</v>
      </c>
      <c r="F230">
        <v>1</v>
      </c>
      <c r="G230" t="s">
        <v>237</v>
      </c>
      <c r="H230" t="s">
        <v>17</v>
      </c>
      <c r="I230" t="s">
        <v>827</v>
      </c>
    </row>
    <row r="231" spans="1:9" x14ac:dyDescent="0.2">
      <c r="A231" t="s">
        <v>828</v>
      </c>
      <c r="B231" t="s">
        <v>829</v>
      </c>
      <c r="C231" t="s">
        <v>830</v>
      </c>
      <c r="D231">
        <v>1988</v>
      </c>
      <c r="E231">
        <v>2</v>
      </c>
      <c r="F231">
        <v>4</v>
      </c>
      <c r="G231" t="s">
        <v>831</v>
      </c>
      <c r="H231" t="s">
        <v>47</v>
      </c>
      <c r="I231" t="s">
        <v>832</v>
      </c>
    </row>
    <row r="232" spans="1:9" x14ac:dyDescent="0.2">
      <c r="A232" t="s">
        <v>833</v>
      </c>
      <c r="B232" t="s">
        <v>834</v>
      </c>
      <c r="C232" t="s">
        <v>835</v>
      </c>
      <c r="D232">
        <v>1878</v>
      </c>
      <c r="E232">
        <v>2</v>
      </c>
      <c r="F232">
        <v>2</v>
      </c>
      <c r="G232" t="s">
        <v>836</v>
      </c>
      <c r="H232" t="s">
        <v>12</v>
      </c>
      <c r="I232" t="s">
        <v>87</v>
      </c>
    </row>
    <row r="233" spans="1:9" x14ac:dyDescent="0.2">
      <c r="A233" t="s">
        <v>837</v>
      </c>
      <c r="B233" t="s">
        <v>837</v>
      </c>
      <c r="C233" t="s">
        <v>838</v>
      </c>
      <c r="D233">
        <v>1865</v>
      </c>
      <c r="E233">
        <v>1</v>
      </c>
      <c r="F233">
        <v>2</v>
      </c>
      <c r="G233" t="s">
        <v>344</v>
      </c>
      <c r="H233" t="s">
        <v>12</v>
      </c>
      <c r="I233" t="s">
        <v>87</v>
      </c>
    </row>
    <row r="234" spans="1:9" x14ac:dyDescent="0.2">
      <c r="A234" t="s">
        <v>839</v>
      </c>
      <c r="B234" t="s">
        <v>839</v>
      </c>
      <c r="C234" t="s">
        <v>840</v>
      </c>
      <c r="D234">
        <v>1884</v>
      </c>
      <c r="E234">
        <v>1</v>
      </c>
      <c r="F234">
        <v>2</v>
      </c>
      <c r="G234" t="s">
        <v>140</v>
      </c>
      <c r="H234" t="s">
        <v>12</v>
      </c>
      <c r="I234" t="s">
        <v>841</v>
      </c>
    </row>
    <row r="235" spans="1:9" x14ac:dyDescent="0.2">
      <c r="A235" t="s">
        <v>842</v>
      </c>
      <c r="B235" t="s">
        <v>842</v>
      </c>
      <c r="C235" t="s">
        <v>843</v>
      </c>
      <c r="D235">
        <v>1951</v>
      </c>
      <c r="E235">
        <v>2</v>
      </c>
      <c r="F235">
        <v>2</v>
      </c>
      <c r="G235" t="s">
        <v>192</v>
      </c>
      <c r="H235" t="s">
        <v>193</v>
      </c>
      <c r="I235" t="s">
        <v>87</v>
      </c>
    </row>
    <row r="236" spans="1:9" x14ac:dyDescent="0.2">
      <c r="A236" t="s">
        <v>844</v>
      </c>
      <c r="B236" t="s">
        <v>844</v>
      </c>
      <c r="C236" t="s">
        <v>845</v>
      </c>
      <c r="D236">
        <v>2010</v>
      </c>
      <c r="E236">
        <v>2</v>
      </c>
      <c r="F236">
        <v>2</v>
      </c>
      <c r="G236" t="s">
        <v>533</v>
      </c>
      <c r="H236" t="s">
        <v>17</v>
      </c>
      <c r="I236" t="s">
        <v>846</v>
      </c>
    </row>
    <row r="237" spans="1:9" x14ac:dyDescent="0.2">
      <c r="A237" t="s">
        <v>847</v>
      </c>
      <c r="B237" t="s">
        <v>847</v>
      </c>
      <c r="C237" t="s">
        <v>848</v>
      </c>
      <c r="D237">
        <v>1845</v>
      </c>
      <c r="E237">
        <v>2</v>
      </c>
      <c r="F237">
        <v>2</v>
      </c>
      <c r="G237" t="s">
        <v>16</v>
      </c>
      <c r="H237" t="s">
        <v>17</v>
      </c>
      <c r="I237" t="s">
        <v>849</v>
      </c>
    </row>
    <row r="238" spans="1:9" x14ac:dyDescent="0.2">
      <c r="A238" t="s">
        <v>850</v>
      </c>
      <c r="B238" t="s">
        <v>850</v>
      </c>
      <c r="C238" t="s">
        <v>851</v>
      </c>
      <c r="D238">
        <v>1843</v>
      </c>
      <c r="E238">
        <v>1</v>
      </c>
      <c r="F238">
        <v>2</v>
      </c>
      <c r="G238" t="s">
        <v>16</v>
      </c>
      <c r="H238" t="s">
        <v>17</v>
      </c>
      <c r="I238" t="s">
        <v>852</v>
      </c>
    </row>
    <row r="239" spans="1:9" x14ac:dyDescent="0.2">
      <c r="A239" t="s">
        <v>853</v>
      </c>
      <c r="B239" t="s">
        <v>853</v>
      </c>
      <c r="C239" t="s">
        <v>854</v>
      </c>
      <c r="D239">
        <v>1883</v>
      </c>
      <c r="E239">
        <v>3</v>
      </c>
      <c r="F239">
        <v>6</v>
      </c>
      <c r="G239" t="s">
        <v>855</v>
      </c>
      <c r="H239" t="s">
        <v>47</v>
      </c>
      <c r="I239" t="s">
        <v>856</v>
      </c>
    </row>
    <row r="240" spans="1:9" x14ac:dyDescent="0.2">
      <c r="A240" t="s">
        <v>857</v>
      </c>
      <c r="B240" t="s">
        <v>853</v>
      </c>
      <c r="C240" t="s">
        <v>858</v>
      </c>
      <c r="D240">
        <v>2013</v>
      </c>
      <c r="E240">
        <v>2</v>
      </c>
      <c r="F240">
        <v>2</v>
      </c>
      <c r="G240" t="s">
        <v>309</v>
      </c>
      <c r="H240" t="s">
        <v>12</v>
      </c>
      <c r="I240" t="s">
        <v>87</v>
      </c>
    </row>
    <row r="241" spans="1:9" x14ac:dyDescent="0.2">
      <c r="A241" t="s">
        <v>859</v>
      </c>
      <c r="B241" t="s">
        <v>853</v>
      </c>
      <c r="C241" t="s">
        <v>860</v>
      </c>
      <c r="D241">
        <v>1987</v>
      </c>
      <c r="E241">
        <v>2</v>
      </c>
      <c r="F241">
        <v>3</v>
      </c>
      <c r="G241" t="s">
        <v>861</v>
      </c>
      <c r="H241" t="s">
        <v>12</v>
      </c>
      <c r="I241" t="s">
        <v>862</v>
      </c>
    </row>
    <row r="242" spans="1:9" x14ac:dyDescent="0.2">
      <c r="A242" t="s">
        <v>863</v>
      </c>
      <c r="B242" t="s">
        <v>863</v>
      </c>
      <c r="C242" t="s">
        <v>864</v>
      </c>
      <c r="D242">
        <v>1973</v>
      </c>
      <c r="E242">
        <v>2</v>
      </c>
      <c r="F242">
        <v>2</v>
      </c>
      <c r="G242" t="s">
        <v>701</v>
      </c>
      <c r="H242" t="s">
        <v>12</v>
      </c>
      <c r="I242" t="s">
        <v>865</v>
      </c>
    </row>
    <row r="243" spans="1:9" x14ac:dyDescent="0.2">
      <c r="A243" t="s">
        <v>866</v>
      </c>
      <c r="B243" t="s">
        <v>866</v>
      </c>
      <c r="C243" t="s">
        <v>867</v>
      </c>
      <c r="D243">
        <v>1905</v>
      </c>
      <c r="E243">
        <v>2</v>
      </c>
      <c r="F243">
        <v>3</v>
      </c>
      <c r="G243" t="s">
        <v>868</v>
      </c>
      <c r="H243" t="s">
        <v>12</v>
      </c>
      <c r="I243" t="s">
        <v>869</v>
      </c>
    </row>
    <row r="244" spans="1:9" x14ac:dyDescent="0.2">
      <c r="A244" t="s">
        <v>870</v>
      </c>
      <c r="B244" t="s">
        <v>725</v>
      </c>
      <c r="C244" t="s">
        <v>871</v>
      </c>
      <c r="D244">
        <v>1905</v>
      </c>
      <c r="E244">
        <v>2</v>
      </c>
      <c r="F244">
        <v>2</v>
      </c>
      <c r="G244" t="s">
        <v>872</v>
      </c>
      <c r="H244" t="s">
        <v>12</v>
      </c>
      <c r="I244" t="s">
        <v>873</v>
      </c>
    </row>
    <row r="245" spans="1:9" x14ac:dyDescent="0.2">
      <c r="A245" t="s">
        <v>874</v>
      </c>
      <c r="B245" t="s">
        <v>874</v>
      </c>
      <c r="C245" t="s">
        <v>875</v>
      </c>
      <c r="D245">
        <v>1853</v>
      </c>
      <c r="E245">
        <v>2</v>
      </c>
      <c r="F245">
        <v>2</v>
      </c>
      <c r="G245" t="s">
        <v>309</v>
      </c>
      <c r="H245" t="s">
        <v>12</v>
      </c>
      <c r="I245" t="s">
        <v>87</v>
      </c>
    </row>
    <row r="246" spans="1:9" x14ac:dyDescent="0.2">
      <c r="A246" t="s">
        <v>876</v>
      </c>
      <c r="B246" t="s">
        <v>876</v>
      </c>
      <c r="C246" t="s">
        <v>877</v>
      </c>
      <c r="D246">
        <v>1867</v>
      </c>
      <c r="E246">
        <v>2</v>
      </c>
      <c r="F246">
        <v>3</v>
      </c>
      <c r="G246" t="s">
        <v>878</v>
      </c>
      <c r="H246" t="s">
        <v>17</v>
      </c>
      <c r="I246" t="s">
        <v>879</v>
      </c>
    </row>
    <row r="247" spans="1:9" x14ac:dyDescent="0.2">
      <c r="A247" t="s">
        <v>880</v>
      </c>
      <c r="B247" t="s">
        <v>880</v>
      </c>
      <c r="C247" t="s">
        <v>881</v>
      </c>
      <c r="D247">
        <v>1872</v>
      </c>
      <c r="E247">
        <v>2</v>
      </c>
      <c r="F247">
        <v>2</v>
      </c>
      <c r="G247" t="s">
        <v>149</v>
      </c>
      <c r="H247" t="s">
        <v>17</v>
      </c>
      <c r="I247" t="s">
        <v>882</v>
      </c>
    </row>
    <row r="248" spans="1:9" x14ac:dyDescent="0.2">
      <c r="A248" t="s">
        <v>883</v>
      </c>
      <c r="B248" t="s">
        <v>884</v>
      </c>
      <c r="C248" t="s">
        <v>885</v>
      </c>
      <c r="D248">
        <v>2009</v>
      </c>
      <c r="E248">
        <v>2</v>
      </c>
      <c r="F248">
        <v>2</v>
      </c>
      <c r="G248" t="s">
        <v>886</v>
      </c>
      <c r="H248" t="s">
        <v>12</v>
      </c>
      <c r="I248" t="s">
        <v>887</v>
      </c>
    </row>
    <row r="249" spans="1:9" x14ac:dyDescent="0.2">
      <c r="A249" t="s">
        <v>888</v>
      </c>
      <c r="B249" t="s">
        <v>295</v>
      </c>
      <c r="C249" t="s">
        <v>889</v>
      </c>
      <c r="D249">
        <v>1874</v>
      </c>
      <c r="E249">
        <v>2</v>
      </c>
      <c r="F249">
        <v>2</v>
      </c>
      <c r="G249" t="s">
        <v>113</v>
      </c>
      <c r="H249" t="s">
        <v>17</v>
      </c>
      <c r="I249" t="s">
        <v>890</v>
      </c>
    </row>
    <row r="250" spans="1:9" x14ac:dyDescent="0.2">
      <c r="A250" t="s">
        <v>891</v>
      </c>
      <c r="B250" t="s">
        <v>892</v>
      </c>
      <c r="C250" t="s">
        <v>893</v>
      </c>
      <c r="D250">
        <v>1905</v>
      </c>
      <c r="E250">
        <v>2</v>
      </c>
      <c r="F250">
        <v>2</v>
      </c>
      <c r="G250" t="s">
        <v>312</v>
      </c>
      <c r="H250" t="s">
        <v>12</v>
      </c>
      <c r="I250" t="s">
        <v>894</v>
      </c>
    </row>
    <row r="251" spans="1:9" x14ac:dyDescent="0.2">
      <c r="A251" t="s">
        <v>895</v>
      </c>
      <c r="B251" t="s">
        <v>896</v>
      </c>
      <c r="C251" t="s">
        <v>897</v>
      </c>
      <c r="D251">
        <v>1981</v>
      </c>
      <c r="E251">
        <v>2</v>
      </c>
      <c r="F251">
        <v>2</v>
      </c>
      <c r="G251" t="s">
        <v>109</v>
      </c>
      <c r="H251" t="s">
        <v>17</v>
      </c>
      <c r="I251" t="s">
        <v>898</v>
      </c>
    </row>
    <row r="252" spans="1:9" x14ac:dyDescent="0.2">
      <c r="A252" t="s">
        <v>899</v>
      </c>
      <c r="B252" t="s">
        <v>900</v>
      </c>
      <c r="C252" t="s">
        <v>901</v>
      </c>
      <c r="D252">
        <v>1971</v>
      </c>
      <c r="E252">
        <v>2</v>
      </c>
      <c r="F252">
        <v>2</v>
      </c>
      <c r="G252" t="s">
        <v>301</v>
      </c>
      <c r="H252" t="s">
        <v>17</v>
      </c>
      <c r="I252" t="s">
        <v>902</v>
      </c>
    </row>
    <row r="253" spans="1:9" x14ac:dyDescent="0.2">
      <c r="A253" t="s">
        <v>903</v>
      </c>
      <c r="B253" t="s">
        <v>903</v>
      </c>
      <c r="C253" t="s">
        <v>904</v>
      </c>
      <c r="D253">
        <v>1863</v>
      </c>
      <c r="E253">
        <v>2</v>
      </c>
      <c r="F253">
        <v>2</v>
      </c>
      <c r="G253" t="s">
        <v>74</v>
      </c>
      <c r="H253" t="s">
        <v>17</v>
      </c>
      <c r="I253" t="s">
        <v>905</v>
      </c>
    </row>
    <row r="254" spans="1:9" x14ac:dyDescent="0.2">
      <c r="A254" t="s">
        <v>906</v>
      </c>
      <c r="B254" t="s">
        <v>906</v>
      </c>
      <c r="C254" t="s">
        <v>907</v>
      </c>
      <c r="D254">
        <v>1879</v>
      </c>
      <c r="E254">
        <v>2</v>
      </c>
      <c r="F254">
        <v>4</v>
      </c>
      <c r="G254" t="s">
        <v>908</v>
      </c>
      <c r="H254" t="s">
        <v>47</v>
      </c>
      <c r="I254" t="s">
        <v>909</v>
      </c>
    </row>
    <row r="255" spans="1:9" x14ac:dyDescent="0.2">
      <c r="A255" t="s">
        <v>910</v>
      </c>
      <c r="B255" t="s">
        <v>906</v>
      </c>
      <c r="C255" t="s">
        <v>911</v>
      </c>
      <c r="D255">
        <v>1973</v>
      </c>
      <c r="E255">
        <v>2</v>
      </c>
      <c r="F255">
        <v>2</v>
      </c>
      <c r="G255" t="s">
        <v>683</v>
      </c>
      <c r="H255" t="s">
        <v>17</v>
      </c>
      <c r="I255" t="s">
        <v>912</v>
      </c>
    </row>
    <row r="256" spans="1:9" x14ac:dyDescent="0.2">
      <c r="A256" t="s">
        <v>913</v>
      </c>
      <c r="B256" t="s">
        <v>906</v>
      </c>
      <c r="C256" t="s">
        <v>914</v>
      </c>
      <c r="D256">
        <v>2014</v>
      </c>
      <c r="E256">
        <v>2</v>
      </c>
      <c r="F256">
        <v>2</v>
      </c>
      <c r="G256" t="s">
        <v>683</v>
      </c>
      <c r="H256" t="s">
        <v>17</v>
      </c>
      <c r="I256" t="s">
        <v>915</v>
      </c>
    </row>
    <row r="257" spans="1:9" x14ac:dyDescent="0.2">
      <c r="A257" t="s">
        <v>916</v>
      </c>
      <c r="B257" t="s">
        <v>906</v>
      </c>
      <c r="C257" t="s">
        <v>917</v>
      </c>
      <c r="D257">
        <v>1972</v>
      </c>
      <c r="E257">
        <v>2</v>
      </c>
      <c r="F257">
        <v>2</v>
      </c>
      <c r="G257" t="s">
        <v>886</v>
      </c>
      <c r="H257" t="s">
        <v>12</v>
      </c>
      <c r="I257" t="s">
        <v>918</v>
      </c>
    </row>
    <row r="258" spans="1:9" x14ac:dyDescent="0.2">
      <c r="A258" t="s">
        <v>919</v>
      </c>
      <c r="B258" t="s">
        <v>906</v>
      </c>
      <c r="C258" t="s">
        <v>920</v>
      </c>
      <c r="D258">
        <v>2002</v>
      </c>
      <c r="E258">
        <v>2</v>
      </c>
      <c r="F258">
        <v>2</v>
      </c>
      <c r="G258" t="s">
        <v>167</v>
      </c>
      <c r="H258" t="s">
        <v>17</v>
      </c>
      <c r="I258" t="s">
        <v>921</v>
      </c>
    </row>
    <row r="259" spans="1:9" x14ac:dyDescent="0.2">
      <c r="A259" t="s">
        <v>922</v>
      </c>
      <c r="B259" t="s">
        <v>922</v>
      </c>
      <c r="C259" t="s">
        <v>923</v>
      </c>
      <c r="D259">
        <v>1881</v>
      </c>
      <c r="E259">
        <v>2</v>
      </c>
      <c r="F259">
        <v>2</v>
      </c>
      <c r="G259" t="s">
        <v>650</v>
      </c>
      <c r="H259" t="s">
        <v>193</v>
      </c>
      <c r="I259" t="s">
        <v>924</v>
      </c>
    </row>
    <row r="260" spans="1:9" x14ac:dyDescent="0.2">
      <c r="A260" t="s">
        <v>925</v>
      </c>
      <c r="B260" t="s">
        <v>925</v>
      </c>
      <c r="C260" t="s">
        <v>926</v>
      </c>
      <c r="D260">
        <v>1863</v>
      </c>
      <c r="E260">
        <v>1</v>
      </c>
      <c r="F260">
        <v>2</v>
      </c>
      <c r="G260" t="s">
        <v>74</v>
      </c>
      <c r="H260" t="s">
        <v>17</v>
      </c>
      <c r="I260" t="s">
        <v>912</v>
      </c>
    </row>
    <row r="261" spans="1:9" x14ac:dyDescent="0.2">
      <c r="A261" t="s">
        <v>927</v>
      </c>
      <c r="B261" t="s">
        <v>927</v>
      </c>
      <c r="C261" t="s">
        <v>928</v>
      </c>
      <c r="D261">
        <v>1893</v>
      </c>
      <c r="E261">
        <v>1</v>
      </c>
      <c r="F261">
        <v>2</v>
      </c>
      <c r="G261" t="s">
        <v>518</v>
      </c>
      <c r="H261" t="s">
        <v>12</v>
      </c>
      <c r="I261" t="s">
        <v>929</v>
      </c>
    </row>
    <row r="262" spans="1:9" x14ac:dyDescent="0.2">
      <c r="A262" t="s">
        <v>930</v>
      </c>
      <c r="B262" t="s">
        <v>930</v>
      </c>
      <c r="C262" t="s">
        <v>931</v>
      </c>
      <c r="D262">
        <v>1898</v>
      </c>
      <c r="E262">
        <v>1</v>
      </c>
      <c r="F262">
        <v>2</v>
      </c>
      <c r="G262" t="s">
        <v>932</v>
      </c>
      <c r="H262" t="s">
        <v>17</v>
      </c>
      <c r="I262" t="s">
        <v>933</v>
      </c>
    </row>
    <row r="263" spans="1:9" x14ac:dyDescent="0.2">
      <c r="A263" t="s">
        <v>934</v>
      </c>
      <c r="B263" t="s">
        <v>934</v>
      </c>
      <c r="C263" t="s">
        <v>935</v>
      </c>
      <c r="D263">
        <v>1865</v>
      </c>
      <c r="E263">
        <v>2</v>
      </c>
      <c r="F263">
        <v>3</v>
      </c>
      <c r="G263" t="s">
        <v>207</v>
      </c>
      <c r="H263" t="s">
        <v>17</v>
      </c>
      <c r="I263" t="s">
        <v>936</v>
      </c>
    </row>
    <row r="264" spans="1:9" x14ac:dyDescent="0.2">
      <c r="A264" t="s">
        <v>937</v>
      </c>
      <c r="B264" t="s">
        <v>937</v>
      </c>
      <c r="C264" t="s">
        <v>938</v>
      </c>
      <c r="D264">
        <v>1865</v>
      </c>
      <c r="E264">
        <v>2</v>
      </c>
      <c r="F264">
        <v>2</v>
      </c>
      <c r="G264" t="s">
        <v>37</v>
      </c>
      <c r="H264" t="s">
        <v>939</v>
      </c>
      <c r="I264" t="s">
        <v>87</v>
      </c>
    </row>
    <row r="265" spans="1:9" x14ac:dyDescent="0.2">
      <c r="A265" t="s">
        <v>940</v>
      </c>
      <c r="B265" t="s">
        <v>940</v>
      </c>
      <c r="C265" t="s">
        <v>941</v>
      </c>
      <c r="D265">
        <v>1866</v>
      </c>
      <c r="E265">
        <v>2</v>
      </c>
      <c r="F265">
        <v>3</v>
      </c>
      <c r="G265" t="s">
        <v>21</v>
      </c>
      <c r="H265" t="s">
        <v>17</v>
      </c>
      <c r="I265" t="s">
        <v>942</v>
      </c>
    </row>
    <row r="266" spans="1:9" x14ac:dyDescent="0.2">
      <c r="A266" t="s">
        <v>943</v>
      </c>
      <c r="B266" t="s">
        <v>943</v>
      </c>
      <c r="C266" t="s">
        <v>944</v>
      </c>
      <c r="D266">
        <v>1903</v>
      </c>
      <c r="E266">
        <v>1</v>
      </c>
      <c r="F266">
        <v>2</v>
      </c>
      <c r="G266" t="s">
        <v>312</v>
      </c>
      <c r="H266" t="s">
        <v>12</v>
      </c>
      <c r="I266" t="s">
        <v>945</v>
      </c>
    </row>
    <row r="267" spans="1:9" x14ac:dyDescent="0.2">
      <c r="A267" t="s">
        <v>946</v>
      </c>
      <c r="B267" t="s">
        <v>946</v>
      </c>
      <c r="C267" t="s">
        <v>947</v>
      </c>
      <c r="D267">
        <v>1845</v>
      </c>
      <c r="E267">
        <v>2</v>
      </c>
      <c r="F267">
        <v>2</v>
      </c>
      <c r="G267" t="s">
        <v>16</v>
      </c>
      <c r="H267" t="s">
        <v>17</v>
      </c>
      <c r="I267" t="s">
        <v>948</v>
      </c>
    </row>
    <row r="268" spans="1:9" x14ac:dyDescent="0.2">
      <c r="A268" t="s">
        <v>949</v>
      </c>
      <c r="B268" t="s">
        <v>949</v>
      </c>
      <c r="C268" t="s">
        <v>950</v>
      </c>
      <c r="D268">
        <v>1898</v>
      </c>
      <c r="E268">
        <v>2</v>
      </c>
      <c r="F268">
        <v>2</v>
      </c>
      <c r="G268" t="s">
        <v>667</v>
      </c>
      <c r="H268" t="s">
        <v>12</v>
      </c>
      <c r="I268" t="s">
        <v>87</v>
      </c>
    </row>
    <row r="269" spans="1:9" x14ac:dyDescent="0.2">
      <c r="A269" t="s">
        <v>951</v>
      </c>
      <c r="B269" t="s">
        <v>951</v>
      </c>
      <c r="C269" t="s">
        <v>952</v>
      </c>
      <c r="D269">
        <v>1881</v>
      </c>
      <c r="E269">
        <v>2</v>
      </c>
      <c r="F269">
        <v>2</v>
      </c>
      <c r="G269" t="s">
        <v>683</v>
      </c>
      <c r="H269" t="s">
        <v>17</v>
      </c>
      <c r="I269" t="s">
        <v>953</v>
      </c>
    </row>
    <row r="270" spans="1:9" x14ac:dyDescent="0.2">
      <c r="A270" t="s">
        <v>954</v>
      </c>
      <c r="B270" t="s">
        <v>951</v>
      </c>
      <c r="C270" t="s">
        <v>955</v>
      </c>
      <c r="D270">
        <v>1981</v>
      </c>
      <c r="E270">
        <v>2</v>
      </c>
      <c r="F270">
        <v>2</v>
      </c>
      <c r="G270" t="s">
        <v>683</v>
      </c>
      <c r="H270" t="s">
        <v>17</v>
      </c>
      <c r="I270" t="s">
        <v>730</v>
      </c>
    </row>
    <row r="271" spans="1:9" x14ac:dyDescent="0.2">
      <c r="A271" t="s">
        <v>956</v>
      </c>
      <c r="B271" t="s">
        <v>956</v>
      </c>
      <c r="C271" t="s">
        <v>957</v>
      </c>
      <c r="D271">
        <v>1854</v>
      </c>
      <c r="E271">
        <v>2</v>
      </c>
      <c r="F271">
        <v>3</v>
      </c>
      <c r="G271" t="s">
        <v>958</v>
      </c>
      <c r="H271" t="s">
        <v>17</v>
      </c>
      <c r="I271" t="s">
        <v>959</v>
      </c>
    </row>
    <row r="272" spans="1:9" x14ac:dyDescent="0.2">
      <c r="A272" t="s">
        <v>960</v>
      </c>
      <c r="B272" t="s">
        <v>960</v>
      </c>
      <c r="C272" t="s">
        <v>961</v>
      </c>
      <c r="D272">
        <v>1881</v>
      </c>
      <c r="E272">
        <v>1</v>
      </c>
      <c r="F272">
        <v>2</v>
      </c>
      <c r="G272" t="s">
        <v>962</v>
      </c>
      <c r="H272" t="s">
        <v>17</v>
      </c>
      <c r="I272" t="s">
        <v>963</v>
      </c>
    </row>
    <row r="273" spans="1:9" x14ac:dyDescent="0.2">
      <c r="A273" t="s">
        <v>964</v>
      </c>
      <c r="B273" t="s">
        <v>964</v>
      </c>
      <c r="C273" t="s">
        <v>965</v>
      </c>
      <c r="D273">
        <v>1884</v>
      </c>
      <c r="E273">
        <v>2</v>
      </c>
      <c r="F273">
        <v>2</v>
      </c>
      <c r="G273" t="s">
        <v>256</v>
      </c>
      <c r="H273" t="s">
        <v>17</v>
      </c>
      <c r="I273" t="s">
        <v>966</v>
      </c>
    </row>
    <row r="274" spans="1:9" x14ac:dyDescent="0.2">
      <c r="A274" t="s">
        <v>967</v>
      </c>
      <c r="B274" t="s">
        <v>964</v>
      </c>
      <c r="C274" t="s">
        <v>968</v>
      </c>
      <c r="D274">
        <v>1971</v>
      </c>
      <c r="E274">
        <v>2</v>
      </c>
      <c r="F274">
        <v>2</v>
      </c>
      <c r="G274" t="s">
        <v>256</v>
      </c>
      <c r="H274" t="s">
        <v>17</v>
      </c>
      <c r="I274" t="s">
        <v>969</v>
      </c>
    </row>
    <row r="275" spans="1:9" x14ac:dyDescent="0.2">
      <c r="A275" t="s">
        <v>970</v>
      </c>
      <c r="B275" t="s">
        <v>964</v>
      </c>
      <c r="C275" t="s">
        <v>971</v>
      </c>
      <c r="D275">
        <v>2007</v>
      </c>
      <c r="E275">
        <v>2</v>
      </c>
      <c r="F275">
        <v>2</v>
      </c>
      <c r="G275" t="s">
        <v>256</v>
      </c>
      <c r="H275" t="s">
        <v>17</v>
      </c>
      <c r="I275" t="s">
        <v>972</v>
      </c>
    </row>
    <row r="276" spans="1:9" x14ac:dyDescent="0.2">
      <c r="A276" t="s">
        <v>973</v>
      </c>
      <c r="B276" t="s">
        <v>973</v>
      </c>
      <c r="C276" t="s">
        <v>974</v>
      </c>
      <c r="D276">
        <v>1863</v>
      </c>
      <c r="E276">
        <v>2</v>
      </c>
      <c r="F276">
        <v>2</v>
      </c>
      <c r="G276" t="s">
        <v>74</v>
      </c>
      <c r="H276" t="s">
        <v>17</v>
      </c>
      <c r="I276" t="s">
        <v>975</v>
      </c>
    </row>
    <row r="277" spans="1:9" x14ac:dyDescent="0.2">
      <c r="A277" t="s">
        <v>976</v>
      </c>
      <c r="B277" t="s">
        <v>976</v>
      </c>
      <c r="C277" t="s">
        <v>977</v>
      </c>
      <c r="D277">
        <v>1881</v>
      </c>
      <c r="E277">
        <v>2</v>
      </c>
      <c r="F277">
        <v>2</v>
      </c>
      <c r="G277" t="s">
        <v>650</v>
      </c>
      <c r="H277" t="s">
        <v>193</v>
      </c>
      <c r="I277" t="s">
        <v>978</v>
      </c>
    </row>
    <row r="278" spans="1:9" x14ac:dyDescent="0.2">
      <c r="A278" t="s">
        <v>979</v>
      </c>
      <c r="B278" t="s">
        <v>979</v>
      </c>
      <c r="C278" t="s">
        <v>980</v>
      </c>
      <c r="D278">
        <v>1881</v>
      </c>
      <c r="E278">
        <v>2</v>
      </c>
      <c r="F278">
        <v>2</v>
      </c>
      <c r="G278" t="s">
        <v>683</v>
      </c>
      <c r="H278" t="s">
        <v>17</v>
      </c>
      <c r="I278" t="s">
        <v>981</v>
      </c>
    </row>
    <row r="279" spans="1:9" x14ac:dyDescent="0.2">
      <c r="A279" t="s">
        <v>982</v>
      </c>
      <c r="B279" t="s">
        <v>982</v>
      </c>
      <c r="C279" t="s">
        <v>983</v>
      </c>
      <c r="D279">
        <v>1862</v>
      </c>
      <c r="E279">
        <v>2</v>
      </c>
      <c r="F279">
        <v>2</v>
      </c>
      <c r="G279" t="s">
        <v>207</v>
      </c>
      <c r="H279" t="s">
        <v>12</v>
      </c>
      <c r="I279" t="s">
        <v>984</v>
      </c>
    </row>
    <row r="280" spans="1:9" x14ac:dyDescent="0.2">
      <c r="A280" t="s">
        <v>985</v>
      </c>
      <c r="B280" t="s">
        <v>985</v>
      </c>
      <c r="C280" t="s">
        <v>986</v>
      </c>
      <c r="D280">
        <v>1952</v>
      </c>
      <c r="E280">
        <v>2</v>
      </c>
      <c r="F280">
        <v>2</v>
      </c>
      <c r="G280" t="s">
        <v>21</v>
      </c>
      <c r="H280" t="s">
        <v>17</v>
      </c>
      <c r="I280" t="s">
        <v>987</v>
      </c>
    </row>
    <row r="281" spans="1:9" x14ac:dyDescent="0.2">
      <c r="A281" t="s">
        <v>988</v>
      </c>
      <c r="B281" t="s">
        <v>988</v>
      </c>
      <c r="C281" t="s">
        <v>989</v>
      </c>
      <c r="D281">
        <v>1981</v>
      </c>
      <c r="E281">
        <v>1</v>
      </c>
      <c r="F281">
        <v>1</v>
      </c>
      <c r="G281" t="s">
        <v>990</v>
      </c>
      <c r="H281" t="s">
        <v>17</v>
      </c>
      <c r="I281" t="s">
        <v>991</v>
      </c>
    </row>
    <row r="282" spans="1:9" x14ac:dyDescent="0.2">
      <c r="A282" t="s">
        <v>992</v>
      </c>
      <c r="B282" t="s">
        <v>992</v>
      </c>
      <c r="C282" t="s">
        <v>993</v>
      </c>
      <c r="D282">
        <v>1888</v>
      </c>
      <c r="E282">
        <v>2</v>
      </c>
      <c r="F282">
        <v>3</v>
      </c>
      <c r="G282" t="s">
        <v>399</v>
      </c>
      <c r="H282" t="s">
        <v>17</v>
      </c>
      <c r="I282" t="s">
        <v>994</v>
      </c>
    </row>
    <row r="283" spans="1:9" x14ac:dyDescent="0.2">
      <c r="A283" t="s">
        <v>995</v>
      </c>
      <c r="B283" t="s">
        <v>995</v>
      </c>
      <c r="C283" t="s">
        <v>996</v>
      </c>
      <c r="D283">
        <v>1965</v>
      </c>
      <c r="E283">
        <v>2</v>
      </c>
      <c r="F283">
        <v>4</v>
      </c>
      <c r="G283" t="s">
        <v>334</v>
      </c>
      <c r="H283" t="s">
        <v>17</v>
      </c>
      <c r="I283" t="s">
        <v>997</v>
      </c>
    </row>
    <row r="284" spans="1:9" x14ac:dyDescent="0.2">
      <c r="A284" t="s">
        <v>998</v>
      </c>
      <c r="B284" t="s">
        <v>999</v>
      </c>
      <c r="C284" t="s">
        <v>1000</v>
      </c>
      <c r="D284">
        <v>1872</v>
      </c>
      <c r="E284">
        <v>2</v>
      </c>
      <c r="F284">
        <v>2</v>
      </c>
      <c r="G284" t="s">
        <v>149</v>
      </c>
      <c r="H284" t="s">
        <v>17</v>
      </c>
      <c r="I284" t="s">
        <v>1001</v>
      </c>
    </row>
    <row r="285" spans="1:9" x14ac:dyDescent="0.2">
      <c r="A285" t="s">
        <v>1002</v>
      </c>
      <c r="B285" t="s">
        <v>1002</v>
      </c>
      <c r="C285" t="s">
        <v>1003</v>
      </c>
      <c r="D285">
        <v>1865</v>
      </c>
      <c r="E285">
        <v>2</v>
      </c>
      <c r="F285">
        <v>3</v>
      </c>
      <c r="G285" t="s">
        <v>207</v>
      </c>
      <c r="H285" t="s">
        <v>47</v>
      </c>
      <c r="I285" t="s">
        <v>1004</v>
      </c>
    </row>
    <row r="286" spans="1:9" x14ac:dyDescent="0.2">
      <c r="A286" t="s">
        <v>1005</v>
      </c>
      <c r="B286" t="s">
        <v>1005</v>
      </c>
      <c r="C286" t="s">
        <v>1006</v>
      </c>
      <c r="D286">
        <v>2018</v>
      </c>
      <c r="E286">
        <v>1</v>
      </c>
      <c r="F286">
        <v>1</v>
      </c>
      <c r="G286" t="s">
        <v>468</v>
      </c>
      <c r="H286" t="s">
        <v>12</v>
      </c>
      <c r="I286" t="s">
        <v>87</v>
      </c>
    </row>
    <row r="287" spans="1:9" x14ac:dyDescent="0.2">
      <c r="A287" t="s">
        <v>1007</v>
      </c>
      <c r="B287" t="s">
        <v>1007</v>
      </c>
      <c r="C287" t="s">
        <v>1008</v>
      </c>
      <c r="D287">
        <v>1854</v>
      </c>
      <c r="E287">
        <v>2</v>
      </c>
      <c r="F287">
        <v>3</v>
      </c>
      <c r="G287" t="s">
        <v>1009</v>
      </c>
      <c r="H287" t="s">
        <v>1010</v>
      </c>
      <c r="I287" t="s">
        <v>1011</v>
      </c>
    </row>
    <row r="288" spans="1:9" x14ac:dyDescent="0.2">
      <c r="A288" t="s">
        <v>1012</v>
      </c>
      <c r="B288" t="s">
        <v>1012</v>
      </c>
      <c r="C288" t="s">
        <v>1013</v>
      </c>
      <c r="D288">
        <v>1981</v>
      </c>
      <c r="E288">
        <v>2</v>
      </c>
      <c r="F288">
        <v>2</v>
      </c>
      <c r="G288" t="s">
        <v>683</v>
      </c>
      <c r="H288" t="s">
        <v>17</v>
      </c>
      <c r="I288" t="s">
        <v>1014</v>
      </c>
    </row>
    <row r="289" spans="1:9" x14ac:dyDescent="0.2">
      <c r="A289" t="s">
        <v>1015</v>
      </c>
      <c r="B289" t="s">
        <v>1016</v>
      </c>
      <c r="C289" t="s">
        <v>1017</v>
      </c>
      <c r="D289">
        <v>1968</v>
      </c>
      <c r="E289">
        <v>2</v>
      </c>
      <c r="F289">
        <v>2</v>
      </c>
      <c r="G289" t="s">
        <v>301</v>
      </c>
      <c r="H289" t="s">
        <v>17</v>
      </c>
      <c r="I289" t="s">
        <v>1018</v>
      </c>
    </row>
    <row r="290" spans="1:9" x14ac:dyDescent="0.2">
      <c r="A290" t="s">
        <v>1019</v>
      </c>
      <c r="B290" t="s">
        <v>1016</v>
      </c>
      <c r="C290" t="s">
        <v>1020</v>
      </c>
      <c r="D290">
        <v>1877</v>
      </c>
      <c r="E290">
        <v>2</v>
      </c>
      <c r="F290">
        <v>4</v>
      </c>
      <c r="G290" t="s">
        <v>187</v>
      </c>
      <c r="H290" t="s">
        <v>17</v>
      </c>
      <c r="I290" t="s">
        <v>1021</v>
      </c>
    </row>
    <row r="291" spans="1:9" x14ac:dyDescent="0.2">
      <c r="A291" t="s">
        <v>1022</v>
      </c>
      <c r="B291" t="s">
        <v>1016</v>
      </c>
      <c r="C291" t="s">
        <v>1023</v>
      </c>
      <c r="D291">
        <v>1957</v>
      </c>
      <c r="E291">
        <v>7</v>
      </c>
      <c r="F291">
        <v>13</v>
      </c>
      <c r="G291" t="s">
        <v>1024</v>
      </c>
      <c r="H291" t="s">
        <v>1025</v>
      </c>
      <c r="I291" t="s">
        <v>1026</v>
      </c>
    </row>
    <row r="292" spans="1:9" x14ac:dyDescent="0.2">
      <c r="A292" t="s">
        <v>1027</v>
      </c>
      <c r="B292" t="s">
        <v>1016</v>
      </c>
      <c r="C292" t="s">
        <v>1028</v>
      </c>
      <c r="D292">
        <v>1964</v>
      </c>
      <c r="E292">
        <v>2</v>
      </c>
      <c r="F292">
        <v>4</v>
      </c>
      <c r="G292" t="s">
        <v>187</v>
      </c>
      <c r="H292" t="s">
        <v>17</v>
      </c>
      <c r="I292" t="s">
        <v>1029</v>
      </c>
    </row>
    <row r="293" spans="1:9" x14ac:dyDescent="0.2">
      <c r="A293" t="s">
        <v>1030</v>
      </c>
      <c r="B293" t="s">
        <v>1016</v>
      </c>
      <c r="C293" t="s">
        <v>1031</v>
      </c>
      <c r="D293">
        <v>1953</v>
      </c>
      <c r="E293">
        <v>2</v>
      </c>
      <c r="F293">
        <v>2</v>
      </c>
      <c r="G293" t="s">
        <v>301</v>
      </c>
      <c r="H293" t="s">
        <v>17</v>
      </c>
      <c r="I293" t="s">
        <v>1032</v>
      </c>
    </row>
    <row r="294" spans="1:9" x14ac:dyDescent="0.2">
      <c r="A294" t="s">
        <v>1033</v>
      </c>
      <c r="B294" t="s">
        <v>1016</v>
      </c>
      <c r="C294" t="s">
        <v>1034</v>
      </c>
      <c r="D294">
        <v>1937</v>
      </c>
      <c r="E294">
        <v>1</v>
      </c>
      <c r="F294">
        <v>2</v>
      </c>
      <c r="G294" t="s">
        <v>187</v>
      </c>
      <c r="H294" t="s">
        <v>17</v>
      </c>
      <c r="I294" t="s">
        <v>1035</v>
      </c>
    </row>
    <row r="295" spans="1:9" x14ac:dyDescent="0.2">
      <c r="A295" t="s">
        <v>1036</v>
      </c>
      <c r="B295" t="s">
        <v>1016</v>
      </c>
      <c r="C295" t="s">
        <v>1037</v>
      </c>
      <c r="D295">
        <v>1877</v>
      </c>
      <c r="E295">
        <v>3</v>
      </c>
      <c r="F295">
        <v>4</v>
      </c>
      <c r="G295" t="s">
        <v>187</v>
      </c>
      <c r="H295" t="s">
        <v>17</v>
      </c>
      <c r="I295" t="s">
        <v>1038</v>
      </c>
    </row>
    <row r="296" spans="1:9" x14ac:dyDescent="0.2">
      <c r="A296" t="s">
        <v>1039</v>
      </c>
      <c r="B296" t="s">
        <v>1039</v>
      </c>
      <c r="C296" t="s">
        <v>1040</v>
      </c>
      <c r="D296">
        <v>1878</v>
      </c>
      <c r="E296">
        <v>1</v>
      </c>
      <c r="F296">
        <v>2</v>
      </c>
      <c r="G296" t="s">
        <v>1041</v>
      </c>
      <c r="H296" t="s">
        <v>12</v>
      </c>
      <c r="I296" t="s">
        <v>87</v>
      </c>
    </row>
    <row r="297" spans="1:9" x14ac:dyDescent="0.2">
      <c r="A297" t="s">
        <v>1042</v>
      </c>
      <c r="B297" t="s">
        <v>1043</v>
      </c>
      <c r="C297" t="s">
        <v>1044</v>
      </c>
      <c r="D297">
        <v>1957</v>
      </c>
      <c r="E297">
        <v>2</v>
      </c>
      <c r="F297">
        <v>2</v>
      </c>
      <c r="G297" t="s">
        <v>223</v>
      </c>
      <c r="H297" t="s">
        <v>17</v>
      </c>
      <c r="I297" t="s">
        <v>1045</v>
      </c>
    </row>
    <row r="298" spans="1:9" x14ac:dyDescent="0.2">
      <c r="A298" t="s">
        <v>1046</v>
      </c>
      <c r="B298" t="s">
        <v>1047</v>
      </c>
      <c r="C298" t="s">
        <v>1048</v>
      </c>
      <c r="D298">
        <v>1867</v>
      </c>
      <c r="E298">
        <v>1</v>
      </c>
      <c r="F298">
        <v>2</v>
      </c>
      <c r="G298" t="s">
        <v>223</v>
      </c>
      <c r="H298" t="s">
        <v>17</v>
      </c>
      <c r="I298" t="s">
        <v>1049</v>
      </c>
    </row>
    <row r="299" spans="1:9" x14ac:dyDescent="0.2">
      <c r="A299" t="s">
        <v>1050</v>
      </c>
      <c r="B299" t="s">
        <v>1051</v>
      </c>
      <c r="C299" t="s">
        <v>1052</v>
      </c>
      <c r="D299">
        <v>2011</v>
      </c>
      <c r="E299">
        <v>2</v>
      </c>
      <c r="F299">
        <v>2</v>
      </c>
      <c r="G299" t="s">
        <v>109</v>
      </c>
      <c r="H299" t="s">
        <v>17</v>
      </c>
      <c r="I299" t="s">
        <v>1053</v>
      </c>
    </row>
    <row r="300" spans="1:9" x14ac:dyDescent="0.2">
      <c r="A300" t="s">
        <v>1054</v>
      </c>
      <c r="B300" t="s">
        <v>1054</v>
      </c>
      <c r="C300" t="s">
        <v>1055</v>
      </c>
      <c r="D300">
        <v>1884</v>
      </c>
      <c r="E300">
        <v>2</v>
      </c>
      <c r="F300">
        <v>2</v>
      </c>
      <c r="G300" t="s">
        <v>1056</v>
      </c>
      <c r="H300" t="s">
        <v>12</v>
      </c>
      <c r="I300" t="s">
        <v>1057</v>
      </c>
    </row>
    <row r="301" spans="1:9" x14ac:dyDescent="0.2">
      <c r="A301" t="s">
        <v>1058</v>
      </c>
      <c r="B301" t="s">
        <v>1058</v>
      </c>
      <c r="C301" t="s">
        <v>1059</v>
      </c>
      <c r="D301">
        <v>1865</v>
      </c>
      <c r="E301">
        <v>2</v>
      </c>
      <c r="F301">
        <v>3</v>
      </c>
      <c r="G301" t="s">
        <v>124</v>
      </c>
      <c r="H301" t="s">
        <v>17</v>
      </c>
      <c r="I301" t="s">
        <v>1060</v>
      </c>
    </row>
    <row r="302" spans="1:9" x14ac:dyDescent="0.2">
      <c r="A302" t="s">
        <v>1061</v>
      </c>
      <c r="B302" t="s">
        <v>1061</v>
      </c>
      <c r="C302" t="s">
        <v>1062</v>
      </c>
      <c r="D302">
        <v>1868</v>
      </c>
      <c r="E302">
        <v>1</v>
      </c>
      <c r="F302">
        <v>2</v>
      </c>
      <c r="G302" t="s">
        <v>287</v>
      </c>
      <c r="H302" t="s">
        <v>12</v>
      </c>
      <c r="I302" t="s">
        <v>1063</v>
      </c>
    </row>
    <row r="303" spans="1:9" x14ac:dyDescent="0.2">
      <c r="A303" t="s">
        <v>1064</v>
      </c>
      <c r="B303" t="s">
        <v>1065</v>
      </c>
      <c r="C303" t="s">
        <v>1066</v>
      </c>
      <c r="D303">
        <v>1847</v>
      </c>
      <c r="E303">
        <v>3</v>
      </c>
      <c r="F303">
        <v>4</v>
      </c>
      <c r="G303" t="s">
        <v>334</v>
      </c>
      <c r="H303" t="s">
        <v>17</v>
      </c>
      <c r="I303" t="s">
        <v>1067</v>
      </c>
    </row>
    <row r="304" spans="1:9" x14ac:dyDescent="0.2">
      <c r="A304" t="s">
        <v>1068</v>
      </c>
      <c r="B304" t="s">
        <v>1068</v>
      </c>
      <c r="C304" t="s">
        <v>1069</v>
      </c>
      <c r="D304">
        <v>1853</v>
      </c>
      <c r="E304">
        <v>4</v>
      </c>
      <c r="F304">
        <v>4</v>
      </c>
      <c r="G304" t="s">
        <v>1070</v>
      </c>
      <c r="H304" t="s">
        <v>770</v>
      </c>
      <c r="I304" t="s">
        <v>87</v>
      </c>
    </row>
    <row r="305" spans="1:9" x14ac:dyDescent="0.2">
      <c r="A305" t="s">
        <v>1071</v>
      </c>
      <c r="B305" t="s">
        <v>1071</v>
      </c>
      <c r="C305" t="s">
        <v>1072</v>
      </c>
      <c r="D305">
        <v>1896</v>
      </c>
      <c r="E305">
        <v>2</v>
      </c>
      <c r="F305">
        <v>2</v>
      </c>
      <c r="G305" t="s">
        <v>518</v>
      </c>
      <c r="H305" t="s">
        <v>12</v>
      </c>
      <c r="I305" t="s">
        <v>1073</v>
      </c>
    </row>
    <row r="306" spans="1:9" x14ac:dyDescent="0.2">
      <c r="A306" t="s">
        <v>1074</v>
      </c>
      <c r="B306" t="s">
        <v>1075</v>
      </c>
      <c r="C306" t="s">
        <v>1076</v>
      </c>
      <c r="D306">
        <v>1978</v>
      </c>
      <c r="E306">
        <v>3</v>
      </c>
      <c r="F306">
        <v>6</v>
      </c>
      <c r="G306" t="s">
        <v>1077</v>
      </c>
      <c r="H306" t="s">
        <v>1078</v>
      </c>
      <c r="I306" t="s">
        <v>1079</v>
      </c>
    </row>
    <row r="307" spans="1:9" x14ac:dyDescent="0.2">
      <c r="A307" t="s">
        <v>1080</v>
      </c>
      <c r="B307" t="s">
        <v>1080</v>
      </c>
      <c r="C307" t="s">
        <v>1081</v>
      </c>
      <c r="D307">
        <v>1862</v>
      </c>
      <c r="E307">
        <v>2</v>
      </c>
      <c r="F307">
        <v>4</v>
      </c>
      <c r="G307" t="s">
        <v>1082</v>
      </c>
      <c r="H307" t="s">
        <v>47</v>
      </c>
      <c r="I307" t="s">
        <v>1083</v>
      </c>
    </row>
    <row r="308" spans="1:9" x14ac:dyDescent="0.2">
      <c r="A308" t="s">
        <v>1084</v>
      </c>
      <c r="B308" t="s">
        <v>1084</v>
      </c>
      <c r="C308" t="s">
        <v>1085</v>
      </c>
      <c r="D308">
        <v>1885</v>
      </c>
      <c r="E308">
        <v>2</v>
      </c>
      <c r="F308">
        <v>2</v>
      </c>
      <c r="G308" t="s">
        <v>144</v>
      </c>
      <c r="H308" t="s">
        <v>145</v>
      </c>
      <c r="I308" t="s">
        <v>1086</v>
      </c>
    </row>
    <row r="309" spans="1:9" x14ac:dyDescent="0.2">
      <c r="A309" t="s">
        <v>1087</v>
      </c>
      <c r="B309" t="s">
        <v>1084</v>
      </c>
      <c r="C309" t="s">
        <v>1088</v>
      </c>
      <c r="D309">
        <v>2011</v>
      </c>
      <c r="E309">
        <v>1</v>
      </c>
      <c r="F309">
        <v>1</v>
      </c>
      <c r="G309" t="s">
        <v>144</v>
      </c>
      <c r="H309" t="s">
        <v>145</v>
      </c>
      <c r="I309" t="s">
        <v>1089</v>
      </c>
    </row>
    <row r="310" spans="1:9" x14ac:dyDescent="0.2">
      <c r="A310" t="s">
        <v>1090</v>
      </c>
      <c r="B310" t="s">
        <v>1090</v>
      </c>
      <c r="C310" t="s">
        <v>1091</v>
      </c>
      <c r="D310">
        <v>1883</v>
      </c>
      <c r="E310">
        <v>2</v>
      </c>
      <c r="F310">
        <v>2</v>
      </c>
      <c r="G310" t="s">
        <v>701</v>
      </c>
      <c r="H310" t="s">
        <v>12</v>
      </c>
      <c r="I310" t="s">
        <v>1092</v>
      </c>
    </row>
    <row r="311" spans="1:9" x14ac:dyDescent="0.2">
      <c r="A311" t="s">
        <v>1093</v>
      </c>
      <c r="B311" t="s">
        <v>1090</v>
      </c>
      <c r="C311" t="s">
        <v>1094</v>
      </c>
      <c r="D311">
        <v>1973</v>
      </c>
      <c r="E311">
        <v>2</v>
      </c>
      <c r="F311">
        <v>2</v>
      </c>
      <c r="G311" t="s">
        <v>701</v>
      </c>
      <c r="H311" t="s">
        <v>12</v>
      </c>
      <c r="I311" t="s">
        <v>1095</v>
      </c>
    </row>
    <row r="312" spans="1:9" x14ac:dyDescent="0.2">
      <c r="A312" t="s">
        <v>1096</v>
      </c>
      <c r="B312" t="s">
        <v>1096</v>
      </c>
      <c r="C312" t="s">
        <v>1097</v>
      </c>
      <c r="D312">
        <v>1898</v>
      </c>
      <c r="E312">
        <v>1</v>
      </c>
      <c r="F312">
        <v>2</v>
      </c>
      <c r="G312" t="s">
        <v>1098</v>
      </c>
      <c r="H312" t="s">
        <v>17</v>
      </c>
      <c r="I312" t="s">
        <v>1099</v>
      </c>
    </row>
    <row r="313" spans="1:9" x14ac:dyDescent="0.2">
      <c r="A313" t="s">
        <v>1100</v>
      </c>
      <c r="B313" t="s">
        <v>1096</v>
      </c>
      <c r="C313" t="s">
        <v>1101</v>
      </c>
      <c r="D313">
        <v>1898</v>
      </c>
      <c r="E313">
        <v>1</v>
      </c>
      <c r="F313">
        <v>1</v>
      </c>
      <c r="G313" t="s">
        <v>1098</v>
      </c>
      <c r="H313" t="s">
        <v>17</v>
      </c>
      <c r="I313" t="s">
        <v>1102</v>
      </c>
    </row>
    <row r="314" spans="1:9" x14ac:dyDescent="0.2">
      <c r="A314" t="s">
        <v>1103</v>
      </c>
      <c r="B314" t="s">
        <v>1096</v>
      </c>
      <c r="C314" t="s">
        <v>1104</v>
      </c>
      <c r="D314">
        <v>1898</v>
      </c>
      <c r="E314">
        <v>1</v>
      </c>
      <c r="F314">
        <v>1</v>
      </c>
      <c r="G314" t="s">
        <v>1098</v>
      </c>
      <c r="H314" t="s">
        <v>17</v>
      </c>
      <c r="I314" t="s">
        <v>1105</v>
      </c>
    </row>
    <row r="315" spans="1:9" x14ac:dyDescent="0.2">
      <c r="A315" t="s">
        <v>1106</v>
      </c>
      <c r="B315" t="s">
        <v>1106</v>
      </c>
      <c r="C315" t="s">
        <v>1107</v>
      </c>
      <c r="D315">
        <v>1896</v>
      </c>
      <c r="E315">
        <v>2</v>
      </c>
      <c r="F315">
        <v>2</v>
      </c>
      <c r="G315" t="s">
        <v>518</v>
      </c>
      <c r="H315" t="s">
        <v>12</v>
      </c>
      <c r="I315" t="s">
        <v>1108</v>
      </c>
    </row>
    <row r="316" spans="1:9" x14ac:dyDescent="0.2">
      <c r="A316" t="s">
        <v>1109</v>
      </c>
      <c r="B316" t="s">
        <v>1109</v>
      </c>
      <c r="C316" t="s">
        <v>1110</v>
      </c>
      <c r="D316">
        <v>1885</v>
      </c>
      <c r="E316">
        <v>1</v>
      </c>
      <c r="F316">
        <v>1</v>
      </c>
      <c r="G316" t="s">
        <v>701</v>
      </c>
      <c r="H316" t="s">
        <v>12</v>
      </c>
      <c r="I316" t="s">
        <v>1111</v>
      </c>
    </row>
    <row r="317" spans="1:9" x14ac:dyDescent="0.2">
      <c r="A317" t="s">
        <v>1112</v>
      </c>
      <c r="B317" t="s">
        <v>1112</v>
      </c>
      <c r="C317" t="s">
        <v>1113</v>
      </c>
      <c r="D317">
        <v>1884</v>
      </c>
      <c r="E317">
        <v>1</v>
      </c>
      <c r="F317">
        <v>2</v>
      </c>
      <c r="G317" t="s">
        <v>140</v>
      </c>
      <c r="H317" t="s">
        <v>12</v>
      </c>
      <c r="I317" t="s">
        <v>1114</v>
      </c>
    </row>
    <row r="318" spans="1:9" x14ac:dyDescent="0.2">
      <c r="A318" t="s">
        <v>1115</v>
      </c>
      <c r="B318" t="s">
        <v>1115</v>
      </c>
      <c r="C318" t="s">
        <v>1116</v>
      </c>
      <c r="D318">
        <v>1868</v>
      </c>
      <c r="E318">
        <v>1</v>
      </c>
      <c r="F318">
        <v>2</v>
      </c>
      <c r="G318" t="s">
        <v>21</v>
      </c>
      <c r="H318" t="s">
        <v>17</v>
      </c>
      <c r="I318" t="s">
        <v>1117</v>
      </c>
    </row>
    <row r="319" spans="1:9" x14ac:dyDescent="0.2">
      <c r="A319" t="s">
        <v>1118</v>
      </c>
      <c r="B319" t="s">
        <v>1118</v>
      </c>
      <c r="C319" t="s">
        <v>1119</v>
      </c>
      <c r="D319">
        <v>1862</v>
      </c>
      <c r="E319">
        <v>2</v>
      </c>
      <c r="F319">
        <v>2</v>
      </c>
      <c r="G319" t="s">
        <v>207</v>
      </c>
      <c r="H319" t="s">
        <v>12</v>
      </c>
      <c r="I319" t="s">
        <v>1120</v>
      </c>
    </row>
    <row r="320" spans="1:9" x14ac:dyDescent="0.2">
      <c r="A320" t="s">
        <v>1121</v>
      </c>
      <c r="B320" t="s">
        <v>1121</v>
      </c>
      <c r="C320" t="s">
        <v>1122</v>
      </c>
      <c r="D320">
        <v>1862</v>
      </c>
      <c r="E320">
        <v>2</v>
      </c>
      <c r="F320">
        <v>2</v>
      </c>
      <c r="G320" t="s">
        <v>207</v>
      </c>
      <c r="H320" t="s">
        <v>12</v>
      </c>
      <c r="I320" t="s">
        <v>87</v>
      </c>
    </row>
    <row r="321" spans="1:9" x14ac:dyDescent="0.2">
      <c r="A321" t="s">
        <v>1123</v>
      </c>
      <c r="B321" t="s">
        <v>1123</v>
      </c>
      <c r="C321" t="s">
        <v>1124</v>
      </c>
      <c r="D321">
        <v>1865</v>
      </c>
      <c r="E321">
        <v>2</v>
      </c>
      <c r="F321">
        <v>2</v>
      </c>
      <c r="G321" t="s">
        <v>207</v>
      </c>
      <c r="H321" t="s">
        <v>12</v>
      </c>
      <c r="I321" t="s">
        <v>87</v>
      </c>
    </row>
    <row r="322" spans="1:9" x14ac:dyDescent="0.2">
      <c r="A322" t="s">
        <v>1125</v>
      </c>
      <c r="B322" t="s">
        <v>1125</v>
      </c>
      <c r="C322" t="s">
        <v>1126</v>
      </c>
      <c r="D322">
        <v>1885</v>
      </c>
      <c r="E322">
        <v>1</v>
      </c>
      <c r="F322">
        <v>2</v>
      </c>
      <c r="G322" t="s">
        <v>11</v>
      </c>
      <c r="H322" t="s">
        <v>12</v>
      </c>
      <c r="I322" t="s">
        <v>1127</v>
      </c>
    </row>
    <row r="323" spans="1:9" x14ac:dyDescent="0.2">
      <c r="A323" t="s">
        <v>1128</v>
      </c>
      <c r="B323" t="s">
        <v>1128</v>
      </c>
      <c r="C323" t="s">
        <v>1129</v>
      </c>
      <c r="D323">
        <v>1882</v>
      </c>
      <c r="E323">
        <v>2</v>
      </c>
      <c r="F323">
        <v>3</v>
      </c>
      <c r="G323" t="s">
        <v>667</v>
      </c>
      <c r="H323" t="s">
        <v>47</v>
      </c>
      <c r="I323" t="s">
        <v>1130</v>
      </c>
    </row>
    <row r="324" spans="1:9" x14ac:dyDescent="0.2">
      <c r="A324" t="s">
        <v>1131</v>
      </c>
      <c r="B324" t="s">
        <v>1128</v>
      </c>
      <c r="C324" t="s">
        <v>1132</v>
      </c>
      <c r="D324">
        <v>2007</v>
      </c>
      <c r="E324">
        <v>1</v>
      </c>
      <c r="F324">
        <v>1</v>
      </c>
      <c r="G324" t="s">
        <v>667</v>
      </c>
      <c r="H324" t="s">
        <v>17</v>
      </c>
      <c r="I324" t="s">
        <v>1133</v>
      </c>
    </row>
    <row r="325" spans="1:9" x14ac:dyDescent="0.2">
      <c r="A325" t="s">
        <v>1134</v>
      </c>
      <c r="B325" t="s">
        <v>1134</v>
      </c>
      <c r="C325" t="s">
        <v>1135</v>
      </c>
      <c r="D325">
        <v>1863</v>
      </c>
      <c r="E325">
        <v>2</v>
      </c>
      <c r="F325">
        <v>3</v>
      </c>
      <c r="G325" t="s">
        <v>1136</v>
      </c>
      <c r="H325" t="s">
        <v>17</v>
      </c>
      <c r="I325" t="s">
        <v>1137</v>
      </c>
    </row>
    <row r="326" spans="1:9" x14ac:dyDescent="0.2">
      <c r="A326" t="s">
        <v>1138</v>
      </c>
      <c r="B326" t="s">
        <v>1134</v>
      </c>
      <c r="C326" t="s">
        <v>1139</v>
      </c>
      <c r="D326">
        <v>2003</v>
      </c>
      <c r="E326">
        <v>2</v>
      </c>
      <c r="F326">
        <v>2</v>
      </c>
      <c r="G326" t="s">
        <v>207</v>
      </c>
      <c r="H326" t="s">
        <v>17</v>
      </c>
      <c r="I326" t="s">
        <v>1140</v>
      </c>
    </row>
    <row r="327" spans="1:9" x14ac:dyDescent="0.2">
      <c r="A327" t="s">
        <v>1141</v>
      </c>
      <c r="B327" t="s">
        <v>1134</v>
      </c>
      <c r="C327" t="s">
        <v>1142</v>
      </c>
      <c r="D327">
        <v>1969</v>
      </c>
      <c r="E327">
        <v>2</v>
      </c>
      <c r="F327">
        <v>3</v>
      </c>
      <c r="G327" t="s">
        <v>207</v>
      </c>
      <c r="H327" t="s">
        <v>17</v>
      </c>
      <c r="I327" t="s">
        <v>1143</v>
      </c>
    </row>
    <row r="328" spans="1:9" x14ac:dyDescent="0.2">
      <c r="A328" t="s">
        <v>1144</v>
      </c>
      <c r="B328" t="s">
        <v>1144</v>
      </c>
      <c r="C328" t="s">
        <v>1145</v>
      </c>
      <c r="D328">
        <v>2006</v>
      </c>
      <c r="E328">
        <v>2</v>
      </c>
      <c r="F328">
        <v>2</v>
      </c>
      <c r="G328" t="s">
        <v>136</v>
      </c>
      <c r="H328" t="s">
        <v>17</v>
      </c>
      <c r="I328" t="s">
        <v>1146</v>
      </c>
    </row>
    <row r="329" spans="1:9" x14ac:dyDescent="0.2">
      <c r="A329" t="s">
        <v>1147</v>
      </c>
      <c r="B329" t="s">
        <v>1147</v>
      </c>
      <c r="C329" t="s">
        <v>1148</v>
      </c>
      <c r="D329">
        <v>1867</v>
      </c>
      <c r="E329">
        <v>2</v>
      </c>
      <c r="F329">
        <v>3</v>
      </c>
      <c r="G329" t="s">
        <v>1149</v>
      </c>
      <c r="H329" t="s">
        <v>17</v>
      </c>
      <c r="I329" t="s">
        <v>1150</v>
      </c>
    </row>
    <row r="330" spans="1:9" x14ac:dyDescent="0.2">
      <c r="A330" t="s">
        <v>1151</v>
      </c>
      <c r="B330" t="s">
        <v>1151</v>
      </c>
      <c r="C330" t="s">
        <v>1152</v>
      </c>
      <c r="D330">
        <v>1893</v>
      </c>
      <c r="E330">
        <v>1</v>
      </c>
      <c r="F330">
        <v>1</v>
      </c>
      <c r="G330" t="s">
        <v>183</v>
      </c>
      <c r="H330" t="s">
        <v>12</v>
      </c>
      <c r="I330" t="s">
        <v>1153</v>
      </c>
    </row>
    <row r="331" spans="1:9" x14ac:dyDescent="0.2">
      <c r="A331" t="s">
        <v>1154</v>
      </c>
      <c r="B331" t="s">
        <v>1154</v>
      </c>
      <c r="C331" t="s">
        <v>1155</v>
      </c>
      <c r="D331">
        <v>1893</v>
      </c>
      <c r="E331">
        <v>2</v>
      </c>
      <c r="F331">
        <v>2</v>
      </c>
      <c r="G331" t="s">
        <v>183</v>
      </c>
      <c r="H331" t="s">
        <v>12</v>
      </c>
      <c r="I331" t="s">
        <v>1156</v>
      </c>
    </row>
    <row r="332" spans="1:9" x14ac:dyDescent="0.2">
      <c r="A332" t="s">
        <v>1157</v>
      </c>
      <c r="B332" t="s">
        <v>1157</v>
      </c>
      <c r="C332" t="s">
        <v>1158</v>
      </c>
      <c r="D332">
        <v>1893</v>
      </c>
      <c r="E332">
        <v>2</v>
      </c>
      <c r="F332">
        <v>2</v>
      </c>
      <c r="G332" t="s">
        <v>183</v>
      </c>
      <c r="H332" t="s">
        <v>12</v>
      </c>
      <c r="I332" t="s">
        <v>1159</v>
      </c>
    </row>
    <row r="333" spans="1:9" x14ac:dyDescent="0.2">
      <c r="A333" t="s">
        <v>1160</v>
      </c>
      <c r="B333" t="s">
        <v>1161</v>
      </c>
      <c r="C333" t="s">
        <v>1162</v>
      </c>
      <c r="D333">
        <v>1843</v>
      </c>
      <c r="E333">
        <v>8</v>
      </c>
      <c r="F333">
        <v>16</v>
      </c>
      <c r="G333" t="s">
        <v>1163</v>
      </c>
      <c r="H333" t="s">
        <v>1164</v>
      </c>
      <c r="I333" t="s">
        <v>1165</v>
      </c>
    </row>
    <row r="334" spans="1:9" x14ac:dyDescent="0.2">
      <c r="A334" t="s">
        <v>1166</v>
      </c>
      <c r="B334" t="s">
        <v>1161</v>
      </c>
      <c r="C334" t="s">
        <v>1167</v>
      </c>
      <c r="D334">
        <v>2013</v>
      </c>
      <c r="E334">
        <v>2</v>
      </c>
      <c r="F334">
        <v>2</v>
      </c>
      <c r="G334" t="s">
        <v>301</v>
      </c>
      <c r="H334" t="s">
        <v>17</v>
      </c>
      <c r="I334" t="s">
        <v>1168</v>
      </c>
    </row>
    <row r="335" spans="1:9" x14ac:dyDescent="0.2">
      <c r="A335" t="s">
        <v>1169</v>
      </c>
      <c r="B335" t="s">
        <v>1161</v>
      </c>
      <c r="C335" t="s">
        <v>1170</v>
      </c>
      <c r="D335">
        <v>1980</v>
      </c>
      <c r="E335">
        <v>1</v>
      </c>
      <c r="F335">
        <v>2</v>
      </c>
      <c r="G335" t="s">
        <v>1171</v>
      </c>
      <c r="H335" t="s">
        <v>17</v>
      </c>
      <c r="I335" t="s">
        <v>1172</v>
      </c>
    </row>
    <row r="336" spans="1:9" x14ac:dyDescent="0.2">
      <c r="A336" t="s">
        <v>1173</v>
      </c>
      <c r="B336" t="s">
        <v>1161</v>
      </c>
      <c r="C336" t="s">
        <v>1174</v>
      </c>
      <c r="D336">
        <v>2005</v>
      </c>
      <c r="E336">
        <v>1</v>
      </c>
      <c r="F336">
        <v>2</v>
      </c>
      <c r="G336" t="s">
        <v>697</v>
      </c>
      <c r="H336" t="s">
        <v>17</v>
      </c>
      <c r="I336" t="s">
        <v>87</v>
      </c>
    </row>
    <row r="337" spans="1:9" x14ac:dyDescent="0.2">
      <c r="A337" t="s">
        <v>1175</v>
      </c>
      <c r="B337" t="s">
        <v>1161</v>
      </c>
      <c r="C337" t="s">
        <v>1176</v>
      </c>
      <c r="D337">
        <v>1968</v>
      </c>
      <c r="E337">
        <v>2</v>
      </c>
      <c r="F337">
        <v>3</v>
      </c>
      <c r="G337" t="s">
        <v>74</v>
      </c>
      <c r="H337" t="s">
        <v>17</v>
      </c>
      <c r="I337" t="s">
        <v>1177</v>
      </c>
    </row>
    <row r="338" spans="1:9" x14ac:dyDescent="0.2">
      <c r="A338" t="s">
        <v>1178</v>
      </c>
      <c r="B338" t="s">
        <v>1161</v>
      </c>
      <c r="C338" t="s">
        <v>1179</v>
      </c>
      <c r="D338">
        <v>2003</v>
      </c>
      <c r="E338">
        <v>2</v>
      </c>
      <c r="F338">
        <v>2</v>
      </c>
      <c r="G338" t="s">
        <v>1180</v>
      </c>
      <c r="H338" t="s">
        <v>17</v>
      </c>
      <c r="I338" t="s">
        <v>1181</v>
      </c>
    </row>
    <row r="339" spans="1:9" x14ac:dyDescent="0.2">
      <c r="A339" t="s">
        <v>1182</v>
      </c>
      <c r="B339" t="s">
        <v>1161</v>
      </c>
      <c r="C339" t="s">
        <v>1183</v>
      </c>
      <c r="D339">
        <v>2016</v>
      </c>
      <c r="E339">
        <v>2</v>
      </c>
      <c r="F339">
        <v>4</v>
      </c>
      <c r="G339" t="s">
        <v>1184</v>
      </c>
      <c r="H339" t="s">
        <v>17</v>
      </c>
      <c r="I339" t="s">
        <v>1185</v>
      </c>
    </row>
    <row r="340" spans="1:9" x14ac:dyDescent="0.2">
      <c r="A340" t="s">
        <v>1186</v>
      </c>
      <c r="B340" t="s">
        <v>1161</v>
      </c>
      <c r="C340" t="s">
        <v>1187</v>
      </c>
      <c r="D340">
        <v>2007</v>
      </c>
      <c r="E340">
        <v>1</v>
      </c>
      <c r="F340">
        <v>2</v>
      </c>
      <c r="G340" t="s">
        <v>16</v>
      </c>
      <c r="H340" t="s">
        <v>17</v>
      </c>
      <c r="I340" t="s">
        <v>1188</v>
      </c>
    </row>
    <row r="341" spans="1:9" x14ac:dyDescent="0.2">
      <c r="A341" t="s">
        <v>1189</v>
      </c>
      <c r="B341" t="s">
        <v>1189</v>
      </c>
      <c r="C341" t="s">
        <v>1190</v>
      </c>
      <c r="D341">
        <v>1853</v>
      </c>
      <c r="E341">
        <v>2</v>
      </c>
      <c r="F341">
        <v>3</v>
      </c>
      <c r="G341" t="s">
        <v>309</v>
      </c>
      <c r="H341" t="s">
        <v>770</v>
      </c>
      <c r="I341" t="s">
        <v>87</v>
      </c>
    </row>
    <row r="342" spans="1:9" x14ac:dyDescent="0.2">
      <c r="A342" t="s">
        <v>1191</v>
      </c>
      <c r="B342" t="s">
        <v>1191</v>
      </c>
      <c r="C342" t="s">
        <v>1192</v>
      </c>
      <c r="D342">
        <v>1885</v>
      </c>
      <c r="E342">
        <v>2</v>
      </c>
      <c r="F342">
        <v>2</v>
      </c>
      <c r="G342" t="s">
        <v>11</v>
      </c>
      <c r="H342" t="s">
        <v>12</v>
      </c>
      <c r="I342" t="s">
        <v>1193</v>
      </c>
    </row>
    <row r="343" spans="1:9" x14ac:dyDescent="0.2">
      <c r="A343" t="s">
        <v>1194</v>
      </c>
      <c r="B343" t="s">
        <v>1194</v>
      </c>
      <c r="C343" t="s">
        <v>1195</v>
      </c>
      <c r="D343">
        <v>2011</v>
      </c>
      <c r="E343">
        <v>1</v>
      </c>
      <c r="F343">
        <v>1</v>
      </c>
      <c r="G343" t="s">
        <v>1196</v>
      </c>
      <c r="H343" t="s">
        <v>1197</v>
      </c>
      <c r="I343" t="s">
        <v>87</v>
      </c>
    </row>
    <row r="344" spans="1:9" x14ac:dyDescent="0.2">
      <c r="A344" t="s">
        <v>1198</v>
      </c>
      <c r="B344" t="s">
        <v>1199</v>
      </c>
      <c r="C344" t="s">
        <v>1200</v>
      </c>
      <c r="D344">
        <v>1981</v>
      </c>
      <c r="E344">
        <v>2</v>
      </c>
      <c r="F344">
        <v>2</v>
      </c>
      <c r="G344" t="s">
        <v>990</v>
      </c>
      <c r="H344" t="s">
        <v>17</v>
      </c>
      <c r="I344" t="s">
        <v>1201</v>
      </c>
    </row>
    <row r="345" spans="1:9" x14ac:dyDescent="0.2">
      <c r="A345" t="s">
        <v>1202</v>
      </c>
      <c r="B345" t="s">
        <v>1203</v>
      </c>
      <c r="C345" t="s">
        <v>1204</v>
      </c>
      <c r="D345">
        <v>1845</v>
      </c>
      <c r="E345">
        <v>2</v>
      </c>
      <c r="F345">
        <v>2</v>
      </c>
      <c r="G345" t="s">
        <v>16</v>
      </c>
      <c r="H345" t="s">
        <v>17</v>
      </c>
      <c r="I345" t="s">
        <v>1205</v>
      </c>
    </row>
    <row r="346" spans="1:9" x14ac:dyDescent="0.2">
      <c r="A346" t="s">
        <v>1206</v>
      </c>
      <c r="B346" t="s">
        <v>1199</v>
      </c>
      <c r="C346" t="s">
        <v>1207</v>
      </c>
      <c r="D346">
        <v>1981</v>
      </c>
      <c r="E346">
        <v>2</v>
      </c>
      <c r="F346">
        <v>2</v>
      </c>
      <c r="G346" t="s">
        <v>990</v>
      </c>
      <c r="H346" t="s">
        <v>17</v>
      </c>
      <c r="I346" t="s">
        <v>1208</v>
      </c>
    </row>
    <row r="347" spans="1:9" x14ac:dyDescent="0.2">
      <c r="A347" t="s">
        <v>1209</v>
      </c>
      <c r="B347" t="s">
        <v>1209</v>
      </c>
      <c r="C347" t="s">
        <v>1210</v>
      </c>
      <c r="D347">
        <v>1865</v>
      </c>
      <c r="E347">
        <v>2</v>
      </c>
      <c r="F347">
        <v>2</v>
      </c>
      <c r="G347" t="s">
        <v>21</v>
      </c>
      <c r="H347" t="s">
        <v>17</v>
      </c>
      <c r="I347" t="s">
        <v>1211</v>
      </c>
    </row>
    <row r="348" spans="1:9" x14ac:dyDescent="0.2">
      <c r="A348" t="s">
        <v>1212</v>
      </c>
      <c r="B348" t="s">
        <v>1212</v>
      </c>
      <c r="C348" t="s">
        <v>1213</v>
      </c>
      <c r="D348">
        <v>1865</v>
      </c>
      <c r="E348">
        <v>2</v>
      </c>
      <c r="F348">
        <v>5</v>
      </c>
      <c r="G348" t="s">
        <v>1214</v>
      </c>
      <c r="H348" t="s">
        <v>1215</v>
      </c>
      <c r="I348" t="s">
        <v>1216</v>
      </c>
    </row>
    <row r="349" spans="1:9" x14ac:dyDescent="0.2">
      <c r="A349" t="s">
        <v>1217</v>
      </c>
      <c r="B349" t="s">
        <v>1218</v>
      </c>
      <c r="C349" t="s">
        <v>1219</v>
      </c>
      <c r="D349">
        <v>1883</v>
      </c>
      <c r="E349">
        <v>2</v>
      </c>
      <c r="F349">
        <v>3</v>
      </c>
      <c r="G349" t="s">
        <v>886</v>
      </c>
      <c r="H349" t="s">
        <v>12</v>
      </c>
      <c r="I349" t="s">
        <v>87</v>
      </c>
    </row>
    <row r="350" spans="1:9" x14ac:dyDescent="0.2">
      <c r="A350" t="s">
        <v>1220</v>
      </c>
      <c r="B350" t="s">
        <v>1220</v>
      </c>
      <c r="C350" t="s">
        <v>1221</v>
      </c>
      <c r="D350">
        <v>1882</v>
      </c>
      <c r="E350">
        <v>2</v>
      </c>
      <c r="F350">
        <v>2</v>
      </c>
      <c r="G350" t="s">
        <v>886</v>
      </c>
      <c r="H350" t="s">
        <v>12</v>
      </c>
      <c r="I350" t="s">
        <v>1222</v>
      </c>
    </row>
    <row r="351" spans="1:9" x14ac:dyDescent="0.2">
      <c r="A351" t="s">
        <v>1223</v>
      </c>
      <c r="B351" t="s">
        <v>1223</v>
      </c>
      <c r="C351" t="s">
        <v>1224</v>
      </c>
      <c r="D351">
        <v>1881</v>
      </c>
      <c r="E351">
        <v>2</v>
      </c>
      <c r="F351">
        <v>2</v>
      </c>
      <c r="G351" t="s">
        <v>301</v>
      </c>
      <c r="H351" t="s">
        <v>17</v>
      </c>
      <c r="I351" t="s">
        <v>1225</v>
      </c>
    </row>
    <row r="352" spans="1:9" x14ac:dyDescent="0.2">
      <c r="A352" t="s">
        <v>1226</v>
      </c>
      <c r="B352" t="s">
        <v>1226</v>
      </c>
      <c r="C352" t="s">
        <v>1227</v>
      </c>
      <c r="D352">
        <v>1873</v>
      </c>
      <c r="E352">
        <v>2</v>
      </c>
      <c r="F352">
        <v>3</v>
      </c>
      <c r="G352" t="s">
        <v>149</v>
      </c>
      <c r="H352" t="s">
        <v>17</v>
      </c>
      <c r="I352" t="s">
        <v>1228</v>
      </c>
    </row>
    <row r="353" spans="1:9" x14ac:dyDescent="0.2">
      <c r="A353" t="s">
        <v>1229</v>
      </c>
      <c r="B353" t="s">
        <v>1226</v>
      </c>
      <c r="C353" t="s">
        <v>1230</v>
      </c>
      <c r="D353">
        <v>1986</v>
      </c>
      <c r="E353">
        <v>2</v>
      </c>
      <c r="F353">
        <v>2</v>
      </c>
      <c r="G353" t="s">
        <v>149</v>
      </c>
      <c r="H353" t="s">
        <v>17</v>
      </c>
      <c r="I353" t="s">
        <v>1231</v>
      </c>
    </row>
    <row r="354" spans="1:9" x14ac:dyDescent="0.2">
      <c r="A354" t="s">
        <v>1232</v>
      </c>
      <c r="B354" t="s">
        <v>1232</v>
      </c>
      <c r="C354" t="s">
        <v>1233</v>
      </c>
      <c r="D354">
        <v>1915</v>
      </c>
      <c r="E354">
        <v>2</v>
      </c>
      <c r="F354">
        <v>2</v>
      </c>
      <c r="G354" t="s">
        <v>1234</v>
      </c>
      <c r="H354" t="s">
        <v>12</v>
      </c>
      <c r="I354" t="s">
        <v>87</v>
      </c>
    </row>
    <row r="355" spans="1:9" x14ac:dyDescent="0.2">
      <c r="A355" t="s">
        <v>1235</v>
      </c>
      <c r="B355" t="s">
        <v>1235</v>
      </c>
      <c r="C355" t="s">
        <v>1236</v>
      </c>
      <c r="D355">
        <v>1870</v>
      </c>
      <c r="E355">
        <v>1</v>
      </c>
      <c r="F355">
        <v>2</v>
      </c>
      <c r="G355" t="s">
        <v>364</v>
      </c>
      <c r="H355" t="s">
        <v>17</v>
      </c>
      <c r="I355" t="s">
        <v>1211</v>
      </c>
    </row>
    <row r="356" spans="1:9" x14ac:dyDescent="0.2">
      <c r="A356" t="s">
        <v>1237</v>
      </c>
      <c r="B356" t="s">
        <v>1237</v>
      </c>
      <c r="C356" t="s">
        <v>1238</v>
      </c>
      <c r="D356">
        <v>1997</v>
      </c>
      <c r="E356">
        <v>2</v>
      </c>
      <c r="F356">
        <v>2</v>
      </c>
      <c r="G356" t="s">
        <v>334</v>
      </c>
      <c r="H356" t="s">
        <v>17</v>
      </c>
      <c r="I356" t="s">
        <v>1239</v>
      </c>
    </row>
    <row r="357" spans="1:9" x14ac:dyDescent="0.2">
      <c r="A357" t="s">
        <v>1240</v>
      </c>
      <c r="B357" t="s">
        <v>1240</v>
      </c>
      <c r="C357" t="s">
        <v>1241</v>
      </c>
      <c r="D357">
        <v>1969</v>
      </c>
      <c r="E357">
        <v>2</v>
      </c>
      <c r="F357">
        <v>4</v>
      </c>
      <c r="G357" t="s">
        <v>334</v>
      </c>
      <c r="H357" t="s">
        <v>17</v>
      </c>
      <c r="I357" t="s">
        <v>1242</v>
      </c>
    </row>
    <row r="358" spans="1:9" x14ac:dyDescent="0.2">
      <c r="A358" t="s">
        <v>1243</v>
      </c>
      <c r="B358" t="s">
        <v>1244</v>
      </c>
      <c r="C358" t="s">
        <v>1245</v>
      </c>
      <c r="D358">
        <v>2006</v>
      </c>
      <c r="E358">
        <v>1</v>
      </c>
      <c r="F358">
        <v>1</v>
      </c>
      <c r="G358" t="s">
        <v>113</v>
      </c>
      <c r="H358" t="s">
        <v>12</v>
      </c>
      <c r="I358" t="s">
        <v>87</v>
      </c>
    </row>
    <row r="359" spans="1:9" x14ac:dyDescent="0.2">
      <c r="A359" t="s">
        <v>1246</v>
      </c>
      <c r="B359" t="s">
        <v>1246</v>
      </c>
      <c r="C359" t="s">
        <v>1247</v>
      </c>
      <c r="D359">
        <v>1878</v>
      </c>
      <c r="E359">
        <v>1</v>
      </c>
      <c r="F359">
        <v>2</v>
      </c>
      <c r="G359" t="s">
        <v>836</v>
      </c>
      <c r="H359" t="s">
        <v>12</v>
      </c>
      <c r="I359" t="s">
        <v>87</v>
      </c>
    </row>
    <row r="360" spans="1:9" x14ac:dyDescent="0.2">
      <c r="A360" t="s">
        <v>1248</v>
      </c>
      <c r="B360" t="s">
        <v>1248</v>
      </c>
      <c r="C360" t="s">
        <v>1249</v>
      </c>
      <c r="D360">
        <v>1906</v>
      </c>
      <c r="E360">
        <v>1</v>
      </c>
      <c r="F360">
        <v>1</v>
      </c>
      <c r="G360" t="s">
        <v>323</v>
      </c>
      <c r="H360" t="s">
        <v>12</v>
      </c>
      <c r="I360" t="s">
        <v>87</v>
      </c>
    </row>
    <row r="361" spans="1:9" x14ac:dyDescent="0.2">
      <c r="A361" t="s">
        <v>1250</v>
      </c>
      <c r="B361" t="s">
        <v>1250</v>
      </c>
      <c r="C361" t="s">
        <v>1251</v>
      </c>
      <c r="D361">
        <v>1906</v>
      </c>
      <c r="E361">
        <v>1</v>
      </c>
      <c r="F361">
        <v>2</v>
      </c>
      <c r="G361" t="s">
        <v>323</v>
      </c>
      <c r="H361" t="s">
        <v>12</v>
      </c>
      <c r="I361" t="s">
        <v>87</v>
      </c>
    </row>
    <row r="362" spans="1:9" x14ac:dyDescent="0.2">
      <c r="A362" t="s">
        <v>1252</v>
      </c>
      <c r="B362" t="s">
        <v>1252</v>
      </c>
      <c r="C362" t="s">
        <v>1253</v>
      </c>
      <c r="D362">
        <v>1868</v>
      </c>
      <c r="E362">
        <v>2</v>
      </c>
      <c r="F362">
        <v>2</v>
      </c>
      <c r="G362" t="s">
        <v>319</v>
      </c>
      <c r="H362" t="s">
        <v>17</v>
      </c>
      <c r="I362" t="s">
        <v>1254</v>
      </c>
    </row>
    <row r="363" spans="1:9" x14ac:dyDescent="0.2">
      <c r="A363" t="s">
        <v>1255</v>
      </c>
      <c r="B363" t="s">
        <v>1255</v>
      </c>
      <c r="C363" t="s">
        <v>1256</v>
      </c>
      <c r="D363">
        <v>1934</v>
      </c>
      <c r="E363">
        <v>1</v>
      </c>
      <c r="F363">
        <v>2</v>
      </c>
      <c r="G363" t="s">
        <v>244</v>
      </c>
      <c r="H363" t="s">
        <v>17</v>
      </c>
      <c r="I363" t="s">
        <v>1257</v>
      </c>
    </row>
    <row r="364" spans="1:9" x14ac:dyDescent="0.2">
      <c r="A364" t="s">
        <v>1258</v>
      </c>
      <c r="B364" t="s">
        <v>1255</v>
      </c>
      <c r="C364" t="s">
        <v>1259</v>
      </c>
      <c r="D364">
        <v>1973</v>
      </c>
      <c r="E364">
        <v>1</v>
      </c>
      <c r="F364">
        <v>1</v>
      </c>
      <c r="G364" t="s">
        <v>244</v>
      </c>
      <c r="H364" t="s">
        <v>17</v>
      </c>
      <c r="I364" t="s">
        <v>1260</v>
      </c>
    </row>
    <row r="365" spans="1:9" x14ac:dyDescent="0.2">
      <c r="A365" t="s">
        <v>1261</v>
      </c>
      <c r="B365" t="s">
        <v>1255</v>
      </c>
      <c r="C365" t="s">
        <v>1262</v>
      </c>
      <c r="D365">
        <v>2018</v>
      </c>
      <c r="E365">
        <v>1</v>
      </c>
      <c r="F365">
        <v>1</v>
      </c>
      <c r="G365" t="s">
        <v>244</v>
      </c>
      <c r="H365" t="s">
        <v>17</v>
      </c>
      <c r="I365" t="s">
        <v>1263</v>
      </c>
    </row>
    <row r="366" spans="1:9" x14ac:dyDescent="0.2">
      <c r="A366" t="s">
        <v>1264</v>
      </c>
      <c r="B366" t="s">
        <v>1264</v>
      </c>
      <c r="C366" t="s">
        <v>1265</v>
      </c>
      <c r="D366">
        <v>1893</v>
      </c>
      <c r="E366">
        <v>2</v>
      </c>
      <c r="F366">
        <v>2</v>
      </c>
      <c r="G366" t="s">
        <v>183</v>
      </c>
      <c r="H366" t="s">
        <v>12</v>
      </c>
      <c r="I366" t="s">
        <v>1266</v>
      </c>
    </row>
    <row r="367" spans="1:9" x14ac:dyDescent="0.2">
      <c r="A367" t="s">
        <v>1267</v>
      </c>
      <c r="B367" t="s">
        <v>1267</v>
      </c>
      <c r="C367" t="s">
        <v>1268</v>
      </c>
      <c r="D367">
        <v>1913</v>
      </c>
      <c r="E367">
        <v>1</v>
      </c>
      <c r="F367">
        <v>2</v>
      </c>
      <c r="G367" t="s">
        <v>1269</v>
      </c>
      <c r="H367" t="s">
        <v>47</v>
      </c>
      <c r="I367" t="s">
        <v>1270</v>
      </c>
    </row>
    <row r="368" spans="1:9" x14ac:dyDescent="0.2">
      <c r="A368" t="s">
        <v>1271</v>
      </c>
      <c r="B368" t="s">
        <v>1271</v>
      </c>
      <c r="C368" t="s">
        <v>1272</v>
      </c>
      <c r="D368">
        <v>1874</v>
      </c>
      <c r="E368">
        <v>2</v>
      </c>
      <c r="F368">
        <v>4</v>
      </c>
      <c r="G368" t="s">
        <v>1273</v>
      </c>
      <c r="H368" t="s">
        <v>17</v>
      </c>
      <c r="I368" t="s">
        <v>1274</v>
      </c>
    </row>
    <row r="369" spans="1:9" x14ac:dyDescent="0.2">
      <c r="A369" t="s">
        <v>1275</v>
      </c>
      <c r="B369" t="s">
        <v>1275</v>
      </c>
      <c r="C369" t="s">
        <v>1276</v>
      </c>
      <c r="D369">
        <v>1885</v>
      </c>
      <c r="E369">
        <v>1</v>
      </c>
      <c r="F369">
        <v>2</v>
      </c>
      <c r="G369" t="s">
        <v>11</v>
      </c>
      <c r="H369" t="s">
        <v>403</v>
      </c>
      <c r="I369" t="s">
        <v>1277</v>
      </c>
    </row>
    <row r="370" spans="1:9" x14ac:dyDescent="0.2">
      <c r="A370" t="s">
        <v>1278</v>
      </c>
      <c r="B370" t="s">
        <v>1278</v>
      </c>
      <c r="C370" t="s">
        <v>1279</v>
      </c>
      <c r="D370">
        <v>2011</v>
      </c>
      <c r="E370">
        <v>2</v>
      </c>
      <c r="F370">
        <v>2</v>
      </c>
      <c r="G370" t="s">
        <v>16</v>
      </c>
      <c r="H370" t="s">
        <v>403</v>
      </c>
      <c r="I370" t="s">
        <v>87</v>
      </c>
    </row>
    <row r="371" spans="1:9" x14ac:dyDescent="0.2">
      <c r="A371" t="s">
        <v>1280</v>
      </c>
      <c r="B371" t="s">
        <v>1280</v>
      </c>
      <c r="C371" t="s">
        <v>1281</v>
      </c>
      <c r="D371">
        <v>1863</v>
      </c>
      <c r="E371">
        <v>2</v>
      </c>
      <c r="F371">
        <v>2</v>
      </c>
      <c r="G371" t="s">
        <v>74</v>
      </c>
      <c r="H371" t="s">
        <v>17</v>
      </c>
      <c r="I371" t="s">
        <v>1282</v>
      </c>
    </row>
    <row r="372" spans="1:9" x14ac:dyDescent="0.2">
      <c r="A372" t="s">
        <v>1283</v>
      </c>
      <c r="B372" t="s">
        <v>1283</v>
      </c>
      <c r="C372" t="s">
        <v>1284</v>
      </c>
      <c r="D372">
        <v>1881</v>
      </c>
      <c r="E372">
        <v>2</v>
      </c>
      <c r="F372">
        <v>3</v>
      </c>
      <c r="G372" t="s">
        <v>1285</v>
      </c>
      <c r="H372" t="s">
        <v>38</v>
      </c>
      <c r="I372" t="s">
        <v>1286</v>
      </c>
    </row>
    <row r="373" spans="1:9" x14ac:dyDescent="0.2">
      <c r="A373" t="s">
        <v>1287</v>
      </c>
      <c r="B373" t="s">
        <v>1287</v>
      </c>
      <c r="C373" t="s">
        <v>1288</v>
      </c>
      <c r="D373">
        <v>1881</v>
      </c>
      <c r="E373">
        <v>2</v>
      </c>
      <c r="F373">
        <v>3</v>
      </c>
      <c r="G373" t="s">
        <v>683</v>
      </c>
      <c r="H373" t="s">
        <v>17</v>
      </c>
      <c r="I373" t="s">
        <v>1289</v>
      </c>
    </row>
    <row r="374" spans="1:9" x14ac:dyDescent="0.2">
      <c r="A374" t="s">
        <v>1290</v>
      </c>
      <c r="B374" t="s">
        <v>1290</v>
      </c>
      <c r="C374" t="s">
        <v>1291</v>
      </c>
      <c r="D374">
        <v>1866</v>
      </c>
      <c r="E374">
        <v>2</v>
      </c>
      <c r="F374">
        <v>2</v>
      </c>
      <c r="G374" t="s">
        <v>21</v>
      </c>
      <c r="H374" t="s">
        <v>17</v>
      </c>
      <c r="I374" t="s">
        <v>1292</v>
      </c>
    </row>
    <row r="375" spans="1:9" x14ac:dyDescent="0.2">
      <c r="A375" t="s">
        <v>1293</v>
      </c>
      <c r="B375" t="s">
        <v>1293</v>
      </c>
      <c r="C375" t="s">
        <v>1294</v>
      </c>
      <c r="D375">
        <v>1868</v>
      </c>
      <c r="E375">
        <v>2</v>
      </c>
      <c r="F375">
        <v>2</v>
      </c>
      <c r="G375" t="s">
        <v>287</v>
      </c>
      <c r="H375" t="s">
        <v>12</v>
      </c>
      <c r="I375" t="s">
        <v>1295</v>
      </c>
    </row>
    <row r="376" spans="1:9" x14ac:dyDescent="0.2">
      <c r="A376" t="s">
        <v>1296</v>
      </c>
      <c r="B376" t="s">
        <v>1296</v>
      </c>
      <c r="C376" t="s">
        <v>1297</v>
      </c>
      <c r="D376">
        <v>1893</v>
      </c>
      <c r="E376">
        <v>1</v>
      </c>
      <c r="F376">
        <v>2</v>
      </c>
      <c r="G376" t="s">
        <v>183</v>
      </c>
      <c r="H376" t="s">
        <v>12</v>
      </c>
      <c r="I376" t="s">
        <v>1298</v>
      </c>
    </row>
    <row r="377" spans="1:9" x14ac:dyDescent="0.2">
      <c r="A377" t="s">
        <v>1299</v>
      </c>
      <c r="B377" t="s">
        <v>1299</v>
      </c>
      <c r="C377" t="s">
        <v>1300</v>
      </c>
      <c r="D377">
        <v>1878</v>
      </c>
      <c r="E377">
        <v>1</v>
      </c>
      <c r="F377">
        <v>1</v>
      </c>
      <c r="G377" t="s">
        <v>1301</v>
      </c>
      <c r="H377" t="s">
        <v>12</v>
      </c>
      <c r="I377" t="s">
        <v>1302</v>
      </c>
    </row>
    <row r="378" spans="1:9" x14ac:dyDescent="0.2">
      <c r="A378" t="s">
        <v>1303</v>
      </c>
      <c r="B378" t="s">
        <v>1299</v>
      </c>
      <c r="C378" t="s">
        <v>1304</v>
      </c>
      <c r="D378">
        <v>2001</v>
      </c>
      <c r="E378">
        <v>1</v>
      </c>
      <c r="F378">
        <v>1</v>
      </c>
      <c r="G378" t="s">
        <v>836</v>
      </c>
      <c r="H378" t="s">
        <v>12</v>
      </c>
      <c r="I378" t="s">
        <v>87</v>
      </c>
    </row>
    <row r="379" spans="1:9" x14ac:dyDescent="0.2">
      <c r="A379" t="s">
        <v>1305</v>
      </c>
      <c r="B379" t="s">
        <v>1305</v>
      </c>
      <c r="C379" t="s">
        <v>1306</v>
      </c>
      <c r="D379">
        <v>1855</v>
      </c>
      <c r="E379">
        <v>2</v>
      </c>
      <c r="F379">
        <v>4</v>
      </c>
      <c r="G379" t="s">
        <v>1307</v>
      </c>
      <c r="H379" t="s">
        <v>17</v>
      </c>
      <c r="I379" t="s">
        <v>1308</v>
      </c>
    </row>
    <row r="380" spans="1:9" x14ac:dyDescent="0.2">
      <c r="A380" t="s">
        <v>1309</v>
      </c>
      <c r="B380" t="s">
        <v>1309</v>
      </c>
      <c r="C380" t="s">
        <v>1310</v>
      </c>
      <c r="D380">
        <v>1845</v>
      </c>
      <c r="E380">
        <v>2</v>
      </c>
      <c r="F380">
        <v>3</v>
      </c>
      <c r="G380" t="s">
        <v>16</v>
      </c>
      <c r="H380" t="s">
        <v>17</v>
      </c>
      <c r="I380" t="s">
        <v>1311</v>
      </c>
    </row>
    <row r="381" spans="1:9" x14ac:dyDescent="0.2">
      <c r="A381" t="s">
        <v>1312</v>
      </c>
      <c r="B381" t="s">
        <v>1312</v>
      </c>
      <c r="C381" t="s">
        <v>1313</v>
      </c>
      <c r="D381">
        <v>1868</v>
      </c>
      <c r="E381">
        <v>1</v>
      </c>
      <c r="F381">
        <v>2</v>
      </c>
      <c r="G381" t="s">
        <v>21</v>
      </c>
      <c r="H381" t="s">
        <v>17</v>
      </c>
      <c r="I381" t="s">
        <v>1314</v>
      </c>
    </row>
    <row r="382" spans="1:9" x14ac:dyDescent="0.2">
      <c r="A382" t="s">
        <v>1315</v>
      </c>
      <c r="B382" t="s">
        <v>1315</v>
      </c>
      <c r="C382" t="s">
        <v>1316</v>
      </c>
      <c r="D382">
        <v>1885</v>
      </c>
      <c r="E382">
        <v>1</v>
      </c>
      <c r="F382">
        <v>2</v>
      </c>
      <c r="G382" t="s">
        <v>701</v>
      </c>
      <c r="H382" t="s">
        <v>12</v>
      </c>
      <c r="I382" t="s">
        <v>1317</v>
      </c>
    </row>
    <row r="383" spans="1:9" x14ac:dyDescent="0.2">
      <c r="A383" t="s">
        <v>1318</v>
      </c>
      <c r="B383" t="s">
        <v>1318</v>
      </c>
      <c r="C383" t="s">
        <v>1319</v>
      </c>
      <c r="D383">
        <v>1869</v>
      </c>
      <c r="E383">
        <v>3</v>
      </c>
      <c r="F383">
        <v>4</v>
      </c>
      <c r="G383" t="s">
        <v>124</v>
      </c>
      <c r="H383" t="s">
        <v>17</v>
      </c>
      <c r="I383" t="s">
        <v>1320</v>
      </c>
    </row>
    <row r="384" spans="1:9" x14ac:dyDescent="0.2">
      <c r="A384" t="s">
        <v>1321</v>
      </c>
      <c r="B384" t="s">
        <v>1321</v>
      </c>
      <c r="C384" t="s">
        <v>1322</v>
      </c>
      <c r="D384">
        <v>1869</v>
      </c>
      <c r="E384">
        <v>2</v>
      </c>
      <c r="F384">
        <v>4</v>
      </c>
      <c r="G384" t="s">
        <v>1323</v>
      </c>
      <c r="H384" t="s">
        <v>17</v>
      </c>
      <c r="I384" t="s">
        <v>1324</v>
      </c>
    </row>
    <row r="385" spans="1:9" x14ac:dyDescent="0.2">
      <c r="A385" t="s">
        <v>2320</v>
      </c>
      <c r="B385" t="s">
        <v>1321</v>
      </c>
      <c r="C385" t="s">
        <v>1325</v>
      </c>
      <c r="D385">
        <v>1989</v>
      </c>
      <c r="E385">
        <v>2</v>
      </c>
      <c r="F385">
        <v>2</v>
      </c>
      <c r="G385" t="s">
        <v>256</v>
      </c>
      <c r="H385" t="s">
        <v>17</v>
      </c>
      <c r="I385" t="s">
        <v>1326</v>
      </c>
    </row>
    <row r="386" spans="1:9" x14ac:dyDescent="0.2">
      <c r="A386" t="s">
        <v>1327</v>
      </c>
      <c r="B386" t="s">
        <v>1328</v>
      </c>
      <c r="C386" t="s">
        <v>1329</v>
      </c>
      <c r="D386">
        <v>1869</v>
      </c>
      <c r="E386">
        <v>1</v>
      </c>
      <c r="F386">
        <v>2</v>
      </c>
      <c r="G386" t="s">
        <v>124</v>
      </c>
      <c r="H386" t="s">
        <v>17</v>
      </c>
      <c r="I386" t="s">
        <v>1330</v>
      </c>
    </row>
    <row r="387" spans="1:9" x14ac:dyDescent="0.2">
      <c r="A387" t="s">
        <v>1331</v>
      </c>
      <c r="B387" t="s">
        <v>1331</v>
      </c>
      <c r="C387" t="s">
        <v>1332</v>
      </c>
      <c r="D387">
        <v>1869</v>
      </c>
      <c r="E387">
        <v>2</v>
      </c>
      <c r="F387">
        <v>2</v>
      </c>
      <c r="G387" t="s">
        <v>319</v>
      </c>
      <c r="H387" t="s">
        <v>17</v>
      </c>
      <c r="I387" t="s">
        <v>1333</v>
      </c>
    </row>
    <row r="388" spans="1:9" x14ac:dyDescent="0.2">
      <c r="A388" t="s">
        <v>1334</v>
      </c>
      <c r="B388" t="s">
        <v>1335</v>
      </c>
      <c r="C388" t="s">
        <v>1336</v>
      </c>
      <c r="D388">
        <v>1908</v>
      </c>
      <c r="E388">
        <v>3</v>
      </c>
      <c r="F388">
        <v>2</v>
      </c>
      <c r="G388" t="s">
        <v>962</v>
      </c>
      <c r="H388" t="s">
        <v>17</v>
      </c>
      <c r="I388" t="s">
        <v>1337</v>
      </c>
    </row>
    <row r="389" spans="1:9" x14ac:dyDescent="0.2">
      <c r="A389" t="s">
        <v>1338</v>
      </c>
      <c r="B389" t="s">
        <v>1339</v>
      </c>
      <c r="C389" t="s">
        <v>1340</v>
      </c>
      <c r="D389">
        <v>1882</v>
      </c>
      <c r="E389">
        <v>2</v>
      </c>
      <c r="F389">
        <v>2</v>
      </c>
      <c r="G389" t="s">
        <v>667</v>
      </c>
      <c r="H389" t="s">
        <v>12</v>
      </c>
      <c r="I389" t="s">
        <v>87</v>
      </c>
    </row>
    <row r="390" spans="1:9" x14ac:dyDescent="0.2">
      <c r="A390" t="s">
        <v>1341</v>
      </c>
      <c r="B390" t="s">
        <v>1341</v>
      </c>
      <c r="C390" t="s">
        <v>1342</v>
      </c>
      <c r="D390">
        <v>1856</v>
      </c>
      <c r="E390">
        <v>2</v>
      </c>
      <c r="F390">
        <v>3</v>
      </c>
      <c r="G390" t="s">
        <v>1343</v>
      </c>
      <c r="H390" t="s">
        <v>1344</v>
      </c>
      <c r="I390" t="s">
        <v>1345</v>
      </c>
    </row>
    <row r="391" spans="1:9" x14ac:dyDescent="0.2">
      <c r="A391" t="s">
        <v>1346</v>
      </c>
      <c r="B391" t="s">
        <v>1346</v>
      </c>
      <c r="C391" t="s">
        <v>1347</v>
      </c>
      <c r="D391">
        <v>1854</v>
      </c>
      <c r="E391">
        <v>2</v>
      </c>
      <c r="F391">
        <v>2</v>
      </c>
      <c r="G391" t="s">
        <v>958</v>
      </c>
      <c r="H391" t="s">
        <v>17</v>
      </c>
      <c r="I391" t="s">
        <v>1348</v>
      </c>
    </row>
    <row r="392" spans="1:9" x14ac:dyDescent="0.2">
      <c r="A392" t="s">
        <v>1349</v>
      </c>
      <c r="B392" t="s">
        <v>1349</v>
      </c>
      <c r="C392" t="s">
        <v>1350</v>
      </c>
      <c r="D392">
        <v>1973</v>
      </c>
      <c r="E392">
        <v>2</v>
      </c>
      <c r="F392">
        <v>2</v>
      </c>
      <c r="G392" t="s">
        <v>364</v>
      </c>
      <c r="H392" t="s">
        <v>17</v>
      </c>
      <c r="I392" t="s">
        <v>1351</v>
      </c>
    </row>
    <row r="393" spans="1:9" x14ac:dyDescent="0.2">
      <c r="A393" t="s">
        <v>1352</v>
      </c>
      <c r="B393" t="s">
        <v>1349</v>
      </c>
      <c r="C393" t="s">
        <v>1353</v>
      </c>
      <c r="D393">
        <v>1965</v>
      </c>
      <c r="E393">
        <v>1</v>
      </c>
      <c r="F393">
        <v>2</v>
      </c>
      <c r="G393" t="s">
        <v>364</v>
      </c>
      <c r="H393" t="s">
        <v>17</v>
      </c>
      <c r="I393" t="s">
        <v>1354</v>
      </c>
    </row>
    <row r="394" spans="1:9" x14ac:dyDescent="0.2">
      <c r="A394" t="s">
        <v>1355</v>
      </c>
      <c r="B394" t="s">
        <v>1355</v>
      </c>
      <c r="C394" t="s">
        <v>1356</v>
      </c>
      <c r="D394">
        <v>1868</v>
      </c>
      <c r="E394">
        <v>2</v>
      </c>
      <c r="F394">
        <v>3</v>
      </c>
      <c r="G394" t="s">
        <v>1357</v>
      </c>
      <c r="H394" t="s">
        <v>12</v>
      </c>
      <c r="I394" t="s">
        <v>1358</v>
      </c>
    </row>
    <row r="395" spans="1:9" x14ac:dyDescent="0.2">
      <c r="A395" t="s">
        <v>1359</v>
      </c>
      <c r="B395" t="s">
        <v>1359</v>
      </c>
      <c r="C395" t="s">
        <v>1360</v>
      </c>
      <c r="D395">
        <v>1866</v>
      </c>
      <c r="E395">
        <v>3</v>
      </c>
      <c r="F395">
        <v>3</v>
      </c>
      <c r="G395" t="s">
        <v>287</v>
      </c>
      <c r="H395" t="s">
        <v>12</v>
      </c>
      <c r="I395" t="s">
        <v>87</v>
      </c>
    </row>
    <row r="396" spans="1:9" x14ac:dyDescent="0.2">
      <c r="A396" t="s">
        <v>1361</v>
      </c>
      <c r="B396" t="s">
        <v>1361</v>
      </c>
      <c r="C396" t="s">
        <v>1362</v>
      </c>
      <c r="D396">
        <v>1865</v>
      </c>
      <c r="E396">
        <v>2</v>
      </c>
      <c r="F396">
        <v>3</v>
      </c>
      <c r="G396" t="s">
        <v>1363</v>
      </c>
      <c r="H396" t="s">
        <v>47</v>
      </c>
      <c r="I396" t="s">
        <v>1364</v>
      </c>
    </row>
    <row r="397" spans="1:9" x14ac:dyDescent="0.2">
      <c r="A397" t="s">
        <v>1365</v>
      </c>
      <c r="B397" t="s">
        <v>1365</v>
      </c>
      <c r="C397" t="s">
        <v>1366</v>
      </c>
      <c r="D397">
        <v>1972</v>
      </c>
      <c r="E397">
        <v>3</v>
      </c>
      <c r="F397">
        <v>4</v>
      </c>
      <c r="G397" t="s">
        <v>187</v>
      </c>
      <c r="H397" t="s">
        <v>17</v>
      </c>
      <c r="I397" t="s">
        <v>1367</v>
      </c>
    </row>
    <row r="398" spans="1:9" x14ac:dyDescent="0.2">
      <c r="A398" t="s">
        <v>1368</v>
      </c>
      <c r="B398" t="s">
        <v>1368</v>
      </c>
      <c r="C398" t="s">
        <v>1369</v>
      </c>
      <c r="D398">
        <v>1864</v>
      </c>
      <c r="E398">
        <v>5</v>
      </c>
      <c r="F398">
        <v>14</v>
      </c>
      <c r="G398" t="s">
        <v>1370</v>
      </c>
      <c r="H398" t="s">
        <v>33</v>
      </c>
      <c r="I398" t="s">
        <v>1371</v>
      </c>
    </row>
    <row r="399" spans="1:9" x14ac:dyDescent="0.2">
      <c r="A399" t="s">
        <v>1372</v>
      </c>
      <c r="B399" t="s">
        <v>1368</v>
      </c>
      <c r="C399" t="s">
        <v>1373</v>
      </c>
      <c r="D399">
        <v>2019</v>
      </c>
      <c r="E399">
        <v>1</v>
      </c>
      <c r="F399">
        <v>1</v>
      </c>
      <c r="G399" t="s">
        <v>1374</v>
      </c>
      <c r="H399" t="s">
        <v>193</v>
      </c>
      <c r="I399" t="s">
        <v>87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6FB4F-B0FB-6C43-9E9C-735733498F66}">
  <sheetPr>
    <tabColor theme="0" tint="-0.249977111117893"/>
  </sheetPr>
  <dimension ref="A1:F343"/>
  <sheetViews>
    <sheetView workbookViewId="0">
      <selection activeCell="B2" sqref="B2:B343"/>
    </sheetView>
  </sheetViews>
  <sheetFormatPr baseColWidth="10" defaultRowHeight="15" x14ac:dyDescent="0.2"/>
  <cols>
    <col min="1" max="1" width="12.5" bestFit="1" customWidth="1"/>
    <col min="2" max="2" width="15.1640625" bestFit="1" customWidth="1"/>
    <col min="3" max="3" width="20.83203125" customWidth="1"/>
    <col min="4" max="4" width="12" bestFit="1" customWidth="1"/>
    <col min="5" max="5" width="14" bestFit="1" customWidth="1"/>
  </cols>
  <sheetData>
    <row r="1" spans="1:6" x14ac:dyDescent="0.2">
      <c r="A1" s="2" t="s">
        <v>1375</v>
      </c>
      <c r="B1" s="2" t="s">
        <v>1376</v>
      </c>
      <c r="C1" s="2" t="s">
        <v>1377</v>
      </c>
      <c r="D1" s="2" t="s">
        <v>1378</v>
      </c>
      <c r="E1" s="2" t="s">
        <v>1379</v>
      </c>
      <c r="F1" s="2" t="s">
        <v>1380</v>
      </c>
    </row>
    <row r="2" spans="1:6" ht="16" x14ac:dyDescent="0.2">
      <c r="A2" s="3" t="s">
        <v>1381</v>
      </c>
      <c r="B2" s="3" t="s">
        <v>1382</v>
      </c>
      <c r="C2" s="3" t="s">
        <v>1383</v>
      </c>
      <c r="D2" s="3" t="s">
        <v>1384</v>
      </c>
      <c r="E2" s="3" t="s">
        <v>1385</v>
      </c>
      <c r="F2" s="3" t="s">
        <v>1386</v>
      </c>
    </row>
    <row r="3" spans="1:6" ht="32" x14ac:dyDescent="0.2">
      <c r="A3" s="3" t="s">
        <v>1387</v>
      </c>
      <c r="B3" s="3" t="s">
        <v>1388</v>
      </c>
      <c r="C3" s="3" t="s">
        <v>1389</v>
      </c>
      <c r="D3" s="3" t="s">
        <v>1390</v>
      </c>
      <c r="E3" s="3" t="s">
        <v>1391</v>
      </c>
      <c r="F3" s="3" t="s">
        <v>1392</v>
      </c>
    </row>
    <row r="4" spans="1:6" ht="16" x14ac:dyDescent="0.2">
      <c r="A4" s="3" t="s">
        <v>1393</v>
      </c>
      <c r="B4" s="3" t="s">
        <v>1394</v>
      </c>
      <c r="C4" s="3" t="s">
        <v>9</v>
      </c>
      <c r="D4" s="3" t="s">
        <v>1395</v>
      </c>
      <c r="E4" s="3" t="s">
        <v>1396</v>
      </c>
      <c r="F4" s="3" t="s">
        <v>1397</v>
      </c>
    </row>
    <row r="5" spans="1:6" ht="16" x14ac:dyDescent="0.2">
      <c r="A5" s="3" t="s">
        <v>1398</v>
      </c>
      <c r="B5" s="3" t="s">
        <v>1399</v>
      </c>
      <c r="C5" s="3" t="s">
        <v>1400</v>
      </c>
      <c r="D5" s="3" t="s">
        <v>1401</v>
      </c>
      <c r="E5" s="3" t="s">
        <v>1402</v>
      </c>
      <c r="F5" s="3" t="s">
        <v>1403</v>
      </c>
    </row>
    <row r="6" spans="1:6" ht="32" x14ac:dyDescent="0.2">
      <c r="A6" s="3" t="s">
        <v>1404</v>
      </c>
      <c r="B6" s="3" t="s">
        <v>1405</v>
      </c>
      <c r="C6" s="3" t="s">
        <v>1406</v>
      </c>
      <c r="D6" s="3" t="s">
        <v>1407</v>
      </c>
      <c r="E6" s="3" t="s">
        <v>1408</v>
      </c>
      <c r="F6" s="3" t="s">
        <v>1409</v>
      </c>
    </row>
    <row r="7" spans="1:6" ht="32" x14ac:dyDescent="0.2">
      <c r="A7" s="3" t="s">
        <v>1410</v>
      </c>
      <c r="B7" s="3" t="s">
        <v>1411</v>
      </c>
      <c r="C7" s="3" t="s">
        <v>1412</v>
      </c>
      <c r="D7" s="3" t="s">
        <v>1407</v>
      </c>
      <c r="E7" s="3" t="s">
        <v>1408</v>
      </c>
      <c r="F7" s="3" t="s">
        <v>1409</v>
      </c>
    </row>
    <row r="8" spans="1:6" ht="32" x14ac:dyDescent="0.2">
      <c r="A8" s="3" t="s">
        <v>1413</v>
      </c>
      <c r="B8" s="3" t="s">
        <v>1414</v>
      </c>
      <c r="C8" s="3" t="s">
        <v>23</v>
      </c>
      <c r="D8" s="3" t="s">
        <v>1390</v>
      </c>
      <c r="E8" s="3" t="s">
        <v>1391</v>
      </c>
      <c r="F8" s="3" t="s">
        <v>1392</v>
      </c>
    </row>
    <row r="9" spans="1:6" ht="16" x14ac:dyDescent="0.2">
      <c r="A9" s="3" t="s">
        <v>1415</v>
      </c>
      <c r="B9" s="3" t="s">
        <v>1416</v>
      </c>
      <c r="C9" s="3" t="s">
        <v>30</v>
      </c>
      <c r="D9" s="3" t="s">
        <v>1417</v>
      </c>
      <c r="E9" s="3" t="s">
        <v>1418</v>
      </c>
      <c r="F9" s="3" t="s">
        <v>1419</v>
      </c>
    </row>
    <row r="10" spans="1:6" ht="16" x14ac:dyDescent="0.2">
      <c r="A10" s="3" t="s">
        <v>1420</v>
      </c>
      <c r="B10" s="3" t="s">
        <v>1421</v>
      </c>
      <c r="C10" s="3" t="s">
        <v>1422</v>
      </c>
      <c r="D10" s="3" t="s">
        <v>1423</v>
      </c>
      <c r="E10" s="3" t="s">
        <v>1424</v>
      </c>
      <c r="F10" s="3" t="s">
        <v>1425</v>
      </c>
    </row>
    <row r="11" spans="1:6" ht="32" x14ac:dyDescent="0.2">
      <c r="A11" s="3" t="s">
        <v>1426</v>
      </c>
      <c r="B11" s="3" t="s">
        <v>1427</v>
      </c>
      <c r="C11" s="3" t="s">
        <v>62</v>
      </c>
      <c r="D11" s="3" t="s">
        <v>1407</v>
      </c>
      <c r="E11" s="3" t="s">
        <v>1408</v>
      </c>
      <c r="F11" s="3" t="s">
        <v>1409</v>
      </c>
    </row>
    <row r="12" spans="1:6" ht="32" x14ac:dyDescent="0.2">
      <c r="A12" s="3" t="s">
        <v>1428</v>
      </c>
      <c r="B12" s="3" t="s">
        <v>1429</v>
      </c>
      <c r="C12" s="3" t="s">
        <v>1430</v>
      </c>
      <c r="D12" s="3" t="s">
        <v>1431</v>
      </c>
      <c r="E12" s="3" t="s">
        <v>1432</v>
      </c>
      <c r="F12" s="3" t="s">
        <v>1433</v>
      </c>
    </row>
    <row r="13" spans="1:6" ht="32" x14ac:dyDescent="0.2">
      <c r="A13" s="3" t="s">
        <v>1434</v>
      </c>
      <c r="B13" s="3" t="s">
        <v>1435</v>
      </c>
      <c r="C13" s="3" t="s">
        <v>1436</v>
      </c>
      <c r="D13" s="3" t="s">
        <v>1431</v>
      </c>
      <c r="E13" s="3" t="s">
        <v>1432</v>
      </c>
      <c r="F13" s="3" t="s">
        <v>1433</v>
      </c>
    </row>
    <row r="14" spans="1:6" ht="16" x14ac:dyDescent="0.2">
      <c r="A14" s="3" t="s">
        <v>1437</v>
      </c>
      <c r="B14" s="3" t="s">
        <v>1438</v>
      </c>
      <c r="C14" s="3" t="s">
        <v>1439</v>
      </c>
      <c r="D14" s="3" t="s">
        <v>1401</v>
      </c>
      <c r="E14" s="3" t="s">
        <v>1402</v>
      </c>
      <c r="F14" s="3" t="s">
        <v>1403</v>
      </c>
    </row>
    <row r="15" spans="1:6" ht="16" x14ac:dyDescent="0.2">
      <c r="A15" s="3" t="s">
        <v>1440</v>
      </c>
      <c r="B15" s="3" t="s">
        <v>1441</v>
      </c>
      <c r="C15" s="3" t="s">
        <v>67</v>
      </c>
      <c r="D15" s="3" t="s">
        <v>1442</v>
      </c>
      <c r="E15" s="3" t="s">
        <v>1443</v>
      </c>
      <c r="F15" s="3" t="s">
        <v>1161</v>
      </c>
    </row>
    <row r="16" spans="1:6" ht="32" x14ac:dyDescent="0.2">
      <c r="A16" s="3" t="s">
        <v>1444</v>
      </c>
      <c r="B16" s="3" t="s">
        <v>1445</v>
      </c>
      <c r="C16" s="3" t="s">
        <v>1446</v>
      </c>
      <c r="D16" s="3" t="s">
        <v>1390</v>
      </c>
      <c r="E16" s="3" t="s">
        <v>1391</v>
      </c>
      <c r="F16" s="3" t="s">
        <v>1392</v>
      </c>
    </row>
    <row r="17" spans="1:6" ht="32" x14ac:dyDescent="0.2">
      <c r="A17" s="3" t="s">
        <v>1447</v>
      </c>
      <c r="B17" s="3" t="s">
        <v>1448</v>
      </c>
      <c r="C17" s="3" t="s">
        <v>81</v>
      </c>
      <c r="D17" s="3" t="s">
        <v>1390</v>
      </c>
      <c r="E17" s="3" t="s">
        <v>1391</v>
      </c>
      <c r="F17" s="3" t="s">
        <v>1392</v>
      </c>
    </row>
    <row r="18" spans="1:6" ht="16" x14ac:dyDescent="0.2">
      <c r="A18" s="3" t="s">
        <v>1449</v>
      </c>
      <c r="B18" s="3" t="s">
        <v>1450</v>
      </c>
      <c r="C18" s="3" t="s">
        <v>126</v>
      </c>
      <c r="D18" s="3" t="s">
        <v>1395</v>
      </c>
      <c r="E18" s="3" t="s">
        <v>1396</v>
      </c>
      <c r="F18" s="3" t="s">
        <v>1397</v>
      </c>
    </row>
    <row r="19" spans="1:6" ht="16" x14ac:dyDescent="0.2">
      <c r="A19" s="3" t="s">
        <v>1451</v>
      </c>
      <c r="B19" s="3" t="s">
        <v>1452</v>
      </c>
      <c r="C19" s="3" t="s">
        <v>152</v>
      </c>
      <c r="D19" s="3" t="s">
        <v>1395</v>
      </c>
      <c r="E19" s="3" t="s">
        <v>1396</v>
      </c>
      <c r="F19" s="3" t="s">
        <v>1397</v>
      </c>
    </row>
    <row r="20" spans="1:6" ht="16" x14ac:dyDescent="0.2">
      <c r="A20" s="3" t="s">
        <v>1453</v>
      </c>
      <c r="B20" s="3" t="s">
        <v>1454</v>
      </c>
      <c r="C20" s="3" t="s">
        <v>169</v>
      </c>
      <c r="D20" s="3" t="s">
        <v>1384</v>
      </c>
      <c r="E20" s="3" t="s">
        <v>1385</v>
      </c>
      <c r="F20" s="3" t="s">
        <v>1386</v>
      </c>
    </row>
    <row r="21" spans="1:6" ht="32" x14ac:dyDescent="0.2">
      <c r="A21" s="3" t="s">
        <v>1455</v>
      </c>
      <c r="B21" s="3" t="s">
        <v>1456</v>
      </c>
      <c r="C21" s="3" t="s">
        <v>1457</v>
      </c>
      <c r="D21" s="3" t="s">
        <v>1431</v>
      </c>
      <c r="E21" s="3" t="s">
        <v>1432</v>
      </c>
      <c r="F21" s="3" t="s">
        <v>1433</v>
      </c>
    </row>
    <row r="22" spans="1:6" ht="32" x14ac:dyDescent="0.2">
      <c r="A22" s="3" t="s">
        <v>1458</v>
      </c>
      <c r="B22" s="3" t="s">
        <v>1459</v>
      </c>
      <c r="C22" s="3" t="s">
        <v>1460</v>
      </c>
      <c r="D22" s="3" t="s">
        <v>1431</v>
      </c>
      <c r="E22" s="3" t="s">
        <v>1432</v>
      </c>
      <c r="F22" s="3" t="s">
        <v>1433</v>
      </c>
    </row>
    <row r="23" spans="1:6" ht="16" x14ac:dyDescent="0.2">
      <c r="A23" s="3" t="s">
        <v>1461</v>
      </c>
      <c r="B23" s="3" t="s">
        <v>1462</v>
      </c>
      <c r="C23" s="3" t="s">
        <v>173</v>
      </c>
      <c r="D23" s="3" t="s">
        <v>1442</v>
      </c>
      <c r="E23" s="3" t="s">
        <v>1443</v>
      </c>
      <c r="F23" s="3" t="s">
        <v>1161</v>
      </c>
    </row>
    <row r="24" spans="1:6" ht="32" x14ac:dyDescent="0.2">
      <c r="A24" s="3" t="s">
        <v>1463</v>
      </c>
      <c r="B24" s="3" t="s">
        <v>1464</v>
      </c>
      <c r="C24" s="3" t="s">
        <v>185</v>
      </c>
      <c r="D24" s="3" t="s">
        <v>1407</v>
      </c>
      <c r="E24" s="3" t="s">
        <v>1408</v>
      </c>
      <c r="F24" s="3" t="s">
        <v>1409</v>
      </c>
    </row>
    <row r="25" spans="1:6" ht="16" x14ac:dyDescent="0.2">
      <c r="A25" s="3" t="s">
        <v>1465</v>
      </c>
      <c r="B25" s="3" t="s">
        <v>1466</v>
      </c>
      <c r="C25" s="3" t="s">
        <v>190</v>
      </c>
      <c r="D25" s="3" t="s">
        <v>1395</v>
      </c>
      <c r="E25" s="3" t="s">
        <v>1396</v>
      </c>
      <c r="F25" s="3" t="s">
        <v>1397</v>
      </c>
    </row>
    <row r="26" spans="1:6" ht="16" x14ac:dyDescent="0.2">
      <c r="A26" s="3" t="s">
        <v>1467</v>
      </c>
      <c r="B26" s="3" t="s">
        <v>1468</v>
      </c>
      <c r="C26" s="3" t="s">
        <v>1469</v>
      </c>
      <c r="D26" s="3" t="s">
        <v>1470</v>
      </c>
      <c r="E26" s="3" t="s">
        <v>1471</v>
      </c>
      <c r="F26" s="3" t="s">
        <v>1472</v>
      </c>
    </row>
    <row r="27" spans="1:6" ht="16" x14ac:dyDescent="0.2">
      <c r="A27" s="3" t="s">
        <v>1473</v>
      </c>
      <c r="B27" s="3" t="s">
        <v>1474</v>
      </c>
      <c r="C27" s="3" t="s">
        <v>1475</v>
      </c>
      <c r="D27" s="3" t="s">
        <v>1470</v>
      </c>
      <c r="E27" s="3" t="s">
        <v>1471</v>
      </c>
      <c r="F27" s="3" t="s">
        <v>1472</v>
      </c>
    </row>
    <row r="28" spans="1:6" ht="16" x14ac:dyDescent="0.2">
      <c r="A28" s="3" t="s">
        <v>1476</v>
      </c>
      <c r="B28" s="3" t="s">
        <v>1477</v>
      </c>
      <c r="C28" s="3" t="s">
        <v>1478</v>
      </c>
      <c r="D28" s="3" t="s">
        <v>1470</v>
      </c>
      <c r="E28" s="3" t="s">
        <v>1471</v>
      </c>
      <c r="F28" s="3" t="s">
        <v>1472</v>
      </c>
    </row>
    <row r="29" spans="1:6" ht="16" x14ac:dyDescent="0.2">
      <c r="A29" s="3" t="s">
        <v>1479</v>
      </c>
      <c r="B29" s="3" t="s">
        <v>1480</v>
      </c>
      <c r="C29" s="3" t="s">
        <v>1481</v>
      </c>
      <c r="D29" s="3" t="s">
        <v>1395</v>
      </c>
      <c r="E29" s="3" t="s">
        <v>1396</v>
      </c>
      <c r="F29" s="3" t="s">
        <v>1397</v>
      </c>
    </row>
    <row r="30" spans="1:6" ht="32" x14ac:dyDescent="0.2">
      <c r="A30" s="3" t="s">
        <v>1482</v>
      </c>
      <c r="B30" s="3" t="s">
        <v>1483</v>
      </c>
      <c r="C30" s="3" t="s">
        <v>1484</v>
      </c>
      <c r="D30" s="3" t="s">
        <v>1431</v>
      </c>
      <c r="E30" s="3" t="s">
        <v>1432</v>
      </c>
      <c r="F30" s="3" t="s">
        <v>1433</v>
      </c>
    </row>
    <row r="31" spans="1:6" ht="16" x14ac:dyDescent="0.2">
      <c r="A31" s="3" t="s">
        <v>1485</v>
      </c>
      <c r="B31" s="3" t="s">
        <v>1486</v>
      </c>
      <c r="C31" s="3" t="s">
        <v>1487</v>
      </c>
      <c r="D31" s="3" t="s">
        <v>1470</v>
      </c>
      <c r="E31" s="3" t="s">
        <v>1471</v>
      </c>
      <c r="F31" s="3" t="s">
        <v>1472</v>
      </c>
    </row>
    <row r="32" spans="1:6" ht="32" x14ac:dyDescent="0.2">
      <c r="A32" s="3" t="s">
        <v>1488</v>
      </c>
      <c r="B32" s="3" t="s">
        <v>1489</v>
      </c>
      <c r="C32" s="3" t="s">
        <v>1490</v>
      </c>
      <c r="D32" s="3" t="s">
        <v>1390</v>
      </c>
      <c r="E32" s="3" t="s">
        <v>1391</v>
      </c>
      <c r="F32" s="3" t="s">
        <v>1392</v>
      </c>
    </row>
    <row r="33" spans="1:6" ht="32" x14ac:dyDescent="0.2">
      <c r="A33" s="3" t="s">
        <v>1491</v>
      </c>
      <c r="B33" s="3" t="s">
        <v>1492</v>
      </c>
      <c r="C33" s="3" t="s">
        <v>215</v>
      </c>
      <c r="D33" s="3" t="s">
        <v>1431</v>
      </c>
      <c r="E33" s="3" t="s">
        <v>1432</v>
      </c>
      <c r="F33" s="3" t="s">
        <v>1433</v>
      </c>
    </row>
    <row r="34" spans="1:6" ht="16" x14ac:dyDescent="0.2">
      <c r="A34" s="3" t="s">
        <v>1493</v>
      </c>
      <c r="B34" s="3" t="s">
        <v>1494</v>
      </c>
      <c r="C34" s="3" t="s">
        <v>1495</v>
      </c>
      <c r="D34" s="3" t="s">
        <v>1395</v>
      </c>
      <c r="E34" s="3" t="s">
        <v>1396</v>
      </c>
      <c r="F34" s="3" t="s">
        <v>1397</v>
      </c>
    </row>
    <row r="35" spans="1:6" ht="32" x14ac:dyDescent="0.2">
      <c r="A35" s="3" t="s">
        <v>1496</v>
      </c>
      <c r="B35" s="3" t="s">
        <v>1497</v>
      </c>
      <c r="C35" s="3" t="s">
        <v>1498</v>
      </c>
      <c r="D35" s="3" t="s">
        <v>1431</v>
      </c>
      <c r="E35" s="3" t="s">
        <v>1432</v>
      </c>
      <c r="F35" s="3" t="s">
        <v>1433</v>
      </c>
    </row>
    <row r="36" spans="1:6" ht="32" x14ac:dyDescent="0.2">
      <c r="A36" s="3" t="s">
        <v>1499</v>
      </c>
      <c r="B36" s="3" t="s">
        <v>1500</v>
      </c>
      <c r="C36" s="3" t="s">
        <v>218</v>
      </c>
      <c r="D36" s="3" t="s">
        <v>1431</v>
      </c>
      <c r="E36" s="3" t="s">
        <v>1432</v>
      </c>
      <c r="F36" s="3" t="s">
        <v>1433</v>
      </c>
    </row>
    <row r="37" spans="1:6" ht="16" x14ac:dyDescent="0.2">
      <c r="A37" s="3" t="s">
        <v>1501</v>
      </c>
      <c r="B37" s="3" t="s">
        <v>1502</v>
      </c>
      <c r="C37" s="3" t="s">
        <v>1503</v>
      </c>
      <c r="D37" s="3" t="s">
        <v>1395</v>
      </c>
      <c r="E37" s="3" t="s">
        <v>1396</v>
      </c>
      <c r="F37" s="3" t="s">
        <v>1397</v>
      </c>
    </row>
    <row r="38" spans="1:6" ht="32" x14ac:dyDescent="0.2">
      <c r="A38" s="3" t="s">
        <v>1504</v>
      </c>
      <c r="B38" s="3" t="s">
        <v>1505</v>
      </c>
      <c r="C38" s="3" t="s">
        <v>221</v>
      </c>
      <c r="D38" s="3" t="s">
        <v>1390</v>
      </c>
      <c r="E38" s="3" t="s">
        <v>1391</v>
      </c>
      <c r="F38" s="3" t="s">
        <v>1392</v>
      </c>
    </row>
    <row r="39" spans="1:6" ht="16" x14ac:dyDescent="0.2">
      <c r="A39" s="3" t="s">
        <v>1506</v>
      </c>
      <c r="B39" s="3" t="s">
        <v>1507</v>
      </c>
      <c r="C39" s="3" t="s">
        <v>1508</v>
      </c>
      <c r="D39" s="3" t="s">
        <v>1442</v>
      </c>
      <c r="E39" s="3" t="s">
        <v>1443</v>
      </c>
      <c r="F39" s="3" t="s">
        <v>1161</v>
      </c>
    </row>
    <row r="40" spans="1:6" ht="32" x14ac:dyDescent="0.2">
      <c r="A40" s="3" t="s">
        <v>1509</v>
      </c>
      <c r="B40" s="3" t="s">
        <v>1510</v>
      </c>
      <c r="C40" s="3" t="s">
        <v>1511</v>
      </c>
      <c r="D40" s="3" t="s">
        <v>1431</v>
      </c>
      <c r="E40" s="3" t="s">
        <v>1432</v>
      </c>
      <c r="F40" s="3" t="s">
        <v>1433</v>
      </c>
    </row>
    <row r="41" spans="1:6" ht="32" x14ac:dyDescent="0.2">
      <c r="A41" s="3" t="s">
        <v>1512</v>
      </c>
      <c r="B41" s="3" t="s">
        <v>1513</v>
      </c>
      <c r="C41" s="3" t="s">
        <v>1514</v>
      </c>
      <c r="D41" s="3" t="s">
        <v>1390</v>
      </c>
      <c r="E41" s="3" t="s">
        <v>1391</v>
      </c>
      <c r="F41" s="3" t="s">
        <v>1392</v>
      </c>
    </row>
    <row r="42" spans="1:6" ht="32" x14ac:dyDescent="0.2">
      <c r="A42" s="3" t="s">
        <v>1515</v>
      </c>
      <c r="B42" s="3" t="s">
        <v>1516</v>
      </c>
      <c r="C42" s="3" t="s">
        <v>232</v>
      </c>
      <c r="D42" s="3" t="s">
        <v>1390</v>
      </c>
      <c r="E42" s="3" t="s">
        <v>1391</v>
      </c>
      <c r="F42" s="3" t="s">
        <v>1392</v>
      </c>
    </row>
    <row r="43" spans="1:6" ht="32" x14ac:dyDescent="0.2">
      <c r="A43" s="3" t="s">
        <v>1517</v>
      </c>
      <c r="B43" s="3" t="s">
        <v>1518</v>
      </c>
      <c r="C43" s="3" t="s">
        <v>1519</v>
      </c>
      <c r="D43" s="3" t="s">
        <v>1407</v>
      </c>
      <c r="E43" s="3" t="s">
        <v>1408</v>
      </c>
      <c r="F43" s="3" t="s">
        <v>1409</v>
      </c>
    </row>
    <row r="44" spans="1:6" ht="32" x14ac:dyDescent="0.2">
      <c r="A44" s="3" t="s">
        <v>1520</v>
      </c>
      <c r="B44" s="3" t="s">
        <v>1521</v>
      </c>
      <c r="C44" s="3" t="s">
        <v>1522</v>
      </c>
      <c r="D44" s="3" t="s">
        <v>1431</v>
      </c>
      <c r="E44" s="3" t="s">
        <v>1432</v>
      </c>
      <c r="F44" s="3" t="s">
        <v>1433</v>
      </c>
    </row>
    <row r="45" spans="1:6" ht="16" x14ac:dyDescent="0.2">
      <c r="A45" s="3" t="s">
        <v>1523</v>
      </c>
      <c r="B45" s="3" t="s">
        <v>1524</v>
      </c>
      <c r="C45" s="3" t="s">
        <v>1525</v>
      </c>
      <c r="D45" s="3" t="s">
        <v>1384</v>
      </c>
      <c r="E45" s="3" t="s">
        <v>1385</v>
      </c>
      <c r="F45" s="3" t="s">
        <v>1386</v>
      </c>
    </row>
    <row r="46" spans="1:6" ht="16" x14ac:dyDescent="0.2">
      <c r="A46" s="3" t="s">
        <v>1526</v>
      </c>
      <c r="B46" s="3" t="s">
        <v>1527</v>
      </c>
      <c r="C46" s="3" t="s">
        <v>239</v>
      </c>
      <c r="D46" s="3" t="s">
        <v>1417</v>
      </c>
      <c r="E46" s="3" t="s">
        <v>1418</v>
      </c>
      <c r="F46" s="3" t="s">
        <v>1419</v>
      </c>
    </row>
    <row r="47" spans="1:6" ht="16" x14ac:dyDescent="0.2">
      <c r="A47" s="3" t="s">
        <v>1528</v>
      </c>
      <c r="B47" s="3" t="s">
        <v>1529</v>
      </c>
      <c r="C47" s="3" t="s">
        <v>1530</v>
      </c>
      <c r="D47" s="3" t="s">
        <v>1531</v>
      </c>
      <c r="E47" s="3" t="s">
        <v>1532</v>
      </c>
      <c r="F47" s="3" t="s">
        <v>1533</v>
      </c>
    </row>
    <row r="48" spans="1:6" ht="32" x14ac:dyDescent="0.2">
      <c r="A48" s="3" t="s">
        <v>1534</v>
      </c>
      <c r="B48" s="3" t="s">
        <v>1535</v>
      </c>
      <c r="C48" s="3" t="s">
        <v>265</v>
      </c>
      <c r="D48" s="3" t="s">
        <v>1431</v>
      </c>
      <c r="E48" s="3" t="s">
        <v>1432</v>
      </c>
      <c r="F48" s="3" t="s">
        <v>1433</v>
      </c>
    </row>
    <row r="49" spans="1:6" ht="32" x14ac:dyDescent="0.2">
      <c r="A49" s="3" t="s">
        <v>1536</v>
      </c>
      <c r="B49" s="3" t="s">
        <v>1537</v>
      </c>
      <c r="C49" s="3" t="s">
        <v>269</v>
      </c>
      <c r="D49" s="3" t="s">
        <v>1431</v>
      </c>
      <c r="E49" s="3" t="s">
        <v>1432</v>
      </c>
      <c r="F49" s="3" t="s">
        <v>1433</v>
      </c>
    </row>
    <row r="50" spans="1:6" ht="16" x14ac:dyDescent="0.2">
      <c r="A50" s="3" t="s">
        <v>1538</v>
      </c>
      <c r="B50" s="3" t="s">
        <v>1539</v>
      </c>
      <c r="C50" s="3" t="s">
        <v>1540</v>
      </c>
      <c r="D50" s="3" t="s">
        <v>1395</v>
      </c>
      <c r="E50" s="3" t="s">
        <v>1396</v>
      </c>
      <c r="F50" s="3" t="s">
        <v>1397</v>
      </c>
    </row>
    <row r="51" spans="1:6" ht="16" x14ac:dyDescent="0.2">
      <c r="A51" s="3" t="s">
        <v>1541</v>
      </c>
      <c r="B51" s="3" t="s">
        <v>1542</v>
      </c>
      <c r="C51" s="3" t="s">
        <v>282</v>
      </c>
      <c r="D51" s="3" t="s">
        <v>1395</v>
      </c>
      <c r="E51" s="3" t="s">
        <v>1396</v>
      </c>
      <c r="F51" s="3" t="s">
        <v>1397</v>
      </c>
    </row>
    <row r="52" spans="1:6" ht="16" x14ac:dyDescent="0.2">
      <c r="A52" s="3" t="s">
        <v>1543</v>
      </c>
      <c r="B52" s="3" t="s">
        <v>1544</v>
      </c>
      <c r="C52" s="3" t="s">
        <v>1545</v>
      </c>
      <c r="D52" s="3" t="s">
        <v>1470</v>
      </c>
      <c r="E52" s="3" t="s">
        <v>1471</v>
      </c>
      <c r="F52" s="3" t="s">
        <v>1472</v>
      </c>
    </row>
    <row r="53" spans="1:6" ht="16" x14ac:dyDescent="0.2">
      <c r="A53" s="3" t="s">
        <v>1546</v>
      </c>
      <c r="B53" s="3" t="s">
        <v>1547</v>
      </c>
      <c r="C53" s="3" t="s">
        <v>291</v>
      </c>
      <c r="D53" s="3" t="s">
        <v>1442</v>
      </c>
      <c r="E53" s="3" t="s">
        <v>1443</v>
      </c>
      <c r="F53" s="3" t="s">
        <v>1161</v>
      </c>
    </row>
    <row r="54" spans="1:6" ht="16" x14ac:dyDescent="0.2">
      <c r="A54" s="3" t="s">
        <v>1548</v>
      </c>
      <c r="B54" s="3" t="s">
        <v>1549</v>
      </c>
      <c r="C54" s="3" t="s">
        <v>1550</v>
      </c>
      <c r="D54" s="3" t="s">
        <v>1442</v>
      </c>
      <c r="E54" s="3" t="s">
        <v>1443</v>
      </c>
      <c r="F54" s="3" t="s">
        <v>1161</v>
      </c>
    </row>
    <row r="55" spans="1:6" ht="16" x14ac:dyDescent="0.2">
      <c r="A55" s="3" t="s">
        <v>1551</v>
      </c>
      <c r="B55" s="3" t="s">
        <v>1552</v>
      </c>
      <c r="C55" s="3" t="s">
        <v>1553</v>
      </c>
      <c r="D55" s="3" t="s">
        <v>1395</v>
      </c>
      <c r="E55" s="3" t="s">
        <v>1396</v>
      </c>
      <c r="F55" s="3" t="s">
        <v>1397</v>
      </c>
    </row>
    <row r="56" spans="1:6" ht="32" x14ac:dyDescent="0.2">
      <c r="A56" s="3" t="s">
        <v>1554</v>
      </c>
      <c r="B56" s="3" t="s">
        <v>1555</v>
      </c>
      <c r="C56" s="3" t="s">
        <v>299</v>
      </c>
      <c r="D56" s="3" t="s">
        <v>1407</v>
      </c>
      <c r="E56" s="3" t="s">
        <v>1408</v>
      </c>
      <c r="F56" s="3" t="s">
        <v>1409</v>
      </c>
    </row>
    <row r="57" spans="1:6" ht="32" x14ac:dyDescent="0.2">
      <c r="A57" s="3" t="s">
        <v>1556</v>
      </c>
      <c r="B57" s="3" t="s">
        <v>1557</v>
      </c>
      <c r="C57" s="3" t="s">
        <v>303</v>
      </c>
      <c r="D57" s="3" t="s">
        <v>1390</v>
      </c>
      <c r="E57" s="3" t="s">
        <v>1391</v>
      </c>
      <c r="F57" s="3" t="s">
        <v>1392</v>
      </c>
    </row>
    <row r="58" spans="1:6" ht="16" x14ac:dyDescent="0.2">
      <c r="A58" s="3" t="s">
        <v>1558</v>
      </c>
      <c r="B58" s="3" t="s">
        <v>1559</v>
      </c>
      <c r="C58" s="3" t="s">
        <v>310</v>
      </c>
      <c r="D58" s="3" t="s">
        <v>1384</v>
      </c>
      <c r="E58" s="3" t="s">
        <v>1385</v>
      </c>
      <c r="F58" s="3" t="s">
        <v>1386</v>
      </c>
    </row>
    <row r="59" spans="1:6" ht="32" x14ac:dyDescent="0.2">
      <c r="A59" s="3" t="s">
        <v>1560</v>
      </c>
      <c r="B59" s="3" t="s">
        <v>1561</v>
      </c>
      <c r="C59" s="3" t="s">
        <v>1562</v>
      </c>
      <c r="D59" s="3" t="s">
        <v>1431</v>
      </c>
      <c r="E59" s="3" t="s">
        <v>1432</v>
      </c>
      <c r="F59" s="3" t="s">
        <v>1433</v>
      </c>
    </row>
    <row r="60" spans="1:6" ht="16" x14ac:dyDescent="0.2">
      <c r="A60" s="3" t="s">
        <v>1563</v>
      </c>
      <c r="B60" s="3" t="s">
        <v>1564</v>
      </c>
      <c r="C60" s="3" t="s">
        <v>317</v>
      </c>
      <c r="D60" s="3" t="s">
        <v>1395</v>
      </c>
      <c r="E60" s="3" t="s">
        <v>1396</v>
      </c>
      <c r="F60" s="3" t="s">
        <v>1397</v>
      </c>
    </row>
    <row r="61" spans="1:6" ht="16" x14ac:dyDescent="0.2">
      <c r="A61" s="3" t="s">
        <v>1565</v>
      </c>
      <c r="B61" s="3" t="s">
        <v>1566</v>
      </c>
      <c r="C61" s="3" t="s">
        <v>328</v>
      </c>
      <c r="D61" s="3" t="s">
        <v>1417</v>
      </c>
      <c r="E61" s="3" t="s">
        <v>1418</v>
      </c>
      <c r="F61" s="3" t="s">
        <v>1419</v>
      </c>
    </row>
    <row r="62" spans="1:6" ht="16" x14ac:dyDescent="0.2">
      <c r="A62" s="3" t="s">
        <v>1567</v>
      </c>
      <c r="B62" s="3" t="s">
        <v>1568</v>
      </c>
      <c r="C62" s="3" t="s">
        <v>1569</v>
      </c>
      <c r="D62" s="3" t="s">
        <v>1401</v>
      </c>
      <c r="E62" s="3" t="s">
        <v>1402</v>
      </c>
      <c r="F62" s="3" t="s">
        <v>1403</v>
      </c>
    </row>
    <row r="63" spans="1:6" ht="32" x14ac:dyDescent="0.2">
      <c r="A63" s="3" t="s">
        <v>1570</v>
      </c>
      <c r="B63" s="3" t="s">
        <v>1571</v>
      </c>
      <c r="C63" s="3" t="s">
        <v>345</v>
      </c>
      <c r="D63" s="3" t="s">
        <v>1407</v>
      </c>
      <c r="E63" s="3" t="s">
        <v>1408</v>
      </c>
      <c r="F63" s="3" t="s">
        <v>1409</v>
      </c>
    </row>
    <row r="64" spans="1:6" ht="32" x14ac:dyDescent="0.2">
      <c r="A64" s="3" t="s">
        <v>1572</v>
      </c>
      <c r="B64" s="3" t="s">
        <v>1573</v>
      </c>
      <c r="C64" s="3" t="s">
        <v>388</v>
      </c>
      <c r="D64" s="3" t="s">
        <v>1431</v>
      </c>
      <c r="E64" s="3" t="s">
        <v>1432</v>
      </c>
      <c r="F64" s="3" t="s">
        <v>1433</v>
      </c>
    </row>
    <row r="65" spans="1:6" ht="16" x14ac:dyDescent="0.2">
      <c r="A65" s="3" t="s">
        <v>1574</v>
      </c>
      <c r="B65" s="3" t="s">
        <v>1575</v>
      </c>
      <c r="C65" s="3" t="s">
        <v>392</v>
      </c>
      <c r="D65" s="3" t="s">
        <v>1417</v>
      </c>
      <c r="E65" s="3" t="s">
        <v>1418</v>
      </c>
      <c r="F65" s="3" t="s">
        <v>1419</v>
      </c>
    </row>
    <row r="66" spans="1:6" ht="32" x14ac:dyDescent="0.2">
      <c r="A66" s="3" t="s">
        <v>1576</v>
      </c>
      <c r="B66" s="3" t="s">
        <v>1577</v>
      </c>
      <c r="C66" s="3" t="s">
        <v>405</v>
      </c>
      <c r="D66" s="3" t="s">
        <v>1390</v>
      </c>
      <c r="E66" s="3" t="s">
        <v>1391</v>
      </c>
      <c r="F66" s="3" t="s">
        <v>1392</v>
      </c>
    </row>
    <row r="67" spans="1:6" ht="32" x14ac:dyDescent="0.2">
      <c r="A67" s="3" t="s">
        <v>1578</v>
      </c>
      <c r="B67" s="3" t="s">
        <v>1579</v>
      </c>
      <c r="C67" s="3" t="s">
        <v>1580</v>
      </c>
      <c r="D67" s="3" t="s">
        <v>1390</v>
      </c>
      <c r="E67" s="3" t="s">
        <v>1391</v>
      </c>
      <c r="F67" s="3" t="s">
        <v>1392</v>
      </c>
    </row>
    <row r="68" spans="1:6" ht="16" x14ac:dyDescent="0.2">
      <c r="A68" s="3" t="s">
        <v>1581</v>
      </c>
      <c r="B68" s="3" t="s">
        <v>1582</v>
      </c>
      <c r="C68" s="3" t="s">
        <v>1583</v>
      </c>
      <c r="D68" s="3" t="s">
        <v>1417</v>
      </c>
      <c r="E68" s="3" t="s">
        <v>1418</v>
      </c>
      <c r="F68" s="3" t="s">
        <v>1419</v>
      </c>
    </row>
    <row r="69" spans="1:6" ht="16" x14ac:dyDescent="0.2">
      <c r="A69" s="3" t="s">
        <v>1584</v>
      </c>
      <c r="B69" s="3" t="s">
        <v>1585</v>
      </c>
      <c r="C69" s="3" t="s">
        <v>1586</v>
      </c>
      <c r="D69" s="3" t="s">
        <v>1395</v>
      </c>
      <c r="E69" s="3" t="s">
        <v>1396</v>
      </c>
      <c r="F69" s="3" t="s">
        <v>1397</v>
      </c>
    </row>
    <row r="70" spans="1:6" ht="16" x14ac:dyDescent="0.2">
      <c r="A70" s="3" t="s">
        <v>1587</v>
      </c>
      <c r="B70" s="3" t="s">
        <v>1588</v>
      </c>
      <c r="C70" s="3" t="s">
        <v>416</v>
      </c>
      <c r="D70" s="3" t="s">
        <v>1395</v>
      </c>
      <c r="E70" s="3" t="s">
        <v>1396</v>
      </c>
      <c r="F70" s="3" t="s">
        <v>1397</v>
      </c>
    </row>
    <row r="71" spans="1:6" ht="32" x14ac:dyDescent="0.2">
      <c r="A71" s="3" t="s">
        <v>1589</v>
      </c>
      <c r="B71" s="3" t="s">
        <v>1590</v>
      </c>
      <c r="C71" s="3" t="s">
        <v>1591</v>
      </c>
      <c r="D71" s="3" t="s">
        <v>1431</v>
      </c>
      <c r="E71" s="3" t="s">
        <v>1432</v>
      </c>
      <c r="F71" s="3" t="s">
        <v>1433</v>
      </c>
    </row>
    <row r="72" spans="1:6" ht="32" x14ac:dyDescent="0.2">
      <c r="A72" s="3" t="s">
        <v>1592</v>
      </c>
      <c r="B72" s="3" t="s">
        <v>1593</v>
      </c>
      <c r="C72" s="3" t="s">
        <v>422</v>
      </c>
      <c r="D72" s="3" t="s">
        <v>1407</v>
      </c>
      <c r="E72" s="3" t="s">
        <v>1408</v>
      </c>
      <c r="F72" s="3" t="s">
        <v>1409</v>
      </c>
    </row>
    <row r="73" spans="1:6" ht="32" x14ac:dyDescent="0.2">
      <c r="A73" s="3" t="s">
        <v>1594</v>
      </c>
      <c r="B73" s="3" t="s">
        <v>1595</v>
      </c>
      <c r="C73" s="3" t="s">
        <v>1596</v>
      </c>
      <c r="D73" s="3" t="s">
        <v>1390</v>
      </c>
      <c r="E73" s="3" t="s">
        <v>1391</v>
      </c>
      <c r="F73" s="3" t="s">
        <v>1392</v>
      </c>
    </row>
    <row r="74" spans="1:6" ht="32" x14ac:dyDescent="0.2">
      <c r="A74" s="3" t="s">
        <v>1597</v>
      </c>
      <c r="B74" s="3" t="s">
        <v>1598</v>
      </c>
      <c r="C74" s="3" t="s">
        <v>1599</v>
      </c>
      <c r="D74" s="3" t="s">
        <v>1431</v>
      </c>
      <c r="E74" s="3" t="s">
        <v>1432</v>
      </c>
      <c r="F74" s="3" t="s">
        <v>1433</v>
      </c>
    </row>
    <row r="75" spans="1:6" ht="16" x14ac:dyDescent="0.2">
      <c r="A75" s="3" t="s">
        <v>1600</v>
      </c>
      <c r="B75" s="3" t="s">
        <v>1601</v>
      </c>
      <c r="C75" s="3" t="s">
        <v>444</v>
      </c>
      <c r="D75" s="3" t="s">
        <v>1423</v>
      </c>
      <c r="E75" s="3" t="s">
        <v>1424</v>
      </c>
      <c r="F75" s="3" t="s">
        <v>1425</v>
      </c>
    </row>
    <row r="76" spans="1:6" ht="16" x14ac:dyDescent="0.2">
      <c r="A76" s="3" t="s">
        <v>1602</v>
      </c>
      <c r="B76" s="3" t="s">
        <v>1603</v>
      </c>
      <c r="C76" s="3" t="s">
        <v>1604</v>
      </c>
      <c r="D76" s="3" t="s">
        <v>1395</v>
      </c>
      <c r="E76" s="3" t="s">
        <v>1396</v>
      </c>
      <c r="F76" s="3" t="s">
        <v>1397</v>
      </c>
    </row>
    <row r="77" spans="1:6" ht="16" x14ac:dyDescent="0.2">
      <c r="A77" s="3" t="s">
        <v>1605</v>
      </c>
      <c r="B77" s="3" t="s">
        <v>1606</v>
      </c>
      <c r="C77" s="3" t="s">
        <v>448</v>
      </c>
      <c r="D77" s="3" t="s">
        <v>1395</v>
      </c>
      <c r="E77" s="3" t="s">
        <v>1396</v>
      </c>
      <c r="F77" s="3" t="s">
        <v>1397</v>
      </c>
    </row>
    <row r="78" spans="1:6" ht="16" x14ac:dyDescent="0.2">
      <c r="A78" s="3" t="s">
        <v>1607</v>
      </c>
      <c r="B78" s="3" t="s">
        <v>1608</v>
      </c>
      <c r="C78" s="3" t="s">
        <v>1609</v>
      </c>
      <c r="D78" s="3" t="s">
        <v>1470</v>
      </c>
      <c r="E78" s="3" t="s">
        <v>1471</v>
      </c>
      <c r="F78" s="3" t="s">
        <v>1472</v>
      </c>
    </row>
    <row r="79" spans="1:6" ht="32" x14ac:dyDescent="0.2">
      <c r="A79" s="3" t="s">
        <v>1610</v>
      </c>
      <c r="B79" s="3" t="s">
        <v>1611</v>
      </c>
      <c r="C79" s="3" t="s">
        <v>1612</v>
      </c>
      <c r="D79" s="3" t="s">
        <v>1390</v>
      </c>
      <c r="E79" s="3" t="s">
        <v>1391</v>
      </c>
      <c r="F79" s="3" t="s">
        <v>1392</v>
      </c>
    </row>
    <row r="80" spans="1:6" ht="16" x14ac:dyDescent="0.2">
      <c r="A80" s="3" t="s">
        <v>1613</v>
      </c>
      <c r="B80" s="3" t="s">
        <v>1614</v>
      </c>
      <c r="C80" s="3" t="s">
        <v>459</v>
      </c>
      <c r="D80" s="3" t="s">
        <v>1395</v>
      </c>
      <c r="E80" s="3" t="s">
        <v>1396</v>
      </c>
      <c r="F80" s="3" t="s">
        <v>1397</v>
      </c>
    </row>
    <row r="81" spans="1:6" ht="16" x14ac:dyDescent="0.2">
      <c r="A81" s="3" t="s">
        <v>1615</v>
      </c>
      <c r="B81" s="3" t="s">
        <v>1616</v>
      </c>
      <c r="C81" s="3" t="s">
        <v>1617</v>
      </c>
      <c r="D81" s="3" t="s">
        <v>1442</v>
      </c>
      <c r="E81" s="3" t="s">
        <v>1443</v>
      </c>
      <c r="F81" s="3" t="s">
        <v>1161</v>
      </c>
    </row>
    <row r="82" spans="1:6" ht="16" x14ac:dyDescent="0.2">
      <c r="A82" s="3" t="s">
        <v>1618</v>
      </c>
      <c r="B82" s="3" t="s">
        <v>1619</v>
      </c>
      <c r="C82" s="3" t="s">
        <v>1620</v>
      </c>
      <c r="D82" s="3" t="s">
        <v>1621</v>
      </c>
      <c r="E82" s="3" t="s">
        <v>1622</v>
      </c>
      <c r="F82" s="3" t="s">
        <v>571</v>
      </c>
    </row>
    <row r="83" spans="1:6" ht="32" x14ac:dyDescent="0.2">
      <c r="A83" s="3" t="s">
        <v>1623</v>
      </c>
      <c r="B83" s="3" t="s">
        <v>1624</v>
      </c>
      <c r="C83" s="3" t="s">
        <v>1625</v>
      </c>
      <c r="D83" s="3" t="s">
        <v>1431</v>
      </c>
      <c r="E83" s="3" t="s">
        <v>1432</v>
      </c>
      <c r="F83" s="3" t="s">
        <v>1433</v>
      </c>
    </row>
    <row r="84" spans="1:6" ht="16" x14ac:dyDescent="0.2">
      <c r="A84" s="3" t="s">
        <v>1626</v>
      </c>
      <c r="B84" s="3" t="s">
        <v>1627</v>
      </c>
      <c r="C84" s="3" t="s">
        <v>1628</v>
      </c>
      <c r="D84" s="3" t="s">
        <v>1470</v>
      </c>
      <c r="E84" s="3" t="s">
        <v>1471</v>
      </c>
      <c r="F84" s="3" t="s">
        <v>1472</v>
      </c>
    </row>
    <row r="85" spans="1:6" ht="32" x14ac:dyDescent="0.2">
      <c r="A85" s="3" t="s">
        <v>1629</v>
      </c>
      <c r="B85" s="3" t="s">
        <v>1630</v>
      </c>
      <c r="C85" s="3" t="s">
        <v>474</v>
      </c>
      <c r="D85" s="3" t="s">
        <v>1431</v>
      </c>
      <c r="E85" s="3" t="s">
        <v>1432</v>
      </c>
      <c r="F85" s="3" t="s">
        <v>1433</v>
      </c>
    </row>
    <row r="86" spans="1:6" ht="16" x14ac:dyDescent="0.2">
      <c r="A86" s="3" t="s">
        <v>1631</v>
      </c>
      <c r="B86" s="3" t="s">
        <v>1632</v>
      </c>
      <c r="C86" s="3" t="s">
        <v>1633</v>
      </c>
      <c r="D86" s="3" t="s">
        <v>1395</v>
      </c>
      <c r="E86" s="3" t="s">
        <v>1396</v>
      </c>
      <c r="F86" s="3" t="s">
        <v>1397</v>
      </c>
    </row>
    <row r="87" spans="1:6" ht="16" x14ac:dyDescent="0.2">
      <c r="A87" s="3" t="s">
        <v>1634</v>
      </c>
      <c r="B87" s="3" t="s">
        <v>1635</v>
      </c>
      <c r="C87" s="3" t="s">
        <v>487</v>
      </c>
      <c r="D87" s="3" t="s">
        <v>1384</v>
      </c>
      <c r="E87" s="3" t="s">
        <v>1385</v>
      </c>
      <c r="F87" s="3" t="s">
        <v>1386</v>
      </c>
    </row>
    <row r="88" spans="1:6" ht="32" x14ac:dyDescent="0.2">
      <c r="A88" s="3" t="s">
        <v>1636</v>
      </c>
      <c r="B88" s="3" t="s">
        <v>1637</v>
      </c>
      <c r="C88" s="3" t="s">
        <v>492</v>
      </c>
      <c r="D88" s="3" t="s">
        <v>1390</v>
      </c>
      <c r="E88" s="3" t="s">
        <v>1391</v>
      </c>
      <c r="F88" s="3" t="s">
        <v>1392</v>
      </c>
    </row>
    <row r="89" spans="1:6" ht="16" x14ac:dyDescent="0.2">
      <c r="A89" s="3" t="s">
        <v>1638</v>
      </c>
      <c r="B89" s="3" t="s">
        <v>1639</v>
      </c>
      <c r="C89" s="3" t="s">
        <v>495</v>
      </c>
      <c r="D89" s="3" t="s">
        <v>1417</v>
      </c>
      <c r="E89" s="3" t="s">
        <v>1418</v>
      </c>
      <c r="F89" s="3" t="s">
        <v>1419</v>
      </c>
    </row>
    <row r="90" spans="1:6" ht="16" x14ac:dyDescent="0.2">
      <c r="A90" s="3" t="s">
        <v>1640</v>
      </c>
      <c r="B90" s="3" t="s">
        <v>1641</v>
      </c>
      <c r="C90" s="3" t="s">
        <v>1642</v>
      </c>
      <c r="D90" s="3" t="s">
        <v>1395</v>
      </c>
      <c r="E90" s="3" t="s">
        <v>1396</v>
      </c>
      <c r="F90" s="3" t="s">
        <v>1397</v>
      </c>
    </row>
    <row r="91" spans="1:6" ht="16" x14ac:dyDescent="0.2">
      <c r="A91" s="3" t="s">
        <v>1643</v>
      </c>
      <c r="B91" s="3" t="s">
        <v>1644</v>
      </c>
      <c r="C91" s="3" t="s">
        <v>506</v>
      </c>
      <c r="D91" s="3" t="s">
        <v>1395</v>
      </c>
      <c r="E91" s="3" t="s">
        <v>1396</v>
      </c>
      <c r="F91" s="3" t="s">
        <v>1397</v>
      </c>
    </row>
    <row r="92" spans="1:6" ht="32" x14ac:dyDescent="0.2">
      <c r="A92" s="3" t="s">
        <v>1645</v>
      </c>
      <c r="B92" s="3" t="s">
        <v>1646</v>
      </c>
      <c r="C92" s="3" t="s">
        <v>509</v>
      </c>
      <c r="D92" s="3" t="s">
        <v>1431</v>
      </c>
      <c r="E92" s="3" t="s">
        <v>1432</v>
      </c>
      <c r="F92" s="3" t="s">
        <v>1433</v>
      </c>
    </row>
    <row r="93" spans="1:6" ht="16" x14ac:dyDescent="0.2">
      <c r="A93" s="3" t="s">
        <v>1647</v>
      </c>
      <c r="B93" s="3" t="s">
        <v>1648</v>
      </c>
      <c r="C93" s="3" t="s">
        <v>1649</v>
      </c>
      <c r="D93" s="3" t="s">
        <v>1401</v>
      </c>
      <c r="E93" s="3" t="s">
        <v>1402</v>
      </c>
      <c r="F93" s="3" t="s">
        <v>1403</v>
      </c>
    </row>
    <row r="94" spans="1:6" ht="32" x14ac:dyDescent="0.2">
      <c r="A94" s="3" t="s">
        <v>1650</v>
      </c>
      <c r="B94" s="3" t="s">
        <v>1651</v>
      </c>
      <c r="C94" s="3" t="s">
        <v>1652</v>
      </c>
      <c r="D94" s="3" t="s">
        <v>1431</v>
      </c>
      <c r="E94" s="3" t="s">
        <v>1432</v>
      </c>
      <c r="F94" s="3" t="s">
        <v>1433</v>
      </c>
    </row>
    <row r="95" spans="1:6" ht="32" x14ac:dyDescent="0.2">
      <c r="A95" s="3" t="s">
        <v>1653</v>
      </c>
      <c r="B95" s="3" t="s">
        <v>1654</v>
      </c>
      <c r="C95" s="3" t="s">
        <v>1655</v>
      </c>
      <c r="D95" s="3" t="s">
        <v>1431</v>
      </c>
      <c r="E95" s="3" t="s">
        <v>1432</v>
      </c>
      <c r="F95" s="3" t="s">
        <v>1433</v>
      </c>
    </row>
    <row r="96" spans="1:6" ht="32" x14ac:dyDescent="0.2">
      <c r="A96" s="3" t="s">
        <v>1656</v>
      </c>
      <c r="B96" s="3" t="s">
        <v>1657</v>
      </c>
      <c r="C96" s="3" t="s">
        <v>1658</v>
      </c>
      <c r="D96" s="3" t="s">
        <v>1431</v>
      </c>
      <c r="E96" s="3" t="s">
        <v>1432</v>
      </c>
      <c r="F96" s="3" t="s">
        <v>1433</v>
      </c>
    </row>
    <row r="97" spans="1:6" ht="16" x14ac:dyDescent="0.2">
      <c r="A97" s="3" t="s">
        <v>1659</v>
      </c>
      <c r="B97" s="3" t="s">
        <v>1660</v>
      </c>
      <c r="C97" s="3" t="s">
        <v>1661</v>
      </c>
      <c r="D97" s="3" t="s">
        <v>1470</v>
      </c>
      <c r="E97" s="3" t="s">
        <v>1471</v>
      </c>
      <c r="F97" s="3" t="s">
        <v>1472</v>
      </c>
    </row>
    <row r="98" spans="1:6" ht="32" x14ac:dyDescent="0.2">
      <c r="A98" s="3" t="s">
        <v>1662</v>
      </c>
      <c r="B98" s="3" t="s">
        <v>1663</v>
      </c>
      <c r="C98" s="3" t="s">
        <v>1664</v>
      </c>
      <c r="D98" s="3" t="s">
        <v>1431</v>
      </c>
      <c r="E98" s="3" t="s">
        <v>1432</v>
      </c>
      <c r="F98" s="3" t="s">
        <v>1433</v>
      </c>
    </row>
    <row r="99" spans="1:6" ht="32" x14ac:dyDescent="0.2">
      <c r="A99" s="3" t="s">
        <v>1665</v>
      </c>
      <c r="B99" s="3" t="s">
        <v>1666</v>
      </c>
      <c r="C99" s="3" t="s">
        <v>1667</v>
      </c>
      <c r="D99" s="3" t="s">
        <v>1407</v>
      </c>
      <c r="E99" s="3" t="s">
        <v>1408</v>
      </c>
      <c r="F99" s="3" t="s">
        <v>1409</v>
      </c>
    </row>
    <row r="100" spans="1:6" ht="16" x14ac:dyDescent="0.2">
      <c r="A100" s="3" t="s">
        <v>1668</v>
      </c>
      <c r="B100" s="3" t="s">
        <v>1669</v>
      </c>
      <c r="C100" s="3" t="s">
        <v>549</v>
      </c>
      <c r="D100" s="3" t="s">
        <v>1531</v>
      </c>
      <c r="E100" s="3" t="s">
        <v>1532</v>
      </c>
      <c r="F100" s="3" t="s">
        <v>1533</v>
      </c>
    </row>
    <row r="101" spans="1:6" ht="32" x14ac:dyDescent="0.2">
      <c r="A101" s="3" t="s">
        <v>1670</v>
      </c>
      <c r="B101" s="3" t="s">
        <v>1671</v>
      </c>
      <c r="C101" s="3" t="s">
        <v>1672</v>
      </c>
      <c r="D101" s="3" t="s">
        <v>1431</v>
      </c>
      <c r="E101" s="3" t="s">
        <v>1432</v>
      </c>
      <c r="F101" s="3" t="s">
        <v>1433</v>
      </c>
    </row>
    <row r="102" spans="1:6" ht="32" x14ac:dyDescent="0.2">
      <c r="A102" s="3" t="s">
        <v>1673</v>
      </c>
      <c r="B102" s="3" t="s">
        <v>1674</v>
      </c>
      <c r="C102" s="3" t="s">
        <v>1675</v>
      </c>
      <c r="D102" s="3" t="s">
        <v>1390</v>
      </c>
      <c r="E102" s="3" t="s">
        <v>1391</v>
      </c>
      <c r="F102" s="3" t="s">
        <v>1392</v>
      </c>
    </row>
    <row r="103" spans="1:6" ht="32" x14ac:dyDescent="0.2">
      <c r="A103" s="3" t="s">
        <v>1676</v>
      </c>
      <c r="B103" s="3" t="s">
        <v>1677</v>
      </c>
      <c r="C103" s="3" t="s">
        <v>555</v>
      </c>
      <c r="D103" s="3" t="s">
        <v>1407</v>
      </c>
      <c r="E103" s="3" t="s">
        <v>1408</v>
      </c>
      <c r="F103" s="3" t="s">
        <v>1409</v>
      </c>
    </row>
    <row r="104" spans="1:6" ht="32" x14ac:dyDescent="0.2">
      <c r="A104" s="3" t="s">
        <v>1678</v>
      </c>
      <c r="B104" s="3" t="s">
        <v>1679</v>
      </c>
      <c r="C104" s="3" t="s">
        <v>558</v>
      </c>
      <c r="D104" s="3" t="s">
        <v>1407</v>
      </c>
      <c r="E104" s="3" t="s">
        <v>1408</v>
      </c>
      <c r="F104" s="3" t="s">
        <v>1409</v>
      </c>
    </row>
    <row r="105" spans="1:6" ht="32" x14ac:dyDescent="0.2">
      <c r="A105" s="3" t="s">
        <v>1680</v>
      </c>
      <c r="B105" s="3" t="s">
        <v>1681</v>
      </c>
      <c r="C105" s="3" t="s">
        <v>1682</v>
      </c>
      <c r="D105" s="3" t="s">
        <v>1407</v>
      </c>
      <c r="E105" s="3" t="s">
        <v>1408</v>
      </c>
      <c r="F105" s="3" t="s">
        <v>1409</v>
      </c>
    </row>
    <row r="106" spans="1:6" ht="16" x14ac:dyDescent="0.2">
      <c r="A106" s="3" t="s">
        <v>1683</v>
      </c>
      <c r="B106" s="3" t="s">
        <v>1684</v>
      </c>
      <c r="C106" s="3" t="s">
        <v>571</v>
      </c>
      <c r="D106" s="3" t="s">
        <v>1621</v>
      </c>
      <c r="E106" s="3" t="s">
        <v>1622</v>
      </c>
      <c r="F106" s="3" t="s">
        <v>571</v>
      </c>
    </row>
    <row r="107" spans="1:6" ht="16" x14ac:dyDescent="0.2">
      <c r="A107" s="3" t="s">
        <v>1685</v>
      </c>
      <c r="B107" s="3" t="s">
        <v>1686</v>
      </c>
      <c r="C107" s="3" t="s">
        <v>1687</v>
      </c>
      <c r="D107" s="3" t="s">
        <v>1470</v>
      </c>
      <c r="E107" s="3" t="s">
        <v>1471</v>
      </c>
      <c r="F107" s="3" t="s">
        <v>1472</v>
      </c>
    </row>
    <row r="108" spans="1:6" ht="16" x14ac:dyDescent="0.2">
      <c r="A108" s="3" t="s">
        <v>1688</v>
      </c>
      <c r="B108" s="3" t="s">
        <v>1689</v>
      </c>
      <c r="C108" s="3" t="s">
        <v>1690</v>
      </c>
      <c r="D108" s="3" t="s">
        <v>1417</v>
      </c>
      <c r="E108" s="3" t="s">
        <v>1418</v>
      </c>
      <c r="F108" s="3" t="s">
        <v>1419</v>
      </c>
    </row>
    <row r="109" spans="1:6" ht="32" x14ac:dyDescent="0.2">
      <c r="A109" s="3" t="s">
        <v>1691</v>
      </c>
      <c r="B109" s="3" t="s">
        <v>1692</v>
      </c>
      <c r="C109" s="3" t="s">
        <v>587</v>
      </c>
      <c r="D109" s="3" t="s">
        <v>1390</v>
      </c>
      <c r="E109" s="3" t="s">
        <v>1391</v>
      </c>
      <c r="F109" s="3" t="s">
        <v>1392</v>
      </c>
    </row>
    <row r="110" spans="1:6" ht="32" x14ac:dyDescent="0.2">
      <c r="A110" s="3" t="s">
        <v>1693</v>
      </c>
      <c r="B110" s="3" t="s">
        <v>1694</v>
      </c>
      <c r="C110" s="3" t="s">
        <v>1695</v>
      </c>
      <c r="D110" s="3" t="s">
        <v>1390</v>
      </c>
      <c r="E110" s="3" t="s">
        <v>1391</v>
      </c>
      <c r="F110" s="3" t="s">
        <v>1392</v>
      </c>
    </row>
    <row r="111" spans="1:6" ht="32" x14ac:dyDescent="0.2">
      <c r="A111" s="3" t="s">
        <v>1696</v>
      </c>
      <c r="B111" s="3" t="s">
        <v>1697</v>
      </c>
      <c r="C111" s="3" t="s">
        <v>1698</v>
      </c>
      <c r="D111" s="3" t="s">
        <v>1431</v>
      </c>
      <c r="E111" s="3" t="s">
        <v>1432</v>
      </c>
      <c r="F111" s="3" t="s">
        <v>1433</v>
      </c>
    </row>
    <row r="112" spans="1:6" ht="16" x14ac:dyDescent="0.2">
      <c r="A112" s="3" t="s">
        <v>1699</v>
      </c>
      <c r="B112" s="3" t="s">
        <v>1700</v>
      </c>
      <c r="C112" s="3" t="s">
        <v>601</v>
      </c>
      <c r="D112" s="3" t="s">
        <v>1417</v>
      </c>
      <c r="E112" s="3" t="s">
        <v>1418</v>
      </c>
      <c r="F112" s="3" t="s">
        <v>1419</v>
      </c>
    </row>
    <row r="113" spans="1:6" ht="16" x14ac:dyDescent="0.2">
      <c r="A113" s="3" t="s">
        <v>1701</v>
      </c>
      <c r="B113" s="3" t="s">
        <v>1702</v>
      </c>
      <c r="C113" s="3" t="s">
        <v>604</v>
      </c>
      <c r="D113" s="3" t="s">
        <v>1395</v>
      </c>
      <c r="E113" s="3" t="s">
        <v>1396</v>
      </c>
      <c r="F113" s="3" t="s">
        <v>1397</v>
      </c>
    </row>
    <row r="114" spans="1:6" ht="32" x14ac:dyDescent="0.2">
      <c r="A114" s="3" t="s">
        <v>1703</v>
      </c>
      <c r="B114" s="3" t="s">
        <v>1704</v>
      </c>
      <c r="C114" s="3" t="s">
        <v>608</v>
      </c>
      <c r="D114" s="3" t="s">
        <v>1407</v>
      </c>
      <c r="E114" s="3" t="s">
        <v>1408</v>
      </c>
      <c r="F114" s="3" t="s">
        <v>1409</v>
      </c>
    </row>
    <row r="115" spans="1:6" ht="16" x14ac:dyDescent="0.2">
      <c r="A115" s="3" t="s">
        <v>1705</v>
      </c>
      <c r="B115" s="3" t="s">
        <v>1706</v>
      </c>
      <c r="C115" s="3" t="s">
        <v>616</v>
      </c>
      <c r="D115" s="3" t="s">
        <v>1401</v>
      </c>
      <c r="E115" s="3" t="s">
        <v>1402</v>
      </c>
      <c r="F115" s="3" t="s">
        <v>1403</v>
      </c>
    </row>
    <row r="116" spans="1:6" ht="16" x14ac:dyDescent="0.2">
      <c r="A116" s="3" t="s">
        <v>1707</v>
      </c>
      <c r="B116" s="3" t="s">
        <v>1708</v>
      </c>
      <c r="C116" s="3" t="s">
        <v>1709</v>
      </c>
      <c r="D116" s="3" t="s">
        <v>1395</v>
      </c>
      <c r="E116" s="3" t="s">
        <v>1396</v>
      </c>
      <c r="F116" s="3" t="s">
        <v>1397</v>
      </c>
    </row>
    <row r="117" spans="1:6" ht="32" x14ac:dyDescent="0.2">
      <c r="A117" s="3" t="s">
        <v>1710</v>
      </c>
      <c r="B117" s="3" t="s">
        <v>1711</v>
      </c>
      <c r="C117" s="3" t="s">
        <v>622</v>
      </c>
      <c r="D117" s="3" t="s">
        <v>1390</v>
      </c>
      <c r="E117" s="3" t="s">
        <v>1391</v>
      </c>
      <c r="F117" s="3" t="s">
        <v>1392</v>
      </c>
    </row>
    <row r="118" spans="1:6" ht="32" x14ac:dyDescent="0.2">
      <c r="A118" s="3" t="s">
        <v>1712</v>
      </c>
      <c r="B118" s="3" t="s">
        <v>1713</v>
      </c>
      <c r="C118" s="3" t="s">
        <v>626</v>
      </c>
      <c r="D118" s="3" t="s">
        <v>1390</v>
      </c>
      <c r="E118" s="3" t="s">
        <v>1391</v>
      </c>
      <c r="F118" s="3" t="s">
        <v>1392</v>
      </c>
    </row>
    <row r="119" spans="1:6" ht="16" x14ac:dyDescent="0.2">
      <c r="A119" s="3" t="s">
        <v>1714</v>
      </c>
      <c r="B119" s="3" t="s">
        <v>1715</v>
      </c>
      <c r="C119" s="3" t="s">
        <v>1716</v>
      </c>
      <c r="D119" s="3" t="s">
        <v>1395</v>
      </c>
      <c r="E119" s="3" t="s">
        <v>1396</v>
      </c>
      <c r="F119" s="3" t="s">
        <v>1397</v>
      </c>
    </row>
    <row r="120" spans="1:6" ht="16" x14ac:dyDescent="0.2">
      <c r="A120" s="3" t="s">
        <v>1717</v>
      </c>
      <c r="B120" s="3" t="s">
        <v>1718</v>
      </c>
      <c r="C120" s="3" t="s">
        <v>629</v>
      </c>
      <c r="D120" s="3" t="s">
        <v>1401</v>
      </c>
      <c r="E120" s="3" t="s">
        <v>1402</v>
      </c>
      <c r="F120" s="3" t="s">
        <v>1403</v>
      </c>
    </row>
    <row r="121" spans="1:6" ht="16" x14ac:dyDescent="0.2">
      <c r="A121" s="3" t="s">
        <v>1719</v>
      </c>
      <c r="B121" s="3" t="s">
        <v>1720</v>
      </c>
      <c r="C121" s="3" t="s">
        <v>636</v>
      </c>
      <c r="D121" s="3" t="s">
        <v>1470</v>
      </c>
      <c r="E121" s="3" t="s">
        <v>1471</v>
      </c>
      <c r="F121" s="3" t="s">
        <v>1472</v>
      </c>
    </row>
    <row r="122" spans="1:6" ht="32" x14ac:dyDescent="0.2">
      <c r="A122" s="3" t="s">
        <v>1721</v>
      </c>
      <c r="B122" s="3" t="s">
        <v>1722</v>
      </c>
      <c r="C122" s="3" t="s">
        <v>1723</v>
      </c>
      <c r="D122" s="3" t="s">
        <v>1431</v>
      </c>
      <c r="E122" s="3" t="s">
        <v>1432</v>
      </c>
      <c r="F122" s="3" t="s">
        <v>1433</v>
      </c>
    </row>
    <row r="123" spans="1:6" ht="32" x14ac:dyDescent="0.2">
      <c r="A123" s="3" t="s">
        <v>1724</v>
      </c>
      <c r="B123" s="3" t="s">
        <v>1725</v>
      </c>
      <c r="C123" s="3" t="s">
        <v>645</v>
      </c>
      <c r="D123" s="3" t="s">
        <v>1390</v>
      </c>
      <c r="E123" s="3" t="s">
        <v>1391</v>
      </c>
      <c r="F123" s="3" t="s">
        <v>1392</v>
      </c>
    </row>
    <row r="124" spans="1:6" ht="32" x14ac:dyDescent="0.2">
      <c r="A124" s="3" t="s">
        <v>1726</v>
      </c>
      <c r="B124" s="3" t="s">
        <v>1727</v>
      </c>
      <c r="C124" s="3" t="s">
        <v>382</v>
      </c>
      <c r="D124" s="3" t="s">
        <v>1390</v>
      </c>
      <c r="E124" s="3" t="s">
        <v>1391</v>
      </c>
      <c r="F124" s="3" t="s">
        <v>1392</v>
      </c>
    </row>
    <row r="125" spans="1:6" ht="16" x14ac:dyDescent="0.2">
      <c r="A125" s="3" t="s">
        <v>1728</v>
      </c>
      <c r="B125" s="3" t="s">
        <v>1729</v>
      </c>
      <c r="C125" s="3" t="s">
        <v>1730</v>
      </c>
      <c r="D125" s="3" t="s">
        <v>1417</v>
      </c>
      <c r="E125" s="3" t="s">
        <v>1418</v>
      </c>
      <c r="F125" s="3" t="s">
        <v>1419</v>
      </c>
    </row>
    <row r="126" spans="1:6" ht="32" x14ac:dyDescent="0.2">
      <c r="A126" s="3" t="s">
        <v>1731</v>
      </c>
      <c r="B126" s="3" t="s">
        <v>1732</v>
      </c>
      <c r="C126" s="3" t="s">
        <v>652</v>
      </c>
      <c r="D126" s="3" t="s">
        <v>1431</v>
      </c>
      <c r="E126" s="3" t="s">
        <v>1432</v>
      </c>
      <c r="F126" s="3" t="s">
        <v>1433</v>
      </c>
    </row>
    <row r="127" spans="1:6" ht="32" x14ac:dyDescent="0.2">
      <c r="A127" s="3" t="s">
        <v>1733</v>
      </c>
      <c r="B127" s="3" t="s">
        <v>1734</v>
      </c>
      <c r="C127" s="3" t="s">
        <v>1735</v>
      </c>
      <c r="D127" s="3" t="s">
        <v>1407</v>
      </c>
      <c r="E127" s="3" t="s">
        <v>1408</v>
      </c>
      <c r="F127" s="3" t="s">
        <v>1409</v>
      </c>
    </row>
    <row r="128" spans="1:6" ht="16" x14ac:dyDescent="0.2">
      <c r="A128" s="3" t="s">
        <v>1736</v>
      </c>
      <c r="B128" s="3" t="s">
        <v>1737</v>
      </c>
      <c r="C128" s="3" t="s">
        <v>668</v>
      </c>
      <c r="D128" s="3" t="s">
        <v>1417</v>
      </c>
      <c r="E128" s="3" t="s">
        <v>1418</v>
      </c>
      <c r="F128" s="3" t="s">
        <v>1419</v>
      </c>
    </row>
    <row r="129" spans="1:6" ht="32" x14ac:dyDescent="0.2">
      <c r="A129" s="3" t="s">
        <v>1738</v>
      </c>
      <c r="B129" s="3" t="s">
        <v>1739</v>
      </c>
      <c r="C129" s="3" t="s">
        <v>677</v>
      </c>
      <c r="D129" s="3" t="s">
        <v>1431</v>
      </c>
      <c r="E129" s="3" t="s">
        <v>1432</v>
      </c>
      <c r="F129" s="3" t="s">
        <v>1433</v>
      </c>
    </row>
    <row r="130" spans="1:6" ht="16" x14ac:dyDescent="0.2">
      <c r="A130" s="3" t="s">
        <v>1740</v>
      </c>
      <c r="B130" s="3" t="s">
        <v>1741</v>
      </c>
      <c r="C130" s="3" t="s">
        <v>1742</v>
      </c>
      <c r="D130" s="3" t="s">
        <v>1395</v>
      </c>
      <c r="E130" s="3" t="s">
        <v>1396</v>
      </c>
      <c r="F130" s="3" t="s">
        <v>1397</v>
      </c>
    </row>
    <row r="131" spans="1:6" ht="32" x14ac:dyDescent="0.2">
      <c r="A131" s="3" t="s">
        <v>1743</v>
      </c>
      <c r="B131" s="3" t="s">
        <v>1744</v>
      </c>
      <c r="C131" s="3" t="s">
        <v>1745</v>
      </c>
      <c r="D131" s="3" t="s">
        <v>1431</v>
      </c>
      <c r="E131" s="3" t="s">
        <v>1432</v>
      </c>
      <c r="F131" s="3" t="s">
        <v>1433</v>
      </c>
    </row>
    <row r="132" spans="1:6" ht="32" x14ac:dyDescent="0.2">
      <c r="A132" s="3" t="s">
        <v>1746</v>
      </c>
      <c r="B132" s="3" t="s">
        <v>1747</v>
      </c>
      <c r="C132" s="3" t="s">
        <v>685</v>
      </c>
      <c r="D132" s="3" t="s">
        <v>1407</v>
      </c>
      <c r="E132" s="3" t="s">
        <v>1408</v>
      </c>
      <c r="F132" s="3" t="s">
        <v>1409</v>
      </c>
    </row>
    <row r="133" spans="1:6" ht="32" x14ac:dyDescent="0.2">
      <c r="A133" s="3" t="s">
        <v>1748</v>
      </c>
      <c r="B133" s="3" t="s">
        <v>1749</v>
      </c>
      <c r="C133" s="3" t="s">
        <v>1750</v>
      </c>
      <c r="D133" s="3" t="s">
        <v>1431</v>
      </c>
      <c r="E133" s="3" t="s">
        <v>1432</v>
      </c>
      <c r="F133" s="3" t="s">
        <v>1433</v>
      </c>
    </row>
    <row r="134" spans="1:6" ht="32" x14ac:dyDescent="0.2">
      <c r="A134" s="3" t="s">
        <v>1751</v>
      </c>
      <c r="B134" s="3" t="s">
        <v>1752</v>
      </c>
      <c r="C134" s="3" t="s">
        <v>688</v>
      </c>
      <c r="D134" s="3" t="s">
        <v>1390</v>
      </c>
      <c r="E134" s="3" t="s">
        <v>1391</v>
      </c>
      <c r="F134" s="3" t="s">
        <v>1392</v>
      </c>
    </row>
    <row r="135" spans="1:6" ht="32" x14ac:dyDescent="0.2">
      <c r="A135" s="3" t="s">
        <v>1753</v>
      </c>
      <c r="B135" s="3" t="s">
        <v>1754</v>
      </c>
      <c r="C135" s="3" t="s">
        <v>1755</v>
      </c>
      <c r="D135" s="3" t="s">
        <v>1407</v>
      </c>
      <c r="E135" s="3" t="s">
        <v>1408</v>
      </c>
      <c r="F135" s="3" t="s">
        <v>1409</v>
      </c>
    </row>
    <row r="136" spans="1:6" ht="16" x14ac:dyDescent="0.2">
      <c r="A136" s="3" t="s">
        <v>1756</v>
      </c>
      <c r="B136" s="3" t="s">
        <v>1757</v>
      </c>
      <c r="C136" s="3" t="s">
        <v>1758</v>
      </c>
      <c r="D136" s="3" t="s">
        <v>1417</v>
      </c>
      <c r="E136" s="3" t="s">
        <v>1418</v>
      </c>
      <c r="F136" s="3" t="s">
        <v>1419</v>
      </c>
    </row>
    <row r="137" spans="1:6" ht="16" x14ac:dyDescent="0.2">
      <c r="A137" s="3" t="s">
        <v>1759</v>
      </c>
      <c r="B137" s="3" t="s">
        <v>1760</v>
      </c>
      <c r="C137" s="3" t="s">
        <v>1761</v>
      </c>
      <c r="D137" s="3" t="s">
        <v>1621</v>
      </c>
      <c r="E137" s="3" t="s">
        <v>1622</v>
      </c>
      <c r="F137" s="3" t="s">
        <v>571</v>
      </c>
    </row>
    <row r="138" spans="1:6" ht="32" x14ac:dyDescent="0.2">
      <c r="A138" s="3" t="s">
        <v>1762</v>
      </c>
      <c r="B138" s="3" t="s">
        <v>1763</v>
      </c>
      <c r="C138" s="3" t="s">
        <v>1764</v>
      </c>
      <c r="D138" s="3" t="s">
        <v>1390</v>
      </c>
      <c r="E138" s="3" t="s">
        <v>1391</v>
      </c>
      <c r="F138" s="3" t="s">
        <v>1392</v>
      </c>
    </row>
    <row r="139" spans="1:6" ht="16" x14ac:dyDescent="0.2">
      <c r="A139" s="3" t="s">
        <v>1765</v>
      </c>
      <c r="B139" s="3" t="s">
        <v>1766</v>
      </c>
      <c r="C139" s="3" t="s">
        <v>721</v>
      </c>
      <c r="D139" s="3" t="s">
        <v>1384</v>
      </c>
      <c r="E139" s="3" t="s">
        <v>1385</v>
      </c>
      <c r="F139" s="3" t="s">
        <v>1386</v>
      </c>
    </row>
    <row r="140" spans="1:6" ht="32" x14ac:dyDescent="0.2">
      <c r="A140" s="3" t="s">
        <v>1767</v>
      </c>
      <c r="B140" s="3" t="s">
        <v>1768</v>
      </c>
      <c r="C140" s="3" t="s">
        <v>731</v>
      </c>
      <c r="D140" s="3" t="s">
        <v>1390</v>
      </c>
      <c r="E140" s="3" t="s">
        <v>1391</v>
      </c>
      <c r="F140" s="3" t="s">
        <v>1392</v>
      </c>
    </row>
    <row r="141" spans="1:6" ht="16" x14ac:dyDescent="0.2">
      <c r="A141" s="3" t="s">
        <v>1769</v>
      </c>
      <c r="B141" s="3" t="s">
        <v>1770</v>
      </c>
      <c r="C141" s="3" t="s">
        <v>1771</v>
      </c>
      <c r="D141" s="3" t="s">
        <v>1470</v>
      </c>
      <c r="E141" s="3" t="s">
        <v>1471</v>
      </c>
      <c r="F141" s="3" t="s">
        <v>1472</v>
      </c>
    </row>
    <row r="142" spans="1:6" ht="16" x14ac:dyDescent="0.2">
      <c r="A142" s="3" t="s">
        <v>1772</v>
      </c>
      <c r="B142" s="3" t="s">
        <v>1773</v>
      </c>
      <c r="C142" s="3" t="s">
        <v>743</v>
      </c>
      <c r="D142" s="3" t="s">
        <v>1442</v>
      </c>
      <c r="E142" s="3" t="s">
        <v>1443</v>
      </c>
      <c r="F142" s="3" t="s">
        <v>1161</v>
      </c>
    </row>
    <row r="143" spans="1:6" ht="32" x14ac:dyDescent="0.2">
      <c r="A143" s="3" t="s">
        <v>1774</v>
      </c>
      <c r="B143" s="3" t="s">
        <v>1775</v>
      </c>
      <c r="C143" s="3" t="s">
        <v>1776</v>
      </c>
      <c r="D143" s="3" t="s">
        <v>1390</v>
      </c>
      <c r="E143" s="3" t="s">
        <v>1391</v>
      </c>
      <c r="F143" s="3" t="s">
        <v>1392</v>
      </c>
    </row>
    <row r="144" spans="1:6" ht="16" x14ac:dyDescent="0.2">
      <c r="A144" s="3" t="s">
        <v>1777</v>
      </c>
      <c r="B144" s="3" t="s">
        <v>1778</v>
      </c>
      <c r="C144" s="3" t="s">
        <v>1779</v>
      </c>
      <c r="D144" s="3" t="s">
        <v>1531</v>
      </c>
      <c r="E144" s="3" t="s">
        <v>1532</v>
      </c>
      <c r="F144" s="3" t="s">
        <v>1533</v>
      </c>
    </row>
    <row r="145" spans="1:6" ht="16" x14ac:dyDescent="0.2">
      <c r="A145" s="3" t="s">
        <v>1780</v>
      </c>
      <c r="B145" s="3" t="s">
        <v>1781</v>
      </c>
      <c r="C145" s="3" t="s">
        <v>1782</v>
      </c>
      <c r="D145" s="3" t="s">
        <v>1442</v>
      </c>
      <c r="E145" s="3" t="s">
        <v>1443</v>
      </c>
      <c r="F145" s="3" t="s">
        <v>1161</v>
      </c>
    </row>
    <row r="146" spans="1:6" ht="32" x14ac:dyDescent="0.2">
      <c r="A146" s="3" t="s">
        <v>1783</v>
      </c>
      <c r="B146" s="3" t="s">
        <v>1784</v>
      </c>
      <c r="C146" s="3" t="s">
        <v>1785</v>
      </c>
      <c r="D146" s="3" t="s">
        <v>1407</v>
      </c>
      <c r="E146" s="3" t="s">
        <v>1408</v>
      </c>
      <c r="F146" s="3" t="s">
        <v>1409</v>
      </c>
    </row>
    <row r="147" spans="1:6" ht="16" x14ac:dyDescent="0.2">
      <c r="A147" s="3" t="s">
        <v>1786</v>
      </c>
      <c r="B147" s="3" t="s">
        <v>1787</v>
      </c>
      <c r="C147" s="3" t="s">
        <v>757</v>
      </c>
      <c r="D147" s="3" t="s">
        <v>1417</v>
      </c>
      <c r="E147" s="3" t="s">
        <v>1418</v>
      </c>
      <c r="F147" s="3" t="s">
        <v>1419</v>
      </c>
    </row>
    <row r="148" spans="1:6" ht="16" x14ac:dyDescent="0.2">
      <c r="A148" s="3" t="s">
        <v>1788</v>
      </c>
      <c r="B148" s="3" t="s">
        <v>1789</v>
      </c>
      <c r="C148" s="3" t="s">
        <v>1790</v>
      </c>
      <c r="D148" s="3" t="s">
        <v>1531</v>
      </c>
      <c r="E148" s="3" t="s">
        <v>1532</v>
      </c>
      <c r="F148" s="3" t="s">
        <v>1533</v>
      </c>
    </row>
    <row r="149" spans="1:6" ht="32" x14ac:dyDescent="0.2">
      <c r="A149" s="3" t="s">
        <v>1791</v>
      </c>
      <c r="B149" s="3" t="s">
        <v>1792</v>
      </c>
      <c r="C149" s="3" t="s">
        <v>1793</v>
      </c>
      <c r="D149" s="3" t="s">
        <v>1407</v>
      </c>
      <c r="E149" s="3" t="s">
        <v>1408</v>
      </c>
      <c r="F149" s="3" t="s">
        <v>1409</v>
      </c>
    </row>
    <row r="150" spans="1:6" ht="16" x14ac:dyDescent="0.2">
      <c r="A150" s="3" t="s">
        <v>1794</v>
      </c>
      <c r="B150" s="3" t="s">
        <v>1795</v>
      </c>
      <c r="C150" s="3" t="s">
        <v>307</v>
      </c>
      <c r="D150" s="3" t="s">
        <v>1470</v>
      </c>
      <c r="E150" s="3" t="s">
        <v>1471</v>
      </c>
      <c r="F150" s="3" t="s">
        <v>1472</v>
      </c>
    </row>
    <row r="151" spans="1:6" ht="32" x14ac:dyDescent="0.2">
      <c r="A151" s="3" t="s">
        <v>1796</v>
      </c>
      <c r="B151" s="3" t="s">
        <v>1797</v>
      </c>
      <c r="C151" s="3" t="s">
        <v>1798</v>
      </c>
      <c r="D151" s="3" t="s">
        <v>1390</v>
      </c>
      <c r="E151" s="3" t="s">
        <v>1391</v>
      </c>
      <c r="F151" s="3" t="s">
        <v>1392</v>
      </c>
    </row>
    <row r="152" spans="1:6" ht="32" x14ac:dyDescent="0.2">
      <c r="A152" s="3" t="s">
        <v>1799</v>
      </c>
      <c r="B152" s="3" t="s">
        <v>1800</v>
      </c>
      <c r="C152" s="3" t="s">
        <v>1801</v>
      </c>
      <c r="D152" s="3" t="s">
        <v>1407</v>
      </c>
      <c r="E152" s="3" t="s">
        <v>1408</v>
      </c>
      <c r="F152" s="3" t="s">
        <v>1409</v>
      </c>
    </row>
    <row r="153" spans="1:6" ht="32" x14ac:dyDescent="0.2">
      <c r="A153" s="3" t="s">
        <v>1802</v>
      </c>
      <c r="B153" s="3" t="s">
        <v>1803</v>
      </c>
      <c r="C153" s="3" t="s">
        <v>1804</v>
      </c>
      <c r="D153" s="3" t="s">
        <v>1407</v>
      </c>
      <c r="E153" s="3" t="s">
        <v>1408</v>
      </c>
      <c r="F153" s="3" t="s">
        <v>1409</v>
      </c>
    </row>
    <row r="154" spans="1:6" ht="32" x14ac:dyDescent="0.2">
      <c r="A154" s="3" t="s">
        <v>1805</v>
      </c>
      <c r="B154" s="3" t="s">
        <v>1806</v>
      </c>
      <c r="C154" s="3" t="s">
        <v>1807</v>
      </c>
      <c r="D154" s="3" t="s">
        <v>1431</v>
      </c>
      <c r="E154" s="3" t="s">
        <v>1432</v>
      </c>
      <c r="F154" s="3" t="s">
        <v>1433</v>
      </c>
    </row>
    <row r="155" spans="1:6" ht="32" x14ac:dyDescent="0.2">
      <c r="A155" s="3" t="s">
        <v>1808</v>
      </c>
      <c r="B155" s="3" t="s">
        <v>1809</v>
      </c>
      <c r="C155" s="3" t="s">
        <v>1810</v>
      </c>
      <c r="D155" s="3" t="s">
        <v>1431</v>
      </c>
      <c r="E155" s="3" t="s">
        <v>1432</v>
      </c>
      <c r="F155" s="3" t="s">
        <v>1433</v>
      </c>
    </row>
    <row r="156" spans="1:6" ht="16" x14ac:dyDescent="0.2">
      <c r="A156" s="3" t="s">
        <v>1811</v>
      </c>
      <c r="B156" s="3" t="s">
        <v>1812</v>
      </c>
      <c r="C156" s="3" t="s">
        <v>804</v>
      </c>
      <c r="D156" s="3" t="s">
        <v>1470</v>
      </c>
      <c r="E156" s="3" t="s">
        <v>1471</v>
      </c>
      <c r="F156" s="3" t="s">
        <v>1472</v>
      </c>
    </row>
    <row r="157" spans="1:6" ht="32" x14ac:dyDescent="0.2">
      <c r="A157" s="3" t="s">
        <v>1813</v>
      </c>
      <c r="B157" s="3" t="s">
        <v>1814</v>
      </c>
      <c r="C157" s="3" t="s">
        <v>1815</v>
      </c>
      <c r="D157" s="3" t="s">
        <v>1390</v>
      </c>
      <c r="E157" s="3" t="s">
        <v>1391</v>
      </c>
      <c r="F157" s="3" t="s">
        <v>1392</v>
      </c>
    </row>
    <row r="158" spans="1:6" ht="32" x14ac:dyDescent="0.2">
      <c r="A158" s="3" t="s">
        <v>1816</v>
      </c>
      <c r="B158" s="3" t="s">
        <v>1817</v>
      </c>
      <c r="C158" s="3" t="s">
        <v>1818</v>
      </c>
      <c r="D158" s="3" t="s">
        <v>1407</v>
      </c>
      <c r="E158" s="3" t="s">
        <v>1408</v>
      </c>
      <c r="F158" s="3" t="s">
        <v>1409</v>
      </c>
    </row>
    <row r="159" spans="1:6" ht="32" x14ac:dyDescent="0.2">
      <c r="A159" s="3" t="s">
        <v>1819</v>
      </c>
      <c r="B159" s="3" t="s">
        <v>1820</v>
      </c>
      <c r="C159" s="3" t="s">
        <v>1821</v>
      </c>
      <c r="D159" s="3" t="s">
        <v>1390</v>
      </c>
      <c r="E159" s="3" t="s">
        <v>1391</v>
      </c>
      <c r="F159" s="3" t="s">
        <v>1392</v>
      </c>
    </row>
    <row r="160" spans="1:6" ht="16" x14ac:dyDescent="0.2">
      <c r="A160" s="3" t="s">
        <v>1822</v>
      </c>
      <c r="B160" s="3" t="s">
        <v>1823</v>
      </c>
      <c r="C160" s="3" t="s">
        <v>813</v>
      </c>
      <c r="D160" s="3" t="s">
        <v>1401</v>
      </c>
      <c r="E160" s="3" t="s">
        <v>1402</v>
      </c>
      <c r="F160" s="3" t="s">
        <v>1403</v>
      </c>
    </row>
    <row r="161" spans="1:6" ht="32" x14ac:dyDescent="0.2">
      <c r="A161" s="3" t="s">
        <v>1824</v>
      </c>
      <c r="B161" s="3" t="s">
        <v>1825</v>
      </c>
      <c r="C161" s="3" t="s">
        <v>821</v>
      </c>
      <c r="D161" s="3" t="s">
        <v>1407</v>
      </c>
      <c r="E161" s="3" t="s">
        <v>1408</v>
      </c>
      <c r="F161" s="3" t="s">
        <v>1409</v>
      </c>
    </row>
    <row r="162" spans="1:6" ht="32" x14ac:dyDescent="0.2">
      <c r="A162" s="3" t="s">
        <v>1826</v>
      </c>
      <c r="B162" s="3" t="s">
        <v>1827</v>
      </c>
      <c r="C162" s="3" t="s">
        <v>1828</v>
      </c>
      <c r="D162" s="3" t="s">
        <v>1407</v>
      </c>
      <c r="E162" s="3" t="s">
        <v>1408</v>
      </c>
      <c r="F162" s="3" t="s">
        <v>1409</v>
      </c>
    </row>
    <row r="163" spans="1:6" ht="32" x14ac:dyDescent="0.2">
      <c r="A163" s="3" t="s">
        <v>1829</v>
      </c>
      <c r="B163" s="3" t="s">
        <v>1830</v>
      </c>
      <c r="C163" s="3" t="s">
        <v>1831</v>
      </c>
      <c r="D163" s="3" t="s">
        <v>1407</v>
      </c>
      <c r="E163" s="3" t="s">
        <v>1408</v>
      </c>
      <c r="F163" s="3" t="s">
        <v>1409</v>
      </c>
    </row>
    <row r="164" spans="1:6" ht="16" x14ac:dyDescent="0.2">
      <c r="A164" s="3" t="s">
        <v>1832</v>
      </c>
      <c r="B164" s="3" t="s">
        <v>1833</v>
      </c>
      <c r="C164" s="3" t="s">
        <v>829</v>
      </c>
      <c r="D164" s="3" t="s">
        <v>1423</v>
      </c>
      <c r="E164" s="3" t="s">
        <v>1424</v>
      </c>
      <c r="F164" s="3" t="s">
        <v>1425</v>
      </c>
    </row>
    <row r="165" spans="1:6" ht="16" x14ac:dyDescent="0.2">
      <c r="A165" s="3" t="s">
        <v>1834</v>
      </c>
      <c r="B165" s="3" t="s">
        <v>1835</v>
      </c>
      <c r="C165" s="3" t="s">
        <v>1836</v>
      </c>
      <c r="D165" s="3" t="s">
        <v>1470</v>
      </c>
      <c r="E165" s="3" t="s">
        <v>1471</v>
      </c>
      <c r="F165" s="3" t="s">
        <v>1472</v>
      </c>
    </row>
    <row r="166" spans="1:6" ht="16" x14ac:dyDescent="0.2">
      <c r="A166" s="3" t="s">
        <v>1837</v>
      </c>
      <c r="B166" s="3" t="s">
        <v>1838</v>
      </c>
      <c r="C166" s="3" t="s">
        <v>1839</v>
      </c>
      <c r="D166" s="3" t="s">
        <v>1442</v>
      </c>
      <c r="E166" s="3" t="s">
        <v>1443</v>
      </c>
      <c r="F166" s="3" t="s">
        <v>1161</v>
      </c>
    </row>
    <row r="167" spans="1:6" ht="16" x14ac:dyDescent="0.2">
      <c r="A167" s="3" t="s">
        <v>1840</v>
      </c>
      <c r="B167" s="3" t="s">
        <v>1841</v>
      </c>
      <c r="C167" s="3" t="s">
        <v>1842</v>
      </c>
      <c r="D167" s="3" t="s">
        <v>1395</v>
      </c>
      <c r="E167" s="3" t="s">
        <v>1396</v>
      </c>
      <c r="F167" s="3" t="s">
        <v>1397</v>
      </c>
    </row>
    <row r="168" spans="1:6" ht="32" x14ac:dyDescent="0.2">
      <c r="A168" s="3" t="s">
        <v>1843</v>
      </c>
      <c r="B168" s="3" t="s">
        <v>1844</v>
      </c>
      <c r="C168" s="3" t="s">
        <v>1845</v>
      </c>
      <c r="D168" s="3" t="s">
        <v>1407</v>
      </c>
      <c r="E168" s="3" t="s">
        <v>1408</v>
      </c>
      <c r="F168" s="3" t="s">
        <v>1409</v>
      </c>
    </row>
    <row r="169" spans="1:6" ht="16" x14ac:dyDescent="0.2">
      <c r="A169" s="3" t="s">
        <v>1846</v>
      </c>
      <c r="B169" s="3" t="s">
        <v>1847</v>
      </c>
      <c r="C169" s="3" t="s">
        <v>837</v>
      </c>
      <c r="D169" s="3" t="s">
        <v>1395</v>
      </c>
      <c r="E169" s="3" t="s">
        <v>1396</v>
      </c>
      <c r="F169" s="3" t="s">
        <v>1397</v>
      </c>
    </row>
    <row r="170" spans="1:6" ht="32" x14ac:dyDescent="0.2">
      <c r="A170" s="3" t="s">
        <v>1848</v>
      </c>
      <c r="B170" s="3" t="s">
        <v>1849</v>
      </c>
      <c r="C170" s="3" t="s">
        <v>1850</v>
      </c>
      <c r="D170" s="3" t="s">
        <v>1431</v>
      </c>
      <c r="E170" s="3" t="s">
        <v>1432</v>
      </c>
      <c r="F170" s="3" t="s">
        <v>1433</v>
      </c>
    </row>
    <row r="171" spans="1:6" ht="16" x14ac:dyDescent="0.2">
      <c r="A171" s="3" t="s">
        <v>1851</v>
      </c>
      <c r="B171" s="3" t="s">
        <v>1852</v>
      </c>
      <c r="C171" s="3" t="s">
        <v>1853</v>
      </c>
      <c r="D171" s="3" t="s">
        <v>1442</v>
      </c>
      <c r="E171" s="3" t="s">
        <v>1443</v>
      </c>
      <c r="F171" s="3" t="s">
        <v>1161</v>
      </c>
    </row>
    <row r="172" spans="1:6" ht="16" x14ac:dyDescent="0.2">
      <c r="A172" s="3" t="s">
        <v>1854</v>
      </c>
      <c r="B172" s="3" t="s">
        <v>1855</v>
      </c>
      <c r="C172" s="3" t="s">
        <v>1856</v>
      </c>
      <c r="D172" s="3" t="s">
        <v>1417</v>
      </c>
      <c r="E172" s="3" t="s">
        <v>1418</v>
      </c>
      <c r="F172" s="3" t="s">
        <v>1419</v>
      </c>
    </row>
    <row r="173" spans="1:6" ht="16" x14ac:dyDescent="0.2">
      <c r="A173" s="3" t="s">
        <v>1857</v>
      </c>
      <c r="B173" s="3" t="s">
        <v>1858</v>
      </c>
      <c r="C173" s="3" t="s">
        <v>1859</v>
      </c>
      <c r="D173" s="3" t="s">
        <v>1395</v>
      </c>
      <c r="E173" s="3" t="s">
        <v>1396</v>
      </c>
      <c r="F173" s="3" t="s">
        <v>1397</v>
      </c>
    </row>
    <row r="174" spans="1:6" ht="16" x14ac:dyDescent="0.2">
      <c r="A174" s="3" t="s">
        <v>1860</v>
      </c>
      <c r="B174" s="3" t="s">
        <v>1861</v>
      </c>
      <c r="C174" s="3" t="s">
        <v>1862</v>
      </c>
      <c r="D174" s="3" t="s">
        <v>1470</v>
      </c>
      <c r="E174" s="3" t="s">
        <v>1471</v>
      </c>
      <c r="F174" s="3" t="s">
        <v>1472</v>
      </c>
    </row>
    <row r="175" spans="1:6" ht="32" x14ac:dyDescent="0.2">
      <c r="A175" s="3" t="s">
        <v>1863</v>
      </c>
      <c r="B175" s="3" t="s">
        <v>1864</v>
      </c>
      <c r="C175" s="3" t="s">
        <v>1865</v>
      </c>
      <c r="D175" s="3" t="s">
        <v>1431</v>
      </c>
      <c r="E175" s="3" t="s">
        <v>1432</v>
      </c>
      <c r="F175" s="3" t="s">
        <v>1433</v>
      </c>
    </row>
    <row r="176" spans="1:6" ht="32" x14ac:dyDescent="0.2">
      <c r="A176" s="3" t="s">
        <v>1866</v>
      </c>
      <c r="B176" s="3" t="s">
        <v>1867</v>
      </c>
      <c r="C176" s="3" t="s">
        <v>1868</v>
      </c>
      <c r="D176" s="3" t="s">
        <v>1407</v>
      </c>
      <c r="E176" s="3" t="s">
        <v>1408</v>
      </c>
      <c r="F176" s="3" t="s">
        <v>1409</v>
      </c>
    </row>
    <row r="177" spans="1:6" ht="16" x14ac:dyDescent="0.2">
      <c r="A177" s="3" t="s">
        <v>1869</v>
      </c>
      <c r="B177" s="3" t="s">
        <v>1870</v>
      </c>
      <c r="C177" s="3" t="s">
        <v>853</v>
      </c>
      <c r="D177" s="3" t="s">
        <v>1470</v>
      </c>
      <c r="E177" s="3" t="s">
        <v>1471</v>
      </c>
      <c r="F177" s="3" t="s">
        <v>1472</v>
      </c>
    </row>
    <row r="178" spans="1:6" ht="32" x14ac:dyDescent="0.2">
      <c r="A178" s="3" t="s">
        <v>1871</v>
      </c>
      <c r="B178" s="3" t="s">
        <v>1872</v>
      </c>
      <c r="C178" s="3" t="s">
        <v>1873</v>
      </c>
      <c r="D178" s="3" t="s">
        <v>1390</v>
      </c>
      <c r="E178" s="3" t="s">
        <v>1391</v>
      </c>
      <c r="F178" s="3" t="s">
        <v>1392</v>
      </c>
    </row>
    <row r="179" spans="1:6" ht="16" x14ac:dyDescent="0.2">
      <c r="A179" s="3" t="s">
        <v>1874</v>
      </c>
      <c r="B179" s="3" t="s">
        <v>1875</v>
      </c>
      <c r="C179" s="3" t="s">
        <v>874</v>
      </c>
      <c r="D179" s="3" t="s">
        <v>1470</v>
      </c>
      <c r="E179" s="3" t="s">
        <v>1471</v>
      </c>
      <c r="F179" s="3" t="s">
        <v>1472</v>
      </c>
    </row>
    <row r="180" spans="1:6" ht="32" x14ac:dyDescent="0.2">
      <c r="A180" s="3" t="s">
        <v>1876</v>
      </c>
      <c r="B180" s="3" t="s">
        <v>1877</v>
      </c>
      <c r="C180" s="3" t="s">
        <v>1878</v>
      </c>
      <c r="D180" s="3" t="s">
        <v>1431</v>
      </c>
      <c r="E180" s="3" t="s">
        <v>1432</v>
      </c>
      <c r="F180" s="3" t="s">
        <v>1433</v>
      </c>
    </row>
    <row r="181" spans="1:6" ht="16" x14ac:dyDescent="0.2">
      <c r="A181" s="3" t="s">
        <v>1879</v>
      </c>
      <c r="B181" s="3" t="s">
        <v>1880</v>
      </c>
      <c r="C181" s="3" t="s">
        <v>876</v>
      </c>
      <c r="D181" s="3" t="s">
        <v>1384</v>
      </c>
      <c r="E181" s="3" t="s">
        <v>1385</v>
      </c>
      <c r="F181" s="3" t="s">
        <v>1386</v>
      </c>
    </row>
    <row r="182" spans="1:6" ht="16" x14ac:dyDescent="0.2">
      <c r="A182" s="3" t="s">
        <v>1881</v>
      </c>
      <c r="B182" s="3" t="s">
        <v>1882</v>
      </c>
      <c r="C182" s="3" t="s">
        <v>880</v>
      </c>
      <c r="D182" s="3" t="s">
        <v>1531</v>
      </c>
      <c r="E182" s="3" t="s">
        <v>1532</v>
      </c>
      <c r="F182" s="3" t="s">
        <v>1533</v>
      </c>
    </row>
    <row r="183" spans="1:6" ht="32" x14ac:dyDescent="0.2">
      <c r="A183" s="3" t="s">
        <v>1883</v>
      </c>
      <c r="B183" s="3" t="s">
        <v>1884</v>
      </c>
      <c r="C183" s="3" t="s">
        <v>1885</v>
      </c>
      <c r="D183" s="3" t="s">
        <v>1407</v>
      </c>
      <c r="E183" s="3" t="s">
        <v>1408</v>
      </c>
      <c r="F183" s="3" t="s">
        <v>1409</v>
      </c>
    </row>
    <row r="184" spans="1:6" ht="16" x14ac:dyDescent="0.2">
      <c r="A184" s="3" t="s">
        <v>1886</v>
      </c>
      <c r="B184" s="3" t="s">
        <v>1887</v>
      </c>
      <c r="C184" s="3" t="s">
        <v>1888</v>
      </c>
      <c r="D184" s="3" t="s">
        <v>1384</v>
      </c>
      <c r="E184" s="3" t="s">
        <v>1385</v>
      </c>
      <c r="F184" s="3" t="s">
        <v>1386</v>
      </c>
    </row>
    <row r="185" spans="1:6" ht="16" x14ac:dyDescent="0.2">
      <c r="A185" s="3" t="s">
        <v>1889</v>
      </c>
      <c r="B185" s="3" t="s">
        <v>1890</v>
      </c>
      <c r="C185" s="3" t="s">
        <v>1891</v>
      </c>
      <c r="D185" s="3" t="s">
        <v>1621</v>
      </c>
      <c r="E185" s="3" t="s">
        <v>1622</v>
      </c>
      <c r="F185" s="3" t="s">
        <v>571</v>
      </c>
    </row>
    <row r="186" spans="1:6" ht="32" x14ac:dyDescent="0.2">
      <c r="A186" s="3" t="s">
        <v>1892</v>
      </c>
      <c r="B186" s="3" t="s">
        <v>1893</v>
      </c>
      <c r="C186" s="3" t="s">
        <v>1894</v>
      </c>
      <c r="D186" s="3" t="s">
        <v>1431</v>
      </c>
      <c r="E186" s="3" t="s">
        <v>1432</v>
      </c>
      <c r="F186" s="3" t="s">
        <v>1433</v>
      </c>
    </row>
    <row r="187" spans="1:6" ht="32" x14ac:dyDescent="0.2">
      <c r="A187" s="3" t="s">
        <v>1895</v>
      </c>
      <c r="B187" s="3" t="s">
        <v>1896</v>
      </c>
      <c r="C187" s="3" t="s">
        <v>1897</v>
      </c>
      <c r="D187" s="3" t="s">
        <v>1407</v>
      </c>
      <c r="E187" s="3" t="s">
        <v>1408</v>
      </c>
      <c r="F187" s="3" t="s">
        <v>1409</v>
      </c>
    </row>
    <row r="188" spans="1:6" ht="16" x14ac:dyDescent="0.2">
      <c r="A188" s="3" t="s">
        <v>1898</v>
      </c>
      <c r="B188" s="3" t="s">
        <v>1899</v>
      </c>
      <c r="C188" s="3" t="s">
        <v>1900</v>
      </c>
      <c r="D188" s="3" t="s">
        <v>1395</v>
      </c>
      <c r="E188" s="3" t="s">
        <v>1396</v>
      </c>
      <c r="F188" s="3" t="s">
        <v>1397</v>
      </c>
    </row>
    <row r="189" spans="1:6" ht="16" x14ac:dyDescent="0.2">
      <c r="A189" s="3" t="s">
        <v>1901</v>
      </c>
      <c r="B189" s="3" t="s">
        <v>1902</v>
      </c>
      <c r="C189" s="3" t="s">
        <v>1903</v>
      </c>
      <c r="D189" s="3" t="s">
        <v>1442</v>
      </c>
      <c r="E189" s="3" t="s">
        <v>1443</v>
      </c>
      <c r="F189" s="3" t="s">
        <v>1161</v>
      </c>
    </row>
    <row r="190" spans="1:6" ht="16" x14ac:dyDescent="0.2">
      <c r="A190" s="3" t="s">
        <v>1904</v>
      </c>
      <c r="B190" s="3" t="s">
        <v>1905</v>
      </c>
      <c r="C190" s="3" t="s">
        <v>1906</v>
      </c>
      <c r="D190" s="3" t="s">
        <v>1470</v>
      </c>
      <c r="E190" s="3" t="s">
        <v>1471</v>
      </c>
      <c r="F190" s="3" t="s">
        <v>1472</v>
      </c>
    </row>
    <row r="191" spans="1:6" ht="16" x14ac:dyDescent="0.2">
      <c r="A191" s="3" t="s">
        <v>1907</v>
      </c>
      <c r="B191" s="3" t="s">
        <v>1908</v>
      </c>
      <c r="C191" s="3" t="s">
        <v>1909</v>
      </c>
      <c r="D191" s="3" t="s">
        <v>1395</v>
      </c>
      <c r="E191" s="3" t="s">
        <v>1396</v>
      </c>
      <c r="F191" s="3" t="s">
        <v>1397</v>
      </c>
    </row>
    <row r="192" spans="1:6" ht="16" x14ac:dyDescent="0.2">
      <c r="A192" s="3" t="s">
        <v>1910</v>
      </c>
      <c r="B192" s="3" t="s">
        <v>1911</v>
      </c>
      <c r="C192" s="3" t="s">
        <v>1912</v>
      </c>
      <c r="D192" s="3" t="s">
        <v>1470</v>
      </c>
      <c r="E192" s="3" t="s">
        <v>1471</v>
      </c>
      <c r="F192" s="3" t="s">
        <v>1472</v>
      </c>
    </row>
    <row r="193" spans="1:6" ht="16" x14ac:dyDescent="0.2">
      <c r="A193" s="3" t="s">
        <v>1913</v>
      </c>
      <c r="B193" s="3" t="s">
        <v>1914</v>
      </c>
      <c r="C193" s="3" t="s">
        <v>1915</v>
      </c>
      <c r="D193" s="3" t="s">
        <v>1442</v>
      </c>
      <c r="E193" s="3" t="s">
        <v>1443</v>
      </c>
      <c r="F193" s="3" t="s">
        <v>1161</v>
      </c>
    </row>
    <row r="194" spans="1:6" ht="32" x14ac:dyDescent="0.2">
      <c r="A194" s="3" t="s">
        <v>1916</v>
      </c>
      <c r="B194" s="3" t="s">
        <v>1917</v>
      </c>
      <c r="C194" s="3" t="s">
        <v>1918</v>
      </c>
      <c r="D194" s="3" t="s">
        <v>1407</v>
      </c>
      <c r="E194" s="3" t="s">
        <v>1408</v>
      </c>
      <c r="F194" s="3" t="s">
        <v>1409</v>
      </c>
    </row>
    <row r="195" spans="1:6" ht="16" x14ac:dyDescent="0.2">
      <c r="A195" s="3" t="s">
        <v>1919</v>
      </c>
      <c r="B195" s="3" t="s">
        <v>1920</v>
      </c>
      <c r="C195" s="3" t="s">
        <v>903</v>
      </c>
      <c r="D195" s="3" t="s">
        <v>1395</v>
      </c>
      <c r="E195" s="3" t="s">
        <v>1396</v>
      </c>
      <c r="F195" s="3" t="s">
        <v>1397</v>
      </c>
    </row>
    <row r="196" spans="1:6" ht="16" x14ac:dyDescent="0.2">
      <c r="A196" s="3" t="s">
        <v>1921</v>
      </c>
      <c r="B196" s="3" t="s">
        <v>1922</v>
      </c>
      <c r="C196" s="3" t="s">
        <v>906</v>
      </c>
      <c r="D196" s="3" t="s">
        <v>1395</v>
      </c>
      <c r="E196" s="3" t="s">
        <v>1396</v>
      </c>
      <c r="F196" s="3" t="s">
        <v>1397</v>
      </c>
    </row>
    <row r="197" spans="1:6" ht="32" x14ac:dyDescent="0.2">
      <c r="A197" s="3" t="s">
        <v>1923</v>
      </c>
      <c r="B197" s="3" t="s">
        <v>1924</v>
      </c>
      <c r="C197" s="3" t="s">
        <v>1925</v>
      </c>
      <c r="D197" s="3" t="s">
        <v>1407</v>
      </c>
      <c r="E197" s="3" t="s">
        <v>1408</v>
      </c>
      <c r="F197" s="3" t="s">
        <v>1409</v>
      </c>
    </row>
    <row r="198" spans="1:6" ht="16" x14ac:dyDescent="0.2">
      <c r="A198" s="3" t="s">
        <v>1926</v>
      </c>
      <c r="B198" s="3" t="s">
        <v>1927</v>
      </c>
      <c r="C198" s="3" t="s">
        <v>1928</v>
      </c>
      <c r="D198" s="3" t="s">
        <v>1401</v>
      </c>
      <c r="E198" s="3" t="s">
        <v>1402</v>
      </c>
      <c r="F198" s="3" t="s">
        <v>1403</v>
      </c>
    </row>
    <row r="199" spans="1:6" ht="16" x14ac:dyDescent="0.2">
      <c r="A199" s="3" t="s">
        <v>1929</v>
      </c>
      <c r="B199" s="3" t="s">
        <v>1930</v>
      </c>
      <c r="C199" s="3" t="s">
        <v>1931</v>
      </c>
      <c r="D199" s="3" t="s">
        <v>1531</v>
      </c>
      <c r="E199" s="3" t="s">
        <v>1532</v>
      </c>
      <c r="F199" s="3" t="s">
        <v>1533</v>
      </c>
    </row>
    <row r="200" spans="1:6" ht="16" x14ac:dyDescent="0.2">
      <c r="A200" s="3" t="s">
        <v>1932</v>
      </c>
      <c r="B200" s="3" t="s">
        <v>1933</v>
      </c>
      <c r="C200" s="3" t="s">
        <v>1934</v>
      </c>
      <c r="D200" s="3" t="s">
        <v>1384</v>
      </c>
      <c r="E200" s="3" t="s">
        <v>1385</v>
      </c>
      <c r="F200" s="3" t="s">
        <v>1386</v>
      </c>
    </row>
    <row r="201" spans="1:6" ht="16" x14ac:dyDescent="0.2">
      <c r="A201" s="3" t="s">
        <v>1935</v>
      </c>
      <c r="B201" s="3" t="s">
        <v>1936</v>
      </c>
      <c r="C201" s="3" t="s">
        <v>1937</v>
      </c>
      <c r="D201" s="3" t="s">
        <v>1423</v>
      </c>
      <c r="E201" s="3" t="s">
        <v>1424</v>
      </c>
      <c r="F201" s="3" t="s">
        <v>1425</v>
      </c>
    </row>
    <row r="202" spans="1:6" ht="32" x14ac:dyDescent="0.2">
      <c r="A202" s="3" t="s">
        <v>1938</v>
      </c>
      <c r="B202" s="3" t="s">
        <v>1939</v>
      </c>
      <c r="C202" s="3" t="s">
        <v>1940</v>
      </c>
      <c r="D202" s="3" t="s">
        <v>1407</v>
      </c>
      <c r="E202" s="3" t="s">
        <v>1408</v>
      </c>
      <c r="F202" s="3" t="s">
        <v>1409</v>
      </c>
    </row>
    <row r="203" spans="1:6" ht="32" x14ac:dyDescent="0.2">
      <c r="A203" s="3" t="s">
        <v>1941</v>
      </c>
      <c r="B203" s="3" t="s">
        <v>1942</v>
      </c>
      <c r="C203" s="3" t="s">
        <v>1943</v>
      </c>
      <c r="D203" s="3" t="s">
        <v>1431</v>
      </c>
      <c r="E203" s="3" t="s">
        <v>1432</v>
      </c>
      <c r="F203" s="3" t="s">
        <v>1433</v>
      </c>
    </row>
    <row r="204" spans="1:6" ht="16" x14ac:dyDescent="0.2">
      <c r="A204" s="3" t="s">
        <v>1944</v>
      </c>
      <c r="B204" s="3" t="s">
        <v>1945</v>
      </c>
      <c r="C204" s="3" t="s">
        <v>925</v>
      </c>
      <c r="D204" s="3" t="s">
        <v>1395</v>
      </c>
      <c r="E204" s="3" t="s">
        <v>1396</v>
      </c>
      <c r="F204" s="3" t="s">
        <v>1397</v>
      </c>
    </row>
    <row r="205" spans="1:6" ht="32" x14ac:dyDescent="0.2">
      <c r="A205" s="3" t="s">
        <v>1946</v>
      </c>
      <c r="B205" s="3" t="s">
        <v>1947</v>
      </c>
      <c r="C205" s="3" t="s">
        <v>1948</v>
      </c>
      <c r="D205" s="3" t="s">
        <v>1407</v>
      </c>
      <c r="E205" s="3" t="s">
        <v>1408</v>
      </c>
      <c r="F205" s="3" t="s">
        <v>1409</v>
      </c>
    </row>
    <row r="206" spans="1:6" ht="32" x14ac:dyDescent="0.2">
      <c r="A206" s="3" t="s">
        <v>1949</v>
      </c>
      <c r="B206" s="3" t="s">
        <v>1950</v>
      </c>
      <c r="C206" s="3" t="s">
        <v>1951</v>
      </c>
      <c r="D206" s="3" t="s">
        <v>1431</v>
      </c>
      <c r="E206" s="3" t="s">
        <v>1432</v>
      </c>
      <c r="F206" s="3" t="s">
        <v>1433</v>
      </c>
    </row>
    <row r="207" spans="1:6" ht="32" x14ac:dyDescent="0.2">
      <c r="A207" s="3" t="s">
        <v>1952</v>
      </c>
      <c r="B207" s="3" t="s">
        <v>1953</v>
      </c>
      <c r="C207" s="3" t="s">
        <v>934</v>
      </c>
      <c r="D207" s="3" t="s">
        <v>1431</v>
      </c>
      <c r="E207" s="3" t="s">
        <v>1432</v>
      </c>
      <c r="F207" s="3" t="s">
        <v>1433</v>
      </c>
    </row>
    <row r="208" spans="1:6" ht="16" x14ac:dyDescent="0.2">
      <c r="A208" s="3" t="s">
        <v>1954</v>
      </c>
      <c r="B208" s="3" t="s">
        <v>1955</v>
      </c>
      <c r="C208" s="3" t="s">
        <v>1956</v>
      </c>
      <c r="D208" s="3" t="s">
        <v>1621</v>
      </c>
      <c r="E208" s="3" t="s">
        <v>1622</v>
      </c>
      <c r="F208" s="3" t="s">
        <v>571</v>
      </c>
    </row>
    <row r="209" spans="1:6" ht="16" x14ac:dyDescent="0.2">
      <c r="A209" s="3" t="s">
        <v>1957</v>
      </c>
      <c r="B209" s="3" t="s">
        <v>1958</v>
      </c>
      <c r="C209" s="3" t="s">
        <v>1959</v>
      </c>
      <c r="D209" s="3" t="s">
        <v>1395</v>
      </c>
      <c r="E209" s="3" t="s">
        <v>1396</v>
      </c>
      <c r="F209" s="3" t="s">
        <v>1397</v>
      </c>
    </row>
    <row r="210" spans="1:6" ht="16" x14ac:dyDescent="0.2">
      <c r="A210" s="3" t="s">
        <v>1960</v>
      </c>
      <c r="B210" s="3" t="s">
        <v>1961</v>
      </c>
      <c r="C210" s="3" t="s">
        <v>937</v>
      </c>
      <c r="D210" s="3" t="s">
        <v>1417</v>
      </c>
      <c r="E210" s="3" t="s">
        <v>1418</v>
      </c>
      <c r="F210" s="3" t="s">
        <v>1419</v>
      </c>
    </row>
    <row r="211" spans="1:6" ht="16" x14ac:dyDescent="0.2">
      <c r="A211" s="3" t="s">
        <v>1962</v>
      </c>
      <c r="B211" s="3" t="s">
        <v>1963</v>
      </c>
      <c r="C211" s="3" t="s">
        <v>1964</v>
      </c>
      <c r="D211" s="3" t="s">
        <v>1417</v>
      </c>
      <c r="E211" s="3" t="s">
        <v>1418</v>
      </c>
      <c r="F211" s="3" t="s">
        <v>1419</v>
      </c>
    </row>
    <row r="212" spans="1:6" ht="16" x14ac:dyDescent="0.2">
      <c r="A212" s="3" t="s">
        <v>1965</v>
      </c>
      <c r="B212" s="3" t="s">
        <v>1966</v>
      </c>
      <c r="C212" s="3" t="s">
        <v>943</v>
      </c>
      <c r="D212" s="3" t="s">
        <v>1417</v>
      </c>
      <c r="E212" s="3" t="s">
        <v>1418</v>
      </c>
      <c r="F212" s="3" t="s">
        <v>1419</v>
      </c>
    </row>
    <row r="213" spans="1:6" ht="16" x14ac:dyDescent="0.2">
      <c r="A213" s="3" t="s">
        <v>1967</v>
      </c>
      <c r="B213" s="3" t="s">
        <v>1968</v>
      </c>
      <c r="C213" s="3" t="s">
        <v>1969</v>
      </c>
      <c r="D213" s="3" t="s">
        <v>1395</v>
      </c>
      <c r="E213" s="3" t="s">
        <v>1396</v>
      </c>
      <c r="F213" s="3" t="s">
        <v>1397</v>
      </c>
    </row>
    <row r="214" spans="1:6" ht="32" x14ac:dyDescent="0.2">
      <c r="A214" s="3" t="s">
        <v>1970</v>
      </c>
      <c r="B214" s="3" t="s">
        <v>1971</v>
      </c>
      <c r="C214" s="3" t="s">
        <v>1972</v>
      </c>
      <c r="D214" s="3" t="s">
        <v>1431</v>
      </c>
      <c r="E214" s="3" t="s">
        <v>1432</v>
      </c>
      <c r="F214" s="3" t="s">
        <v>1433</v>
      </c>
    </row>
    <row r="215" spans="1:6" ht="16" x14ac:dyDescent="0.2">
      <c r="A215" s="3" t="s">
        <v>1973</v>
      </c>
      <c r="B215" s="3" t="s">
        <v>1974</v>
      </c>
      <c r="C215" s="3" t="s">
        <v>1975</v>
      </c>
      <c r="D215" s="3" t="s">
        <v>1401</v>
      </c>
      <c r="E215" s="3" t="s">
        <v>1402</v>
      </c>
      <c r="F215" s="3" t="s">
        <v>1403</v>
      </c>
    </row>
    <row r="216" spans="1:6" ht="32" x14ac:dyDescent="0.2">
      <c r="A216" s="3" t="s">
        <v>1976</v>
      </c>
      <c r="B216" s="3" t="s">
        <v>1977</v>
      </c>
      <c r="C216" s="3" t="s">
        <v>1978</v>
      </c>
      <c r="D216" s="3" t="s">
        <v>1390</v>
      </c>
      <c r="E216" s="3" t="s">
        <v>1391</v>
      </c>
      <c r="F216" s="3" t="s">
        <v>1392</v>
      </c>
    </row>
    <row r="217" spans="1:6" ht="32" x14ac:dyDescent="0.2">
      <c r="A217" s="3" t="s">
        <v>1979</v>
      </c>
      <c r="B217" s="3" t="s">
        <v>1980</v>
      </c>
      <c r="C217" s="3" t="s">
        <v>1981</v>
      </c>
      <c r="D217" s="3" t="s">
        <v>1390</v>
      </c>
      <c r="E217" s="3" t="s">
        <v>1391</v>
      </c>
      <c r="F217" s="3" t="s">
        <v>1392</v>
      </c>
    </row>
    <row r="218" spans="1:6" ht="16" x14ac:dyDescent="0.2">
      <c r="A218" s="3" t="s">
        <v>1982</v>
      </c>
      <c r="B218" s="3" t="s">
        <v>1983</v>
      </c>
      <c r="C218" s="3" t="s">
        <v>1984</v>
      </c>
      <c r="D218" s="3" t="s">
        <v>1401</v>
      </c>
      <c r="E218" s="3" t="s">
        <v>1402</v>
      </c>
      <c r="F218" s="3" t="s">
        <v>1403</v>
      </c>
    </row>
    <row r="219" spans="1:6" ht="32" x14ac:dyDescent="0.2">
      <c r="A219" s="3" t="s">
        <v>1985</v>
      </c>
      <c r="B219" s="3" t="s">
        <v>1986</v>
      </c>
      <c r="C219" s="3" t="s">
        <v>951</v>
      </c>
      <c r="D219" s="3" t="s">
        <v>1431</v>
      </c>
      <c r="E219" s="3" t="s">
        <v>1432</v>
      </c>
      <c r="F219" s="3" t="s">
        <v>1433</v>
      </c>
    </row>
    <row r="220" spans="1:6" ht="16" x14ac:dyDescent="0.2">
      <c r="A220" s="3" t="s">
        <v>1987</v>
      </c>
      <c r="B220" s="3" t="s">
        <v>1988</v>
      </c>
      <c r="C220" s="3" t="s">
        <v>1989</v>
      </c>
      <c r="D220" s="3" t="s">
        <v>1395</v>
      </c>
      <c r="E220" s="3" t="s">
        <v>1396</v>
      </c>
      <c r="F220" s="3" t="s">
        <v>1397</v>
      </c>
    </row>
    <row r="221" spans="1:6" ht="32" x14ac:dyDescent="0.2">
      <c r="A221" s="3" t="s">
        <v>1990</v>
      </c>
      <c r="B221" s="3" t="s">
        <v>1991</v>
      </c>
      <c r="C221" s="3" t="s">
        <v>1992</v>
      </c>
      <c r="D221" s="3" t="s">
        <v>1390</v>
      </c>
      <c r="E221" s="3" t="s">
        <v>1391</v>
      </c>
      <c r="F221" s="3" t="s">
        <v>1392</v>
      </c>
    </row>
    <row r="222" spans="1:6" ht="16" x14ac:dyDescent="0.2">
      <c r="A222" s="3" t="s">
        <v>1993</v>
      </c>
      <c r="B222" s="3" t="s">
        <v>1994</v>
      </c>
      <c r="C222" s="3" t="s">
        <v>1995</v>
      </c>
      <c r="D222" s="3" t="s">
        <v>1442</v>
      </c>
      <c r="E222" s="3" t="s">
        <v>1443</v>
      </c>
      <c r="F222" s="3" t="s">
        <v>1161</v>
      </c>
    </row>
    <row r="223" spans="1:6" ht="16" x14ac:dyDescent="0.2">
      <c r="A223" s="3" t="s">
        <v>1996</v>
      </c>
      <c r="B223" s="3" t="s">
        <v>1997</v>
      </c>
      <c r="C223" s="3" t="s">
        <v>1998</v>
      </c>
      <c r="D223" s="3" t="s">
        <v>1395</v>
      </c>
      <c r="E223" s="3" t="s">
        <v>1396</v>
      </c>
      <c r="F223" s="3" t="s">
        <v>1397</v>
      </c>
    </row>
    <row r="224" spans="1:6" ht="32" x14ac:dyDescent="0.2">
      <c r="A224" s="3" t="s">
        <v>1999</v>
      </c>
      <c r="B224" s="3" t="s">
        <v>2000</v>
      </c>
      <c r="C224" s="3" t="s">
        <v>2001</v>
      </c>
      <c r="D224" s="3" t="s">
        <v>1407</v>
      </c>
      <c r="E224" s="3" t="s">
        <v>1408</v>
      </c>
      <c r="F224" s="3" t="s">
        <v>1409</v>
      </c>
    </row>
    <row r="225" spans="1:6" ht="16" x14ac:dyDescent="0.2">
      <c r="A225" s="3" t="s">
        <v>2002</v>
      </c>
      <c r="B225" s="3" t="s">
        <v>2003</v>
      </c>
      <c r="C225" s="3" t="s">
        <v>2004</v>
      </c>
      <c r="D225" s="3" t="s">
        <v>1470</v>
      </c>
      <c r="E225" s="3" t="s">
        <v>1471</v>
      </c>
      <c r="F225" s="3" t="s">
        <v>1472</v>
      </c>
    </row>
    <row r="226" spans="1:6" ht="16" x14ac:dyDescent="0.2">
      <c r="A226" s="3" t="s">
        <v>2005</v>
      </c>
      <c r="B226" s="3" t="s">
        <v>2006</v>
      </c>
      <c r="C226" s="3" t="s">
        <v>2007</v>
      </c>
      <c r="D226" s="3" t="s">
        <v>1621</v>
      </c>
      <c r="E226" s="3" t="s">
        <v>1622</v>
      </c>
      <c r="F226" s="3" t="s">
        <v>571</v>
      </c>
    </row>
    <row r="227" spans="1:6" ht="32" x14ac:dyDescent="0.2">
      <c r="A227" s="3" t="s">
        <v>2008</v>
      </c>
      <c r="B227" s="3" t="s">
        <v>2009</v>
      </c>
      <c r="C227" s="3" t="s">
        <v>2010</v>
      </c>
      <c r="D227" s="3" t="s">
        <v>1407</v>
      </c>
      <c r="E227" s="3" t="s">
        <v>1408</v>
      </c>
      <c r="F227" s="3" t="s">
        <v>1409</v>
      </c>
    </row>
    <row r="228" spans="1:6" ht="32" x14ac:dyDescent="0.2">
      <c r="A228" s="3" t="s">
        <v>2011</v>
      </c>
      <c r="B228" s="3" t="s">
        <v>2012</v>
      </c>
      <c r="C228" s="3" t="s">
        <v>964</v>
      </c>
      <c r="D228" s="3" t="s">
        <v>1390</v>
      </c>
      <c r="E228" s="3" t="s">
        <v>1391</v>
      </c>
      <c r="F228" s="3" t="s">
        <v>1392</v>
      </c>
    </row>
    <row r="229" spans="1:6" ht="16" x14ac:dyDescent="0.2">
      <c r="A229" s="3" t="s">
        <v>2013</v>
      </c>
      <c r="B229" s="3" t="s">
        <v>2014</v>
      </c>
      <c r="C229" s="3" t="s">
        <v>973</v>
      </c>
      <c r="D229" s="3" t="s">
        <v>1395</v>
      </c>
      <c r="E229" s="3" t="s">
        <v>1396</v>
      </c>
      <c r="F229" s="3" t="s">
        <v>1397</v>
      </c>
    </row>
    <row r="230" spans="1:6" ht="16" x14ac:dyDescent="0.2">
      <c r="A230" s="3" t="s">
        <v>2015</v>
      </c>
      <c r="B230" s="3" t="s">
        <v>2016</v>
      </c>
      <c r="C230" s="3" t="s">
        <v>976</v>
      </c>
      <c r="D230" s="3" t="s">
        <v>1417</v>
      </c>
      <c r="E230" s="3" t="s">
        <v>1418</v>
      </c>
      <c r="F230" s="3" t="s">
        <v>1419</v>
      </c>
    </row>
    <row r="231" spans="1:6" ht="16" x14ac:dyDescent="0.2">
      <c r="A231" s="3" t="s">
        <v>2017</v>
      </c>
      <c r="B231" s="3" t="s">
        <v>2018</v>
      </c>
      <c r="C231" s="3" t="s">
        <v>2019</v>
      </c>
      <c r="D231" s="3" t="s">
        <v>1531</v>
      </c>
      <c r="E231" s="3" t="s">
        <v>1532</v>
      </c>
      <c r="F231" s="3" t="s">
        <v>1533</v>
      </c>
    </row>
    <row r="232" spans="1:6" ht="16" x14ac:dyDescent="0.2">
      <c r="A232" s="3" t="s">
        <v>2020</v>
      </c>
      <c r="B232" s="3" t="s">
        <v>2021</v>
      </c>
      <c r="C232" s="3" t="s">
        <v>2022</v>
      </c>
      <c r="D232" s="3" t="s">
        <v>1395</v>
      </c>
      <c r="E232" s="3" t="s">
        <v>1396</v>
      </c>
      <c r="F232" s="3" t="s">
        <v>1397</v>
      </c>
    </row>
    <row r="233" spans="1:6" ht="16" x14ac:dyDescent="0.2">
      <c r="A233" s="3" t="s">
        <v>2023</v>
      </c>
      <c r="B233" s="3" t="s">
        <v>2024</v>
      </c>
      <c r="C233" s="3" t="s">
        <v>2025</v>
      </c>
      <c r="D233" s="3" t="s">
        <v>1442</v>
      </c>
      <c r="E233" s="3" t="s">
        <v>1443</v>
      </c>
      <c r="F233" s="3" t="s">
        <v>1161</v>
      </c>
    </row>
    <row r="234" spans="1:6" ht="32" x14ac:dyDescent="0.2">
      <c r="A234" s="3" t="s">
        <v>2026</v>
      </c>
      <c r="B234" s="3" t="s">
        <v>2027</v>
      </c>
      <c r="C234" s="3" t="s">
        <v>2028</v>
      </c>
      <c r="D234" s="3" t="s">
        <v>1431</v>
      </c>
      <c r="E234" s="3" t="s">
        <v>1432</v>
      </c>
      <c r="F234" s="3" t="s">
        <v>1433</v>
      </c>
    </row>
    <row r="235" spans="1:6" ht="16" x14ac:dyDescent="0.2">
      <c r="A235" s="3" t="s">
        <v>2029</v>
      </c>
      <c r="B235" s="3" t="s">
        <v>2030</v>
      </c>
      <c r="C235" s="3" t="s">
        <v>985</v>
      </c>
      <c r="D235" s="3" t="s">
        <v>1395</v>
      </c>
      <c r="E235" s="3" t="s">
        <v>1396</v>
      </c>
      <c r="F235" s="3" t="s">
        <v>1397</v>
      </c>
    </row>
    <row r="236" spans="1:6" ht="16" x14ac:dyDescent="0.2">
      <c r="A236" s="3" t="s">
        <v>2031</v>
      </c>
      <c r="B236" s="3" t="s">
        <v>2032</v>
      </c>
      <c r="C236" s="3" t="s">
        <v>988</v>
      </c>
      <c r="D236" s="3" t="s">
        <v>1442</v>
      </c>
      <c r="E236" s="3" t="s">
        <v>1443</v>
      </c>
      <c r="F236" s="3" t="s">
        <v>1161</v>
      </c>
    </row>
    <row r="237" spans="1:6" ht="32" x14ac:dyDescent="0.2">
      <c r="A237" s="3" t="s">
        <v>2033</v>
      </c>
      <c r="B237" s="3" t="s">
        <v>2034</v>
      </c>
      <c r="C237" s="3" t="s">
        <v>2035</v>
      </c>
      <c r="D237" s="3" t="s">
        <v>1407</v>
      </c>
      <c r="E237" s="3" t="s">
        <v>1408</v>
      </c>
      <c r="F237" s="3" t="s">
        <v>1409</v>
      </c>
    </row>
    <row r="238" spans="1:6" ht="16" x14ac:dyDescent="0.2">
      <c r="A238" s="3" t="s">
        <v>2036</v>
      </c>
      <c r="B238" s="3" t="s">
        <v>2037</v>
      </c>
      <c r="C238" s="3" t="s">
        <v>2038</v>
      </c>
      <c r="D238" s="3" t="s">
        <v>1417</v>
      </c>
      <c r="E238" s="3" t="s">
        <v>1418</v>
      </c>
      <c r="F238" s="3" t="s">
        <v>1419</v>
      </c>
    </row>
    <row r="239" spans="1:6" ht="32" x14ac:dyDescent="0.2">
      <c r="A239" s="3" t="s">
        <v>2039</v>
      </c>
      <c r="B239" s="3" t="s">
        <v>2040</v>
      </c>
      <c r="C239" s="3" t="s">
        <v>995</v>
      </c>
      <c r="D239" s="3" t="s">
        <v>1407</v>
      </c>
      <c r="E239" s="3" t="s">
        <v>1408</v>
      </c>
      <c r="F239" s="3" t="s">
        <v>1409</v>
      </c>
    </row>
    <row r="240" spans="1:6" ht="16" x14ac:dyDescent="0.2">
      <c r="A240" s="3" t="s">
        <v>2041</v>
      </c>
      <c r="B240" s="3" t="s">
        <v>2042</v>
      </c>
      <c r="C240" s="3" t="s">
        <v>2043</v>
      </c>
      <c r="D240" s="3" t="s">
        <v>1470</v>
      </c>
      <c r="E240" s="3" t="s">
        <v>1471</v>
      </c>
      <c r="F240" s="3" t="s">
        <v>1472</v>
      </c>
    </row>
    <row r="241" spans="1:6" ht="16" x14ac:dyDescent="0.2">
      <c r="A241" s="3" t="s">
        <v>2044</v>
      </c>
      <c r="B241" s="3" t="s">
        <v>2045</v>
      </c>
      <c r="C241" s="3" t="s">
        <v>1002</v>
      </c>
      <c r="D241" s="3" t="s">
        <v>1470</v>
      </c>
      <c r="E241" s="3" t="s">
        <v>1471</v>
      </c>
      <c r="F241" s="3" t="s">
        <v>1472</v>
      </c>
    </row>
    <row r="242" spans="1:6" ht="16" x14ac:dyDescent="0.2">
      <c r="A242" s="3" t="s">
        <v>2046</v>
      </c>
      <c r="B242" s="3" t="s">
        <v>2047</v>
      </c>
      <c r="C242" s="3" t="s">
        <v>2048</v>
      </c>
      <c r="D242" s="3" t="s">
        <v>1442</v>
      </c>
      <c r="E242" s="3" t="s">
        <v>1443</v>
      </c>
      <c r="F242" s="3" t="s">
        <v>1161</v>
      </c>
    </row>
    <row r="243" spans="1:6" ht="32" x14ac:dyDescent="0.2">
      <c r="A243" s="3" t="s">
        <v>2049</v>
      </c>
      <c r="B243" s="3" t="s">
        <v>2050</v>
      </c>
      <c r="C243" s="3" t="s">
        <v>1007</v>
      </c>
      <c r="D243" s="3" t="s">
        <v>1431</v>
      </c>
      <c r="E243" s="3" t="s">
        <v>1432</v>
      </c>
      <c r="F243" s="3" t="s">
        <v>1433</v>
      </c>
    </row>
    <row r="244" spans="1:6" ht="32" x14ac:dyDescent="0.2">
      <c r="A244" s="3" t="s">
        <v>2051</v>
      </c>
      <c r="B244" s="3" t="s">
        <v>2052</v>
      </c>
      <c r="C244" s="3" t="s">
        <v>1016</v>
      </c>
      <c r="D244" s="3" t="s">
        <v>1407</v>
      </c>
      <c r="E244" s="3" t="s">
        <v>1408</v>
      </c>
      <c r="F244" s="3" t="s">
        <v>1409</v>
      </c>
    </row>
    <row r="245" spans="1:6" ht="16" x14ac:dyDescent="0.2">
      <c r="A245" s="3" t="s">
        <v>2053</v>
      </c>
      <c r="B245" s="3" t="s">
        <v>2054</v>
      </c>
      <c r="C245" s="3" t="s">
        <v>2055</v>
      </c>
      <c r="D245" s="3" t="s">
        <v>1395</v>
      </c>
      <c r="E245" s="3" t="s">
        <v>1396</v>
      </c>
      <c r="F245" s="3" t="s">
        <v>1397</v>
      </c>
    </row>
    <row r="246" spans="1:6" ht="32" x14ac:dyDescent="0.2">
      <c r="A246" s="3" t="s">
        <v>2056</v>
      </c>
      <c r="B246" s="3" t="s">
        <v>2057</v>
      </c>
      <c r="C246" s="3" t="s">
        <v>2058</v>
      </c>
      <c r="D246" s="3" t="s">
        <v>1431</v>
      </c>
      <c r="E246" s="3" t="s">
        <v>1432</v>
      </c>
      <c r="F246" s="3" t="s">
        <v>1433</v>
      </c>
    </row>
    <row r="247" spans="1:6" ht="32" x14ac:dyDescent="0.2">
      <c r="A247" s="3" t="s">
        <v>2059</v>
      </c>
      <c r="B247" s="3" t="s">
        <v>2060</v>
      </c>
      <c r="C247" s="3" t="s">
        <v>1058</v>
      </c>
      <c r="D247" s="3" t="s">
        <v>1390</v>
      </c>
      <c r="E247" s="3" t="s">
        <v>1391</v>
      </c>
      <c r="F247" s="3" t="s">
        <v>1392</v>
      </c>
    </row>
    <row r="248" spans="1:6" ht="16" x14ac:dyDescent="0.2">
      <c r="A248" s="3" t="s">
        <v>2061</v>
      </c>
      <c r="B248" s="3" t="s">
        <v>2062</v>
      </c>
      <c r="C248" s="3" t="s">
        <v>2063</v>
      </c>
      <c r="D248" s="3" t="s">
        <v>1395</v>
      </c>
      <c r="E248" s="3" t="s">
        <v>1396</v>
      </c>
      <c r="F248" s="3" t="s">
        <v>1397</v>
      </c>
    </row>
    <row r="249" spans="1:6" ht="32" x14ac:dyDescent="0.2">
      <c r="A249" s="3" t="s">
        <v>2064</v>
      </c>
      <c r="B249" s="3" t="s">
        <v>2065</v>
      </c>
      <c r="C249" s="3" t="s">
        <v>1065</v>
      </c>
      <c r="D249" s="3" t="s">
        <v>1407</v>
      </c>
      <c r="E249" s="3" t="s">
        <v>1408</v>
      </c>
      <c r="F249" s="3" t="s">
        <v>1409</v>
      </c>
    </row>
    <row r="250" spans="1:6" ht="16" x14ac:dyDescent="0.2">
      <c r="A250" s="3" t="s">
        <v>2066</v>
      </c>
      <c r="B250" s="3" t="s">
        <v>2067</v>
      </c>
      <c r="C250" s="3" t="s">
        <v>2068</v>
      </c>
      <c r="D250" s="3" t="s">
        <v>1401</v>
      </c>
      <c r="E250" s="3" t="s">
        <v>1402</v>
      </c>
      <c r="F250" s="3" t="s">
        <v>1403</v>
      </c>
    </row>
    <row r="251" spans="1:6" ht="16" x14ac:dyDescent="0.2">
      <c r="A251" s="3" t="s">
        <v>2069</v>
      </c>
      <c r="B251" s="3" t="s">
        <v>2070</v>
      </c>
      <c r="C251" s="3" t="s">
        <v>2071</v>
      </c>
      <c r="D251" s="3" t="s">
        <v>1531</v>
      </c>
      <c r="E251" s="3" t="s">
        <v>1532</v>
      </c>
      <c r="F251" s="3" t="s">
        <v>1533</v>
      </c>
    </row>
    <row r="252" spans="1:6" ht="16" x14ac:dyDescent="0.2">
      <c r="A252" s="3" t="s">
        <v>2072</v>
      </c>
      <c r="B252" s="3" t="s">
        <v>2073</v>
      </c>
      <c r="C252" s="3" t="s">
        <v>2074</v>
      </c>
      <c r="D252" s="3" t="s">
        <v>1470</v>
      </c>
      <c r="E252" s="3" t="s">
        <v>1471</v>
      </c>
      <c r="F252" s="3" t="s">
        <v>1472</v>
      </c>
    </row>
    <row r="253" spans="1:6" ht="32" x14ac:dyDescent="0.2">
      <c r="A253" s="3" t="s">
        <v>2075</v>
      </c>
      <c r="B253" s="3" t="s">
        <v>2076</v>
      </c>
      <c r="C253" s="3" t="s">
        <v>2077</v>
      </c>
      <c r="D253" s="3" t="s">
        <v>1431</v>
      </c>
      <c r="E253" s="3" t="s">
        <v>1432</v>
      </c>
      <c r="F253" s="3" t="s">
        <v>1433</v>
      </c>
    </row>
    <row r="254" spans="1:6" ht="16" x14ac:dyDescent="0.2">
      <c r="A254" s="3" t="s">
        <v>2078</v>
      </c>
      <c r="B254" s="3" t="s">
        <v>2079</v>
      </c>
      <c r="C254" s="3" t="s">
        <v>2080</v>
      </c>
      <c r="D254" s="3" t="s">
        <v>1470</v>
      </c>
      <c r="E254" s="3" t="s">
        <v>1471</v>
      </c>
      <c r="F254" s="3" t="s">
        <v>1472</v>
      </c>
    </row>
    <row r="255" spans="1:6" ht="32" x14ac:dyDescent="0.2">
      <c r="A255" s="3" t="s">
        <v>2081</v>
      </c>
      <c r="B255" s="3" t="s">
        <v>2082</v>
      </c>
      <c r="C255" s="3" t="s">
        <v>1084</v>
      </c>
      <c r="D255" s="3" t="s">
        <v>1407</v>
      </c>
      <c r="E255" s="3" t="s">
        <v>1408</v>
      </c>
      <c r="F255" s="3" t="s">
        <v>1409</v>
      </c>
    </row>
    <row r="256" spans="1:6" ht="16" x14ac:dyDescent="0.2">
      <c r="A256" s="3" t="s">
        <v>2083</v>
      </c>
      <c r="B256" s="3" t="s">
        <v>2084</v>
      </c>
      <c r="C256" s="3" t="s">
        <v>2085</v>
      </c>
      <c r="D256" s="3" t="s">
        <v>1531</v>
      </c>
      <c r="E256" s="3" t="s">
        <v>1532</v>
      </c>
      <c r="F256" s="3" t="s">
        <v>1533</v>
      </c>
    </row>
    <row r="257" spans="1:6" ht="16" x14ac:dyDescent="0.2">
      <c r="A257" s="3" t="s">
        <v>2086</v>
      </c>
      <c r="B257" s="3" t="s">
        <v>2087</v>
      </c>
      <c r="C257" s="3" t="s">
        <v>2088</v>
      </c>
      <c r="D257" s="3" t="s">
        <v>1401</v>
      </c>
      <c r="E257" s="3" t="s">
        <v>1402</v>
      </c>
      <c r="F257" s="3" t="s">
        <v>1403</v>
      </c>
    </row>
    <row r="258" spans="1:6" ht="16" x14ac:dyDescent="0.2">
      <c r="A258" s="3" t="s">
        <v>2089</v>
      </c>
      <c r="B258" s="3" t="s">
        <v>2090</v>
      </c>
      <c r="C258" s="3" t="s">
        <v>1096</v>
      </c>
      <c r="D258" s="3" t="s">
        <v>1442</v>
      </c>
      <c r="E258" s="3" t="s">
        <v>1443</v>
      </c>
      <c r="F258" s="3" t="s">
        <v>1161</v>
      </c>
    </row>
    <row r="259" spans="1:6" ht="32" x14ac:dyDescent="0.2">
      <c r="A259" s="3" t="s">
        <v>2091</v>
      </c>
      <c r="B259" s="3" t="s">
        <v>2092</v>
      </c>
      <c r="C259" s="3" t="s">
        <v>2093</v>
      </c>
      <c r="D259" s="3" t="s">
        <v>1431</v>
      </c>
      <c r="E259" s="3" t="s">
        <v>1432</v>
      </c>
      <c r="F259" s="3" t="s">
        <v>1433</v>
      </c>
    </row>
    <row r="260" spans="1:6" ht="32" x14ac:dyDescent="0.2">
      <c r="A260" s="3" t="s">
        <v>2094</v>
      </c>
      <c r="B260" s="3" t="s">
        <v>2095</v>
      </c>
      <c r="C260" s="3" t="s">
        <v>2096</v>
      </c>
      <c r="D260" s="3" t="s">
        <v>1431</v>
      </c>
      <c r="E260" s="3" t="s">
        <v>1432</v>
      </c>
      <c r="F260" s="3" t="s">
        <v>1433</v>
      </c>
    </row>
    <row r="261" spans="1:6" ht="16" x14ac:dyDescent="0.2">
      <c r="A261" s="3" t="s">
        <v>2097</v>
      </c>
      <c r="B261" s="3" t="s">
        <v>2098</v>
      </c>
      <c r="C261" s="3" t="s">
        <v>2099</v>
      </c>
      <c r="D261" s="3" t="s">
        <v>1621</v>
      </c>
      <c r="E261" s="3" t="s">
        <v>1622</v>
      </c>
      <c r="F261" s="3" t="s">
        <v>571</v>
      </c>
    </row>
    <row r="262" spans="1:6" ht="16" x14ac:dyDescent="0.2">
      <c r="A262" s="3" t="s">
        <v>2100</v>
      </c>
      <c r="B262" s="3" t="s">
        <v>2101</v>
      </c>
      <c r="C262" s="3" t="s">
        <v>2102</v>
      </c>
      <c r="D262" s="3" t="s">
        <v>1417</v>
      </c>
      <c r="E262" s="3" t="s">
        <v>1418</v>
      </c>
      <c r="F262" s="3" t="s">
        <v>1419</v>
      </c>
    </row>
    <row r="263" spans="1:6" ht="32" x14ac:dyDescent="0.2">
      <c r="A263" s="3" t="s">
        <v>2103</v>
      </c>
      <c r="B263" s="3" t="s">
        <v>2104</v>
      </c>
      <c r="C263" s="3" t="s">
        <v>2105</v>
      </c>
      <c r="D263" s="3" t="s">
        <v>1390</v>
      </c>
      <c r="E263" s="3" t="s">
        <v>1391</v>
      </c>
      <c r="F263" s="3" t="s">
        <v>1392</v>
      </c>
    </row>
    <row r="264" spans="1:6" ht="32" x14ac:dyDescent="0.2">
      <c r="A264" s="3" t="s">
        <v>2106</v>
      </c>
      <c r="B264" s="3" t="s">
        <v>2107</v>
      </c>
      <c r="C264" s="3" t="s">
        <v>2108</v>
      </c>
      <c r="D264" s="3" t="s">
        <v>1431</v>
      </c>
      <c r="E264" s="3" t="s">
        <v>1432</v>
      </c>
      <c r="F264" s="3" t="s">
        <v>1433</v>
      </c>
    </row>
    <row r="265" spans="1:6" ht="16" x14ac:dyDescent="0.2">
      <c r="A265" s="3" t="s">
        <v>2109</v>
      </c>
      <c r="B265" s="3" t="s">
        <v>2110</v>
      </c>
      <c r="C265" s="3" t="s">
        <v>2111</v>
      </c>
      <c r="D265" s="3" t="s">
        <v>1417</v>
      </c>
      <c r="E265" s="3" t="s">
        <v>1418</v>
      </c>
      <c r="F265" s="3" t="s">
        <v>1419</v>
      </c>
    </row>
    <row r="266" spans="1:6" ht="16" x14ac:dyDescent="0.2">
      <c r="A266" s="3" t="s">
        <v>2112</v>
      </c>
      <c r="B266" s="3" t="s">
        <v>2113</v>
      </c>
      <c r="C266" s="3" t="s">
        <v>2114</v>
      </c>
      <c r="D266" s="3" t="s">
        <v>1470</v>
      </c>
      <c r="E266" s="3" t="s">
        <v>1471</v>
      </c>
      <c r="F266" s="3" t="s">
        <v>1472</v>
      </c>
    </row>
    <row r="267" spans="1:6" ht="16" x14ac:dyDescent="0.2">
      <c r="A267" s="3" t="s">
        <v>2115</v>
      </c>
      <c r="B267" s="3" t="s">
        <v>2116</v>
      </c>
      <c r="C267" s="3" t="s">
        <v>2117</v>
      </c>
      <c r="D267" s="3" t="s">
        <v>1442</v>
      </c>
      <c r="E267" s="3" t="s">
        <v>1443</v>
      </c>
      <c r="F267" s="3" t="s">
        <v>1161</v>
      </c>
    </row>
    <row r="268" spans="1:6" ht="16" x14ac:dyDescent="0.2">
      <c r="A268" s="3" t="s">
        <v>2118</v>
      </c>
      <c r="B268" s="3" t="s">
        <v>2119</v>
      </c>
      <c r="C268" s="3" t="s">
        <v>2120</v>
      </c>
      <c r="D268" s="3" t="s">
        <v>1401</v>
      </c>
      <c r="E268" s="3" t="s">
        <v>1402</v>
      </c>
      <c r="F268" s="3" t="s">
        <v>1403</v>
      </c>
    </row>
    <row r="269" spans="1:6" ht="16" x14ac:dyDescent="0.2">
      <c r="A269" s="3" t="s">
        <v>2121</v>
      </c>
      <c r="B269" s="3" t="s">
        <v>2122</v>
      </c>
      <c r="C269" s="3" t="s">
        <v>2123</v>
      </c>
      <c r="D269" s="3" t="s">
        <v>1531</v>
      </c>
      <c r="E269" s="3" t="s">
        <v>1532</v>
      </c>
      <c r="F269" s="3" t="s">
        <v>1533</v>
      </c>
    </row>
    <row r="270" spans="1:6" ht="16" x14ac:dyDescent="0.2">
      <c r="A270" s="3" t="s">
        <v>2124</v>
      </c>
      <c r="B270" s="3" t="s">
        <v>2125</v>
      </c>
      <c r="C270" s="3" t="s">
        <v>2126</v>
      </c>
      <c r="D270" s="3" t="s">
        <v>1401</v>
      </c>
      <c r="E270" s="3" t="s">
        <v>1402</v>
      </c>
      <c r="F270" s="3" t="s">
        <v>1403</v>
      </c>
    </row>
    <row r="271" spans="1:6" ht="32" x14ac:dyDescent="0.2">
      <c r="A271" s="3" t="s">
        <v>2127</v>
      </c>
      <c r="B271" s="3" t="s">
        <v>2128</v>
      </c>
      <c r="C271" s="3" t="s">
        <v>2129</v>
      </c>
      <c r="D271" s="3" t="s">
        <v>1390</v>
      </c>
      <c r="E271" s="3" t="s">
        <v>1391</v>
      </c>
      <c r="F271" s="3" t="s">
        <v>1392</v>
      </c>
    </row>
    <row r="272" spans="1:6" ht="32" x14ac:dyDescent="0.2">
      <c r="A272" s="3" t="s">
        <v>2130</v>
      </c>
      <c r="B272" s="3" t="s">
        <v>2131</v>
      </c>
      <c r="C272" s="3" t="s">
        <v>2132</v>
      </c>
      <c r="D272" s="3" t="s">
        <v>1407</v>
      </c>
      <c r="E272" s="3" t="s">
        <v>1408</v>
      </c>
      <c r="F272" s="3" t="s">
        <v>1409</v>
      </c>
    </row>
    <row r="273" spans="1:6" ht="16" x14ac:dyDescent="0.2">
      <c r="A273" s="3" t="s">
        <v>2133</v>
      </c>
      <c r="B273" s="3" t="s">
        <v>2134</v>
      </c>
      <c r="C273" s="3" t="s">
        <v>2135</v>
      </c>
      <c r="D273" s="3" t="s">
        <v>1531</v>
      </c>
      <c r="E273" s="3" t="s">
        <v>1532</v>
      </c>
      <c r="F273" s="3" t="s">
        <v>1533</v>
      </c>
    </row>
    <row r="274" spans="1:6" ht="16" x14ac:dyDescent="0.2">
      <c r="A274" s="3" t="s">
        <v>2136</v>
      </c>
      <c r="B274" s="3" t="s">
        <v>2137</v>
      </c>
      <c r="C274" s="3" t="s">
        <v>1128</v>
      </c>
      <c r="D274" s="3" t="s">
        <v>1395</v>
      </c>
      <c r="E274" s="3" t="s">
        <v>1396</v>
      </c>
      <c r="F274" s="3" t="s">
        <v>1397</v>
      </c>
    </row>
    <row r="275" spans="1:6" ht="32" x14ac:dyDescent="0.2">
      <c r="A275" s="3" t="s">
        <v>2138</v>
      </c>
      <c r="B275" s="3" t="s">
        <v>2139</v>
      </c>
      <c r="C275" s="3" t="s">
        <v>1134</v>
      </c>
      <c r="D275" s="3" t="s">
        <v>1431</v>
      </c>
      <c r="E275" s="3" t="s">
        <v>1432</v>
      </c>
      <c r="F275" s="3" t="s">
        <v>1433</v>
      </c>
    </row>
    <row r="276" spans="1:6" ht="16" x14ac:dyDescent="0.2">
      <c r="A276" s="3" t="s">
        <v>2140</v>
      </c>
      <c r="B276" s="3" t="s">
        <v>2141</v>
      </c>
      <c r="C276" s="3" t="s">
        <v>2142</v>
      </c>
      <c r="D276" s="3" t="s">
        <v>1417</v>
      </c>
      <c r="E276" s="3" t="s">
        <v>1418</v>
      </c>
      <c r="F276" s="3" t="s">
        <v>1419</v>
      </c>
    </row>
    <row r="277" spans="1:6" ht="16" x14ac:dyDescent="0.2">
      <c r="A277" s="3" t="s">
        <v>2143</v>
      </c>
      <c r="B277" s="3" t="s">
        <v>2144</v>
      </c>
      <c r="C277" s="3" t="s">
        <v>2145</v>
      </c>
      <c r="D277" s="3" t="s">
        <v>1417</v>
      </c>
      <c r="E277" s="3" t="s">
        <v>1418</v>
      </c>
      <c r="F277" s="3" t="s">
        <v>1419</v>
      </c>
    </row>
    <row r="278" spans="1:6" ht="16" x14ac:dyDescent="0.2">
      <c r="A278" s="3" t="s">
        <v>2146</v>
      </c>
      <c r="B278" s="3" t="s">
        <v>2147</v>
      </c>
      <c r="C278" s="3" t="s">
        <v>2148</v>
      </c>
      <c r="D278" s="3" t="s">
        <v>1384</v>
      </c>
      <c r="E278" s="3" t="s">
        <v>1385</v>
      </c>
      <c r="F278" s="3" t="s">
        <v>1386</v>
      </c>
    </row>
    <row r="279" spans="1:6" ht="16" x14ac:dyDescent="0.2">
      <c r="A279" s="3" t="s">
        <v>2149</v>
      </c>
      <c r="B279" s="3" t="s">
        <v>2150</v>
      </c>
      <c r="C279" s="3" t="s">
        <v>2151</v>
      </c>
      <c r="D279" s="3" t="s">
        <v>1401</v>
      </c>
      <c r="E279" s="3" t="s">
        <v>1402</v>
      </c>
      <c r="F279" s="3" t="s">
        <v>1403</v>
      </c>
    </row>
    <row r="280" spans="1:6" ht="32" x14ac:dyDescent="0.2">
      <c r="A280" s="3" t="s">
        <v>2152</v>
      </c>
      <c r="B280" s="3" t="s">
        <v>2153</v>
      </c>
      <c r="C280" s="3" t="s">
        <v>1147</v>
      </c>
      <c r="D280" s="3" t="s">
        <v>1390</v>
      </c>
      <c r="E280" s="3" t="s">
        <v>1391</v>
      </c>
      <c r="F280" s="3" t="s">
        <v>1392</v>
      </c>
    </row>
    <row r="281" spans="1:6" ht="32" x14ac:dyDescent="0.2">
      <c r="A281" s="3" t="s">
        <v>2154</v>
      </c>
      <c r="B281" s="3" t="s">
        <v>2155</v>
      </c>
      <c r="C281" s="3" t="s">
        <v>2156</v>
      </c>
      <c r="D281" s="3" t="s">
        <v>1390</v>
      </c>
      <c r="E281" s="3" t="s">
        <v>1391</v>
      </c>
      <c r="F281" s="3" t="s">
        <v>1392</v>
      </c>
    </row>
    <row r="282" spans="1:6" ht="16" x14ac:dyDescent="0.2">
      <c r="A282" s="3" t="s">
        <v>2157</v>
      </c>
      <c r="B282" s="3" t="s">
        <v>2158</v>
      </c>
      <c r="C282" s="3" t="s">
        <v>2159</v>
      </c>
      <c r="D282" s="3" t="s">
        <v>1423</v>
      </c>
      <c r="E282" s="3" t="s">
        <v>1424</v>
      </c>
      <c r="F282" s="3" t="s">
        <v>1425</v>
      </c>
    </row>
    <row r="283" spans="1:6" ht="16" x14ac:dyDescent="0.2">
      <c r="A283" s="3" t="s">
        <v>2160</v>
      </c>
      <c r="B283" s="3" t="s">
        <v>2161</v>
      </c>
      <c r="C283" s="3" t="s">
        <v>1161</v>
      </c>
      <c r="D283" s="3" t="s">
        <v>1442</v>
      </c>
      <c r="E283" s="3" t="s">
        <v>1443</v>
      </c>
      <c r="F283" s="3" t="s">
        <v>1161</v>
      </c>
    </row>
    <row r="284" spans="1:6" ht="16" x14ac:dyDescent="0.2">
      <c r="A284" s="3" t="s">
        <v>2162</v>
      </c>
      <c r="B284" s="3" t="s">
        <v>2163</v>
      </c>
      <c r="C284" s="3" t="s">
        <v>2164</v>
      </c>
      <c r="D284" s="3" t="s">
        <v>1442</v>
      </c>
      <c r="E284" s="3" t="s">
        <v>1443</v>
      </c>
      <c r="F284" s="3" t="s">
        <v>1161</v>
      </c>
    </row>
    <row r="285" spans="1:6" ht="16" x14ac:dyDescent="0.2">
      <c r="A285" s="3" t="s">
        <v>2165</v>
      </c>
      <c r="B285" s="3" t="s">
        <v>2166</v>
      </c>
      <c r="C285" s="3" t="s">
        <v>2167</v>
      </c>
      <c r="D285" s="3" t="s">
        <v>1470</v>
      </c>
      <c r="E285" s="3" t="s">
        <v>1471</v>
      </c>
      <c r="F285" s="3" t="s">
        <v>1472</v>
      </c>
    </row>
    <row r="286" spans="1:6" ht="16" x14ac:dyDescent="0.2">
      <c r="A286" s="3" t="s">
        <v>2168</v>
      </c>
      <c r="B286" s="3" t="s">
        <v>2169</v>
      </c>
      <c r="C286" s="3" t="s">
        <v>2170</v>
      </c>
      <c r="D286" s="3" t="s">
        <v>1470</v>
      </c>
      <c r="E286" s="3" t="s">
        <v>1471</v>
      </c>
      <c r="F286" s="3" t="s">
        <v>1472</v>
      </c>
    </row>
    <row r="287" spans="1:6" ht="32" x14ac:dyDescent="0.2">
      <c r="A287" s="3" t="s">
        <v>2171</v>
      </c>
      <c r="B287" s="3" t="s">
        <v>2172</v>
      </c>
      <c r="C287" s="3" t="s">
        <v>2173</v>
      </c>
      <c r="D287" s="3" t="s">
        <v>1431</v>
      </c>
      <c r="E287" s="3" t="s">
        <v>1432</v>
      </c>
      <c r="F287" s="3" t="s">
        <v>1433</v>
      </c>
    </row>
    <row r="288" spans="1:6" ht="16" x14ac:dyDescent="0.2">
      <c r="A288" s="3" t="s">
        <v>2174</v>
      </c>
      <c r="B288" s="3" t="s">
        <v>2175</v>
      </c>
      <c r="C288" s="3" t="s">
        <v>1194</v>
      </c>
      <c r="D288" s="3" t="s">
        <v>1621</v>
      </c>
      <c r="E288" s="3" t="s">
        <v>1622</v>
      </c>
      <c r="F288" s="3" t="s">
        <v>571</v>
      </c>
    </row>
    <row r="289" spans="1:6" ht="16" x14ac:dyDescent="0.2">
      <c r="A289" s="3" t="s">
        <v>2176</v>
      </c>
      <c r="B289" s="3" t="s">
        <v>2177</v>
      </c>
      <c r="C289" s="3" t="s">
        <v>1199</v>
      </c>
      <c r="D289" s="3" t="s">
        <v>1442</v>
      </c>
      <c r="E289" s="3" t="s">
        <v>1443</v>
      </c>
      <c r="F289" s="3" t="s">
        <v>1161</v>
      </c>
    </row>
    <row r="290" spans="1:6" ht="16" x14ac:dyDescent="0.2">
      <c r="A290" s="3" t="s">
        <v>2178</v>
      </c>
      <c r="B290" s="3" t="s">
        <v>2179</v>
      </c>
      <c r="C290" s="3" t="s">
        <v>2180</v>
      </c>
      <c r="D290" s="3" t="s">
        <v>1531</v>
      </c>
      <c r="E290" s="3" t="s">
        <v>1532</v>
      </c>
      <c r="F290" s="3" t="s">
        <v>1533</v>
      </c>
    </row>
    <row r="291" spans="1:6" ht="32" x14ac:dyDescent="0.2">
      <c r="A291" s="3" t="s">
        <v>2181</v>
      </c>
      <c r="B291" s="3" t="s">
        <v>2182</v>
      </c>
      <c r="C291" s="3" t="s">
        <v>2183</v>
      </c>
      <c r="D291" s="3" t="s">
        <v>1431</v>
      </c>
      <c r="E291" s="3" t="s">
        <v>1432</v>
      </c>
      <c r="F291" s="3" t="s">
        <v>1433</v>
      </c>
    </row>
    <row r="292" spans="1:6" ht="32" x14ac:dyDescent="0.2">
      <c r="A292" s="3" t="s">
        <v>2184</v>
      </c>
      <c r="B292" s="3" t="s">
        <v>2185</v>
      </c>
      <c r="C292" s="3" t="s">
        <v>2186</v>
      </c>
      <c r="D292" s="3" t="s">
        <v>1390</v>
      </c>
      <c r="E292" s="3" t="s">
        <v>1391</v>
      </c>
      <c r="F292" s="3" t="s">
        <v>1392</v>
      </c>
    </row>
    <row r="293" spans="1:6" ht="16" x14ac:dyDescent="0.2">
      <c r="A293" s="3" t="s">
        <v>2187</v>
      </c>
      <c r="B293" s="3" t="s">
        <v>2188</v>
      </c>
      <c r="C293" s="3" t="s">
        <v>1212</v>
      </c>
      <c r="D293" s="3" t="s">
        <v>1470</v>
      </c>
      <c r="E293" s="3" t="s">
        <v>1471</v>
      </c>
      <c r="F293" s="3" t="s">
        <v>1472</v>
      </c>
    </row>
    <row r="294" spans="1:6" ht="16" x14ac:dyDescent="0.2">
      <c r="A294" s="3" t="s">
        <v>2189</v>
      </c>
      <c r="B294" s="3" t="s">
        <v>2190</v>
      </c>
      <c r="C294" s="3" t="s">
        <v>1217</v>
      </c>
      <c r="D294" s="3" t="s">
        <v>1470</v>
      </c>
      <c r="E294" s="3" t="s">
        <v>1471</v>
      </c>
      <c r="F294" s="3" t="s">
        <v>1472</v>
      </c>
    </row>
    <row r="295" spans="1:6" ht="16" x14ac:dyDescent="0.2">
      <c r="A295" s="3" t="s">
        <v>2191</v>
      </c>
      <c r="B295" s="3" t="s">
        <v>2192</v>
      </c>
      <c r="C295" s="3" t="s">
        <v>2193</v>
      </c>
      <c r="D295" s="3" t="s">
        <v>1442</v>
      </c>
      <c r="E295" s="3" t="s">
        <v>1443</v>
      </c>
      <c r="F295" s="3" t="s">
        <v>1161</v>
      </c>
    </row>
    <row r="296" spans="1:6" ht="32" x14ac:dyDescent="0.2">
      <c r="A296" s="3" t="s">
        <v>2194</v>
      </c>
      <c r="B296" s="3" t="s">
        <v>2195</v>
      </c>
      <c r="C296" s="3" t="s">
        <v>2196</v>
      </c>
      <c r="D296" s="3" t="s">
        <v>1407</v>
      </c>
      <c r="E296" s="3" t="s">
        <v>1408</v>
      </c>
      <c r="F296" s="3" t="s">
        <v>1409</v>
      </c>
    </row>
    <row r="297" spans="1:6" ht="16" x14ac:dyDescent="0.2">
      <c r="A297" s="3" t="s">
        <v>2197</v>
      </c>
      <c r="B297" s="3" t="s">
        <v>2198</v>
      </c>
      <c r="C297" s="3" t="s">
        <v>2199</v>
      </c>
      <c r="D297" s="3" t="s">
        <v>1401</v>
      </c>
      <c r="E297" s="3" t="s">
        <v>1402</v>
      </c>
      <c r="F297" s="3" t="s">
        <v>1403</v>
      </c>
    </row>
    <row r="298" spans="1:6" ht="16" x14ac:dyDescent="0.2">
      <c r="A298" s="3" t="s">
        <v>2200</v>
      </c>
      <c r="B298" s="3" t="s">
        <v>2201</v>
      </c>
      <c r="C298" s="3" t="s">
        <v>1226</v>
      </c>
      <c r="D298" s="3" t="s">
        <v>1531</v>
      </c>
      <c r="E298" s="3" t="s">
        <v>1532</v>
      </c>
      <c r="F298" s="3" t="s">
        <v>1533</v>
      </c>
    </row>
    <row r="299" spans="1:6" ht="16" x14ac:dyDescent="0.2">
      <c r="A299" s="3" t="s">
        <v>2202</v>
      </c>
      <c r="B299" s="3" t="s">
        <v>2203</v>
      </c>
      <c r="C299" s="3" t="s">
        <v>1232</v>
      </c>
      <c r="D299" s="3" t="s">
        <v>1470</v>
      </c>
      <c r="E299" s="3" t="s">
        <v>1471</v>
      </c>
      <c r="F299" s="3" t="s">
        <v>1472</v>
      </c>
    </row>
    <row r="300" spans="1:6" ht="32" x14ac:dyDescent="0.2">
      <c r="A300" s="3" t="s">
        <v>2204</v>
      </c>
      <c r="B300" s="3" t="s">
        <v>2205</v>
      </c>
      <c r="C300" s="3" t="s">
        <v>2206</v>
      </c>
      <c r="D300" s="3" t="s">
        <v>1407</v>
      </c>
      <c r="E300" s="3" t="s">
        <v>1408</v>
      </c>
      <c r="F300" s="3" t="s">
        <v>1409</v>
      </c>
    </row>
    <row r="301" spans="1:6" ht="32" x14ac:dyDescent="0.2">
      <c r="A301" s="3" t="s">
        <v>2207</v>
      </c>
      <c r="B301" s="3" t="s">
        <v>2208</v>
      </c>
      <c r="C301" s="3" t="s">
        <v>1240</v>
      </c>
      <c r="D301" s="3" t="s">
        <v>1407</v>
      </c>
      <c r="E301" s="3" t="s">
        <v>1408</v>
      </c>
      <c r="F301" s="3" t="s">
        <v>1409</v>
      </c>
    </row>
    <row r="302" spans="1:6" ht="16" x14ac:dyDescent="0.2">
      <c r="A302" s="3" t="s">
        <v>2209</v>
      </c>
      <c r="B302" s="3" t="s">
        <v>2210</v>
      </c>
      <c r="C302" s="3" t="s">
        <v>2211</v>
      </c>
      <c r="D302" s="3" t="s">
        <v>1395</v>
      </c>
      <c r="E302" s="3" t="s">
        <v>1396</v>
      </c>
      <c r="F302" s="3" t="s">
        <v>1397</v>
      </c>
    </row>
    <row r="303" spans="1:6" ht="32" x14ac:dyDescent="0.2">
      <c r="A303" s="3" t="s">
        <v>2212</v>
      </c>
      <c r="B303" s="3" t="s">
        <v>2213</v>
      </c>
      <c r="C303" s="3" t="s">
        <v>1252</v>
      </c>
      <c r="D303" s="3" t="s">
        <v>1431</v>
      </c>
      <c r="E303" s="3" t="s">
        <v>1432</v>
      </c>
      <c r="F303" s="3" t="s">
        <v>1433</v>
      </c>
    </row>
    <row r="304" spans="1:6" ht="16" x14ac:dyDescent="0.2">
      <c r="A304" s="3" t="s">
        <v>2214</v>
      </c>
      <c r="B304" s="3" t="s">
        <v>2215</v>
      </c>
      <c r="C304" s="3" t="s">
        <v>2216</v>
      </c>
      <c r="D304" s="3" t="s">
        <v>1401</v>
      </c>
      <c r="E304" s="3" t="s">
        <v>1402</v>
      </c>
      <c r="F304" s="3" t="s">
        <v>1403</v>
      </c>
    </row>
    <row r="305" spans="1:6" ht="32" x14ac:dyDescent="0.2">
      <c r="A305" s="3" t="s">
        <v>2217</v>
      </c>
      <c r="B305" s="3" t="s">
        <v>2218</v>
      </c>
      <c r="C305" s="3" t="s">
        <v>2219</v>
      </c>
      <c r="D305" s="3" t="s">
        <v>1431</v>
      </c>
      <c r="E305" s="3" t="s">
        <v>1432</v>
      </c>
      <c r="F305" s="3" t="s">
        <v>1433</v>
      </c>
    </row>
    <row r="306" spans="1:6" ht="32" x14ac:dyDescent="0.2">
      <c r="A306" s="3" t="s">
        <v>2220</v>
      </c>
      <c r="B306" s="3" t="s">
        <v>2221</v>
      </c>
      <c r="C306" s="3" t="s">
        <v>2222</v>
      </c>
      <c r="D306" s="3" t="s">
        <v>1431</v>
      </c>
      <c r="E306" s="3" t="s">
        <v>1432</v>
      </c>
      <c r="F306" s="3" t="s">
        <v>1433</v>
      </c>
    </row>
    <row r="307" spans="1:6" ht="32" x14ac:dyDescent="0.2">
      <c r="A307" s="3" t="s">
        <v>2223</v>
      </c>
      <c r="B307" s="3" t="s">
        <v>2224</v>
      </c>
      <c r="C307" s="3" t="s">
        <v>1255</v>
      </c>
      <c r="D307" s="3" t="s">
        <v>1407</v>
      </c>
      <c r="E307" s="3" t="s">
        <v>1408</v>
      </c>
      <c r="F307" s="3" t="s">
        <v>1409</v>
      </c>
    </row>
    <row r="308" spans="1:6" ht="16" x14ac:dyDescent="0.2">
      <c r="A308" s="3" t="s">
        <v>2225</v>
      </c>
      <c r="B308" s="3" t="s">
        <v>2226</v>
      </c>
      <c r="C308" s="3" t="s">
        <v>2227</v>
      </c>
      <c r="D308" s="3" t="s">
        <v>1395</v>
      </c>
      <c r="E308" s="3" t="s">
        <v>1396</v>
      </c>
      <c r="F308" s="3" t="s">
        <v>1397</v>
      </c>
    </row>
    <row r="309" spans="1:6" ht="32" x14ac:dyDescent="0.2">
      <c r="A309" s="3" t="s">
        <v>2228</v>
      </c>
      <c r="B309" s="3" t="s">
        <v>2229</v>
      </c>
      <c r="C309" s="3" t="s">
        <v>2230</v>
      </c>
      <c r="D309" s="3" t="s">
        <v>1407</v>
      </c>
      <c r="E309" s="3" t="s">
        <v>1408</v>
      </c>
      <c r="F309" s="3" t="s">
        <v>1409</v>
      </c>
    </row>
    <row r="310" spans="1:6" ht="32" x14ac:dyDescent="0.2">
      <c r="A310" s="3" t="s">
        <v>2231</v>
      </c>
      <c r="B310" s="3" t="s">
        <v>2232</v>
      </c>
      <c r="C310" s="3" t="s">
        <v>2233</v>
      </c>
      <c r="D310" s="3" t="s">
        <v>1390</v>
      </c>
      <c r="E310" s="3" t="s">
        <v>1391</v>
      </c>
      <c r="F310" s="3" t="s">
        <v>1392</v>
      </c>
    </row>
    <row r="311" spans="1:6" ht="16" x14ac:dyDescent="0.2">
      <c r="A311" s="3" t="s">
        <v>2234</v>
      </c>
      <c r="B311" s="3" t="s">
        <v>2235</v>
      </c>
      <c r="C311" s="3" t="s">
        <v>1267</v>
      </c>
      <c r="D311" s="3" t="s">
        <v>1470</v>
      </c>
      <c r="E311" s="3" t="s">
        <v>1471</v>
      </c>
      <c r="F311" s="3" t="s">
        <v>1472</v>
      </c>
    </row>
    <row r="312" spans="1:6" ht="16" x14ac:dyDescent="0.2">
      <c r="A312" s="3" t="s">
        <v>2236</v>
      </c>
      <c r="B312" s="3" t="s">
        <v>2237</v>
      </c>
      <c r="C312" s="3" t="s">
        <v>2238</v>
      </c>
      <c r="D312" s="3" t="s">
        <v>1395</v>
      </c>
      <c r="E312" s="3" t="s">
        <v>1396</v>
      </c>
      <c r="F312" s="3" t="s">
        <v>1397</v>
      </c>
    </row>
    <row r="313" spans="1:6" ht="16" x14ac:dyDescent="0.2">
      <c r="A313" s="3" t="s">
        <v>2239</v>
      </c>
      <c r="B313" s="3" t="s">
        <v>2240</v>
      </c>
      <c r="C313" s="3" t="s">
        <v>2241</v>
      </c>
      <c r="D313" s="3" t="s">
        <v>1395</v>
      </c>
      <c r="E313" s="3" t="s">
        <v>1396</v>
      </c>
      <c r="F313" s="3" t="s">
        <v>1397</v>
      </c>
    </row>
    <row r="314" spans="1:6" ht="16" x14ac:dyDescent="0.2">
      <c r="A314" s="3" t="s">
        <v>2242</v>
      </c>
      <c r="B314" s="3" t="s">
        <v>2243</v>
      </c>
      <c r="C314" s="3" t="s">
        <v>2244</v>
      </c>
      <c r="D314" s="3" t="s">
        <v>1621</v>
      </c>
      <c r="E314" s="3" t="s">
        <v>1622</v>
      </c>
      <c r="F314" s="3" t="s">
        <v>571</v>
      </c>
    </row>
    <row r="315" spans="1:6" ht="16" x14ac:dyDescent="0.2">
      <c r="A315" s="3" t="s">
        <v>2245</v>
      </c>
      <c r="B315" s="3" t="s">
        <v>2246</v>
      </c>
      <c r="C315" s="3" t="s">
        <v>2247</v>
      </c>
      <c r="D315" s="3" t="s">
        <v>1384</v>
      </c>
      <c r="E315" s="3" t="s">
        <v>1385</v>
      </c>
      <c r="F315" s="3" t="s">
        <v>1386</v>
      </c>
    </row>
    <row r="316" spans="1:6" ht="16" x14ac:dyDescent="0.2">
      <c r="A316" s="3" t="s">
        <v>2248</v>
      </c>
      <c r="B316" s="3" t="s">
        <v>2249</v>
      </c>
      <c r="C316" s="3" t="s">
        <v>1278</v>
      </c>
      <c r="D316" s="3" t="s">
        <v>1395</v>
      </c>
      <c r="E316" s="3" t="s">
        <v>1396</v>
      </c>
      <c r="F316" s="3" t="s">
        <v>1397</v>
      </c>
    </row>
    <row r="317" spans="1:6" ht="16" x14ac:dyDescent="0.2">
      <c r="A317" s="3" t="s">
        <v>2250</v>
      </c>
      <c r="B317" s="3" t="s">
        <v>2251</v>
      </c>
      <c r="C317" s="3" t="s">
        <v>2252</v>
      </c>
      <c r="D317" s="3" t="s">
        <v>1621</v>
      </c>
      <c r="E317" s="3" t="s">
        <v>1622</v>
      </c>
      <c r="F317" s="3" t="s">
        <v>571</v>
      </c>
    </row>
    <row r="318" spans="1:6" ht="32" x14ac:dyDescent="0.2">
      <c r="A318" s="3" t="s">
        <v>2253</v>
      </c>
      <c r="B318" s="3" t="s">
        <v>2254</v>
      </c>
      <c r="C318" s="3" t="s">
        <v>2255</v>
      </c>
      <c r="D318" s="3" t="s">
        <v>1407</v>
      </c>
      <c r="E318" s="3" t="s">
        <v>1408</v>
      </c>
      <c r="F318" s="3" t="s">
        <v>1409</v>
      </c>
    </row>
    <row r="319" spans="1:6" ht="16" x14ac:dyDescent="0.2">
      <c r="A319" s="3" t="s">
        <v>2256</v>
      </c>
      <c r="B319" s="3" t="s">
        <v>2257</v>
      </c>
      <c r="C319" s="3" t="s">
        <v>2258</v>
      </c>
      <c r="D319" s="3" t="s">
        <v>1401</v>
      </c>
      <c r="E319" s="3" t="s">
        <v>1402</v>
      </c>
      <c r="F319" s="3" t="s">
        <v>1403</v>
      </c>
    </row>
    <row r="320" spans="1:6" ht="16" x14ac:dyDescent="0.2">
      <c r="A320" s="3" t="s">
        <v>2259</v>
      </c>
      <c r="B320" s="3" t="s">
        <v>2260</v>
      </c>
      <c r="C320" s="3" t="s">
        <v>1283</v>
      </c>
      <c r="D320" s="3" t="s">
        <v>1417</v>
      </c>
      <c r="E320" s="3" t="s">
        <v>1418</v>
      </c>
      <c r="F320" s="3" t="s">
        <v>1419</v>
      </c>
    </row>
    <row r="321" spans="1:6" ht="16" x14ac:dyDescent="0.2">
      <c r="A321" s="3" t="s">
        <v>2261</v>
      </c>
      <c r="B321" s="3" t="s">
        <v>2262</v>
      </c>
      <c r="C321" s="3" t="s">
        <v>1287</v>
      </c>
      <c r="D321" s="3" t="s">
        <v>1395</v>
      </c>
      <c r="E321" s="3" t="s">
        <v>1396</v>
      </c>
      <c r="F321" s="3" t="s">
        <v>1397</v>
      </c>
    </row>
    <row r="322" spans="1:6" ht="32" x14ac:dyDescent="0.2">
      <c r="A322" s="3" t="s">
        <v>2263</v>
      </c>
      <c r="B322" s="3" t="s">
        <v>2264</v>
      </c>
      <c r="C322" s="3" t="s">
        <v>2265</v>
      </c>
      <c r="D322" s="3" t="s">
        <v>1390</v>
      </c>
      <c r="E322" s="3" t="s">
        <v>1391</v>
      </c>
      <c r="F322" s="3" t="s">
        <v>1392</v>
      </c>
    </row>
    <row r="323" spans="1:6" ht="16" x14ac:dyDescent="0.2">
      <c r="A323" s="3" t="s">
        <v>2266</v>
      </c>
      <c r="B323" s="3" t="s">
        <v>2267</v>
      </c>
      <c r="C323" s="3" t="s">
        <v>2268</v>
      </c>
      <c r="D323" s="3" t="s">
        <v>1442</v>
      </c>
      <c r="E323" s="3" t="s">
        <v>1443</v>
      </c>
      <c r="F323" s="3" t="s">
        <v>1161</v>
      </c>
    </row>
    <row r="324" spans="1:6" ht="16" x14ac:dyDescent="0.2">
      <c r="A324" s="3" t="s">
        <v>2269</v>
      </c>
      <c r="B324" s="3" t="s">
        <v>2270</v>
      </c>
      <c r="C324" s="3" t="s">
        <v>1299</v>
      </c>
      <c r="D324" s="3" t="s">
        <v>1395</v>
      </c>
      <c r="E324" s="3" t="s">
        <v>1396</v>
      </c>
      <c r="F324" s="3" t="s">
        <v>1397</v>
      </c>
    </row>
    <row r="325" spans="1:6" ht="32" x14ac:dyDescent="0.2">
      <c r="A325" s="3" t="s">
        <v>2271</v>
      </c>
      <c r="B325" s="3" t="s">
        <v>2272</v>
      </c>
      <c r="C325" s="3" t="s">
        <v>2273</v>
      </c>
      <c r="D325" s="3" t="s">
        <v>1431</v>
      </c>
      <c r="E325" s="3" t="s">
        <v>1432</v>
      </c>
      <c r="F325" s="3" t="s">
        <v>1433</v>
      </c>
    </row>
    <row r="326" spans="1:6" ht="16" x14ac:dyDescent="0.2">
      <c r="A326" s="3" t="s">
        <v>2274</v>
      </c>
      <c r="B326" s="3" t="s">
        <v>2275</v>
      </c>
      <c r="C326" s="3" t="s">
        <v>1305</v>
      </c>
      <c r="D326" s="3" t="s">
        <v>1442</v>
      </c>
      <c r="E326" s="3" t="s">
        <v>1443</v>
      </c>
      <c r="F326" s="3" t="s">
        <v>1161</v>
      </c>
    </row>
    <row r="327" spans="1:6" ht="16" x14ac:dyDescent="0.2">
      <c r="A327" s="3" t="s">
        <v>2276</v>
      </c>
      <c r="B327" s="3" t="s">
        <v>2277</v>
      </c>
      <c r="C327" s="3" t="s">
        <v>2278</v>
      </c>
      <c r="D327" s="3" t="s">
        <v>1384</v>
      </c>
      <c r="E327" s="3" t="s">
        <v>1385</v>
      </c>
      <c r="F327" s="3" t="s">
        <v>1386</v>
      </c>
    </row>
    <row r="328" spans="1:6" ht="32" x14ac:dyDescent="0.2">
      <c r="A328" s="3" t="s">
        <v>2279</v>
      </c>
      <c r="B328" s="3" t="s">
        <v>2280</v>
      </c>
      <c r="C328" s="3" t="s">
        <v>2281</v>
      </c>
      <c r="D328" s="3" t="s">
        <v>1390</v>
      </c>
      <c r="E328" s="3" t="s">
        <v>1391</v>
      </c>
      <c r="F328" s="3" t="s">
        <v>1392</v>
      </c>
    </row>
    <row r="329" spans="1:6" ht="16" x14ac:dyDescent="0.2">
      <c r="A329" s="3" t="s">
        <v>2282</v>
      </c>
      <c r="B329" s="3" t="s">
        <v>2283</v>
      </c>
      <c r="C329" s="3" t="s">
        <v>2284</v>
      </c>
      <c r="D329" s="3" t="s">
        <v>1442</v>
      </c>
      <c r="E329" s="3" t="s">
        <v>1443</v>
      </c>
      <c r="F329" s="3" t="s">
        <v>1161</v>
      </c>
    </row>
    <row r="330" spans="1:6" ht="32" x14ac:dyDescent="0.2">
      <c r="A330" s="3" t="s">
        <v>2285</v>
      </c>
      <c r="B330" s="3" t="s">
        <v>2286</v>
      </c>
      <c r="C330" s="3" t="s">
        <v>2287</v>
      </c>
      <c r="D330" s="3" t="s">
        <v>1390</v>
      </c>
      <c r="E330" s="3" t="s">
        <v>1391</v>
      </c>
      <c r="F330" s="3" t="s">
        <v>1392</v>
      </c>
    </row>
    <row r="331" spans="1:6" ht="16" x14ac:dyDescent="0.2">
      <c r="A331" s="3" t="s">
        <v>2288</v>
      </c>
      <c r="B331" s="3" t="s">
        <v>2289</v>
      </c>
      <c r="C331" s="3" t="s">
        <v>1331</v>
      </c>
      <c r="D331" s="3" t="s">
        <v>1395</v>
      </c>
      <c r="E331" s="3" t="s">
        <v>1396</v>
      </c>
      <c r="F331" s="3" t="s">
        <v>1397</v>
      </c>
    </row>
    <row r="332" spans="1:6" ht="32" x14ac:dyDescent="0.2">
      <c r="A332" s="3" t="s">
        <v>2290</v>
      </c>
      <c r="B332" s="3" t="s">
        <v>2291</v>
      </c>
      <c r="C332" s="3" t="s">
        <v>1335</v>
      </c>
      <c r="D332" s="3" t="s">
        <v>1390</v>
      </c>
      <c r="E332" s="3" t="s">
        <v>1391</v>
      </c>
      <c r="F332" s="3" t="s">
        <v>1392</v>
      </c>
    </row>
    <row r="333" spans="1:6" ht="16" x14ac:dyDescent="0.2">
      <c r="A333" s="3" t="s">
        <v>2292</v>
      </c>
      <c r="B333" s="3" t="s">
        <v>2293</v>
      </c>
      <c r="C333" s="3" t="s">
        <v>2294</v>
      </c>
      <c r="D333" s="3" t="s">
        <v>1423</v>
      </c>
      <c r="E333" s="3" t="s">
        <v>1424</v>
      </c>
      <c r="F333" s="3" t="s">
        <v>1425</v>
      </c>
    </row>
    <row r="334" spans="1:6" ht="16" x14ac:dyDescent="0.2">
      <c r="A334" s="3" t="s">
        <v>2295</v>
      </c>
      <c r="B334" s="3" t="s">
        <v>2296</v>
      </c>
      <c r="C334" s="3" t="s">
        <v>2297</v>
      </c>
      <c r="D334" s="3" t="s">
        <v>1442</v>
      </c>
      <c r="E334" s="3" t="s">
        <v>1443</v>
      </c>
      <c r="F334" s="3" t="s">
        <v>1161</v>
      </c>
    </row>
    <row r="335" spans="1:6" ht="16" x14ac:dyDescent="0.2">
      <c r="A335" s="3" t="s">
        <v>2298</v>
      </c>
      <c r="B335" s="3" t="s">
        <v>2299</v>
      </c>
      <c r="C335" s="3" t="s">
        <v>1341</v>
      </c>
      <c r="D335" s="3" t="s">
        <v>1395</v>
      </c>
      <c r="E335" s="3" t="s">
        <v>1396</v>
      </c>
      <c r="F335" s="3" t="s">
        <v>1397</v>
      </c>
    </row>
    <row r="336" spans="1:6" ht="32" x14ac:dyDescent="0.2">
      <c r="A336" s="3" t="s">
        <v>2300</v>
      </c>
      <c r="B336" s="3" t="s">
        <v>2301</v>
      </c>
      <c r="C336" s="3" t="s">
        <v>1349</v>
      </c>
      <c r="D336" s="3" t="s">
        <v>1407</v>
      </c>
      <c r="E336" s="3" t="s">
        <v>1408</v>
      </c>
      <c r="F336" s="3" t="s">
        <v>1409</v>
      </c>
    </row>
    <row r="337" spans="1:6" ht="32" x14ac:dyDescent="0.2">
      <c r="A337" s="3" t="s">
        <v>2302</v>
      </c>
      <c r="B337" s="3" t="s">
        <v>2303</v>
      </c>
      <c r="C337" s="3" t="s">
        <v>2304</v>
      </c>
      <c r="D337" s="3" t="s">
        <v>1407</v>
      </c>
      <c r="E337" s="3" t="s">
        <v>1408</v>
      </c>
      <c r="F337" s="3" t="s">
        <v>1409</v>
      </c>
    </row>
    <row r="338" spans="1:6" ht="32" x14ac:dyDescent="0.2">
      <c r="A338" s="3" t="s">
        <v>2305</v>
      </c>
      <c r="B338" s="3" t="s">
        <v>2306</v>
      </c>
      <c r="C338" s="3" t="s">
        <v>2307</v>
      </c>
      <c r="D338" s="3" t="s">
        <v>1407</v>
      </c>
      <c r="E338" s="3" t="s">
        <v>1408</v>
      </c>
      <c r="F338" s="3" t="s">
        <v>1409</v>
      </c>
    </row>
    <row r="339" spans="1:6" ht="32" x14ac:dyDescent="0.2">
      <c r="A339" s="3" t="s">
        <v>2308</v>
      </c>
      <c r="B339" s="3" t="s">
        <v>2309</v>
      </c>
      <c r="C339" s="3" t="s">
        <v>2310</v>
      </c>
      <c r="D339" s="3" t="s">
        <v>1431</v>
      </c>
      <c r="E339" s="3" t="s">
        <v>1432</v>
      </c>
      <c r="F339" s="3" t="s">
        <v>1433</v>
      </c>
    </row>
    <row r="340" spans="1:6" ht="16" x14ac:dyDescent="0.2">
      <c r="A340" s="3" t="s">
        <v>2311</v>
      </c>
      <c r="B340" s="3" t="s">
        <v>2312</v>
      </c>
      <c r="C340" s="3" t="s">
        <v>1361</v>
      </c>
      <c r="D340" s="3" t="s">
        <v>1395</v>
      </c>
      <c r="E340" s="3" t="s">
        <v>1396</v>
      </c>
      <c r="F340" s="3" t="s">
        <v>1397</v>
      </c>
    </row>
    <row r="341" spans="1:6" ht="16" x14ac:dyDescent="0.2">
      <c r="A341" s="3" t="s">
        <v>2313</v>
      </c>
      <c r="B341" s="3" t="s">
        <v>2314</v>
      </c>
      <c r="C341" s="3" t="s">
        <v>2315</v>
      </c>
      <c r="D341" s="3" t="s">
        <v>1417</v>
      </c>
      <c r="E341" s="3" t="s">
        <v>1418</v>
      </c>
      <c r="F341" s="3" t="s">
        <v>1419</v>
      </c>
    </row>
    <row r="342" spans="1:6" ht="32" x14ac:dyDescent="0.2">
      <c r="A342" s="3" t="s">
        <v>2316</v>
      </c>
      <c r="B342" s="3" t="s">
        <v>2317</v>
      </c>
      <c r="C342" s="3" t="s">
        <v>1365</v>
      </c>
      <c r="D342" s="3" t="s">
        <v>1407</v>
      </c>
      <c r="E342" s="3" t="s">
        <v>1408</v>
      </c>
      <c r="F342" s="3" t="s">
        <v>1409</v>
      </c>
    </row>
    <row r="343" spans="1:6" ht="16" x14ac:dyDescent="0.2">
      <c r="A343" s="3" t="s">
        <v>2318</v>
      </c>
      <c r="B343" s="3" t="s">
        <v>2319</v>
      </c>
      <c r="C343" s="3" t="s">
        <v>1368</v>
      </c>
      <c r="D343" s="3" t="s">
        <v>1417</v>
      </c>
      <c r="E343" s="3" t="s">
        <v>1418</v>
      </c>
      <c r="F343" s="3" t="s">
        <v>1419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Calculation</vt:lpstr>
      <vt:lpstr>Source_NS_Dashboard</vt:lpstr>
      <vt:lpstr>Source_GM_code_CBS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Charlotte von Meijenfeldt</cp:lastModifiedBy>
  <dcterms:created xsi:type="dcterms:W3CDTF">2025-06-12T15:00:42Z</dcterms:created>
  <dcterms:modified xsi:type="dcterms:W3CDTF">2025-08-01T08:37:45Z</dcterms:modified>
</cp:coreProperties>
</file>